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Checking\"/>
    </mc:Choice>
  </mc:AlternateContent>
  <bookViews>
    <workbookView xWindow="0" yWindow="0" windowWidth="28800" windowHeight="12330" activeTab="13"/>
  </bookViews>
  <sheets>
    <sheet name="17.1" sheetId="30" r:id="rId1"/>
    <sheet name="17.2" sheetId="32" r:id="rId2"/>
    <sheet name="17.3" sheetId="34" r:id="rId3"/>
    <sheet name="17.4" sheetId="31" r:id="rId4"/>
    <sheet name="17.5" sheetId="10" r:id="rId5"/>
    <sheet name="17.6" sheetId="22" r:id="rId6"/>
    <sheet name="17.7" sheetId="20" r:id="rId7"/>
    <sheet name="17.8" sheetId="35" r:id="rId8"/>
    <sheet name="17.9" sheetId="43" r:id="rId9"/>
    <sheet name="17.10" sheetId="44" r:id="rId10"/>
    <sheet name="17.9 new" sheetId="36" r:id="rId11"/>
    <sheet name="17.12" sheetId="42" r:id="rId12"/>
    <sheet name="17.13" sheetId="41" r:id="rId13"/>
    <sheet name="17.14" sheetId="45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'17.1'!$A$2:$P$66</definedName>
    <definedName name="_xlnm.Print_Area" localSheetId="9">'17.10'!$A$1:$F$95</definedName>
    <definedName name="_xlnm.Print_Area" localSheetId="13">'17.14'!$A$1:$W$30</definedName>
    <definedName name="_xlnm.Print_Area" localSheetId="1">'17.2'!$A$1:$S$51</definedName>
    <definedName name="_xlnm.Print_Area" localSheetId="2">'17.3'!$A$1:$S$51</definedName>
    <definedName name="_xlnm.Print_Area" localSheetId="3">'17.4'!$A$1:$O$54</definedName>
    <definedName name="_xlnm.Print_Area" localSheetId="4">'17.5'!$A$1:$W$91</definedName>
    <definedName name="_xlnm.Print_Area" localSheetId="5">'17.6'!$A$1:$R$110</definedName>
    <definedName name="_xlnm.Print_Area" localSheetId="6">'17.7'!$A$1:$R$68</definedName>
    <definedName name="_xlnm.Print_Area" localSheetId="7">'17.8'!$A$1:$Q$69</definedName>
    <definedName name="_xlnm.Print_Area" localSheetId="10">'17.9 new'!$A$1:$AL$39</definedName>
    <definedName name="Print_Area_MI">#REF!</definedName>
    <definedName name="_xlnm.Print_Titles" localSheetId="6">'17.7'!#REF!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AB27" i="10" l="1"/>
  <c r="AB26" i="10"/>
  <c r="AA27" i="10"/>
  <c r="AA26" i="10"/>
  <c r="AI11" i="10"/>
  <c r="AI10" i="10"/>
  <c r="AA23" i="10" l="1"/>
  <c r="AB25" i="10"/>
  <c r="AA25" i="10"/>
  <c r="AC79" i="22" l="1"/>
  <c r="AC82" i="22" l="1"/>
  <c r="AC90" i="22"/>
  <c r="AC95" i="22"/>
  <c r="AC94" i="22"/>
  <c r="AC81" i="22"/>
  <c r="AC83" i="22"/>
  <c r="AC84" i="22"/>
  <c r="AC85" i="22"/>
  <c r="AC86" i="22"/>
  <c r="AC87" i="22"/>
  <c r="AC88" i="22"/>
  <c r="AC89" i="22"/>
  <c r="AC91" i="22"/>
  <c r="AC92" i="22"/>
  <c r="AC93" i="22"/>
  <c r="AC80" i="22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44" i="10"/>
  <c r="U29" i="10"/>
  <c r="U45" i="10"/>
  <c r="U30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44" i="10"/>
  <c r="AH11" i="10" s="1"/>
  <c r="M45" i="10"/>
  <c r="M30" i="10"/>
  <c r="M29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8" i="10"/>
  <c r="U24" i="10"/>
  <c r="U9" i="10"/>
  <c r="M24" i="10" l="1"/>
  <c r="M23" i="10"/>
  <c r="AH10" i="10" s="1"/>
  <c r="N24" i="31" l="1"/>
  <c r="M24" i="31" l="1"/>
  <c r="M25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L24" i="31"/>
  <c r="L25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K24" i="31"/>
  <c r="K25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J24" i="31"/>
  <c r="J25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I24" i="31"/>
  <c r="I25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H24" i="31"/>
  <c r="H25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G24" i="31"/>
  <c r="G25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F24" i="31"/>
  <c r="F25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E24" i="31"/>
  <c r="E25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D24" i="31"/>
  <c r="D25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C24" i="31"/>
  <c r="C25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B24" i="31"/>
  <c r="B25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N25" i="31"/>
  <c r="N18" i="31" l="1"/>
  <c r="M17" i="10"/>
  <c r="N20" i="31"/>
  <c r="M19" i="10"/>
  <c r="N16" i="31"/>
  <c r="M15" i="10"/>
  <c r="N14" i="31"/>
  <c r="M13" i="10"/>
  <c r="N13" i="31"/>
  <c r="M12" i="10"/>
  <c r="N23" i="31"/>
  <c r="M22" i="10"/>
  <c r="N22" i="31"/>
  <c r="M21" i="10"/>
  <c r="N21" i="31"/>
  <c r="M20" i="10"/>
  <c r="N19" i="31"/>
  <c r="M18" i="10"/>
  <c r="N17" i="31"/>
  <c r="M16" i="10"/>
  <c r="N12" i="31"/>
  <c r="M11" i="10"/>
  <c r="N15" i="31"/>
  <c r="M14" i="10"/>
  <c r="N11" i="31"/>
  <c r="M10" i="10"/>
  <c r="N10" i="31"/>
  <c r="M9" i="10"/>
  <c r="N9" i="31"/>
  <c r="M8" i="10"/>
  <c r="Q30" i="34" l="1"/>
  <c r="Q31" i="34"/>
  <c r="Q32" i="34"/>
  <c r="Q34" i="34"/>
  <c r="Q35" i="34"/>
  <c r="Q36" i="34"/>
  <c r="Q37" i="34"/>
  <c r="Q38" i="34"/>
  <c r="Q39" i="34"/>
  <c r="Q40" i="34"/>
  <c r="Q41" i="34"/>
  <c r="Q28" i="34" l="1"/>
  <c r="Q42" i="34" l="1"/>
  <c r="Q29" i="34" l="1"/>
  <c r="Q33" i="34"/>
  <c r="Q43" i="34"/>
  <c r="Q27" i="34" l="1"/>
  <c r="AC38" i="36" l="1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L14" i="36"/>
  <c r="AL38" i="36" s="1"/>
  <c r="AK14" i="36"/>
  <c r="AK38" i="36" s="1"/>
  <c r="AJ14" i="36"/>
  <c r="AJ38" i="36" s="1"/>
  <c r="AI14" i="36"/>
  <c r="AI38" i="36" s="1"/>
  <c r="AH14" i="36"/>
  <c r="AH38" i="36" s="1"/>
  <c r="AG14" i="36"/>
  <c r="AG38" i="36" s="1"/>
  <c r="AF14" i="36"/>
  <c r="AF38" i="36" s="1"/>
  <c r="AE14" i="36"/>
  <c r="AE38" i="36" s="1"/>
  <c r="AD14" i="36"/>
  <c r="AD38" i="36" s="1"/>
  <c r="AL13" i="36"/>
  <c r="AL37" i="36" s="1"/>
  <c r="AK13" i="36"/>
  <c r="AK37" i="36" s="1"/>
  <c r="AJ13" i="36"/>
  <c r="AJ37" i="36" s="1"/>
  <c r="AI13" i="36"/>
  <c r="AI37" i="36" s="1"/>
  <c r="AH13" i="36"/>
  <c r="AH37" i="36" s="1"/>
  <c r="AG13" i="36"/>
  <c r="AF13" i="36"/>
  <c r="AE13" i="36"/>
  <c r="AD13" i="36"/>
  <c r="AD37" i="36" s="1"/>
  <c r="AL12" i="36"/>
  <c r="AL36" i="36" s="1"/>
  <c r="AK12" i="36"/>
  <c r="AK36" i="36" s="1"/>
  <c r="AJ12" i="36"/>
  <c r="AI12" i="36"/>
  <c r="AH12" i="36"/>
  <c r="AG12" i="36"/>
  <c r="AF12" i="36"/>
  <c r="AE12" i="36"/>
  <c r="AD12" i="36"/>
  <c r="AD36" i="36" s="1"/>
  <c r="AL11" i="36"/>
  <c r="AL35" i="36" s="1"/>
  <c r="AK11" i="36"/>
  <c r="AK35" i="36" s="1"/>
  <c r="AJ11" i="36"/>
  <c r="AJ35" i="36" s="1"/>
  <c r="AI11" i="36"/>
  <c r="AI35" i="36" s="1"/>
  <c r="AH11" i="36"/>
  <c r="AH35" i="36" s="1"/>
  <c r="AG11" i="36"/>
  <c r="AG35" i="36" s="1"/>
  <c r="AF11" i="36"/>
  <c r="AF35" i="36" s="1"/>
  <c r="AE11" i="36"/>
  <c r="AD11" i="36"/>
  <c r="AD35" i="36" s="1"/>
  <c r="AL10" i="36"/>
  <c r="AL34" i="36" s="1"/>
  <c r="AK10" i="36"/>
  <c r="AK34" i="36" s="1"/>
  <c r="AJ10" i="36"/>
  <c r="AJ34" i="36" s="1"/>
  <c r="AI10" i="36"/>
  <c r="AI34" i="36" s="1"/>
  <c r="AH10" i="36"/>
  <c r="AG10" i="36"/>
  <c r="AF10" i="36"/>
  <c r="AE10" i="36"/>
  <c r="AD10" i="36"/>
  <c r="AD34" i="36" s="1"/>
  <c r="AL9" i="36"/>
  <c r="AL33" i="36" s="1"/>
  <c r="AK9" i="36"/>
  <c r="AJ9" i="36"/>
  <c r="AI9" i="36"/>
  <c r="AH9" i="36"/>
  <c r="AG9" i="36"/>
  <c r="AF9" i="36"/>
  <c r="AE9" i="36"/>
  <c r="AD9" i="36"/>
  <c r="AD33" i="36" s="1"/>
  <c r="AL8" i="36"/>
  <c r="AL32" i="36" s="1"/>
  <c r="AK8" i="36"/>
  <c r="AK32" i="36" s="1"/>
  <c r="AJ8" i="36"/>
  <c r="AJ32" i="36" s="1"/>
  <c r="AI8" i="36"/>
  <c r="AI32" i="36" s="1"/>
  <c r="AH8" i="36"/>
  <c r="AH32" i="36" s="1"/>
  <c r="AG8" i="36"/>
  <c r="AG32" i="36" s="1"/>
  <c r="AF8" i="36"/>
  <c r="AE8" i="36"/>
  <c r="AD8" i="36"/>
  <c r="AD32" i="36" s="1"/>
  <c r="AL7" i="36"/>
  <c r="AL31" i="36" s="1"/>
  <c r="AK7" i="36"/>
  <c r="AK31" i="36" s="1"/>
  <c r="AJ7" i="36"/>
  <c r="AJ31" i="36" s="1"/>
  <c r="AI7" i="36"/>
  <c r="AH7" i="36"/>
  <c r="AG7" i="36"/>
  <c r="AF7" i="36"/>
  <c r="AE7" i="36"/>
  <c r="AD7" i="36"/>
  <c r="AD31" i="36" s="1"/>
  <c r="AL6" i="36"/>
  <c r="AL30" i="36" s="1"/>
  <c r="AK6" i="36"/>
  <c r="AK30" i="36" s="1"/>
  <c r="AJ6" i="36"/>
  <c r="AJ30" i="36" s="1"/>
  <c r="AI6" i="36"/>
  <c r="AI30" i="36" s="1"/>
  <c r="AH6" i="36"/>
  <c r="AH30" i="36" s="1"/>
  <c r="AG6" i="36"/>
  <c r="AG30" i="36" s="1"/>
  <c r="AF6" i="36"/>
  <c r="AF30" i="36" s="1"/>
  <c r="AE6" i="36"/>
  <c r="AE30" i="36" s="1"/>
  <c r="AD6" i="36"/>
  <c r="AD30" i="36" s="1"/>
  <c r="AI24" i="36" l="1"/>
  <c r="AH21" i="36"/>
  <c r="AG22" i="36"/>
  <c r="AE24" i="36"/>
  <c r="AJ21" i="36"/>
  <c r="AG24" i="36"/>
  <c r="AF25" i="36"/>
  <c r="AI19" i="36"/>
  <c r="AG21" i="36"/>
  <c r="AF22" i="36"/>
  <c r="AE23" i="36"/>
  <c r="AE19" i="36"/>
  <c r="AK21" i="36"/>
  <c r="AH24" i="36"/>
  <c r="AG25" i="36"/>
  <c r="AE20" i="36"/>
  <c r="AG19" i="36"/>
  <c r="AJ24" i="36"/>
  <c r="AF19" i="36"/>
  <c r="AF20" i="36"/>
  <c r="AE21" i="36"/>
  <c r="AH19" i="36"/>
  <c r="AF21" i="36"/>
  <c r="AE22" i="36"/>
  <c r="AI21" i="36"/>
  <c r="AH22" i="36"/>
  <c r="AF24" i="36"/>
  <c r="AE25" i="36"/>
  <c r="AE18" i="36"/>
  <c r="AJ19" i="36"/>
  <c r="AG20" i="36"/>
  <c r="AD21" i="36"/>
  <c r="AL21" i="36"/>
  <c r="AI22" i="36"/>
  <c r="AF23" i="36"/>
  <c r="AK24" i="36"/>
  <c r="AH25" i="36"/>
  <c r="AE26" i="36"/>
  <c r="AE31" i="36"/>
  <c r="AE32" i="36"/>
  <c r="AE33" i="36"/>
  <c r="AE34" i="36"/>
  <c r="AE35" i="36"/>
  <c r="AE36" i="36"/>
  <c r="AE37" i="36"/>
  <c r="AF18" i="36"/>
  <c r="AK19" i="36"/>
  <c r="AH20" i="36"/>
  <c r="AJ22" i="36"/>
  <c r="AG23" i="36"/>
  <c r="AD24" i="36"/>
  <c r="AL24" i="36"/>
  <c r="AI25" i="36"/>
  <c r="AF26" i="36"/>
  <c r="AF31" i="36"/>
  <c r="AF32" i="36"/>
  <c r="AF33" i="36"/>
  <c r="AF34" i="36"/>
  <c r="AF36" i="36"/>
  <c r="AF37" i="36"/>
  <c r="AG18" i="36"/>
  <c r="AD19" i="36"/>
  <c r="AL19" i="36"/>
  <c r="AI20" i="36"/>
  <c r="AK22" i="36"/>
  <c r="AH23" i="36"/>
  <c r="AJ25" i="36"/>
  <c r="AG26" i="36"/>
  <c r="AG31" i="36"/>
  <c r="AG33" i="36"/>
  <c r="AG34" i="36"/>
  <c r="AG36" i="36"/>
  <c r="AG37" i="36"/>
  <c r="AH18" i="36"/>
  <c r="AJ20" i="36"/>
  <c r="AD22" i="36"/>
  <c r="AL22" i="36"/>
  <c r="AI23" i="36"/>
  <c r="AK25" i="36"/>
  <c r="AH26" i="36"/>
  <c r="AH31" i="36"/>
  <c r="AH33" i="36"/>
  <c r="AH34" i="36"/>
  <c r="AH36" i="36"/>
  <c r="AI18" i="36"/>
  <c r="AK20" i="36"/>
  <c r="AJ23" i="36"/>
  <c r="AD25" i="36"/>
  <c r="AL25" i="36"/>
  <c r="AI26" i="36"/>
  <c r="AI31" i="36"/>
  <c r="AI33" i="36"/>
  <c r="AI36" i="36"/>
  <c r="AJ18" i="36"/>
  <c r="AD20" i="36"/>
  <c r="AL20" i="36"/>
  <c r="AK23" i="36"/>
  <c r="AJ26" i="36"/>
  <c r="AJ33" i="36"/>
  <c r="AJ36" i="36"/>
  <c r="AK18" i="36"/>
  <c r="AD23" i="36"/>
  <c r="AL23" i="36"/>
  <c r="AK26" i="36"/>
  <c r="AK33" i="36"/>
  <c r="AD18" i="36"/>
  <c r="AL18" i="36"/>
  <c r="AD26" i="36"/>
  <c r="AL26" i="36"/>
  <c r="AA20" i="10" l="1"/>
  <c r="AA19" i="10"/>
  <c r="AA24" i="10"/>
  <c r="T10" i="10" l="1"/>
  <c r="T9" i="10"/>
  <c r="T14" i="10"/>
  <c r="T8" i="10"/>
  <c r="AG11" i="10" l="1"/>
  <c r="AG10" i="10"/>
  <c r="AB24" i="10"/>
  <c r="AB23" i="10"/>
  <c r="AB22" i="10"/>
  <c r="AB20" i="10"/>
  <c r="AB19" i="10"/>
  <c r="AB17" i="10"/>
  <c r="AA22" i="10"/>
  <c r="AA21" i="10"/>
  <c r="AA18" i="10"/>
  <c r="AA17" i="10"/>
  <c r="AE11" i="10" l="1"/>
  <c r="AF11" i="10"/>
  <c r="AE10" i="10"/>
  <c r="AF10" i="10"/>
  <c r="B44" i="10" l="1"/>
  <c r="B45" i="10" s="1"/>
  <c r="B30" i="10"/>
  <c r="B23" i="10" l="1"/>
  <c r="B24" i="10" s="1"/>
  <c r="B9" i="10"/>
  <c r="AD10" i="10" l="1"/>
  <c r="AD11" i="10"/>
  <c r="AC11" i="10"/>
  <c r="AB11" i="10"/>
  <c r="AA10" i="10"/>
  <c r="AB21" i="10" l="1"/>
  <c r="AB18" i="10"/>
  <c r="AA11" i="10"/>
  <c r="AC10" i="10"/>
  <c r="AB10" i="10"/>
</calcChain>
</file>

<file path=xl/sharedStrings.xml><?xml version="1.0" encoding="utf-8"?>
<sst xmlns="http://schemas.openxmlformats.org/spreadsheetml/2006/main" count="2058" uniqueCount="328">
  <si>
    <t>cCrWm</t>
  </si>
  <si>
    <t>cnUj</t>
  </si>
  <si>
    <t>Mar</t>
  </si>
  <si>
    <t>Jun</t>
  </si>
  <si>
    <t>Sep</t>
  </si>
  <si>
    <t>Dec</t>
  </si>
  <si>
    <t xml:space="preserve">  % urwvcnim ivurutia eruvcSwrwhwaIruk</t>
  </si>
  <si>
    <t>Major Groups</t>
  </si>
  <si>
    <t>Base weights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</si>
  <si>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</si>
  <si>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</si>
  <si>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</si>
  <si>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</si>
  <si>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</si>
  <si>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</si>
  <si>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</si>
  <si>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</si>
  <si>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</si>
  <si>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</si>
  <si>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</si>
  <si>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</si>
  <si>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</si>
  <si>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</si>
  <si>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</si>
  <si>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</si>
  <si>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</si>
  <si>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</si>
  <si>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</si>
  <si>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Jan - Dec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</si>
  <si>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</si>
  <si>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</si>
  <si>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</si>
  <si>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</si>
  <si>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</si>
  <si>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</si>
  <si>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</si>
  <si>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</si>
  <si>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</si>
  <si>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</si>
  <si>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</si>
  <si>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</si>
  <si>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</si>
  <si>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</si>
  <si>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</si>
  <si>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Major Groups - Male'</t>
  </si>
  <si>
    <t xml:space="preserve"> cSwa elWm - cawtiawb uDnwgiawm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</si>
  <si>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</si>
  <si>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</si>
  <si>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</si>
  <si>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</si>
  <si>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</si>
  <si>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</si>
  <si>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 xml:space="preserve"> cSwCcaekwt   WviawfWLwawDnwk  cnwdurwb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</si>
  <si>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</si>
  <si>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</si>
  <si>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</si>
  <si>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</si>
  <si>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</si>
  <si>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</si>
  <si>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</si>
  <si>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</si>
  <si>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</si>
  <si>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Including fish</t>
  </si>
  <si>
    <t>Excluding fish</t>
  </si>
  <si>
    <t>2012 - 2006 ,uDnwgcnim egugwa egurWzWb : 17.1 ulwvWt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</si>
  <si>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</si>
  <si>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</si>
  <si>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</si>
  <si>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</si>
  <si>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</si>
  <si>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</si>
  <si>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>ilukegEg</t>
  </si>
  <si>
    <t xml:space="preserve"> ilukegEg</t>
  </si>
  <si>
    <t xml:space="preserve">                                    ilukegEg</t>
  </si>
  <si>
    <t>ctwmcdiK iaWlwdum cnehinehea</t>
  </si>
  <si>
    <t xml:space="preserve">     ilukegEg</t>
  </si>
  <si>
    <t>Republic</t>
  </si>
  <si>
    <t>Major Groups - Republic</t>
  </si>
  <si>
    <t>Jan '11</t>
  </si>
  <si>
    <t>Jan '10</t>
  </si>
  <si>
    <t>Major Groups - Atolls</t>
  </si>
  <si>
    <t>na</t>
  </si>
  <si>
    <t xml:space="preserve"> cSwkwtuLotwa - cawtiawb uDnwgiawm</t>
  </si>
  <si>
    <t xml:space="preserve"> cSwkwtuLotwa</t>
  </si>
  <si>
    <t>Total inflation rates 2009-2012</t>
  </si>
  <si>
    <t>Note: The series for the Republic prior to June 2012 is linked to previously published series for Male'. Hence, CPI for Male' and Republic prior to June 2012 is the same.</t>
  </si>
  <si>
    <t>Period</t>
  </si>
  <si>
    <t>Atoll</t>
  </si>
  <si>
    <t>އަހަރު</t>
  </si>
  <si>
    <t>އަތޮޅުތައް</t>
  </si>
  <si>
    <t>na- Not Available</t>
  </si>
  <si>
    <t>Consumer Price Index (CPI)</t>
  </si>
  <si>
    <t>Iawa.Ip.Is</t>
  </si>
  <si>
    <t>Jan-Dec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</si>
  <si>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</si>
  <si>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</si>
  <si>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</si>
  <si>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</si>
  <si>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</si>
  <si>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</si>
  <si>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</si>
  <si>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</si>
  <si>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</si>
  <si>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މާލެ</t>
  </si>
  <si>
    <t>Note: The series for the Republic prior to June 2012 was linked to previously published series for Male’ and hence Male' and Republic have the same values prior to June 2012</t>
  </si>
  <si>
    <t xml:space="preserve">Prior to June 1996, the Housing, Water. Electricity,Gas and other fuels category includes only rent </t>
  </si>
  <si>
    <t>އަތޮޅުތަކަށް</t>
  </si>
  <si>
    <t>ރާއްޖެ</t>
  </si>
  <si>
    <t xml:space="preserve">Source:  National  Bureau of Statistics   </t>
  </si>
  <si>
    <t>މަޢުލޫމާތު ދެއްވި ފަރާތް: ނޭޝަނަލް ބިއުރޯ އޮފް ސްޓެޓިސްޓިކްސް</t>
  </si>
  <si>
    <t>Jan '12</t>
  </si>
  <si>
    <t>Jan '13</t>
  </si>
  <si>
    <t>Jan '14</t>
  </si>
  <si>
    <t>Jan '15</t>
  </si>
  <si>
    <t>Annual CPI</t>
  </si>
  <si>
    <t xml:space="preserve">iawa.Ip.Is </t>
  </si>
  <si>
    <r>
      <t xml:space="preserve">Producer Price Index    </t>
    </r>
    <r>
      <rPr>
        <b/>
        <sz val="11"/>
        <color rgb="FF000000"/>
        <rFont val="Calibri"/>
        <family val="2"/>
      </rPr>
      <t>Base period =2007| Price reference = October 2012</t>
    </r>
  </si>
  <si>
    <t>All Industries</t>
  </si>
  <si>
    <t>Fishing</t>
  </si>
  <si>
    <t>Manufacturing</t>
  </si>
  <si>
    <t xml:space="preserve">     Processing and preserving of fish and fish products</t>
  </si>
  <si>
    <t>Electricity, gas and water supply</t>
  </si>
  <si>
    <t>Hotels and restaurants</t>
  </si>
  <si>
    <t>Transport and telecommunications</t>
  </si>
  <si>
    <t xml:space="preserve">Health </t>
  </si>
  <si>
    <t>PPI - Percentage Change over previous month.</t>
  </si>
  <si>
    <t xml:space="preserve">   Processing and preserving of fish &amp; fish products</t>
  </si>
  <si>
    <t>PPI -Percentage Change-month on month</t>
  </si>
  <si>
    <t xml:space="preserve">    Processing and preserving of fish and fish products</t>
  </si>
  <si>
    <t>Source: National Bureau of Statistics</t>
  </si>
  <si>
    <t xml:space="preserve"> Base period =2007| Price reference = October 2012</t>
  </si>
  <si>
    <t>ތާވަލު 17.9:  ޕްރޮޑިއުސަރ ޕްރައިސް އިންޑެކްސް</t>
  </si>
  <si>
    <t>Table: 17.9: Producer Price Index</t>
  </si>
  <si>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</si>
  <si>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</si>
  <si>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</si>
  <si>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</si>
  <si>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</si>
  <si>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</si>
  <si>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</si>
  <si>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</si>
  <si>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</si>
  <si>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</si>
  <si>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</si>
  <si>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</si>
  <si>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</si>
  <si>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</si>
  <si>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</si>
  <si>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</si>
  <si>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</si>
  <si>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</si>
  <si>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</si>
  <si>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</si>
  <si>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</si>
  <si>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</si>
  <si>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</si>
  <si>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</si>
  <si>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</si>
  <si>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</si>
  <si>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</si>
  <si>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</si>
  <si>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</si>
  <si>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</si>
  <si>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</si>
  <si>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</si>
  <si>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</si>
  <si>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</si>
  <si>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</si>
  <si>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</si>
  <si>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</si>
  <si>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</si>
  <si>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</si>
  <si>
    <t xml:space="preserve"> </t>
  </si>
  <si>
    <t>Items</t>
  </si>
  <si>
    <t xml:space="preserve">Quantity </t>
  </si>
  <si>
    <t>(cnuhWh) cnwdurwb</t>
  </si>
  <si>
    <t>numbers (in '000)</t>
  </si>
  <si>
    <t>(cnuhWh)cnudwdwA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</si>
  <si>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</si>
  <si>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</si>
  <si>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</si>
  <si>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</si>
  <si>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</si>
  <si>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</si>
  <si>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</si>
  <si>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</si>
  <si>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</si>
  <si>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 xml:space="preserve">                 Maldives Customs Services</t>
  </si>
  <si>
    <t xml:space="preserve">cswsivWs cscmwTcswk cscviDclOm                 </t>
  </si>
  <si>
    <t>(cnuhWh) cnudwdwA</t>
  </si>
  <si>
    <t>Commodity</t>
  </si>
  <si>
    <t>މުދާ</t>
  </si>
  <si>
    <t>eTcpes</t>
  </si>
  <si>
    <t>cmesiD</t>
  </si>
  <si>
    <t>Petrol - MVR / ltr</t>
  </si>
  <si>
    <t>cniaWrifur caerwTIl clOrcTep</t>
  </si>
  <si>
    <t>Diesel - MVR / ltr</t>
  </si>
  <si>
    <t>cniaWrifur caerwTIl clwsID</t>
  </si>
  <si>
    <t>Rice - MVR / Kg</t>
  </si>
  <si>
    <r>
      <t>3.98</t>
    </r>
    <r>
      <rPr>
        <sz val="10"/>
        <rFont val="Calibri"/>
        <family val="2"/>
      </rPr>
      <t> </t>
    </r>
  </si>
  <si>
    <r>
      <t> </t>
    </r>
    <r>
      <rPr>
        <sz val="10"/>
        <rFont val="Calibri"/>
        <family val="2"/>
      </rPr>
      <t>3.98</t>
    </r>
  </si>
  <si>
    <t>cniaWyifur caeaOlik UDnwh</t>
  </si>
  <si>
    <t>Sugar - MVR / Kg</t>
  </si>
  <si>
    <r>
      <t>4.00</t>
    </r>
    <r>
      <rPr>
        <sz val="10"/>
        <rFont val="Calibri"/>
        <family val="2"/>
      </rPr>
      <t> </t>
    </r>
  </si>
  <si>
    <t>cniaWyifur caeaOlik urukwh</t>
  </si>
  <si>
    <t>Flour - MVR / Kg</t>
  </si>
  <si>
    <r>
      <t> </t>
    </r>
    <r>
      <rPr>
        <sz val="10"/>
        <rFont val="Calibri"/>
        <family val="2"/>
      </rPr>
      <t>2.98</t>
    </r>
  </si>
  <si>
    <r>
      <t>2.98</t>
    </r>
    <r>
      <rPr>
        <sz val="10"/>
        <rFont val="Calibri"/>
        <family val="2"/>
      </rPr>
      <t> </t>
    </r>
  </si>
  <si>
    <t>cniaWyifur caeaOlik cauf</t>
  </si>
  <si>
    <t>Source:  State Trading Organization</t>
  </si>
  <si>
    <t>cnwxEziawnwgoa gcniDErcT cTETcs :ctWrwfivcaed utWmUluAwm</t>
  </si>
  <si>
    <t>Petrol - Rf / ltr</t>
  </si>
  <si>
    <t>Month</t>
  </si>
  <si>
    <t>Diesel - Rf / ltr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</si>
  <si>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</si>
  <si>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</si>
  <si>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</si>
  <si>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</si>
  <si>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</si>
  <si>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</si>
  <si>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</si>
  <si>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</si>
  <si>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</si>
  <si>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</si>
  <si>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</si>
  <si>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</si>
  <si>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</si>
  <si>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</si>
  <si>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</si>
  <si>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</si>
  <si>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</si>
  <si>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</si>
  <si>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</si>
  <si>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</si>
  <si>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</si>
  <si>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</si>
  <si>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</si>
  <si>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</si>
  <si>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</si>
  <si>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</si>
  <si>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</si>
  <si>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</si>
  <si>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</si>
  <si>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</si>
  <si>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</si>
  <si>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</si>
  <si>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</si>
  <si>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</si>
  <si>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</si>
  <si>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</si>
  <si>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</si>
  <si>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</si>
  <si>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</si>
  <si>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</si>
  <si>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</si>
  <si>
    <t>Annual Inflation Rate (%)</t>
  </si>
  <si>
    <t xml:space="preserve"> (wtcawscnia) cTEr cnwxElcfcnia</t>
  </si>
  <si>
    <r>
      <t>Inflation rates</t>
    </r>
    <r>
      <rPr>
        <b/>
        <i/>
        <sz val="9"/>
        <rFont val="Calibri"/>
        <family val="2"/>
        <scheme val="minor"/>
      </rPr>
      <t xml:space="preserve"> (in percentage)</t>
    </r>
  </si>
  <si>
    <t>urwbcmeTcpes</t>
  </si>
  <si>
    <t>urwbOTckoa</t>
  </si>
  <si>
    <t>urwbcmevon</t>
  </si>
  <si>
    <t>urwbcmesiD</t>
  </si>
  <si>
    <t>Jan '16</t>
  </si>
  <si>
    <t xml:space="preserve"> cSwCcaekwt   WviawfWLwawDnwk  cnwdurub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</si>
  <si>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</si>
  <si>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</si>
  <si>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</si>
  <si>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</si>
  <si>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</si>
  <si>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</si>
  <si>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</si>
  <si>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</si>
  <si>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</si>
  <si>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</si>
  <si>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</si>
  <si>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</si>
  <si>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</si>
  <si>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</si>
  <si>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</si>
  <si>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</si>
  <si>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</si>
  <si>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</si>
  <si>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</si>
  <si>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</si>
  <si>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</si>
  <si>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</si>
  <si>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</si>
  <si>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</si>
  <si>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</si>
  <si>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</si>
  <si>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</si>
  <si>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2017 - 1985 ,uDnwgcnim egugwa egurWzWb : 17.1 ulwvWt</t>
  </si>
  <si>
    <t>Table 17.1: ALL GROUPS Consumer Price Index (TOTAL), 1985 - 2017</t>
  </si>
  <si>
    <t>Table 17.2 :   CPI GROUPS, REPUBLIC,  1985 - 2017</t>
  </si>
  <si>
    <t>2017 - 1985 ,cSwaejcaWr ,uDnwgcnim egugwa egurWzWb : 17.2 ulwvWt</t>
  </si>
  <si>
    <t>2017 - 1985 ,cSwaejcaWr ,cTEr cnwxElcfcnia : 17.3 ulwvWt</t>
  </si>
  <si>
    <t>Table 17.3 :  INFLATION RATES, REPUBLIC,  1985 - 2017</t>
  </si>
  <si>
    <t>Table 17.4 :   CPI GROUPS, by months,  Republic, 2016 - 2017</t>
  </si>
  <si>
    <t>2017 - 2016 ,cSwaejcaWr ,uDnwgcnim egugwa egurWzWb uhwmcswmikea : 17.4 ulwvWt</t>
  </si>
  <si>
    <t>Table 17.5 :  CONSUMER PRICE INDEX, 2010 - 2017</t>
  </si>
  <si>
    <t>2017 - 2010 ,uDnwgcnim egugwa egurWzWb : 17.5 ulwvWt</t>
  </si>
  <si>
    <t>Monthly CPI , 2017</t>
  </si>
  <si>
    <t xml:space="preserve"> 2017 ،iawa.Ip.Is eguhwmcswm</t>
  </si>
  <si>
    <t>2017 ,uDnwgcnim egugwa egurWzWb eguhwmcswmikea : 17.6 ulwvWt</t>
  </si>
  <si>
    <t>Table  17.6 : CONSUMER PRICE INDEX, FOR MALE' AND ATOLLS BY MONTH,  2017</t>
  </si>
  <si>
    <t>Monthly Inflation rates , 2017</t>
  </si>
  <si>
    <t>2017،cTEr  cnwxElcpcnia eguhwmcswm</t>
  </si>
  <si>
    <t>2016 - 2017</t>
  </si>
  <si>
    <t>2017 ,cTEr cnwxElcpcnia eguhwmcswmikea : 17.7 ulwvWt</t>
  </si>
  <si>
    <t>Table  17.7 :  MONTHLY INFLATION RATE, 2017</t>
  </si>
  <si>
    <t xml:space="preserve"> ތާވަލު 17.8: ވޭތުވެދިޔަ އަހަރުގެ މިމަހާއި އަޅާބަލާއިރު އިންފްލޭޝަން ރޭޓް 2017 </t>
  </si>
  <si>
    <t>Table  17.8 :  PERCENTAGE CHANGE  OF CONSUMER PRICE INDEX  FROM CORRESPONDING MONTH OF PREVIOUS YEAR ,  2017</t>
  </si>
  <si>
    <t>Month on Month Inflation rates , 2017</t>
  </si>
  <si>
    <t>2017 - 2014 ,cawtugwa egulwdum caeawb egurWzWb : 17.9 ulwvWt</t>
  </si>
  <si>
    <t>Table 17.9 :PRICES OF SELECTED COMMODITIES, 2014 - 2017</t>
  </si>
  <si>
    <t>Table 17.10 :  PRICE CHANGES IN FUEL OIL, 2010 - 2017</t>
  </si>
  <si>
    <t>ތާވަލު 17.10: ތެލުގެ އަގަށް އައިސްފައިވާ ބަދަލުތައް، 2010 - 2017</t>
  </si>
  <si>
    <t>2017+P7:P38</t>
  </si>
  <si>
    <t>Table  17.11 :   INDICES FOR SELECTED EXPORT ITEMS, 2004 - 2017</t>
  </si>
  <si>
    <t>2017 - 2004 ,cswsiDcnia egukwtctwvWb unuverukurEb cnEjcaWr : 17.11 ulwvWt</t>
  </si>
  <si>
    <t>2017 -2006 ,ugwa EhejcSwkwTinuy iaWgwawlcmuj ,iaWrwvcnim egukwtctwvWbcaeawb unuverukurEb cnEjcaWr : 17.12 ulwvWt</t>
  </si>
  <si>
    <t>Table 17.12 : QUANTITY, VALUE AND UNIT VALUES FOR SELECTED EXPORT ITEMS, 2006 - 2017</t>
  </si>
  <si>
    <t>2017 - 2015 ,ugwa egWsiaWf urEb  : 17.14 clwvWt</t>
  </si>
  <si>
    <t>Table 17.14 :  EXCHANGE RATES, 2015  - 2017</t>
  </si>
  <si>
    <t>Total national inflation rates 2007-2017</t>
  </si>
  <si>
    <t>ކުރީ އަހަރަށްވުރެ އިތުރުވި މިންވަރު، %</t>
  </si>
  <si>
    <t>Percentage change over previous year</t>
  </si>
  <si>
    <t>Jan '17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</si>
</sst>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8" formatCode="0.00_);[Red]\(0.00\)"/>
    <numFmt numFmtId="169" formatCode="0.00_)"/>
    <numFmt numFmtId="170" formatCode="_(* #,##0.0_);_(* \(#,##0.0\);_(* &quot;-&quot;??_);_(@_)"/>
    <numFmt numFmtId="171" formatCode="[$-409]mmm\-yy;@"/>
    <numFmt numFmtId="172" formatCode="0.000"/>
    <numFmt numFmtId="173" formatCode="#,##0.0"/>
    <numFmt numFmtId="174" formatCode="mmm"/>
    <numFmt numFmtId="175" formatCode="[$-409]d/mmm/yyyy;@"/>
    <numFmt numFmtId="176" formatCode="[$-409]d\-mmm\-yy;@"/>
    <numFmt numFmtId="177" formatCode="dd\.mm\.yyyy;@"/>
    <numFmt numFmtId="178" formatCode="#,##0.0000"/>
    <numFmt numFmtId="179" formatCode="0.0000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Courier"/>
      <family val="3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u/>
      <sz val="10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9"/>
      <name val="Farum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1849B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_Randhoo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Faruma"/>
    </font>
    <font>
      <b/>
      <sz val="11"/>
      <color theme="1"/>
      <name val="A_Randhoo"/>
    </font>
    <font>
      <b/>
      <sz val="12"/>
      <color theme="1"/>
      <name val="Faruma"/>
    </font>
    <font>
      <sz val="9"/>
      <color rgb="FFFF0000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Faruma"/>
    </font>
    <font>
      <sz val="10"/>
      <name val="A_Randhoo"/>
    </font>
    <font>
      <b/>
      <sz val="11"/>
      <name val="Calibri"/>
      <family val="2"/>
      <scheme val="minor"/>
    </font>
    <font>
      <b/>
      <sz val="11"/>
      <name val="A_Randhoo"/>
    </font>
    <font>
      <sz val="14"/>
      <name val="A_Utheem"/>
    </font>
    <font>
      <sz val="9"/>
      <name val="Win Ahamedey PRB"/>
      <family val="2"/>
    </font>
    <font>
      <sz val="9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sz val="10"/>
      <name val="Akuru-Bodu Bold"/>
      <family val="2"/>
      <charset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9"/>
      <name val="Times New Roman"/>
      <family val="1"/>
    </font>
    <font>
      <b/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B0F0"/>
      <name val="Arial"/>
      <family val="2"/>
    </font>
    <font>
      <sz val="10"/>
      <color indexed="56"/>
      <name val="Arial"/>
      <family val="2"/>
    </font>
    <font>
      <i/>
      <sz val="8"/>
      <name val="Calibri"/>
      <family val="2"/>
      <scheme val="minor"/>
    </font>
    <font>
      <sz val="8"/>
      <name val="A_Randhoo"/>
    </font>
    <font>
      <b/>
      <i/>
      <sz val="9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A_Reeth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833C0C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1" tint="4.9989318521683403E-2"/>
      </bottom>
      <diagonal/>
    </border>
    <border>
      <left/>
      <right style="medium">
        <color rgb="FFFFFFFF"/>
      </right>
      <top/>
      <bottom style="thin">
        <color theme="1" tint="4.9989318521683403E-2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6">
    <xf numFmtId="0" fontId="0" fillId="0" borderId="0"/>
    <xf numFmtId="0" fontId="2" fillId="0" borderId="0"/>
    <xf numFmtId="16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69" fontId="14" fillId="0" borderId="0"/>
    <xf numFmtId="0" fontId="2" fillId="0" borderId="0"/>
    <xf numFmtId="0" fontId="2" fillId="0" borderId="0"/>
    <xf numFmtId="167" fontId="4" fillId="0" borderId="0"/>
    <xf numFmtId="0" fontId="2" fillId="0" borderId="0"/>
    <xf numFmtId="167" fontId="4" fillId="0" borderId="0"/>
    <xf numFmtId="167" fontId="4" fillId="0" borderId="0"/>
    <xf numFmtId="9" fontId="1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164" fontId="4" fillId="0" borderId="0"/>
  </cellStyleXfs>
  <cellXfs count="688">
    <xf numFmtId="0" fontId="0" fillId="0" borderId="0" xfId="0"/>
    <xf numFmtId="167" fontId="9" fillId="2" borderId="0" xfId="10" applyFont="1" applyFill="1" applyBorder="1" applyAlignment="1">
      <alignment horizontal="right" vertical="center" wrapText="1"/>
    </xf>
    <xf numFmtId="167" fontId="11" fillId="2" borderId="0" xfId="10" applyFont="1" applyFill="1" applyAlignment="1">
      <alignment horizontal="right" vertical="center"/>
    </xf>
    <xf numFmtId="37" fontId="8" fillId="2" borderId="0" xfId="11" applyNumberFormat="1" applyFont="1" applyFill="1" applyBorder="1" applyAlignment="1" applyProtection="1">
      <alignment vertical="center"/>
    </xf>
    <xf numFmtId="0" fontId="0" fillId="2" borderId="0" xfId="0" applyFill="1"/>
    <xf numFmtId="167" fontId="6" fillId="2" borderId="0" xfId="11" applyFont="1" applyFill="1" applyAlignment="1">
      <alignment vertical="center"/>
    </xf>
    <xf numFmtId="167" fontId="9" fillId="2" borderId="0" xfId="11" applyFont="1" applyFill="1" applyAlignment="1">
      <alignment vertical="center" wrapText="1"/>
    </xf>
    <xf numFmtId="0" fontId="12" fillId="2" borderId="0" xfId="6" applyFont="1" applyFill="1"/>
    <xf numFmtId="167" fontId="17" fillId="2" borderId="0" xfId="11" applyFont="1" applyFill="1" applyBorder="1" applyAlignment="1" applyProtection="1">
      <alignment vertical="center"/>
    </xf>
    <xf numFmtId="0" fontId="0" fillId="2" borderId="0" xfId="0" applyFill="1" applyBorder="1"/>
    <xf numFmtId="0" fontId="31" fillId="2" borderId="0" xfId="0" applyFont="1" applyFill="1" applyBorder="1"/>
    <xf numFmtId="0" fontId="0" fillId="2" borderId="8" xfId="0" applyFill="1" applyBorder="1"/>
    <xf numFmtId="2" fontId="0" fillId="2" borderId="0" xfId="0" applyNumberFormat="1" applyFill="1"/>
    <xf numFmtId="0" fontId="29" fillId="2" borderId="12" xfId="0" applyFont="1" applyFill="1" applyBorder="1" applyAlignment="1">
      <alignment horizontal="right" vertical="center"/>
    </xf>
    <xf numFmtId="2" fontId="0" fillId="2" borderId="14" xfId="0" applyNumberFormat="1" applyFill="1" applyBorder="1" applyAlignment="1">
      <alignment horizontal="right"/>
    </xf>
    <xf numFmtId="0" fontId="27" fillId="2" borderId="0" xfId="6" applyFont="1" applyFill="1" applyBorder="1" applyAlignment="1">
      <alignment horizontal="center" vertical="center"/>
    </xf>
    <xf numFmtId="0" fontId="26" fillId="2" borderId="0" xfId="0" applyFont="1" applyFill="1"/>
    <xf numFmtId="0" fontId="29" fillId="2" borderId="10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18" fillId="2" borderId="1" xfId="6" applyFont="1" applyFill="1" applyBorder="1" applyAlignment="1">
      <alignment horizontal="left"/>
    </xf>
    <xf numFmtId="0" fontId="17" fillId="2" borderId="3" xfId="6" applyFont="1" applyFill="1" applyBorder="1" applyAlignment="1">
      <alignment vertical="center"/>
    </xf>
    <xf numFmtId="0" fontId="12" fillId="2" borderId="3" xfId="6" applyFont="1" applyFill="1" applyBorder="1"/>
    <xf numFmtId="167" fontId="9" fillId="2" borderId="3" xfId="10" applyFont="1" applyFill="1" applyBorder="1" applyAlignment="1">
      <alignment horizontal="right" vertical="center"/>
    </xf>
    <xf numFmtId="0" fontId="8" fillId="2" borderId="1" xfId="6" applyFont="1" applyFill="1" applyBorder="1" applyAlignment="1">
      <alignment horizontal="right"/>
    </xf>
    <xf numFmtId="0" fontId="17" fillId="2" borderId="2" xfId="6" applyNumberFormat="1" applyFont="1" applyFill="1" applyBorder="1" applyAlignment="1">
      <alignment horizontal="right" vertical="center"/>
    </xf>
    <xf numFmtId="167" fontId="20" fillId="2" borderId="0" xfId="8" applyFont="1" applyFill="1" applyAlignment="1">
      <alignment vertical="center" wrapText="1"/>
    </xf>
    <xf numFmtId="166" fontId="20" fillId="2" borderId="0" xfId="7" applyNumberFormat="1" applyFont="1" applyFill="1" applyBorder="1" applyAlignment="1">
      <alignment horizontal="right" vertical="center"/>
    </xf>
    <xf numFmtId="166" fontId="20" fillId="2" borderId="0" xfId="6" applyNumberFormat="1" applyFont="1" applyFill="1" applyBorder="1" applyAlignment="1">
      <alignment horizontal="right" vertical="center"/>
    </xf>
    <xf numFmtId="166" fontId="20" fillId="2" borderId="0" xfId="6" applyNumberFormat="1" applyFont="1" applyFill="1" applyAlignment="1">
      <alignment horizontal="right" vertical="center"/>
    </xf>
    <xf numFmtId="166" fontId="20" fillId="2" borderId="0" xfId="8" applyNumberFormat="1" applyFont="1" applyFill="1" applyBorder="1" applyAlignment="1">
      <alignment horizontal="right" vertical="center"/>
    </xf>
    <xf numFmtId="0" fontId="12" fillId="2" borderId="0" xfId="6" applyFont="1" applyFill="1" applyAlignment="1">
      <alignment vertical="center"/>
    </xf>
    <xf numFmtId="167" fontId="20" fillId="2" borderId="0" xfId="8" applyFont="1" applyFill="1" applyAlignment="1">
      <alignment vertical="center"/>
    </xf>
    <xf numFmtId="167" fontId="11" fillId="2" borderId="0" xfId="10" applyFont="1" applyFill="1" applyAlignment="1">
      <alignment horizontal="right" vertical="center" indent="1"/>
    </xf>
    <xf numFmtId="0" fontId="20" fillId="2" borderId="0" xfId="7" applyFont="1" applyFill="1" applyAlignment="1">
      <alignment vertical="center"/>
    </xf>
    <xf numFmtId="167" fontId="20" fillId="2" borderId="0" xfId="8" applyFont="1" applyFill="1" applyBorder="1" applyAlignment="1">
      <alignment vertical="center" wrapText="1"/>
    </xf>
    <xf numFmtId="167" fontId="11" fillId="2" borderId="0" xfId="11" applyFont="1" applyFill="1" applyAlignment="1">
      <alignment horizontal="right" vertical="center"/>
    </xf>
    <xf numFmtId="167" fontId="21" fillId="2" borderId="0" xfId="8" applyFont="1" applyFill="1" applyBorder="1" applyAlignment="1">
      <alignment vertical="center"/>
    </xf>
    <xf numFmtId="166" fontId="21" fillId="2" borderId="0" xfId="7" applyNumberFormat="1" applyFont="1" applyFill="1" applyBorder="1" applyAlignment="1">
      <alignment horizontal="right" vertical="center"/>
    </xf>
    <xf numFmtId="166" fontId="21" fillId="2" borderId="0" xfId="6" applyNumberFormat="1" applyFont="1" applyFill="1" applyBorder="1" applyAlignment="1">
      <alignment horizontal="right" vertical="center"/>
    </xf>
    <xf numFmtId="166" fontId="21" fillId="2" borderId="0" xfId="8" applyNumberFormat="1" applyFont="1" applyFill="1" applyBorder="1" applyAlignment="1">
      <alignment horizontal="right" vertical="center"/>
    </xf>
    <xf numFmtId="167" fontId="9" fillId="2" borderId="0" xfId="10" applyFont="1" applyFill="1" applyBorder="1" applyAlignment="1">
      <alignment horizontal="right" vertical="center"/>
    </xf>
    <xf numFmtId="0" fontId="7" fillId="2" borderId="0" xfId="6" applyFont="1" applyFill="1" applyAlignment="1">
      <alignment vertical="center"/>
    </xf>
    <xf numFmtId="167" fontId="21" fillId="2" borderId="2" xfId="8" applyFont="1" applyFill="1" applyBorder="1" applyAlignment="1">
      <alignment vertical="center"/>
    </xf>
    <xf numFmtId="166" fontId="21" fillId="2" borderId="2" xfId="8" applyNumberFormat="1" applyFont="1" applyFill="1" applyBorder="1" applyAlignment="1">
      <alignment horizontal="right" vertical="center"/>
    </xf>
    <xf numFmtId="167" fontId="9" fillId="2" borderId="2" xfId="11" applyFont="1" applyFill="1" applyBorder="1" applyAlignment="1">
      <alignment horizontal="right" vertical="center"/>
    </xf>
    <xf numFmtId="0" fontId="12" fillId="2" borderId="0" xfId="6" applyFont="1" applyFill="1" applyBorder="1" applyAlignment="1">
      <alignment vertical="center"/>
    </xf>
    <xf numFmtId="0" fontId="32" fillId="2" borderId="0" xfId="0" applyFont="1" applyFill="1"/>
    <xf numFmtId="0" fontId="3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36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17" fillId="2" borderId="2" xfId="6" applyFont="1" applyFill="1" applyBorder="1" applyAlignment="1">
      <alignment horizontal="right" vertical="center"/>
    </xf>
    <xf numFmtId="17" fontId="17" fillId="2" borderId="2" xfId="6" applyNumberFormat="1" applyFont="1" applyFill="1" applyBorder="1" applyAlignment="1">
      <alignment horizontal="right" vertical="center"/>
    </xf>
    <xf numFmtId="0" fontId="15" fillId="2" borderId="2" xfId="6" applyFont="1" applyFill="1" applyBorder="1" applyAlignment="1">
      <alignment horizontal="right" vertical="center"/>
    </xf>
    <xf numFmtId="0" fontId="36" fillId="2" borderId="0" xfId="0" applyFont="1" applyFill="1" applyAlignment="1">
      <alignment vertical="center"/>
    </xf>
    <xf numFmtId="167" fontId="17" fillId="2" borderId="0" xfId="10" applyFont="1" applyFill="1" applyAlignment="1" applyProtection="1">
      <alignment vertical="center"/>
    </xf>
    <xf numFmtId="0" fontId="17" fillId="2" borderId="1" xfId="6" applyFont="1" applyFill="1" applyBorder="1" applyAlignment="1">
      <alignment vertical="center"/>
    </xf>
    <xf numFmtId="0" fontId="17" fillId="2" borderId="1" xfId="6" applyFont="1" applyFill="1" applyBorder="1" applyAlignment="1">
      <alignment horizontal="right" vertical="center"/>
    </xf>
    <xf numFmtId="0" fontId="10" fillId="2" borderId="1" xfId="6" applyFont="1" applyFill="1" applyBorder="1" applyAlignment="1">
      <alignment vertical="center"/>
    </xf>
    <xf numFmtId="0" fontId="10" fillId="2" borderId="0" xfId="6" applyFont="1" applyFill="1" applyAlignment="1">
      <alignment vertical="center"/>
    </xf>
    <xf numFmtId="0" fontId="10" fillId="2" borderId="3" xfId="6" applyFont="1" applyFill="1" applyBorder="1" applyAlignment="1">
      <alignment vertical="center"/>
    </xf>
    <xf numFmtId="167" fontId="9" fillId="2" borderId="3" xfId="10" applyFont="1" applyFill="1" applyBorder="1" applyAlignment="1">
      <alignment horizontal="right" vertical="center" wrapText="1"/>
    </xf>
    <xf numFmtId="0" fontId="8" fillId="2" borderId="0" xfId="6" applyFont="1" applyFill="1" applyAlignment="1">
      <alignment vertical="center"/>
    </xf>
    <xf numFmtId="0" fontId="8" fillId="2" borderId="0" xfId="6" applyFont="1" applyFill="1" applyAlignment="1">
      <alignment horizontal="right" vertical="center"/>
    </xf>
    <xf numFmtId="0" fontId="17" fillId="2" borderId="0" xfId="6" applyFont="1" applyFill="1" applyBorder="1" applyAlignment="1">
      <alignment horizontal="left" vertical="center"/>
    </xf>
    <xf numFmtId="167" fontId="9" fillId="2" borderId="4" xfId="10" applyFont="1" applyFill="1" applyBorder="1" applyAlignment="1">
      <alignment horizontal="right" vertical="center" wrapText="1"/>
    </xf>
    <xf numFmtId="0" fontId="17" fillId="2" borderId="2" xfId="6" applyFont="1" applyFill="1" applyBorder="1" applyAlignment="1">
      <alignment horizontal="left"/>
    </xf>
    <xf numFmtId="0" fontId="8" fillId="2" borderId="2" xfId="6" applyFont="1" applyFill="1" applyBorder="1" applyAlignment="1">
      <alignment vertical="center"/>
    </xf>
    <xf numFmtId="0" fontId="11" fillId="2" borderId="2" xfId="6" applyFont="1" applyFill="1" applyBorder="1" applyAlignment="1">
      <alignment vertical="center"/>
    </xf>
    <xf numFmtId="0" fontId="8" fillId="2" borderId="0" xfId="6" applyFont="1" applyFill="1" applyBorder="1" applyAlignment="1">
      <alignment vertical="center"/>
    </xf>
    <xf numFmtId="0" fontId="20" fillId="2" borderId="0" xfId="6" applyFont="1" applyFill="1" applyAlignment="1">
      <alignment vertical="center"/>
    </xf>
    <xf numFmtId="167" fontId="11" fillId="2" borderId="0" xfId="10" applyFont="1" applyFill="1" applyAlignment="1">
      <alignment horizontal="center" vertical="center"/>
    </xf>
    <xf numFmtId="0" fontId="10" fillId="2" borderId="0" xfId="6" applyFont="1" applyFill="1" applyAlignment="1">
      <alignment horizontal="right" vertical="center"/>
    </xf>
    <xf numFmtId="166" fontId="21" fillId="2" borderId="2" xfId="6" applyNumberFormat="1" applyFont="1" applyFill="1" applyBorder="1" applyAlignment="1">
      <alignment horizontal="right" vertical="center"/>
    </xf>
    <xf numFmtId="166" fontId="21" fillId="2" borderId="0" xfId="6" applyNumberFormat="1" applyFont="1" applyFill="1" applyBorder="1" applyAlignment="1">
      <alignment horizontal="left" vertical="center"/>
    </xf>
    <xf numFmtId="167" fontId="9" fillId="2" borderId="0" xfId="11" applyFont="1" applyFill="1" applyBorder="1" applyAlignment="1">
      <alignment horizontal="right" vertical="center"/>
    </xf>
    <xf numFmtId="0" fontId="18" fillId="2" borderId="0" xfId="6" applyFont="1" applyFill="1" applyAlignment="1">
      <alignment vertical="center"/>
    </xf>
    <xf numFmtId="0" fontId="11" fillId="2" borderId="0" xfId="6" applyFont="1" applyFill="1" applyAlignment="1">
      <alignment vertical="center"/>
    </xf>
    <xf numFmtId="0" fontId="10" fillId="2" borderId="1" xfId="6" applyFont="1" applyFill="1" applyBorder="1" applyAlignment="1">
      <alignment horizontal="right" vertical="center"/>
    </xf>
    <xf numFmtId="0" fontId="17" fillId="2" borderId="2" xfId="6" applyFont="1" applyFill="1" applyBorder="1" applyAlignment="1">
      <alignment horizontal="left" vertical="center"/>
    </xf>
    <xf numFmtId="0" fontId="21" fillId="2" borderId="0" xfId="7" applyFont="1" applyFill="1" applyAlignment="1">
      <alignment vertical="center"/>
    </xf>
    <xf numFmtId="166" fontId="12" fillId="2" borderId="0" xfId="6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20" fillId="2" borderId="0" xfId="0" applyFont="1" applyFill="1" applyAlignment="1">
      <alignment vertical="center"/>
    </xf>
    <xf numFmtId="0" fontId="31" fillId="2" borderId="16" xfId="0" applyFont="1" applyFill="1" applyBorder="1"/>
    <xf numFmtId="0" fontId="0" fillId="2" borderId="16" xfId="0" applyFill="1" applyBorder="1"/>
    <xf numFmtId="0" fontId="26" fillId="2" borderId="0" xfId="0" applyFont="1" applyFill="1" applyBorder="1"/>
    <xf numFmtId="0" fontId="30" fillId="2" borderId="18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right" vertical="center"/>
    </xf>
    <xf numFmtId="0" fontId="0" fillId="2" borderId="18" xfId="0" applyFill="1" applyBorder="1"/>
    <xf numFmtId="0" fontId="0" fillId="2" borderId="19" xfId="0" applyFill="1" applyBorder="1"/>
    <xf numFmtId="0" fontId="37" fillId="2" borderId="0" xfId="0" applyFont="1" applyFill="1"/>
    <xf numFmtId="0" fontId="38" fillId="2" borderId="0" xfId="0" applyFont="1" applyFill="1"/>
    <xf numFmtId="0" fontId="37" fillId="2" borderId="0" xfId="6" applyFont="1" applyFill="1"/>
    <xf numFmtId="166" fontId="29" fillId="2" borderId="11" xfId="0" applyNumberFormat="1" applyFont="1" applyFill="1" applyBorder="1" applyAlignment="1">
      <alignment horizontal="right" vertical="center"/>
    </xf>
    <xf numFmtId="166" fontId="29" fillId="2" borderId="12" xfId="0" applyNumberFormat="1" applyFont="1" applyFill="1" applyBorder="1" applyAlignment="1">
      <alignment horizontal="right" vertical="center"/>
    </xf>
    <xf numFmtId="167" fontId="40" fillId="2" borderId="0" xfId="10" applyFont="1" applyFill="1" applyAlignment="1">
      <alignment vertical="center"/>
    </xf>
    <xf numFmtId="167" fontId="41" fillId="2" borderId="0" xfId="10" applyFont="1" applyFill="1" applyAlignment="1">
      <alignment vertical="center"/>
    </xf>
    <xf numFmtId="167" fontId="22" fillId="2" borderId="0" xfId="10" applyFont="1" applyFill="1" applyAlignment="1" applyProtection="1">
      <alignment vertical="center"/>
    </xf>
    <xf numFmtId="167" fontId="22" fillId="2" borderId="0" xfId="10" applyFont="1" applyFill="1" applyAlignment="1">
      <alignment vertical="center"/>
    </xf>
    <xf numFmtId="167" fontId="41" fillId="2" borderId="0" xfId="10" applyFont="1" applyFill="1" applyBorder="1" applyAlignment="1">
      <alignment vertical="center"/>
    </xf>
    <xf numFmtId="167" fontId="42" fillId="2" borderId="0" xfId="10" applyFont="1" applyFill="1" applyBorder="1" applyAlignment="1">
      <alignment vertical="center"/>
    </xf>
    <xf numFmtId="167" fontId="42" fillId="2" borderId="0" xfId="10" applyFont="1" applyFill="1" applyAlignment="1">
      <alignment vertical="center"/>
    </xf>
    <xf numFmtId="167" fontId="21" fillId="2" borderId="20" xfId="8" applyFont="1" applyFill="1" applyBorder="1" applyAlignment="1">
      <alignment vertical="center"/>
    </xf>
    <xf numFmtId="166" fontId="21" fillId="2" borderId="20" xfId="8" applyNumberFormat="1" applyFont="1" applyFill="1" applyBorder="1" applyAlignment="1">
      <alignment horizontal="right" vertical="center"/>
    </xf>
    <xf numFmtId="167" fontId="9" fillId="2" borderId="20" xfId="11" applyFont="1" applyFill="1" applyBorder="1" applyAlignment="1">
      <alignment horizontal="right" vertical="center"/>
    </xf>
    <xf numFmtId="0" fontId="8" fillId="2" borderId="1" xfId="6" applyFont="1" applyFill="1" applyBorder="1" applyAlignment="1">
      <alignment vertical="center"/>
    </xf>
    <xf numFmtId="167" fontId="9" fillId="2" borderId="1" xfId="10" applyFont="1" applyFill="1" applyBorder="1" applyAlignment="1">
      <alignment horizontal="right" vertical="center"/>
    </xf>
    <xf numFmtId="0" fontId="29" fillId="2" borderId="11" xfId="0" applyFont="1" applyFill="1" applyBorder="1" applyAlignment="1">
      <alignment horizontal="right" vertical="center"/>
    </xf>
    <xf numFmtId="2" fontId="0" fillId="2" borderId="0" xfId="0" applyNumberFormat="1" applyFill="1" applyBorder="1"/>
    <xf numFmtId="166" fontId="8" fillId="2" borderId="0" xfId="6" applyNumberFormat="1" applyFont="1" applyFill="1" applyAlignment="1">
      <alignment vertical="center"/>
    </xf>
    <xf numFmtId="167" fontId="9" fillId="2" borderId="0" xfId="10" applyFont="1" applyFill="1" applyAlignment="1">
      <alignment horizontal="center" vertical="center"/>
    </xf>
    <xf numFmtId="0" fontId="21" fillId="2" borderId="0" xfId="6" applyFont="1" applyFill="1" applyBorder="1" applyAlignment="1">
      <alignment horizontal="left" vertical="center"/>
    </xf>
    <xf numFmtId="0" fontId="13" fillId="2" borderId="0" xfId="6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right"/>
    </xf>
    <xf numFmtId="0" fontId="26" fillId="2" borderId="8" xfId="0" applyFont="1" applyFill="1" applyBorder="1" applyAlignment="1">
      <alignment horizontal="right"/>
    </xf>
    <xf numFmtId="0" fontId="0" fillId="2" borderId="5" xfId="0" applyFill="1" applyBorder="1"/>
    <xf numFmtId="167" fontId="7" fillId="2" borderId="0" xfId="11" applyFont="1" applyFill="1" applyAlignment="1" applyProtection="1">
      <alignment vertical="center"/>
    </xf>
    <xf numFmtId="0" fontId="22" fillId="2" borderId="9" xfId="6" applyFont="1" applyFill="1" applyBorder="1" applyAlignment="1">
      <alignment horizontal="right" vertical="center"/>
    </xf>
    <xf numFmtId="0" fontId="22" fillId="2" borderId="2" xfId="6" applyFont="1" applyFill="1" applyBorder="1" applyAlignment="1">
      <alignment horizontal="right" vertical="center"/>
    </xf>
    <xf numFmtId="166" fontId="20" fillId="2" borderId="0" xfId="7" applyNumberFormat="1" applyFont="1" applyFill="1" applyAlignment="1">
      <alignment horizontal="center" vertical="center"/>
    </xf>
    <xf numFmtId="0" fontId="2" fillId="2" borderId="0" xfId="6" applyFont="1" applyFill="1" applyAlignment="1">
      <alignment vertical="center"/>
    </xf>
    <xf numFmtId="166" fontId="20" fillId="2" borderId="8" xfId="8" applyNumberFormat="1" applyFont="1" applyFill="1" applyBorder="1" applyAlignment="1">
      <alignment horizontal="right" vertical="center"/>
    </xf>
    <xf numFmtId="170" fontId="12" fillId="2" borderId="0" xfId="6" applyNumberFormat="1" applyFont="1" applyFill="1" applyAlignment="1">
      <alignment vertical="center"/>
    </xf>
    <xf numFmtId="167" fontId="11" fillId="2" borderId="0" xfId="10" applyFont="1" applyFill="1" applyAlignment="1">
      <alignment horizontal="right" vertical="center" wrapText="1"/>
    </xf>
    <xf numFmtId="166" fontId="21" fillId="2" borderId="0" xfId="8" applyNumberFormat="1" applyFont="1" applyFill="1" applyBorder="1" applyAlignment="1">
      <alignment horizontal="center" vertical="center"/>
    </xf>
    <xf numFmtId="166" fontId="7" fillId="2" borderId="0" xfId="6" applyNumberFormat="1" applyFont="1" applyFill="1" applyAlignment="1">
      <alignment vertical="center"/>
    </xf>
    <xf numFmtId="166" fontId="21" fillId="2" borderId="2" xfId="8" applyNumberFormat="1" applyFont="1" applyFill="1" applyBorder="1" applyAlignment="1">
      <alignment horizontal="center" vertical="center"/>
    </xf>
    <xf numFmtId="3" fontId="20" fillId="2" borderId="0" xfId="9" applyNumberFormat="1" applyFont="1" applyFill="1" applyAlignment="1" applyProtection="1">
      <alignment horizontal="left" vertical="center"/>
    </xf>
    <xf numFmtId="3" fontId="10" fillId="2" borderId="0" xfId="9" applyNumberFormat="1" applyFont="1" applyFill="1" applyAlignment="1" applyProtection="1">
      <alignment horizontal="center" vertical="center"/>
    </xf>
    <xf numFmtId="3" fontId="11" fillId="2" borderId="0" xfId="9" applyNumberFormat="1" applyFont="1" applyFill="1" applyAlignment="1" applyProtection="1">
      <alignment horizontal="right" vertical="center"/>
    </xf>
    <xf numFmtId="3" fontId="10" fillId="2" borderId="0" xfId="9" applyNumberFormat="1" applyFont="1" applyFill="1" applyBorder="1" applyAlignment="1" applyProtection="1">
      <alignment horizontal="center" vertical="center"/>
    </xf>
    <xf numFmtId="3" fontId="8" fillId="2" borderId="0" xfId="9" applyNumberFormat="1" applyFont="1" applyFill="1"/>
    <xf numFmtId="3" fontId="16" fillId="2" borderId="0" xfId="4" applyNumberFormat="1" applyFont="1" applyFill="1" applyAlignment="1" applyProtection="1"/>
    <xf numFmtId="0" fontId="8" fillId="2" borderId="1" xfId="6" applyFont="1" applyFill="1" applyBorder="1"/>
    <xf numFmtId="0" fontId="10" fillId="2" borderId="0" xfId="6" applyFont="1" applyFill="1" applyBorder="1"/>
    <xf numFmtId="0" fontId="21" fillId="2" borderId="2" xfId="6" applyFont="1" applyFill="1" applyBorder="1" applyAlignment="1">
      <alignment horizontal="left" vertical="top"/>
    </xf>
    <xf numFmtId="0" fontId="21" fillId="2" borderId="2" xfId="6" applyFont="1" applyFill="1" applyBorder="1" applyAlignment="1">
      <alignment horizontal="center" vertical="top"/>
    </xf>
    <xf numFmtId="0" fontId="21" fillId="2" borderId="2" xfId="6" applyFont="1" applyFill="1" applyBorder="1" applyAlignment="1">
      <alignment horizontal="right" vertical="top"/>
    </xf>
    <xf numFmtId="0" fontId="21" fillId="2" borderId="2" xfId="6" applyFont="1" applyFill="1" applyBorder="1" applyAlignment="1">
      <alignment horizontal="right" vertical="center"/>
    </xf>
    <xf numFmtId="2" fontId="8" fillId="2" borderId="0" xfId="6" applyNumberFormat="1" applyFont="1" applyFill="1" applyAlignment="1">
      <alignment vertical="center"/>
    </xf>
    <xf numFmtId="2" fontId="8" fillId="2" borderId="1" xfId="6" applyNumberFormat="1" applyFont="1" applyFill="1" applyBorder="1" applyAlignment="1">
      <alignment vertical="center"/>
    </xf>
    <xf numFmtId="168" fontId="10" fillId="2" borderId="0" xfId="8" applyNumberFormat="1" applyFont="1" applyFill="1" applyAlignment="1">
      <alignment vertical="center"/>
    </xf>
    <xf numFmtId="168" fontId="8" fillId="2" borderId="0" xfId="6" applyNumberFormat="1" applyFont="1" applyFill="1" applyBorder="1" applyAlignment="1">
      <alignment vertical="center"/>
    </xf>
    <xf numFmtId="2" fontId="8" fillId="2" borderId="0" xfId="6" applyNumberFormat="1" applyFont="1" applyFill="1" applyBorder="1" applyAlignment="1">
      <alignment vertical="center"/>
    </xf>
    <xf numFmtId="0" fontId="8" fillId="2" borderId="0" xfId="6" applyFont="1" applyFill="1"/>
    <xf numFmtId="166" fontId="20" fillId="2" borderId="0" xfId="7" applyNumberFormat="1" applyFont="1" applyFill="1" applyBorder="1" applyAlignment="1">
      <alignment horizontal="center" vertical="center"/>
    </xf>
    <xf numFmtId="168" fontId="8" fillId="2" borderId="0" xfId="6" applyNumberFormat="1" applyFont="1" applyFill="1" applyAlignment="1">
      <alignment vertical="center"/>
    </xf>
    <xf numFmtId="166" fontId="21" fillId="2" borderId="0" xfId="7" applyNumberFormat="1" applyFont="1" applyFill="1" applyBorder="1" applyAlignment="1">
      <alignment horizontal="center" vertical="center"/>
    </xf>
    <xf numFmtId="2" fontId="10" fillId="2" borderId="0" xfId="6" applyNumberFormat="1" applyFont="1" applyFill="1" applyAlignment="1">
      <alignment vertical="center"/>
    </xf>
    <xf numFmtId="2" fontId="10" fillId="2" borderId="0" xfId="6" applyNumberFormat="1" applyFont="1" applyFill="1" applyBorder="1" applyAlignment="1">
      <alignment vertical="center"/>
    </xf>
    <xf numFmtId="168" fontId="10" fillId="2" borderId="0" xfId="6" applyNumberFormat="1" applyFont="1" applyFill="1" applyAlignment="1">
      <alignment vertical="center"/>
    </xf>
    <xf numFmtId="0" fontId="12" fillId="2" borderId="0" xfId="6" applyFont="1" applyFill="1" applyBorder="1"/>
    <xf numFmtId="168" fontId="10" fillId="2" borderId="0" xfId="8" applyNumberFormat="1" applyFont="1" applyFill="1" applyBorder="1" applyAlignment="1">
      <alignment vertical="center"/>
    </xf>
    <xf numFmtId="0" fontId="10" fillId="2" borderId="0" xfId="6" applyFont="1" applyFill="1" applyBorder="1" applyAlignment="1">
      <alignment vertical="center"/>
    </xf>
    <xf numFmtId="168" fontId="10" fillId="2" borderId="0" xfId="6" applyNumberFormat="1" applyFont="1" applyFill="1" applyBorder="1" applyAlignment="1">
      <alignment vertical="center"/>
    </xf>
    <xf numFmtId="167" fontId="25" fillId="2" borderId="0" xfId="8" applyFont="1" applyFill="1" applyBorder="1" applyAlignment="1">
      <alignment horizontal="left" vertical="center" indent="1"/>
    </xf>
    <xf numFmtId="0" fontId="12" fillId="2" borderId="0" xfId="6" applyFont="1" applyFill="1" applyAlignment="1">
      <alignment horizontal="center"/>
    </xf>
    <xf numFmtId="0" fontId="12" fillId="2" borderId="1" xfId="6" applyFont="1" applyFill="1" applyBorder="1"/>
    <xf numFmtId="0" fontId="13" fillId="2" borderId="0" xfId="6" applyNumberFormat="1" applyFont="1" applyFill="1" applyBorder="1" applyAlignment="1">
      <alignment horizontal="right" vertical="center"/>
    </xf>
    <xf numFmtId="0" fontId="17" fillId="2" borderId="2" xfId="6" applyFont="1" applyFill="1" applyBorder="1" applyAlignment="1">
      <alignment horizontal="left" vertical="top"/>
    </xf>
    <xf numFmtId="0" fontId="17" fillId="2" borderId="2" xfId="6" applyFont="1" applyFill="1" applyBorder="1" applyAlignment="1">
      <alignment horizontal="center" vertical="top"/>
    </xf>
    <xf numFmtId="0" fontId="17" fillId="2" borderId="2" xfId="6" applyFont="1" applyFill="1" applyBorder="1" applyAlignment="1">
      <alignment horizontal="right" vertical="top"/>
    </xf>
    <xf numFmtId="167" fontId="18" fillId="2" borderId="0" xfId="8" applyFont="1" applyFill="1" applyAlignment="1">
      <alignment vertical="center" wrapText="1"/>
    </xf>
    <xf numFmtId="166" fontId="18" fillId="2" borderId="0" xfId="7" applyNumberFormat="1" applyFont="1" applyFill="1" applyAlignment="1">
      <alignment horizontal="center" vertical="center"/>
    </xf>
    <xf numFmtId="166" fontId="18" fillId="2" borderId="0" xfId="7" applyNumberFormat="1" applyFont="1" applyFill="1" applyBorder="1" applyAlignment="1">
      <alignment horizontal="right" vertical="center"/>
    </xf>
    <xf numFmtId="166" fontId="18" fillId="2" borderId="0" xfId="6" applyNumberFormat="1" applyFont="1" applyFill="1" applyBorder="1" applyAlignment="1">
      <alignment horizontal="right" vertical="center"/>
    </xf>
    <xf numFmtId="166" fontId="18" fillId="2" borderId="0" xfId="8" applyNumberFormat="1" applyFont="1" applyFill="1" applyBorder="1" applyAlignment="1">
      <alignment horizontal="right" vertical="center"/>
    </xf>
    <xf numFmtId="167" fontId="18" fillId="2" borderId="0" xfId="8" applyFont="1" applyFill="1" applyAlignment="1">
      <alignment vertical="center"/>
    </xf>
    <xf numFmtId="167" fontId="18" fillId="2" borderId="0" xfId="8" applyFont="1" applyFill="1" applyBorder="1" applyAlignment="1">
      <alignment vertical="center" wrapText="1"/>
    </xf>
    <xf numFmtId="166" fontId="18" fillId="2" borderId="0" xfId="7" applyNumberFormat="1" applyFont="1" applyFill="1" applyBorder="1" applyAlignment="1">
      <alignment horizontal="center" vertical="center"/>
    </xf>
    <xf numFmtId="167" fontId="17" fillId="2" borderId="0" xfId="8" applyFont="1" applyFill="1" applyBorder="1" applyAlignment="1">
      <alignment vertical="center"/>
    </xf>
    <xf numFmtId="166" fontId="17" fillId="2" borderId="0" xfId="7" applyNumberFormat="1" applyFont="1" applyFill="1" applyBorder="1" applyAlignment="1">
      <alignment horizontal="center" vertical="center"/>
    </xf>
    <xf numFmtId="166" fontId="17" fillId="2" borderId="0" xfId="7" applyNumberFormat="1" applyFont="1" applyFill="1" applyBorder="1" applyAlignment="1">
      <alignment horizontal="right" vertical="center"/>
    </xf>
    <xf numFmtId="166" fontId="17" fillId="2" borderId="0" xfId="6" applyNumberFormat="1" applyFont="1" applyFill="1" applyBorder="1" applyAlignment="1">
      <alignment horizontal="right" vertical="center"/>
    </xf>
    <xf numFmtId="166" fontId="17" fillId="2" borderId="0" xfId="8" applyNumberFormat="1" applyFont="1" applyFill="1" applyBorder="1" applyAlignment="1">
      <alignment horizontal="right" vertical="center"/>
    </xf>
    <xf numFmtId="167" fontId="17" fillId="2" borderId="2" xfId="8" applyFont="1" applyFill="1" applyBorder="1" applyAlignment="1">
      <alignment vertical="center"/>
    </xf>
    <xf numFmtId="166" fontId="17" fillId="2" borderId="2" xfId="8" applyNumberFormat="1" applyFont="1" applyFill="1" applyBorder="1" applyAlignment="1">
      <alignment horizontal="center" vertical="center"/>
    </xf>
    <xf numFmtId="166" fontId="17" fillId="2" borderId="2" xfId="8" applyNumberFormat="1" applyFont="1" applyFill="1" applyBorder="1" applyAlignment="1">
      <alignment horizontal="right" vertical="center"/>
    </xf>
    <xf numFmtId="167" fontId="24" fillId="2" borderId="0" xfId="11" applyFont="1" applyFill="1" applyBorder="1" applyAlignment="1" applyProtection="1">
      <alignment horizontal="left" vertical="center"/>
    </xf>
    <xf numFmtId="0" fontId="20" fillId="2" borderId="0" xfId="6" applyFont="1" applyFill="1"/>
    <xf numFmtId="166" fontId="12" fillId="2" borderId="0" xfId="6" applyNumberFormat="1" applyFont="1" applyFill="1"/>
    <xf numFmtId="0" fontId="23" fillId="2" borderId="0" xfId="6" applyFont="1" applyFill="1"/>
    <xf numFmtId="167" fontId="9" fillId="2" borderId="0" xfId="10" applyFont="1" applyFill="1" applyAlignment="1">
      <alignment vertical="center"/>
    </xf>
    <xf numFmtId="167" fontId="8" fillId="2" borderId="0" xfId="10" applyFont="1" applyFill="1" applyAlignment="1">
      <alignment vertical="center"/>
    </xf>
    <xf numFmtId="167" fontId="17" fillId="2" borderId="0" xfId="10" applyFont="1" applyFill="1" applyAlignment="1">
      <alignment vertical="center"/>
    </xf>
    <xf numFmtId="167" fontId="9" fillId="2" borderId="0" xfId="10" applyFont="1" applyFill="1" applyAlignment="1">
      <alignment vertical="center" wrapText="1"/>
    </xf>
    <xf numFmtId="167" fontId="8" fillId="2" borderId="0" xfId="10" applyFont="1" applyFill="1" applyBorder="1" applyAlignment="1">
      <alignment vertical="center"/>
    </xf>
    <xf numFmtId="167" fontId="17" fillId="2" borderId="0" xfId="10" applyFont="1" applyFill="1" applyBorder="1" applyAlignment="1" applyProtection="1">
      <alignment vertical="center"/>
    </xf>
    <xf numFmtId="167" fontId="17" fillId="2" borderId="0" xfId="10" applyFont="1" applyFill="1" applyBorder="1" applyAlignment="1">
      <alignment vertical="center"/>
    </xf>
    <xf numFmtId="3" fontId="18" fillId="2" borderId="2" xfId="9" applyNumberFormat="1" applyFont="1" applyFill="1" applyBorder="1" applyAlignment="1" applyProtection="1">
      <alignment horizontal="left" vertical="center"/>
    </xf>
    <xf numFmtId="3" fontId="10" fillId="2" borderId="2" xfId="9" applyNumberFormat="1" applyFont="1" applyFill="1" applyBorder="1" applyAlignment="1" applyProtection="1">
      <alignment horizontal="center" vertical="center"/>
    </xf>
    <xf numFmtId="3" fontId="10" fillId="2" borderId="2" xfId="9" applyNumberFormat="1" applyFont="1" applyFill="1" applyBorder="1" applyAlignment="1" applyProtection="1">
      <alignment horizontal="right" vertical="center"/>
    </xf>
    <xf numFmtId="0" fontId="12" fillId="2" borderId="2" xfId="6" applyFont="1" applyFill="1" applyBorder="1"/>
    <xf numFmtId="0" fontId="8" fillId="2" borderId="2" xfId="6" applyFont="1" applyFill="1" applyBorder="1"/>
    <xf numFmtId="3" fontId="11" fillId="2" borderId="2" xfId="9" applyNumberFormat="1" applyFont="1" applyFill="1" applyBorder="1" applyAlignment="1" applyProtection="1">
      <alignment horizontal="right" vertical="center"/>
    </xf>
    <xf numFmtId="0" fontId="17" fillId="2" borderId="1" xfId="6" applyFont="1" applyFill="1" applyBorder="1"/>
    <xf numFmtId="0" fontId="10" fillId="2" borderId="1" xfId="6" applyFont="1" applyFill="1" applyBorder="1"/>
    <xf numFmtId="0" fontId="10" fillId="2" borderId="1" xfId="6" applyFont="1" applyFill="1" applyBorder="1" applyAlignment="1">
      <alignment horizontal="right"/>
    </xf>
    <xf numFmtId="0" fontId="10" fillId="2" borderId="0" xfId="6" applyFont="1" applyFill="1"/>
    <xf numFmtId="0" fontId="10" fillId="2" borderId="3" xfId="6" applyFont="1" applyFill="1" applyBorder="1"/>
    <xf numFmtId="0" fontId="17" fillId="2" borderId="0" xfId="6" applyFont="1" applyFill="1" applyBorder="1" applyAlignment="1">
      <alignment horizontal="left"/>
    </xf>
    <xf numFmtId="164" fontId="9" fillId="2" borderId="0" xfId="10" applyNumberFormat="1" applyFont="1" applyFill="1" applyBorder="1" applyAlignment="1">
      <alignment horizontal="right"/>
    </xf>
    <xf numFmtId="0" fontId="8" fillId="2" borderId="0" xfId="6" applyFont="1" applyFill="1" applyAlignment="1"/>
    <xf numFmtId="167" fontId="9" fillId="2" borderId="0" xfId="10" applyFont="1" applyFill="1" applyBorder="1" applyAlignment="1">
      <alignment horizontal="right"/>
    </xf>
    <xf numFmtId="17" fontId="21" fillId="2" borderId="2" xfId="6" applyNumberFormat="1" applyFont="1" applyFill="1" applyBorder="1" applyAlignment="1">
      <alignment horizontal="right"/>
    </xf>
    <xf numFmtId="0" fontId="21" fillId="2" borderId="2" xfId="6" applyFont="1" applyFill="1" applyBorder="1" applyAlignment="1">
      <alignment horizontal="right"/>
    </xf>
    <xf numFmtId="167" fontId="21" fillId="2" borderId="2" xfId="10" applyFont="1" applyFill="1" applyBorder="1" applyAlignment="1">
      <alignment horizontal="right"/>
    </xf>
    <xf numFmtId="0" fontId="8" fillId="2" borderId="2" xfId="6" applyFont="1" applyFill="1" applyBorder="1" applyAlignment="1"/>
    <xf numFmtId="0" fontId="11" fillId="2" borderId="2" xfId="6" applyFont="1" applyFill="1" applyBorder="1" applyAlignment="1"/>
    <xf numFmtId="166" fontId="8" fillId="2" borderId="0" xfId="6" applyNumberFormat="1" applyFont="1" applyFill="1"/>
    <xf numFmtId="3" fontId="18" fillId="2" borderId="0" xfId="9" applyNumberFormat="1" applyFont="1" applyFill="1" applyBorder="1" applyAlignment="1" applyProtection="1">
      <alignment horizontal="left" vertical="center"/>
    </xf>
    <xf numFmtId="3" fontId="11" fillId="2" borderId="0" xfId="9" applyNumberFormat="1" applyFont="1" applyFill="1" applyBorder="1" applyAlignment="1" applyProtection="1">
      <alignment horizontal="right" vertical="center"/>
    </xf>
    <xf numFmtId="0" fontId="17" fillId="2" borderId="1" xfId="6" applyFont="1" applyFill="1" applyBorder="1" applyAlignment="1">
      <alignment horizontal="left"/>
    </xf>
    <xf numFmtId="0" fontId="18" fillId="2" borderId="2" xfId="6" applyFont="1" applyFill="1" applyBorder="1"/>
    <xf numFmtId="0" fontId="11" fillId="2" borderId="2" xfId="6" applyFont="1" applyFill="1" applyBorder="1"/>
    <xf numFmtId="170" fontId="20" fillId="2" borderId="0" xfId="0" applyNumberFormat="1" applyFont="1" applyFill="1" applyBorder="1" applyAlignment="1">
      <alignment horizontal="left"/>
    </xf>
    <xf numFmtId="164" fontId="8" fillId="2" borderId="0" xfId="6" applyNumberFormat="1" applyFont="1" applyFill="1"/>
    <xf numFmtId="170" fontId="21" fillId="2" borderId="0" xfId="3" applyNumberFormat="1" applyFont="1" applyFill="1" applyBorder="1" applyAlignment="1">
      <alignment horizontal="left"/>
    </xf>
    <xf numFmtId="0" fontId="18" fillId="2" borderId="0" xfId="6" applyFont="1" applyFill="1"/>
    <xf numFmtId="0" fontId="8" fillId="2" borderId="0" xfId="6" applyFont="1" applyFill="1" applyAlignment="1">
      <alignment horizontal="right"/>
    </xf>
    <xf numFmtId="0" fontId="11" fillId="2" borderId="0" xfId="6" applyFont="1" applyFill="1"/>
    <xf numFmtId="166" fontId="17" fillId="2" borderId="0" xfId="10" applyNumberFormat="1" applyFont="1" applyFill="1" applyBorder="1" applyAlignment="1">
      <alignment horizontal="right" vertical="center"/>
    </xf>
    <xf numFmtId="167" fontId="18" fillId="2" borderId="0" xfId="8" applyFont="1" applyFill="1" applyAlignment="1">
      <alignment wrapText="1"/>
    </xf>
    <xf numFmtId="167" fontId="18" fillId="2" borderId="0" xfId="8" applyFont="1" applyFill="1"/>
    <xf numFmtId="0" fontId="18" fillId="2" borderId="0" xfId="7" applyFont="1" applyFill="1"/>
    <xf numFmtId="167" fontId="18" fillId="2" borderId="0" xfId="8" applyFont="1" applyFill="1" applyBorder="1" applyAlignment="1">
      <alignment wrapText="1"/>
    </xf>
    <xf numFmtId="171" fontId="8" fillId="2" borderId="0" xfId="6" applyNumberFormat="1" applyFont="1" applyFill="1"/>
    <xf numFmtId="167" fontId="10" fillId="2" borderId="2" xfId="10" applyFont="1" applyFill="1" applyBorder="1" applyAlignment="1" applyProtection="1">
      <alignment vertical="center"/>
    </xf>
    <xf numFmtId="167" fontId="10" fillId="2" borderId="0" xfId="10" applyFont="1" applyFill="1" applyAlignment="1">
      <alignment vertical="center"/>
    </xf>
    <xf numFmtId="167" fontId="10" fillId="2" borderId="0" xfId="10" applyFont="1" applyFill="1" applyBorder="1" applyAlignment="1">
      <alignment vertical="center"/>
    </xf>
    <xf numFmtId="166" fontId="21" fillId="2" borderId="0" xfId="6" applyNumberFormat="1" applyFont="1" applyFill="1" applyBorder="1" applyAlignment="1">
      <alignment horizontal="center" vertical="center"/>
    </xf>
    <xf numFmtId="0" fontId="8" fillId="2" borderId="3" xfId="6" applyFont="1" applyFill="1" applyBorder="1" applyAlignment="1">
      <alignment vertical="center"/>
    </xf>
    <xf numFmtId="0" fontId="27" fillId="2" borderId="0" xfId="6" applyFont="1" applyFill="1" applyBorder="1" applyAlignment="1">
      <alignment horizontal="right" vertical="center"/>
    </xf>
    <xf numFmtId="0" fontId="37" fillId="2" borderId="0" xfId="0" applyFont="1" applyFill="1" applyAlignment="1">
      <alignment vertical="center"/>
    </xf>
    <xf numFmtId="0" fontId="29" fillId="2" borderId="22" xfId="0" applyFont="1" applyFill="1" applyBorder="1" applyAlignment="1">
      <alignment horizontal="center" vertical="center" wrapText="1"/>
    </xf>
    <xf numFmtId="166" fontId="8" fillId="2" borderId="0" xfId="0" applyNumberFormat="1" applyFont="1" applyFill="1" applyAlignment="1">
      <alignment vertical="center"/>
    </xf>
    <xf numFmtId="2" fontId="8" fillId="2" borderId="0" xfId="6" applyNumberFormat="1" applyFont="1" applyFill="1"/>
    <xf numFmtId="2" fontId="12" fillId="2" borderId="0" xfId="6" applyNumberFormat="1" applyFont="1" applyFill="1"/>
    <xf numFmtId="170" fontId="8" fillId="2" borderId="0" xfId="6" applyNumberFormat="1" applyFont="1" applyFill="1"/>
    <xf numFmtId="166" fontId="0" fillId="2" borderId="0" xfId="0" applyNumberFormat="1" applyFill="1"/>
    <xf numFmtId="166" fontId="8" fillId="2" borderId="0" xfId="0" applyNumberFormat="1" applyFont="1" applyFill="1" applyAlignment="1">
      <alignment horizontal="left" vertical="center" indent="1"/>
    </xf>
    <xf numFmtId="166" fontId="21" fillId="2" borderId="2" xfId="7" applyNumberFormat="1" applyFont="1" applyFill="1" applyBorder="1" applyAlignment="1">
      <alignment horizontal="right" vertical="center"/>
    </xf>
    <xf numFmtId="167" fontId="19" fillId="2" borderId="0" xfId="11" applyFont="1" applyFill="1" applyBorder="1" applyAlignment="1" applyProtection="1">
      <alignment horizontal="left" vertical="center"/>
    </xf>
    <xf numFmtId="167" fontId="44" fillId="2" borderId="0" xfId="11" applyFont="1" applyFill="1" applyAlignment="1">
      <alignment vertical="center"/>
    </xf>
    <xf numFmtId="0" fontId="8" fillId="2" borderId="0" xfId="6" applyFont="1" applyFill="1" applyBorder="1" applyAlignment="1"/>
    <xf numFmtId="0" fontId="8" fillId="2" borderId="0" xfId="6" applyFont="1" applyFill="1" applyBorder="1" applyAlignment="1">
      <alignment horizontal="right"/>
    </xf>
    <xf numFmtId="0" fontId="11" fillId="2" borderId="0" xfId="6" applyFont="1" applyFill="1" applyBorder="1"/>
    <xf numFmtId="0" fontId="7" fillId="2" borderId="0" xfId="6" applyFont="1" applyFill="1"/>
    <xf numFmtId="0" fontId="10" fillId="2" borderId="2" xfId="6" applyFont="1" applyFill="1" applyBorder="1"/>
    <xf numFmtId="2" fontId="20" fillId="2" borderId="0" xfId="6" applyNumberFormat="1" applyFont="1" applyFill="1" applyBorder="1" applyAlignment="1">
      <alignment horizontal="right" vertical="center"/>
    </xf>
    <xf numFmtId="2" fontId="21" fillId="2" borderId="0" xfId="6" applyNumberFormat="1" applyFont="1" applyFill="1" applyBorder="1" applyAlignment="1">
      <alignment horizontal="right" vertical="center"/>
    </xf>
    <xf numFmtId="2" fontId="21" fillId="2" borderId="2" xfId="6" applyNumberFormat="1" applyFont="1" applyFill="1" applyBorder="1" applyAlignment="1">
      <alignment horizontal="right" vertical="center"/>
    </xf>
    <xf numFmtId="0" fontId="10" fillId="2" borderId="2" xfId="6" applyFont="1" applyFill="1" applyBorder="1" applyAlignment="1">
      <alignment vertical="center"/>
    </xf>
    <xf numFmtId="0" fontId="7" fillId="2" borderId="0" xfId="0" applyFont="1" applyFill="1"/>
    <xf numFmtId="2" fontId="7" fillId="2" borderId="0" xfId="0" applyNumberFormat="1" applyFont="1" applyFill="1"/>
    <xf numFmtId="166" fontId="20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Border="1" applyAlignment="1">
      <alignment vertical="center"/>
    </xf>
    <xf numFmtId="166" fontId="7" fillId="2" borderId="0" xfId="6" applyNumberFormat="1" applyFont="1" applyFill="1"/>
    <xf numFmtId="0" fontId="7" fillId="2" borderId="0" xfId="6" applyFont="1" applyFill="1" applyBorder="1"/>
    <xf numFmtId="167" fontId="39" fillId="2" borderId="0" xfId="11" applyFont="1" applyFill="1" applyBorder="1" applyAlignment="1">
      <alignment horizontal="center" vertical="center"/>
    </xf>
    <xf numFmtId="0" fontId="37" fillId="2" borderId="0" xfId="0" applyFont="1" applyFill="1" applyBorder="1"/>
    <xf numFmtId="0" fontId="37" fillId="2" borderId="0" xfId="6" applyFont="1" applyFill="1" applyBorder="1"/>
    <xf numFmtId="0" fontId="46" fillId="2" borderId="0" xfId="6" applyFont="1" applyFill="1"/>
    <xf numFmtId="166" fontId="10" fillId="2" borderId="0" xfId="9" applyNumberFormat="1" applyFont="1" applyFill="1" applyAlignment="1" applyProtection="1">
      <alignment horizontal="center" vertical="center"/>
    </xf>
    <xf numFmtId="166" fontId="17" fillId="2" borderId="2" xfId="6" applyNumberFormat="1" applyFont="1" applyFill="1" applyBorder="1" applyAlignment="1">
      <alignment horizontal="right" vertical="center"/>
    </xf>
    <xf numFmtId="170" fontId="20" fillId="2" borderId="0" xfId="0" applyNumberFormat="1" applyFont="1" applyFill="1" applyAlignment="1">
      <alignment horizontal="left"/>
    </xf>
    <xf numFmtId="170" fontId="21" fillId="2" borderId="0" xfId="0" applyNumberFormat="1" applyFont="1" applyFill="1" applyBorder="1" applyAlignment="1">
      <alignment horizontal="left"/>
    </xf>
    <xf numFmtId="170" fontId="21" fillId="2" borderId="0" xfId="0" applyNumberFormat="1" applyFont="1" applyFill="1" applyAlignment="1">
      <alignment horizontal="left"/>
    </xf>
    <xf numFmtId="170" fontId="21" fillId="2" borderId="2" xfId="0" applyNumberFormat="1" applyFont="1" applyFill="1" applyBorder="1" applyAlignment="1">
      <alignment horizontal="left"/>
    </xf>
    <xf numFmtId="0" fontId="49" fillId="2" borderId="0" xfId="0" applyFont="1" applyFill="1" applyBorder="1"/>
    <xf numFmtId="0" fontId="48" fillId="2" borderId="0" xfId="0" applyFont="1" applyFill="1" applyBorder="1"/>
    <xf numFmtId="0" fontId="30" fillId="2" borderId="0" xfId="0" applyFont="1" applyFill="1" applyBorder="1"/>
    <xf numFmtId="2" fontId="30" fillId="2" borderId="0" xfId="0" applyNumberFormat="1" applyFont="1" applyFill="1" applyBorder="1"/>
    <xf numFmtId="0" fontId="48" fillId="3" borderId="0" xfId="0" applyFont="1" applyFill="1" applyBorder="1"/>
    <xf numFmtId="2" fontId="48" fillId="3" borderId="0" xfId="0" applyNumberFormat="1" applyFont="1" applyFill="1" applyBorder="1"/>
    <xf numFmtId="2" fontId="48" fillId="2" borderId="0" xfId="0" applyNumberFormat="1" applyFont="1" applyFill="1" applyBorder="1"/>
    <xf numFmtId="172" fontId="48" fillId="3" borderId="0" xfId="0" applyNumberFormat="1" applyFont="1" applyFill="1" applyBorder="1"/>
    <xf numFmtId="0" fontId="48" fillId="2" borderId="27" xfId="0" applyFont="1" applyFill="1" applyBorder="1"/>
    <xf numFmtId="2" fontId="48" fillId="2" borderId="27" xfId="0" applyNumberFormat="1" applyFont="1" applyFill="1" applyBorder="1"/>
    <xf numFmtId="0" fontId="50" fillId="2" borderId="0" xfId="0" applyFont="1" applyFill="1" applyBorder="1" applyAlignment="1"/>
    <xf numFmtId="166" fontId="30" fillId="2" borderId="0" xfId="0" applyNumberFormat="1" applyFont="1" applyFill="1" applyBorder="1"/>
    <xf numFmtId="0" fontId="51" fillId="2" borderId="0" xfId="0" applyFont="1" applyFill="1" applyBorder="1"/>
    <xf numFmtId="166" fontId="48" fillId="2" borderId="0" xfId="0" applyNumberFormat="1" applyFont="1" applyFill="1" applyBorder="1"/>
    <xf numFmtId="0" fontId="52" fillId="3" borderId="26" xfId="0" applyFont="1" applyFill="1" applyBorder="1"/>
    <xf numFmtId="0" fontId="52" fillId="3" borderId="6" xfId="0" applyFont="1" applyFill="1" applyBorder="1"/>
    <xf numFmtId="17" fontId="53" fillId="3" borderId="6" xfId="0" applyNumberFormat="1" applyFont="1" applyFill="1" applyBorder="1" applyAlignment="1"/>
    <xf numFmtId="0" fontId="20" fillId="2" borderId="0" xfId="17" applyFont="1" applyFill="1" applyAlignment="1">
      <alignment vertical="center"/>
    </xf>
    <xf numFmtId="0" fontId="22" fillId="2" borderId="0" xfId="17" applyFont="1" applyFill="1" applyBorder="1"/>
    <xf numFmtId="2" fontId="20" fillId="2" borderId="0" xfId="17" applyNumberFormat="1" applyFont="1" applyFill="1" applyAlignment="1">
      <alignment vertical="center"/>
    </xf>
    <xf numFmtId="0" fontId="20" fillId="2" borderId="2" xfId="17" applyFont="1" applyFill="1" applyBorder="1" applyAlignment="1">
      <alignment vertical="center"/>
    </xf>
    <xf numFmtId="2" fontId="20" fillId="2" borderId="2" xfId="17" applyNumberFormat="1" applyFont="1" applyFill="1" applyBorder="1" applyAlignment="1">
      <alignment vertical="center"/>
    </xf>
    <xf numFmtId="1" fontId="20" fillId="2" borderId="0" xfId="17" applyNumberFormat="1" applyFont="1" applyFill="1" applyAlignment="1">
      <alignment vertical="center"/>
    </xf>
    <xf numFmtId="3" fontId="60" fillId="2" borderId="2" xfId="19" applyNumberFormat="1" applyFont="1" applyFill="1" applyBorder="1" applyAlignment="1" applyProtection="1">
      <alignment horizontal="right"/>
    </xf>
    <xf numFmtId="167" fontId="9" fillId="2" borderId="0" xfId="19" applyNumberFormat="1" applyFont="1" applyFill="1" applyBorder="1" applyAlignment="1">
      <alignment horizontal="right"/>
    </xf>
    <xf numFmtId="3" fontId="60" fillId="2" borderId="0" xfId="19" applyNumberFormat="1" applyFont="1" applyFill="1" applyBorder="1" applyAlignment="1" applyProtection="1">
      <alignment horizontal="right"/>
    </xf>
    <xf numFmtId="0" fontId="2" fillId="2" borderId="0" xfId="18" applyFill="1"/>
    <xf numFmtId="167" fontId="59" fillId="2" borderId="0" xfId="19" applyNumberFormat="1" applyFont="1" applyFill="1" applyAlignment="1">
      <alignment horizontal="center" vertical="center"/>
    </xf>
    <xf numFmtId="167" fontId="2" fillId="2" borderId="0" xfId="19" applyNumberFormat="1" applyFont="1" applyFill="1" applyAlignment="1">
      <alignment vertical="center"/>
    </xf>
    <xf numFmtId="167" fontId="7" fillId="2" borderId="0" xfId="19" applyNumberFormat="1" applyFont="1" applyFill="1" applyAlignment="1">
      <alignment vertical="center"/>
    </xf>
    <xf numFmtId="167" fontId="10" fillId="2" borderId="0" xfId="19" applyNumberFormat="1" applyFont="1" applyFill="1" applyAlignment="1">
      <alignment vertical="center"/>
    </xf>
    <xf numFmtId="167" fontId="9" fillId="2" borderId="6" xfId="19" applyNumberFormat="1" applyFont="1" applyFill="1" applyBorder="1" applyAlignment="1">
      <alignment horizontal="right" vertical="center"/>
    </xf>
    <xf numFmtId="167" fontId="17" fillId="2" borderId="0" xfId="19" applyNumberFormat="1" applyFont="1" applyFill="1" applyBorder="1" applyAlignment="1" applyProtection="1">
      <alignment vertical="center"/>
    </xf>
    <xf numFmtId="167" fontId="13" fillId="2" borderId="0" xfId="19" applyNumberFormat="1" applyFont="1" applyFill="1" applyBorder="1" applyAlignment="1">
      <alignment horizontal="right" vertical="center"/>
    </xf>
    <xf numFmtId="167" fontId="18" fillId="2" borderId="0" xfId="19" applyNumberFormat="1" applyFont="1" applyFill="1" applyAlignment="1" applyProtection="1">
      <alignment horizontal="left" vertical="center"/>
    </xf>
    <xf numFmtId="167" fontId="17" fillId="2" borderId="0" xfId="19" applyNumberFormat="1" applyFont="1" applyFill="1" applyBorder="1" applyAlignment="1" applyProtection="1">
      <alignment horizontal="left" vertical="center"/>
    </xf>
    <xf numFmtId="167" fontId="56" fillId="2" borderId="0" xfId="19" applyNumberFormat="1" applyFont="1" applyFill="1" applyBorder="1" applyAlignment="1">
      <alignment horizontal="right" vertical="center"/>
    </xf>
    <xf numFmtId="167" fontId="18" fillId="2" borderId="0" xfId="19" applyNumberFormat="1" applyFont="1" applyFill="1" applyBorder="1" applyAlignment="1" applyProtection="1">
      <alignment horizontal="left" vertical="center"/>
    </xf>
    <xf numFmtId="167" fontId="18" fillId="2" borderId="2" xfId="19" applyNumberFormat="1" applyFont="1" applyFill="1" applyBorder="1" applyAlignment="1" applyProtection="1">
      <alignment horizontal="left" vertical="center"/>
    </xf>
    <xf numFmtId="167" fontId="17" fillId="2" borderId="2" xfId="19" applyNumberFormat="1" applyFont="1" applyFill="1" applyBorder="1" applyAlignment="1" applyProtection="1">
      <alignment horizontal="left" vertical="center"/>
    </xf>
    <xf numFmtId="167" fontId="56" fillId="2" borderId="2" xfId="19" applyNumberFormat="1" applyFont="1" applyFill="1" applyBorder="1" applyAlignment="1">
      <alignment horizontal="right" vertical="center"/>
    </xf>
    <xf numFmtId="167" fontId="19" fillId="2" borderId="0" xfId="19" applyNumberFormat="1" applyFont="1" applyFill="1" applyAlignment="1">
      <alignment vertical="center"/>
    </xf>
    <xf numFmtId="167" fontId="7" fillId="2" borderId="0" xfId="19" applyNumberFormat="1" applyFont="1" applyFill="1" applyBorder="1" applyAlignment="1">
      <alignment vertical="center"/>
    </xf>
    <xf numFmtId="37" fontId="18" fillId="2" borderId="0" xfId="11" applyNumberFormat="1" applyFont="1" applyFill="1" applyBorder="1" applyAlignment="1" applyProtection="1">
      <alignment vertical="center"/>
    </xf>
    <xf numFmtId="0" fontId="18" fillId="2" borderId="0" xfId="6" applyFont="1" applyFill="1" applyBorder="1"/>
    <xf numFmtId="167" fontId="19" fillId="2" borderId="0" xfId="19" applyNumberFormat="1" applyFont="1" applyFill="1" applyAlignment="1" applyProtection="1">
      <alignment horizontal="left" vertical="center"/>
    </xf>
    <xf numFmtId="167" fontId="8" fillId="2" borderId="0" xfId="19" applyNumberFormat="1" applyFont="1" applyFill="1" applyAlignment="1">
      <alignment vertical="center"/>
    </xf>
    <xf numFmtId="167" fontId="11" fillId="2" borderId="0" xfId="19" applyNumberFormat="1" applyFont="1" applyFill="1" applyAlignment="1">
      <alignment horizontal="right" vertical="center"/>
    </xf>
    <xf numFmtId="167" fontId="17" fillId="2" borderId="0" xfId="19" applyNumberFormat="1" applyFont="1" applyFill="1" applyAlignment="1">
      <alignment vertical="center"/>
    </xf>
    <xf numFmtId="167" fontId="18" fillId="2" borderId="0" xfId="19" applyNumberFormat="1" applyFont="1" applyFill="1" applyAlignment="1">
      <alignment vertical="center"/>
    </xf>
    <xf numFmtId="167" fontId="10" fillId="2" borderId="0" xfId="19" applyNumberFormat="1" applyFont="1" applyFill="1" applyBorder="1" applyAlignment="1">
      <alignment vertical="center"/>
    </xf>
    <xf numFmtId="167" fontId="21" fillId="2" borderId="0" xfId="19" applyNumberFormat="1" applyFont="1" applyFill="1" applyAlignment="1">
      <alignment vertical="center"/>
    </xf>
    <xf numFmtId="167" fontId="20" fillId="2" borderId="0" xfId="19" applyNumberFormat="1" applyFont="1" applyFill="1" applyAlignment="1">
      <alignment vertical="center"/>
    </xf>
    <xf numFmtId="0" fontId="2" fillId="2" borderId="0" xfId="6" applyFont="1" applyFill="1"/>
    <xf numFmtId="167" fontId="61" fillId="2" borderId="0" xfId="19" applyNumberFormat="1" applyFont="1" applyFill="1" applyBorder="1" applyAlignment="1">
      <alignment horizontal="right" vertical="center"/>
    </xf>
    <xf numFmtId="169" fontId="4" fillId="2" borderId="0" xfId="20" applyNumberFormat="1" applyFont="1" applyFill="1" applyBorder="1"/>
    <xf numFmtId="169" fontId="7" fillId="2" borderId="0" xfId="20" applyNumberFormat="1" applyFont="1" applyFill="1" applyAlignment="1">
      <alignment horizontal="centerContinuous" vertical="center"/>
    </xf>
    <xf numFmtId="4" fontId="8" fillId="2" borderId="0" xfId="20" applyNumberFormat="1" applyFont="1" applyFill="1"/>
    <xf numFmtId="4" fontId="8" fillId="2" borderId="0" xfId="20" applyNumberFormat="1" applyFont="1" applyFill="1" applyBorder="1"/>
    <xf numFmtId="169" fontId="61" fillId="2" borderId="0" xfId="20" applyNumberFormat="1" applyFont="1" applyFill="1" applyBorder="1" applyAlignment="1">
      <alignment horizontal="right" vertical="center"/>
    </xf>
    <xf numFmtId="4" fontId="17" fillId="2" borderId="0" xfId="20" applyNumberFormat="1" applyFont="1" applyFill="1" applyBorder="1" applyAlignment="1">
      <alignment vertical="center"/>
    </xf>
    <xf numFmtId="4" fontId="18" fillId="2" borderId="0" xfId="20" applyNumberFormat="1" applyFont="1" applyFill="1"/>
    <xf numFmtId="4" fontId="18" fillId="2" borderId="0" xfId="20" applyNumberFormat="1" applyFont="1" applyFill="1" applyAlignment="1">
      <alignment horizontal="right"/>
    </xf>
    <xf numFmtId="4" fontId="18" fillId="2" borderId="1" xfId="20" applyNumberFormat="1" applyFont="1" applyFill="1" applyBorder="1" applyAlignment="1">
      <alignment horizontal="right"/>
    </xf>
    <xf numFmtId="4" fontId="18" fillId="2" borderId="0" xfId="20" applyNumberFormat="1" applyFont="1" applyFill="1" applyBorder="1" applyAlignment="1">
      <alignment horizontal="right"/>
    </xf>
    <xf numFmtId="169" fontId="13" fillId="2" borderId="0" xfId="20" applyNumberFormat="1" applyFont="1" applyFill="1" applyBorder="1" applyAlignment="1">
      <alignment horizontal="right" vertical="center"/>
    </xf>
    <xf numFmtId="169" fontId="10" fillId="2" borderId="0" xfId="20" applyNumberFormat="1" applyFont="1" applyFill="1" applyBorder="1" applyAlignment="1">
      <alignment vertical="center"/>
    </xf>
    <xf numFmtId="4" fontId="18" fillId="2" borderId="0" xfId="20" applyNumberFormat="1" applyFont="1" applyFill="1" applyBorder="1"/>
    <xf numFmtId="170" fontId="62" fillId="2" borderId="0" xfId="15" applyNumberFormat="1" applyFont="1" applyFill="1" applyBorder="1" applyAlignment="1">
      <alignment vertical="center"/>
    </xf>
    <xf numFmtId="167" fontId="11" fillId="2" borderId="0" xfId="20" applyNumberFormat="1" applyFont="1" applyFill="1" applyBorder="1" applyAlignment="1">
      <alignment horizontal="right" vertical="center"/>
    </xf>
    <xf numFmtId="167" fontId="11" fillId="2" borderId="0" xfId="19" applyNumberFormat="1" applyFont="1" applyFill="1" applyBorder="1" applyAlignment="1">
      <alignment horizontal="right" vertical="center"/>
    </xf>
    <xf numFmtId="0" fontId="8" fillId="2" borderId="0" xfId="18" applyFont="1" applyFill="1" applyBorder="1" applyProtection="1">
      <protection locked="0"/>
    </xf>
    <xf numFmtId="4" fontId="18" fillId="2" borderId="0" xfId="20" applyNumberFormat="1" applyFont="1" applyFill="1" applyBorder="1" applyAlignment="1">
      <alignment vertical="center"/>
    </xf>
    <xf numFmtId="4" fontId="8" fillId="2" borderId="0" xfId="20" applyNumberFormat="1" applyFont="1" applyFill="1" applyAlignment="1">
      <alignment vertical="center"/>
    </xf>
    <xf numFmtId="167" fontId="9" fillId="2" borderId="0" xfId="20" applyNumberFormat="1" applyFont="1" applyFill="1" applyBorder="1" applyAlignment="1">
      <alignment horizontal="right" vertical="center"/>
    </xf>
    <xf numFmtId="4" fontId="18" fillId="2" borderId="0" xfId="20" applyNumberFormat="1" applyFont="1" applyFill="1" applyBorder="1" applyAlignment="1">
      <alignment vertical="justify"/>
    </xf>
    <xf numFmtId="169" fontId="8" fillId="2" borderId="0" xfId="20" applyNumberFormat="1" applyFont="1" applyFill="1" applyBorder="1" applyAlignment="1">
      <alignment horizontal="left" vertical="center"/>
    </xf>
    <xf numFmtId="169" fontId="8" fillId="2" borderId="0" xfId="20" applyNumberFormat="1" applyFont="1" applyFill="1" applyAlignment="1">
      <alignment horizontal="left" vertical="center"/>
    </xf>
    <xf numFmtId="169" fontId="8" fillId="2" borderId="0" xfId="20" applyNumberFormat="1" applyFont="1" applyFill="1" applyAlignment="1">
      <alignment horizontal="left"/>
    </xf>
    <xf numFmtId="169" fontId="9" fillId="2" borderId="0" xfId="20" applyNumberFormat="1" applyFont="1" applyFill="1" applyBorder="1" applyAlignment="1">
      <alignment horizontal="right" vertical="center"/>
    </xf>
    <xf numFmtId="169" fontId="63" fillId="2" borderId="0" xfId="20" applyNumberFormat="1" applyFont="1" applyFill="1" applyAlignment="1">
      <alignment vertical="center"/>
    </xf>
    <xf numFmtId="169" fontId="8" fillId="2" borderId="0" xfId="20" applyNumberFormat="1" applyFont="1" applyFill="1" applyBorder="1" applyAlignment="1">
      <alignment horizontal="right" vertical="center"/>
    </xf>
    <xf numFmtId="4" fontId="18" fillId="2" borderId="2" xfId="20" applyNumberFormat="1" applyFont="1" applyFill="1" applyBorder="1" applyAlignment="1">
      <alignment vertical="center"/>
    </xf>
    <xf numFmtId="170" fontId="62" fillId="2" borderId="2" xfId="15" applyNumberFormat="1" applyFont="1" applyFill="1" applyBorder="1" applyAlignment="1">
      <alignment vertical="center"/>
    </xf>
    <xf numFmtId="167" fontId="11" fillId="2" borderId="2" xfId="20" applyNumberFormat="1" applyFont="1" applyFill="1" applyBorder="1" applyAlignment="1">
      <alignment horizontal="right" vertical="center"/>
    </xf>
    <xf numFmtId="167" fontId="11" fillId="2" borderId="2" xfId="19" applyNumberFormat="1" applyFont="1" applyFill="1" applyBorder="1" applyAlignment="1">
      <alignment horizontal="right" vertical="center"/>
    </xf>
    <xf numFmtId="169" fontId="63" fillId="2" borderId="0" xfId="20" applyNumberFormat="1" applyFont="1" applyFill="1"/>
    <xf numFmtId="169" fontId="19" fillId="2" borderId="0" xfId="20" applyNumberFormat="1" applyFont="1" applyFill="1" applyAlignment="1" applyProtection="1">
      <alignment horizontal="left" vertical="center"/>
    </xf>
    <xf numFmtId="167" fontId="19" fillId="2" borderId="0" xfId="20" applyNumberFormat="1" applyFont="1" applyFill="1" applyAlignment="1" applyProtection="1">
      <alignment horizontal="left" vertical="center"/>
    </xf>
    <xf numFmtId="167" fontId="19" fillId="2" borderId="0" xfId="20" applyNumberFormat="1" applyFont="1" applyFill="1" applyAlignment="1" applyProtection="1">
      <alignment horizontal="right" vertical="center"/>
    </xf>
    <xf numFmtId="167" fontId="8" fillId="2" borderId="0" xfId="20" applyNumberFormat="1" applyFont="1" applyFill="1" applyAlignment="1">
      <alignment vertical="center"/>
    </xf>
    <xf numFmtId="167" fontId="56" fillId="2" borderId="0" xfId="20" applyNumberFormat="1" applyFont="1" applyFill="1" applyAlignment="1">
      <alignment horizontal="left" vertical="center"/>
    </xf>
    <xf numFmtId="169" fontId="8" fillId="2" borderId="0" xfId="20" applyNumberFormat="1" applyFont="1" applyFill="1" applyAlignment="1">
      <alignment vertical="center"/>
    </xf>
    <xf numFmtId="37" fontId="18" fillId="2" borderId="0" xfId="20" applyNumberFormat="1" applyFont="1" applyFill="1" applyAlignment="1" applyProtection="1">
      <alignment vertical="center"/>
    </xf>
    <xf numFmtId="37" fontId="18" fillId="2" borderId="0" xfId="20" applyNumberFormat="1" applyFont="1" applyFill="1" applyAlignment="1" applyProtection="1">
      <alignment horizontal="right" vertical="center"/>
    </xf>
    <xf numFmtId="37" fontId="8" fillId="2" borderId="0" xfId="20" applyNumberFormat="1" applyFont="1" applyFill="1" applyAlignment="1" applyProtection="1">
      <alignment vertical="center"/>
    </xf>
    <xf numFmtId="167" fontId="8" fillId="2" borderId="0" xfId="19" applyNumberFormat="1" applyFont="1" applyFill="1" applyAlignment="1" applyProtection="1">
      <alignment horizontal="left" vertical="center"/>
    </xf>
    <xf numFmtId="169" fontId="64" fillId="2" borderId="0" xfId="20" applyNumberFormat="1" applyFont="1" applyFill="1" applyAlignment="1" applyProtection="1">
      <alignment horizontal="left" vertical="center"/>
    </xf>
    <xf numFmtId="4" fontId="64" fillId="2" borderId="0" xfId="20" applyNumberFormat="1" applyFont="1" applyFill="1" applyAlignment="1" applyProtection="1">
      <alignment horizontal="left" vertical="center"/>
    </xf>
    <xf numFmtId="173" fontId="18" fillId="2" borderId="0" xfId="20" applyNumberFormat="1" applyFont="1" applyFill="1" applyAlignment="1">
      <alignment horizontal="left"/>
    </xf>
    <xf numFmtId="167" fontId="21" fillId="2" borderId="6" xfId="19" applyNumberFormat="1" applyFont="1" applyFill="1" applyBorder="1" applyAlignment="1" applyProtection="1">
      <alignment horizontal="left" vertical="center"/>
    </xf>
    <xf numFmtId="167" fontId="21" fillId="2" borderId="0" xfId="19" applyNumberFormat="1" applyFont="1" applyFill="1" applyAlignment="1" applyProtection="1">
      <alignment horizontal="left" vertical="center"/>
    </xf>
    <xf numFmtId="167" fontId="20" fillId="2" borderId="0" xfId="19" applyNumberFormat="1" applyFont="1" applyFill="1" applyAlignment="1" applyProtection="1">
      <alignment horizontal="left" vertical="center"/>
    </xf>
    <xf numFmtId="167" fontId="21" fillId="2" borderId="0" xfId="19" applyNumberFormat="1" applyFont="1" applyFill="1" applyBorder="1" applyAlignment="1" applyProtection="1">
      <alignment horizontal="left" vertical="center"/>
    </xf>
    <xf numFmtId="167" fontId="20" fillId="2" borderId="0" xfId="19" applyNumberFormat="1" applyFont="1" applyFill="1" applyBorder="1" applyAlignment="1" applyProtection="1">
      <alignment horizontal="left" vertical="center"/>
    </xf>
    <xf numFmtId="167" fontId="20" fillId="2" borderId="2" xfId="19" applyNumberFormat="1" applyFont="1" applyFill="1" applyBorder="1" applyAlignment="1" applyProtection="1">
      <alignment horizontal="left" vertical="center"/>
    </xf>
    <xf numFmtId="167" fontId="8" fillId="2" borderId="0" xfId="19" applyNumberFormat="1" applyFont="1" applyFill="1" applyBorder="1" applyAlignment="1">
      <alignment vertical="center"/>
    </xf>
    <xf numFmtId="166" fontId="18" fillId="2" borderId="0" xfId="6" applyNumberFormat="1" applyFont="1" applyFill="1" applyBorder="1"/>
    <xf numFmtId="0" fontId="8" fillId="2" borderId="0" xfId="6" applyFont="1" applyFill="1" applyBorder="1"/>
    <xf numFmtId="167" fontId="28" fillId="2" borderId="0" xfId="11" applyFont="1" applyFill="1" applyAlignment="1">
      <alignment horizontal="right" vertical="center"/>
    </xf>
    <xf numFmtId="167" fontId="19" fillId="2" borderId="0" xfId="11" applyFont="1" applyFill="1" applyBorder="1" applyAlignment="1" applyProtection="1">
      <alignment horizontal="left" vertical="center"/>
    </xf>
    <xf numFmtId="4" fontId="21" fillId="2" borderId="6" xfId="20" applyNumberFormat="1" applyFont="1" applyFill="1" applyBorder="1" applyAlignment="1">
      <alignment vertical="center"/>
    </xf>
    <xf numFmtId="1" fontId="21" fillId="2" borderId="6" xfId="20" applyNumberFormat="1" applyFont="1" applyFill="1" applyBorder="1" applyAlignment="1">
      <alignment vertical="center"/>
    </xf>
    <xf numFmtId="1" fontId="21" fillId="2" borderId="6" xfId="20" applyNumberFormat="1" applyFont="1" applyFill="1" applyBorder="1" applyAlignment="1">
      <alignment horizontal="right" vertical="center"/>
    </xf>
    <xf numFmtId="167" fontId="13" fillId="2" borderId="6" xfId="20" applyNumberFormat="1" applyFont="1" applyFill="1" applyBorder="1" applyAlignment="1">
      <alignment horizontal="right" vertical="center"/>
    </xf>
    <xf numFmtId="169" fontId="65" fillId="2" borderId="0" xfId="20" applyNumberFormat="1" applyFont="1" applyFill="1" applyBorder="1" applyAlignment="1">
      <alignment horizontal="right" vertical="center"/>
    </xf>
    <xf numFmtId="4" fontId="7" fillId="2" borderId="0" xfId="20" applyNumberFormat="1" applyFont="1" applyFill="1"/>
    <xf numFmtId="167" fontId="21" fillId="2" borderId="6" xfId="19" applyNumberFormat="1" applyFont="1" applyFill="1" applyBorder="1" applyAlignment="1" applyProtection="1">
      <alignment horizontal="right" vertical="center"/>
    </xf>
    <xf numFmtId="167" fontId="21" fillId="2" borderId="6" xfId="19" applyNumberFormat="1" applyFont="1" applyFill="1" applyBorder="1" applyAlignment="1" applyProtection="1">
      <alignment vertical="center"/>
    </xf>
    <xf numFmtId="167" fontId="17" fillId="2" borderId="0" xfId="11" applyFont="1" applyFill="1" applyBorder="1" applyAlignment="1" applyProtection="1">
      <alignment horizontal="center" vertical="center"/>
    </xf>
    <xf numFmtId="0" fontId="8" fillId="2" borderId="24" xfId="6" applyFont="1" applyFill="1" applyBorder="1" applyAlignment="1">
      <alignment horizontal="center"/>
    </xf>
    <xf numFmtId="0" fontId="17" fillId="2" borderId="23" xfId="6" applyFont="1" applyFill="1" applyBorder="1" applyAlignment="1">
      <alignment horizontal="right" vertical="center"/>
    </xf>
    <xf numFmtId="2" fontId="20" fillId="2" borderId="1" xfId="6" applyNumberFormat="1" applyFont="1" applyFill="1" applyBorder="1" applyAlignment="1">
      <alignment horizontal="right" vertical="center"/>
    </xf>
    <xf numFmtId="0" fontId="21" fillId="2" borderId="1" xfId="6" applyFont="1" applyFill="1" applyBorder="1" applyAlignment="1">
      <alignment horizontal="center"/>
    </xf>
    <xf numFmtId="0" fontId="7" fillId="2" borderId="0" xfId="6" applyFont="1" applyFill="1" applyBorder="1" applyAlignment="1">
      <alignment horizontal="center"/>
    </xf>
    <xf numFmtId="0" fontId="2" fillId="2" borderId="0" xfId="6" applyFont="1" applyFill="1" applyBorder="1"/>
    <xf numFmtId="167" fontId="9" fillId="2" borderId="30" xfId="10" applyFont="1" applyFill="1" applyBorder="1" applyAlignment="1">
      <alignment horizontal="right" vertical="center" wrapText="1"/>
    </xf>
    <xf numFmtId="167" fontId="9" fillId="2" borderId="31" xfId="10" applyFont="1" applyFill="1" applyBorder="1" applyAlignment="1">
      <alignment horizontal="right" vertical="center" wrapText="1"/>
    </xf>
    <xf numFmtId="0" fontId="17" fillId="2" borderId="2" xfId="6" applyFont="1" applyFill="1" applyBorder="1" applyAlignment="1">
      <alignment horizontal="right"/>
    </xf>
    <xf numFmtId="0" fontId="17" fillId="2" borderId="0" xfId="6" applyFont="1" applyFill="1" applyBorder="1" applyAlignment="1">
      <alignment horizontal="right"/>
    </xf>
    <xf numFmtId="0" fontId="17" fillId="2" borderId="32" xfId="6" applyFont="1" applyFill="1" applyBorder="1" applyAlignment="1">
      <alignment horizontal="right"/>
    </xf>
    <xf numFmtId="0" fontId="17" fillId="2" borderId="33" xfId="6" applyFont="1" applyFill="1" applyBorder="1" applyAlignment="1">
      <alignment horizontal="right"/>
    </xf>
    <xf numFmtId="2" fontId="20" fillId="2" borderId="0" xfId="6" applyNumberFormat="1" applyFont="1" applyFill="1" applyAlignment="1">
      <alignment vertical="center"/>
    </xf>
    <xf numFmtId="2" fontId="20" fillId="2" borderId="0" xfId="6" applyNumberFormat="1" applyFont="1" applyFill="1" applyBorder="1" applyAlignment="1">
      <alignment vertical="center"/>
    </xf>
    <xf numFmtId="2" fontId="66" fillId="2" borderId="0" xfId="0" applyNumberFormat="1" applyFont="1" applyFill="1" applyBorder="1" applyAlignment="1">
      <alignment horizontal="right" vertical="center"/>
    </xf>
    <xf numFmtId="2" fontId="66" fillId="2" borderId="0" xfId="0" applyNumberFormat="1" applyFont="1" applyFill="1" applyBorder="1" applyAlignment="1">
      <alignment vertical="center"/>
    </xf>
    <xf numFmtId="2" fontId="66" fillId="2" borderId="30" xfId="0" applyNumberFormat="1" applyFont="1" applyFill="1" applyBorder="1" applyAlignment="1">
      <alignment vertical="center"/>
    </xf>
    <xf numFmtId="2" fontId="66" fillId="2" borderId="31" xfId="0" applyNumberFormat="1" applyFont="1" applyFill="1" applyBorder="1" applyAlignment="1">
      <alignment vertical="center"/>
    </xf>
    <xf numFmtId="2" fontId="56" fillId="2" borderId="0" xfId="10" applyNumberFormat="1" applyFont="1" applyFill="1" applyBorder="1" applyAlignment="1">
      <alignment horizontal="right" vertical="center" indent="1"/>
    </xf>
    <xf numFmtId="2" fontId="20" fillId="2" borderId="2" xfId="6" applyNumberFormat="1" applyFont="1" applyFill="1" applyBorder="1" applyAlignment="1">
      <alignment vertical="center"/>
    </xf>
    <xf numFmtId="2" fontId="66" fillId="2" borderId="2" xfId="0" applyNumberFormat="1" applyFont="1" applyFill="1" applyBorder="1" applyAlignment="1">
      <alignment horizontal="right" vertical="center"/>
    </xf>
    <xf numFmtId="2" fontId="66" fillId="2" borderId="2" xfId="0" applyNumberFormat="1" applyFont="1" applyFill="1" applyBorder="1" applyAlignment="1">
      <alignment vertical="center"/>
    </xf>
    <xf numFmtId="2" fontId="66" fillId="2" borderId="32" xfId="0" applyNumberFormat="1" applyFont="1" applyFill="1" applyBorder="1" applyAlignment="1">
      <alignment vertical="center"/>
    </xf>
    <xf numFmtId="2" fontId="66" fillId="2" borderId="33" xfId="0" applyNumberFormat="1" applyFont="1" applyFill="1" applyBorder="1" applyAlignment="1">
      <alignment vertical="center"/>
    </xf>
    <xf numFmtId="2" fontId="56" fillId="2" borderId="2" xfId="10" applyNumberFormat="1" applyFont="1" applyFill="1" applyBorder="1" applyAlignment="1">
      <alignment horizontal="right" vertical="center" indent="1"/>
    </xf>
    <xf numFmtId="2" fontId="20" fillId="2" borderId="0" xfId="0" applyNumberFormat="1" applyFont="1" applyFill="1" applyBorder="1" applyAlignment="1">
      <alignment horizontal="right" vertical="center"/>
    </xf>
    <xf numFmtId="2" fontId="20" fillId="2" borderId="30" xfId="0" applyNumberFormat="1" applyFont="1" applyFill="1" applyBorder="1" applyAlignment="1">
      <alignment horizontal="right" vertical="center"/>
    </xf>
    <xf numFmtId="2" fontId="20" fillId="2" borderId="31" xfId="0" applyNumberFormat="1" applyFont="1" applyFill="1" applyBorder="1" applyAlignment="1">
      <alignment horizontal="right" vertical="center"/>
    </xf>
    <xf numFmtId="2" fontId="20" fillId="2" borderId="2" xfId="0" applyNumberFormat="1" applyFont="1" applyFill="1" applyBorder="1" applyAlignment="1">
      <alignment horizontal="right" vertical="center"/>
    </xf>
    <xf numFmtId="2" fontId="20" fillId="2" borderId="32" xfId="0" applyNumberFormat="1" applyFont="1" applyFill="1" applyBorder="1" applyAlignment="1">
      <alignment horizontal="right" vertical="center"/>
    </xf>
    <xf numFmtId="2" fontId="20" fillId="2" borderId="33" xfId="0" applyNumberFormat="1" applyFont="1" applyFill="1" applyBorder="1" applyAlignment="1">
      <alignment horizontal="right" vertical="center"/>
    </xf>
    <xf numFmtId="167" fontId="11" fillId="2" borderId="0" xfId="10" applyFont="1" applyFill="1" applyBorder="1" applyAlignment="1">
      <alignment horizontal="right" vertical="center"/>
    </xf>
    <xf numFmtId="0" fontId="2" fillId="2" borderId="0" xfId="6" applyFont="1" applyFill="1" applyBorder="1" applyAlignment="1">
      <alignment vertical="center"/>
    </xf>
    <xf numFmtId="166" fontId="2" fillId="2" borderId="0" xfId="6" applyNumberFormat="1" applyFont="1" applyFill="1"/>
    <xf numFmtId="166" fontId="8" fillId="2" borderId="0" xfId="6" applyNumberFormat="1" applyFont="1" applyFill="1" applyBorder="1"/>
    <xf numFmtId="0" fontId="68" fillId="2" borderId="0" xfId="6" applyFont="1" applyFill="1"/>
    <xf numFmtId="167" fontId="56" fillId="2" borderId="0" xfId="11" applyFont="1" applyFill="1" applyAlignment="1">
      <alignment horizontal="right" vertical="center"/>
    </xf>
    <xf numFmtId="0" fontId="8" fillId="2" borderId="0" xfId="21" applyFont="1" applyFill="1" applyBorder="1"/>
    <xf numFmtId="0" fontId="69" fillId="2" borderId="0" xfId="21" applyFont="1" applyFill="1" applyBorder="1"/>
    <xf numFmtId="0" fontId="2" fillId="2" borderId="0" xfId="6" applyFont="1" applyFill="1" applyAlignment="1">
      <alignment horizontal="right"/>
    </xf>
    <xf numFmtId="0" fontId="10" fillId="2" borderId="6" xfId="6" applyFont="1" applyFill="1" applyBorder="1" applyAlignment="1">
      <alignment horizontal="right" vertical="center"/>
    </xf>
    <xf numFmtId="43" fontId="5" fillId="2" borderId="0" xfId="15" applyFont="1" applyFill="1" applyBorder="1" applyAlignment="1">
      <alignment horizontal="right" vertical="center"/>
    </xf>
    <xf numFmtId="166" fontId="66" fillId="2" borderId="0" xfId="0" applyNumberFormat="1" applyFont="1" applyFill="1" applyBorder="1" applyAlignment="1">
      <alignment horizontal="right" vertical="center"/>
    </xf>
    <xf numFmtId="43" fontId="5" fillId="2" borderId="2" xfId="15" applyFont="1" applyFill="1" applyBorder="1" applyAlignment="1">
      <alignment horizontal="right" vertical="center"/>
    </xf>
    <xf numFmtId="0" fontId="70" fillId="2" borderId="0" xfId="6" applyFont="1" applyFill="1" applyBorder="1"/>
    <xf numFmtId="0" fontId="71" fillId="2" borderId="0" xfId="6" applyFont="1" applyFill="1" applyBorder="1"/>
    <xf numFmtId="0" fontId="7" fillId="2" borderId="0" xfId="6" applyFont="1" applyFill="1" applyBorder="1" applyAlignment="1"/>
    <xf numFmtId="0" fontId="2" fillId="2" borderId="0" xfId="6" applyFont="1" applyFill="1" applyBorder="1" applyAlignment="1"/>
    <xf numFmtId="0" fontId="72" fillId="2" borderId="0" xfId="6" applyFont="1" applyFill="1" applyBorder="1"/>
    <xf numFmtId="0" fontId="72" fillId="2" borderId="0" xfId="6" applyFont="1" applyFill="1" applyBorder="1" applyAlignment="1">
      <alignment vertical="center"/>
    </xf>
    <xf numFmtId="0" fontId="73" fillId="2" borderId="0" xfId="0" applyFont="1" applyFill="1"/>
    <xf numFmtId="167" fontId="20" fillId="2" borderId="0" xfId="22" applyNumberFormat="1" applyFont="1" applyFill="1" applyAlignment="1">
      <alignment vertical="center"/>
    </xf>
    <xf numFmtId="0" fontId="20" fillId="2" borderId="0" xfId="22" applyNumberFormat="1" applyFont="1" applyFill="1" applyAlignment="1">
      <alignment vertical="center"/>
    </xf>
    <xf numFmtId="167" fontId="21" fillId="2" borderId="0" xfId="22" applyNumberFormat="1" applyFont="1" applyFill="1" applyBorder="1" applyAlignment="1" applyProtection="1">
      <alignment horizontal="center" vertical="center" wrapText="1"/>
    </xf>
    <xf numFmtId="167" fontId="21" fillId="2" borderId="0" xfId="22" applyNumberFormat="1" applyFont="1" applyFill="1" applyBorder="1" applyAlignment="1" applyProtection="1">
      <alignment vertical="center"/>
    </xf>
    <xf numFmtId="0" fontId="21" fillId="2" borderId="0" xfId="22" applyNumberFormat="1" applyFont="1" applyFill="1" applyBorder="1" applyAlignment="1" applyProtection="1">
      <alignment vertical="center"/>
    </xf>
    <xf numFmtId="0" fontId="21" fillId="2" borderId="0" xfId="22" applyNumberFormat="1" applyFont="1" applyFill="1" applyAlignment="1">
      <alignment vertical="center"/>
    </xf>
    <xf numFmtId="167" fontId="21" fillId="2" borderId="0" xfId="22" applyNumberFormat="1" applyFont="1" applyFill="1" applyAlignment="1">
      <alignment vertical="center"/>
    </xf>
    <xf numFmtId="167" fontId="21" fillId="2" borderId="0" xfId="22" applyNumberFormat="1" applyFont="1" applyFill="1" applyBorder="1" applyAlignment="1">
      <alignment horizontal="left" vertical="center"/>
    </xf>
    <xf numFmtId="167" fontId="17" fillId="2" borderId="0" xfId="22" applyNumberFormat="1" applyFont="1" applyFill="1" applyBorder="1" applyAlignment="1" applyProtection="1">
      <alignment horizontal="center" vertical="center"/>
    </xf>
    <xf numFmtId="167" fontId="21" fillId="2" borderId="0" xfId="22" applyNumberFormat="1" applyFont="1" applyFill="1" applyBorder="1" applyAlignment="1" applyProtection="1">
      <alignment horizontal="left" vertical="center"/>
    </xf>
    <xf numFmtId="167" fontId="21" fillId="2" borderId="0" xfId="22" applyNumberFormat="1" applyFont="1" applyFill="1" applyBorder="1" applyAlignment="1" applyProtection="1">
      <alignment horizontal="right" vertical="center"/>
    </xf>
    <xf numFmtId="167" fontId="17" fillId="2" borderId="0" xfId="22" applyNumberFormat="1" applyFont="1" applyFill="1" applyBorder="1" applyAlignment="1" applyProtection="1">
      <alignment horizontal="right" vertical="center"/>
    </xf>
    <xf numFmtId="167" fontId="21" fillId="2" borderId="2" xfId="22" applyNumberFormat="1" applyFont="1" applyFill="1" applyBorder="1" applyAlignment="1">
      <alignment horizontal="left" vertical="center"/>
    </xf>
    <xf numFmtId="167" fontId="21" fillId="2" borderId="2" xfId="22" applyNumberFormat="1" applyFont="1" applyFill="1" applyBorder="1" applyAlignment="1" applyProtection="1">
      <alignment horizontal="right" vertical="center"/>
    </xf>
    <xf numFmtId="37" fontId="20" fillId="2" borderId="0" xfId="22" applyNumberFormat="1" applyFont="1" applyFill="1" applyBorder="1" applyAlignment="1" applyProtection="1">
      <alignment horizontal="right" vertical="center"/>
      <protection locked="0"/>
    </xf>
    <xf numFmtId="169" fontId="20" fillId="2" borderId="0" xfId="22" applyNumberFormat="1" applyFont="1" applyFill="1" applyBorder="1" applyAlignment="1" applyProtection="1">
      <alignment horizontal="right" vertical="center"/>
      <protection locked="0"/>
    </xf>
    <xf numFmtId="169" fontId="18" fillId="2" borderId="0" xfId="22" applyNumberFormat="1" applyFont="1" applyFill="1" applyBorder="1" applyAlignment="1" applyProtection="1">
      <alignment horizontal="right" vertical="center"/>
      <protection locked="0"/>
    </xf>
    <xf numFmtId="167" fontId="20" fillId="2" borderId="0" xfId="22" applyNumberFormat="1" applyFont="1" applyFill="1" applyBorder="1" applyAlignment="1">
      <alignment vertical="center"/>
    </xf>
    <xf numFmtId="174" fontId="20" fillId="2" borderId="0" xfId="22" applyNumberFormat="1" applyFont="1" applyFill="1" applyBorder="1" applyAlignment="1">
      <alignment vertical="center"/>
    </xf>
    <xf numFmtId="0" fontId="20" fillId="2" borderId="0" xfId="22" applyNumberFormat="1" applyFont="1" applyFill="1" applyBorder="1" applyAlignment="1">
      <alignment vertical="center"/>
    </xf>
    <xf numFmtId="167" fontId="21" fillId="2" borderId="2" xfId="22" applyNumberFormat="1" applyFont="1" applyFill="1" applyBorder="1" applyAlignment="1" applyProtection="1">
      <alignment horizontal="left" vertical="center"/>
    </xf>
    <xf numFmtId="37" fontId="20" fillId="2" borderId="2" xfId="22" applyNumberFormat="1" applyFont="1" applyFill="1" applyBorder="1" applyAlignment="1" applyProtection="1">
      <alignment horizontal="right" vertical="center"/>
      <protection locked="0"/>
    </xf>
    <xf numFmtId="169" fontId="20" fillId="2" borderId="2" xfId="22" applyNumberFormat="1" applyFont="1" applyFill="1" applyBorder="1" applyAlignment="1" applyProtection="1">
      <alignment horizontal="right" vertical="center"/>
      <protection locked="0"/>
    </xf>
    <xf numFmtId="175" fontId="20" fillId="2" borderId="0" xfId="22" applyNumberFormat="1" applyFont="1" applyFill="1" applyBorder="1" applyAlignment="1" applyProtection="1">
      <alignment horizontal="right" vertical="center"/>
      <protection locked="0"/>
    </xf>
    <xf numFmtId="176" fontId="20" fillId="2" borderId="0" xfId="22" applyNumberFormat="1" applyFont="1" applyFill="1" applyBorder="1" applyAlignment="1" applyProtection="1">
      <alignment horizontal="right" vertical="center"/>
      <protection locked="0"/>
    </xf>
    <xf numFmtId="176" fontId="20" fillId="2" borderId="2" xfId="22" applyNumberFormat="1" applyFont="1" applyFill="1" applyBorder="1" applyAlignment="1" applyProtection="1">
      <alignment horizontal="right" vertical="center"/>
      <protection locked="0"/>
    </xf>
    <xf numFmtId="177" fontId="20" fillId="2" borderId="0" xfId="22" applyNumberFormat="1" applyFont="1" applyFill="1" applyBorder="1" applyAlignment="1" applyProtection="1">
      <alignment horizontal="right" vertical="center"/>
      <protection locked="0"/>
    </xf>
    <xf numFmtId="177" fontId="20" fillId="2" borderId="2" xfId="22" applyNumberFormat="1" applyFont="1" applyFill="1" applyBorder="1" applyAlignment="1" applyProtection="1">
      <alignment horizontal="right" vertical="center"/>
      <protection locked="0"/>
    </xf>
    <xf numFmtId="167" fontId="21" fillId="2" borderId="1" xfId="22" applyNumberFormat="1" applyFont="1" applyFill="1" applyBorder="1" applyAlignment="1">
      <alignment horizontal="left" vertical="center"/>
    </xf>
    <xf numFmtId="2" fontId="20" fillId="2" borderId="1" xfId="22" applyNumberFormat="1" applyFont="1" applyFill="1" applyBorder="1" applyAlignment="1">
      <alignment horizontal="right" vertical="center"/>
    </xf>
    <xf numFmtId="2" fontId="18" fillId="2" borderId="0" xfId="22" applyNumberFormat="1" applyFont="1" applyFill="1" applyBorder="1" applyAlignment="1">
      <alignment horizontal="right" vertical="center"/>
    </xf>
    <xf numFmtId="167" fontId="20" fillId="2" borderId="0" xfId="22" applyNumberFormat="1" applyFont="1" applyFill="1" applyBorder="1" applyAlignment="1">
      <alignment horizontal="left" vertical="center"/>
    </xf>
    <xf numFmtId="2" fontId="20" fillId="2" borderId="0" xfId="22" applyNumberFormat="1" applyFont="1" applyFill="1" applyBorder="1" applyAlignment="1">
      <alignment horizontal="right" vertical="center"/>
    </xf>
    <xf numFmtId="2" fontId="20" fillId="2" borderId="0" xfId="22" applyNumberFormat="1" applyFont="1" applyFill="1" applyBorder="1" applyAlignment="1">
      <alignment vertical="center"/>
    </xf>
    <xf numFmtId="2" fontId="18" fillId="2" borderId="0" xfId="22" applyNumberFormat="1" applyFont="1" applyFill="1" applyBorder="1" applyAlignment="1">
      <alignment vertical="center"/>
    </xf>
    <xf numFmtId="167" fontId="20" fillId="2" borderId="2" xfId="22" applyNumberFormat="1" applyFont="1" applyFill="1" applyBorder="1" applyAlignment="1">
      <alignment horizontal="left" vertical="center"/>
    </xf>
    <xf numFmtId="2" fontId="20" fillId="2" borderId="2" xfId="22" applyNumberFormat="1" applyFont="1" applyFill="1" applyBorder="1" applyAlignment="1">
      <alignment vertical="center"/>
    </xf>
    <xf numFmtId="2" fontId="20" fillId="2" borderId="2" xfId="22" applyNumberFormat="1" applyFont="1" applyFill="1" applyBorder="1" applyAlignment="1">
      <alignment horizontal="right" vertical="center"/>
    </xf>
    <xf numFmtId="177" fontId="20" fillId="2" borderId="1" xfId="22" applyNumberFormat="1" applyFont="1" applyFill="1" applyBorder="1" applyAlignment="1" applyProtection="1">
      <alignment horizontal="right" vertical="center"/>
      <protection locked="0"/>
    </xf>
    <xf numFmtId="167" fontId="74" fillId="2" borderId="0" xfId="22" applyNumberFormat="1" applyFont="1" applyFill="1" applyBorder="1" applyAlignment="1" applyProtection="1">
      <alignment horizontal="left" vertical="center"/>
    </xf>
    <xf numFmtId="167" fontId="18" fillId="2" borderId="0" xfId="22" applyNumberFormat="1" applyFont="1" applyFill="1" applyAlignment="1">
      <alignment vertical="center"/>
    </xf>
    <xf numFmtId="167" fontId="75" fillId="2" borderId="0" xfId="11" applyFont="1" applyFill="1" applyAlignment="1">
      <alignment horizontal="right" vertical="center"/>
    </xf>
    <xf numFmtId="167" fontId="18" fillId="2" borderId="0" xfId="22" applyNumberFormat="1" applyFont="1" applyFill="1" applyAlignment="1">
      <alignment horizontal="left" vertical="center"/>
    </xf>
    <xf numFmtId="167" fontId="20" fillId="2" borderId="0" xfId="22" applyNumberFormat="1" applyFont="1" applyFill="1" applyAlignment="1">
      <alignment horizontal="left" vertical="center"/>
    </xf>
    <xf numFmtId="174" fontId="20" fillId="2" borderId="0" xfId="22" applyNumberFormat="1" applyFont="1" applyFill="1" applyBorder="1" applyAlignment="1">
      <alignment horizontal="right" vertical="center"/>
    </xf>
    <xf numFmtId="0" fontId="20" fillId="2" borderId="0" xfId="22" applyNumberFormat="1" applyFont="1" applyFill="1" applyBorder="1" applyAlignment="1">
      <alignment horizontal="right" vertical="center"/>
    </xf>
    <xf numFmtId="173" fontId="29" fillId="2" borderId="12" xfId="0" applyNumberFormat="1" applyFont="1" applyFill="1" applyBorder="1" applyAlignment="1">
      <alignment horizontal="right" vertical="center"/>
    </xf>
    <xf numFmtId="173" fontId="0" fillId="2" borderId="0" xfId="0" applyNumberFormat="1" applyFill="1"/>
    <xf numFmtId="173" fontId="0" fillId="2" borderId="8" xfId="0" applyNumberFormat="1" applyFill="1" applyBorder="1"/>
    <xf numFmtId="0" fontId="26" fillId="2" borderId="3" xfId="6" applyFont="1" applyFill="1" applyBorder="1"/>
    <xf numFmtId="167" fontId="11" fillId="2" borderId="0" xfId="11" applyFont="1" applyFill="1" applyBorder="1" applyAlignment="1">
      <alignment horizontal="right" vertical="center"/>
    </xf>
    <xf numFmtId="167" fontId="28" fillId="2" borderId="0" xfId="11" applyFont="1" applyFill="1" applyBorder="1" applyAlignment="1">
      <alignment horizontal="right" vertical="center"/>
    </xf>
    <xf numFmtId="166" fontId="20" fillId="2" borderId="0" xfId="6" applyNumberFormat="1" applyFont="1" applyFill="1" applyBorder="1" applyAlignment="1">
      <alignment horizontal="right" vertical="center" indent="1"/>
    </xf>
    <xf numFmtId="166" fontId="20" fillId="2" borderId="0" xfId="8" applyNumberFormat="1" applyFont="1" applyFill="1" applyBorder="1" applyAlignment="1">
      <alignment horizontal="right" vertical="center" indent="1"/>
    </xf>
    <xf numFmtId="166" fontId="21" fillId="2" borderId="0" xfId="6" applyNumberFormat="1" applyFont="1" applyFill="1" applyBorder="1" applyAlignment="1">
      <alignment horizontal="right" vertical="center" indent="1"/>
    </xf>
    <xf numFmtId="166" fontId="21" fillId="2" borderId="2" xfId="6" applyNumberFormat="1" applyFont="1" applyFill="1" applyBorder="1" applyAlignment="1">
      <alignment horizontal="right" vertical="center" indent="1"/>
    </xf>
    <xf numFmtId="166" fontId="21" fillId="2" borderId="2" xfId="8" applyNumberFormat="1" applyFont="1" applyFill="1" applyBorder="1" applyAlignment="1">
      <alignment horizontal="right" vertical="center" indent="1"/>
    </xf>
    <xf numFmtId="0" fontId="10" fillId="2" borderId="34" xfId="6" applyFont="1" applyFill="1" applyBorder="1" applyAlignment="1">
      <alignment horizontal="center"/>
    </xf>
    <xf numFmtId="0" fontId="21" fillId="2" borderId="0" xfId="6" applyFont="1" applyFill="1" applyBorder="1" applyAlignment="1">
      <alignment horizontal="center"/>
    </xf>
    <xf numFmtId="0" fontId="57" fillId="2" borderId="0" xfId="6" applyFont="1" applyFill="1" applyBorder="1" applyAlignment="1">
      <alignment horizontal="center"/>
    </xf>
    <xf numFmtId="0" fontId="20" fillId="2" borderId="0" xfId="21" applyFont="1" applyFill="1" applyBorder="1" applyAlignment="1">
      <alignment horizontal="left" vertical="center" indent="1"/>
    </xf>
    <xf numFmtId="0" fontId="20" fillId="2" borderId="2" xfId="21" applyFont="1" applyFill="1" applyBorder="1" applyAlignment="1">
      <alignment horizontal="left" vertical="center" indent="1"/>
    </xf>
    <xf numFmtId="0" fontId="8" fillId="2" borderId="1" xfId="23" applyFont="1" applyFill="1" applyBorder="1" applyAlignment="1">
      <alignment vertical="center"/>
    </xf>
    <xf numFmtId="0" fontId="10" fillId="2" borderId="1" xfId="23" applyFont="1" applyFill="1" applyBorder="1" applyAlignment="1">
      <alignment horizontal="center" vertical="center"/>
    </xf>
    <xf numFmtId="0" fontId="7" fillId="2" borderId="1" xfId="23" applyFont="1" applyFill="1" applyBorder="1" applyAlignment="1">
      <alignment horizontal="center" vertical="center"/>
    </xf>
    <xf numFmtId="0" fontId="8" fillId="2" borderId="0" xfId="23" applyFont="1" applyFill="1" applyBorder="1" applyAlignment="1">
      <alignment vertical="center"/>
    </xf>
    <xf numFmtId="0" fontId="8" fillId="2" borderId="0" xfId="23" applyFont="1" applyFill="1" applyAlignment="1">
      <alignment vertical="center"/>
    </xf>
    <xf numFmtId="0" fontId="8" fillId="2" borderId="0" xfId="23" applyFont="1" applyFill="1"/>
    <xf numFmtId="0" fontId="21" fillId="2" borderId="0" xfId="23" applyFont="1" applyFill="1" applyBorder="1" applyAlignment="1">
      <alignment vertical="center"/>
    </xf>
    <xf numFmtId="0" fontId="13" fillId="2" borderId="0" xfId="23" applyFont="1" applyFill="1" applyBorder="1" applyAlignment="1">
      <alignment horizontal="right" vertical="center"/>
    </xf>
    <xf numFmtId="0" fontId="20" fillId="2" borderId="2" xfId="23" applyFont="1" applyFill="1" applyBorder="1" applyAlignment="1">
      <alignment vertical="center"/>
    </xf>
    <xf numFmtId="0" fontId="21" fillId="2" borderId="2" xfId="23" applyFont="1" applyFill="1" applyBorder="1" applyAlignment="1">
      <alignment horizontal="right" vertical="center"/>
    </xf>
    <xf numFmtId="0" fontId="7" fillId="2" borderId="2" xfId="23" applyFont="1" applyFill="1" applyBorder="1" applyAlignment="1">
      <alignment horizontal="right" vertical="center"/>
    </xf>
    <xf numFmtId="0" fontId="7" fillId="2" borderId="2" xfId="23" applyFont="1" applyFill="1" applyBorder="1" applyAlignment="1">
      <alignment vertical="center"/>
    </xf>
    <xf numFmtId="0" fontId="10" fillId="2" borderId="0" xfId="23" applyFont="1" applyFill="1" applyBorder="1" applyAlignment="1">
      <alignment vertical="center"/>
    </xf>
    <xf numFmtId="0" fontId="10" fillId="2" borderId="0" xfId="23" applyFont="1" applyFill="1" applyAlignment="1">
      <alignment vertical="center"/>
    </xf>
    <xf numFmtId="0" fontId="10" fillId="2" borderId="0" xfId="23" applyFont="1" applyFill="1"/>
    <xf numFmtId="0" fontId="20" fillId="2" borderId="0" xfId="23" applyFont="1" applyFill="1" applyBorder="1" applyAlignment="1">
      <alignment vertical="center"/>
    </xf>
    <xf numFmtId="173" fontId="20" fillId="2" borderId="0" xfId="23" applyNumberFormat="1" applyFont="1" applyFill="1" applyBorder="1" applyAlignment="1">
      <alignment horizontal="right" vertical="center"/>
    </xf>
    <xf numFmtId="4" fontId="20" fillId="2" borderId="0" xfId="23" applyNumberFormat="1" applyFont="1" applyFill="1" applyBorder="1" applyAlignment="1">
      <alignment horizontal="right" vertical="center"/>
    </xf>
    <xf numFmtId="4" fontId="20" fillId="2" borderId="0" xfId="23" applyNumberFormat="1" applyFont="1" applyFill="1" applyAlignment="1">
      <alignment horizontal="right" vertical="center"/>
    </xf>
    <xf numFmtId="4" fontId="2" fillId="2" borderId="0" xfId="23" applyNumberFormat="1" applyFont="1" applyFill="1" applyBorder="1" applyAlignment="1">
      <alignment horizontal="right" vertical="center" indent="1"/>
    </xf>
    <xf numFmtId="0" fontId="56" fillId="2" borderId="0" xfId="23" applyFont="1" applyFill="1" applyAlignment="1">
      <alignment horizontal="right" vertical="center" indent="1"/>
    </xf>
    <xf numFmtId="0" fontId="8" fillId="2" borderId="0" xfId="23" applyFont="1" applyFill="1" applyBorder="1"/>
    <xf numFmtId="170" fontId="77" fillId="2" borderId="0" xfId="15" applyNumberFormat="1" applyFont="1" applyFill="1" applyBorder="1" applyAlignment="1" applyProtection="1">
      <alignment vertical="center"/>
    </xf>
    <xf numFmtId="0" fontId="2" fillId="2" borderId="0" xfId="23" applyFont="1" applyFill="1" applyBorder="1" applyAlignment="1">
      <alignment horizontal="right" vertical="center" indent="1"/>
    </xf>
    <xf numFmtId="167" fontId="13" fillId="2" borderId="0" xfId="24" applyNumberFormat="1" applyFont="1" applyFill="1" applyAlignment="1">
      <alignment horizontal="right" vertical="center" indent="1"/>
    </xf>
    <xf numFmtId="173" fontId="20" fillId="2" borderId="2" xfId="23" applyNumberFormat="1" applyFont="1" applyFill="1" applyBorder="1" applyAlignment="1">
      <alignment horizontal="right" vertical="center"/>
    </xf>
    <xf numFmtId="173" fontId="2" fillId="2" borderId="2" xfId="23" applyNumberFormat="1" applyFont="1" applyFill="1" applyBorder="1" applyAlignment="1">
      <alignment horizontal="right" vertical="center" indent="1"/>
    </xf>
    <xf numFmtId="0" fontId="56" fillId="2" borderId="2" xfId="23" applyFont="1" applyFill="1" applyBorder="1" applyAlignment="1">
      <alignment horizontal="right" vertical="center" indent="1"/>
    </xf>
    <xf numFmtId="173" fontId="20" fillId="2" borderId="0" xfId="23" applyNumberFormat="1" applyFont="1" applyFill="1" applyAlignment="1">
      <alignment horizontal="right" vertical="center"/>
    </xf>
    <xf numFmtId="4" fontId="20" fillId="2" borderId="2" xfId="23" applyNumberFormat="1" applyFont="1" applyFill="1" applyBorder="1" applyAlignment="1">
      <alignment horizontal="right" vertical="center"/>
    </xf>
    <xf numFmtId="0" fontId="19" fillId="2" borderId="0" xfId="23" applyFont="1" applyFill="1" applyBorder="1" applyAlignment="1">
      <alignment horizontal="left" vertical="center"/>
    </xf>
    <xf numFmtId="0" fontId="19" fillId="2" borderId="0" xfId="23" applyFont="1" applyFill="1" applyBorder="1"/>
    <xf numFmtId="0" fontId="19" fillId="2" borderId="0" xfId="23" applyFont="1" applyFill="1"/>
    <xf numFmtId="167" fontId="18" fillId="2" borderId="0" xfId="25" applyNumberFormat="1" applyFont="1" applyFill="1" applyBorder="1" applyAlignment="1">
      <alignment vertical="center"/>
    </xf>
    <xf numFmtId="0" fontId="19" fillId="2" borderId="0" xfId="23" applyFont="1" applyFill="1" applyBorder="1" applyAlignment="1">
      <alignment vertical="center"/>
    </xf>
    <xf numFmtId="167" fontId="28" fillId="2" borderId="0" xfId="25" applyNumberFormat="1" applyFont="1" applyFill="1" applyBorder="1" applyAlignment="1">
      <alignment vertical="center"/>
    </xf>
    <xf numFmtId="167" fontId="18" fillId="2" borderId="0" xfId="25" applyNumberFormat="1" applyFont="1" applyFill="1" applyAlignment="1">
      <alignment vertical="center"/>
    </xf>
    <xf numFmtId="0" fontId="19" fillId="2" borderId="0" xfId="23" applyFont="1" applyFill="1" applyAlignment="1">
      <alignment vertical="top"/>
    </xf>
    <xf numFmtId="0" fontId="19" fillId="2" borderId="0" xfId="23" applyFont="1" applyFill="1" applyBorder="1" applyAlignment="1">
      <alignment vertical="top"/>
    </xf>
    <xf numFmtId="167" fontId="28" fillId="2" borderId="0" xfId="25" applyNumberFormat="1" applyFont="1" applyFill="1" applyBorder="1" applyAlignment="1">
      <alignment vertical="top"/>
    </xf>
    <xf numFmtId="0" fontId="25" fillId="2" borderId="0" xfId="23" applyFont="1" applyFill="1"/>
    <xf numFmtId="0" fontId="25" fillId="2" borderId="0" xfId="23" applyFont="1" applyFill="1" applyBorder="1"/>
    <xf numFmtId="167" fontId="19" fillId="2" borderId="0" xfId="24" applyNumberFormat="1" applyFont="1" applyFill="1" applyAlignment="1">
      <alignment horizontal="right" vertical="center"/>
    </xf>
    <xf numFmtId="0" fontId="68" fillId="2" borderId="0" xfId="23" applyFont="1" applyFill="1"/>
    <xf numFmtId="0" fontId="2" fillId="2" borderId="0" xfId="23" applyFill="1"/>
    <xf numFmtId="167" fontId="17" fillId="2" borderId="0" xfId="11" applyFont="1" applyFill="1" applyBorder="1" applyAlignment="1" applyProtection="1">
      <alignment horizontal="center" vertical="center"/>
    </xf>
    <xf numFmtId="0" fontId="57" fillId="2" borderId="0" xfId="6" applyFont="1" applyFill="1" applyBorder="1" applyAlignment="1">
      <alignment horizontal="center"/>
    </xf>
    <xf numFmtId="0" fontId="17" fillId="2" borderId="0" xfId="6" applyNumberFormat="1" applyFont="1" applyFill="1" applyBorder="1" applyAlignment="1">
      <alignment horizontal="right" vertical="center"/>
    </xf>
    <xf numFmtId="166" fontId="10" fillId="2" borderId="0" xfId="9" applyNumberFormat="1" applyFont="1" applyFill="1" applyBorder="1" applyAlignment="1" applyProtection="1">
      <alignment horizontal="center" vertical="center"/>
    </xf>
    <xf numFmtId="43" fontId="5" fillId="4" borderId="0" xfId="15" applyFont="1" applyFill="1" applyBorder="1" applyAlignment="1">
      <alignment horizontal="right" vertical="center"/>
    </xf>
    <xf numFmtId="0" fontId="2" fillId="4" borderId="0" xfId="6" applyFont="1" applyFill="1" applyBorder="1"/>
    <xf numFmtId="2" fontId="20" fillId="4" borderId="0" xfId="17" applyNumberFormat="1" applyFont="1" applyFill="1" applyAlignment="1">
      <alignment vertical="center"/>
    </xf>
    <xf numFmtId="2" fontId="20" fillId="4" borderId="2" xfId="17" applyNumberFormat="1" applyFont="1" applyFill="1" applyBorder="1" applyAlignment="1">
      <alignment vertical="center"/>
    </xf>
    <xf numFmtId="0" fontId="21" fillId="2" borderId="0" xfId="0" applyFont="1" applyFill="1"/>
    <xf numFmtId="170" fontId="62" fillId="4" borderId="0" xfId="15" applyNumberFormat="1" applyFont="1" applyFill="1" applyBorder="1" applyAlignment="1">
      <alignment vertical="center"/>
    </xf>
    <xf numFmtId="170" fontId="62" fillId="4" borderId="2" xfId="15" applyNumberFormat="1" applyFont="1" applyFill="1" applyBorder="1" applyAlignment="1">
      <alignment vertical="center"/>
    </xf>
    <xf numFmtId="167" fontId="6" fillId="2" borderId="0" xfId="11" applyFont="1" applyFill="1" applyAlignment="1">
      <alignment horizontal="center" vertical="center"/>
    </xf>
    <xf numFmtId="167" fontId="39" fillId="2" borderId="0" xfId="11" applyFont="1" applyFill="1" applyAlignment="1">
      <alignment horizontal="center" vertical="center"/>
    </xf>
    <xf numFmtId="167" fontId="17" fillId="2" borderId="0" xfId="11" applyFont="1" applyFill="1" applyBorder="1" applyAlignment="1" applyProtection="1">
      <alignment horizontal="center" vertical="center"/>
    </xf>
    <xf numFmtId="0" fontId="21" fillId="2" borderId="2" xfId="6" applyFont="1" applyFill="1" applyBorder="1" applyAlignment="1">
      <alignment horizontal="left" vertical="center"/>
    </xf>
    <xf numFmtId="0" fontId="9" fillId="2" borderId="1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0" fontId="8" fillId="2" borderId="1" xfId="6" applyFont="1" applyFill="1" applyBorder="1" applyAlignment="1">
      <alignment horizontal="center"/>
    </xf>
    <xf numFmtId="0" fontId="10" fillId="2" borderId="20" xfId="6" applyFont="1" applyFill="1" applyBorder="1" applyAlignment="1">
      <alignment horizontal="center"/>
    </xf>
    <xf numFmtId="0" fontId="29" fillId="2" borderId="35" xfId="0" applyFont="1" applyFill="1" applyBorder="1" applyAlignment="1">
      <alignment horizontal="center" vertical="center" wrapText="1"/>
    </xf>
    <xf numFmtId="173" fontId="29" fillId="2" borderId="36" xfId="0" applyNumberFormat="1" applyFont="1" applyFill="1" applyBorder="1" applyAlignment="1">
      <alignment horizontal="right" vertical="center"/>
    </xf>
    <xf numFmtId="173" fontId="0" fillId="2" borderId="18" xfId="0" applyNumberFormat="1" applyFill="1" applyBorder="1"/>
    <xf numFmtId="173" fontId="0" fillId="2" borderId="19" xfId="0" applyNumberFormat="1" applyFill="1" applyBorder="1"/>
    <xf numFmtId="2" fontId="0" fillId="2" borderId="0" xfId="0" applyNumberFormat="1" applyFill="1" applyAlignment="1">
      <alignment vertical="center"/>
    </xf>
    <xf numFmtId="166" fontId="20" fillId="2" borderId="24" xfId="6" applyNumberFormat="1" applyFont="1" applyFill="1" applyBorder="1" applyAlignment="1">
      <alignment horizontal="right" vertical="center"/>
    </xf>
    <xf numFmtId="166" fontId="20" fillId="2" borderId="25" xfId="6" applyNumberFormat="1" applyFont="1" applyFill="1" applyBorder="1" applyAlignment="1">
      <alignment horizontal="right" vertical="center"/>
    </xf>
    <xf numFmtId="166" fontId="21" fillId="2" borderId="25" xfId="6" applyNumberFormat="1" applyFont="1" applyFill="1" applyBorder="1" applyAlignment="1">
      <alignment horizontal="right" vertical="center"/>
    </xf>
    <xf numFmtId="166" fontId="21" fillId="2" borderId="23" xfId="8" applyNumberFormat="1" applyFont="1" applyFill="1" applyBorder="1" applyAlignment="1">
      <alignment horizontal="right" vertical="center"/>
    </xf>
    <xf numFmtId="43" fontId="20" fillId="2" borderId="0" xfId="0" applyNumberFormat="1" applyFont="1" applyFill="1" applyAlignment="1">
      <alignment horizontal="left"/>
    </xf>
    <xf numFmtId="43" fontId="21" fillId="2" borderId="0" xfId="0" applyNumberFormat="1" applyFont="1" applyFill="1" applyBorder="1" applyAlignment="1">
      <alignment horizontal="left"/>
    </xf>
    <xf numFmtId="43" fontId="21" fillId="2" borderId="0" xfId="0" applyNumberFormat="1" applyFont="1" applyFill="1" applyAlignment="1">
      <alignment horizontal="left"/>
    </xf>
    <xf numFmtId="43" fontId="21" fillId="2" borderId="2" xfId="0" applyNumberFormat="1" applyFont="1" applyFill="1" applyBorder="1" applyAlignment="1">
      <alignment horizontal="left"/>
    </xf>
    <xf numFmtId="0" fontId="17" fillId="2" borderId="0" xfId="6" applyFont="1" applyFill="1" applyBorder="1"/>
    <xf numFmtId="0" fontId="10" fillId="2" borderId="0" xfId="6" applyFont="1" applyFill="1" applyBorder="1" applyAlignment="1">
      <alignment horizontal="right"/>
    </xf>
    <xf numFmtId="17" fontId="21" fillId="2" borderId="0" xfId="6" applyNumberFormat="1" applyFont="1" applyFill="1" applyBorder="1" applyAlignment="1">
      <alignment horizontal="right"/>
    </xf>
    <xf numFmtId="0" fontId="21" fillId="2" borderId="0" xfId="6" applyFont="1" applyFill="1" applyBorder="1" applyAlignment="1">
      <alignment horizontal="right"/>
    </xf>
    <xf numFmtId="167" fontId="21" fillId="2" borderId="0" xfId="10" applyFont="1" applyFill="1" applyBorder="1" applyAlignment="1">
      <alignment horizontal="right"/>
    </xf>
    <xf numFmtId="0" fontId="11" fillId="2" borderId="0" xfId="6" applyFont="1" applyFill="1" applyBorder="1" applyAlignment="1"/>
    <xf numFmtId="167" fontId="20" fillId="2" borderId="0" xfId="8" applyFont="1" applyFill="1" applyBorder="1" applyAlignment="1">
      <alignment vertical="center"/>
    </xf>
    <xf numFmtId="167" fontId="11" fillId="2" borderId="0" xfId="10" applyFont="1" applyFill="1" applyBorder="1" applyAlignment="1">
      <alignment horizontal="center" vertical="center"/>
    </xf>
    <xf numFmtId="0" fontId="20" fillId="2" borderId="0" xfId="7" applyFont="1" applyFill="1" applyBorder="1" applyAlignment="1">
      <alignment vertical="center"/>
    </xf>
    <xf numFmtId="43" fontId="5" fillId="4" borderId="2" xfId="15" applyFont="1" applyFill="1" applyBorder="1" applyAlignment="1">
      <alignment horizontal="right" vertical="center"/>
    </xf>
    <xf numFmtId="0" fontId="2" fillId="4" borderId="2" xfId="6" applyFont="1" applyFill="1" applyBorder="1"/>
    <xf numFmtId="167" fontId="57" fillId="2" borderId="0" xfId="22" applyNumberFormat="1" applyFont="1" applyFill="1" applyBorder="1" applyAlignment="1" applyProtection="1">
      <alignment horizontal="center" vertical="center" wrapText="1"/>
    </xf>
    <xf numFmtId="0" fontId="21" fillId="2" borderId="0" xfId="22" applyNumberFormat="1" applyFont="1" applyFill="1" applyBorder="1" applyAlignment="1">
      <alignment vertical="center"/>
    </xf>
    <xf numFmtId="167" fontId="21" fillId="2" borderId="0" xfId="22" applyNumberFormat="1" applyFont="1" applyFill="1" applyBorder="1" applyAlignment="1">
      <alignment vertical="center"/>
    </xf>
    <xf numFmtId="167" fontId="6" fillId="2" borderId="0" xfId="11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 wrapText="1"/>
    </xf>
    <xf numFmtId="0" fontId="35" fillId="2" borderId="15" xfId="0" applyFont="1" applyFill="1" applyBorder="1" applyAlignment="1">
      <alignment horizontal="left"/>
    </xf>
    <xf numFmtId="0" fontId="35" fillId="2" borderId="0" xfId="0" applyFont="1" applyFill="1" applyBorder="1" applyAlignment="1">
      <alignment horizontal="left"/>
    </xf>
    <xf numFmtId="0" fontId="13" fillId="2" borderId="16" xfId="6" applyFont="1" applyFill="1" applyBorder="1" applyAlignment="1">
      <alignment horizontal="center"/>
    </xf>
    <xf numFmtId="0" fontId="17" fillId="2" borderId="5" xfId="6" applyFont="1" applyFill="1" applyBorder="1" applyAlignment="1">
      <alignment horizontal="center" vertical="top" wrapText="1"/>
    </xf>
    <xf numFmtId="167" fontId="39" fillId="2" borderId="0" xfId="11" applyFont="1" applyFill="1" applyAlignment="1">
      <alignment horizontal="center" vertical="center"/>
    </xf>
    <xf numFmtId="0" fontId="33" fillId="2" borderId="0" xfId="0" applyFont="1" applyFill="1" applyAlignment="1">
      <alignment horizontal="center" wrapText="1"/>
    </xf>
    <xf numFmtId="167" fontId="9" fillId="2" borderId="0" xfId="11" applyFont="1" applyFill="1" applyAlignment="1">
      <alignment horizontal="center" vertical="center" wrapText="1"/>
    </xf>
    <xf numFmtId="167" fontId="17" fillId="2" borderId="0" xfId="11" applyFont="1" applyFill="1" applyBorder="1" applyAlignment="1" applyProtection="1">
      <alignment horizontal="center" vertical="center"/>
    </xf>
    <xf numFmtId="0" fontId="13" fillId="2" borderId="17" xfId="6" applyFont="1" applyFill="1" applyBorder="1" applyAlignment="1">
      <alignment horizontal="center"/>
    </xf>
    <xf numFmtId="0" fontId="17" fillId="2" borderId="21" xfId="6" applyFont="1" applyFill="1" applyBorder="1" applyAlignment="1">
      <alignment horizontal="center" vertical="top" wrapText="1"/>
    </xf>
    <xf numFmtId="0" fontId="13" fillId="2" borderId="1" xfId="6" applyFont="1" applyFill="1" applyBorder="1" applyAlignment="1">
      <alignment horizontal="right" vertical="center"/>
    </xf>
    <xf numFmtId="0" fontId="13" fillId="2" borderId="2" xfId="6" applyFont="1" applyFill="1" applyBorder="1" applyAlignment="1">
      <alignment horizontal="right" vertical="center"/>
    </xf>
    <xf numFmtId="0" fontId="21" fillId="2" borderId="1" xfId="6" applyFont="1" applyFill="1" applyBorder="1" applyAlignment="1">
      <alignment horizontal="left" vertical="center"/>
    </xf>
    <xf numFmtId="0" fontId="21" fillId="2" borderId="2" xfId="6" applyFont="1" applyFill="1" applyBorder="1" applyAlignment="1">
      <alignment horizontal="left" vertical="center"/>
    </xf>
    <xf numFmtId="167" fontId="17" fillId="2" borderId="2" xfId="11" applyFont="1" applyFill="1" applyBorder="1" applyAlignment="1" applyProtection="1">
      <alignment horizontal="center" vertical="center"/>
    </xf>
    <xf numFmtId="167" fontId="40" fillId="2" borderId="0" xfId="11" applyFont="1" applyFill="1" applyAlignment="1">
      <alignment horizontal="center" vertical="center" wrapText="1"/>
    </xf>
    <xf numFmtId="167" fontId="22" fillId="2" borderId="2" xfId="11" applyFont="1" applyFill="1" applyBorder="1" applyAlignment="1" applyProtection="1">
      <alignment horizontal="center" vertical="center"/>
    </xf>
    <xf numFmtId="167" fontId="17" fillId="2" borderId="6" xfId="11" applyFont="1" applyFill="1" applyBorder="1" applyAlignment="1" applyProtection="1">
      <alignment horizontal="center" vertical="center"/>
    </xf>
    <xf numFmtId="167" fontId="21" fillId="2" borderId="6" xfId="11" applyFont="1" applyFill="1" applyBorder="1" applyAlignment="1" applyProtection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167" fontId="44" fillId="2" borderId="0" xfId="11" applyFont="1" applyFill="1" applyAlignment="1">
      <alignment horizontal="center" vertical="center"/>
    </xf>
    <xf numFmtId="0" fontId="9" fillId="2" borderId="1" xfId="6" applyFont="1" applyFill="1" applyBorder="1" applyAlignment="1">
      <alignment horizontal="center" wrapText="1"/>
    </xf>
    <xf numFmtId="0" fontId="9" fillId="2" borderId="20" xfId="6" applyFont="1" applyFill="1" applyBorder="1" applyAlignment="1">
      <alignment horizontal="center" wrapText="1"/>
    </xf>
    <xf numFmtId="0" fontId="9" fillId="2" borderId="0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0" fontId="8" fillId="2" borderId="1" xfId="6" applyFont="1" applyFill="1" applyBorder="1" applyAlignment="1">
      <alignment horizontal="center"/>
    </xf>
    <xf numFmtId="0" fontId="10" fillId="2" borderId="20" xfId="6" applyFont="1" applyFill="1" applyBorder="1" applyAlignment="1">
      <alignment horizontal="center"/>
    </xf>
    <xf numFmtId="0" fontId="27" fillId="2" borderId="7" xfId="6" applyFont="1" applyFill="1" applyBorder="1" applyAlignment="1">
      <alignment horizontal="center" vertical="center"/>
    </xf>
    <xf numFmtId="0" fontId="27" fillId="2" borderId="1" xfId="6" applyFont="1" applyFill="1" applyBorder="1" applyAlignment="1">
      <alignment horizontal="center" vertical="center"/>
    </xf>
    <xf numFmtId="0" fontId="17" fillId="2" borderId="37" xfId="6" applyFont="1" applyFill="1" applyBorder="1" applyAlignment="1">
      <alignment horizontal="center" vertical="center" wrapText="1"/>
    </xf>
    <xf numFmtId="0" fontId="17" fillId="2" borderId="20" xfId="6" applyFont="1" applyFill="1" applyBorder="1" applyAlignment="1">
      <alignment horizontal="center" vertical="center" wrapText="1"/>
    </xf>
    <xf numFmtId="167" fontId="47" fillId="2" borderId="0" xfId="11" applyFont="1" applyFill="1" applyAlignment="1" applyProtection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2" borderId="20" xfId="6" applyFont="1" applyFill="1" applyBorder="1" applyAlignment="1">
      <alignment horizontal="center" vertical="center" wrapText="1"/>
    </xf>
    <xf numFmtId="167" fontId="21" fillId="2" borderId="2" xfId="11" applyFont="1" applyFill="1" applyBorder="1" applyAlignment="1" applyProtection="1">
      <alignment horizontal="center" vertical="center"/>
    </xf>
    <xf numFmtId="167" fontId="13" fillId="2" borderId="0" xfId="11" applyFont="1" applyFill="1" applyAlignment="1">
      <alignment horizontal="center" vertical="center" wrapText="1"/>
    </xf>
    <xf numFmtId="167" fontId="39" fillId="2" borderId="0" xfId="10" applyFont="1" applyFill="1" applyAlignment="1">
      <alignment horizontal="center" vertical="center"/>
    </xf>
    <xf numFmtId="167" fontId="21" fillId="2" borderId="0" xfId="10" applyFont="1" applyFill="1" applyAlignment="1" applyProtection="1">
      <alignment horizontal="center" vertical="center"/>
    </xf>
    <xf numFmtId="167" fontId="9" fillId="2" borderId="0" xfId="10" applyFont="1" applyFill="1" applyAlignment="1">
      <alignment horizontal="center" vertical="center" wrapText="1"/>
    </xf>
    <xf numFmtId="167" fontId="17" fillId="2" borderId="0" xfId="10" applyFont="1" applyFill="1" applyBorder="1" applyAlignment="1" applyProtection="1">
      <alignment horizontal="center" vertical="center"/>
    </xf>
    <xf numFmtId="167" fontId="39" fillId="2" borderId="0" xfId="10" applyFont="1" applyFill="1" applyBorder="1" applyAlignment="1">
      <alignment horizontal="center" vertical="center"/>
    </xf>
    <xf numFmtId="167" fontId="6" fillId="2" borderId="0" xfId="10" applyFont="1" applyFill="1" applyAlignment="1">
      <alignment horizontal="center" vertical="center"/>
    </xf>
    <xf numFmtId="167" fontId="17" fillId="2" borderId="2" xfId="10" applyFont="1" applyFill="1" applyBorder="1" applyAlignment="1" applyProtection="1">
      <alignment horizontal="center" vertical="center"/>
    </xf>
    <xf numFmtId="1" fontId="17" fillId="2" borderId="4" xfId="6" applyNumberFormat="1" applyFont="1" applyFill="1" applyBorder="1" applyAlignment="1">
      <alignment horizontal="right" vertical="center"/>
    </xf>
    <xf numFmtId="1" fontId="17" fillId="2" borderId="2" xfId="6" applyNumberFormat="1" applyFont="1" applyFill="1" applyBorder="1" applyAlignment="1">
      <alignment horizontal="right" vertical="center"/>
    </xf>
    <xf numFmtId="166" fontId="43" fillId="2" borderId="0" xfId="6" applyNumberFormat="1" applyFont="1" applyFill="1" applyBorder="1" applyAlignment="1">
      <alignment horizontal="center" vertical="center" readingOrder="2"/>
    </xf>
    <xf numFmtId="167" fontId="45" fillId="2" borderId="0" xfId="10" applyFont="1" applyFill="1" applyAlignment="1">
      <alignment horizontal="center" vertical="center" readingOrder="2"/>
    </xf>
    <xf numFmtId="167" fontId="33" fillId="2" borderId="0" xfId="10" applyFont="1" applyFill="1" applyAlignment="1" applyProtection="1">
      <alignment horizontal="center" vertical="center"/>
    </xf>
    <xf numFmtId="167" fontId="40" fillId="2" borderId="0" xfId="10" applyFont="1" applyFill="1" applyAlignment="1">
      <alignment horizontal="center" vertical="center" wrapText="1"/>
    </xf>
    <xf numFmtId="167" fontId="22" fillId="2" borderId="2" xfId="10" applyFont="1" applyFill="1" applyBorder="1" applyAlignment="1" applyProtection="1">
      <alignment horizontal="center" vertical="center"/>
    </xf>
    <xf numFmtId="0" fontId="27" fillId="2" borderId="1" xfId="6" applyFont="1" applyFill="1" applyBorder="1" applyAlignment="1">
      <alignment horizontal="right" vertical="center" indent="1"/>
    </xf>
    <xf numFmtId="0" fontId="27" fillId="2" borderId="0" xfId="6" applyFont="1" applyFill="1" applyBorder="1" applyAlignment="1">
      <alignment horizontal="right" vertical="center" indent="1"/>
    </xf>
    <xf numFmtId="0" fontId="27" fillId="2" borderId="2" xfId="6" applyFont="1" applyFill="1" applyBorder="1" applyAlignment="1">
      <alignment horizontal="right" vertical="center" indent="1"/>
    </xf>
    <xf numFmtId="0" fontId="21" fillId="2" borderId="28" xfId="6" applyFont="1" applyFill="1" applyBorder="1" applyAlignment="1">
      <alignment horizontal="center"/>
    </xf>
    <xf numFmtId="0" fontId="21" fillId="2" borderId="3" xfId="6" applyFont="1" applyFill="1" applyBorder="1" applyAlignment="1">
      <alignment horizontal="center"/>
    </xf>
    <xf numFmtId="0" fontId="57" fillId="2" borderId="0" xfId="6" applyFont="1" applyFill="1" applyBorder="1" applyAlignment="1">
      <alignment horizontal="center"/>
    </xf>
    <xf numFmtId="0" fontId="21" fillId="2" borderId="1" xfId="6" applyFont="1" applyFill="1" applyBorder="1" applyAlignment="1">
      <alignment horizontal="center" vertical="center"/>
    </xf>
    <xf numFmtId="0" fontId="21" fillId="2" borderId="0" xfId="6" applyFont="1" applyFill="1" applyBorder="1" applyAlignment="1">
      <alignment horizontal="center" vertical="center"/>
    </xf>
    <xf numFmtId="0" fontId="21" fillId="2" borderId="2" xfId="6" applyFont="1" applyFill="1" applyBorder="1" applyAlignment="1">
      <alignment horizontal="center" vertical="center"/>
    </xf>
    <xf numFmtId="0" fontId="21" fillId="2" borderId="6" xfId="6" applyFont="1" applyFill="1" applyBorder="1" applyAlignment="1">
      <alignment horizontal="center"/>
    </xf>
    <xf numFmtId="0" fontId="21" fillId="2" borderId="29" xfId="6" applyFont="1" applyFill="1" applyBorder="1" applyAlignment="1">
      <alignment horizontal="center"/>
    </xf>
    <xf numFmtId="167" fontId="27" fillId="2" borderId="0" xfId="22" applyNumberFormat="1" applyFont="1" applyFill="1" applyAlignment="1">
      <alignment horizontal="center" vertical="center"/>
    </xf>
    <xf numFmtId="167" fontId="57" fillId="2" borderId="0" xfId="22" applyNumberFormat="1" applyFont="1" applyFill="1" applyBorder="1" applyAlignment="1" applyProtection="1">
      <alignment horizontal="center" vertical="center" wrapText="1"/>
    </xf>
    <xf numFmtId="167" fontId="21" fillId="2" borderId="6" xfId="22" applyNumberFormat="1" applyFont="1" applyFill="1" applyBorder="1" applyAlignment="1" applyProtection="1">
      <alignment horizontal="center" vertical="center"/>
    </xf>
    <xf numFmtId="0" fontId="48" fillId="3" borderId="0" xfId="0" applyFont="1" applyFill="1" applyBorder="1" applyAlignment="1">
      <alignment horizontal="left" wrapText="1"/>
    </xf>
    <xf numFmtId="0" fontId="54" fillId="2" borderId="0" xfId="0" applyFont="1" applyFill="1" applyBorder="1" applyAlignment="1">
      <alignment horizontal="center"/>
    </xf>
    <xf numFmtId="0" fontId="52" fillId="2" borderId="0" xfId="0" applyFont="1" applyFill="1" applyBorder="1" applyAlignment="1">
      <alignment horizontal="center"/>
    </xf>
    <xf numFmtId="0" fontId="55" fillId="2" borderId="0" xfId="0" applyFont="1" applyFill="1" applyBorder="1" applyAlignment="1">
      <alignment horizontal="center"/>
    </xf>
    <xf numFmtId="167" fontId="6" fillId="2" borderId="0" xfId="19" applyNumberFormat="1" applyFont="1" applyFill="1" applyAlignment="1">
      <alignment horizontal="center" vertical="center"/>
    </xf>
    <xf numFmtId="167" fontId="21" fillId="2" borderId="0" xfId="19" applyNumberFormat="1" applyFont="1" applyFill="1" applyAlignment="1" applyProtection="1">
      <alignment horizontal="center" vertical="center"/>
    </xf>
    <xf numFmtId="167" fontId="9" fillId="2" borderId="0" xfId="19" applyNumberFormat="1" applyFont="1" applyFill="1" applyAlignment="1" applyProtection="1">
      <alignment horizontal="center" vertical="center"/>
    </xf>
    <xf numFmtId="167" fontId="17" fillId="2" borderId="0" xfId="19" applyNumberFormat="1" applyFont="1" applyFill="1" applyAlignment="1" applyProtection="1">
      <alignment horizontal="center" vertical="center"/>
    </xf>
    <xf numFmtId="167" fontId="58" fillId="2" borderId="0" xfId="20" applyNumberFormat="1" applyFont="1" applyFill="1" applyAlignment="1">
      <alignment horizontal="center" vertical="center"/>
    </xf>
    <xf numFmtId="4" fontId="57" fillId="2" borderId="2" xfId="20" applyNumberFormat="1" applyFont="1" applyFill="1" applyBorder="1" applyAlignment="1">
      <alignment horizontal="center" vertical="center"/>
    </xf>
    <xf numFmtId="0" fontId="56" fillId="2" borderId="0" xfId="23" applyFont="1" applyFill="1" applyBorder="1" applyAlignment="1">
      <alignment horizontal="right" vertical="center" wrapText="1" indent="1"/>
    </xf>
    <xf numFmtId="0" fontId="56" fillId="2" borderId="2" xfId="23" applyFont="1" applyFill="1" applyBorder="1" applyAlignment="1">
      <alignment horizontal="right" vertical="center" wrapText="1" indent="1"/>
    </xf>
    <xf numFmtId="0" fontId="6" fillId="2" borderId="0" xfId="23" applyFont="1" applyFill="1" applyAlignment="1">
      <alignment horizontal="center" wrapText="1"/>
    </xf>
    <xf numFmtId="0" fontId="6" fillId="2" borderId="0" xfId="23" applyFont="1" applyFill="1" applyBorder="1" applyAlignment="1">
      <alignment horizontal="center" vertical="center" wrapText="1"/>
    </xf>
    <xf numFmtId="0" fontId="7" fillId="2" borderId="3" xfId="23" applyFont="1" applyFill="1" applyBorder="1" applyAlignment="1">
      <alignment horizontal="center" vertical="center"/>
    </xf>
    <xf numFmtId="4" fontId="20" fillId="2" borderId="1" xfId="23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2" borderId="2" xfId="0" applyFill="1" applyBorder="1"/>
    <xf numFmtId="167" fontId="78" fillId="2" borderId="0" xfId="25" applyNumberFormat="1" applyFont="1" applyFill="1" applyAlignment="1">
      <alignment horizontal="right" vertical="center"/>
    </xf>
    <xf numFmtId="178" fontId="19" fillId="2" borderId="0" xfId="23" applyNumberFormat="1" applyFont="1" applyFill="1"/>
    <xf numFmtId="179" fontId="19" fillId="2" borderId="0" xfId="23" applyNumberFormat="1" applyFont="1" applyFill="1"/>
    <xf numFmtId="43" fontId="8" fillId="2" borderId="0" xfId="15" applyFont="1" applyFill="1"/>
    <xf numFmtId="43" fontId="0" fillId="2" borderId="0" xfId="15" applyFont="1" applyFill="1"/>
    <xf numFmtId="0" fontId="47" fillId="2" borderId="0" xfId="23" applyFont="1" applyFill="1" applyBorder="1" applyAlignment="1">
      <alignment horizontal="center" vertical="top"/>
    </xf>
    <xf numFmtId="0" fontId="47" fillId="2" borderId="0" xfId="23" applyFont="1" applyFill="1" applyBorder="1" applyAlignment="1">
      <alignment horizontal="center" vertical="center" wrapText="1"/>
    </xf>
    <xf numFmtId="0" fontId="21" fillId="2" borderId="38" xfId="23" applyFont="1" applyFill="1" applyBorder="1" applyAlignment="1">
      <alignment horizontal="center" vertical="center"/>
    </xf>
    <xf numFmtId="0" fontId="21" fillId="2" borderId="38" xfId="23" applyFont="1" applyFill="1" applyBorder="1" applyAlignment="1">
      <alignment horizontal="center" vertical="center"/>
    </xf>
  </cellXfs>
  <cellStyles count="26">
    <cellStyle name="1" xfId="1"/>
    <cellStyle name="Comma 2" xfId="2"/>
    <cellStyle name="Comma 2 2" xfId="14"/>
    <cellStyle name="Comma 3" xfId="3"/>
    <cellStyle name="Comma 3 2" xfId="15"/>
    <cellStyle name="Hyperlink" xfId="4" builtinId="8"/>
    <cellStyle name="Normal" xfId="0" builtinId="0"/>
    <cellStyle name="Normal - Style1" xfId="5"/>
    <cellStyle name="Normal 2" xfId="13"/>
    <cellStyle name="Normal 3" xfId="17"/>
    <cellStyle name="Normal 4" xfId="18"/>
    <cellStyle name="Normal_17 Prices_done" xfId="6"/>
    <cellStyle name="Normal_17 Prices_done_14 - Money and Banking" xfId="23"/>
    <cellStyle name="Normal_CPI new tables" xfId="7"/>
    <cellStyle name="Normal_Dec97" xfId="8"/>
    <cellStyle name="Normal_Finance - XI" xfId="25"/>
    <cellStyle name="Normal_Finance - XI 2" xfId="24"/>
    <cellStyle name="Normal_Fish &amp; Agri - 8" xfId="22"/>
    <cellStyle name="Normal_II-15(Population)" xfId="9"/>
    <cellStyle name="Normal_Quick data" xfId="21"/>
    <cellStyle name="Normal_XII-10(Commerce)" xfId="20"/>
    <cellStyle name="Normal_XII-11(Commerce)" xfId="10"/>
    <cellStyle name="Normal_XII-12 (Commerce)" xfId="11"/>
    <cellStyle name="Normal_XII-9(Commerce)" xfId="19"/>
    <cellStyle name="Percent 2" xfId="12"/>
    <cellStyle name="Percent 2 2" xfId="16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88295532320962589"/>
          <c:h val="0.69905593873151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delete val="1"/>
          </c:dLbls>
          <c:cat>
            <c:numRef>
              <c:f>'17.1'!$B$10:$B$42</c:f>
              <c:numCache>
                <c:formatCode>General</c:formatCode>
                <c:ptCount val="33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</c:numCache>
            </c:numRef>
          </c:cat>
          <c:val>
            <c:numRef>
              <c:f>'17.1'!$C$10:$C$42</c:f>
              <c:numCache>
                <c:formatCode>0.0</c:formatCode>
                <c:ptCount val="33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  <c:pt idx="32" formatCode="#,##0.0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D-4A2F-9842-763D5B2F5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77007984"/>
        <c:axId val="377006416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'17.1'!$B$10:$B$42</c:f>
              <c:numCache>
                <c:formatCode>General</c:formatCode>
                <c:ptCount val="33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</c:numCache>
            </c:numRef>
          </c:cat>
          <c:val>
            <c:numRef>
              <c:f>'17.1'!$H$10:$H$42</c:f>
              <c:numCache>
                <c:formatCode>0.0</c:formatCode>
                <c:ptCount val="33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D-4A2F-9842-763D5B2F5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7009160"/>
        <c:axId val="377011120"/>
      </c:lineChart>
      <c:catAx>
        <c:axId val="3770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1000"/>
            </a:pPr>
            <a:endParaRPr lang="en-US"/>
          </a:p>
        </c:txPr>
        <c:crossAx val="377006416"/>
        <c:crosses val="autoZero"/>
        <c:auto val="1"/>
        <c:lblAlgn val="ctr"/>
        <c:lblOffset val="100"/>
        <c:noMultiLvlLbl val="0"/>
      </c:catAx>
      <c:valAx>
        <c:axId val="377006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 b="1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 b="1">
                    <a:latin typeface="Consolas" pitchFamily="49" charset="0"/>
                    <a:cs typeface="Consolas" pitchFamily="49" charset="0"/>
                  </a:rPr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1.2609883238855825E-2"/>
              <c:y val="0.15033763826496993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377007984"/>
        <c:crosses val="autoZero"/>
        <c:crossBetween val="between"/>
      </c:valAx>
      <c:valAx>
        <c:axId val="377011120"/>
        <c:scaling>
          <c:orientation val="minMax"/>
        </c:scaling>
        <c:delete val="0"/>
        <c:axPos val="r"/>
        <c:majorGridlines>
          <c:spPr>
            <a:ln>
              <a:solidFill>
                <a:schemeClr val="accent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>
                    <a:latin typeface="Consolas" pitchFamily="49" charset="0"/>
                    <a:cs typeface="Consolas" pitchFamily="49" charset="0"/>
                  </a:rPr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97850716243266767"/>
              <c:y val="0.303052003119084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377009160"/>
        <c:crosses val="max"/>
        <c:crossBetween val="between"/>
      </c:valAx>
      <c:catAx>
        <c:axId val="377009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77011120"/>
        <c:crosses val="autoZero"/>
        <c:auto val="1"/>
        <c:lblAlgn val="ctr"/>
        <c:lblOffset val="100"/>
        <c:noMultiLvlLbl val="0"/>
      </c:cat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6262962999851943"/>
          <c:y val="0.19186635720868198"/>
          <c:w val="0.522866929260660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'17.5'!$Z$10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'17.5'!$AF$9:$AI$9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'17.5'!$AF$10:$AI$10</c:f>
              <c:numCache>
                <c:formatCode>_(* #,##0.0_);_(* \(#,##0.0\);_(* "-"??_);_(@_)</c:formatCode>
                <c:ptCount val="4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  <c:pt idx="3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C-4485-89D8-BF45EB4F086D}"/>
            </c:ext>
          </c:extLst>
        </c:ser>
        <c:ser>
          <c:idx val="3"/>
          <c:order val="1"/>
          <c:tx>
            <c:strRef>
              <c:f>'17.5'!$Z$11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'17.5'!$AF$9:$AI$9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'17.5'!$AF$11:$AI$11</c:f>
              <c:numCache>
                <c:formatCode>_(* #,##0.0_);_(* \(#,##0.0\);_(* "-"??_);_(@_)</c:formatCode>
                <c:ptCount val="4"/>
                <c:pt idx="0">
                  <c:v>105.92043432963987</c:v>
                </c:pt>
                <c:pt idx="1">
                  <c:v>107.37293678888472</c:v>
                </c:pt>
                <c:pt idx="2">
                  <c:v>108.23342334232696</c:v>
                </c:pt>
                <c:pt idx="3">
                  <c:v>110.69246887707151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C-4485-89D8-BF45EB4F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013080"/>
        <c:axId val="377008376"/>
      </c:barChart>
      <c:catAx>
        <c:axId val="37701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77008376"/>
        <c:crosses val="autoZero"/>
        <c:auto val="1"/>
        <c:lblAlgn val="ctr"/>
        <c:lblOffset val="100"/>
        <c:noMultiLvlLbl val="0"/>
      </c:catAx>
      <c:valAx>
        <c:axId val="3770083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37701308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5245793969977568"/>
          <c:y val="0.93945475088147634"/>
          <c:w val="0.35968327049504023"/>
          <c:h val="4.423063187080771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511E-2"/>
          <c:y val="0.17800015339585945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'17.5'!$AA$16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'17.5'!$Z$20:$Z$27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'17.5'!$AA$20:$AA$27</c:f>
              <c:numCache>
                <c:formatCode>0.0</c:formatCode>
                <c:ptCount val="8"/>
                <c:pt idx="0">
                  <c:v>80.568542845421106</c:v>
                </c:pt>
                <c:pt idx="1">
                  <c:v>89.651368722070842</c:v>
                </c:pt>
                <c:pt idx="2">
                  <c:v>99.409647361204449</c:v>
                </c:pt>
                <c:pt idx="3">
                  <c:v>103.19281073321666</c:v>
                </c:pt>
                <c:pt idx="4">
                  <c:v>105.38050013404563</c:v>
                </c:pt>
                <c:pt idx="5">
                  <c:v>106.38499407837655</c:v>
                </c:pt>
                <c:pt idx="6">
                  <c:v>106.91958868829052</c:v>
                </c:pt>
                <c:pt idx="7">
                  <c:v>109.93201964009602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1-48FB-84A1-63F1852A5541}"/>
            </c:ext>
          </c:extLst>
        </c:ser>
        <c:ser>
          <c:idx val="1"/>
          <c:order val="1"/>
          <c:tx>
            <c:strRef>
              <c:f>'17.5'!$AB$16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4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'17.5'!$Z$20:$Z$27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'17.5'!$AB$20:$AB$27</c:f>
              <c:numCache>
                <c:formatCode>_(* #,##0.0_);_(* \(#,##0.0\);_(* "-"??_);_(@_)</c:formatCode>
                <c:ptCount val="8"/>
                <c:pt idx="0">
                  <c:v>84.338371332150743</c:v>
                </c:pt>
                <c:pt idx="1">
                  <c:v>91.679051572020867</c:v>
                </c:pt>
                <c:pt idx="2">
                  <c:v>100.14126599840249</c:v>
                </c:pt>
                <c:pt idx="3" formatCode="0.0">
                  <c:v>103.07423491391059</c:v>
                </c:pt>
                <c:pt idx="4" formatCode="0.0">
                  <c:v>105.29983112357628</c:v>
                </c:pt>
                <c:pt idx="5" formatCode="0.0">
                  <c:v>106.44622541898161</c:v>
                </c:pt>
                <c:pt idx="6" formatCode="0.0">
                  <c:v>107.1902747590181</c:v>
                </c:pt>
                <c:pt idx="7" formatCode="0.0">
                  <c:v>110.17175267946645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1-48FB-84A1-63F1852A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09552"/>
        <c:axId val="377013472"/>
      </c:lineChart>
      <c:catAx>
        <c:axId val="3770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13472"/>
        <c:crosses val="autoZero"/>
        <c:auto val="1"/>
        <c:lblAlgn val="ctr"/>
        <c:lblOffset val="100"/>
        <c:noMultiLvlLbl val="0"/>
      </c:catAx>
      <c:valAx>
        <c:axId val="377013472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095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41276443990002"/>
          <c:y val="0.44483942760542416"/>
          <c:w val="0.38449806330138453"/>
          <c:h val="5.7346522182892136E-2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'17.6'!$AB$78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'17.6'!$AB$79:$AB$94</c:f>
              <c:numCache>
                <c:formatCode>0.0</c:formatCode>
                <c:ptCount val="16"/>
                <c:pt idx="0">
                  <c:v>107.04157551050889</c:v>
                </c:pt>
                <c:pt idx="1">
                  <c:v>108.34446887815083</c:v>
                </c:pt>
                <c:pt idx="2">
                  <c:v>104.05962917920893</c:v>
                </c:pt>
                <c:pt idx="3">
                  <c:v>122.18459773517431</c:v>
                </c:pt>
                <c:pt idx="4">
                  <c:v>100.99558210523537</c:v>
                </c:pt>
                <c:pt idx="5">
                  <c:v>108.10803524718015</c:v>
                </c:pt>
                <c:pt idx="6">
                  <c:v>116.59514145414504</c:v>
                </c:pt>
                <c:pt idx="7">
                  <c:v>97.499129166170533</c:v>
                </c:pt>
                <c:pt idx="8">
                  <c:v>125.81722828813672</c:v>
                </c:pt>
                <c:pt idx="9">
                  <c:v>101.34706519435288</c:v>
                </c:pt>
                <c:pt idx="10">
                  <c:v>99.79368976091358</c:v>
                </c:pt>
                <c:pt idx="11">
                  <c:v>100.69713942933714</c:v>
                </c:pt>
                <c:pt idx="12">
                  <c:v>124.80292719209795</c:v>
                </c:pt>
                <c:pt idx="13">
                  <c:v>123.14673548135868</c:v>
                </c:pt>
                <c:pt idx="14">
                  <c:v>98.469134997835681</c:v>
                </c:pt>
                <c:pt idx="15">
                  <c:v>106.91958868829052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5-4B13-9985-1CF28ADC6C6A}"/>
            </c:ext>
          </c:extLst>
        </c:ser>
        <c:ser>
          <c:idx val="2"/>
          <c:order val="1"/>
          <c:tx>
            <c:strRef>
              <c:f>'17.6'!$AC$78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'17.6'!$AC$79:$AC$94</c:f>
              <c:numCache>
                <c:formatCode>0.0</c:formatCode>
                <c:ptCount val="16"/>
                <c:pt idx="0">
                  <c:v>113.03489126776282</c:v>
                </c:pt>
                <c:pt idx="1">
                  <c:v>115.49732275295001</c:v>
                </c:pt>
                <c:pt idx="2">
                  <c:v>107.39909733735</c:v>
                </c:pt>
                <c:pt idx="3">
                  <c:v>154.41417266945828</c:v>
                </c:pt>
                <c:pt idx="4">
                  <c:v>100.29057707007946</c:v>
                </c:pt>
                <c:pt idx="5">
                  <c:v>109.47834485115725</c:v>
                </c:pt>
                <c:pt idx="6">
                  <c:v>122.00177799672292</c:v>
                </c:pt>
                <c:pt idx="7">
                  <c:v>98.588794205371599</c:v>
                </c:pt>
                <c:pt idx="8">
                  <c:v>125.52846282798579</c:v>
                </c:pt>
                <c:pt idx="9">
                  <c:v>101.83981865912176</c:v>
                </c:pt>
                <c:pt idx="10">
                  <c:v>99.659396804799613</c:v>
                </c:pt>
                <c:pt idx="11">
                  <c:v>100.58404074832116</c:v>
                </c:pt>
                <c:pt idx="12">
                  <c:v>130.07859259520549</c:v>
                </c:pt>
                <c:pt idx="13">
                  <c:v>125.6295963585136</c:v>
                </c:pt>
                <c:pt idx="14">
                  <c:v>98.317889337161489</c:v>
                </c:pt>
                <c:pt idx="15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5-4B13-9985-1CF28ADC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013864"/>
        <c:axId val="377009944"/>
      </c:barChart>
      <c:catAx>
        <c:axId val="377013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77009944"/>
        <c:crosses val="autoZero"/>
        <c:auto val="1"/>
        <c:lblAlgn val="ctr"/>
        <c:lblOffset val="100"/>
        <c:noMultiLvlLbl val="0"/>
      </c:catAx>
      <c:valAx>
        <c:axId val="377009944"/>
        <c:scaling>
          <c:orientation val="minMax"/>
          <c:max val="160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3770138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7267181248216535"/>
          <c:y val="0.1304035381105064"/>
          <c:w val="0.20919460211158197"/>
          <c:h val="5.1567283041475405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04E-2"/>
          <c:y val="0.15285599615551651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'17.6'!$W$172:$W$195</c:f>
              <c:strCache>
                <c:ptCount val="24"/>
                <c:pt idx="0">
                  <c:v>Jan '16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'17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'17.6'!$X$172:$X$195</c:f>
              <c:numCache>
                <c:formatCode>_(* #,##0.0_);_(* \(#,##0.0\);_(* "-"??_);_(@_)</c:formatCode>
                <c:ptCount val="24"/>
                <c:pt idx="0">
                  <c:v>106.400717559509</c:v>
                </c:pt>
                <c:pt idx="1">
                  <c:v>106.63038619744921</c:v>
                </c:pt>
                <c:pt idx="2">
                  <c:v>106.062411174174</c:v>
                </c:pt>
                <c:pt idx="3">
                  <c:v>105.86893022730047</c:v>
                </c:pt>
                <c:pt idx="4">
                  <c:v>105.93595093311723</c:v>
                </c:pt>
                <c:pt idx="5">
                  <c:v>106.16673824347546</c:v>
                </c:pt>
                <c:pt idx="6">
                  <c:v>106.44633482430255</c:v>
                </c:pt>
                <c:pt idx="7">
                  <c:v>106.34650731154315</c:v>
                </c:pt>
                <c:pt idx="8">
                  <c:v>106.75036802647057</c:v>
                </c:pt>
                <c:pt idx="9">
                  <c:v>108.78521616648365</c:v>
                </c:pt>
                <c:pt idx="10">
                  <c:v>108.6699796816679</c:v>
                </c:pt>
                <c:pt idx="11">
                  <c:v>108.97152391399352</c:v>
                </c:pt>
                <c:pt idx="12">
                  <c:v>109.49980955008905</c:v>
                </c:pt>
                <c:pt idx="13">
                  <c:v>109.88576174896833</c:v>
                </c:pt>
                <c:pt idx="14">
                  <c:v>110.60323178045907</c:v>
                </c:pt>
                <c:pt idx="15">
                  <c:v>110.59194937513206</c:v>
                </c:pt>
                <c:pt idx="16">
                  <c:v>110.85201445600245</c:v>
                </c:pt>
                <c:pt idx="17">
                  <c:v>109.74800644419963</c:v>
                </c:pt>
                <c:pt idx="18">
                  <c:v>109.6669128495823</c:v>
                </c:pt>
                <c:pt idx="19">
                  <c:v>109.27002315425663</c:v>
                </c:pt>
                <c:pt idx="20">
                  <c:v>109.83466504100939</c:v>
                </c:pt>
                <c:pt idx="21">
                  <c:v>109.5388392789536</c:v>
                </c:pt>
                <c:pt idx="22">
                  <c:v>109.34008741675697</c:v>
                </c:pt>
                <c:pt idx="23">
                  <c:v>110.35293458574249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4-494B-BDAC-C25E4380C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12296"/>
        <c:axId val="377012688"/>
      </c:lineChart>
      <c:catAx>
        <c:axId val="377012296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377012688"/>
        <c:crosses val="autoZero"/>
        <c:auto val="1"/>
        <c:lblAlgn val="ctr"/>
        <c:lblOffset val="100"/>
        <c:noMultiLvlLbl val="0"/>
      </c:catAx>
      <c:valAx>
        <c:axId val="377012688"/>
        <c:scaling>
          <c:orientation val="minMax"/>
          <c:max val="112"/>
          <c:min val="94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1229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en-AU"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17.6: Prices of petrol by month, 2016 - 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2017</a:t>
            </a:r>
          </a:p>
        </c:rich>
      </c:tx>
      <c:layout>
        <c:manualLayout>
          <c:xMode val="edge"/>
          <c:yMode val="edge"/>
          <c:x val="0.25156753639856677"/>
          <c:y val="2.0874331927667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790031155383703E-2"/>
          <c:y val="0.12740669068908758"/>
          <c:w val="0.91311795917994143"/>
          <c:h val="0.734179429754651"/>
        </c:manualLayout>
      </c:layout>
      <c:lineChart>
        <c:grouping val="standard"/>
        <c:varyColors val="0"/>
        <c:ser>
          <c:idx val="0"/>
          <c:order val="0"/>
          <c:tx>
            <c:strRef>
              <c:f>'17.9'!$CD$16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'17.9'!$BX$17:$BX$28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'17.9'!$CD$17:$CD$28</c:f>
              <c:numCache>
                <c:formatCode>_(* #,##0.00_);_(* \(#,##0.00\);_(* "-"??_);_(@_)</c:formatCode>
                <c:ptCount val="12"/>
                <c:pt idx="0">
                  <c:v>9.0500000000000007</c:v>
                </c:pt>
                <c:pt idx="1">
                  <c:v>9.0500000000000007</c:v>
                </c:pt>
                <c:pt idx="2">
                  <c:v>9.0500000000000007</c:v>
                </c:pt>
                <c:pt idx="3">
                  <c:v>9.0500000000000007</c:v>
                </c:pt>
                <c:pt idx="4">
                  <c:v>9.0500000000000007</c:v>
                </c:pt>
                <c:pt idx="5">
                  <c:v>9.0500000000000007</c:v>
                </c:pt>
                <c:pt idx="6">
                  <c:v>9.0500000000000007</c:v>
                </c:pt>
                <c:pt idx="7">
                  <c:v>9.0500000000000007</c:v>
                </c:pt>
                <c:pt idx="8">
                  <c:v>9.0500000000000007</c:v>
                </c:pt>
                <c:pt idx="9">
                  <c:v>9.0500000000000007</c:v>
                </c:pt>
                <c:pt idx="10">
                  <c:v>9.0500000000000007</c:v>
                </c:pt>
                <c:pt idx="11">
                  <c:v>9.0500000000000007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8-4BB0-90FA-FB6D816078BB}"/>
            </c:ext>
          </c:extLst>
        </c:ser>
        <c:ser>
          <c:idx val="1"/>
          <c:order val="1"/>
          <c:tx>
            <c:strRef>
              <c:f>'17.9'!$CE$16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strRef>
              <c:f>'17.9'!$BX$17:$BX$28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'17.9'!$CE$17:$CE$28</c:f>
              <c:numCache>
                <c:formatCode>General</c:formatCode>
                <c:ptCount val="12"/>
                <c:pt idx="0">
                  <c:v>9.35</c:v>
                </c:pt>
                <c:pt idx="1">
                  <c:v>9.35</c:v>
                </c:pt>
                <c:pt idx="2">
                  <c:v>9.35</c:v>
                </c:pt>
                <c:pt idx="3">
                  <c:v>9.15</c:v>
                </c:pt>
                <c:pt idx="4">
                  <c:v>9.15</c:v>
                </c:pt>
                <c:pt idx="5">
                  <c:v>8.75</c:v>
                </c:pt>
                <c:pt idx="6">
                  <c:v>8.65</c:v>
                </c:pt>
                <c:pt idx="7">
                  <c:v>8.65</c:v>
                </c:pt>
                <c:pt idx="8">
                  <c:v>8.9499999999999993</c:v>
                </c:pt>
                <c:pt idx="9">
                  <c:v>9.52</c:v>
                </c:pt>
                <c:pt idx="10">
                  <c:v>9.8699999999999992</c:v>
                </c:pt>
                <c:pt idx="11">
                  <c:v>9.8699999999999992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8-4BB0-90FA-FB6D81607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96904"/>
        <c:axId val="377901608"/>
      </c:lineChart>
      <c:catAx>
        <c:axId val="377896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901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77901608"/>
        <c:scaling>
          <c:orientation val="minMax"/>
          <c:max val="12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896904"/>
        <c:crosses val="autoZero"/>
        <c:crossBetween val="between"/>
        <c:majorUnit val="2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8608435057143041"/>
          <c:y val="0.50832311931825547"/>
          <c:w val="0.26830606448408728"/>
          <c:h val="8.5739059403288867E-2"/>
        </c:manualLayout>
      </c:layout>
      <c:overlay val="0"/>
      <c:txPr>
        <a:bodyPr/>
        <a:lstStyle/>
        <a:p>
          <a:pPr>
            <a:defRPr lang="en-AU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300" verticalDpi="300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17.8: </a:t>
            </a:r>
            <a:r>
              <a:rPr lang="en-US" sz="1100">
                <a:solidFill>
                  <a:schemeClr val="tx1"/>
                </a:solidFill>
                <a:latin typeface="+mn-lt"/>
              </a:rPr>
              <a:t>Price Change in</a:t>
            </a:r>
            <a:r>
              <a:rPr lang="en-US" sz="1100" baseline="0">
                <a:solidFill>
                  <a:schemeClr val="tx1"/>
                </a:solidFill>
                <a:latin typeface="+mn-lt"/>
              </a:rPr>
              <a:t> Fuel Oil, 2012 - 2017</a:t>
            </a:r>
            <a:endParaRPr lang="en-US" sz="11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6134204431876356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multiLvlStrRef>
              <c:f>'17.10'!$M$85:$N$106</c:f>
              <c:multiLvlStrCache>
                <c:ptCount val="22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Sept</c:v>
                  </c:pt>
                  <c:pt idx="5">
                    <c:v>Nov</c:v>
                  </c:pt>
                  <c:pt idx="6">
                    <c:v>Mar</c:v>
                  </c:pt>
                  <c:pt idx="7">
                    <c:v>Apr</c:v>
                  </c:pt>
                  <c:pt idx="8">
                    <c:v>Oct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Jan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Apr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</c:lvl>
                <c:lvl>
                  <c:pt idx="0">
                    <c:v>2012 </c:v>
                  </c:pt>
                  <c:pt idx="6">
                    <c:v>2013 </c:v>
                  </c:pt>
                  <c:pt idx="8">
                    <c:v>2014 </c:v>
                  </c:pt>
                  <c:pt idx="10">
                    <c:v>2015 </c:v>
                  </c:pt>
                  <c:pt idx="13">
                    <c:v>2016 </c:v>
                  </c:pt>
                  <c:pt idx="15">
                    <c:v>2017 </c:v>
                  </c:pt>
                </c:lvl>
              </c:multiLvlStrCache>
            </c:multiLvlStrRef>
          </c:cat>
          <c:val>
            <c:numRef>
              <c:f>'17.10'!$O$85:$O$106</c:f>
              <c:numCache>
                <c:formatCode>0.00</c:formatCode>
                <c:ptCount val="22"/>
                <c:pt idx="0">
                  <c:v>15.03</c:v>
                </c:pt>
                <c:pt idx="1">
                  <c:v>15.68</c:v>
                </c:pt>
                <c:pt idx="2">
                  <c:v>16.5</c:v>
                </c:pt>
                <c:pt idx="3">
                  <c:v>15.96</c:v>
                </c:pt>
                <c:pt idx="4">
                  <c:v>16.45</c:v>
                </c:pt>
                <c:pt idx="5">
                  <c:v>16.23</c:v>
                </c:pt>
                <c:pt idx="6">
                  <c:v>16.489999999999998</c:v>
                </c:pt>
                <c:pt idx="7">
                  <c:v>16.079999999999998</c:v>
                </c:pt>
                <c:pt idx="8">
                  <c:v>14.83</c:v>
                </c:pt>
                <c:pt idx="9">
                  <c:v>12</c:v>
                </c:pt>
                <c:pt idx="10">
                  <c:v>12.33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9.25</c:v>
                </c:pt>
                <c:pt idx="15">
                  <c:v>9.25</c:v>
                </c:pt>
                <c:pt idx="16">
                  <c:v>9.15</c:v>
                </c:pt>
                <c:pt idx="17">
                  <c:v>8.85</c:v>
                </c:pt>
                <c:pt idx="18">
                  <c:v>8.44</c:v>
                </c:pt>
                <c:pt idx="19">
                  <c:v>8.64</c:v>
                </c:pt>
                <c:pt idx="20">
                  <c:v>9.17</c:v>
                </c:pt>
                <c:pt idx="21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B97-A7C7-354E711BD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90736"/>
        <c:axId val="241959832"/>
      </c:lineChart>
      <c:catAx>
        <c:axId val="24139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241959832"/>
        <c:crosses val="autoZero"/>
        <c:auto val="1"/>
        <c:lblAlgn val="ctr"/>
        <c:lblOffset val="100"/>
        <c:noMultiLvlLbl val="0"/>
      </c:catAx>
      <c:valAx>
        <c:axId val="24195983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241390736"/>
        <c:crosses val="autoZero"/>
        <c:crossBetween val="between"/>
        <c:majorUnit val="5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198754</xdr:colOff>
      <xdr:row>45</xdr:row>
      <xdr:rowOff>98106</xdr:rowOff>
    </xdr:from>
    <xdr:to>
      <xdr:col>14</xdr:col>
      <xdr:colOff>600075</xdr:colOff>
      <xdr:row>64</xdr:row>
      <xdr:rowOff>68579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46</xdr:row>
      <xdr:rowOff>47625</xdr:rowOff>
    </xdr:from>
    <xdr:to>
      <xdr:col>12</xdr:col>
      <xdr:colOff>409575</xdr:colOff>
      <xdr:row>47</xdr:row>
      <xdr:rowOff>132472</xdr:rowOff>
    </xdr:to>
    <xdr:sp macro="" textlink="">
      <xdr:nvSpPr>
        <xdr:cNvPr id="5" name="TextBox 4"/>
        <xdr:cNvSpPr txBox="1"/>
      </xdr:nvSpPr>
      <xdr:spPr>
        <a:xfrm>
          <a:off x="2045970" y="886777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1985 - 2017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342901</xdr:colOff>
      <xdr:row>47</xdr:row>
      <xdr:rowOff>133349</xdr:rowOff>
    </xdr:from>
    <xdr:to>
      <xdr:col>12</xdr:col>
      <xdr:colOff>228601</xdr:colOff>
      <xdr:row>47</xdr:row>
      <xdr:rowOff>133349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171701" y="9315449"/>
          <a:ext cx="44577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1745" name="Text 10"/>
        <xdr:cNvSpPr txBox="1">
          <a:spLocks noChangeArrowheads="1"/>
        </xdr:cNvSpPr>
      </xdr:nvSpPr>
      <xdr:spPr bwMode="auto">
        <a:xfrm>
          <a:off x="3752850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70</xdr:row>
      <xdr:rowOff>246255</xdr:rowOff>
    </xdr:from>
    <xdr:to>
      <xdr:col>11</xdr:col>
      <xdr:colOff>190500</xdr:colOff>
      <xdr:row>89</xdr:row>
      <xdr:rowOff>11615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113907</xdr:colOff>
      <xdr:row>70</xdr:row>
      <xdr:rowOff>238822</xdr:rowOff>
    </xdr:from>
    <xdr:to>
      <xdr:col>22</xdr:col>
      <xdr:colOff>1864344</xdr:colOff>
      <xdr:row>89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49</xdr:row>
      <xdr:rowOff>0</xdr:rowOff>
    </xdr:to>
    <xdr:sp macro="" textlink="">
      <xdr:nvSpPr>
        <xdr:cNvPr id="6" name="Text 10"/>
        <xdr:cNvSpPr txBox="1">
          <a:spLocks noChangeArrowheads="1"/>
        </xdr:cNvSpPr>
      </xdr:nvSpPr>
      <xdr:spPr bwMode="auto">
        <a:xfrm>
          <a:off x="2976563" y="5298281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666750</xdr:colOff>
      <xdr:row>71</xdr:row>
      <xdr:rowOff>57150</xdr:rowOff>
    </xdr:from>
    <xdr:to>
      <xdr:col>11</xdr:col>
      <xdr:colOff>85725</xdr:colOff>
      <xdr:row>73</xdr:row>
      <xdr:rowOff>57150</xdr:rowOff>
    </xdr:to>
    <xdr:sp macro="" textlink="">
      <xdr:nvSpPr>
        <xdr:cNvPr id="7" name="TextBox 6"/>
        <xdr:cNvSpPr txBox="1"/>
      </xdr:nvSpPr>
      <xdr:spPr>
        <a:xfrm>
          <a:off x="666750" y="10115550"/>
          <a:ext cx="488632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2014 - 2017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1314449</xdr:colOff>
      <xdr:row>73</xdr:row>
      <xdr:rowOff>0</xdr:rowOff>
    </xdr:from>
    <xdr:to>
      <xdr:col>10</xdr:col>
      <xdr:colOff>161924</xdr:colOff>
      <xdr:row>73</xdr:row>
      <xdr:rowOff>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314449" y="10382250"/>
          <a:ext cx="38195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123825</xdr:colOff>
      <xdr:row>73</xdr:row>
      <xdr:rowOff>28574</xdr:rowOff>
    </xdr:from>
    <xdr:to>
      <xdr:col>22</xdr:col>
      <xdr:colOff>590550</xdr:colOff>
      <xdr:row>73</xdr:row>
      <xdr:rowOff>28575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7639050" y="10410824"/>
          <a:ext cx="3933825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0.1161</cdr:x>
      <cdr:y>0.04033</cdr:y>
    </cdr:from>
    <cdr:to>
      <cdr:x>0.84146</cdr:x>
      <cdr:y>0.15051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779374" y="124818"/>
          <a:ext cx="4869343" cy="3410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2010 - 2017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89</xdr:row>
      <xdr:rowOff>33120</xdr:rowOff>
    </xdr:from>
    <xdr:to>
      <xdr:col>12</xdr:col>
      <xdr:colOff>513184</xdr:colOff>
      <xdr:row>108</xdr:row>
      <xdr:rowOff>98961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70</xdr:row>
      <xdr:rowOff>103302</xdr:rowOff>
    </xdr:from>
    <xdr:to>
      <xdr:col>12</xdr:col>
      <xdr:colOff>495513</xdr:colOff>
      <xdr:row>88</xdr:row>
      <xdr:rowOff>89065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1528841</xdr:colOff>
      <xdr:row>90</xdr:row>
      <xdr:rowOff>47625</xdr:rowOff>
    </xdr:from>
    <xdr:to>
      <xdr:col>11</xdr:col>
      <xdr:colOff>628650</xdr:colOff>
      <xdr:row>90</xdr:row>
      <xdr:rowOff>52154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528841" y="21040725"/>
          <a:ext cx="7558009" cy="452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152401</xdr:colOff>
      <xdr:row>72</xdr:row>
      <xdr:rowOff>28575</xdr:rowOff>
    </xdr:from>
    <xdr:to>
      <xdr:col>10</xdr:col>
      <xdr:colOff>504825</xdr:colOff>
      <xdr:row>72</xdr:row>
      <xdr:rowOff>47625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657476" y="17440275"/>
          <a:ext cx="5572124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0.05963</cdr:x>
      <cdr:y>0.0166</cdr:y>
    </cdr:from>
    <cdr:to>
      <cdr:x>0.94776</cdr:x>
      <cdr:y>0.08061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531388" y="78865"/>
          <a:ext cx="7914760" cy="30418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Figure 17.5: Consumer Price Index by Major Catagories, Republic, 2016 - 2017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0.01159</cdr:y>
    </cdr:from>
    <cdr:to>
      <cdr:x>0.87042</cdr:x>
      <cdr:y>0.07233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601" y="39573"/>
          <a:ext cx="6685816" cy="20743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2015 - 2017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474344</xdr:colOff>
      <xdr:row>12</xdr:row>
      <xdr:rowOff>60960</xdr:rowOff>
    </xdr:from>
    <xdr:to>
      <xdr:col>52</xdr:col>
      <xdr:colOff>323849</xdr:colOff>
      <xdr:row>28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457200</xdr:colOff>
      <xdr:row>13</xdr:row>
      <xdr:rowOff>152399</xdr:rowOff>
    </xdr:from>
    <xdr:to>
      <xdr:col>50</xdr:col>
      <xdr:colOff>428625</xdr:colOff>
      <xdr:row>13</xdr:row>
      <xdr:rowOff>161924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4448175" y="3428999"/>
          <a:ext cx="37719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0.02448</cdr:x>
      <cdr:y>0.05575</cdr:y>
    </cdr:from>
    <cdr:to>
      <cdr:x>0.20087</cdr:x>
      <cdr:y>0.12997</cdr:y>
    </cdr:to>
    <cdr:sp macro="" textlink="">
      <cdr:nvSpPr>
        <cdr:cNvPr id="983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978" y="166664"/>
          <a:ext cx="1023190" cy="221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Rufiyaa per liter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73</xdr:row>
      <xdr:rowOff>142875</xdr:rowOff>
    </xdr:from>
    <xdr:to>
      <xdr:col>5</xdr:col>
      <xdr:colOff>1343025</xdr:colOff>
      <xdr:row>92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1019175</xdr:colOff>
      <xdr:row>76</xdr:row>
      <xdr:rowOff>12925</xdr:rowOff>
    </xdr:from>
    <xdr:to>
      <xdr:col>4</xdr:col>
      <xdr:colOff>628650</xdr:colOff>
      <xdr:row>76</xdr:row>
      <xdr:rowOff>12925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219325" y="7966300"/>
          <a:ext cx="3048000" cy="0"/>
        </a:xfrm>
        <a:prstGeom prst="line">
          <a:avLst/>
        </a:prstGeom>
        <a:ln w="38100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5\Annual\Graphs%20&amp;%20tables%20used_annual%202015-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%20Unit\PPI%20(Producer%20Price%20Index)\Rebase%202007\Index%20Compilation\PPI%20excel%20setup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  <cell r="OF3">
            <v>0.50250941361158485</v>
          </cell>
        </row>
        <row r="4">
          <cell r="OC4">
            <v>107.04157551050889</v>
          </cell>
          <cell r="OF4">
            <v>0.57688102083264248</v>
          </cell>
        </row>
        <row r="38">
          <cell r="OC38">
            <v>104.05962917920893</v>
          </cell>
          <cell r="OF38">
            <v>-1.587337151600976</v>
          </cell>
        </row>
        <row r="156">
          <cell r="OC156">
            <v>122.18459773517431</v>
          </cell>
          <cell r="OF156">
            <v>4.0191140378448287</v>
          </cell>
        </row>
        <row r="167">
          <cell r="OC167">
            <v>100.99558210523537</v>
          </cell>
          <cell r="OF167">
            <v>-0.53676570684748626</v>
          </cell>
        </row>
        <row r="207">
          <cell r="OC207">
            <v>108.10803524718015</v>
          </cell>
          <cell r="OF207">
            <v>0.29920217667491755</v>
          </cell>
        </row>
        <row r="209">
          <cell r="OC209">
            <v>116.59514145414504</v>
          </cell>
          <cell r="OF209">
            <v>3.7607542756177725</v>
          </cell>
        </row>
        <row r="240">
          <cell r="OC240">
            <v>97.499129166170533</v>
          </cell>
          <cell r="OF240">
            <v>0.91069109507078139</v>
          </cell>
        </row>
        <row r="292">
          <cell r="OC292">
            <v>125.81722828813672</v>
          </cell>
          <cell r="OF292">
            <v>1.804490098291045</v>
          </cell>
        </row>
        <row r="322">
          <cell r="OC322">
            <v>101.34706519435288</v>
          </cell>
          <cell r="OF322">
            <v>-1.5370849537459153</v>
          </cell>
        </row>
        <row r="348">
          <cell r="OC348">
            <v>99.79368976091358</v>
          </cell>
          <cell r="OF348">
            <v>-0.75989147318363814</v>
          </cell>
        </row>
        <row r="360">
          <cell r="OC360">
            <v>100.69713942933714</v>
          </cell>
          <cell r="OF360">
            <v>-1.2350059655517276</v>
          </cell>
        </row>
        <row r="405">
          <cell r="OC405">
            <v>124.80292719209795</v>
          </cell>
          <cell r="OF405">
            <v>4.8696897695142072</v>
          </cell>
        </row>
        <row r="421">
          <cell r="OC421">
            <v>123.14673548135868</v>
          </cell>
          <cell r="OF421">
            <v>1.7231004678103012</v>
          </cell>
        </row>
        <row r="438">
          <cell r="OC438">
            <v>98.469134997835681</v>
          </cell>
          <cell r="OF438">
            <v>-0.2698829137845582</v>
          </cell>
        </row>
        <row r="484">
          <cell r="OC484">
            <v>107.1902747590181</v>
          </cell>
          <cell r="OF484">
            <v>0.69899081635618199</v>
          </cell>
        </row>
        <row r="485">
          <cell r="OC485">
            <v>108.34446887815083</v>
          </cell>
          <cell r="OF485">
            <v>1.513707865264502</v>
          </cell>
        </row>
      </sheetData>
      <sheetData sheetId="1" refreshError="1">
        <row r="3">
          <cell r="NM3">
            <v>106.40071755950871</v>
          </cell>
          <cell r="NN3">
            <v>106.63038619744921</v>
          </cell>
          <cell r="NO3">
            <v>106.062411174174</v>
          </cell>
          <cell r="NP3">
            <v>105.86893022730047</v>
          </cell>
          <cell r="NQ3">
            <v>105.93595093311723</v>
          </cell>
          <cell r="NR3">
            <v>106.16673824347546</v>
          </cell>
          <cell r="NS3">
            <v>106.44633482430255</v>
          </cell>
          <cell r="NT3">
            <v>106.34650731154315</v>
          </cell>
          <cell r="NU3">
            <v>106.75036802647057</v>
          </cell>
          <cell r="NV3">
            <v>108.78521616648365</v>
          </cell>
          <cell r="NW3">
            <v>108.6699796816679</v>
          </cell>
          <cell r="NX3">
            <v>108.97152391399352</v>
          </cell>
        </row>
        <row r="4">
          <cell r="NM4">
            <v>106.69567188406033</v>
          </cell>
          <cell r="NN4">
            <v>106.32861637396752</v>
          </cell>
          <cell r="NO4">
            <v>106.22409698520447</v>
          </cell>
          <cell r="NP4">
            <v>106.05536508120319</v>
          </cell>
          <cell r="NQ4">
            <v>106.00271740670937</v>
          </cell>
          <cell r="NR4">
            <v>106.30705421586372</v>
          </cell>
          <cell r="NS4">
            <v>106.63732880279971</v>
          </cell>
          <cell r="NT4">
            <v>106.88931976180494</v>
          </cell>
          <cell r="NU4">
            <v>106.96097813269472</v>
          </cell>
          <cell r="NV4">
            <v>109.33424405019518</v>
          </cell>
          <cell r="NW4">
            <v>109.32782738869956</v>
          </cell>
          <cell r="NX4">
            <v>109.52007702501452</v>
          </cell>
        </row>
        <row r="5">
          <cell r="NM5">
            <v>105.48100556258261</v>
          </cell>
          <cell r="NN5">
            <v>107.18890464838381</v>
          </cell>
          <cell r="NO5">
            <v>104.92534085086224</v>
          </cell>
          <cell r="NP5">
            <v>104.62763693274307</v>
          </cell>
          <cell r="NQ5">
            <v>105.00040203020284</v>
          </cell>
          <cell r="NR5">
            <v>105.5058172310701</v>
          </cell>
          <cell r="NS5">
            <v>105.38477187932992</v>
          </cell>
          <cell r="NT5">
            <v>104.66885965465767</v>
          </cell>
          <cell r="NU5">
            <v>106.29762096656296</v>
          </cell>
          <cell r="NV5">
            <v>112.21889827771116</v>
          </cell>
          <cell r="NW5">
            <v>111.31030290493474</v>
          </cell>
          <cell r="NX5">
            <v>111.88934518706554</v>
          </cell>
        </row>
        <row r="6">
          <cell r="NM6">
            <v>106.44078427698152</v>
          </cell>
          <cell r="NN6">
            <v>106.03984762069598</v>
          </cell>
          <cell r="NO6">
            <v>105.17492961542654</v>
          </cell>
          <cell r="NP6">
            <v>104.94593922446937</v>
          </cell>
          <cell r="NQ6">
            <v>104.89985575796824</v>
          </cell>
          <cell r="NR6">
            <v>105.86479693486402</v>
          </cell>
          <cell r="NS6">
            <v>105.80264996696059</v>
          </cell>
          <cell r="NT6">
            <v>106.44168687088121</v>
          </cell>
          <cell r="NU6">
            <v>107.0720630626256</v>
          </cell>
          <cell r="NV6">
            <v>116.25369723782394</v>
          </cell>
          <cell r="NW6">
            <v>115.50081717597779</v>
          </cell>
          <cell r="NX6">
            <v>115.69655879313525</v>
          </cell>
        </row>
        <row r="7">
          <cell r="NM7">
            <v>103.28434949897733</v>
          </cell>
          <cell r="NN7">
            <v>109.81876406225896</v>
          </cell>
          <cell r="NO7">
            <v>104.35410430970681</v>
          </cell>
          <cell r="NP7">
            <v>103.89913498881545</v>
          </cell>
          <cell r="NQ7">
            <v>105.23052338553575</v>
          </cell>
          <cell r="NR7">
            <v>104.6842164482856</v>
          </cell>
          <cell r="NS7">
            <v>104.42836971988416</v>
          </cell>
          <cell r="NT7">
            <v>100.61137057324943</v>
          </cell>
          <cell r="NU7">
            <v>104.52514685278548</v>
          </cell>
          <cell r="NV7">
            <v>102.98440967300114</v>
          </cell>
          <cell r="NW7">
            <v>101.71942696133134</v>
          </cell>
          <cell r="NX7">
            <v>103.17573367667575</v>
          </cell>
        </row>
        <row r="8">
          <cell r="NM8">
            <v>121.88718960216394</v>
          </cell>
          <cell r="NN8">
            <v>121.89766249218469</v>
          </cell>
          <cell r="NO8">
            <v>121.9372509450354</v>
          </cell>
          <cell r="NP8">
            <v>121.94561488782901</v>
          </cell>
          <cell r="NQ8">
            <v>122.35097081009513</v>
          </cell>
          <cell r="NR8">
            <v>122.04918172836094</v>
          </cell>
          <cell r="NS8">
            <v>122.01542386807137</v>
          </cell>
          <cell r="NT8">
            <v>122.18086645427454</v>
          </cell>
          <cell r="NU8">
            <v>122.42970337571218</v>
          </cell>
          <cell r="NV8">
            <v>122.50923101847108</v>
          </cell>
          <cell r="NW8">
            <v>122.44672077236744</v>
          </cell>
          <cell r="NX8">
            <v>122.56535686752591</v>
          </cell>
        </row>
        <row r="9">
          <cell r="NM9">
            <v>101.09010951860198</v>
          </cell>
          <cell r="NN9">
            <v>101.06822205137452</v>
          </cell>
          <cell r="NO9">
            <v>100.97960179428145</v>
          </cell>
          <cell r="NP9">
            <v>100.88070590234088</v>
          </cell>
          <cell r="NQ9">
            <v>101.13278622505824</v>
          </cell>
          <cell r="NR9">
            <v>101.41008834871749</v>
          </cell>
          <cell r="NS9">
            <v>101.56799911475512</v>
          </cell>
          <cell r="NT9">
            <v>100.86435411938893</v>
          </cell>
          <cell r="NU9">
            <v>100.70655857198788</v>
          </cell>
          <cell r="NV9">
            <v>100.81017832595245</v>
          </cell>
          <cell r="NW9">
            <v>100.74457806290398</v>
          </cell>
          <cell r="NX9">
            <v>100.69180322746162</v>
          </cell>
        </row>
        <row r="10">
          <cell r="NM10">
            <v>108.36055373462274</v>
          </cell>
          <cell r="NN10">
            <v>107.28118714892253</v>
          </cell>
          <cell r="NO10">
            <v>107.29663225350892</v>
          </cell>
          <cell r="NP10">
            <v>107.32378637109318</v>
          </cell>
          <cell r="NQ10">
            <v>107.60176741998026</v>
          </cell>
          <cell r="NR10">
            <v>107.67257848922625</v>
          </cell>
          <cell r="NS10">
            <v>107.98077540362419</v>
          </cell>
          <cell r="NT10">
            <v>108.24770976511873</v>
          </cell>
          <cell r="NU10">
            <v>108.33259731716004</v>
          </cell>
          <cell r="NV10">
            <v>108.67003620067761</v>
          </cell>
          <cell r="NW10">
            <v>109.07814119351566</v>
          </cell>
          <cell r="NX10">
            <v>109.45065766871167</v>
          </cell>
        </row>
        <row r="11">
          <cell r="NM11">
            <v>113.97248964002806</v>
          </cell>
          <cell r="NN11">
            <v>114.50451124927262</v>
          </cell>
          <cell r="NO11">
            <v>114.94398752112168</v>
          </cell>
          <cell r="NP11">
            <v>115.42697574160088</v>
          </cell>
          <cell r="NQ11">
            <v>116.09722470552043</v>
          </cell>
          <cell r="NR11">
            <v>116.4319378629214</v>
          </cell>
          <cell r="NS11">
            <v>116.97948608557621</v>
          </cell>
          <cell r="NT11">
            <v>117.61129721014137</v>
          </cell>
          <cell r="NU11">
            <v>117.78405534356747</v>
          </cell>
          <cell r="NV11">
            <v>118.01741740061064</v>
          </cell>
          <cell r="NW11">
            <v>118.65676641914334</v>
          </cell>
          <cell r="NX11">
            <v>118.71554827023621</v>
          </cell>
        </row>
        <row r="12">
          <cell r="NM12">
            <v>96.460774817896521</v>
          </cell>
          <cell r="NN12">
            <v>96.661972706400761</v>
          </cell>
          <cell r="NO12">
            <v>96.918860985943255</v>
          </cell>
          <cell r="NP12">
            <v>95.827899490214349</v>
          </cell>
          <cell r="NQ12">
            <v>95.048563202998054</v>
          </cell>
          <cell r="NR12">
            <v>96.322208698128307</v>
          </cell>
          <cell r="NS12">
            <v>97.766893928983748</v>
          </cell>
          <cell r="NT12">
            <v>98.007757799884175</v>
          </cell>
          <cell r="NU12">
            <v>98.459538547355024</v>
          </cell>
          <cell r="NV12">
            <v>99.413253966261692</v>
          </cell>
          <cell r="NW12">
            <v>99.425074250063503</v>
          </cell>
          <cell r="NX12">
            <v>99.676751599917182</v>
          </cell>
        </row>
        <row r="13">
          <cell r="NM13">
            <v>125.09902602792579</v>
          </cell>
          <cell r="NN13">
            <v>125.18517194286531</v>
          </cell>
          <cell r="NO13">
            <v>125.65341804996341</v>
          </cell>
          <cell r="NP13">
            <v>125.84980679174986</v>
          </cell>
          <cell r="NQ13">
            <v>125.90682328025476</v>
          </cell>
          <cell r="NR13">
            <v>125.93132036583214</v>
          </cell>
          <cell r="NS13">
            <v>125.9726881863762</v>
          </cell>
          <cell r="NT13">
            <v>126.25559100462326</v>
          </cell>
          <cell r="NU13">
            <v>125.96565542244646</v>
          </cell>
          <cell r="NV13">
            <v>125.98799311372866</v>
          </cell>
          <cell r="NW13">
            <v>125.99723945717639</v>
          </cell>
          <cell r="NX13">
            <v>126.00200581469828</v>
          </cell>
        </row>
        <row r="14">
          <cell r="NM14">
            <v>102.24116952558717</v>
          </cell>
          <cell r="NN14">
            <v>101.93002143812276</v>
          </cell>
          <cell r="NO14">
            <v>101.77092765300445</v>
          </cell>
          <cell r="NP14">
            <v>101.7344083817882</v>
          </cell>
          <cell r="NQ14">
            <v>100.80740419660835</v>
          </cell>
          <cell r="NR14">
            <v>100.14041026213231</v>
          </cell>
          <cell r="NS14">
            <v>100.08885905537983</v>
          </cell>
          <cell r="NT14">
            <v>100.08885905537983</v>
          </cell>
          <cell r="NU14">
            <v>100.08885905537983</v>
          </cell>
          <cell r="NV14">
            <v>101.430093072776</v>
          </cell>
          <cell r="NW14">
            <v>102.92157333282107</v>
          </cell>
          <cell r="NX14">
            <v>102.92219730325488</v>
          </cell>
        </row>
        <row r="15">
          <cell r="NM15">
            <v>100.4034041194092</v>
          </cell>
          <cell r="NN15">
            <v>100.38388108461848</v>
          </cell>
          <cell r="NO15">
            <v>100.38291261131701</v>
          </cell>
          <cell r="NP15">
            <v>100.38291261131701</v>
          </cell>
          <cell r="NQ15">
            <v>100.03269726153447</v>
          </cell>
          <cell r="NR15">
            <v>99.692368066812946</v>
          </cell>
          <cell r="NS15">
            <v>99.692368066812946</v>
          </cell>
          <cell r="NT15">
            <v>99.692368066812946</v>
          </cell>
          <cell r="NU15">
            <v>99.091176579552197</v>
          </cell>
          <cell r="NV15">
            <v>99.25672955425857</v>
          </cell>
          <cell r="NW15">
            <v>99.25672955425857</v>
          </cell>
          <cell r="NX15">
            <v>99.25672955425857</v>
          </cell>
        </row>
        <row r="16">
          <cell r="NM16">
            <v>100.17454791868752</v>
          </cell>
          <cell r="NN16">
            <v>100.10298138036555</v>
          </cell>
          <cell r="NO16">
            <v>100.66577023360061</v>
          </cell>
          <cell r="NP16">
            <v>98.852364546817881</v>
          </cell>
          <cell r="NQ16">
            <v>99.056416361500752</v>
          </cell>
          <cell r="NR16">
            <v>99.151666512204997</v>
          </cell>
          <cell r="NS16">
            <v>102.32617647133503</v>
          </cell>
          <cell r="NT16">
            <v>102.35947261429955</v>
          </cell>
          <cell r="NU16">
            <v>101.43061341638303</v>
          </cell>
          <cell r="NV16">
            <v>101.42611891096485</v>
          </cell>
          <cell r="NW16">
            <v>101.41518607013697</v>
          </cell>
          <cell r="NX16">
            <v>101.40435871574891</v>
          </cell>
        </row>
        <row r="17">
          <cell r="NM17">
            <v>124.40362732378387</v>
          </cell>
          <cell r="NN17">
            <v>124.40362732378387</v>
          </cell>
          <cell r="NO17">
            <v>124.91587470599681</v>
          </cell>
          <cell r="NP17">
            <v>124.87911077240121</v>
          </cell>
          <cell r="NQ17">
            <v>124.87911077240121</v>
          </cell>
          <cell r="NR17">
            <v>124.87911077240121</v>
          </cell>
          <cell r="NS17">
            <v>124.87911077240121</v>
          </cell>
          <cell r="NT17">
            <v>124.87911077240121</v>
          </cell>
          <cell r="NU17">
            <v>124.87911077240121</v>
          </cell>
          <cell r="NV17">
            <v>124.87911077240121</v>
          </cell>
          <cell r="NW17">
            <v>124.87911077240121</v>
          </cell>
          <cell r="NX17">
            <v>124.87911077240121</v>
          </cell>
        </row>
        <row r="18">
          <cell r="NM18">
            <v>121.74055464674666</v>
          </cell>
          <cell r="NN18">
            <v>121.78393899786738</v>
          </cell>
          <cell r="NO18">
            <v>121.8113572438992</v>
          </cell>
          <cell r="NP18">
            <v>123.63127170654869</v>
          </cell>
          <cell r="NQ18">
            <v>123.63127170654869</v>
          </cell>
          <cell r="NR18">
            <v>123.7342028087177</v>
          </cell>
          <cell r="NS18">
            <v>121.81959238140819</v>
          </cell>
          <cell r="NT18">
            <v>121.81959283811511</v>
          </cell>
          <cell r="NU18">
            <v>121.8872993049861</v>
          </cell>
          <cell r="NV18">
            <v>125.31492371445513</v>
          </cell>
          <cell r="NW18">
            <v>125.2509877483465</v>
          </cell>
          <cell r="NX18">
            <v>125.3358326786649</v>
          </cell>
        </row>
        <row r="19">
          <cell r="NM19">
            <v>98.470368168556647</v>
          </cell>
          <cell r="NN19">
            <v>98.387001246684576</v>
          </cell>
          <cell r="NO19">
            <v>98.2925971777629</v>
          </cell>
          <cell r="NP19">
            <v>98.478314844662677</v>
          </cell>
          <cell r="NQ19">
            <v>98.461522758420188</v>
          </cell>
          <cell r="NR19">
            <v>98.444033239198149</v>
          </cell>
          <cell r="NS19">
            <v>98.54743449471178</v>
          </cell>
          <cell r="NT19">
            <v>98.926174459473131</v>
          </cell>
          <cell r="NU19">
            <v>98.532611348284675</v>
          </cell>
          <cell r="NV19">
            <v>98.506817339409096</v>
          </cell>
          <cell r="NW19">
            <v>98.115405771927044</v>
          </cell>
          <cell r="NX19">
            <v>98.467339124937325</v>
          </cell>
        </row>
      </sheetData>
      <sheetData sheetId="2" refreshError="1"/>
      <sheetData sheetId="3" refreshError="1"/>
      <sheetData sheetId="4" refreshError="1">
        <row r="3">
          <cell r="OC3">
            <v>108.23342334232696</v>
          </cell>
          <cell r="OF3">
            <v>0.80139984913900619</v>
          </cell>
        </row>
        <row r="4">
          <cell r="OC4">
            <v>106.21438956055287</v>
          </cell>
          <cell r="OF4">
            <v>-1.1492198098441153</v>
          </cell>
        </row>
        <row r="38">
          <cell r="OC38">
            <v>101.29406507957015</v>
          </cell>
          <cell r="OF38">
            <v>-4.6933532157458995</v>
          </cell>
        </row>
        <row r="156">
          <cell r="OC156">
            <v>119.42144298997056</v>
          </cell>
          <cell r="OF156">
            <v>2.7676857673750721</v>
          </cell>
        </row>
        <row r="167">
          <cell r="OC167">
            <v>98.190748488110202</v>
          </cell>
          <cell r="OF167">
            <v>-0.83209932707477563</v>
          </cell>
        </row>
        <row r="207">
          <cell r="OC207">
            <v>111.78087632908641</v>
          </cell>
          <cell r="OF207">
            <v>1.9772462101365074</v>
          </cell>
        </row>
        <row r="209">
          <cell r="OC209">
            <v>117.41374229948713</v>
          </cell>
          <cell r="OF209">
            <v>3.8750283815151443</v>
          </cell>
        </row>
        <row r="240">
          <cell r="OC240">
            <v>96.196125798305104</v>
          </cell>
          <cell r="OF240">
            <v>1.6650761540538461</v>
          </cell>
        </row>
        <row r="292">
          <cell r="OC292">
            <v>128.61309538574685</v>
          </cell>
          <cell r="OF292">
            <v>0.98661137085298556</v>
          </cell>
        </row>
        <row r="322">
          <cell r="OC322">
            <v>107.44337348085035</v>
          </cell>
          <cell r="OF322">
            <v>9.8757790685599645E-2</v>
          </cell>
        </row>
        <row r="348">
          <cell r="OC348">
            <v>95.751607847297137</v>
          </cell>
          <cell r="OF348">
            <v>-0.48061759014536021</v>
          </cell>
        </row>
        <row r="360">
          <cell r="OC360">
            <v>100.46158690929978</v>
          </cell>
          <cell r="OF360">
            <v>-0.58954023954889134</v>
          </cell>
        </row>
        <row r="405">
          <cell r="OC405">
            <v>125.51210025739101</v>
          </cell>
          <cell r="OF405">
            <v>6.971229819200242</v>
          </cell>
        </row>
        <row r="421">
          <cell r="OC421">
            <v>127.6536356791524</v>
          </cell>
          <cell r="OF421">
            <v>1.4533403825192304</v>
          </cell>
        </row>
        <row r="438">
          <cell r="OC438">
            <v>97.897045106929454</v>
          </cell>
          <cell r="OF438">
            <v>-0.45507264100809186</v>
          </cell>
        </row>
        <row r="484">
          <cell r="OC484">
            <v>108.80768335920361</v>
          </cell>
          <cell r="OF484">
            <v>1.2511160314853997</v>
          </cell>
        </row>
        <row r="485">
          <cell r="OC485">
            <v>108.54418419912565</v>
          </cell>
          <cell r="OF485">
            <v>0.50222431219935082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calculation_Final"/>
      <sheetName val="Sheet1"/>
      <sheetName val="Broad index"/>
      <sheetName val="GDP"/>
    </sheetNames>
    <sheetDataSet>
      <sheetData sheetId="0" refreshError="1">
        <row r="4">
          <cell r="CJ4">
            <v>116.18965792429491</v>
          </cell>
          <cell r="CK4">
            <v>116.66044097112987</v>
          </cell>
          <cell r="CL4">
            <v>116.94643735595976</v>
          </cell>
          <cell r="CM4">
            <v>109.10436788471713</v>
          </cell>
          <cell r="CN4">
            <v>99.046719012829016</v>
          </cell>
          <cell r="CO4">
            <v>97.44917277169138</v>
          </cell>
          <cell r="CP4">
            <v>100.69491904412115</v>
          </cell>
          <cell r="CQ4">
            <v>103.43799997802988</v>
          </cell>
          <cell r="CR4">
            <v>100.36299829344136</v>
          </cell>
        </row>
        <row r="7">
          <cell r="CJ7">
            <v>96.38869825121526</v>
          </cell>
          <cell r="CK7">
            <v>99.693507729456286</v>
          </cell>
          <cell r="CL7">
            <v>93.305734737357895</v>
          </cell>
          <cell r="CM7">
            <v>88.411809292000825</v>
          </cell>
          <cell r="CN7">
            <v>100.562496236187</v>
          </cell>
          <cell r="CO7">
            <v>92.548946150918965</v>
          </cell>
          <cell r="CP7">
            <v>102.97529021023747</v>
          </cell>
          <cell r="CQ7">
            <v>99.968802087121546</v>
          </cell>
          <cell r="CR7">
            <v>93.759588020452966</v>
          </cell>
        </row>
        <row r="26">
          <cell r="CJ26">
            <v>91.809937074618972</v>
          </cell>
          <cell r="CK26">
            <v>92.711041084297449</v>
          </cell>
          <cell r="CL26">
            <v>87.614044356309435</v>
          </cell>
          <cell r="CM26">
            <v>83.27233294703332</v>
          </cell>
          <cell r="CN26">
            <v>89.842962997348039</v>
          </cell>
          <cell r="CO26">
            <v>86.972701358762137</v>
          </cell>
          <cell r="CP26">
            <v>94.114392648731396</v>
          </cell>
          <cell r="CQ26">
            <v>90.194137144160848</v>
          </cell>
          <cell r="CR26">
            <v>92.526648723501069</v>
          </cell>
        </row>
        <row r="29">
          <cell r="CJ29">
            <v>85.190452603295242</v>
          </cell>
          <cell r="CK29">
            <v>86.59760722844257</v>
          </cell>
          <cell r="CL29">
            <v>78.761462487158695</v>
          </cell>
          <cell r="CM29">
            <v>71.821928550667664</v>
          </cell>
          <cell r="CN29">
            <v>81.671646693997687</v>
          </cell>
          <cell r="CO29">
            <v>77.342587650112577</v>
          </cell>
          <cell r="CP29">
            <v>87.895492113370764</v>
          </cell>
          <cell r="CQ29">
            <v>81.841355160409663</v>
          </cell>
          <cell r="CR29">
            <v>85.424721297057985</v>
          </cell>
        </row>
        <row r="198">
          <cell r="CJ198">
            <v>83.760669689655174</v>
          </cell>
          <cell r="CK198">
            <v>77.613686713121808</v>
          </cell>
          <cell r="CL198">
            <v>81.92918589024859</v>
          </cell>
          <cell r="CM198">
            <v>81.92918589024859</v>
          </cell>
          <cell r="CN198">
            <v>81.92918589024859</v>
          </cell>
          <cell r="CO198">
            <v>81.92918589024859</v>
          </cell>
          <cell r="CP198">
            <v>81.92918589024859</v>
          </cell>
          <cell r="CQ198">
            <v>81.92918589024859</v>
          </cell>
          <cell r="CR198">
            <v>81.92918589024859</v>
          </cell>
        </row>
        <row r="241">
          <cell r="CJ241">
            <v>129.35229305632632</v>
          </cell>
          <cell r="CK241">
            <v>132.964752896661</v>
          </cell>
          <cell r="CL241">
            <v>132.57379177346218</v>
          </cell>
          <cell r="CM241">
            <v>119.00848880772918</v>
          </cell>
          <cell r="CN241">
            <v>100.8203172249484</v>
          </cell>
          <cell r="CO241">
            <v>97.956988768941429</v>
          </cell>
          <cell r="CP241">
            <v>101.45302707624354</v>
          </cell>
          <cell r="CQ241">
            <v>106.75508865554905</v>
          </cell>
          <cell r="CR241">
            <v>101.38269140760889</v>
          </cell>
        </row>
        <row r="523">
          <cell r="CJ523">
            <v>108.57604065913021</v>
          </cell>
          <cell r="CK523">
            <v>102.30651377608179</v>
          </cell>
          <cell r="CL523">
            <v>108.66741917385079</v>
          </cell>
          <cell r="CM523">
            <v>109.35416737640166</v>
          </cell>
          <cell r="CN523">
            <v>99.782673801662398</v>
          </cell>
          <cell r="CO523">
            <v>104.24365280134242</v>
          </cell>
          <cell r="CP523">
            <v>103.84904910123116</v>
          </cell>
          <cell r="CQ523">
            <v>106.00829500976238</v>
          </cell>
          <cell r="CR523">
            <v>105.10871357680223</v>
          </cell>
        </row>
        <row r="581">
          <cell r="CJ581">
            <v>111.8370588779286</v>
          </cell>
          <cell r="CK581">
            <v>111.8370588779286</v>
          </cell>
          <cell r="CL581">
            <v>111.8370588779286</v>
          </cell>
          <cell r="CM581">
            <v>111.8370588779286</v>
          </cell>
          <cell r="CN581">
            <v>114.90207747966163</v>
          </cell>
          <cell r="CO581">
            <v>114.90207747966163</v>
          </cell>
          <cell r="CP581">
            <v>116.18073399612994</v>
          </cell>
          <cell r="CQ581">
            <v>116.18073399612994</v>
          </cell>
          <cell r="CR581">
            <v>116.18073399612994</v>
          </cell>
        </row>
        <row r="644">
          <cell r="CJ644">
            <v>106.65669463017321</v>
          </cell>
          <cell r="CK644">
            <v>106.65669463017321</v>
          </cell>
          <cell r="CL644">
            <v>106.65669463017321</v>
          </cell>
          <cell r="CM644">
            <v>106.65669463017321</v>
          </cell>
          <cell r="CN644">
            <v>106.65669463017321</v>
          </cell>
          <cell r="CO644">
            <v>106.65669463017321</v>
          </cell>
          <cell r="CP644">
            <v>106.49672521161263</v>
          </cell>
          <cell r="CQ644">
            <v>106.49672521161263</v>
          </cell>
          <cell r="CR644">
            <v>106.49672521161263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A46"/>
  <sheetViews>
    <sheetView topLeftCell="A37" zoomScaleNormal="100" workbookViewId="0">
      <selection activeCell="Q52" sqref="Q52"/>
    </sheetView>
  </sheetViews>
  <sheetFormatPr defaultColWidth="9.140625" defaultRowHeight="12.75"/>
  <cols>
    <col min="1" max="1" width="4.85546875" style="4" customWidth="1"/>
    <col min="2" max="5" width="11.28515625" style="4" customWidth="1"/>
    <col min="6" max="7" width="2.7109375" style="4" customWidth="1"/>
    <col min="8" max="10" width="11.28515625" style="4" customWidth="1"/>
    <col min="11" max="11" width="3" style="4" customWidth="1"/>
    <col min="12" max="12" width="3.7109375" style="4" customWidth="1"/>
    <col min="13" max="16384" width="9.140625" style="4"/>
  </cols>
  <sheetData>
    <row r="1" spans="2:157">
      <c r="F1" s="14"/>
      <c r="G1" s="14"/>
    </row>
    <row r="2" spans="2:157" ht="19.5">
      <c r="B2" s="601" t="s">
        <v>291</v>
      </c>
      <c r="C2" s="601"/>
      <c r="D2" s="601"/>
      <c r="E2" s="601"/>
      <c r="F2" s="601"/>
      <c r="G2" s="601"/>
      <c r="H2" s="601"/>
      <c r="I2" s="601"/>
      <c r="J2" s="601"/>
      <c r="K2" s="601"/>
      <c r="L2" s="5"/>
      <c r="M2" s="560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 t="s">
        <v>64</v>
      </c>
      <c r="AU2" s="595"/>
      <c r="AV2" s="595"/>
      <c r="AW2" s="595"/>
      <c r="AX2" s="595"/>
      <c r="AY2" s="595"/>
      <c r="AZ2" s="595"/>
      <c r="BA2" s="595"/>
      <c r="BB2" s="595"/>
      <c r="BC2" s="595"/>
      <c r="BD2" s="595"/>
      <c r="BE2" s="595"/>
      <c r="BF2" s="595"/>
      <c r="BG2" s="595"/>
      <c r="BH2" s="595"/>
      <c r="BI2" s="595"/>
      <c r="BJ2" s="595" t="s">
        <v>64</v>
      </c>
      <c r="BK2" s="595"/>
      <c r="BL2" s="595"/>
      <c r="BM2" s="595"/>
      <c r="BN2" s="595"/>
      <c r="BO2" s="595"/>
      <c r="BP2" s="595"/>
      <c r="BQ2" s="595"/>
      <c r="BR2" s="595"/>
      <c r="BS2" s="595"/>
      <c r="BT2" s="595"/>
      <c r="BU2" s="595"/>
      <c r="BV2" s="595"/>
      <c r="BW2" s="595"/>
      <c r="BX2" s="595"/>
      <c r="BY2" s="595"/>
      <c r="BZ2" s="595" t="s">
        <v>64</v>
      </c>
      <c r="CA2" s="595"/>
      <c r="CB2" s="595"/>
      <c r="CC2" s="595"/>
      <c r="CD2" s="595"/>
      <c r="CE2" s="595"/>
      <c r="CF2" s="595"/>
      <c r="CG2" s="595"/>
      <c r="CH2" s="595"/>
      <c r="CI2" s="595"/>
      <c r="CJ2" s="595"/>
      <c r="CK2" s="595"/>
      <c r="CL2" s="595"/>
      <c r="CM2" s="595"/>
      <c r="CN2" s="595"/>
      <c r="CO2" s="595"/>
      <c r="CP2" s="595" t="s">
        <v>64</v>
      </c>
      <c r="CQ2" s="595"/>
      <c r="CR2" s="595"/>
      <c r="CS2" s="595"/>
      <c r="CT2" s="595"/>
      <c r="CU2" s="595"/>
      <c r="CV2" s="595"/>
      <c r="CW2" s="595"/>
      <c r="CX2" s="595"/>
      <c r="CY2" s="595"/>
      <c r="CZ2" s="595"/>
      <c r="DA2" s="595"/>
      <c r="DB2" s="595"/>
      <c r="DC2" s="595"/>
      <c r="DD2" s="595"/>
      <c r="DE2" s="595"/>
      <c r="DF2" s="595" t="s">
        <v>64</v>
      </c>
      <c r="DG2" s="595"/>
      <c r="DH2" s="595"/>
      <c r="DI2" s="595"/>
      <c r="DJ2" s="595"/>
      <c r="DK2" s="595"/>
      <c r="DL2" s="595"/>
      <c r="DM2" s="595"/>
      <c r="DN2" s="595"/>
      <c r="DO2" s="595"/>
      <c r="DP2" s="595"/>
      <c r="DQ2" s="595"/>
      <c r="DR2" s="595"/>
      <c r="DS2" s="595"/>
      <c r="DT2" s="595"/>
      <c r="DU2" s="595"/>
      <c r="DV2" s="595" t="s">
        <v>64</v>
      </c>
      <c r="DW2" s="595"/>
      <c r="DX2" s="595"/>
      <c r="DY2" s="595"/>
      <c r="DZ2" s="595"/>
      <c r="EA2" s="595"/>
      <c r="EB2" s="595"/>
      <c r="EC2" s="595"/>
      <c r="ED2" s="595"/>
      <c r="EE2" s="595"/>
      <c r="EF2" s="595"/>
      <c r="EG2" s="595"/>
      <c r="EH2" s="595"/>
      <c r="EI2" s="595"/>
      <c r="EJ2" s="595"/>
      <c r="EK2" s="595"/>
      <c r="EL2" s="595" t="s">
        <v>64</v>
      </c>
      <c r="EM2" s="595"/>
      <c r="EN2" s="595"/>
      <c r="EO2" s="595"/>
      <c r="EP2" s="595"/>
      <c r="EQ2" s="595"/>
      <c r="ER2" s="595"/>
      <c r="ES2" s="595"/>
      <c r="ET2" s="595"/>
      <c r="EU2" s="595"/>
      <c r="EV2" s="595"/>
      <c r="EW2" s="595"/>
      <c r="EX2" s="595"/>
      <c r="EY2" s="595"/>
      <c r="EZ2" s="595"/>
      <c r="FA2" s="595"/>
    </row>
    <row r="3" spans="2:157" s="93" customFormat="1" ht="12.75" customHeight="1">
      <c r="B3" s="602" t="s">
        <v>292</v>
      </c>
      <c r="C3" s="602"/>
      <c r="D3" s="602"/>
      <c r="E3" s="602"/>
      <c r="F3" s="602"/>
      <c r="G3" s="602"/>
      <c r="H3" s="602"/>
      <c r="I3" s="602"/>
      <c r="J3" s="602"/>
      <c r="K3" s="602"/>
    </row>
    <row r="4" spans="2:157" s="7" customFormat="1" ht="15" customHeight="1">
      <c r="B4" s="603" t="s">
        <v>66</v>
      </c>
      <c r="C4" s="603"/>
      <c r="D4" s="603"/>
      <c r="E4" s="603"/>
      <c r="F4" s="603"/>
      <c r="G4" s="603"/>
      <c r="H4" s="603"/>
      <c r="I4" s="603"/>
      <c r="J4" s="603"/>
      <c r="K4" s="603"/>
      <c r="L4" s="6"/>
    </row>
    <row r="5" spans="2:157" s="7" customFormat="1">
      <c r="B5" s="604" t="s">
        <v>65</v>
      </c>
      <c r="C5" s="604"/>
      <c r="D5" s="604"/>
      <c r="E5" s="604"/>
      <c r="F5" s="604"/>
      <c r="G5" s="604"/>
      <c r="H5" s="604"/>
      <c r="I5" s="604"/>
      <c r="J5" s="604"/>
      <c r="K5" s="604"/>
      <c r="L5" s="8"/>
    </row>
    <row r="6" spans="2:157" ht="18">
      <c r="B6" s="85"/>
      <c r="C6" s="599" t="s">
        <v>92</v>
      </c>
      <c r="D6" s="599"/>
      <c r="E6" s="599"/>
      <c r="F6" s="599"/>
      <c r="G6" s="605" t="s">
        <v>6</v>
      </c>
      <c r="H6" s="599"/>
      <c r="I6" s="599"/>
      <c r="J6" s="599"/>
      <c r="K6" s="86"/>
      <c r="L6" s="9"/>
    </row>
    <row r="7" spans="2:157" ht="15.75">
      <c r="B7" s="10"/>
      <c r="C7" s="600" t="s">
        <v>91</v>
      </c>
      <c r="D7" s="600"/>
      <c r="E7" s="600"/>
      <c r="F7" s="600"/>
      <c r="G7" s="606" t="s">
        <v>255</v>
      </c>
      <c r="H7" s="600"/>
      <c r="I7" s="600"/>
      <c r="J7" s="600"/>
      <c r="K7" s="117"/>
    </row>
    <row r="8" spans="2:157" s="16" customFormat="1" ht="18.75">
      <c r="B8" s="15" t="s">
        <v>88</v>
      </c>
      <c r="C8" s="234" t="s">
        <v>107</v>
      </c>
      <c r="D8" s="234" t="s">
        <v>103</v>
      </c>
      <c r="E8" s="234" t="s">
        <v>89</v>
      </c>
      <c r="F8" s="115"/>
      <c r="G8" s="116"/>
      <c r="H8" s="234" t="s">
        <v>107</v>
      </c>
      <c r="I8" s="234" t="s">
        <v>103</v>
      </c>
      <c r="J8" s="234" t="s">
        <v>89</v>
      </c>
      <c r="K8" s="87"/>
    </row>
    <row r="9" spans="2:157" ht="15">
      <c r="B9" s="88" t="s">
        <v>86</v>
      </c>
      <c r="C9" s="89" t="s">
        <v>76</v>
      </c>
      <c r="D9" s="89" t="s">
        <v>47</v>
      </c>
      <c r="E9" s="89" t="s">
        <v>87</v>
      </c>
      <c r="F9" s="90"/>
      <c r="G9" s="91"/>
      <c r="H9" s="89" t="s">
        <v>76</v>
      </c>
      <c r="I9" s="89" t="s">
        <v>47</v>
      </c>
      <c r="J9" s="89" t="s">
        <v>87</v>
      </c>
      <c r="K9" s="90"/>
    </row>
    <row r="10" spans="2:157" ht="15.75" thickBot="1">
      <c r="B10" s="17">
        <v>1985</v>
      </c>
      <c r="C10" s="95">
        <v>19.98</v>
      </c>
      <c r="D10" s="95">
        <v>19.98</v>
      </c>
      <c r="E10" s="13" t="s">
        <v>81</v>
      </c>
      <c r="G10" s="11"/>
      <c r="H10" s="9"/>
      <c r="I10" s="9"/>
      <c r="J10" s="9"/>
    </row>
    <row r="11" spans="2:157" ht="15.75" thickBot="1">
      <c r="B11" s="17">
        <v>1986</v>
      </c>
      <c r="C11" s="96">
        <v>21.93</v>
      </c>
      <c r="D11" s="96">
        <v>21.93</v>
      </c>
      <c r="E11" s="13" t="s">
        <v>81</v>
      </c>
      <c r="G11" s="11"/>
      <c r="H11" s="96">
        <v>9.7200000000000006</v>
      </c>
      <c r="I11" s="96">
        <v>9.7200000000000006</v>
      </c>
      <c r="J11" s="13" t="s">
        <v>81</v>
      </c>
      <c r="L11" s="12"/>
    </row>
    <row r="12" spans="2:157" ht="15.75" thickBot="1">
      <c r="B12" s="17">
        <v>1987</v>
      </c>
      <c r="C12" s="95">
        <v>24.05</v>
      </c>
      <c r="D12" s="95">
        <v>24.05</v>
      </c>
      <c r="E12" s="13" t="s">
        <v>81</v>
      </c>
      <c r="G12" s="11"/>
      <c r="H12" s="96">
        <v>9.6999999999999993</v>
      </c>
      <c r="I12" s="96">
        <v>9.6999999999999993</v>
      </c>
      <c r="J12" s="13" t="s">
        <v>81</v>
      </c>
      <c r="L12" s="12"/>
    </row>
    <row r="13" spans="2:157" ht="15.75" thickBot="1">
      <c r="B13" s="17">
        <v>1988</v>
      </c>
      <c r="C13" s="96">
        <v>25.61</v>
      </c>
      <c r="D13" s="96">
        <v>25.61</v>
      </c>
      <c r="E13" s="13" t="s">
        <v>81</v>
      </c>
      <c r="G13" s="11"/>
      <c r="H13" s="96">
        <v>6.46</v>
      </c>
      <c r="I13" s="96">
        <v>6.46</v>
      </c>
      <c r="J13" s="13" t="s">
        <v>81</v>
      </c>
      <c r="L13" s="12"/>
    </row>
    <row r="14" spans="2:157" ht="15.75" thickBot="1">
      <c r="B14" s="17">
        <v>1989</v>
      </c>
      <c r="C14" s="95">
        <v>27.44</v>
      </c>
      <c r="D14" s="95">
        <v>27.44</v>
      </c>
      <c r="E14" s="13" t="s">
        <v>81</v>
      </c>
      <c r="G14" s="11"/>
      <c r="H14" s="96">
        <v>7.17</v>
      </c>
      <c r="I14" s="96">
        <v>7.17</v>
      </c>
      <c r="J14" s="13" t="s">
        <v>81</v>
      </c>
      <c r="L14" s="12"/>
    </row>
    <row r="15" spans="2:157" ht="15.75" thickBot="1">
      <c r="B15" s="17">
        <v>1990</v>
      </c>
      <c r="C15" s="96">
        <v>28.44</v>
      </c>
      <c r="D15" s="96">
        <v>28.44</v>
      </c>
      <c r="E15" s="13" t="s">
        <v>81</v>
      </c>
      <c r="G15" s="11"/>
      <c r="H15" s="96">
        <v>3.65</v>
      </c>
      <c r="I15" s="96">
        <v>3.65</v>
      </c>
      <c r="J15" s="13" t="s">
        <v>81</v>
      </c>
      <c r="L15" s="12"/>
    </row>
    <row r="16" spans="2:157" ht="15.75" thickBot="1">
      <c r="B16" s="17">
        <v>1991</v>
      </c>
      <c r="C16" s="95">
        <v>32.630000000000003</v>
      </c>
      <c r="D16" s="95">
        <v>32.630000000000003</v>
      </c>
      <c r="E16" s="13" t="s">
        <v>81</v>
      </c>
      <c r="G16" s="11"/>
      <c r="H16" s="96">
        <v>14.71</v>
      </c>
      <c r="I16" s="96">
        <v>14.71</v>
      </c>
      <c r="J16" s="13" t="s">
        <v>81</v>
      </c>
      <c r="L16" s="12"/>
    </row>
    <row r="17" spans="2:12" ht="15.75" thickBot="1">
      <c r="B17" s="17">
        <v>1992</v>
      </c>
      <c r="C17" s="96">
        <v>38.130000000000003</v>
      </c>
      <c r="D17" s="96">
        <v>38.130000000000003</v>
      </c>
      <c r="E17" s="13" t="s">
        <v>81</v>
      </c>
      <c r="G17" s="11"/>
      <c r="H17" s="96">
        <v>16.86</v>
      </c>
      <c r="I17" s="96">
        <v>16.86</v>
      </c>
      <c r="J17" s="13" t="s">
        <v>81</v>
      </c>
      <c r="L17" s="12"/>
    </row>
    <row r="18" spans="2:12" ht="15.75" thickBot="1">
      <c r="B18" s="17">
        <v>1993</v>
      </c>
      <c r="C18" s="95">
        <v>45.8</v>
      </c>
      <c r="D18" s="95">
        <v>45.8</v>
      </c>
      <c r="E18" s="13" t="s">
        <v>81</v>
      </c>
      <c r="G18" s="11"/>
      <c r="H18" s="96">
        <v>20.13</v>
      </c>
      <c r="I18" s="96">
        <v>20.13</v>
      </c>
      <c r="J18" s="13" t="s">
        <v>81</v>
      </c>
      <c r="L18" s="12"/>
    </row>
    <row r="19" spans="2:12" ht="15.75" thickBot="1">
      <c r="B19" s="17">
        <v>1994</v>
      </c>
      <c r="C19" s="96">
        <v>47.35</v>
      </c>
      <c r="D19" s="96">
        <v>47.35</v>
      </c>
      <c r="E19" s="13" t="s">
        <v>81</v>
      </c>
      <c r="G19" s="11"/>
      <c r="H19" s="96">
        <v>3.39</v>
      </c>
      <c r="I19" s="96">
        <v>3.39</v>
      </c>
      <c r="J19" s="13" t="s">
        <v>81</v>
      </c>
      <c r="L19" s="12"/>
    </row>
    <row r="20" spans="2:12" ht="15.75" thickBot="1">
      <c r="B20" s="17">
        <v>1995</v>
      </c>
      <c r="C20" s="95">
        <v>49.95</v>
      </c>
      <c r="D20" s="95">
        <v>49.95</v>
      </c>
      <c r="E20" s="13" t="s">
        <v>81</v>
      </c>
      <c r="G20" s="11"/>
      <c r="H20" s="96">
        <v>5.49</v>
      </c>
      <c r="I20" s="96">
        <v>5.49</v>
      </c>
      <c r="J20" s="13" t="s">
        <v>81</v>
      </c>
      <c r="L20" s="12"/>
    </row>
    <row r="21" spans="2:12" ht="15.75" thickBot="1">
      <c r="B21" s="17">
        <v>1996</v>
      </c>
      <c r="C21" s="96">
        <v>53.07</v>
      </c>
      <c r="D21" s="96">
        <v>53.07</v>
      </c>
      <c r="E21" s="13" t="s">
        <v>81</v>
      </c>
      <c r="G21" s="11"/>
      <c r="H21" s="96">
        <v>6.24</v>
      </c>
      <c r="I21" s="96">
        <v>6.24</v>
      </c>
      <c r="J21" s="13" t="s">
        <v>81</v>
      </c>
      <c r="L21" s="12"/>
    </row>
    <row r="22" spans="2:12" ht="15.75" thickBot="1">
      <c r="B22" s="17">
        <v>1997</v>
      </c>
      <c r="C22" s="95">
        <v>57.09</v>
      </c>
      <c r="D22" s="95">
        <v>57.09</v>
      </c>
      <c r="E22" s="13" t="s">
        <v>81</v>
      </c>
      <c r="G22" s="11"/>
      <c r="H22" s="96">
        <v>7.57</v>
      </c>
      <c r="I22" s="96">
        <v>7.57</v>
      </c>
      <c r="J22" s="13" t="s">
        <v>81</v>
      </c>
      <c r="L22" s="12"/>
    </row>
    <row r="23" spans="2:12" ht="15.75" thickBot="1">
      <c r="B23" s="17">
        <v>1998</v>
      </c>
      <c r="C23" s="96">
        <v>56.29</v>
      </c>
      <c r="D23" s="96">
        <v>56.29</v>
      </c>
      <c r="E23" s="13" t="s">
        <v>81</v>
      </c>
      <c r="G23" s="11"/>
      <c r="H23" s="96">
        <v>-1.4</v>
      </c>
      <c r="I23" s="96">
        <v>-1.4</v>
      </c>
      <c r="J23" s="13" t="s">
        <v>81</v>
      </c>
      <c r="L23" s="12"/>
    </row>
    <row r="24" spans="2:12" ht="15.75" thickBot="1">
      <c r="B24" s="17">
        <v>1999</v>
      </c>
      <c r="C24" s="95">
        <v>57.95</v>
      </c>
      <c r="D24" s="95">
        <v>57.95</v>
      </c>
      <c r="E24" s="13" t="s">
        <v>81</v>
      </c>
      <c r="G24" s="11"/>
      <c r="H24" s="96">
        <v>2.95</v>
      </c>
      <c r="I24" s="96">
        <v>2.95</v>
      </c>
      <c r="J24" s="13" t="s">
        <v>81</v>
      </c>
      <c r="L24" s="12"/>
    </row>
    <row r="25" spans="2:12" ht="15.75" thickBot="1">
      <c r="B25" s="17">
        <v>2000</v>
      </c>
      <c r="C25" s="96">
        <v>57.27</v>
      </c>
      <c r="D25" s="96">
        <v>57.27</v>
      </c>
      <c r="E25" s="13" t="s">
        <v>81</v>
      </c>
      <c r="G25" s="11"/>
      <c r="H25" s="96">
        <v>-1.17</v>
      </c>
      <c r="I25" s="96">
        <v>-1.17</v>
      </c>
      <c r="J25" s="13" t="s">
        <v>81</v>
      </c>
      <c r="L25" s="12"/>
    </row>
    <row r="26" spans="2:12" ht="15.75" thickBot="1">
      <c r="B26" s="17">
        <v>2001</v>
      </c>
      <c r="C26" s="95">
        <v>57.66</v>
      </c>
      <c r="D26" s="95">
        <v>57.66</v>
      </c>
      <c r="E26" s="13" t="s">
        <v>81</v>
      </c>
      <c r="G26" s="11"/>
      <c r="H26" s="96">
        <v>0.67</v>
      </c>
      <c r="I26" s="96">
        <v>0.67</v>
      </c>
      <c r="J26" s="13" t="s">
        <v>81</v>
      </c>
      <c r="L26" s="12"/>
    </row>
    <row r="27" spans="2:12" ht="15.75" thickBot="1">
      <c r="B27" s="17">
        <v>2002</v>
      </c>
      <c r="C27" s="96">
        <v>60.07</v>
      </c>
      <c r="D27" s="96">
        <v>60.07</v>
      </c>
      <c r="E27" s="13" t="s">
        <v>81</v>
      </c>
      <c r="G27" s="11"/>
      <c r="H27" s="96">
        <v>4.18</v>
      </c>
      <c r="I27" s="96">
        <v>4.18</v>
      </c>
      <c r="J27" s="13" t="s">
        <v>81</v>
      </c>
      <c r="L27" s="12"/>
    </row>
    <row r="28" spans="2:12" ht="15.75" thickBot="1">
      <c r="B28" s="17">
        <v>2003</v>
      </c>
      <c r="C28" s="95">
        <v>59.31</v>
      </c>
      <c r="D28" s="95">
        <v>59.31</v>
      </c>
      <c r="E28" s="13" t="s">
        <v>81</v>
      </c>
      <c r="G28" s="11"/>
      <c r="H28" s="96">
        <v>-1.26</v>
      </c>
      <c r="I28" s="96">
        <v>-1.26</v>
      </c>
      <c r="J28" s="13" t="s">
        <v>81</v>
      </c>
      <c r="L28" s="12"/>
    </row>
    <row r="29" spans="2:12" ht="15.75" thickBot="1">
      <c r="B29" s="17">
        <v>2004</v>
      </c>
      <c r="C29" s="96">
        <v>58.31</v>
      </c>
      <c r="D29" s="96">
        <v>58.31</v>
      </c>
      <c r="E29" s="13" t="s">
        <v>81</v>
      </c>
      <c r="G29" s="11"/>
      <c r="H29" s="96">
        <v>-1.69</v>
      </c>
      <c r="I29" s="96">
        <v>-1.69</v>
      </c>
      <c r="J29" s="13" t="s">
        <v>81</v>
      </c>
      <c r="L29" s="12"/>
    </row>
    <row r="30" spans="2:12" ht="15.75" thickBot="1">
      <c r="B30" s="17">
        <v>2005</v>
      </c>
      <c r="C30" s="95">
        <v>59.07</v>
      </c>
      <c r="D30" s="95">
        <v>59.07</v>
      </c>
      <c r="E30" s="13" t="s">
        <v>81</v>
      </c>
      <c r="G30" s="11"/>
      <c r="H30" s="96">
        <v>1.3</v>
      </c>
      <c r="I30" s="96">
        <v>1.3</v>
      </c>
      <c r="J30" s="13" t="s">
        <v>81</v>
      </c>
      <c r="L30" s="12"/>
    </row>
    <row r="31" spans="2:12" ht="15.75" thickBot="1">
      <c r="B31" s="17">
        <v>2006</v>
      </c>
      <c r="C31" s="96">
        <v>60.68</v>
      </c>
      <c r="D31" s="96">
        <v>60.68</v>
      </c>
      <c r="E31" s="13" t="s">
        <v>81</v>
      </c>
      <c r="G31" s="11"/>
      <c r="H31" s="96">
        <v>2.74</v>
      </c>
      <c r="I31" s="96">
        <v>2.74</v>
      </c>
      <c r="J31" s="13" t="s">
        <v>81</v>
      </c>
      <c r="L31" s="12"/>
    </row>
    <row r="32" spans="2:12" ht="15.75" thickBot="1">
      <c r="B32" s="17">
        <v>2007</v>
      </c>
      <c r="C32" s="95">
        <v>64.81</v>
      </c>
      <c r="D32" s="95">
        <v>64.81</v>
      </c>
      <c r="E32" s="13" t="s">
        <v>81</v>
      </c>
      <c r="G32" s="11"/>
      <c r="H32" s="96">
        <v>6.79</v>
      </c>
      <c r="I32" s="96">
        <v>6.79</v>
      </c>
      <c r="J32" s="13" t="s">
        <v>81</v>
      </c>
      <c r="L32" s="12"/>
    </row>
    <row r="33" spans="2:12" ht="15.75" thickBot="1">
      <c r="B33" s="17">
        <v>2008</v>
      </c>
      <c r="C33" s="96">
        <v>72.61</v>
      </c>
      <c r="D33" s="96">
        <v>72.61</v>
      </c>
      <c r="E33" s="13" t="s">
        <v>81</v>
      </c>
      <c r="G33" s="11"/>
      <c r="H33" s="96">
        <v>12.04</v>
      </c>
      <c r="I33" s="96">
        <v>12.04</v>
      </c>
      <c r="J33" s="13" t="s">
        <v>81</v>
      </c>
      <c r="L33" s="12"/>
    </row>
    <row r="34" spans="2:12" ht="15.75" thickBot="1">
      <c r="B34" s="17">
        <v>2009</v>
      </c>
      <c r="C34" s="96">
        <v>75.900000000000006</v>
      </c>
      <c r="D34" s="95">
        <v>75.900000000000006</v>
      </c>
      <c r="E34" s="13" t="s">
        <v>81</v>
      </c>
      <c r="G34" s="11"/>
      <c r="H34" s="96">
        <v>4.53</v>
      </c>
      <c r="I34" s="96">
        <v>4.53</v>
      </c>
      <c r="J34" s="13" t="s">
        <v>81</v>
      </c>
      <c r="L34" s="12"/>
    </row>
    <row r="35" spans="2:12" ht="15.75" thickBot="1">
      <c r="B35" s="18">
        <v>2010</v>
      </c>
      <c r="C35" s="96">
        <v>80.569999999999993</v>
      </c>
      <c r="D35" s="96">
        <v>80.569999999999993</v>
      </c>
      <c r="E35" s="13" t="s">
        <v>81</v>
      </c>
      <c r="G35" s="11"/>
      <c r="H35" s="96">
        <v>6.15</v>
      </c>
      <c r="I35" s="96">
        <v>6.15</v>
      </c>
      <c r="J35" s="13" t="s">
        <v>81</v>
      </c>
      <c r="L35" s="12"/>
    </row>
    <row r="36" spans="2:12" ht="15">
      <c r="B36" s="17">
        <v>2011</v>
      </c>
      <c r="C36" s="95">
        <v>89.65</v>
      </c>
      <c r="D36" s="95">
        <v>89.65</v>
      </c>
      <c r="E36" s="109" t="s">
        <v>81</v>
      </c>
      <c r="G36" s="11"/>
      <c r="H36" s="95">
        <v>11.27</v>
      </c>
      <c r="I36" s="95">
        <v>11.27</v>
      </c>
      <c r="J36" s="109" t="s">
        <v>81</v>
      </c>
      <c r="L36" s="12"/>
    </row>
    <row r="37" spans="2:12" s="9" customFormat="1" ht="15.75" thickBot="1">
      <c r="B37" s="18">
        <v>2012</v>
      </c>
      <c r="C37" s="96">
        <v>99.409647361204449</v>
      </c>
      <c r="D37" s="96">
        <v>99.415139330518244</v>
      </c>
      <c r="E37" s="13" t="s">
        <v>81</v>
      </c>
      <c r="F37" s="4"/>
      <c r="G37" s="11"/>
      <c r="H37" s="96">
        <v>10.88</v>
      </c>
      <c r="I37" s="96">
        <v>10.89</v>
      </c>
      <c r="J37" s="13" t="s">
        <v>81</v>
      </c>
      <c r="L37" s="110"/>
    </row>
    <row r="38" spans="2:12" s="9" customFormat="1" ht="15.75" thickBot="1">
      <c r="B38" s="236">
        <v>2013</v>
      </c>
      <c r="C38" s="488">
        <v>103.19281073321666</v>
      </c>
      <c r="D38" s="488">
        <v>103.38895723436703</v>
      </c>
      <c r="E38" s="488">
        <v>103.02504144381011</v>
      </c>
      <c r="F38" s="489"/>
      <c r="G38" s="490"/>
      <c r="H38" s="488">
        <v>3.8056300091942941</v>
      </c>
      <c r="I38" s="488">
        <v>3.9971959307297356</v>
      </c>
      <c r="J38" s="488" t="s">
        <v>81</v>
      </c>
      <c r="L38" s="110"/>
    </row>
    <row r="39" spans="2:12" s="9" customFormat="1" ht="15.75" thickBot="1">
      <c r="B39" s="236">
        <v>2014</v>
      </c>
      <c r="C39" s="488">
        <v>105.38050013404563</v>
      </c>
      <c r="D39" s="488">
        <v>105.92043432963987</v>
      </c>
      <c r="E39" s="488">
        <v>104.91868013832885</v>
      </c>
      <c r="F39" s="489"/>
      <c r="G39" s="490"/>
      <c r="H39" s="488">
        <v>2.1200017571813001</v>
      </c>
      <c r="I39" s="488">
        <v>2.4484985272985815</v>
      </c>
      <c r="J39" s="488">
        <v>1.8380373043106499</v>
      </c>
      <c r="L39" s="110"/>
    </row>
    <row r="40" spans="2:12" s="9" customFormat="1" ht="15.75" thickBot="1">
      <c r="B40" s="236">
        <v>2015</v>
      </c>
      <c r="C40" s="488">
        <v>106.38</v>
      </c>
      <c r="D40" s="488">
        <v>107.37</v>
      </c>
      <c r="E40" s="488">
        <v>105.54</v>
      </c>
      <c r="F40" s="489"/>
      <c r="G40" s="490"/>
      <c r="H40" s="488">
        <v>0.95</v>
      </c>
      <c r="I40" s="488">
        <v>1.37</v>
      </c>
      <c r="J40" s="488">
        <v>0.59</v>
      </c>
      <c r="L40" s="110"/>
    </row>
    <row r="41" spans="2:12" s="9" customFormat="1" ht="15.75" thickBot="1">
      <c r="B41" s="236">
        <v>2016</v>
      </c>
      <c r="C41" s="488">
        <v>106.91958868829052</v>
      </c>
      <c r="D41" s="488">
        <v>108.23342334232696</v>
      </c>
      <c r="E41" s="488">
        <v>105.79583116515029</v>
      </c>
      <c r="F41" s="489"/>
      <c r="G41" s="490"/>
      <c r="H41" s="488">
        <v>0.50250941361158485</v>
      </c>
      <c r="I41" s="488">
        <v>0.80139984913900619</v>
      </c>
      <c r="J41" s="488">
        <v>0.24242056068641826</v>
      </c>
      <c r="L41" s="110"/>
    </row>
    <row r="42" spans="2:12" s="9" customFormat="1" ht="15">
      <c r="B42" s="568">
        <v>2017</v>
      </c>
      <c r="C42" s="569">
        <v>109.93201964009602</v>
      </c>
      <c r="D42" s="569">
        <v>110.69246887707151</v>
      </c>
      <c r="E42" s="569">
        <v>109.28158729810228</v>
      </c>
      <c r="F42" s="570"/>
      <c r="G42" s="571"/>
      <c r="H42" s="569">
        <v>2.8174733823451481</v>
      </c>
      <c r="I42" s="569">
        <v>2.2719835137866129</v>
      </c>
      <c r="J42" s="569">
        <v>3.294795356832747</v>
      </c>
      <c r="L42" s="110"/>
    </row>
    <row r="43" spans="2:12">
      <c r="B43" s="597" t="s">
        <v>90</v>
      </c>
      <c r="C43" s="598"/>
      <c r="D43" s="598"/>
      <c r="E43" s="598"/>
      <c r="F43" s="598"/>
      <c r="G43" s="598"/>
      <c r="H43" s="598"/>
      <c r="I43" s="598"/>
      <c r="J43" s="598"/>
      <c r="K43" s="598"/>
    </row>
    <row r="44" spans="2:12" ht="28.5" customHeight="1">
      <c r="B44" s="596" t="s">
        <v>104</v>
      </c>
      <c r="C44" s="596"/>
      <c r="D44" s="596"/>
      <c r="E44" s="596"/>
      <c r="F44" s="596"/>
      <c r="G44" s="596"/>
      <c r="H44" s="596"/>
      <c r="I44" s="596"/>
      <c r="J44" s="596"/>
      <c r="K44" s="596"/>
    </row>
    <row r="45" spans="2:12" ht="13.5" customHeight="1">
      <c r="B45" s="381" t="s">
        <v>108</v>
      </c>
      <c r="K45" s="380" t="s">
        <v>109</v>
      </c>
    </row>
    <row r="46" spans="2:12">
      <c r="F46" s="14"/>
      <c r="G46" s="14"/>
    </row>
  </sheetData>
  <mergeCells count="19">
    <mergeCell ref="N2:AC2"/>
    <mergeCell ref="AD2:AS2"/>
    <mergeCell ref="AT2:BI2"/>
    <mergeCell ref="BJ2:BY2"/>
    <mergeCell ref="B44:K44"/>
    <mergeCell ref="B43:K43"/>
    <mergeCell ref="C6:F6"/>
    <mergeCell ref="C7:F7"/>
    <mergeCell ref="B2:K2"/>
    <mergeCell ref="B3:K3"/>
    <mergeCell ref="B4:K4"/>
    <mergeCell ref="B5:K5"/>
    <mergeCell ref="G6:J6"/>
    <mergeCell ref="G7:J7"/>
    <mergeCell ref="BZ2:CO2"/>
    <mergeCell ref="CP2:DE2"/>
    <mergeCell ref="DF2:DU2"/>
    <mergeCell ref="DV2:EK2"/>
    <mergeCell ref="EL2:FA2"/>
  </mergeCells>
  <pageMargins left="0.36" right="0.7" top="0.4" bottom="0.22" header="0.3" footer="0.1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3"/>
  <sheetViews>
    <sheetView view="pageBreakPreview" zoomScaleSheetLayoutView="100" workbookViewId="0">
      <selection activeCell="B27" sqref="B27:R43"/>
    </sheetView>
  </sheetViews>
  <sheetFormatPr defaultColWidth="9.140625" defaultRowHeight="12.75"/>
  <cols>
    <col min="1" max="1" width="36.28515625" style="4" customWidth="1"/>
    <col min="2" max="2" width="12.5703125" style="4" customWidth="1"/>
    <col min="3" max="3" width="9.140625" style="4" customWidth="1"/>
    <col min="4" max="4" width="9.42578125" style="4" customWidth="1"/>
    <col min="5" max="16" width="9.140625" style="4" customWidth="1"/>
    <col min="17" max="18" width="9.42578125" style="4" customWidth="1"/>
    <col min="19" max="19" width="36.85546875" style="4" customWidth="1"/>
    <col min="20" max="20" width="9.140625" style="9"/>
    <col min="21" max="27" width="9.140625" style="4"/>
    <col min="28" max="28" width="11.42578125" style="4" bestFit="1" customWidth="1"/>
    <col min="29" max="16384" width="9.140625" style="4"/>
  </cols>
  <sheetData>
    <row r="1" spans="1:28" s="92" customFormat="1" ht="19.5">
      <c r="A1" s="601" t="s">
        <v>294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261"/>
      <c r="U1" s="601"/>
      <c r="V1" s="601"/>
      <c r="W1" s="601"/>
      <c r="X1" s="601"/>
      <c r="Y1" s="601"/>
      <c r="Z1" s="601"/>
      <c r="AA1" s="601"/>
      <c r="AB1" s="601"/>
    </row>
    <row r="2" spans="1:28" s="92" customFormat="1" ht="12.75" customHeight="1">
      <c r="A2" s="602" t="s">
        <v>293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262"/>
    </row>
    <row r="3" spans="1:28" s="94" customFormat="1" ht="15" customHeight="1">
      <c r="A3" s="612" t="s">
        <v>66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263"/>
    </row>
    <row r="4" spans="1:28" s="94" customFormat="1">
      <c r="A4" s="613" t="s">
        <v>65</v>
      </c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  <c r="R4" s="613"/>
      <c r="S4" s="613"/>
      <c r="T4" s="263"/>
    </row>
    <row r="5" spans="1:28" s="7" customFormat="1" ht="16.5" customHeight="1">
      <c r="A5" s="609" t="s">
        <v>77</v>
      </c>
      <c r="B5" s="20" t="s">
        <v>114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22"/>
      <c r="Q5" s="22" t="s">
        <v>115</v>
      </c>
      <c r="R5" s="108"/>
      <c r="S5" s="607" t="s">
        <v>29</v>
      </c>
      <c r="T5" s="153"/>
    </row>
    <row r="6" spans="1:28" s="7" customFormat="1">
      <c r="A6" s="610"/>
      <c r="B6" s="24">
        <v>1985</v>
      </c>
      <c r="C6" s="24">
        <v>1986</v>
      </c>
      <c r="D6" s="24">
        <v>1987</v>
      </c>
      <c r="E6" s="24">
        <v>1988</v>
      </c>
      <c r="F6" s="24">
        <v>1989</v>
      </c>
      <c r="G6" s="24">
        <v>1990</v>
      </c>
      <c r="H6" s="24">
        <v>1991</v>
      </c>
      <c r="I6" s="24">
        <v>1992</v>
      </c>
      <c r="J6" s="24">
        <v>1993</v>
      </c>
      <c r="K6" s="24">
        <v>1994</v>
      </c>
      <c r="L6" s="24">
        <v>1995</v>
      </c>
      <c r="M6" s="24">
        <v>1996</v>
      </c>
      <c r="N6" s="24">
        <v>1997</v>
      </c>
      <c r="O6" s="24">
        <v>1998</v>
      </c>
      <c r="P6" s="24">
        <v>1999</v>
      </c>
      <c r="Q6" s="24">
        <v>2000</v>
      </c>
      <c r="R6" s="24"/>
      <c r="S6" s="608"/>
      <c r="T6" s="153"/>
    </row>
    <row r="7" spans="1:28" s="30" customFormat="1" ht="15">
      <c r="A7" s="25" t="s">
        <v>55</v>
      </c>
      <c r="B7" s="26">
        <v>11.699594901872009</v>
      </c>
      <c r="C7" s="26">
        <v>12.903989387728332</v>
      </c>
      <c r="D7" s="27">
        <v>14.592398142836798</v>
      </c>
      <c r="E7" s="28">
        <v>14.877069261227041</v>
      </c>
      <c r="F7" s="28">
        <v>15.298801617530147</v>
      </c>
      <c r="G7" s="28">
        <v>16.29535905526048</v>
      </c>
      <c r="H7" s="28">
        <v>18.471688322607356</v>
      </c>
      <c r="I7" s="29">
        <v>21.170492833540941</v>
      </c>
      <c r="J7" s="29">
        <v>25.301409527164143</v>
      </c>
      <c r="K7" s="29">
        <v>26.532201208722398</v>
      </c>
      <c r="L7" s="29">
        <v>27.136852354619823</v>
      </c>
      <c r="M7" s="29">
        <v>31.9356707451945</v>
      </c>
      <c r="N7" s="29">
        <v>38.159275961663987</v>
      </c>
      <c r="O7" s="29">
        <v>36.351999952980222</v>
      </c>
      <c r="P7" s="26">
        <v>37.88127174803676</v>
      </c>
      <c r="Q7" s="26">
        <v>36.062016002775628</v>
      </c>
      <c r="R7" s="26"/>
      <c r="S7" s="2" t="s">
        <v>57</v>
      </c>
      <c r="T7" s="26"/>
    </row>
    <row r="8" spans="1:28" s="30" customFormat="1" ht="15">
      <c r="A8" s="25" t="s">
        <v>56</v>
      </c>
      <c r="B8" s="26" t="s">
        <v>81</v>
      </c>
      <c r="C8" s="26" t="s">
        <v>81</v>
      </c>
      <c r="D8" s="27" t="s">
        <v>81</v>
      </c>
      <c r="E8" s="28" t="s">
        <v>81</v>
      </c>
      <c r="F8" s="28" t="s">
        <v>81</v>
      </c>
      <c r="G8" s="28" t="s">
        <v>81</v>
      </c>
      <c r="H8" s="28" t="s">
        <v>81</v>
      </c>
      <c r="I8" s="29" t="s">
        <v>81</v>
      </c>
      <c r="J8" s="29" t="s">
        <v>81</v>
      </c>
      <c r="K8" s="29" t="s">
        <v>81</v>
      </c>
      <c r="L8" s="29" t="s">
        <v>81</v>
      </c>
      <c r="M8" s="29">
        <v>41.173251873014323</v>
      </c>
      <c r="N8" s="29">
        <v>42.624751514227562</v>
      </c>
      <c r="O8" s="29">
        <v>44.288075275917208</v>
      </c>
      <c r="P8" s="26">
        <v>46.533226521264908</v>
      </c>
      <c r="Q8" s="26">
        <v>41.652576490944334</v>
      </c>
      <c r="R8" s="26"/>
      <c r="S8" s="2" t="s">
        <v>58</v>
      </c>
      <c r="T8" s="26"/>
    </row>
    <row r="9" spans="1:28" s="30" customFormat="1" ht="15">
      <c r="A9" s="31" t="s">
        <v>9</v>
      </c>
      <c r="B9" s="26" t="s">
        <v>81</v>
      </c>
      <c r="C9" s="26" t="s">
        <v>81</v>
      </c>
      <c r="D9" s="27" t="s">
        <v>81</v>
      </c>
      <c r="E9" s="28" t="s">
        <v>81</v>
      </c>
      <c r="F9" s="28" t="s">
        <v>81</v>
      </c>
      <c r="G9" s="28" t="s">
        <v>81</v>
      </c>
      <c r="H9" s="28" t="s">
        <v>81</v>
      </c>
      <c r="I9" s="29" t="s">
        <v>81</v>
      </c>
      <c r="J9" s="29" t="s">
        <v>81</v>
      </c>
      <c r="K9" s="29" t="s">
        <v>81</v>
      </c>
      <c r="L9" s="29" t="s">
        <v>81</v>
      </c>
      <c r="M9" s="29">
        <v>13.434248622960844</v>
      </c>
      <c r="N9" s="29">
        <v>26.23412246934571</v>
      </c>
      <c r="O9" s="29">
        <v>19.287072439844124</v>
      </c>
      <c r="P9" s="26">
        <v>19.506594145473219</v>
      </c>
      <c r="Q9" s="26">
        <v>22.668981482599438</v>
      </c>
      <c r="R9" s="26"/>
      <c r="S9" s="2" t="s">
        <v>10</v>
      </c>
      <c r="T9" s="26"/>
    </row>
    <row r="10" spans="1:28" s="30" customFormat="1" ht="15">
      <c r="A10" s="31" t="s">
        <v>51</v>
      </c>
      <c r="B10" s="26" t="s">
        <v>81</v>
      </c>
      <c r="C10" s="26" t="s">
        <v>81</v>
      </c>
      <c r="D10" s="27" t="s">
        <v>81</v>
      </c>
      <c r="E10" s="28" t="s">
        <v>81</v>
      </c>
      <c r="F10" s="28" t="s">
        <v>81</v>
      </c>
      <c r="G10" s="28" t="s">
        <v>81</v>
      </c>
      <c r="H10" s="28" t="s">
        <v>81</v>
      </c>
      <c r="I10" s="29" t="s">
        <v>81</v>
      </c>
      <c r="J10" s="29" t="s">
        <v>81</v>
      </c>
      <c r="K10" s="29" t="s">
        <v>81</v>
      </c>
      <c r="L10" s="29" t="s">
        <v>81</v>
      </c>
      <c r="M10" s="29" t="s">
        <v>81</v>
      </c>
      <c r="N10" s="29" t="s">
        <v>81</v>
      </c>
      <c r="O10" s="29" t="s">
        <v>81</v>
      </c>
      <c r="P10" s="26" t="s">
        <v>81</v>
      </c>
      <c r="Q10" s="26" t="s">
        <v>81</v>
      </c>
      <c r="R10" s="26"/>
      <c r="S10" s="2" t="s">
        <v>30</v>
      </c>
      <c r="T10" s="26"/>
    </row>
    <row r="11" spans="1:28" s="30" customFormat="1" ht="15">
      <c r="A11" s="31" t="s">
        <v>11</v>
      </c>
      <c r="B11" s="26">
        <v>47.804575495994293</v>
      </c>
      <c r="C11" s="26">
        <v>55.812011516481903</v>
      </c>
      <c r="D11" s="27">
        <v>57.767686933049305</v>
      </c>
      <c r="E11" s="28">
        <v>63.547477515481887</v>
      </c>
      <c r="F11" s="28">
        <v>69.575291073484962</v>
      </c>
      <c r="G11" s="28">
        <v>57.432998457969113</v>
      </c>
      <c r="H11" s="28">
        <v>57.917641053911467</v>
      </c>
      <c r="I11" s="29">
        <v>64.991712451390114</v>
      </c>
      <c r="J11" s="29">
        <v>83.482252905990904</v>
      </c>
      <c r="K11" s="29">
        <v>82.835112498467893</v>
      </c>
      <c r="L11" s="29">
        <v>66.898923608363262</v>
      </c>
      <c r="M11" s="29">
        <v>66.378360443545176</v>
      </c>
      <c r="N11" s="29">
        <v>69.173661718741002</v>
      </c>
      <c r="O11" s="29">
        <v>74.503474856249071</v>
      </c>
      <c r="P11" s="26">
        <v>72.282657864079042</v>
      </c>
      <c r="Q11" s="26">
        <v>70.217968187904901</v>
      </c>
      <c r="R11" s="26"/>
      <c r="S11" s="2" t="s">
        <v>31</v>
      </c>
      <c r="T11" s="26"/>
    </row>
    <row r="12" spans="1:28" s="30" customFormat="1" ht="15">
      <c r="A12" s="31" t="s">
        <v>67</v>
      </c>
      <c r="B12" s="26">
        <v>10.204764304469098</v>
      </c>
      <c r="C12" s="26">
        <v>9.8496337787633976</v>
      </c>
      <c r="D12" s="27">
        <v>11.341611796743322</v>
      </c>
      <c r="E12" s="28">
        <v>17.907497053398945</v>
      </c>
      <c r="F12" s="28">
        <v>22.385580157418627</v>
      </c>
      <c r="G12" s="28">
        <v>27.579834200569483</v>
      </c>
      <c r="H12" s="28">
        <v>33.309201713618791</v>
      </c>
      <c r="I12" s="29">
        <v>48.621720795522229</v>
      </c>
      <c r="J12" s="29">
        <v>62.321377792450598</v>
      </c>
      <c r="K12" s="29">
        <v>64.471502397404024</v>
      </c>
      <c r="L12" s="29">
        <v>64.963634865704208</v>
      </c>
      <c r="M12" s="29">
        <v>64.610653390078411</v>
      </c>
      <c r="N12" s="29">
        <v>63.50833821663187</v>
      </c>
      <c r="O12" s="29">
        <v>62.923760325754237</v>
      </c>
      <c r="P12" s="26">
        <v>66.795015834085234</v>
      </c>
      <c r="Q12" s="26">
        <v>68.707947323183646</v>
      </c>
      <c r="R12" s="26"/>
      <c r="S12" s="2" t="s">
        <v>32</v>
      </c>
      <c r="T12" s="26"/>
    </row>
    <row r="13" spans="1:28" s="30" customFormat="1" ht="15">
      <c r="A13" s="31" t="s">
        <v>68</v>
      </c>
      <c r="B13" s="26" t="s">
        <v>81</v>
      </c>
      <c r="C13" s="26" t="s">
        <v>81</v>
      </c>
      <c r="D13" s="27" t="s">
        <v>81</v>
      </c>
      <c r="E13" s="28" t="s">
        <v>81</v>
      </c>
      <c r="F13" s="28" t="s">
        <v>81</v>
      </c>
      <c r="G13" s="28" t="s">
        <v>81</v>
      </c>
      <c r="H13" s="28" t="s">
        <v>81</v>
      </c>
      <c r="I13" s="29" t="s">
        <v>81</v>
      </c>
      <c r="J13" s="29" t="s">
        <v>81</v>
      </c>
      <c r="K13" s="29" t="s">
        <v>81</v>
      </c>
      <c r="L13" s="29" t="s">
        <v>81</v>
      </c>
      <c r="M13" s="29" t="s">
        <v>81</v>
      </c>
      <c r="N13" s="29" t="s">
        <v>81</v>
      </c>
      <c r="O13" s="29" t="s">
        <v>81</v>
      </c>
      <c r="P13" s="26" t="s">
        <v>81</v>
      </c>
      <c r="Q13" s="26" t="s">
        <v>81</v>
      </c>
      <c r="R13" s="26"/>
      <c r="S13" s="32" t="s">
        <v>72</v>
      </c>
      <c r="T13" s="26"/>
    </row>
    <row r="14" spans="1:28" s="30" customFormat="1" ht="25.5">
      <c r="A14" s="25" t="s">
        <v>50</v>
      </c>
      <c r="B14" s="26">
        <v>26.261203720486094</v>
      </c>
      <c r="C14" s="26">
        <v>28.943530037849627</v>
      </c>
      <c r="D14" s="27">
        <v>29.819992936126649</v>
      </c>
      <c r="E14" s="28">
        <v>33.008218794039784</v>
      </c>
      <c r="F14" s="28">
        <v>41.073610832228653</v>
      </c>
      <c r="G14" s="28">
        <v>40.429152818789667</v>
      </c>
      <c r="H14" s="28">
        <v>45.142902859943369</v>
      </c>
      <c r="I14" s="29">
        <v>54.905060782086593</v>
      </c>
      <c r="J14" s="29">
        <v>62.220119561771497</v>
      </c>
      <c r="K14" s="29">
        <v>61.580264819857085</v>
      </c>
      <c r="L14" s="29">
        <v>58.315164327483721</v>
      </c>
      <c r="M14" s="29">
        <v>60.055200963768975</v>
      </c>
      <c r="N14" s="29">
        <v>58.101438532913271</v>
      </c>
      <c r="O14" s="29">
        <v>60.97718977414457</v>
      </c>
      <c r="P14" s="26">
        <v>63.490134457774161</v>
      </c>
      <c r="Q14" s="26">
        <v>63.378664124983324</v>
      </c>
      <c r="R14" s="26"/>
      <c r="S14" s="2" t="s">
        <v>53</v>
      </c>
      <c r="T14" s="26"/>
    </row>
    <row r="15" spans="1:28" s="30" customFormat="1" ht="15">
      <c r="A15" s="33" t="s">
        <v>33</v>
      </c>
      <c r="B15" s="26">
        <v>18.035538361026862</v>
      </c>
      <c r="C15" s="26">
        <v>20.539439182088646</v>
      </c>
      <c r="D15" s="27">
        <v>21.00430098370563</v>
      </c>
      <c r="E15" s="28">
        <v>25.97606209193248</v>
      </c>
      <c r="F15" s="28">
        <v>22.998747478159572</v>
      </c>
      <c r="G15" s="28">
        <v>26.707868186987856</v>
      </c>
      <c r="H15" s="28">
        <v>35.893928335103759</v>
      </c>
      <c r="I15" s="29">
        <v>44.277933889891017</v>
      </c>
      <c r="J15" s="29">
        <v>62.323856811532188</v>
      </c>
      <c r="K15" s="29">
        <v>64.665880658312105</v>
      </c>
      <c r="L15" s="29">
        <v>75.112748636306392</v>
      </c>
      <c r="M15" s="29">
        <v>80.885342624848462</v>
      </c>
      <c r="N15" s="29">
        <v>79.998391162904298</v>
      </c>
      <c r="O15" s="29">
        <v>77.949055289524594</v>
      </c>
      <c r="P15" s="26">
        <v>73.611256736536745</v>
      </c>
      <c r="Q15" s="26">
        <v>78.742087402842955</v>
      </c>
      <c r="R15" s="26"/>
      <c r="S15" s="2" t="s">
        <v>34</v>
      </c>
      <c r="T15" s="26"/>
    </row>
    <row r="16" spans="1:28" s="30" customFormat="1" ht="15">
      <c r="A16" s="33" t="s">
        <v>35</v>
      </c>
      <c r="B16" s="26">
        <v>26.633045378488706</v>
      </c>
      <c r="C16" s="26">
        <v>26.815989348327438</v>
      </c>
      <c r="D16" s="27">
        <v>27.424303985277021</v>
      </c>
      <c r="E16" s="28">
        <v>28.039535218439799</v>
      </c>
      <c r="F16" s="28">
        <v>28.912409660543702</v>
      </c>
      <c r="G16" s="28">
        <v>28.483234865515595</v>
      </c>
      <c r="H16" s="28">
        <v>40.066804373546546</v>
      </c>
      <c r="I16" s="29">
        <v>40.7373683764148</v>
      </c>
      <c r="J16" s="29">
        <v>41.864773559163886</v>
      </c>
      <c r="K16" s="29">
        <v>42.111004384353265</v>
      </c>
      <c r="L16" s="29">
        <v>42.271123586688482</v>
      </c>
      <c r="M16" s="29">
        <v>50.136676800322043</v>
      </c>
      <c r="N16" s="29">
        <v>50.445770621352203</v>
      </c>
      <c r="O16" s="29">
        <v>49.699827051476007</v>
      </c>
      <c r="P16" s="26">
        <v>49.334752200113655</v>
      </c>
      <c r="Q16" s="26">
        <v>50.985994179760731</v>
      </c>
      <c r="R16" s="26"/>
      <c r="S16" s="2" t="s">
        <v>36</v>
      </c>
      <c r="T16" s="26"/>
    </row>
    <row r="17" spans="1:22" s="30" customFormat="1" ht="15">
      <c r="A17" s="33" t="s">
        <v>37</v>
      </c>
      <c r="B17" s="26" t="s">
        <v>81</v>
      </c>
      <c r="C17" s="26" t="s">
        <v>81</v>
      </c>
      <c r="D17" s="27" t="s">
        <v>81</v>
      </c>
      <c r="E17" s="28" t="s">
        <v>81</v>
      </c>
      <c r="F17" s="28" t="s">
        <v>81</v>
      </c>
      <c r="G17" s="28" t="s">
        <v>81</v>
      </c>
      <c r="H17" s="28" t="s">
        <v>81</v>
      </c>
      <c r="I17" s="29" t="s">
        <v>81</v>
      </c>
      <c r="J17" s="29" t="s">
        <v>81</v>
      </c>
      <c r="K17" s="29" t="s">
        <v>81</v>
      </c>
      <c r="L17" s="29" t="s">
        <v>81</v>
      </c>
      <c r="M17" s="29" t="s">
        <v>81</v>
      </c>
      <c r="N17" s="29" t="s">
        <v>81</v>
      </c>
      <c r="O17" s="29" t="s">
        <v>81</v>
      </c>
      <c r="P17" s="26" t="s">
        <v>81</v>
      </c>
      <c r="Q17" s="26" t="s">
        <v>81</v>
      </c>
      <c r="R17" s="26"/>
      <c r="S17" s="2" t="s">
        <v>38</v>
      </c>
      <c r="T17" s="26"/>
    </row>
    <row r="18" spans="1:22" s="30" customFormat="1" ht="15">
      <c r="A18" s="34" t="s">
        <v>39</v>
      </c>
      <c r="B18" s="26">
        <v>52.800966962502493</v>
      </c>
      <c r="C18" s="26">
        <v>52.797323380612234</v>
      </c>
      <c r="D18" s="27">
        <v>54.487034482213907</v>
      </c>
      <c r="E18" s="28">
        <v>58.396597850448046</v>
      </c>
      <c r="F18" s="28">
        <v>60.252091928055911</v>
      </c>
      <c r="G18" s="28">
        <v>59.621752261043326</v>
      </c>
      <c r="H18" s="28">
        <v>80.631556335675342</v>
      </c>
      <c r="I18" s="29">
        <v>79.70517564008027</v>
      </c>
      <c r="J18" s="29">
        <v>94.564613483976714</v>
      </c>
      <c r="K18" s="29">
        <v>100.97185223797464</v>
      </c>
      <c r="L18" s="29">
        <v>103.10152585282354</v>
      </c>
      <c r="M18" s="29">
        <v>107.1504562283596</v>
      </c>
      <c r="N18" s="29">
        <v>107.18218916107703</v>
      </c>
      <c r="O18" s="29">
        <v>106.70694299334495</v>
      </c>
      <c r="P18" s="26">
        <v>110.02742300835376</v>
      </c>
      <c r="Q18" s="26">
        <v>110.12369869519806</v>
      </c>
      <c r="R18" s="26"/>
      <c r="S18" s="35" t="s">
        <v>40</v>
      </c>
      <c r="T18" s="26"/>
    </row>
    <row r="19" spans="1:22" s="30" customFormat="1" ht="15">
      <c r="A19" s="31" t="s">
        <v>12</v>
      </c>
      <c r="B19" s="26" t="s">
        <v>81</v>
      </c>
      <c r="C19" s="26" t="s">
        <v>81</v>
      </c>
      <c r="D19" s="27" t="s">
        <v>81</v>
      </c>
      <c r="E19" s="28" t="s">
        <v>81</v>
      </c>
      <c r="F19" s="28" t="s">
        <v>81</v>
      </c>
      <c r="G19" s="28" t="s">
        <v>81</v>
      </c>
      <c r="H19" s="28" t="s">
        <v>81</v>
      </c>
      <c r="I19" s="29" t="s">
        <v>81</v>
      </c>
      <c r="J19" s="29" t="s">
        <v>81</v>
      </c>
      <c r="K19" s="29" t="s">
        <v>81</v>
      </c>
      <c r="L19" s="29" t="s">
        <v>81</v>
      </c>
      <c r="M19" s="29">
        <v>37.657299893035209</v>
      </c>
      <c r="N19" s="29">
        <v>39.054634384042494</v>
      </c>
      <c r="O19" s="29">
        <v>38.741762066537547</v>
      </c>
      <c r="P19" s="26">
        <v>41.650803202303599</v>
      </c>
      <c r="Q19" s="26">
        <v>42.298730432776651</v>
      </c>
      <c r="R19" s="26"/>
      <c r="S19" s="35" t="s">
        <v>13</v>
      </c>
      <c r="T19" s="26"/>
    </row>
    <row r="20" spans="1:22" s="30" customFormat="1" ht="15">
      <c r="A20" s="31" t="s">
        <v>41</v>
      </c>
      <c r="B20" s="26" t="s">
        <v>81</v>
      </c>
      <c r="C20" s="26" t="s">
        <v>81</v>
      </c>
      <c r="D20" s="27" t="s">
        <v>81</v>
      </c>
      <c r="E20" s="28" t="s">
        <v>81</v>
      </c>
      <c r="F20" s="28" t="s">
        <v>81</v>
      </c>
      <c r="G20" s="28" t="s">
        <v>81</v>
      </c>
      <c r="H20" s="28" t="s">
        <v>81</v>
      </c>
      <c r="I20" s="29" t="s">
        <v>81</v>
      </c>
      <c r="J20" s="29" t="s">
        <v>81</v>
      </c>
      <c r="K20" s="29" t="s">
        <v>81</v>
      </c>
      <c r="L20" s="29" t="s">
        <v>81</v>
      </c>
      <c r="M20" s="29" t="s">
        <v>81</v>
      </c>
      <c r="N20" s="29" t="s">
        <v>81</v>
      </c>
      <c r="O20" s="29" t="s">
        <v>81</v>
      </c>
      <c r="P20" s="26" t="s">
        <v>81</v>
      </c>
      <c r="Q20" s="26" t="s">
        <v>81</v>
      </c>
      <c r="R20" s="26"/>
      <c r="S20" s="35" t="s">
        <v>42</v>
      </c>
      <c r="T20" s="26"/>
    </row>
    <row r="21" spans="1:22" s="30" customFormat="1" ht="15">
      <c r="A21" s="34" t="s">
        <v>43</v>
      </c>
      <c r="B21" s="26" t="s">
        <v>81</v>
      </c>
      <c r="C21" s="26" t="s">
        <v>81</v>
      </c>
      <c r="D21" s="27" t="s">
        <v>81</v>
      </c>
      <c r="E21" s="28" t="s">
        <v>81</v>
      </c>
      <c r="F21" s="28" t="s">
        <v>81</v>
      </c>
      <c r="G21" s="28" t="s">
        <v>81</v>
      </c>
      <c r="H21" s="28" t="s">
        <v>81</v>
      </c>
      <c r="I21" s="29" t="s">
        <v>81</v>
      </c>
      <c r="J21" s="29" t="s">
        <v>81</v>
      </c>
      <c r="K21" s="29" t="s">
        <v>81</v>
      </c>
      <c r="L21" s="29" t="s">
        <v>81</v>
      </c>
      <c r="M21" s="29">
        <v>64.462976814896209</v>
      </c>
      <c r="N21" s="29">
        <v>65.490900455143503</v>
      </c>
      <c r="O21" s="29">
        <v>64.672638958801642</v>
      </c>
      <c r="P21" s="26">
        <v>63.893061526641425</v>
      </c>
      <c r="Q21" s="26">
        <v>63.891823066612233</v>
      </c>
      <c r="R21" s="26"/>
      <c r="S21" s="35" t="s">
        <v>74</v>
      </c>
      <c r="T21" s="26"/>
    </row>
    <row r="22" spans="1:22" s="41" customFormat="1" ht="15">
      <c r="A22" s="36" t="s">
        <v>69</v>
      </c>
      <c r="B22" s="37">
        <v>19.983834923687986</v>
      </c>
      <c r="C22" s="37">
        <v>21.926701979082694</v>
      </c>
      <c r="D22" s="38">
        <v>24.054484998592145</v>
      </c>
      <c r="E22" s="38">
        <v>25.607529210717953</v>
      </c>
      <c r="F22" s="38">
        <v>27.442528620379068</v>
      </c>
      <c r="G22" s="38">
        <v>28.444156759333893</v>
      </c>
      <c r="H22" s="38">
        <v>32.629338118318124</v>
      </c>
      <c r="I22" s="39">
        <v>38.12933861854161</v>
      </c>
      <c r="J22" s="39">
        <v>45.803767606699893</v>
      </c>
      <c r="K22" s="39">
        <v>47.354729431842429</v>
      </c>
      <c r="L22" s="39">
        <v>49.953964864365126</v>
      </c>
      <c r="M22" s="39">
        <v>53.071714655723049</v>
      </c>
      <c r="N22" s="39">
        <v>57.090747863520427</v>
      </c>
      <c r="O22" s="39">
        <v>56.289049701769336</v>
      </c>
      <c r="P22" s="37">
        <v>57.951664068964227</v>
      </c>
      <c r="Q22" s="37">
        <v>57.270872947786074</v>
      </c>
      <c r="R22" s="37"/>
      <c r="S22" s="40" t="s">
        <v>14</v>
      </c>
      <c r="T22" s="37"/>
    </row>
    <row r="23" spans="1:22" s="45" customFormat="1" ht="15">
      <c r="A23" s="104" t="s">
        <v>70</v>
      </c>
      <c r="B23" s="105">
        <v>25.411240394067452</v>
      </c>
      <c r="C23" s="105">
        <v>26.787488915714615</v>
      </c>
      <c r="D23" s="105">
        <v>28.795864452129283</v>
      </c>
      <c r="E23" s="105">
        <v>31.618302719746634</v>
      </c>
      <c r="F23" s="105">
        <v>34.805497752187811</v>
      </c>
      <c r="G23" s="105">
        <v>33.944955093428696</v>
      </c>
      <c r="H23" s="105">
        <v>38.123279247763726</v>
      </c>
      <c r="I23" s="105">
        <v>45.354670643591369</v>
      </c>
      <c r="J23" s="105">
        <v>52.769325753784358</v>
      </c>
      <c r="K23" s="105">
        <v>54.175232895872313</v>
      </c>
      <c r="L23" s="105">
        <v>54.087142366503457</v>
      </c>
      <c r="M23" s="105">
        <v>55.859134271345404</v>
      </c>
      <c r="N23" s="105">
        <v>56.967120908230989</v>
      </c>
      <c r="O23" s="105">
        <v>58.077067779447027</v>
      </c>
      <c r="P23" s="105">
        <v>59.894169672452726</v>
      </c>
      <c r="Q23" s="105">
        <v>58.205925423322817</v>
      </c>
      <c r="R23" s="105"/>
      <c r="S23" s="106" t="s">
        <v>54</v>
      </c>
      <c r="T23" s="39"/>
    </row>
    <row r="24" spans="1:22" s="7" customFormat="1">
      <c r="A24" s="562"/>
      <c r="B24" s="611"/>
      <c r="C24" s="611"/>
      <c r="D24" s="611"/>
      <c r="E24" s="611"/>
      <c r="F24" s="611"/>
      <c r="G24" s="611"/>
      <c r="H24" s="611"/>
      <c r="I24" s="611"/>
      <c r="J24" s="611"/>
      <c r="K24" s="611"/>
      <c r="L24" s="611"/>
      <c r="M24" s="611"/>
      <c r="N24" s="611"/>
      <c r="O24" s="611"/>
      <c r="P24" s="562"/>
      <c r="Q24" s="562"/>
      <c r="R24" s="562"/>
      <c r="S24" s="562"/>
      <c r="T24" s="562"/>
    </row>
    <row r="25" spans="1:22" s="7" customFormat="1" ht="15">
      <c r="A25" s="609" t="s">
        <v>77</v>
      </c>
      <c r="B25" s="20" t="s">
        <v>114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22"/>
      <c r="R25" s="22" t="s">
        <v>115</v>
      </c>
      <c r="S25" s="607" t="s">
        <v>29</v>
      </c>
      <c r="T25" s="40"/>
    </row>
    <row r="26" spans="1:22" s="7" customFormat="1" ht="12.75" customHeight="1">
      <c r="A26" s="610"/>
      <c r="B26" s="24">
        <v>2001</v>
      </c>
      <c r="C26" s="24">
        <v>2002</v>
      </c>
      <c r="D26" s="24">
        <v>2003</v>
      </c>
      <c r="E26" s="24">
        <v>2004</v>
      </c>
      <c r="F26" s="24">
        <v>2005</v>
      </c>
      <c r="G26" s="24">
        <v>2006</v>
      </c>
      <c r="H26" s="24">
        <v>2007</v>
      </c>
      <c r="I26" s="24">
        <v>2008</v>
      </c>
      <c r="J26" s="24">
        <v>2009</v>
      </c>
      <c r="K26" s="24">
        <v>2010</v>
      </c>
      <c r="L26" s="24">
        <v>2011</v>
      </c>
      <c r="M26" s="24">
        <v>2012</v>
      </c>
      <c r="N26" s="24">
        <v>2013</v>
      </c>
      <c r="O26" s="24">
        <v>2014</v>
      </c>
      <c r="P26" s="24">
        <v>2015</v>
      </c>
      <c r="Q26" s="24">
        <v>2016</v>
      </c>
      <c r="R26" s="24">
        <v>2017</v>
      </c>
      <c r="S26" s="608"/>
      <c r="T26" s="551"/>
    </row>
    <row r="27" spans="1:22" s="30" customFormat="1" ht="15">
      <c r="A27" s="25" t="s">
        <v>55</v>
      </c>
      <c r="B27" s="27">
        <v>36.808604310800881</v>
      </c>
      <c r="C27" s="28">
        <v>38.128946386747792</v>
      </c>
      <c r="D27" s="28">
        <v>35.81140892385924</v>
      </c>
      <c r="E27" s="28">
        <v>41.527298612668822</v>
      </c>
      <c r="F27" s="28">
        <v>44.75043511836828</v>
      </c>
      <c r="G27" s="29">
        <v>46.54226956659236</v>
      </c>
      <c r="H27" s="29">
        <v>54.070703301292049</v>
      </c>
      <c r="I27" s="29">
        <v>64.381973226397193</v>
      </c>
      <c r="J27" s="29">
        <v>64.715472651196961</v>
      </c>
      <c r="K27" s="29">
        <v>69.554480633976965</v>
      </c>
      <c r="L27" s="29">
        <v>83.416709968576413</v>
      </c>
      <c r="M27" s="29">
        <v>98.126990664931839</v>
      </c>
      <c r="N27" s="26">
        <v>105.15731822206406</v>
      </c>
      <c r="O27" s="29">
        <v>105.91516633353841</v>
      </c>
      <c r="P27" s="29">
        <v>106.42761479980396</v>
      </c>
      <c r="Q27" s="29">
        <v>107.04157551050889</v>
      </c>
      <c r="R27" s="29">
        <v>113.03489126776282</v>
      </c>
      <c r="S27" s="2" t="s">
        <v>57</v>
      </c>
      <c r="T27" s="26"/>
      <c r="U27" s="4"/>
      <c r="V27" s="12"/>
    </row>
    <row r="28" spans="1:22" s="30" customFormat="1" ht="15">
      <c r="A28" s="25" t="s">
        <v>56</v>
      </c>
      <c r="B28" s="27">
        <v>45.910648918272614</v>
      </c>
      <c r="C28" s="28">
        <v>48.6042576324582</v>
      </c>
      <c r="D28" s="28">
        <v>45.843901333903837</v>
      </c>
      <c r="E28" s="28">
        <v>50.212785992574339</v>
      </c>
      <c r="F28" s="28">
        <v>53.663452161377535</v>
      </c>
      <c r="G28" s="29">
        <v>56.866771691184077</v>
      </c>
      <c r="H28" s="29">
        <v>62.767090501684173</v>
      </c>
      <c r="I28" s="29">
        <v>76.153290746199403</v>
      </c>
      <c r="J28" s="29">
        <v>78.381813378991197</v>
      </c>
      <c r="K28" s="29">
        <v>84.204150454829019</v>
      </c>
      <c r="L28" s="29">
        <v>94.794400673064558</v>
      </c>
      <c r="M28" s="29">
        <v>100.0268178957039</v>
      </c>
      <c r="N28" s="26">
        <v>105.46827201556327</v>
      </c>
      <c r="O28" s="29">
        <v>105.77637644985344</v>
      </c>
      <c r="P28" s="29">
        <v>106.72890504792964</v>
      </c>
      <c r="Q28" s="29">
        <v>108.34446887815083</v>
      </c>
      <c r="R28" s="29">
        <v>115.49732275295001</v>
      </c>
      <c r="S28" s="2" t="s">
        <v>58</v>
      </c>
      <c r="T28" s="26"/>
      <c r="U28" s="4"/>
      <c r="V28" s="12"/>
    </row>
    <row r="29" spans="1:22" s="30" customFormat="1" ht="15">
      <c r="A29" s="31" t="s">
        <v>9</v>
      </c>
      <c r="B29" s="27">
        <v>17.877360053440171</v>
      </c>
      <c r="C29" s="28">
        <v>16.896893340132923</v>
      </c>
      <c r="D29" s="28">
        <v>15.569489394288871</v>
      </c>
      <c r="E29" s="28">
        <v>22.111974744984995</v>
      </c>
      <c r="F29" s="28">
        <v>24.339042071617914</v>
      </c>
      <c r="G29" s="29">
        <v>22.898483196595674</v>
      </c>
      <c r="H29" s="29">
        <v>34.155406788630842</v>
      </c>
      <c r="I29" s="29">
        <v>37.424884799955599</v>
      </c>
      <c r="J29" s="29">
        <v>33.418656908585071</v>
      </c>
      <c r="K29" s="29">
        <v>36.005776836416281</v>
      </c>
      <c r="L29" s="29">
        <v>57.361052741283949</v>
      </c>
      <c r="M29" s="29">
        <v>93.7760772522998</v>
      </c>
      <c r="N29" s="26">
        <v>104.44563486657425</v>
      </c>
      <c r="O29" s="29">
        <v>106.23281626157906</v>
      </c>
      <c r="P29" s="29">
        <v>105.73804850653096</v>
      </c>
      <c r="Q29" s="29">
        <v>104.05962917920893</v>
      </c>
      <c r="R29" s="29">
        <v>107.39909733735</v>
      </c>
      <c r="S29" s="2" t="s">
        <v>10</v>
      </c>
      <c r="T29" s="26"/>
      <c r="U29" s="4"/>
      <c r="V29" s="12"/>
    </row>
    <row r="30" spans="1:22" s="30" customFormat="1" ht="15">
      <c r="A30" s="31" t="s">
        <v>51</v>
      </c>
      <c r="B30" s="27" t="s">
        <v>81</v>
      </c>
      <c r="C30" s="28" t="s">
        <v>81</v>
      </c>
      <c r="D30" s="28" t="s">
        <v>81</v>
      </c>
      <c r="E30" s="28">
        <v>45.823324733206455</v>
      </c>
      <c r="F30" s="28">
        <v>47.18724050196397</v>
      </c>
      <c r="G30" s="29">
        <v>49.327553362016907</v>
      </c>
      <c r="H30" s="29">
        <v>49.926435555846972</v>
      </c>
      <c r="I30" s="29">
        <v>51.632567552779186</v>
      </c>
      <c r="J30" s="29">
        <v>50.700704461040182</v>
      </c>
      <c r="K30" s="29">
        <v>50.532891620339313</v>
      </c>
      <c r="L30" s="29">
        <v>64.296766109008189</v>
      </c>
      <c r="M30" s="29">
        <v>101.2436810917912</v>
      </c>
      <c r="N30" s="26">
        <v>98.00579870542515</v>
      </c>
      <c r="O30" s="29">
        <v>100.18505236961772</v>
      </c>
      <c r="P30" s="29">
        <v>117.46360163260034</v>
      </c>
      <c r="Q30" s="29">
        <v>122.18459773517431</v>
      </c>
      <c r="R30" s="29">
        <v>154.41417266945828</v>
      </c>
      <c r="S30" s="2" t="s">
        <v>30</v>
      </c>
      <c r="T30" s="26"/>
      <c r="U30" s="4"/>
      <c r="V30" s="12"/>
    </row>
    <row r="31" spans="1:22" s="30" customFormat="1" ht="15">
      <c r="A31" s="31" t="s">
        <v>11</v>
      </c>
      <c r="B31" s="27">
        <v>69.502735591750223</v>
      </c>
      <c r="C31" s="28">
        <v>66.827359017012071</v>
      </c>
      <c r="D31" s="28">
        <v>66.688348890071822</v>
      </c>
      <c r="E31" s="28">
        <v>64.342030981784291</v>
      </c>
      <c r="F31" s="28">
        <v>67.10119333434308</v>
      </c>
      <c r="G31" s="29">
        <v>67.493428550865232</v>
      </c>
      <c r="H31" s="29">
        <v>66.522696340505789</v>
      </c>
      <c r="I31" s="29">
        <v>68.251967675022911</v>
      </c>
      <c r="J31" s="29">
        <v>70.445891756658199</v>
      </c>
      <c r="K31" s="29">
        <v>72.534285938334179</v>
      </c>
      <c r="L31" s="29">
        <v>81.881292827210913</v>
      </c>
      <c r="M31" s="29">
        <v>98.359038463336105</v>
      </c>
      <c r="N31" s="26">
        <v>101.52586212230904</v>
      </c>
      <c r="O31" s="29">
        <v>102.46527730468375</v>
      </c>
      <c r="P31" s="29">
        <v>101.54061731751705</v>
      </c>
      <c r="Q31" s="29">
        <v>100.99558210523537</v>
      </c>
      <c r="R31" s="29">
        <v>100.29057707007946</v>
      </c>
      <c r="S31" s="2" t="s">
        <v>31</v>
      </c>
      <c r="T31" s="26"/>
      <c r="U31" s="4"/>
      <c r="V31" s="12"/>
    </row>
    <row r="32" spans="1:22" s="30" customFormat="1" ht="15">
      <c r="A32" s="31" t="s">
        <v>67</v>
      </c>
      <c r="B32" s="27">
        <v>69.86401911799372</v>
      </c>
      <c r="C32" s="28">
        <v>68.879580172344831</v>
      </c>
      <c r="D32" s="28">
        <v>68.257995144620992</v>
      </c>
      <c r="E32" s="28">
        <v>66.965128272733068</v>
      </c>
      <c r="F32" s="28">
        <v>68.275974814689803</v>
      </c>
      <c r="G32" s="29">
        <v>70.128284933346336</v>
      </c>
      <c r="H32" s="29">
        <v>72.790167958905229</v>
      </c>
      <c r="I32" s="29">
        <v>80.824789456236729</v>
      </c>
      <c r="J32" s="29">
        <v>87.147430127106858</v>
      </c>
      <c r="K32" s="29">
        <v>93.758762276598645</v>
      </c>
      <c r="L32" s="29">
        <v>96.487654366096692</v>
      </c>
      <c r="M32" s="29">
        <v>99.951850044063292</v>
      </c>
      <c r="N32" s="26">
        <v>103.51724004351574</v>
      </c>
      <c r="O32" s="29">
        <v>106.69055604936631</v>
      </c>
      <c r="P32" s="29">
        <v>107.78553856963902</v>
      </c>
      <c r="Q32" s="29">
        <v>108.10803524718015</v>
      </c>
      <c r="R32" s="29">
        <v>109.47834485115725</v>
      </c>
      <c r="S32" s="2" t="s">
        <v>32</v>
      </c>
      <c r="T32" s="26"/>
      <c r="U32" s="4"/>
      <c r="V32" s="12"/>
    </row>
    <row r="33" spans="1:28" s="30" customFormat="1" ht="15">
      <c r="A33" s="31" t="s">
        <v>68</v>
      </c>
      <c r="B33" s="27" t="s">
        <v>81</v>
      </c>
      <c r="C33" s="28" t="s">
        <v>81</v>
      </c>
      <c r="D33" s="28" t="s">
        <v>81</v>
      </c>
      <c r="E33" s="28">
        <v>60.947667204895041</v>
      </c>
      <c r="F33" s="28">
        <v>61.604967281380162</v>
      </c>
      <c r="G33" s="29">
        <v>64.647461828276832</v>
      </c>
      <c r="H33" s="29">
        <v>67.343842950624648</v>
      </c>
      <c r="I33" s="29">
        <v>74.851279000594886</v>
      </c>
      <c r="J33" s="29">
        <v>85.550267697798958</v>
      </c>
      <c r="K33" s="29">
        <v>91.040551259171139</v>
      </c>
      <c r="L33" s="29">
        <v>95.103608962918898</v>
      </c>
      <c r="M33" s="29">
        <v>100.07057660044312</v>
      </c>
      <c r="N33" s="26">
        <v>104.08964183574052</v>
      </c>
      <c r="O33" s="29">
        <v>108.54742074440985</v>
      </c>
      <c r="P33" s="29">
        <v>112.36921152715941</v>
      </c>
      <c r="Q33" s="29">
        <v>116.59514145414504</v>
      </c>
      <c r="R33" s="29">
        <v>122.00177799672292</v>
      </c>
      <c r="S33" s="32" t="s">
        <v>72</v>
      </c>
      <c r="T33" s="26"/>
      <c r="U33" s="4"/>
      <c r="V33" s="12"/>
    </row>
    <row r="34" spans="1:28" s="30" customFormat="1" ht="25.5">
      <c r="A34" s="25" t="s">
        <v>50</v>
      </c>
      <c r="B34" s="27">
        <v>60.996873478131285</v>
      </c>
      <c r="C34" s="28">
        <v>60.043925744583106</v>
      </c>
      <c r="D34" s="28">
        <v>58.92339401773711</v>
      </c>
      <c r="E34" s="28">
        <v>58.42681841227688</v>
      </c>
      <c r="F34" s="28">
        <v>60.832156737250706</v>
      </c>
      <c r="G34" s="29">
        <v>62.787235480784801</v>
      </c>
      <c r="H34" s="29">
        <v>65.996050857083574</v>
      </c>
      <c r="I34" s="29">
        <v>68.380911967950468</v>
      </c>
      <c r="J34" s="29">
        <v>75.858602553560274</v>
      </c>
      <c r="K34" s="29">
        <v>80.397772506783596</v>
      </c>
      <c r="L34" s="29">
        <v>83.774232067142066</v>
      </c>
      <c r="M34" s="29">
        <v>98.65523637265558</v>
      </c>
      <c r="N34" s="26">
        <v>97.029807398560521</v>
      </c>
      <c r="O34" s="29">
        <v>96.030794344264748</v>
      </c>
      <c r="P34" s="29">
        <v>96.619226474540611</v>
      </c>
      <c r="Q34" s="29">
        <v>97.499129166170533</v>
      </c>
      <c r="R34" s="29">
        <v>98.588794205371599</v>
      </c>
      <c r="S34" s="2" t="s">
        <v>53</v>
      </c>
      <c r="T34" s="26"/>
      <c r="U34" s="4"/>
      <c r="V34" s="12"/>
    </row>
    <row r="35" spans="1:28" s="30" customFormat="1" ht="15">
      <c r="A35" s="33" t="s">
        <v>33</v>
      </c>
      <c r="B35" s="27">
        <v>79.09915371406781</v>
      </c>
      <c r="C35" s="28">
        <v>79.33529712747081</v>
      </c>
      <c r="D35" s="28">
        <v>77.867989569323143</v>
      </c>
      <c r="E35" s="28">
        <v>77.960591924121815</v>
      </c>
      <c r="F35" s="28">
        <v>78.158616291651526</v>
      </c>
      <c r="G35" s="29">
        <v>87.683380878679159</v>
      </c>
      <c r="H35" s="29">
        <v>95.725018168451655</v>
      </c>
      <c r="I35" s="29">
        <v>115.02993652927483</v>
      </c>
      <c r="J35" s="29">
        <v>117.62003560285746</v>
      </c>
      <c r="K35" s="29">
        <v>123.09882000085349</v>
      </c>
      <c r="L35" s="29">
        <v>136.10400273752558</v>
      </c>
      <c r="M35" s="29">
        <v>103.11447443846129</v>
      </c>
      <c r="N35" s="26">
        <v>110.75985912203326</v>
      </c>
      <c r="O35" s="29">
        <v>120.99690521142638</v>
      </c>
      <c r="P35" s="29">
        <v>123.58711110547449</v>
      </c>
      <c r="Q35" s="29">
        <v>125.81722828813672</v>
      </c>
      <c r="R35" s="29">
        <v>125.52846282798579</v>
      </c>
      <c r="S35" s="2" t="s">
        <v>34</v>
      </c>
      <c r="T35" s="26"/>
      <c r="U35" s="4"/>
      <c r="V35" s="12"/>
    </row>
    <row r="36" spans="1:28" s="30" customFormat="1" ht="15">
      <c r="A36" s="33" t="s">
        <v>35</v>
      </c>
      <c r="B36" s="27">
        <v>51.100439827008927</v>
      </c>
      <c r="C36" s="28">
        <v>51.615749048175957</v>
      </c>
      <c r="D36" s="28">
        <v>50.47072121396149</v>
      </c>
      <c r="E36" s="28">
        <v>51.834003783602441</v>
      </c>
      <c r="F36" s="28">
        <v>57.992964094282662</v>
      </c>
      <c r="G36" s="29">
        <v>60.859975065826738</v>
      </c>
      <c r="H36" s="29">
        <v>63.749393784738366</v>
      </c>
      <c r="I36" s="29">
        <v>77.220453300900303</v>
      </c>
      <c r="J36" s="29">
        <v>77.979582923899997</v>
      </c>
      <c r="K36" s="29">
        <v>80.571924425587255</v>
      </c>
      <c r="L36" s="29">
        <v>91.644770975471246</v>
      </c>
      <c r="M36" s="29">
        <v>99.95473548796538</v>
      </c>
      <c r="N36" s="26">
        <v>102.17949400970934</v>
      </c>
      <c r="O36" s="29">
        <v>105.37961599773739</v>
      </c>
      <c r="P36" s="29">
        <v>102.92917404156066</v>
      </c>
      <c r="Q36" s="29">
        <v>101.34706519435288</v>
      </c>
      <c r="R36" s="29">
        <v>101.83981865912176</v>
      </c>
      <c r="S36" s="2" t="s">
        <v>36</v>
      </c>
      <c r="T36" s="26"/>
      <c r="U36" s="4"/>
      <c r="V36" s="12"/>
    </row>
    <row r="37" spans="1:28" s="30" customFormat="1" ht="15">
      <c r="A37" s="33" t="s">
        <v>37</v>
      </c>
      <c r="B37" s="27" t="s">
        <v>81</v>
      </c>
      <c r="C37" s="28" t="s">
        <v>81</v>
      </c>
      <c r="D37" s="28" t="s">
        <v>81</v>
      </c>
      <c r="E37" s="28">
        <v>148.1682122103943</v>
      </c>
      <c r="F37" s="28">
        <v>127.63735958634521</v>
      </c>
      <c r="G37" s="29">
        <v>115.34450273124089</v>
      </c>
      <c r="H37" s="29">
        <v>104.72754551977413</v>
      </c>
      <c r="I37" s="29">
        <v>100.9097966458598</v>
      </c>
      <c r="J37" s="29">
        <v>100.15439105359373</v>
      </c>
      <c r="K37" s="29">
        <v>100.38298344923554</v>
      </c>
      <c r="L37" s="29">
        <v>100.6195512642537</v>
      </c>
      <c r="M37" s="29">
        <v>100.00528180711392</v>
      </c>
      <c r="N37" s="26">
        <v>99.050815085253589</v>
      </c>
      <c r="O37" s="29">
        <v>100.28780520090577</v>
      </c>
      <c r="P37" s="29">
        <v>100.55782006117782</v>
      </c>
      <c r="Q37" s="29">
        <v>99.79368976091358</v>
      </c>
      <c r="R37" s="29">
        <v>99.659396804799613</v>
      </c>
      <c r="S37" s="2" t="s">
        <v>38</v>
      </c>
      <c r="T37" s="26"/>
      <c r="U37" s="4"/>
      <c r="V37" s="12"/>
    </row>
    <row r="38" spans="1:28" s="30" customFormat="1" ht="15">
      <c r="A38" s="34" t="s">
        <v>39</v>
      </c>
      <c r="B38" s="27">
        <v>107.4664562560165</v>
      </c>
      <c r="C38" s="28">
        <v>109.45485039081306</v>
      </c>
      <c r="D38" s="28">
        <v>109.41914650710019</v>
      </c>
      <c r="E38" s="28">
        <v>106.35930088537327</v>
      </c>
      <c r="F38" s="28">
        <v>97.644369088905876</v>
      </c>
      <c r="G38" s="29">
        <v>94.874945972791352</v>
      </c>
      <c r="H38" s="29">
        <v>96.624178349214034</v>
      </c>
      <c r="I38" s="29">
        <v>90.077187080296483</v>
      </c>
      <c r="J38" s="29">
        <v>94.587232125872092</v>
      </c>
      <c r="K38" s="29">
        <v>100.01905005623114</v>
      </c>
      <c r="L38" s="29">
        <v>97.89290317146407</v>
      </c>
      <c r="M38" s="29">
        <v>99.531777140452178</v>
      </c>
      <c r="N38" s="26">
        <v>98.82807875047888</v>
      </c>
      <c r="O38" s="29">
        <v>102.2003441480955</v>
      </c>
      <c r="P38" s="29">
        <v>101.95630588932649</v>
      </c>
      <c r="Q38" s="29">
        <v>100.69713942933714</v>
      </c>
      <c r="R38" s="29">
        <v>100.58404074832116</v>
      </c>
      <c r="S38" s="35" t="s">
        <v>40</v>
      </c>
      <c r="T38" s="26"/>
      <c r="U38" s="4"/>
      <c r="V38" s="12"/>
    </row>
    <row r="39" spans="1:28" s="30" customFormat="1" ht="15">
      <c r="A39" s="31" t="s">
        <v>12</v>
      </c>
      <c r="B39" s="27">
        <v>42.494585923608234</v>
      </c>
      <c r="C39" s="28">
        <v>42.674973982442431</v>
      </c>
      <c r="D39" s="28">
        <v>43.713028818656035</v>
      </c>
      <c r="E39" s="28">
        <v>44.108660800348986</v>
      </c>
      <c r="F39" s="28">
        <v>44.900128272781792</v>
      </c>
      <c r="G39" s="29">
        <v>47.049388033467601</v>
      </c>
      <c r="H39" s="29">
        <v>48.13102192510862</v>
      </c>
      <c r="I39" s="29">
        <v>49.012472981378899</v>
      </c>
      <c r="J39" s="29">
        <v>66.212440093936394</v>
      </c>
      <c r="K39" s="29">
        <v>72.465176121953334</v>
      </c>
      <c r="L39" s="29">
        <v>85.752154766717368</v>
      </c>
      <c r="M39" s="29">
        <v>100.26897294373833</v>
      </c>
      <c r="N39" s="26">
        <v>105.75107702222947</v>
      </c>
      <c r="O39" s="29">
        <v>110.56855328746506</v>
      </c>
      <c r="P39" s="29">
        <v>119.00762505009182</v>
      </c>
      <c r="Q39" s="29">
        <v>124.80292719209795</v>
      </c>
      <c r="R39" s="29">
        <v>130.07859259520549</v>
      </c>
      <c r="S39" s="35" t="s">
        <v>13</v>
      </c>
      <c r="T39" s="26"/>
      <c r="U39" s="4"/>
      <c r="V39" s="12"/>
    </row>
    <row r="40" spans="1:28" s="30" customFormat="1" ht="15">
      <c r="A40" s="31" t="s">
        <v>41</v>
      </c>
      <c r="B40" s="27" t="s">
        <v>81</v>
      </c>
      <c r="C40" s="28" t="s">
        <v>81</v>
      </c>
      <c r="D40" s="28" t="s">
        <v>81</v>
      </c>
      <c r="E40" s="28">
        <v>47.710450635191421</v>
      </c>
      <c r="F40" s="28">
        <v>46.12928666919646</v>
      </c>
      <c r="G40" s="29">
        <v>49.094342913656533</v>
      </c>
      <c r="H40" s="29">
        <v>57.310377045571919</v>
      </c>
      <c r="I40" s="29">
        <v>66.268774405103429</v>
      </c>
      <c r="J40" s="29">
        <v>67.972496509520113</v>
      </c>
      <c r="K40" s="29">
        <v>70.167294544238487</v>
      </c>
      <c r="L40" s="29">
        <v>81.124231104476152</v>
      </c>
      <c r="M40" s="29">
        <v>103.56604942649903</v>
      </c>
      <c r="N40" s="26">
        <v>115.92908544747458</v>
      </c>
      <c r="O40" s="29">
        <v>121.3287709962447</v>
      </c>
      <c r="P40" s="29">
        <v>121.06073734975051</v>
      </c>
      <c r="Q40" s="29">
        <v>123.14673548135868</v>
      </c>
      <c r="R40" s="29">
        <v>125.6295963585136</v>
      </c>
      <c r="S40" s="35" t="s">
        <v>42</v>
      </c>
      <c r="T40" s="26"/>
      <c r="U40" s="4"/>
      <c r="V40" s="12"/>
    </row>
    <row r="41" spans="1:28" s="30" customFormat="1" ht="15">
      <c r="A41" s="34" t="s">
        <v>43</v>
      </c>
      <c r="B41" s="27">
        <v>64.20586461633458</v>
      </c>
      <c r="C41" s="28">
        <v>63.443453218784704</v>
      </c>
      <c r="D41" s="28">
        <v>63.177962242280323</v>
      </c>
      <c r="E41" s="28">
        <v>65.350865449984198</v>
      </c>
      <c r="F41" s="28">
        <v>65.654739792094361</v>
      </c>
      <c r="G41" s="29">
        <v>66.045812015945941</v>
      </c>
      <c r="H41" s="29">
        <v>67.578746700557247</v>
      </c>
      <c r="I41" s="29">
        <v>71.846737489273423</v>
      </c>
      <c r="J41" s="29">
        <v>76.948539555294857</v>
      </c>
      <c r="K41" s="29">
        <v>80.738363693637908</v>
      </c>
      <c r="L41" s="29">
        <v>86.725904563278689</v>
      </c>
      <c r="M41" s="29">
        <v>100.59989156921542</v>
      </c>
      <c r="N41" s="26">
        <v>99.01609787482279</v>
      </c>
      <c r="O41" s="29">
        <v>98.892634758290214</v>
      </c>
      <c r="P41" s="29">
        <v>98.735605526974709</v>
      </c>
      <c r="Q41" s="29">
        <v>98.469134997835681</v>
      </c>
      <c r="R41" s="29">
        <v>98.317889337161489</v>
      </c>
      <c r="S41" s="35" t="s">
        <v>74</v>
      </c>
      <c r="T41" s="26"/>
      <c r="U41" s="4"/>
      <c r="V41" s="12"/>
    </row>
    <row r="42" spans="1:28" s="41" customFormat="1" ht="15">
      <c r="A42" s="36" t="s">
        <v>69</v>
      </c>
      <c r="B42" s="38">
        <v>57.656063878870128</v>
      </c>
      <c r="C42" s="38">
        <v>60.065321906553883</v>
      </c>
      <c r="D42" s="38">
        <v>59.308107744495715</v>
      </c>
      <c r="E42" s="38">
        <v>58.308521705702333</v>
      </c>
      <c r="F42" s="38">
        <v>59.066692841739666</v>
      </c>
      <c r="G42" s="39">
        <v>60.684187749186492</v>
      </c>
      <c r="H42" s="39">
        <v>64.807540880908348</v>
      </c>
      <c r="I42" s="39">
        <v>72.611313924073201</v>
      </c>
      <c r="J42" s="39">
        <v>75.900734670117231</v>
      </c>
      <c r="K42" s="39">
        <v>80.568542845421106</v>
      </c>
      <c r="L42" s="39">
        <v>89.651368722070842</v>
      </c>
      <c r="M42" s="39">
        <v>99.409647361204449</v>
      </c>
      <c r="N42" s="37">
        <v>103.19281073321666</v>
      </c>
      <c r="O42" s="39">
        <v>105.38050013404563</v>
      </c>
      <c r="P42" s="39">
        <v>106.38499407837655</v>
      </c>
      <c r="Q42" s="39">
        <v>106.91958868829052</v>
      </c>
      <c r="R42" s="39">
        <v>109.93201964009602</v>
      </c>
      <c r="S42" s="40" t="s">
        <v>14</v>
      </c>
      <c r="T42" s="26"/>
      <c r="U42" s="83"/>
      <c r="V42" s="572"/>
      <c r="X42" s="30"/>
      <c r="AB42" s="30"/>
    </row>
    <row r="43" spans="1:28" s="45" customFormat="1" ht="15">
      <c r="A43" s="42" t="s">
        <v>70</v>
      </c>
      <c r="B43" s="43">
        <v>60.032775754695813</v>
      </c>
      <c r="C43" s="43">
        <v>60.922204377547509</v>
      </c>
      <c r="D43" s="43">
        <v>59.418093264539635</v>
      </c>
      <c r="E43" s="43">
        <v>60.873310045111914</v>
      </c>
      <c r="F43" s="43">
        <v>62.088248980371048</v>
      </c>
      <c r="G43" s="43">
        <v>64.052485645287277</v>
      </c>
      <c r="H43" s="43">
        <v>67.18924401230818</v>
      </c>
      <c r="I43" s="43">
        <v>75.385471686170362</v>
      </c>
      <c r="J43" s="43">
        <v>79.51493809042644</v>
      </c>
      <c r="K43" s="43">
        <v>84.338371332150743</v>
      </c>
      <c r="L43" s="43">
        <v>91.679051572020867</v>
      </c>
      <c r="M43" s="43">
        <v>100.14126599840249</v>
      </c>
      <c r="N43" s="43">
        <v>103.074234913911</v>
      </c>
      <c r="O43" s="43">
        <v>105.29983112357628</v>
      </c>
      <c r="P43" s="43">
        <v>106.44622541898161</v>
      </c>
      <c r="Q43" s="43">
        <v>107.1902747590181</v>
      </c>
      <c r="R43" s="43">
        <v>110.17175267946645</v>
      </c>
      <c r="S43" s="44" t="s">
        <v>54</v>
      </c>
      <c r="T43" s="26"/>
      <c r="U43" s="83"/>
      <c r="V43" s="572"/>
      <c r="X43" s="30"/>
      <c r="AB43" s="30"/>
    </row>
    <row r="44" spans="1:28">
      <c r="A44" s="47" t="s">
        <v>96</v>
      </c>
    </row>
    <row r="45" spans="1:28" ht="15">
      <c r="A45" s="50" t="s">
        <v>97</v>
      </c>
      <c r="B45" s="46"/>
    </row>
    <row r="46" spans="1:28">
      <c r="A46" s="50" t="s">
        <v>98</v>
      </c>
    </row>
    <row r="47" spans="1:28">
      <c r="A47" s="50" t="s">
        <v>99</v>
      </c>
    </row>
    <row r="48" spans="1:28">
      <c r="A48" s="50" t="s">
        <v>100</v>
      </c>
    </row>
    <row r="49" spans="1:22">
      <c r="A49" s="50" t="s">
        <v>101</v>
      </c>
    </row>
    <row r="50" spans="1:22">
      <c r="A50" s="50" t="s">
        <v>102</v>
      </c>
      <c r="V50" s="241"/>
    </row>
    <row r="51" spans="1:22" ht="15">
      <c r="A51" s="381" t="s">
        <v>108</v>
      </c>
      <c r="J51" s="35"/>
      <c r="V51" s="241"/>
    </row>
    <row r="52" spans="1:22">
      <c r="V52" s="241"/>
    </row>
    <row r="53" spans="1:22">
      <c r="V53" s="241"/>
    </row>
    <row r="54" spans="1:22">
      <c r="V54" s="241"/>
    </row>
    <row r="55" spans="1:22">
      <c r="V55" s="241"/>
    </row>
    <row r="56" spans="1:22">
      <c r="V56" s="241"/>
    </row>
    <row r="57" spans="1:22">
      <c r="V57" s="241"/>
    </row>
    <row r="58" spans="1:22">
      <c r="V58" s="241"/>
    </row>
    <row r="59" spans="1:22">
      <c r="V59" s="241"/>
    </row>
    <row r="60" spans="1:22">
      <c r="V60" s="241"/>
    </row>
    <row r="61" spans="1:22">
      <c r="V61" s="241"/>
    </row>
    <row r="62" spans="1:22">
      <c r="V62" s="241"/>
    </row>
    <row r="63" spans="1:22">
      <c r="V63" s="241"/>
    </row>
  </sheetData>
  <mergeCells count="10">
    <mergeCell ref="A1:S1"/>
    <mergeCell ref="U1:AB1"/>
    <mergeCell ref="A2:S2"/>
    <mergeCell ref="A3:S3"/>
    <mergeCell ref="A4:S4"/>
    <mergeCell ref="S25:S26"/>
    <mergeCell ref="A25:A26"/>
    <mergeCell ref="B24:O24"/>
    <mergeCell ref="A5:A6"/>
    <mergeCell ref="S5:S6"/>
  </mergeCells>
  <pageMargins left="0.14000000000000001" right="0.13" top="0.35" bottom="0.21" header="0.3" footer="0.09"/>
  <pageSetup paperSize="9" scale="63" orientation="landscape" horizontalDpi="4294967295" verticalDpi="4294967295" r:id="rId1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59"/>
  <sheetViews>
    <sheetView zoomScaleNormal="100" workbookViewId="0">
      <selection activeCell="A33" sqref="A33"/>
    </sheetView>
  </sheetViews>
  <sheetFormatPr defaultColWidth="9.140625" defaultRowHeight="12.75"/>
  <cols>
    <col min="1" max="1" width="36.7109375" style="4" customWidth="1"/>
    <col min="2" max="18" width="7.28515625" style="4" customWidth="1"/>
    <col min="19" max="19" width="35" style="4" bestFit="1" customWidth="1"/>
    <col min="20" max="16384" width="9.140625" style="4"/>
  </cols>
  <sheetData>
    <row r="1" spans="1:28" s="92" customFormat="1" ht="19.5">
      <c r="A1" s="601" t="s">
        <v>295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561"/>
      <c r="U1" s="601"/>
      <c r="V1" s="601"/>
      <c r="W1" s="601"/>
      <c r="X1" s="601"/>
      <c r="Y1" s="601"/>
      <c r="Z1" s="601"/>
      <c r="AA1" s="601"/>
      <c r="AB1" s="601"/>
    </row>
    <row r="2" spans="1:28" s="92" customFormat="1" ht="12.75" customHeight="1">
      <c r="A2" s="602" t="s">
        <v>296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</row>
    <row r="3" spans="1:28" s="94" customFormat="1" ht="15" customHeight="1">
      <c r="A3" s="612" t="s">
        <v>66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</row>
    <row r="4" spans="1:28" s="94" customFormat="1">
      <c r="A4" s="613" t="s">
        <v>65</v>
      </c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  <c r="R4" s="613"/>
      <c r="S4" s="613"/>
    </row>
    <row r="5" spans="1:28" s="7" customFormat="1" ht="16.5" customHeight="1">
      <c r="A5" s="609" t="s">
        <v>77</v>
      </c>
      <c r="B5" s="20" t="s">
        <v>257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491"/>
      <c r="P5" s="22"/>
      <c r="Q5" s="22" t="s">
        <v>256</v>
      </c>
      <c r="R5" s="108"/>
      <c r="S5" s="607" t="s">
        <v>29</v>
      </c>
    </row>
    <row r="6" spans="1:28" s="7" customFormat="1">
      <c r="A6" s="610"/>
      <c r="B6" s="24">
        <v>1985</v>
      </c>
      <c r="C6" s="24">
        <v>1986</v>
      </c>
      <c r="D6" s="24">
        <v>1987</v>
      </c>
      <c r="E6" s="24">
        <v>1988</v>
      </c>
      <c r="F6" s="24">
        <v>1989</v>
      </c>
      <c r="G6" s="24">
        <v>1990</v>
      </c>
      <c r="H6" s="24">
        <v>1991</v>
      </c>
      <c r="I6" s="24">
        <v>1992</v>
      </c>
      <c r="J6" s="24">
        <v>1993</v>
      </c>
      <c r="K6" s="24">
        <v>1994</v>
      </c>
      <c r="L6" s="24">
        <v>1995</v>
      </c>
      <c r="M6" s="24">
        <v>1996</v>
      </c>
      <c r="N6" s="24">
        <v>1997</v>
      </c>
      <c r="O6" s="24">
        <v>1998</v>
      </c>
      <c r="P6" s="24">
        <v>1999</v>
      </c>
      <c r="Q6" s="24">
        <v>2000</v>
      </c>
      <c r="R6" s="24"/>
      <c r="S6" s="608"/>
    </row>
    <row r="7" spans="1:28" s="30" customFormat="1" ht="15">
      <c r="A7" s="25" t="s">
        <v>55</v>
      </c>
      <c r="B7" s="26"/>
      <c r="C7" s="26">
        <v>10.294326392989994</v>
      </c>
      <c r="D7" s="26">
        <v>13.084393549750883</v>
      </c>
      <c r="E7" s="26">
        <v>1.9508179231662703</v>
      </c>
      <c r="F7" s="26">
        <v>2.8347811581561633</v>
      </c>
      <c r="G7" s="26">
        <v>6.5139575153940532</v>
      </c>
      <c r="H7" s="26">
        <v>13.355515886250524</v>
      </c>
      <c r="I7" s="26">
        <v>14.610491817526716</v>
      </c>
      <c r="J7" s="26">
        <v>19.51261468546679</v>
      </c>
      <c r="K7" s="26">
        <v>4.8645182405227194</v>
      </c>
      <c r="L7" s="26">
        <v>2.2789332145523034</v>
      </c>
      <c r="M7" s="26">
        <v>17.683769391764837</v>
      </c>
      <c r="N7" s="26">
        <v>19.487942702459058</v>
      </c>
      <c r="O7" s="26">
        <v>-4.7361381030903482</v>
      </c>
      <c r="P7" s="26">
        <v>4.2068436318072999</v>
      </c>
      <c r="Q7" s="26">
        <v>-4.8025202463151668</v>
      </c>
      <c r="R7" s="26"/>
      <c r="S7" s="2" t="s">
        <v>57</v>
      </c>
    </row>
    <row r="8" spans="1:28" s="30" customFormat="1" ht="15">
      <c r="A8" s="25" t="s">
        <v>56</v>
      </c>
      <c r="B8" s="26"/>
      <c r="C8" s="26" t="s">
        <v>81</v>
      </c>
      <c r="D8" s="26" t="s">
        <v>81</v>
      </c>
      <c r="E8" s="26" t="s">
        <v>81</v>
      </c>
      <c r="F8" s="26" t="s">
        <v>81</v>
      </c>
      <c r="G8" s="26" t="s">
        <v>81</v>
      </c>
      <c r="H8" s="26" t="s">
        <v>81</v>
      </c>
      <c r="I8" s="26" t="s">
        <v>81</v>
      </c>
      <c r="J8" s="26" t="s">
        <v>81</v>
      </c>
      <c r="K8" s="26" t="s">
        <v>81</v>
      </c>
      <c r="L8" s="26" t="s">
        <v>81</v>
      </c>
      <c r="M8" s="26" t="s">
        <v>81</v>
      </c>
      <c r="N8" s="26">
        <v>3.525346129302398</v>
      </c>
      <c r="O8" s="26">
        <v>3.9022485823394293</v>
      </c>
      <c r="P8" s="26">
        <v>5.0694260957611759</v>
      </c>
      <c r="Q8" s="26">
        <v>-10.488527005730408</v>
      </c>
      <c r="R8" s="26"/>
      <c r="S8" s="2" t="s">
        <v>58</v>
      </c>
    </row>
    <row r="9" spans="1:28" s="30" customFormat="1" ht="15">
      <c r="A9" s="31" t="s">
        <v>9</v>
      </c>
      <c r="B9" s="26"/>
      <c r="C9" s="26" t="s">
        <v>81</v>
      </c>
      <c r="D9" s="26" t="s">
        <v>81</v>
      </c>
      <c r="E9" s="26" t="s">
        <v>81</v>
      </c>
      <c r="F9" s="26" t="s">
        <v>81</v>
      </c>
      <c r="G9" s="26" t="s">
        <v>81</v>
      </c>
      <c r="H9" s="26" t="s">
        <v>81</v>
      </c>
      <c r="I9" s="26" t="s">
        <v>81</v>
      </c>
      <c r="J9" s="26" t="s">
        <v>81</v>
      </c>
      <c r="K9" s="26" t="s">
        <v>81</v>
      </c>
      <c r="L9" s="26" t="s">
        <v>81</v>
      </c>
      <c r="M9" s="26" t="s">
        <v>81</v>
      </c>
      <c r="N9" s="26">
        <v>95.277928863905714</v>
      </c>
      <c r="O9" s="26">
        <v>-26.48096972795312</v>
      </c>
      <c r="P9" s="26">
        <v>1.1381805419862223</v>
      </c>
      <c r="Q9" s="26">
        <v>16.211888726152111</v>
      </c>
      <c r="R9" s="26"/>
      <c r="S9" s="2" t="s">
        <v>10</v>
      </c>
    </row>
    <row r="10" spans="1:28" s="30" customFormat="1" ht="15">
      <c r="A10" s="31" t="s">
        <v>51</v>
      </c>
      <c r="B10" s="26"/>
      <c r="C10" s="26" t="s">
        <v>81</v>
      </c>
      <c r="D10" s="26" t="s">
        <v>81</v>
      </c>
      <c r="E10" s="26" t="s">
        <v>81</v>
      </c>
      <c r="F10" s="26" t="s">
        <v>81</v>
      </c>
      <c r="G10" s="26" t="s">
        <v>81</v>
      </c>
      <c r="H10" s="26" t="s">
        <v>81</v>
      </c>
      <c r="I10" s="26" t="s">
        <v>81</v>
      </c>
      <c r="J10" s="26" t="s">
        <v>81</v>
      </c>
      <c r="K10" s="26" t="s">
        <v>81</v>
      </c>
      <c r="L10" s="26" t="s">
        <v>81</v>
      </c>
      <c r="M10" s="26" t="s">
        <v>81</v>
      </c>
      <c r="N10" s="26" t="s">
        <v>81</v>
      </c>
      <c r="O10" s="26" t="s">
        <v>81</v>
      </c>
      <c r="P10" s="26" t="s">
        <v>81</v>
      </c>
      <c r="Q10" s="26" t="s">
        <v>81</v>
      </c>
      <c r="R10" s="26"/>
      <c r="S10" s="2" t="s">
        <v>30</v>
      </c>
    </row>
    <row r="11" spans="1:28" s="30" customFormat="1" ht="15">
      <c r="A11" s="31" t="s">
        <v>11</v>
      </c>
      <c r="B11" s="26"/>
      <c r="C11" s="26">
        <v>16.750354829860537</v>
      </c>
      <c r="D11" s="26">
        <v>3.5040403730832503</v>
      </c>
      <c r="E11" s="26">
        <v>10.005231106329649</v>
      </c>
      <c r="F11" s="26">
        <v>9.4855276616361941</v>
      </c>
      <c r="G11" s="26">
        <v>-17.45201842230346</v>
      </c>
      <c r="H11" s="26">
        <v>0.84383996823189644</v>
      </c>
      <c r="I11" s="26">
        <v>12.21401850758026</v>
      </c>
      <c r="J11" s="26">
        <v>28.450612789177686</v>
      </c>
      <c r="K11" s="26">
        <v>-0.77518320959995002</v>
      </c>
      <c r="L11" s="26">
        <v>-19.23844660728793</v>
      </c>
      <c r="M11" s="26">
        <v>-0.77813384243002881</v>
      </c>
      <c r="N11" s="26">
        <v>4.2111634823719823</v>
      </c>
      <c r="O11" s="26">
        <v>7.7049747043593131</v>
      </c>
      <c r="P11" s="26">
        <v>-2.9808233729433309</v>
      </c>
      <c r="Q11" s="26">
        <v>-2.8564108420813805</v>
      </c>
      <c r="R11" s="26"/>
      <c r="S11" s="2" t="s">
        <v>31</v>
      </c>
    </row>
    <row r="12" spans="1:28" s="30" customFormat="1" ht="15">
      <c r="A12" s="31" t="s">
        <v>67</v>
      </c>
      <c r="B12" s="26"/>
      <c r="C12" s="26">
        <v>-3.4800463304201279</v>
      </c>
      <c r="D12" s="26">
        <v>15.147548137238864</v>
      </c>
      <c r="E12" s="26">
        <v>57.891994315490301</v>
      </c>
      <c r="F12" s="26">
        <v>25.006750472533046</v>
      </c>
      <c r="G12" s="26">
        <v>23.203571257140144</v>
      </c>
      <c r="H12" s="26">
        <v>20.773756184984627</v>
      </c>
      <c r="I12" s="26">
        <v>45.970837768960294</v>
      </c>
      <c r="J12" s="26">
        <v>28.176001944772857</v>
      </c>
      <c r="K12" s="26">
        <v>3.4500594837842069</v>
      </c>
      <c r="L12" s="26">
        <v>0.76333333333333808</v>
      </c>
      <c r="M12" s="26">
        <v>-0.54335240993749201</v>
      </c>
      <c r="N12" s="26">
        <v>-1.7060888810262576</v>
      </c>
      <c r="O12" s="26">
        <v>-0.92047423581387289</v>
      </c>
      <c r="P12" s="26">
        <v>6.1522952352015103</v>
      </c>
      <c r="Q12" s="26">
        <v>2.8638835775561811</v>
      </c>
      <c r="R12" s="26"/>
      <c r="S12" s="2" t="s">
        <v>32</v>
      </c>
    </row>
    <row r="13" spans="1:28" s="30" customFormat="1" ht="15">
      <c r="A13" s="31" t="s">
        <v>68</v>
      </c>
      <c r="B13" s="26"/>
      <c r="C13" s="26" t="s">
        <v>81</v>
      </c>
      <c r="D13" s="26" t="s">
        <v>81</v>
      </c>
      <c r="E13" s="26" t="s">
        <v>81</v>
      </c>
      <c r="F13" s="26" t="s">
        <v>81</v>
      </c>
      <c r="G13" s="26" t="s">
        <v>81</v>
      </c>
      <c r="H13" s="26" t="s">
        <v>81</v>
      </c>
      <c r="I13" s="26" t="s">
        <v>81</v>
      </c>
      <c r="J13" s="26" t="s">
        <v>81</v>
      </c>
      <c r="K13" s="26" t="s">
        <v>81</v>
      </c>
      <c r="L13" s="26" t="s">
        <v>81</v>
      </c>
      <c r="M13" s="26" t="s">
        <v>81</v>
      </c>
      <c r="N13" s="26" t="s">
        <v>81</v>
      </c>
      <c r="O13" s="26" t="s">
        <v>81</v>
      </c>
      <c r="P13" s="26" t="s">
        <v>81</v>
      </c>
      <c r="Q13" s="26" t="s">
        <v>81</v>
      </c>
      <c r="R13" s="26"/>
      <c r="S13" s="32" t="s">
        <v>72</v>
      </c>
    </row>
    <row r="14" spans="1:28" s="30" customFormat="1" ht="25.5">
      <c r="A14" s="25" t="s">
        <v>50</v>
      </c>
      <c r="B14" s="26"/>
      <c r="C14" s="26">
        <v>10.214026538589604</v>
      </c>
      <c r="D14" s="26">
        <v>3.0281824543546332</v>
      </c>
      <c r="E14" s="26">
        <v>10.691571472676742</v>
      </c>
      <c r="F14" s="26">
        <v>24.43449641592057</v>
      </c>
      <c r="G14" s="26">
        <v>-1.5690317953086064</v>
      </c>
      <c r="H14" s="26">
        <v>11.659284730208253</v>
      </c>
      <c r="I14" s="26">
        <v>21.625011471748913</v>
      </c>
      <c r="J14" s="26">
        <v>13.323104783942853</v>
      </c>
      <c r="K14" s="26">
        <v>-1.0283727296267475</v>
      </c>
      <c r="L14" s="26">
        <v>-5.302186507194917</v>
      </c>
      <c r="M14" s="26">
        <v>2.9838493235029517</v>
      </c>
      <c r="N14" s="26">
        <v>-3.2532776503976679</v>
      </c>
      <c r="O14" s="26">
        <v>4.9495353537627906</v>
      </c>
      <c r="P14" s="26">
        <v>4.1211224934067481</v>
      </c>
      <c r="Q14" s="26">
        <v>-0.17557110839790946</v>
      </c>
      <c r="R14" s="26"/>
      <c r="S14" s="2" t="s">
        <v>53</v>
      </c>
    </row>
    <row r="15" spans="1:28" s="30" customFormat="1" ht="15">
      <c r="A15" s="33" t="s">
        <v>33</v>
      </c>
      <c r="B15" s="26"/>
      <c r="C15" s="26">
        <v>13.883149872988998</v>
      </c>
      <c r="D15" s="26">
        <v>2.2632643349988157</v>
      </c>
      <c r="E15" s="26">
        <v>23.670205031263649</v>
      </c>
      <c r="F15" s="26">
        <v>-11.461762769259732</v>
      </c>
      <c r="G15" s="26">
        <v>16.127490039840641</v>
      </c>
      <c r="H15" s="26">
        <v>34.394583962307323</v>
      </c>
      <c r="I15" s="26">
        <v>23.357726344452011</v>
      </c>
      <c r="J15" s="26">
        <v>40.756018486583436</v>
      </c>
      <c r="K15" s="26">
        <v>3.757828810020869</v>
      </c>
      <c r="L15" s="26">
        <v>16.155146843502322</v>
      </c>
      <c r="M15" s="26">
        <v>7.6852386490245284</v>
      </c>
      <c r="N15" s="26">
        <v>-1.0965540024450493</v>
      </c>
      <c r="O15" s="26">
        <v>-2.5617213591290211</v>
      </c>
      <c r="P15" s="26">
        <v>-5.5649148496746399</v>
      </c>
      <c r="Q15" s="26">
        <v>6.9701712669708149</v>
      </c>
      <c r="R15" s="26"/>
      <c r="S15" s="2" t="s">
        <v>34</v>
      </c>
    </row>
    <row r="16" spans="1:28" s="30" customFormat="1" ht="15">
      <c r="A16" s="33" t="s">
        <v>35</v>
      </c>
      <c r="B16" s="26"/>
      <c r="C16" s="26">
        <v>0.68690593673712552</v>
      </c>
      <c r="D16" s="26">
        <v>2.2684773216749665</v>
      </c>
      <c r="E16" s="26">
        <v>2.2433795712484494</v>
      </c>
      <c r="F16" s="26">
        <v>3.1130132340063454</v>
      </c>
      <c r="G16" s="26">
        <v>-1.4843964929488251</v>
      </c>
      <c r="H16" s="26">
        <v>40.668026517083142</v>
      </c>
      <c r="I16" s="26">
        <v>1.673614887318009</v>
      </c>
      <c r="J16" s="26">
        <v>2.7674963496213678</v>
      </c>
      <c r="K16" s="26">
        <v>0.58815754692045363</v>
      </c>
      <c r="L16" s="26">
        <v>0.3802312594441748</v>
      </c>
      <c r="M16" s="26">
        <v>18.607390923742773</v>
      </c>
      <c r="N16" s="26">
        <v>0.61650241052308985</v>
      </c>
      <c r="O16" s="26">
        <v>-1.4787038847622669</v>
      </c>
      <c r="P16" s="26">
        <v>-0.73455960115158536</v>
      </c>
      <c r="Q16" s="26">
        <v>3.3470158580086506</v>
      </c>
      <c r="R16" s="26"/>
      <c r="S16" s="2" t="s">
        <v>36</v>
      </c>
    </row>
    <row r="17" spans="1:19" s="30" customFormat="1" ht="15">
      <c r="A17" s="33" t="s">
        <v>37</v>
      </c>
      <c r="B17" s="26"/>
      <c r="C17" s="26" t="s">
        <v>81</v>
      </c>
      <c r="D17" s="26" t="s">
        <v>81</v>
      </c>
      <c r="E17" s="26" t="s">
        <v>81</v>
      </c>
      <c r="F17" s="26" t="s">
        <v>81</v>
      </c>
      <c r="G17" s="26" t="s">
        <v>81</v>
      </c>
      <c r="H17" s="26" t="s">
        <v>81</v>
      </c>
      <c r="I17" s="26" t="s">
        <v>81</v>
      </c>
      <c r="J17" s="26" t="s">
        <v>81</v>
      </c>
      <c r="K17" s="26" t="s">
        <v>81</v>
      </c>
      <c r="L17" s="26" t="s">
        <v>81</v>
      </c>
      <c r="M17" s="26" t="s">
        <v>81</v>
      </c>
      <c r="N17" s="26" t="s">
        <v>81</v>
      </c>
      <c r="O17" s="26" t="s">
        <v>81</v>
      </c>
      <c r="P17" s="26" t="s">
        <v>81</v>
      </c>
      <c r="Q17" s="26" t="s">
        <v>81</v>
      </c>
      <c r="R17" s="26"/>
      <c r="S17" s="2" t="s">
        <v>38</v>
      </c>
    </row>
    <row r="18" spans="1:19" s="30" customFormat="1" ht="15">
      <c r="A18" s="34" t="s">
        <v>39</v>
      </c>
      <c r="B18" s="26"/>
      <c r="C18" s="26">
        <v>-6.9005969016600055E-3</v>
      </c>
      <c r="D18" s="26">
        <v>3.2003726579483249</v>
      </c>
      <c r="E18" s="26">
        <v>7.1752177474630807</v>
      </c>
      <c r="F18" s="26">
        <v>3.177400988940704</v>
      </c>
      <c r="G18" s="26">
        <v>-1.0461705923260567</v>
      </c>
      <c r="H18" s="26">
        <v>35.238488098511908</v>
      </c>
      <c r="I18" s="26">
        <v>-1.1489058846123168</v>
      </c>
      <c r="J18" s="26">
        <v>18.643002445658354</v>
      </c>
      <c r="K18" s="26">
        <v>6.7755141357222382</v>
      </c>
      <c r="L18" s="26">
        <v>2.1091755451109195</v>
      </c>
      <c r="M18" s="26">
        <v>3.9271294406601376</v>
      </c>
      <c r="N18" s="26">
        <v>2.9615303410190918E-2</v>
      </c>
      <c r="O18" s="26">
        <v>-0.44340031814228409</v>
      </c>
      <c r="P18" s="26">
        <v>3.1117750371837616</v>
      </c>
      <c r="Q18" s="26">
        <v>8.750153753667167E-2</v>
      </c>
      <c r="R18" s="26"/>
      <c r="S18" s="35" t="s">
        <v>40</v>
      </c>
    </row>
    <row r="19" spans="1:19" s="30" customFormat="1" ht="15">
      <c r="A19" s="31" t="s">
        <v>12</v>
      </c>
      <c r="B19" s="26"/>
      <c r="C19" s="26" t="s">
        <v>81</v>
      </c>
      <c r="D19" s="26" t="s">
        <v>81</v>
      </c>
      <c r="E19" s="26" t="s">
        <v>81</v>
      </c>
      <c r="F19" s="26" t="s">
        <v>81</v>
      </c>
      <c r="G19" s="26" t="s">
        <v>81</v>
      </c>
      <c r="H19" s="26" t="s">
        <v>81</v>
      </c>
      <c r="I19" s="26" t="s">
        <v>81</v>
      </c>
      <c r="J19" s="26" t="s">
        <v>81</v>
      </c>
      <c r="K19" s="26" t="s">
        <v>81</v>
      </c>
      <c r="L19" s="26" t="s">
        <v>81</v>
      </c>
      <c r="M19" s="26" t="s">
        <v>81</v>
      </c>
      <c r="N19" s="26">
        <v>3.7106603367113022</v>
      </c>
      <c r="O19" s="26">
        <v>-0.80111444503186968</v>
      </c>
      <c r="P19" s="26">
        <v>7.5087992403904735</v>
      </c>
      <c r="Q19" s="26">
        <v>1.5556176127648369</v>
      </c>
      <c r="R19" s="26"/>
      <c r="S19" s="35" t="s">
        <v>13</v>
      </c>
    </row>
    <row r="20" spans="1:19" s="30" customFormat="1" ht="15">
      <c r="A20" s="31" t="s">
        <v>41</v>
      </c>
      <c r="B20" s="26"/>
      <c r="C20" s="26" t="s">
        <v>81</v>
      </c>
      <c r="D20" s="26" t="s">
        <v>81</v>
      </c>
      <c r="E20" s="26" t="s">
        <v>81</v>
      </c>
      <c r="F20" s="26" t="s">
        <v>81</v>
      </c>
      <c r="G20" s="26" t="s">
        <v>81</v>
      </c>
      <c r="H20" s="26" t="s">
        <v>81</v>
      </c>
      <c r="I20" s="26" t="s">
        <v>81</v>
      </c>
      <c r="J20" s="26" t="s">
        <v>81</v>
      </c>
      <c r="K20" s="26" t="s">
        <v>81</v>
      </c>
      <c r="L20" s="26" t="s">
        <v>81</v>
      </c>
      <c r="M20" s="26" t="s">
        <v>81</v>
      </c>
      <c r="N20" s="26" t="s">
        <v>81</v>
      </c>
      <c r="O20" s="26" t="s">
        <v>81</v>
      </c>
      <c r="P20" s="26" t="s">
        <v>81</v>
      </c>
      <c r="Q20" s="26" t="s">
        <v>81</v>
      </c>
      <c r="R20" s="26"/>
      <c r="S20" s="35" t="s">
        <v>42</v>
      </c>
    </row>
    <row r="21" spans="1:19" s="30" customFormat="1" ht="15">
      <c r="A21" s="34" t="s">
        <v>43</v>
      </c>
      <c r="B21" s="26"/>
      <c r="C21" s="26" t="s">
        <v>81</v>
      </c>
      <c r="D21" s="26" t="s">
        <v>81</v>
      </c>
      <c r="E21" s="26" t="s">
        <v>81</v>
      </c>
      <c r="F21" s="26" t="s">
        <v>81</v>
      </c>
      <c r="G21" s="26" t="s">
        <v>81</v>
      </c>
      <c r="H21" s="26" t="s">
        <v>81</v>
      </c>
      <c r="I21" s="26" t="s">
        <v>81</v>
      </c>
      <c r="J21" s="26" t="s">
        <v>81</v>
      </c>
      <c r="K21" s="26" t="s">
        <v>81</v>
      </c>
      <c r="L21" s="26" t="s">
        <v>81</v>
      </c>
      <c r="M21" s="26" t="s">
        <v>81</v>
      </c>
      <c r="N21" s="26">
        <v>1.5945953647144684</v>
      </c>
      <c r="O21" s="26">
        <v>-1.2494277688276934</v>
      </c>
      <c r="P21" s="26">
        <v>-1.2054207849115817</v>
      </c>
      <c r="Q21" s="26">
        <v>-1.9383325819744002E-3</v>
      </c>
      <c r="R21" s="26"/>
      <c r="S21" s="35" t="s">
        <v>74</v>
      </c>
    </row>
    <row r="22" spans="1:19" s="41" customFormat="1" ht="15">
      <c r="A22" s="36" t="s">
        <v>69</v>
      </c>
      <c r="B22" s="37"/>
      <c r="C22" s="37">
        <v>9.7221932767854966</v>
      </c>
      <c r="D22" s="37">
        <v>9.7040723294332221</v>
      </c>
      <c r="E22" s="37">
        <v>6.4563602680194787</v>
      </c>
      <c r="F22" s="37">
        <v>7.1658588947077329</v>
      </c>
      <c r="G22" s="37">
        <v>3.6499119771747468</v>
      </c>
      <c r="H22" s="37">
        <v>14.713677028273553</v>
      </c>
      <c r="I22" s="37">
        <v>16.855997753554753</v>
      </c>
      <c r="J22" s="37">
        <v>20.127359314924888</v>
      </c>
      <c r="K22" s="37">
        <v>3.3861009829149413</v>
      </c>
      <c r="L22" s="37">
        <v>5.488861331715067</v>
      </c>
      <c r="M22" s="37">
        <v>6.2412459147601851</v>
      </c>
      <c r="N22" s="37">
        <v>7.5728346707260252</v>
      </c>
      <c r="O22" s="37">
        <v>-1.4042523381680105</v>
      </c>
      <c r="P22" s="37">
        <v>2.9537083606913761</v>
      </c>
      <c r="Q22" s="37">
        <v>-1.1747568117595253</v>
      </c>
      <c r="R22" s="37"/>
      <c r="S22" s="40" t="s">
        <v>14</v>
      </c>
    </row>
    <row r="23" spans="1:19" s="258" customFormat="1" ht="15">
      <c r="A23" s="42" t="s">
        <v>70</v>
      </c>
      <c r="B23" s="43"/>
      <c r="C23" s="37">
        <v>5.4159045379322146</v>
      </c>
      <c r="D23" s="37">
        <v>7.4974386092474532</v>
      </c>
      <c r="E23" s="37">
        <v>9.8015403298949977</v>
      </c>
      <c r="F23" s="37">
        <v>10.080221764878839</v>
      </c>
      <c r="G23" s="37">
        <v>-2.472433133656371</v>
      </c>
      <c r="H23" s="37">
        <v>12.309116753387306</v>
      </c>
      <c r="I23" s="37">
        <v>18.96844011983001</v>
      </c>
      <c r="J23" s="37">
        <v>16.34816217376871</v>
      </c>
      <c r="K23" s="37">
        <v>2.6642507214281297</v>
      </c>
      <c r="L23" s="37">
        <v>-0.16260295463458307</v>
      </c>
      <c r="M23" s="37">
        <v>3.2761795637762381</v>
      </c>
      <c r="N23" s="37">
        <v>1.9835370729223145</v>
      </c>
      <c r="O23" s="37">
        <v>1.9483991002530399</v>
      </c>
      <c r="P23" s="243">
        <v>3.1287769208774519</v>
      </c>
      <c r="Q23" s="243">
        <v>-2.8187121690851136</v>
      </c>
      <c r="R23" s="243"/>
      <c r="S23" s="44" t="s">
        <v>54</v>
      </c>
    </row>
    <row r="24" spans="1:19" s="7" customFormat="1">
      <c r="A24" s="562"/>
      <c r="B24" s="614"/>
      <c r="C24" s="614"/>
      <c r="D24" s="614"/>
      <c r="E24" s="614"/>
      <c r="F24" s="614"/>
      <c r="G24" s="614"/>
      <c r="H24" s="614"/>
      <c r="I24" s="614"/>
      <c r="J24" s="614"/>
      <c r="K24" s="614"/>
      <c r="L24" s="614"/>
      <c r="M24" s="614"/>
      <c r="N24" s="614"/>
      <c r="O24" s="614"/>
      <c r="P24" s="562"/>
      <c r="Q24" s="562"/>
      <c r="R24" s="562"/>
      <c r="S24" s="562"/>
    </row>
    <row r="25" spans="1:19" s="7" customFormat="1" ht="15">
      <c r="A25" s="609" t="s">
        <v>77</v>
      </c>
      <c r="B25" s="20" t="s">
        <v>257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22"/>
      <c r="Q25" s="22"/>
      <c r="R25" s="22" t="s">
        <v>256</v>
      </c>
      <c r="S25" s="607" t="s">
        <v>29</v>
      </c>
    </row>
    <row r="26" spans="1:19" s="7" customFormat="1">
      <c r="A26" s="610"/>
      <c r="B26" s="24">
        <v>2001</v>
      </c>
      <c r="C26" s="24">
        <v>2002</v>
      </c>
      <c r="D26" s="24">
        <v>2003</v>
      </c>
      <c r="E26" s="24">
        <v>2004</v>
      </c>
      <c r="F26" s="24">
        <v>2005</v>
      </c>
      <c r="G26" s="24">
        <v>2006</v>
      </c>
      <c r="H26" s="24">
        <v>2007</v>
      </c>
      <c r="I26" s="24">
        <v>2008</v>
      </c>
      <c r="J26" s="24">
        <v>2009</v>
      </c>
      <c r="K26" s="24">
        <v>2010</v>
      </c>
      <c r="L26" s="24">
        <v>2011</v>
      </c>
      <c r="M26" s="24">
        <v>2012</v>
      </c>
      <c r="N26" s="24">
        <v>2013</v>
      </c>
      <c r="O26" s="24">
        <v>2014</v>
      </c>
      <c r="P26" s="24">
        <v>2015</v>
      </c>
      <c r="Q26" s="24">
        <v>2016</v>
      </c>
      <c r="R26" s="24">
        <v>2017</v>
      </c>
      <c r="S26" s="608"/>
    </row>
    <row r="27" spans="1:19" s="30" customFormat="1" ht="15">
      <c r="A27" s="25" t="s">
        <v>55</v>
      </c>
      <c r="B27" s="26">
        <v>2.0702899914630146</v>
      </c>
      <c r="C27" s="26">
        <v>3.5870473783747414</v>
      </c>
      <c r="D27" s="26">
        <v>-6.0781576269677391</v>
      </c>
      <c r="E27" s="26">
        <v>15.961085756113302</v>
      </c>
      <c r="F27" s="26">
        <v>7.7614884988357336</v>
      </c>
      <c r="G27" s="26">
        <v>4.0040603928979568</v>
      </c>
      <c r="H27" s="26">
        <v>16.175476195736561</v>
      </c>
      <c r="I27" s="26">
        <v>19.06997559778134</v>
      </c>
      <c r="J27" s="26">
        <v>0.51800124800001068</v>
      </c>
      <c r="K27" s="26">
        <v>7.4773586354862198</v>
      </c>
      <c r="L27" s="26">
        <v>19.930030687092536</v>
      </c>
      <c r="M27" s="26">
        <v>17.634692979256638</v>
      </c>
      <c r="N27" s="26">
        <v>7.1645196795428578</v>
      </c>
      <c r="O27" s="26">
        <v>0.72068033332113313</v>
      </c>
      <c r="P27" s="26">
        <v>0.48</v>
      </c>
      <c r="Q27" s="26">
        <f>'[3]Republic data'!$OF$4</f>
        <v>0.57688102083264248</v>
      </c>
      <c r="R27" s="26">
        <v>5.5990541326304877</v>
      </c>
      <c r="S27" s="2" t="s">
        <v>57</v>
      </c>
    </row>
    <row r="28" spans="1:19" s="30" customFormat="1" ht="15">
      <c r="A28" s="25" t="s">
        <v>56</v>
      </c>
      <c r="B28" s="26">
        <v>10.222830821171481</v>
      </c>
      <c r="C28" s="26">
        <v>5.8670673964565045</v>
      </c>
      <c r="D28" s="26">
        <v>-5.6792479363186104</v>
      </c>
      <c r="E28" s="26">
        <v>9.5299146267019186</v>
      </c>
      <c r="F28" s="26">
        <v>6.872086661977872</v>
      </c>
      <c r="G28" s="26">
        <v>5.9692759239071469</v>
      </c>
      <c r="H28" s="26">
        <v>10.375688007298667</v>
      </c>
      <c r="I28" s="26">
        <v>21.326781498906744</v>
      </c>
      <c r="J28" s="26">
        <v>2.9263641937929075</v>
      </c>
      <c r="K28" s="26">
        <v>7.4281734816285638</v>
      </c>
      <c r="L28" s="26">
        <v>12.576874371432133</v>
      </c>
      <c r="M28" s="26">
        <v>5.5197534722386976</v>
      </c>
      <c r="N28" s="26">
        <v>5.4399952276129371</v>
      </c>
      <c r="O28" s="26">
        <v>0.29212997274166153</v>
      </c>
      <c r="P28" s="26">
        <v>0.9</v>
      </c>
      <c r="Q28" s="26">
        <f>'[3]Republic data'!$OF$485</f>
        <v>1.513707865264502</v>
      </c>
      <c r="R28" s="26">
        <v>6.6019557332858358</v>
      </c>
      <c r="S28" s="2" t="s">
        <v>58</v>
      </c>
    </row>
    <row r="29" spans="1:19" s="30" customFormat="1" ht="15">
      <c r="A29" s="31" t="s">
        <v>9</v>
      </c>
      <c r="B29" s="26">
        <v>-21.137347669710195</v>
      </c>
      <c r="C29" s="26">
        <v>-5.4844043548732735</v>
      </c>
      <c r="D29" s="26">
        <v>-7.8559053378839057</v>
      </c>
      <c r="E29" s="26">
        <v>42.021194048251886</v>
      </c>
      <c r="F29" s="26">
        <v>10.071770397341018</v>
      </c>
      <c r="G29" s="26">
        <v>-5.9187164013414284</v>
      </c>
      <c r="H29" s="26">
        <v>49.160127749023744</v>
      </c>
      <c r="I29" s="26">
        <v>9.5723585772459643</v>
      </c>
      <c r="J29" s="26">
        <v>-10.704716695281002</v>
      </c>
      <c r="K29" s="26">
        <v>7.7415436979054508</v>
      </c>
      <c r="L29" s="26">
        <v>59.310693397590896</v>
      </c>
      <c r="M29" s="26">
        <v>63.483884571050076</v>
      </c>
      <c r="N29" s="26">
        <v>11.377696665183112</v>
      </c>
      <c r="O29" s="26">
        <v>1.7111116202107146</v>
      </c>
      <c r="P29" s="26">
        <v>-0.47</v>
      </c>
      <c r="Q29" s="26">
        <f>'[3]Republic data'!$OF$38</f>
        <v>-1.587337151600976</v>
      </c>
      <c r="R29" s="26">
        <v>3.2091870636881792</v>
      </c>
      <c r="S29" s="2" t="s">
        <v>10</v>
      </c>
    </row>
    <row r="30" spans="1:19" s="30" customFormat="1" ht="15">
      <c r="A30" s="31" t="s">
        <v>51</v>
      </c>
      <c r="B30" s="26" t="s">
        <v>81</v>
      </c>
      <c r="C30" s="26" t="s">
        <v>81</v>
      </c>
      <c r="D30" s="26" t="s">
        <v>81</v>
      </c>
      <c r="E30" s="26" t="s">
        <v>81</v>
      </c>
      <c r="F30" s="26">
        <v>2.9764661920507418</v>
      </c>
      <c r="G30" s="26">
        <v>4.5357872960675838</v>
      </c>
      <c r="H30" s="26">
        <v>1.2140926379113903</v>
      </c>
      <c r="I30" s="26">
        <v>3.4172918173254407</v>
      </c>
      <c r="J30" s="26">
        <v>-1.8047971191563317</v>
      </c>
      <c r="K30" s="26">
        <v>-0.33098719728800186</v>
      </c>
      <c r="L30" s="26">
        <v>27.237456728340014</v>
      </c>
      <c r="M30" s="26">
        <v>57.463099963913479</v>
      </c>
      <c r="N30" s="26">
        <v>-3.1981081203778738</v>
      </c>
      <c r="O30" s="26">
        <v>2.2235966575230304</v>
      </c>
      <c r="P30" s="26">
        <v>17.25</v>
      </c>
      <c r="Q30" s="26">
        <f>'[3]Republic data'!$OF$156</f>
        <v>4.0191140378448287</v>
      </c>
      <c r="R30" s="26">
        <v>26.377772265649302</v>
      </c>
      <c r="S30" s="2" t="s">
        <v>30</v>
      </c>
    </row>
    <row r="31" spans="1:19" s="30" customFormat="1" ht="15">
      <c r="A31" s="31" t="s">
        <v>11</v>
      </c>
      <c r="B31" s="26">
        <v>-1.0185891369580813</v>
      </c>
      <c r="C31" s="26">
        <v>-3.8493111846027994</v>
      </c>
      <c r="D31" s="26">
        <v>-0.20801379702115597</v>
      </c>
      <c r="E31" s="26">
        <v>-3.5183325833350154</v>
      </c>
      <c r="F31" s="26">
        <v>4.2882736377095831</v>
      </c>
      <c r="G31" s="26">
        <v>0.58454283304287813</v>
      </c>
      <c r="H31" s="26">
        <v>-1.4382618148192972</v>
      </c>
      <c r="I31" s="26">
        <v>2.5995208096581068</v>
      </c>
      <c r="J31" s="26">
        <v>3.2144481051176621</v>
      </c>
      <c r="K31" s="26">
        <v>2.964536511071425</v>
      </c>
      <c r="L31" s="26">
        <v>12.886329227564453</v>
      </c>
      <c r="M31" s="26">
        <v>20.123944147898555</v>
      </c>
      <c r="N31" s="26">
        <v>3.2196569918212292</v>
      </c>
      <c r="O31" s="26">
        <v>0.92529643456067401</v>
      </c>
      <c r="P31" s="26">
        <v>-0.9</v>
      </c>
      <c r="Q31" s="26">
        <f>'[3]Republic data'!$OF$167</f>
        <v>-0.53676570684748626</v>
      </c>
      <c r="R31" s="26">
        <v>-0.69805532129247894</v>
      </c>
      <c r="S31" s="2" t="s">
        <v>31</v>
      </c>
    </row>
    <row r="32" spans="1:19" s="30" customFormat="1" ht="15">
      <c r="A32" s="31" t="s">
        <v>67</v>
      </c>
      <c r="B32" s="26">
        <v>1.6825881718925739</v>
      </c>
      <c r="C32" s="26">
        <v>-1.4090786045192538</v>
      </c>
      <c r="D32" s="26">
        <v>-0.90242278795625852</v>
      </c>
      <c r="E32" s="26">
        <v>-1.8940885520424056</v>
      </c>
      <c r="F32" s="26">
        <v>1.95750620624211</v>
      </c>
      <c r="G32" s="26">
        <v>2.7129749867123021</v>
      </c>
      <c r="H32" s="26">
        <v>3.7957338156620946</v>
      </c>
      <c r="I32" s="26">
        <v>11.038058741487667</v>
      </c>
      <c r="J32" s="26">
        <v>7.8226503445376405</v>
      </c>
      <c r="K32" s="26">
        <v>7.5863764884965379</v>
      </c>
      <c r="L32" s="26">
        <v>2.9105461966824064</v>
      </c>
      <c r="M32" s="26">
        <v>3.5902994022661616</v>
      </c>
      <c r="N32" s="26">
        <v>3.5671075601708901</v>
      </c>
      <c r="O32" s="26">
        <v>3.0654951817847831</v>
      </c>
      <c r="P32" s="26">
        <v>1.03</v>
      </c>
      <c r="Q32" s="26">
        <f>'[3]Republic data'!$OF$207</f>
        <v>0.29920217667491755</v>
      </c>
      <c r="R32" s="26">
        <v>1.2675372379527428</v>
      </c>
      <c r="S32" s="2" t="s">
        <v>32</v>
      </c>
    </row>
    <row r="33" spans="1:22" s="30" customFormat="1" ht="15">
      <c r="A33" s="31" t="s">
        <v>68</v>
      </c>
      <c r="B33" s="26" t="s">
        <v>81</v>
      </c>
      <c r="C33" s="26" t="s">
        <v>81</v>
      </c>
      <c r="D33" s="26" t="s">
        <v>81</v>
      </c>
      <c r="E33" s="26" t="s">
        <v>81</v>
      </c>
      <c r="F33" s="26">
        <v>1.0784663410912776</v>
      </c>
      <c r="G33" s="26">
        <v>4.9387162775366811</v>
      </c>
      <c r="H33" s="26">
        <v>4.1709002118446969</v>
      </c>
      <c r="I33" s="26">
        <v>11.147917494810278</v>
      </c>
      <c r="J33" s="26">
        <v>14.293661831909432</v>
      </c>
      <c r="K33" s="26">
        <v>6.4176111999628915</v>
      </c>
      <c r="L33" s="26">
        <v>4.4629098215598351</v>
      </c>
      <c r="M33" s="26">
        <v>5.2226910121369263</v>
      </c>
      <c r="N33" s="26">
        <v>4.0162307161919708</v>
      </c>
      <c r="O33" s="26">
        <v>4.2826344966235608</v>
      </c>
      <c r="P33" s="26">
        <v>3.52</v>
      </c>
      <c r="Q33" s="26">
        <f>'[3]Republic data'!$OF$209</f>
        <v>3.7607542756177725</v>
      </c>
      <c r="R33" s="26">
        <v>4.6371027773093099</v>
      </c>
      <c r="S33" s="32" t="s">
        <v>72</v>
      </c>
    </row>
    <row r="34" spans="1:22" s="30" customFormat="1" ht="25.5">
      <c r="A34" s="25" t="s">
        <v>50</v>
      </c>
      <c r="B34" s="26">
        <v>-3.7580322648567144</v>
      </c>
      <c r="C34" s="26">
        <v>-1.5622894735577431</v>
      </c>
      <c r="D34" s="26">
        <v>-1.8661866507738933</v>
      </c>
      <c r="E34" s="26">
        <v>-0.84274779777748776</v>
      </c>
      <c r="F34" s="26">
        <v>4.1168394760109139</v>
      </c>
      <c r="G34" s="26">
        <v>3.213890232395622</v>
      </c>
      <c r="H34" s="26">
        <v>5.1106173917798703</v>
      </c>
      <c r="I34" s="26">
        <v>3.6136421496361759</v>
      </c>
      <c r="J34" s="26">
        <v>10.935347848409126</v>
      </c>
      <c r="K34" s="26">
        <v>5.9837247199728161</v>
      </c>
      <c r="L34" s="26">
        <v>4.1996929206882916</v>
      </c>
      <c r="M34" s="26">
        <v>17.763223772182023</v>
      </c>
      <c r="N34" s="26">
        <v>-1.6475850992391683</v>
      </c>
      <c r="O34" s="26">
        <v>-1.0295939784691344</v>
      </c>
      <c r="P34" s="26">
        <v>0.61</v>
      </c>
      <c r="Q34" s="26">
        <f>'[3]Republic data'!$OF$240</f>
        <v>0.91069109507078139</v>
      </c>
      <c r="R34" s="26">
        <v>1.1176151505352561</v>
      </c>
      <c r="S34" s="2" t="s">
        <v>53</v>
      </c>
    </row>
    <row r="35" spans="1:22" s="30" customFormat="1" ht="15">
      <c r="A35" s="33" t="s">
        <v>33</v>
      </c>
      <c r="B35" s="26">
        <v>0.45346310086766817</v>
      </c>
      <c r="C35" s="26">
        <v>0.29854101126873811</v>
      </c>
      <c r="D35" s="26">
        <v>-1.8495015601820874</v>
      </c>
      <c r="E35" s="26">
        <v>0.11892223660947554</v>
      </c>
      <c r="F35" s="26">
        <v>0.25400572602429783</v>
      </c>
      <c r="G35" s="26">
        <v>12.186454979558036</v>
      </c>
      <c r="H35" s="26">
        <v>9.171221740296609</v>
      </c>
      <c r="I35" s="26">
        <v>20.167056356000312</v>
      </c>
      <c r="J35" s="26">
        <v>2.2516739135324482</v>
      </c>
      <c r="K35" s="26">
        <v>4.6580366770973214</v>
      </c>
      <c r="L35" s="26">
        <v>10.564831357913839</v>
      </c>
      <c r="M35" s="26">
        <v>-24.238470313532279</v>
      </c>
      <c r="N35" s="26">
        <v>7.4144631248009185</v>
      </c>
      <c r="O35" s="26">
        <v>9.2425596877241603</v>
      </c>
      <c r="P35" s="26">
        <v>2.14</v>
      </c>
      <c r="Q35" s="26">
        <f>'[3]Republic data'!$OF$292</f>
        <v>1.804490098291045</v>
      </c>
      <c r="R35" s="26">
        <v>-0.22951185944870556</v>
      </c>
      <c r="S35" s="2" t="s">
        <v>34</v>
      </c>
    </row>
    <row r="36" spans="1:22" s="30" customFormat="1" ht="15">
      <c r="A36" s="33" t="s">
        <v>35</v>
      </c>
      <c r="B36" s="26">
        <v>0.22446487332323795</v>
      </c>
      <c r="C36" s="26">
        <v>1.0084242384439612</v>
      </c>
      <c r="D36" s="26">
        <v>-2.2183691127794058</v>
      </c>
      <c r="E36" s="26">
        <v>2.7011355036151707</v>
      </c>
      <c r="F36" s="26">
        <v>11.882084849923547</v>
      </c>
      <c r="G36" s="26">
        <v>4.9437220813252525</v>
      </c>
      <c r="H36" s="26">
        <v>4.7476501851773767</v>
      </c>
      <c r="I36" s="26">
        <v>21.13127469360645</v>
      </c>
      <c r="J36" s="26">
        <v>0.9830680740005926</v>
      </c>
      <c r="K36" s="26">
        <v>3.3243849280613746</v>
      </c>
      <c r="L36" s="26">
        <v>13.742810077858314</v>
      </c>
      <c r="M36" s="26">
        <v>9.0675817332974695</v>
      </c>
      <c r="N36" s="26">
        <v>2.2257660038646376</v>
      </c>
      <c r="O36" s="26">
        <v>3.1318632168250593</v>
      </c>
      <c r="P36" s="26">
        <v>-2.33</v>
      </c>
      <c r="Q36" s="26">
        <f>'[3]Republic data'!$OF$322</f>
        <v>-1.5370849537459153</v>
      </c>
      <c r="R36" s="26">
        <v>0.48620398017833466</v>
      </c>
      <c r="S36" s="2" t="s">
        <v>36</v>
      </c>
    </row>
    <row r="37" spans="1:22" s="30" customFormat="1" ht="15">
      <c r="A37" s="33" t="s">
        <v>37</v>
      </c>
      <c r="B37" s="26" t="s">
        <v>81</v>
      </c>
      <c r="C37" s="26" t="s">
        <v>81</v>
      </c>
      <c r="D37" s="26" t="s">
        <v>81</v>
      </c>
      <c r="E37" s="26" t="s">
        <v>81</v>
      </c>
      <c r="F37" s="26">
        <v>-13.856448908822571</v>
      </c>
      <c r="G37" s="26">
        <v>-9.6310805041280538</v>
      </c>
      <c r="H37" s="26">
        <v>-9.204562818398788</v>
      </c>
      <c r="I37" s="26">
        <v>-3.6454104361621664</v>
      </c>
      <c r="J37" s="26">
        <v>-0.74859490096600423</v>
      </c>
      <c r="K37" s="26">
        <v>0.22824001348027423</v>
      </c>
      <c r="L37" s="26">
        <v>0.23566525609173272</v>
      </c>
      <c r="M37" s="26">
        <v>-0.61048717612200987</v>
      </c>
      <c r="N37" s="26">
        <v>-0.95441631143169392</v>
      </c>
      <c r="O37" s="26">
        <v>1.2488439540729646</v>
      </c>
      <c r="P37" s="26">
        <v>0.27</v>
      </c>
      <c r="Q37" s="26">
        <f>'[3]Republic data'!$OF$348</f>
        <v>-0.75989147318363814</v>
      </c>
      <c r="R37" s="26">
        <v>-0.13457058901791275</v>
      </c>
      <c r="S37" s="2" t="s">
        <v>38</v>
      </c>
    </row>
    <row r="38" spans="1:22" s="30" customFormat="1" ht="15">
      <c r="A38" s="34" t="s">
        <v>39</v>
      </c>
      <c r="B38" s="26">
        <v>-2.4129614884588202</v>
      </c>
      <c r="C38" s="26">
        <v>1.8502463038881922</v>
      </c>
      <c r="D38" s="26">
        <v>-3.2619736435057778E-2</v>
      </c>
      <c r="E38" s="26">
        <v>-2.7964444244027886</v>
      </c>
      <c r="F38" s="26">
        <v>-8.1938596097578262</v>
      </c>
      <c r="G38" s="26">
        <v>-2.8362343286717828</v>
      </c>
      <c r="H38" s="26">
        <v>1.8437242398265274</v>
      </c>
      <c r="I38" s="26">
        <v>-6.7757277534156728</v>
      </c>
      <c r="J38" s="26">
        <v>5.0068671011621158</v>
      </c>
      <c r="K38" s="26">
        <v>5.7426544875852192</v>
      </c>
      <c r="L38" s="26">
        <v>-2.1257419297341262</v>
      </c>
      <c r="M38" s="26">
        <v>1.6741499290480188</v>
      </c>
      <c r="N38" s="26">
        <v>-0.70700876663770673</v>
      </c>
      <c r="O38" s="26">
        <v>3.4122543312117948</v>
      </c>
      <c r="P38" s="26">
        <v>-0.24</v>
      </c>
      <c r="Q38" s="26">
        <f>'[3]Republic data'!$OF$360</f>
        <v>-1.2350059655517276</v>
      </c>
      <c r="R38" s="26">
        <v>-0.1123156840968198</v>
      </c>
      <c r="S38" s="35" t="s">
        <v>40</v>
      </c>
    </row>
    <row r="39" spans="1:22" s="30" customFormat="1" ht="15">
      <c r="A39" s="31" t="s">
        <v>12</v>
      </c>
      <c r="B39" s="26">
        <v>0.46302924184178362</v>
      </c>
      <c r="C39" s="26">
        <v>0.42449656800627178</v>
      </c>
      <c r="D39" s="26">
        <v>2.4324674143695768</v>
      </c>
      <c r="E39" s="26">
        <v>0.90506650393464838</v>
      </c>
      <c r="F39" s="26">
        <v>1.7943584277365865</v>
      </c>
      <c r="G39" s="26">
        <v>4.7867563932744384</v>
      </c>
      <c r="H39" s="26">
        <v>2.2989329656564639</v>
      </c>
      <c r="I39" s="26">
        <v>1.8313574510049113</v>
      </c>
      <c r="J39" s="26">
        <v>35.093040743102691</v>
      </c>
      <c r="K39" s="26">
        <v>9.4434460037209114</v>
      </c>
      <c r="L39" s="26">
        <v>18.335674258768186</v>
      </c>
      <c r="M39" s="26">
        <v>16.928808630538718</v>
      </c>
      <c r="N39" s="26">
        <v>5.4673982564548584</v>
      </c>
      <c r="O39" s="26">
        <v>4.5554867154903089</v>
      </c>
      <c r="P39" s="26">
        <v>7.63</v>
      </c>
      <c r="Q39" s="26">
        <f>'[3]Republic data'!$OF$405</f>
        <v>4.8696897695142072</v>
      </c>
      <c r="R39" s="26">
        <v>4.2271968469034249</v>
      </c>
      <c r="S39" s="35" t="s">
        <v>13</v>
      </c>
    </row>
    <row r="40" spans="1:22" s="30" customFormat="1" ht="15">
      <c r="A40" s="31" t="s">
        <v>41</v>
      </c>
      <c r="B40" s="26" t="s">
        <v>81</v>
      </c>
      <c r="C40" s="26" t="s">
        <v>81</v>
      </c>
      <c r="D40" s="26" t="s">
        <v>81</v>
      </c>
      <c r="E40" s="26" t="s">
        <v>81</v>
      </c>
      <c r="F40" s="26">
        <v>-3.3140830676386179</v>
      </c>
      <c r="G40" s="26">
        <v>6.4277088560314333</v>
      </c>
      <c r="H40" s="26">
        <v>16.735195226800649</v>
      </c>
      <c r="I40" s="26">
        <v>15.631370480092976</v>
      </c>
      <c r="J40" s="26">
        <v>2.5709274386180203</v>
      </c>
      <c r="K40" s="26">
        <v>3.2289501598796955</v>
      </c>
      <c r="L40" s="26">
        <v>15.615446813799583</v>
      </c>
      <c r="M40" s="26">
        <v>27.663520524615027</v>
      </c>
      <c r="N40" s="26">
        <v>11.937344418790063</v>
      </c>
      <c r="O40" s="26">
        <v>4.6577487676434881</v>
      </c>
      <c r="P40" s="26">
        <v>-0.22</v>
      </c>
      <c r="Q40" s="26">
        <f>'[3]Republic data'!$OF$421</f>
        <v>1.7231004678103012</v>
      </c>
      <c r="R40" s="26">
        <v>2.0161808329306252</v>
      </c>
      <c r="S40" s="35" t="s">
        <v>42</v>
      </c>
    </row>
    <row r="41" spans="1:22" s="30" customFormat="1" ht="15">
      <c r="A41" s="34" t="s">
        <v>43</v>
      </c>
      <c r="B41" s="26">
        <v>0.49152072150913106</v>
      </c>
      <c r="C41" s="26">
        <v>-1.1874482216004734</v>
      </c>
      <c r="D41" s="26">
        <v>-0.4184686725497655</v>
      </c>
      <c r="E41" s="26">
        <v>3.4393372793048327</v>
      </c>
      <c r="F41" s="26">
        <v>0.46498900973657165</v>
      </c>
      <c r="G41" s="26">
        <v>0.59564964401652709</v>
      </c>
      <c r="H41" s="26">
        <v>2.3210172421548769</v>
      </c>
      <c r="I41" s="26">
        <v>6.3155814469713745</v>
      </c>
      <c r="J41" s="26">
        <v>7.1009516149332708</v>
      </c>
      <c r="K41" s="26">
        <v>4.9251410881160362</v>
      </c>
      <c r="L41" s="26">
        <v>7.4159799576327012</v>
      </c>
      <c r="M41" s="26">
        <v>15.997512018815229</v>
      </c>
      <c r="N41" s="26">
        <v>-1.5743493056381008</v>
      </c>
      <c r="O41" s="26">
        <v>-0.12468994353691532</v>
      </c>
      <c r="P41" s="26">
        <v>-0.16</v>
      </c>
      <c r="Q41" s="26">
        <f>'[3]Republic data'!$OF$438</f>
        <v>-0.2698829137845582</v>
      </c>
      <c r="R41" s="26">
        <v>-0.15359702375522533</v>
      </c>
      <c r="S41" s="35" t="s">
        <v>74</v>
      </c>
    </row>
    <row r="42" spans="1:22" s="41" customFormat="1" ht="15">
      <c r="A42" s="36" t="s">
        <v>69</v>
      </c>
      <c r="B42" s="37">
        <v>0.67257737006249929</v>
      </c>
      <c r="C42" s="37">
        <v>4.178672399047878</v>
      </c>
      <c r="D42" s="37">
        <v>-1.2606511345035321</v>
      </c>
      <c r="E42" s="37">
        <v>-1.6854121245946319</v>
      </c>
      <c r="F42" s="37">
        <v>1.3002750093099813</v>
      </c>
      <c r="G42" s="37">
        <v>2.7384213160209558</v>
      </c>
      <c r="H42" s="37">
        <v>6.7947735393016462</v>
      </c>
      <c r="I42" s="37">
        <v>12.041458350510826</v>
      </c>
      <c r="J42" s="37">
        <v>4.5301765913279723</v>
      </c>
      <c r="K42" s="37">
        <v>6.1498853675017617</v>
      </c>
      <c r="L42" s="37">
        <v>11.273414605593723</v>
      </c>
      <c r="M42" s="37">
        <v>10.884695658563071</v>
      </c>
      <c r="N42" s="37">
        <v>3.8056300091942941</v>
      </c>
      <c r="O42" s="37">
        <v>2.1200017571813001</v>
      </c>
      <c r="P42" s="37">
        <v>0.95</v>
      </c>
      <c r="Q42" s="37">
        <f>'[3]Republic data'!$OF$3</f>
        <v>0.50250941361158485</v>
      </c>
      <c r="R42" s="37">
        <v>2.8174733823451481</v>
      </c>
      <c r="S42" s="40" t="s">
        <v>14</v>
      </c>
    </row>
    <row r="43" spans="1:22" s="258" customFormat="1" ht="15">
      <c r="A43" s="42" t="s">
        <v>70</v>
      </c>
      <c r="B43" s="243">
        <v>3.1385985500386626</v>
      </c>
      <c r="C43" s="243">
        <v>1.4815717109034843</v>
      </c>
      <c r="D43" s="243">
        <v>-2.4689046110127344</v>
      </c>
      <c r="E43" s="243">
        <v>2.4491138988479433</v>
      </c>
      <c r="F43" s="243">
        <v>1.9958483190067433</v>
      </c>
      <c r="G43" s="243">
        <v>3.1636206483085294</v>
      </c>
      <c r="H43" s="243">
        <v>4.8971688380553768</v>
      </c>
      <c r="I43" s="243">
        <v>12.198719890881261</v>
      </c>
      <c r="J43" s="243">
        <v>5.4778013745765852</v>
      </c>
      <c r="K43" s="243">
        <v>6.0660718068332953</v>
      </c>
      <c r="L43" s="243">
        <v>8.7038439608470028</v>
      </c>
      <c r="M43" s="243">
        <v>9.2302595645133998</v>
      </c>
      <c r="N43" s="243">
        <v>2.9288314724869702</v>
      </c>
      <c r="O43" s="243">
        <v>2.159216812546938</v>
      </c>
      <c r="P43" s="243">
        <v>1.0900000000000001</v>
      </c>
      <c r="Q43" s="243">
        <f>'[3]Republic data'!$OF$484</f>
        <v>0.69899081635618199</v>
      </c>
      <c r="R43" s="243">
        <v>2.7814817409053338</v>
      </c>
      <c r="S43" s="44" t="s">
        <v>54</v>
      </c>
    </row>
    <row r="44" spans="1:22" s="48" customFormat="1" ht="12">
      <c r="A44" s="47" t="s">
        <v>96</v>
      </c>
      <c r="B44" s="47"/>
    </row>
    <row r="45" spans="1:22" s="51" customFormat="1" ht="14.25" customHeight="1">
      <c r="A45" s="50" t="s">
        <v>97</v>
      </c>
    </row>
    <row r="46" spans="1:22" s="51" customFormat="1" ht="14.25" customHeight="1">
      <c r="A46" s="50" t="s">
        <v>98</v>
      </c>
      <c r="V46" s="242"/>
    </row>
    <row r="47" spans="1:22" s="51" customFormat="1" ht="14.25" customHeight="1">
      <c r="A47" s="50" t="s">
        <v>99</v>
      </c>
      <c r="V47" s="242"/>
    </row>
    <row r="48" spans="1:22" s="51" customFormat="1" ht="14.25" customHeight="1">
      <c r="A48" s="50" t="s">
        <v>100</v>
      </c>
      <c r="V48" s="242"/>
    </row>
    <row r="49" spans="1:22" s="51" customFormat="1" ht="14.25" customHeight="1">
      <c r="A49" s="50" t="s">
        <v>105</v>
      </c>
      <c r="V49" s="242"/>
    </row>
    <row r="50" spans="1:22" s="51" customFormat="1" ht="14.25" customHeight="1">
      <c r="A50" s="50" t="s">
        <v>102</v>
      </c>
      <c r="V50" s="242"/>
    </row>
    <row r="51" spans="1:22" s="48" customFormat="1" ht="12">
      <c r="A51" s="381" t="s">
        <v>108</v>
      </c>
      <c r="V51" s="242"/>
    </row>
    <row r="52" spans="1:22">
      <c r="V52" s="242"/>
    </row>
    <row r="53" spans="1:22">
      <c r="V53" s="242"/>
    </row>
    <row r="54" spans="1:22">
      <c r="V54" s="242"/>
    </row>
    <row r="55" spans="1:22">
      <c r="V55" s="242"/>
    </row>
    <row r="56" spans="1:22">
      <c r="V56" s="242"/>
    </row>
    <row r="57" spans="1:22">
      <c r="V57" s="242"/>
    </row>
    <row r="58" spans="1:22">
      <c r="V58" s="242"/>
    </row>
    <row r="59" spans="1:22">
      <c r="V59" s="242"/>
    </row>
  </sheetData>
  <mergeCells count="10">
    <mergeCell ref="A25:A26"/>
    <mergeCell ref="B24:O24"/>
    <mergeCell ref="A1:S1"/>
    <mergeCell ref="U1:AB1"/>
    <mergeCell ref="A2:S2"/>
    <mergeCell ref="A3:S3"/>
    <mergeCell ref="A4:S4"/>
    <mergeCell ref="A5:A6"/>
    <mergeCell ref="S5:S6"/>
    <mergeCell ref="S25:S26"/>
  </mergeCells>
  <pageMargins left="0.21" right="0.23" top="0.44" bottom="0.19" header="0.3" footer="7.0000000000000007E-2"/>
  <pageSetup paperSize="9" scale="72" orientation="landscape" horizontalDpi="4294967295" verticalDpi="4294967295" r:id="rId1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5"/>
  <sheetViews>
    <sheetView view="pageBreakPreview" topLeftCell="A22" zoomScaleSheetLayoutView="100" workbookViewId="0">
      <selection activeCell="C34" sqref="C34"/>
    </sheetView>
  </sheetViews>
  <sheetFormatPr defaultColWidth="9.140625" defaultRowHeight="15.75" customHeight="1"/>
  <cols>
    <col min="1" max="1" width="36.7109375" style="4" customWidth="1"/>
    <col min="2" max="6" width="9.140625" style="4" customWidth="1"/>
    <col min="7" max="9" width="9.140625" style="4"/>
    <col min="10" max="13" width="11" style="4" customWidth="1"/>
    <col min="14" max="14" width="10.28515625" style="4" customWidth="1"/>
    <col min="15" max="15" width="35" style="4" bestFit="1" customWidth="1"/>
    <col min="16" max="16384" width="9.140625" style="4"/>
  </cols>
  <sheetData>
    <row r="1" spans="1:24" s="92" customFormat="1" ht="19.5" customHeight="1">
      <c r="A1" s="617" t="s">
        <v>298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245"/>
      <c r="Q1" s="601"/>
      <c r="R1" s="601"/>
      <c r="S1" s="601"/>
      <c r="T1" s="601"/>
      <c r="U1" s="601"/>
      <c r="V1" s="601"/>
      <c r="W1" s="601"/>
      <c r="X1" s="601"/>
    </row>
    <row r="2" spans="1:24" s="235" customFormat="1" ht="15.75" customHeight="1">
      <c r="A2" s="616" t="s">
        <v>297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</row>
    <row r="3" spans="1:24" s="94" customFormat="1" ht="15.75" customHeight="1">
      <c r="A3" s="612" t="s">
        <v>66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  <c r="O3" s="612"/>
    </row>
    <row r="4" spans="1:24" s="94" customFormat="1" ht="15.75" customHeight="1">
      <c r="A4" s="613" t="s">
        <v>65</v>
      </c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</row>
    <row r="5" spans="1:24" s="49" customFormat="1" ht="15.75" customHeight="1">
      <c r="A5" s="390"/>
      <c r="B5" s="615">
        <v>2016</v>
      </c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390"/>
    </row>
    <row r="6" spans="1:24" s="49" customFormat="1" ht="15.75" customHeight="1">
      <c r="A6" s="19"/>
      <c r="B6" s="20" t="s">
        <v>94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 t="s">
        <v>95</v>
      </c>
      <c r="O6" s="23"/>
    </row>
    <row r="7" spans="1:24" s="49" customFormat="1" ht="15.75" customHeight="1">
      <c r="A7" s="113" t="s">
        <v>77</v>
      </c>
      <c r="B7" s="1" t="s">
        <v>61</v>
      </c>
      <c r="C7" s="1" t="s">
        <v>60</v>
      </c>
      <c r="D7" s="1" t="s">
        <v>0</v>
      </c>
      <c r="E7" s="1" t="s">
        <v>15</v>
      </c>
      <c r="F7" s="1" t="s">
        <v>16</v>
      </c>
      <c r="G7" s="1" t="s">
        <v>1</v>
      </c>
      <c r="H7" s="1" t="s">
        <v>17</v>
      </c>
      <c r="I7" s="1" t="s">
        <v>59</v>
      </c>
      <c r="J7" s="1" t="s">
        <v>258</v>
      </c>
      <c r="K7" s="1" t="s">
        <v>259</v>
      </c>
      <c r="L7" s="1" t="s">
        <v>260</v>
      </c>
      <c r="M7" s="1" t="s">
        <v>261</v>
      </c>
      <c r="N7" s="1" t="s">
        <v>18</v>
      </c>
      <c r="O7" s="114" t="s">
        <v>29</v>
      </c>
      <c r="Q7" s="237"/>
    </row>
    <row r="8" spans="1:24" s="49" customFormat="1" ht="15.75" customHeight="1">
      <c r="A8" s="52"/>
      <c r="B8" s="53" t="s">
        <v>20</v>
      </c>
      <c r="C8" s="52" t="s">
        <v>21</v>
      </c>
      <c r="D8" s="52" t="s">
        <v>2</v>
      </c>
      <c r="E8" s="52" t="s">
        <v>22</v>
      </c>
      <c r="F8" s="52" t="s">
        <v>23</v>
      </c>
      <c r="G8" s="52" t="s">
        <v>3</v>
      </c>
      <c r="H8" s="52" t="s">
        <v>24</v>
      </c>
      <c r="I8" s="52" t="s">
        <v>25</v>
      </c>
      <c r="J8" s="52" t="s">
        <v>4</v>
      </c>
      <c r="K8" s="52" t="s">
        <v>26</v>
      </c>
      <c r="L8" s="52" t="s">
        <v>27</v>
      </c>
      <c r="M8" s="52" t="s">
        <v>5</v>
      </c>
      <c r="N8" s="52" t="s">
        <v>93</v>
      </c>
      <c r="O8" s="54"/>
      <c r="Q8" s="237"/>
    </row>
    <row r="9" spans="1:24" s="49" customFormat="1" ht="15.75" customHeight="1">
      <c r="A9" s="25" t="s">
        <v>55</v>
      </c>
      <c r="B9" s="26">
        <f>'[3]Chnages in rep.'!$NM$5</f>
        <v>105.48100556258261</v>
      </c>
      <c r="C9" s="26">
        <f>'[3]Chnages in rep.'!$NN$5</f>
        <v>107.18890464838381</v>
      </c>
      <c r="D9" s="26">
        <f>'[3]Chnages in rep.'!$NO$5</f>
        <v>104.92534085086224</v>
      </c>
      <c r="E9" s="26">
        <f>'[3]Chnages in rep.'!$NP$5</f>
        <v>104.62763693274307</v>
      </c>
      <c r="F9" s="26">
        <f>'[3]Chnages in rep.'!$NQ$5</f>
        <v>105.00040203020284</v>
      </c>
      <c r="G9" s="26">
        <f>'[3]Chnages in rep.'!$NR$5</f>
        <v>105.5058172310701</v>
      </c>
      <c r="H9" s="26">
        <f>'[3]Chnages in rep.'!$NS$5</f>
        <v>105.38477187932992</v>
      </c>
      <c r="I9" s="26">
        <f>'[3]Chnages in rep.'!$NT$5</f>
        <v>104.66885965465767</v>
      </c>
      <c r="J9" s="26">
        <f>'[3]Chnages in rep.'!$NU$5</f>
        <v>106.29762096656296</v>
      </c>
      <c r="K9" s="26">
        <f>'[3]Chnages in rep.'!$NV$5</f>
        <v>112.21889827771116</v>
      </c>
      <c r="L9" s="26">
        <f>'[3]Chnages in rep.'!$NW$5</f>
        <v>111.31030290493474</v>
      </c>
      <c r="M9" s="26">
        <f>'[3]Chnages in rep.'!$NX$5</f>
        <v>111.88934518706554</v>
      </c>
      <c r="N9" s="26">
        <f>'[3]Republic data'!$OC$4</f>
        <v>107.04157551050889</v>
      </c>
      <c r="O9" s="2" t="s">
        <v>57</v>
      </c>
      <c r="Q9" s="237"/>
    </row>
    <row r="10" spans="1:24" s="49" customFormat="1" ht="15.75" customHeight="1">
      <c r="A10" s="25" t="s">
        <v>56</v>
      </c>
      <c r="B10" s="26">
        <f>'[3]Chnages in rep.'!$NM$6</f>
        <v>106.44078427698152</v>
      </c>
      <c r="C10" s="26">
        <f>'[3]Chnages in rep.'!$NN$6</f>
        <v>106.03984762069598</v>
      </c>
      <c r="D10" s="26">
        <f>'[3]Chnages in rep.'!$NO$6</f>
        <v>105.17492961542654</v>
      </c>
      <c r="E10" s="26">
        <f>'[3]Chnages in rep.'!$NP$6</f>
        <v>104.94593922446937</v>
      </c>
      <c r="F10" s="26">
        <f>'[3]Chnages in rep.'!$NQ$6</f>
        <v>104.89985575796824</v>
      </c>
      <c r="G10" s="26">
        <f>'[3]Chnages in rep.'!$NR$6</f>
        <v>105.86479693486402</v>
      </c>
      <c r="H10" s="26">
        <f>'[3]Chnages in rep.'!$NS$6</f>
        <v>105.80264996696059</v>
      </c>
      <c r="I10" s="26">
        <f>'[3]Chnages in rep.'!$NT$6</f>
        <v>106.44168687088121</v>
      </c>
      <c r="J10" s="26">
        <f>'[3]Chnages in rep.'!$NU$6</f>
        <v>107.0720630626256</v>
      </c>
      <c r="K10" s="26">
        <f>'[3]Chnages in rep.'!$NV$6</f>
        <v>116.25369723782394</v>
      </c>
      <c r="L10" s="26">
        <f>'[3]Chnages in rep.'!$NW$6</f>
        <v>115.50081717597779</v>
      </c>
      <c r="M10" s="26">
        <f>'[3]Chnages in rep.'!$NX$6</f>
        <v>115.69655879313525</v>
      </c>
      <c r="N10" s="26">
        <f>'[3]Republic data'!$OC$485</f>
        <v>108.34446887815083</v>
      </c>
      <c r="O10" s="2" t="s">
        <v>58</v>
      </c>
      <c r="Q10" s="237"/>
    </row>
    <row r="11" spans="1:24" s="49" customFormat="1" ht="15.75" customHeight="1">
      <c r="A11" s="31" t="s">
        <v>9</v>
      </c>
      <c r="B11" s="26">
        <f>'[3]Chnages in rep.'!$NM$7</f>
        <v>103.28434949897733</v>
      </c>
      <c r="C11" s="26">
        <f>'[3]Chnages in rep.'!$NN$7</f>
        <v>109.81876406225896</v>
      </c>
      <c r="D11" s="26">
        <f>'[3]Chnages in rep.'!$NO$7</f>
        <v>104.35410430970681</v>
      </c>
      <c r="E11" s="26">
        <f>'[3]Chnages in rep.'!$NP$7</f>
        <v>103.89913498881545</v>
      </c>
      <c r="F11" s="26">
        <f>'[3]Chnages in rep.'!$NQ$7</f>
        <v>105.23052338553575</v>
      </c>
      <c r="G11" s="26">
        <f>'[3]Chnages in rep.'!$NR$7</f>
        <v>104.6842164482856</v>
      </c>
      <c r="H11" s="26">
        <f>'[3]Chnages in rep.'!$NS$7</f>
        <v>104.42836971988416</v>
      </c>
      <c r="I11" s="26">
        <f>'[3]Chnages in rep.'!$NT$7</f>
        <v>100.61137057324943</v>
      </c>
      <c r="J11" s="26">
        <f>'[3]Chnages in rep.'!$NU$7</f>
        <v>104.52514685278548</v>
      </c>
      <c r="K11" s="26">
        <f>'[3]Chnages in rep.'!$NV$7</f>
        <v>102.98440967300114</v>
      </c>
      <c r="L11" s="26">
        <f>'[3]Chnages in rep.'!$NW$7</f>
        <v>101.71942696133134</v>
      </c>
      <c r="M11" s="26">
        <f>'[3]Chnages in rep.'!$NX$7</f>
        <v>103.17573367667575</v>
      </c>
      <c r="N11" s="26">
        <f>'[3]Republic data'!$OC$38</f>
        <v>104.05962917920893</v>
      </c>
      <c r="O11" s="2" t="s">
        <v>10</v>
      </c>
      <c r="Q11" s="237"/>
    </row>
    <row r="12" spans="1:24" s="49" customFormat="1" ht="15.75" customHeight="1">
      <c r="A12" s="31" t="s">
        <v>51</v>
      </c>
      <c r="B12" s="26">
        <f>'[3]Chnages in rep.'!$NM$8</f>
        <v>121.88718960216394</v>
      </c>
      <c r="C12" s="26">
        <f>'[3]Chnages in rep.'!$NN$8</f>
        <v>121.89766249218469</v>
      </c>
      <c r="D12" s="26">
        <f>'[3]Chnages in rep.'!$NO$8</f>
        <v>121.9372509450354</v>
      </c>
      <c r="E12" s="26">
        <f>'[3]Chnages in rep.'!$NP$8</f>
        <v>121.94561488782901</v>
      </c>
      <c r="F12" s="26">
        <f>'[3]Chnages in rep.'!$NQ$8</f>
        <v>122.35097081009513</v>
      </c>
      <c r="G12" s="26">
        <f>'[3]Chnages in rep.'!$NR$8</f>
        <v>122.04918172836094</v>
      </c>
      <c r="H12" s="26">
        <f>'[3]Chnages in rep.'!$NS$8</f>
        <v>122.01542386807137</v>
      </c>
      <c r="I12" s="26">
        <f>'[3]Chnages in rep.'!$NT$8</f>
        <v>122.18086645427454</v>
      </c>
      <c r="J12" s="26">
        <f>'[3]Chnages in rep.'!$NU$8</f>
        <v>122.42970337571218</v>
      </c>
      <c r="K12" s="26">
        <f>'[3]Chnages in rep.'!$NV$8</f>
        <v>122.50923101847108</v>
      </c>
      <c r="L12" s="26">
        <f>'[3]Chnages in rep.'!$NW$8</f>
        <v>122.44672077236744</v>
      </c>
      <c r="M12" s="26">
        <f>'[3]Chnages in rep.'!$NX$8</f>
        <v>122.56535686752591</v>
      </c>
      <c r="N12" s="26">
        <f>'[3]Republic data'!$OC$156</f>
        <v>122.18459773517431</v>
      </c>
      <c r="O12" s="2" t="s">
        <v>30</v>
      </c>
      <c r="Q12" s="237"/>
    </row>
    <row r="13" spans="1:24" ht="15.75" customHeight="1">
      <c r="A13" s="31" t="s">
        <v>11</v>
      </c>
      <c r="B13" s="26">
        <f>'[3]Chnages in rep.'!$NM$9</f>
        <v>101.09010951860198</v>
      </c>
      <c r="C13" s="26">
        <f>'[3]Chnages in rep.'!$NN$9</f>
        <v>101.06822205137452</v>
      </c>
      <c r="D13" s="26">
        <f>'[3]Chnages in rep.'!$NO$9</f>
        <v>100.97960179428145</v>
      </c>
      <c r="E13" s="26">
        <f>'[3]Chnages in rep.'!$NP$9</f>
        <v>100.88070590234088</v>
      </c>
      <c r="F13" s="26">
        <f>'[3]Chnages in rep.'!$NQ$9</f>
        <v>101.13278622505824</v>
      </c>
      <c r="G13" s="26">
        <f>'[3]Chnages in rep.'!$NR$9</f>
        <v>101.41008834871749</v>
      </c>
      <c r="H13" s="26">
        <f>'[3]Chnages in rep.'!$NS$9</f>
        <v>101.56799911475512</v>
      </c>
      <c r="I13" s="26">
        <f>'[3]Chnages in rep.'!$NT$9</f>
        <v>100.86435411938893</v>
      </c>
      <c r="J13" s="26">
        <f>'[3]Chnages in rep.'!$NU$9</f>
        <v>100.70655857198788</v>
      </c>
      <c r="K13" s="26">
        <f>'[3]Chnages in rep.'!$NV$9</f>
        <v>100.81017832595245</v>
      </c>
      <c r="L13" s="26">
        <f>'[3]Chnages in rep.'!$NW$9</f>
        <v>100.74457806290398</v>
      </c>
      <c r="M13" s="26">
        <f>'[3]Chnages in rep.'!$NX$9</f>
        <v>100.69180322746162</v>
      </c>
      <c r="N13" s="26">
        <f>'[3]Republic data'!$OC$167</f>
        <v>100.99558210523537</v>
      </c>
      <c r="O13" s="2" t="s">
        <v>31</v>
      </c>
      <c r="Q13" s="237"/>
    </row>
    <row r="14" spans="1:24" ht="15.75" customHeight="1">
      <c r="A14" s="31" t="s">
        <v>67</v>
      </c>
      <c r="B14" s="26">
        <f>'[3]Chnages in rep.'!$NM$10</f>
        <v>108.36055373462274</v>
      </c>
      <c r="C14" s="26">
        <f>'[3]Chnages in rep.'!$NN$10</f>
        <v>107.28118714892253</v>
      </c>
      <c r="D14" s="26">
        <f>'[3]Chnages in rep.'!$NO$10</f>
        <v>107.29663225350892</v>
      </c>
      <c r="E14" s="26">
        <f>'[3]Chnages in rep.'!$NP$10</f>
        <v>107.32378637109318</v>
      </c>
      <c r="F14" s="26">
        <f>'[3]Chnages in rep.'!$NQ$10</f>
        <v>107.60176741998026</v>
      </c>
      <c r="G14" s="26">
        <f>'[3]Chnages in rep.'!$NR$10</f>
        <v>107.67257848922625</v>
      </c>
      <c r="H14" s="26">
        <f>'[3]Chnages in rep.'!$NS$10</f>
        <v>107.98077540362419</v>
      </c>
      <c r="I14" s="26">
        <f>'[3]Chnages in rep.'!$NT$10</f>
        <v>108.24770976511873</v>
      </c>
      <c r="J14" s="26">
        <f>'[3]Chnages in rep.'!$NU$10</f>
        <v>108.33259731716004</v>
      </c>
      <c r="K14" s="26">
        <f>'[3]Chnages in rep.'!$NV$10</f>
        <v>108.67003620067761</v>
      </c>
      <c r="L14" s="26">
        <f>'[3]Chnages in rep.'!$NW$10</f>
        <v>109.07814119351566</v>
      </c>
      <c r="M14" s="26">
        <f>'[3]Chnages in rep.'!$NX$10</f>
        <v>109.45065766871167</v>
      </c>
      <c r="N14" s="26">
        <f>'[3]Republic data'!$OC$207</f>
        <v>108.10803524718015</v>
      </c>
      <c r="O14" s="2" t="s">
        <v>32</v>
      </c>
      <c r="Q14" s="237"/>
    </row>
    <row r="15" spans="1:24" ht="15.75" customHeight="1">
      <c r="A15" s="31" t="s">
        <v>68</v>
      </c>
      <c r="B15" s="26">
        <f>'[3]Chnages in rep.'!$NM$11</f>
        <v>113.97248964002806</v>
      </c>
      <c r="C15" s="26">
        <f>'[3]Chnages in rep.'!$NN$11</f>
        <v>114.50451124927262</v>
      </c>
      <c r="D15" s="26">
        <f>'[3]Chnages in rep.'!$NO$11</f>
        <v>114.94398752112168</v>
      </c>
      <c r="E15" s="26">
        <f>'[3]Chnages in rep.'!$NP$11</f>
        <v>115.42697574160088</v>
      </c>
      <c r="F15" s="26">
        <f>'[3]Chnages in rep.'!$NQ$11</f>
        <v>116.09722470552043</v>
      </c>
      <c r="G15" s="26">
        <f>'[3]Chnages in rep.'!$NR$11</f>
        <v>116.4319378629214</v>
      </c>
      <c r="H15" s="26">
        <f>'[3]Chnages in rep.'!$NS$11</f>
        <v>116.97948608557621</v>
      </c>
      <c r="I15" s="26">
        <f>'[3]Chnages in rep.'!$NT$11</f>
        <v>117.61129721014137</v>
      </c>
      <c r="J15" s="26">
        <f>'[3]Chnages in rep.'!$NU$11</f>
        <v>117.78405534356747</v>
      </c>
      <c r="K15" s="26">
        <f>'[3]Chnages in rep.'!$NV$11</f>
        <v>118.01741740061064</v>
      </c>
      <c r="L15" s="26">
        <f>'[3]Chnages in rep.'!$NW$11</f>
        <v>118.65676641914334</v>
      </c>
      <c r="M15" s="26">
        <f>'[3]Chnages in rep.'!$NX$11</f>
        <v>118.71554827023621</v>
      </c>
      <c r="N15" s="26">
        <f>'[3]Republic data'!$OC$209</f>
        <v>116.59514145414504</v>
      </c>
      <c r="O15" s="32" t="s">
        <v>72</v>
      </c>
      <c r="Q15" s="237"/>
    </row>
    <row r="16" spans="1:24" ht="27" customHeight="1">
      <c r="A16" s="25" t="s">
        <v>50</v>
      </c>
      <c r="B16" s="26">
        <f>'[3]Chnages in rep.'!$NM$12</f>
        <v>96.460774817896521</v>
      </c>
      <c r="C16" s="26">
        <f>'[3]Chnages in rep.'!$NN$12</f>
        <v>96.661972706400761</v>
      </c>
      <c r="D16" s="26">
        <f>'[3]Chnages in rep.'!$NO$12</f>
        <v>96.918860985943255</v>
      </c>
      <c r="E16" s="26">
        <f>'[3]Chnages in rep.'!$NP$12</f>
        <v>95.827899490214349</v>
      </c>
      <c r="F16" s="26">
        <f>'[3]Chnages in rep.'!$NQ$12</f>
        <v>95.048563202998054</v>
      </c>
      <c r="G16" s="26">
        <f>'[3]Chnages in rep.'!$NR$12</f>
        <v>96.322208698128307</v>
      </c>
      <c r="H16" s="26">
        <f>'[3]Chnages in rep.'!$NS$12</f>
        <v>97.766893928983748</v>
      </c>
      <c r="I16" s="26">
        <f>'[3]Chnages in rep.'!$NT$12</f>
        <v>98.007757799884175</v>
      </c>
      <c r="J16" s="26">
        <f>'[3]Chnages in rep.'!$NU$12</f>
        <v>98.459538547355024</v>
      </c>
      <c r="K16" s="26">
        <f>'[3]Chnages in rep.'!$NV$12</f>
        <v>99.413253966261692</v>
      </c>
      <c r="L16" s="26">
        <f>'[3]Chnages in rep.'!$NW$12</f>
        <v>99.425074250063503</v>
      </c>
      <c r="M16" s="26">
        <f>'[3]Chnages in rep.'!$NX$12</f>
        <v>99.676751599917182</v>
      </c>
      <c r="N16" s="26">
        <f>'[3]Republic data'!$OC$240</f>
        <v>97.499129166170533</v>
      </c>
      <c r="O16" s="2" t="s">
        <v>53</v>
      </c>
      <c r="Q16" s="237"/>
    </row>
    <row r="17" spans="1:17" ht="16.5" customHeight="1">
      <c r="A17" s="33" t="s">
        <v>33</v>
      </c>
      <c r="B17" s="26">
        <f>'[3]Chnages in rep.'!$NM$13</f>
        <v>125.09902602792579</v>
      </c>
      <c r="C17" s="26">
        <f>'[3]Chnages in rep.'!$NN$13</f>
        <v>125.18517194286531</v>
      </c>
      <c r="D17" s="26">
        <f>'[3]Chnages in rep.'!$NO$13</f>
        <v>125.65341804996341</v>
      </c>
      <c r="E17" s="26">
        <f>'[3]Chnages in rep.'!$NP$13</f>
        <v>125.84980679174986</v>
      </c>
      <c r="F17" s="26">
        <f>'[3]Chnages in rep.'!$NQ$13</f>
        <v>125.90682328025476</v>
      </c>
      <c r="G17" s="26">
        <f>'[3]Chnages in rep.'!$NR$13</f>
        <v>125.93132036583214</v>
      </c>
      <c r="H17" s="26">
        <f>'[3]Chnages in rep.'!$NS$13</f>
        <v>125.9726881863762</v>
      </c>
      <c r="I17" s="26">
        <f>'[3]Chnages in rep.'!$NT$13</f>
        <v>126.25559100462326</v>
      </c>
      <c r="J17" s="26">
        <f>'[3]Chnages in rep.'!$NU$13</f>
        <v>125.96565542244646</v>
      </c>
      <c r="K17" s="26">
        <f>'[3]Chnages in rep.'!$NV$13</f>
        <v>125.98799311372866</v>
      </c>
      <c r="L17" s="26">
        <f>'[3]Chnages in rep.'!$NW$13</f>
        <v>125.99723945717639</v>
      </c>
      <c r="M17" s="26">
        <f>'[3]Chnages in rep.'!$NX$13</f>
        <v>126.00200581469828</v>
      </c>
      <c r="N17" s="26">
        <f>'[3]Republic data'!$OC$292</f>
        <v>125.81722828813672</v>
      </c>
      <c r="O17" s="2" t="s">
        <v>34</v>
      </c>
      <c r="Q17" s="237"/>
    </row>
    <row r="18" spans="1:17" ht="16.5" customHeight="1">
      <c r="A18" s="33" t="s">
        <v>35</v>
      </c>
      <c r="B18" s="26">
        <f>'[3]Chnages in rep.'!$NM$14</f>
        <v>102.24116952558717</v>
      </c>
      <c r="C18" s="26">
        <f>'[3]Chnages in rep.'!$NN$14</f>
        <v>101.93002143812276</v>
      </c>
      <c r="D18" s="26">
        <f>'[3]Chnages in rep.'!$NO$14</f>
        <v>101.77092765300445</v>
      </c>
      <c r="E18" s="26">
        <f>'[3]Chnages in rep.'!$NP$14</f>
        <v>101.7344083817882</v>
      </c>
      <c r="F18" s="26">
        <f>'[3]Chnages in rep.'!$NQ$14</f>
        <v>100.80740419660835</v>
      </c>
      <c r="G18" s="26">
        <f>'[3]Chnages in rep.'!$NR$14</f>
        <v>100.14041026213231</v>
      </c>
      <c r="H18" s="26">
        <f>'[3]Chnages in rep.'!$NS$14</f>
        <v>100.08885905537983</v>
      </c>
      <c r="I18" s="26">
        <f>'[3]Chnages in rep.'!$NT$14</f>
        <v>100.08885905537983</v>
      </c>
      <c r="J18" s="26">
        <f>'[3]Chnages in rep.'!$NU$14</f>
        <v>100.08885905537983</v>
      </c>
      <c r="K18" s="26">
        <f>'[3]Chnages in rep.'!$NV$14</f>
        <v>101.430093072776</v>
      </c>
      <c r="L18" s="26">
        <f>'[3]Chnages in rep.'!$NW$14</f>
        <v>102.92157333282107</v>
      </c>
      <c r="M18" s="26">
        <f>'[3]Chnages in rep.'!$NX$14</f>
        <v>102.92219730325488</v>
      </c>
      <c r="N18" s="26">
        <f>'[3]Republic data'!$OC$322</f>
        <v>101.34706519435288</v>
      </c>
      <c r="O18" s="2" t="s">
        <v>36</v>
      </c>
      <c r="Q18" s="237"/>
    </row>
    <row r="19" spans="1:17" ht="15.75" customHeight="1">
      <c r="A19" s="33" t="s">
        <v>37</v>
      </c>
      <c r="B19" s="26">
        <f>'[3]Chnages in rep.'!$NM$15</f>
        <v>100.4034041194092</v>
      </c>
      <c r="C19" s="26">
        <f>'[3]Chnages in rep.'!$NN$15</f>
        <v>100.38388108461848</v>
      </c>
      <c r="D19" s="26">
        <f>'[3]Chnages in rep.'!$NO$15</f>
        <v>100.38291261131701</v>
      </c>
      <c r="E19" s="26">
        <f>'[3]Chnages in rep.'!$NP$15</f>
        <v>100.38291261131701</v>
      </c>
      <c r="F19" s="26">
        <f>'[3]Chnages in rep.'!$NQ$15</f>
        <v>100.03269726153447</v>
      </c>
      <c r="G19" s="26">
        <f>'[3]Chnages in rep.'!$NR$15</f>
        <v>99.692368066812946</v>
      </c>
      <c r="H19" s="26">
        <f>'[3]Chnages in rep.'!$NS$15</f>
        <v>99.692368066812946</v>
      </c>
      <c r="I19" s="26">
        <f>'[3]Chnages in rep.'!$NT$15</f>
        <v>99.692368066812946</v>
      </c>
      <c r="J19" s="26">
        <f>'[3]Chnages in rep.'!$NU$15</f>
        <v>99.091176579552197</v>
      </c>
      <c r="K19" s="26">
        <f>'[3]Chnages in rep.'!$NV$15</f>
        <v>99.25672955425857</v>
      </c>
      <c r="L19" s="26">
        <f>'[3]Chnages in rep.'!$NW$15</f>
        <v>99.25672955425857</v>
      </c>
      <c r="M19" s="26">
        <f>'[3]Chnages in rep.'!$NX$15</f>
        <v>99.25672955425857</v>
      </c>
      <c r="N19" s="26">
        <f>'[3]Republic data'!$OC$348</f>
        <v>99.79368976091358</v>
      </c>
      <c r="O19" s="2" t="s">
        <v>38</v>
      </c>
      <c r="Q19" s="237"/>
    </row>
    <row r="20" spans="1:17" ht="15.75" customHeight="1">
      <c r="A20" s="34" t="s">
        <v>39</v>
      </c>
      <c r="B20" s="26">
        <f>'[3]Chnages in rep.'!$NM$16</f>
        <v>100.17454791868752</v>
      </c>
      <c r="C20" s="26">
        <f>'[3]Chnages in rep.'!$NN$16</f>
        <v>100.10298138036555</v>
      </c>
      <c r="D20" s="26">
        <f>'[3]Chnages in rep.'!$NO$16</f>
        <v>100.66577023360061</v>
      </c>
      <c r="E20" s="26">
        <f>'[3]Chnages in rep.'!$NP$16</f>
        <v>98.852364546817881</v>
      </c>
      <c r="F20" s="26">
        <f>'[3]Chnages in rep.'!$NQ$16</f>
        <v>99.056416361500752</v>
      </c>
      <c r="G20" s="26">
        <f>'[3]Chnages in rep.'!$NR$16</f>
        <v>99.151666512204997</v>
      </c>
      <c r="H20" s="26">
        <f>'[3]Chnages in rep.'!$NS$16</f>
        <v>102.32617647133503</v>
      </c>
      <c r="I20" s="26">
        <f>'[3]Chnages in rep.'!$NT$16</f>
        <v>102.35947261429955</v>
      </c>
      <c r="J20" s="26">
        <f>'[3]Chnages in rep.'!$NU$16</f>
        <v>101.43061341638303</v>
      </c>
      <c r="K20" s="26">
        <f>'[3]Chnages in rep.'!$NV$16</f>
        <v>101.42611891096485</v>
      </c>
      <c r="L20" s="26">
        <f>'[3]Chnages in rep.'!$NW$16</f>
        <v>101.41518607013697</v>
      </c>
      <c r="M20" s="26">
        <f>'[3]Chnages in rep.'!$NX$16</f>
        <v>101.40435871574891</v>
      </c>
      <c r="N20" s="26">
        <f>'[3]Republic data'!$OC$360</f>
        <v>100.69713942933714</v>
      </c>
      <c r="O20" s="35" t="s">
        <v>40</v>
      </c>
      <c r="Q20" s="237"/>
    </row>
    <row r="21" spans="1:17" ht="15.75" customHeight="1">
      <c r="A21" s="31" t="s">
        <v>12</v>
      </c>
      <c r="B21" s="26">
        <f>'[3]Chnages in rep.'!$NM$17</f>
        <v>124.40362732378387</v>
      </c>
      <c r="C21" s="26">
        <f>'[3]Chnages in rep.'!$NN$17</f>
        <v>124.40362732378387</v>
      </c>
      <c r="D21" s="26">
        <f>'[3]Chnages in rep.'!$NO$17</f>
        <v>124.91587470599681</v>
      </c>
      <c r="E21" s="26">
        <f>'[3]Chnages in rep.'!$NP$17</f>
        <v>124.87911077240121</v>
      </c>
      <c r="F21" s="26">
        <f>'[3]Chnages in rep.'!$NQ$17</f>
        <v>124.87911077240121</v>
      </c>
      <c r="G21" s="26">
        <f>'[3]Chnages in rep.'!$NR$17</f>
        <v>124.87911077240121</v>
      </c>
      <c r="H21" s="26">
        <f>'[3]Chnages in rep.'!$NS$17</f>
        <v>124.87911077240121</v>
      </c>
      <c r="I21" s="26">
        <f>'[3]Chnages in rep.'!$NT$17</f>
        <v>124.87911077240121</v>
      </c>
      <c r="J21" s="26">
        <f>'[3]Chnages in rep.'!$NU$17</f>
        <v>124.87911077240121</v>
      </c>
      <c r="K21" s="26">
        <f>'[3]Chnages in rep.'!$NV$17</f>
        <v>124.87911077240121</v>
      </c>
      <c r="L21" s="26">
        <f>'[3]Chnages in rep.'!$NW$17</f>
        <v>124.87911077240121</v>
      </c>
      <c r="M21" s="26">
        <f>'[3]Chnages in rep.'!$NX$17</f>
        <v>124.87911077240121</v>
      </c>
      <c r="N21" s="26">
        <f>'[3]Republic data'!$OC$405</f>
        <v>124.80292719209795</v>
      </c>
      <c r="O21" s="35" t="s">
        <v>13</v>
      </c>
      <c r="Q21" s="237"/>
    </row>
    <row r="22" spans="1:17" ht="15.75" customHeight="1">
      <c r="A22" s="31" t="s">
        <v>41</v>
      </c>
      <c r="B22" s="26">
        <f>'[3]Chnages in rep.'!$NM$18</f>
        <v>121.74055464674666</v>
      </c>
      <c r="C22" s="26">
        <f>'[3]Chnages in rep.'!$NN$18</f>
        <v>121.78393899786738</v>
      </c>
      <c r="D22" s="26">
        <f>'[3]Chnages in rep.'!$NO$18</f>
        <v>121.8113572438992</v>
      </c>
      <c r="E22" s="26">
        <f>'[3]Chnages in rep.'!$NP$18</f>
        <v>123.63127170654869</v>
      </c>
      <c r="F22" s="26">
        <f>'[3]Chnages in rep.'!$NQ$18</f>
        <v>123.63127170654869</v>
      </c>
      <c r="G22" s="26">
        <f>'[3]Chnages in rep.'!$NR$18</f>
        <v>123.7342028087177</v>
      </c>
      <c r="H22" s="26">
        <f>'[3]Chnages in rep.'!$NS$18</f>
        <v>121.81959238140819</v>
      </c>
      <c r="I22" s="26">
        <f>'[3]Chnages in rep.'!$NT$18</f>
        <v>121.81959283811511</v>
      </c>
      <c r="J22" s="26">
        <f>'[3]Chnages in rep.'!$NU$18</f>
        <v>121.8872993049861</v>
      </c>
      <c r="K22" s="26">
        <f>'[3]Chnages in rep.'!$NV$18</f>
        <v>125.31492371445513</v>
      </c>
      <c r="L22" s="26">
        <f>'[3]Chnages in rep.'!$NW$18</f>
        <v>125.2509877483465</v>
      </c>
      <c r="M22" s="26">
        <f>'[3]Chnages in rep.'!$NX$18</f>
        <v>125.3358326786649</v>
      </c>
      <c r="N22" s="26">
        <f>'[3]Republic data'!$OC$421</f>
        <v>123.14673548135868</v>
      </c>
      <c r="O22" s="35" t="s">
        <v>42</v>
      </c>
      <c r="Q22" s="237"/>
    </row>
    <row r="23" spans="1:17" ht="15.75" customHeight="1">
      <c r="A23" s="34" t="s">
        <v>43</v>
      </c>
      <c r="B23" s="26">
        <f>'[3]Chnages in rep.'!$NM$19</f>
        <v>98.470368168556647</v>
      </c>
      <c r="C23" s="26">
        <f>'[3]Chnages in rep.'!$NN$19</f>
        <v>98.387001246684576</v>
      </c>
      <c r="D23" s="26">
        <f>'[3]Chnages in rep.'!$NO$19</f>
        <v>98.2925971777629</v>
      </c>
      <c r="E23" s="26">
        <f>'[3]Chnages in rep.'!$NP$19</f>
        <v>98.478314844662677</v>
      </c>
      <c r="F23" s="26">
        <f>'[3]Chnages in rep.'!$NQ$19</f>
        <v>98.461522758420188</v>
      </c>
      <c r="G23" s="26">
        <f>'[3]Chnages in rep.'!$NR$19</f>
        <v>98.444033239198149</v>
      </c>
      <c r="H23" s="26">
        <f>'[3]Chnages in rep.'!$NS$19</f>
        <v>98.54743449471178</v>
      </c>
      <c r="I23" s="26">
        <f>'[3]Chnages in rep.'!$NT$19</f>
        <v>98.926174459473131</v>
      </c>
      <c r="J23" s="26">
        <f>'[3]Chnages in rep.'!$NU$19</f>
        <v>98.532611348284675</v>
      </c>
      <c r="K23" s="26">
        <f>'[3]Chnages in rep.'!$NV$19</f>
        <v>98.506817339409096</v>
      </c>
      <c r="L23" s="26">
        <f>'[3]Chnages in rep.'!$NW$19</f>
        <v>98.115405771927044</v>
      </c>
      <c r="M23" s="26">
        <f>'[3]Chnages in rep.'!$NX$19</f>
        <v>98.467339124937325</v>
      </c>
      <c r="N23" s="26">
        <f>'[3]Republic data'!$OC$438</f>
        <v>98.469134997835681</v>
      </c>
      <c r="O23" s="35" t="s">
        <v>74</v>
      </c>
      <c r="Q23" s="237"/>
    </row>
    <row r="24" spans="1:17" ht="15.75" customHeight="1">
      <c r="A24" s="36" t="s">
        <v>69</v>
      </c>
      <c r="B24" s="37">
        <f>'[3]Chnages in rep.'!$NM$3</f>
        <v>106.40071755950871</v>
      </c>
      <c r="C24" s="37">
        <f>'[3]Chnages in rep.'!$NN$3</f>
        <v>106.63038619744921</v>
      </c>
      <c r="D24" s="37">
        <f>'[3]Chnages in rep.'!$NO$3</f>
        <v>106.062411174174</v>
      </c>
      <c r="E24" s="37">
        <f>'[3]Chnages in rep.'!$NP$3</f>
        <v>105.86893022730047</v>
      </c>
      <c r="F24" s="37">
        <f>'[3]Chnages in rep.'!$NQ$3</f>
        <v>105.93595093311723</v>
      </c>
      <c r="G24" s="37">
        <f>'[3]Chnages in rep.'!$NR$3</f>
        <v>106.16673824347546</v>
      </c>
      <c r="H24" s="37">
        <f>'[3]Chnages in rep.'!$NS$3</f>
        <v>106.44633482430255</v>
      </c>
      <c r="I24" s="37">
        <f>'[3]Chnages in rep.'!$NT$3</f>
        <v>106.34650731154315</v>
      </c>
      <c r="J24" s="37">
        <f>'[3]Chnages in rep.'!$NU$3</f>
        <v>106.75036802647057</v>
      </c>
      <c r="K24" s="37">
        <f>'[3]Chnages in rep.'!$NV$3</f>
        <v>108.78521616648365</v>
      </c>
      <c r="L24" s="37">
        <f>'[3]Chnages in rep.'!$NW$3</f>
        <v>108.6699796816679</v>
      </c>
      <c r="M24" s="37">
        <f>'[3]Chnages in rep.'!$NX$3</f>
        <v>108.97152391399352</v>
      </c>
      <c r="N24" s="37">
        <f>'[3]Republic data'!$OC$3</f>
        <v>106.91958868829052</v>
      </c>
      <c r="O24" s="40" t="s">
        <v>14</v>
      </c>
      <c r="Q24" s="237"/>
    </row>
    <row r="25" spans="1:17" ht="15.75" customHeight="1">
      <c r="A25" s="42" t="s">
        <v>70</v>
      </c>
      <c r="B25" s="243">
        <f>'[3]Chnages in rep.'!$NM$4</f>
        <v>106.69567188406033</v>
      </c>
      <c r="C25" s="243">
        <f>'[3]Chnages in rep.'!$NN$4</f>
        <v>106.32861637396752</v>
      </c>
      <c r="D25" s="243">
        <f>'[3]Chnages in rep.'!$NO$4</f>
        <v>106.22409698520447</v>
      </c>
      <c r="E25" s="243">
        <f>'[3]Chnages in rep.'!$NP$4</f>
        <v>106.05536508120319</v>
      </c>
      <c r="F25" s="243">
        <f>'[3]Chnages in rep.'!$NQ$4</f>
        <v>106.00271740670937</v>
      </c>
      <c r="G25" s="243">
        <f>'[3]Chnages in rep.'!$NR$4</f>
        <v>106.30705421586372</v>
      </c>
      <c r="H25" s="243">
        <f>'[3]Chnages in rep.'!$NS$4</f>
        <v>106.63732880279971</v>
      </c>
      <c r="I25" s="243">
        <f>'[3]Chnages in rep.'!$NT$4</f>
        <v>106.88931976180494</v>
      </c>
      <c r="J25" s="243">
        <f>'[3]Chnages in rep.'!$NU$4</f>
        <v>106.96097813269472</v>
      </c>
      <c r="K25" s="243">
        <f>'[3]Chnages in rep.'!$NV$4</f>
        <v>109.33424405019518</v>
      </c>
      <c r="L25" s="243">
        <f>'[3]Chnages in rep.'!$NW$4</f>
        <v>109.32782738869956</v>
      </c>
      <c r="M25" s="243">
        <f>'[3]Chnages in rep.'!$NX$4</f>
        <v>109.52007702501452</v>
      </c>
      <c r="N25" s="243">
        <f>'[3]Republic data'!$OC$484</f>
        <v>107.1902747590181</v>
      </c>
      <c r="O25" s="44" t="s">
        <v>54</v>
      </c>
      <c r="Q25" s="237"/>
    </row>
    <row r="26" spans="1:17" s="49" customFormat="1" ht="15.75" customHeight="1">
      <c r="A26" s="549"/>
      <c r="B26" s="615">
        <v>2017</v>
      </c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549"/>
    </row>
    <row r="27" spans="1:17" s="49" customFormat="1" ht="15.75" customHeight="1">
      <c r="A27" s="19"/>
      <c r="B27" s="20" t="s">
        <v>94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 t="s">
        <v>95</v>
      </c>
      <c r="O27" s="23"/>
    </row>
    <row r="28" spans="1:17" s="49" customFormat="1" ht="15.75" customHeight="1">
      <c r="A28" s="113" t="s">
        <v>77</v>
      </c>
      <c r="B28" s="1" t="s">
        <v>61</v>
      </c>
      <c r="C28" s="1" t="s">
        <v>60</v>
      </c>
      <c r="D28" s="1" t="s">
        <v>0</v>
      </c>
      <c r="E28" s="1" t="s">
        <v>15</v>
      </c>
      <c r="F28" s="1" t="s">
        <v>16</v>
      </c>
      <c r="G28" s="1" t="s">
        <v>1</v>
      </c>
      <c r="H28" s="1" t="s">
        <v>17</v>
      </c>
      <c r="I28" s="1" t="s">
        <v>59</v>
      </c>
      <c r="J28" s="1" t="s">
        <v>258</v>
      </c>
      <c r="K28" s="1" t="s">
        <v>259</v>
      </c>
      <c r="L28" s="1" t="s">
        <v>260</v>
      </c>
      <c r="M28" s="1" t="s">
        <v>261</v>
      </c>
      <c r="N28" s="1" t="s">
        <v>18</v>
      </c>
      <c r="O28" s="114" t="s">
        <v>29</v>
      </c>
      <c r="Q28" s="237"/>
    </row>
    <row r="29" spans="1:17" s="49" customFormat="1" ht="15.75" customHeight="1">
      <c r="A29" s="52"/>
      <c r="B29" s="53" t="s">
        <v>20</v>
      </c>
      <c r="C29" s="52" t="s">
        <v>21</v>
      </c>
      <c r="D29" s="52" t="s">
        <v>2</v>
      </c>
      <c r="E29" s="52" t="s">
        <v>22</v>
      </c>
      <c r="F29" s="52" t="s">
        <v>23</v>
      </c>
      <c r="G29" s="52" t="s">
        <v>3</v>
      </c>
      <c r="H29" s="52" t="s">
        <v>24</v>
      </c>
      <c r="I29" s="52" t="s">
        <v>25</v>
      </c>
      <c r="J29" s="52" t="s">
        <v>4</v>
      </c>
      <c r="K29" s="52" t="s">
        <v>26</v>
      </c>
      <c r="L29" s="52" t="s">
        <v>27</v>
      </c>
      <c r="M29" s="52" t="s">
        <v>5</v>
      </c>
      <c r="N29" s="52" t="s">
        <v>93</v>
      </c>
      <c r="O29" s="54"/>
      <c r="Q29" s="237"/>
    </row>
    <row r="30" spans="1:17" s="49" customFormat="1" ht="15.75" customHeight="1">
      <c r="A30" s="25" t="s">
        <v>55</v>
      </c>
      <c r="B30" s="26">
        <v>112.83893956125075</v>
      </c>
      <c r="C30" s="26">
        <v>113.78095995441291</v>
      </c>
      <c r="D30" s="26">
        <v>113.44067732511131</v>
      </c>
      <c r="E30" s="26">
        <v>113.29432454470755</v>
      </c>
      <c r="F30" s="26">
        <v>115.59499586478387</v>
      </c>
      <c r="G30" s="26">
        <v>113.41876247072705</v>
      </c>
      <c r="H30" s="26">
        <v>113.16400362691853</v>
      </c>
      <c r="I30" s="26">
        <v>111.57389227723965</v>
      </c>
      <c r="J30" s="26">
        <v>113.03888312293248</v>
      </c>
      <c r="K30" s="26">
        <v>111.66838913440606</v>
      </c>
      <c r="L30" s="26">
        <v>110.71344425206759</v>
      </c>
      <c r="M30" s="26">
        <v>113.89142307859603</v>
      </c>
      <c r="N30" s="26">
        <v>113.03489126776282</v>
      </c>
      <c r="O30" s="2" t="s">
        <v>57</v>
      </c>
      <c r="Q30" s="237"/>
    </row>
    <row r="31" spans="1:17" s="49" customFormat="1" ht="15.75" customHeight="1">
      <c r="A31" s="25" t="s">
        <v>56</v>
      </c>
      <c r="B31" s="26">
        <v>116.48829361283794</v>
      </c>
      <c r="C31" s="26">
        <v>116.33174989952283</v>
      </c>
      <c r="D31" s="26">
        <v>115.42087987362792</v>
      </c>
      <c r="E31" s="26">
        <v>115.32305299431519</v>
      </c>
      <c r="F31" s="26">
        <v>116.01271108913632</v>
      </c>
      <c r="G31" s="26">
        <v>114.79207806519474</v>
      </c>
      <c r="H31" s="26">
        <v>113.90355657548979</v>
      </c>
      <c r="I31" s="26">
        <v>113.9763673821865</v>
      </c>
      <c r="J31" s="26">
        <v>114.54542788627839</v>
      </c>
      <c r="K31" s="26">
        <v>115.08634817734043</v>
      </c>
      <c r="L31" s="26">
        <v>116.47710135529299</v>
      </c>
      <c r="M31" s="26">
        <v>117.61030612417696</v>
      </c>
      <c r="N31" s="26">
        <v>115.49732275295001</v>
      </c>
      <c r="O31" s="2" t="s">
        <v>58</v>
      </c>
      <c r="Q31" s="237"/>
    </row>
    <row r="32" spans="1:17" s="49" customFormat="1" ht="15.75" customHeight="1">
      <c r="A32" s="31" t="s">
        <v>9</v>
      </c>
      <c r="B32" s="26">
        <v>104.48662294347504</v>
      </c>
      <c r="C32" s="26">
        <v>107.94293904829392</v>
      </c>
      <c r="D32" s="26">
        <v>108.90856604768052</v>
      </c>
      <c r="E32" s="26">
        <v>108.65115150556609</v>
      </c>
      <c r="F32" s="26">
        <v>114.6389664523081</v>
      </c>
      <c r="G32" s="26">
        <v>110.2756400170059</v>
      </c>
      <c r="H32" s="26">
        <v>111.47138068741813</v>
      </c>
      <c r="I32" s="26">
        <v>106.07532117145389</v>
      </c>
      <c r="J32" s="26">
        <v>109.59083761009899</v>
      </c>
      <c r="K32" s="26">
        <v>103.84566880921275</v>
      </c>
      <c r="L32" s="26">
        <v>97.522099065514638</v>
      </c>
      <c r="M32" s="26">
        <v>105.37997469017212</v>
      </c>
      <c r="N32" s="26">
        <v>107.39909733735</v>
      </c>
      <c r="O32" s="2" t="s">
        <v>10</v>
      </c>
      <c r="Q32" s="237"/>
    </row>
    <row r="33" spans="1:17" s="49" customFormat="1" ht="15.75" customHeight="1">
      <c r="A33" s="31" t="s">
        <v>51</v>
      </c>
      <c r="B33" s="26">
        <v>122.67340574770263</v>
      </c>
      <c r="C33" s="26">
        <v>123.2576164333824</v>
      </c>
      <c r="D33" s="26">
        <v>159.42685794922326</v>
      </c>
      <c r="E33" s="26">
        <v>159.98455374419413</v>
      </c>
      <c r="F33" s="26">
        <v>160.81041210237751</v>
      </c>
      <c r="G33" s="26">
        <v>161.57166588309633</v>
      </c>
      <c r="H33" s="26">
        <v>161.36325396112733</v>
      </c>
      <c r="I33" s="26">
        <v>160.71752015594527</v>
      </c>
      <c r="J33" s="26">
        <v>160.83120611807271</v>
      </c>
      <c r="K33" s="26">
        <v>160.92914232629056</v>
      </c>
      <c r="L33" s="26">
        <v>160.98571701074584</v>
      </c>
      <c r="M33" s="26">
        <v>160.41872060134136</v>
      </c>
      <c r="N33" s="26">
        <v>154.41417266945828</v>
      </c>
      <c r="O33" s="2" t="s">
        <v>30</v>
      </c>
      <c r="Q33" s="237"/>
    </row>
    <row r="34" spans="1:17" ht="15.75" customHeight="1">
      <c r="A34" s="31" t="s">
        <v>11</v>
      </c>
      <c r="B34" s="26">
        <v>100.65047510964997</v>
      </c>
      <c r="C34" s="26">
        <v>100.49836435204436</v>
      </c>
      <c r="D34" s="26">
        <v>100.5368959965402</v>
      </c>
      <c r="E34" s="26">
        <v>100.55089549017585</v>
      </c>
      <c r="F34" s="26">
        <v>100.57977623452557</v>
      </c>
      <c r="G34" s="26">
        <v>100.33845373517408</v>
      </c>
      <c r="H34" s="26">
        <v>100.10621027675735</v>
      </c>
      <c r="I34" s="26">
        <v>100.21039832853231</v>
      </c>
      <c r="J34" s="26">
        <v>100.20785549717321</v>
      </c>
      <c r="K34" s="26">
        <v>100.01345055190248</v>
      </c>
      <c r="L34" s="26">
        <v>99.849225760842629</v>
      </c>
      <c r="M34" s="26">
        <v>99.944923507635622</v>
      </c>
      <c r="N34" s="26">
        <v>100.29057707007946</v>
      </c>
      <c r="O34" s="2" t="s">
        <v>31</v>
      </c>
      <c r="Q34" s="237"/>
    </row>
    <row r="35" spans="1:17" ht="15.75" customHeight="1">
      <c r="A35" s="31" t="s">
        <v>67</v>
      </c>
      <c r="B35" s="26">
        <v>109.98434334798695</v>
      </c>
      <c r="C35" s="26">
        <v>110.19076086200178</v>
      </c>
      <c r="D35" s="26">
        <v>110.25043234259323</v>
      </c>
      <c r="E35" s="26">
        <v>110.38760486518682</v>
      </c>
      <c r="F35" s="26">
        <v>110.54035740868545</v>
      </c>
      <c r="G35" s="26">
        <v>108.74533133210758</v>
      </c>
      <c r="H35" s="26">
        <v>107.84852463616971</v>
      </c>
      <c r="I35" s="26">
        <v>108.1740565533721</v>
      </c>
      <c r="J35" s="26">
        <v>108.86653792482572</v>
      </c>
      <c r="K35" s="26">
        <v>109.19533355640154</v>
      </c>
      <c r="L35" s="26">
        <v>109.50339625023084</v>
      </c>
      <c r="M35" s="26">
        <v>110.05345913432531</v>
      </c>
      <c r="N35" s="26">
        <v>109.47834485115725</v>
      </c>
      <c r="O35" s="2" t="s">
        <v>32</v>
      </c>
      <c r="Q35" s="237"/>
    </row>
    <row r="36" spans="1:17" ht="15.75" customHeight="1">
      <c r="A36" s="31" t="s">
        <v>68</v>
      </c>
      <c r="B36" s="26">
        <v>118.78779793927102</v>
      </c>
      <c r="C36" s="26">
        <v>118.94183226767581</v>
      </c>
      <c r="D36" s="26">
        <v>119.02618439989749</v>
      </c>
      <c r="E36" s="26">
        <v>119.39085674294863</v>
      </c>
      <c r="F36" s="26">
        <v>120.25326058718625</v>
      </c>
      <c r="G36" s="26">
        <v>121.0400010386233</v>
      </c>
      <c r="H36" s="26">
        <v>122.26401244576164</v>
      </c>
      <c r="I36" s="26">
        <v>122.90327873522459</v>
      </c>
      <c r="J36" s="26">
        <v>124.23718345011135</v>
      </c>
      <c r="K36" s="26">
        <v>124.90591201723197</v>
      </c>
      <c r="L36" s="26">
        <v>125.58544912329786</v>
      </c>
      <c r="M36" s="26">
        <v>126.68556721344532</v>
      </c>
      <c r="N36" s="26">
        <v>122.00177799672292</v>
      </c>
      <c r="O36" s="32" t="s">
        <v>72</v>
      </c>
      <c r="Q36" s="237"/>
    </row>
    <row r="37" spans="1:17" ht="27" customHeight="1">
      <c r="A37" s="25" t="s">
        <v>50</v>
      </c>
      <c r="B37" s="26">
        <v>99.489944419387044</v>
      </c>
      <c r="C37" s="26">
        <v>100.47923842593966</v>
      </c>
      <c r="D37" s="26">
        <v>100.46961782487625</v>
      </c>
      <c r="E37" s="26">
        <v>100.3589566274928</v>
      </c>
      <c r="F37" s="26">
        <v>96.854831151878116</v>
      </c>
      <c r="G37" s="26">
        <v>96.572722365507417</v>
      </c>
      <c r="H37" s="26">
        <v>98.344525882033039</v>
      </c>
      <c r="I37" s="26">
        <v>98.281432173438176</v>
      </c>
      <c r="J37" s="26">
        <v>98.120131132157866</v>
      </c>
      <c r="K37" s="26">
        <v>98.221613012417507</v>
      </c>
      <c r="L37" s="26">
        <v>97.929386668970039</v>
      </c>
      <c r="M37" s="26">
        <v>97.943130780361429</v>
      </c>
      <c r="N37" s="26">
        <v>98.588794205371599</v>
      </c>
      <c r="O37" s="2" t="s">
        <v>53</v>
      </c>
      <c r="Q37" s="237"/>
    </row>
    <row r="38" spans="1:17" ht="16.5" customHeight="1">
      <c r="A38" s="33" t="s">
        <v>33</v>
      </c>
      <c r="B38" s="26">
        <v>125.51448139795777</v>
      </c>
      <c r="C38" s="26">
        <v>125.39571912221571</v>
      </c>
      <c r="D38" s="26">
        <v>125.38709914167559</v>
      </c>
      <c r="E38" s="26">
        <v>125.3963615949699</v>
      </c>
      <c r="F38" s="26">
        <v>125.49360096447738</v>
      </c>
      <c r="G38" s="26">
        <v>125.48360252604184</v>
      </c>
      <c r="H38" s="26">
        <v>125.49738677386105</v>
      </c>
      <c r="I38" s="26">
        <v>125.52036145728432</v>
      </c>
      <c r="J38" s="26">
        <v>125.50584620928863</v>
      </c>
      <c r="K38" s="26">
        <v>125.69250130325075</v>
      </c>
      <c r="L38" s="26">
        <v>125.72174159517944</v>
      </c>
      <c r="M38" s="26">
        <v>125.73285184962693</v>
      </c>
      <c r="N38" s="26">
        <v>125.52846282798579</v>
      </c>
      <c r="O38" s="2" t="s">
        <v>34</v>
      </c>
      <c r="Q38" s="237"/>
    </row>
    <row r="39" spans="1:17" ht="16.5" customHeight="1">
      <c r="A39" s="33" t="s">
        <v>35</v>
      </c>
      <c r="B39" s="26">
        <v>103.32247816586994</v>
      </c>
      <c r="C39" s="26">
        <v>103.1700025234308</v>
      </c>
      <c r="D39" s="26">
        <v>103.169187443269</v>
      </c>
      <c r="E39" s="26">
        <v>102.91268725784089</v>
      </c>
      <c r="F39" s="26">
        <v>101.77646010607812</v>
      </c>
      <c r="G39" s="26">
        <v>101.00390073970956</v>
      </c>
      <c r="H39" s="26">
        <v>100.81388528639233</v>
      </c>
      <c r="I39" s="26">
        <v>100.84179555620557</v>
      </c>
      <c r="J39" s="26">
        <v>101.07945071679406</v>
      </c>
      <c r="K39" s="26">
        <v>101.50327625840072</v>
      </c>
      <c r="L39" s="26">
        <v>101.23086820908144</v>
      </c>
      <c r="M39" s="26">
        <v>101.2538316463888</v>
      </c>
      <c r="N39" s="26">
        <v>101.83981865912176</v>
      </c>
      <c r="O39" s="2" t="s">
        <v>36</v>
      </c>
      <c r="Q39" s="237"/>
    </row>
    <row r="40" spans="1:17" ht="15.75" customHeight="1">
      <c r="A40" s="33" t="s">
        <v>37</v>
      </c>
      <c r="B40" s="26">
        <v>99.25672955425857</v>
      </c>
      <c r="C40" s="26">
        <v>99.25672955425857</v>
      </c>
      <c r="D40" s="26">
        <v>99.25672955425857</v>
      </c>
      <c r="E40" s="26">
        <v>99.25672955425857</v>
      </c>
      <c r="F40" s="26">
        <v>99.25672955425857</v>
      </c>
      <c r="G40" s="26">
        <v>99.25672955425857</v>
      </c>
      <c r="H40" s="26">
        <v>100.20909082660211</v>
      </c>
      <c r="I40" s="26">
        <v>100.20909082660211</v>
      </c>
      <c r="J40" s="26">
        <v>100.20909082660211</v>
      </c>
      <c r="K40" s="26">
        <v>100.1146600585961</v>
      </c>
      <c r="L40" s="26">
        <v>100.1146600585961</v>
      </c>
      <c r="M40" s="26">
        <v>99.515791735045639</v>
      </c>
      <c r="N40" s="26">
        <v>99.659396804799613</v>
      </c>
      <c r="O40" s="2" t="s">
        <v>38</v>
      </c>
      <c r="Q40" s="237"/>
    </row>
    <row r="41" spans="1:17" ht="15.75" customHeight="1">
      <c r="A41" s="34" t="s">
        <v>39</v>
      </c>
      <c r="B41" s="26">
        <v>101.75845024250361</v>
      </c>
      <c r="C41" s="26">
        <v>101.74510991233566</v>
      </c>
      <c r="D41" s="26">
        <v>101.75936358610916</v>
      </c>
      <c r="E41" s="26">
        <v>101.75936358610916</v>
      </c>
      <c r="F41" s="26">
        <v>100.13613685073707</v>
      </c>
      <c r="G41" s="26">
        <v>99.830178710478606</v>
      </c>
      <c r="H41" s="26">
        <v>100.25912112595857</v>
      </c>
      <c r="I41" s="26">
        <v>100.28577086478815</v>
      </c>
      <c r="J41" s="26">
        <v>100.28345829041872</v>
      </c>
      <c r="K41" s="26">
        <v>99.911722105898576</v>
      </c>
      <c r="L41" s="26">
        <v>99.666145400486442</v>
      </c>
      <c r="M41" s="26">
        <v>99.613668304030128</v>
      </c>
      <c r="N41" s="26">
        <v>100.58404074832116</v>
      </c>
      <c r="O41" s="35" t="s">
        <v>40</v>
      </c>
      <c r="Q41" s="237"/>
    </row>
    <row r="42" spans="1:17" ht="15.75" customHeight="1">
      <c r="A42" s="31" t="s">
        <v>12</v>
      </c>
      <c r="B42" s="26">
        <v>130.07791242751054</v>
      </c>
      <c r="C42" s="26">
        <v>130.07791242751054</v>
      </c>
      <c r="D42" s="26">
        <v>130.07791242751054</v>
      </c>
      <c r="E42" s="26">
        <v>130.07791242751054</v>
      </c>
      <c r="F42" s="26">
        <v>130.07791242751054</v>
      </c>
      <c r="G42" s="26">
        <v>130.07791242751054</v>
      </c>
      <c r="H42" s="26">
        <v>130.07927276290044</v>
      </c>
      <c r="I42" s="26">
        <v>130.07927276290044</v>
      </c>
      <c r="J42" s="26">
        <v>130.07927276290044</v>
      </c>
      <c r="K42" s="26">
        <v>130.07927276290044</v>
      </c>
      <c r="L42" s="26">
        <v>130.07927276290044</v>
      </c>
      <c r="M42" s="26">
        <v>130.07927276290044</v>
      </c>
      <c r="N42" s="26">
        <v>130.07859259520549</v>
      </c>
      <c r="O42" s="35" t="s">
        <v>13</v>
      </c>
      <c r="Q42" s="237"/>
    </row>
    <row r="43" spans="1:17" ht="15.75" customHeight="1">
      <c r="A43" s="31" t="s">
        <v>41</v>
      </c>
      <c r="B43" s="26">
        <v>125.33425513277646</v>
      </c>
      <c r="C43" s="26">
        <v>125.28511299251818</v>
      </c>
      <c r="D43" s="26">
        <v>125.27368908992756</v>
      </c>
      <c r="E43" s="26">
        <v>125.27368908992756</v>
      </c>
      <c r="F43" s="26">
        <v>125.27368908992756</v>
      </c>
      <c r="G43" s="26">
        <v>125.27368908992756</v>
      </c>
      <c r="H43" s="26">
        <v>125.27368908992756</v>
      </c>
      <c r="I43" s="26">
        <v>125.29100537512497</v>
      </c>
      <c r="J43" s="26">
        <v>125.29123614182799</v>
      </c>
      <c r="K43" s="26">
        <v>125.21119191220903</v>
      </c>
      <c r="L43" s="26">
        <v>127.13670782815568</v>
      </c>
      <c r="M43" s="26">
        <v>127.63720146991291</v>
      </c>
      <c r="N43" s="26">
        <v>125.6295963585136</v>
      </c>
      <c r="O43" s="35" t="s">
        <v>42</v>
      </c>
      <c r="Q43" s="237"/>
    </row>
    <row r="44" spans="1:17" ht="15.75" customHeight="1">
      <c r="A44" s="34" t="s">
        <v>43</v>
      </c>
      <c r="B44" s="26">
        <v>98.553232538183764</v>
      </c>
      <c r="C44" s="26">
        <v>98.461953308934227</v>
      </c>
      <c r="D44" s="26">
        <v>98.245934608629341</v>
      </c>
      <c r="E44" s="26">
        <v>98.36233315851166</v>
      </c>
      <c r="F44" s="26">
        <v>98.296244855685458</v>
      </c>
      <c r="G44" s="26">
        <v>98.405676684483197</v>
      </c>
      <c r="H44" s="26">
        <v>98.433087059217996</v>
      </c>
      <c r="I44" s="26">
        <v>98.304963846505373</v>
      </c>
      <c r="J44" s="26">
        <v>98.114907507857836</v>
      </c>
      <c r="K44" s="26">
        <v>98.205793584935364</v>
      </c>
      <c r="L44" s="26">
        <v>98.193892314276169</v>
      </c>
      <c r="M44" s="26">
        <v>98.23665257871744</v>
      </c>
      <c r="N44" s="26">
        <v>98.317889337161489</v>
      </c>
      <c r="O44" s="35" t="s">
        <v>74</v>
      </c>
      <c r="Q44" s="237"/>
    </row>
    <row r="45" spans="1:17" ht="15.75" customHeight="1">
      <c r="A45" s="36" t="s">
        <v>69</v>
      </c>
      <c r="B45" s="37">
        <v>109.49980955008905</v>
      </c>
      <c r="C45" s="37">
        <v>109.88576174896833</v>
      </c>
      <c r="D45" s="37">
        <v>110.60323178045907</v>
      </c>
      <c r="E45" s="37">
        <v>110.59194937513206</v>
      </c>
      <c r="F45" s="37">
        <v>110.85201445600245</v>
      </c>
      <c r="G45" s="37">
        <v>109.74800644419963</v>
      </c>
      <c r="H45" s="37">
        <v>109.6669128495823</v>
      </c>
      <c r="I45" s="37">
        <v>109.27002315425663</v>
      </c>
      <c r="J45" s="37">
        <v>109.83466504100939</v>
      </c>
      <c r="K45" s="37">
        <v>109.5388392789536</v>
      </c>
      <c r="L45" s="37">
        <v>109.34008741675697</v>
      </c>
      <c r="M45" s="37">
        <v>110.35293458574249</v>
      </c>
      <c r="N45" s="37">
        <v>109.93201964009602</v>
      </c>
      <c r="O45" s="40" t="s">
        <v>14</v>
      </c>
      <c r="Q45" s="237"/>
    </row>
    <row r="46" spans="1:17" ht="15.75" customHeight="1">
      <c r="A46" s="42" t="s">
        <v>70</v>
      </c>
      <c r="B46" s="243">
        <v>109.97429171672792</v>
      </c>
      <c r="C46" s="243">
        <v>110.06964373796011</v>
      </c>
      <c r="D46" s="243">
        <v>110.76362650176397</v>
      </c>
      <c r="E46" s="243">
        <v>110.77563972029991</v>
      </c>
      <c r="F46" s="243">
        <v>110.49359149488743</v>
      </c>
      <c r="G46" s="243">
        <v>109.69806760480228</v>
      </c>
      <c r="H46" s="243">
        <v>109.49612570828637</v>
      </c>
      <c r="I46" s="243">
        <v>109.57239153539088</v>
      </c>
      <c r="J46" s="243">
        <v>109.8577425317917</v>
      </c>
      <c r="K46" s="243">
        <v>110.07767975538096</v>
      </c>
      <c r="L46" s="243">
        <v>110.45862242417377</v>
      </c>
      <c r="M46" s="243">
        <v>110.82360942213208</v>
      </c>
      <c r="N46" s="243">
        <v>110.17175267946645</v>
      </c>
      <c r="O46" s="44" t="s">
        <v>54</v>
      </c>
      <c r="Q46" s="237"/>
    </row>
    <row r="47" spans="1:17" ht="15.75" customHeight="1">
      <c r="A47" s="55" t="s">
        <v>96</v>
      </c>
      <c r="B47" s="55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Q47" s="237"/>
    </row>
    <row r="48" spans="1:17" ht="15.75" customHeight="1">
      <c r="A48" s="50" t="s">
        <v>97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Q48" s="237"/>
    </row>
    <row r="49" spans="1:17" ht="15.75" customHeight="1">
      <c r="A49" s="50" t="s">
        <v>98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Q49" s="237"/>
    </row>
    <row r="50" spans="1:17" ht="15.75" customHeight="1">
      <c r="A50" s="50" t="s">
        <v>99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Q50" s="237"/>
    </row>
    <row r="51" spans="1:17" ht="15.75" customHeight="1">
      <c r="A51" s="50" t="s">
        <v>100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Q51" s="237"/>
    </row>
    <row r="52" spans="1:17" ht="15.75" customHeight="1">
      <c r="A52" s="50" t="s">
        <v>101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Q52" s="237"/>
    </row>
    <row r="53" spans="1:17" ht="15.75" customHeight="1">
      <c r="A53" s="50" t="s">
        <v>102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Q53" s="237"/>
    </row>
    <row r="54" spans="1:17" ht="15.75" customHeight="1">
      <c r="A54" s="244" t="s">
        <v>108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Q54" s="237"/>
    </row>
    <row r="55" spans="1:17" ht="15.75" customHeight="1">
      <c r="Q55" s="237"/>
    </row>
  </sheetData>
  <mergeCells count="7">
    <mergeCell ref="B26:N26"/>
    <mergeCell ref="B5:N5"/>
    <mergeCell ref="Q1:X1"/>
    <mergeCell ref="A2:O2"/>
    <mergeCell ref="A3:O3"/>
    <mergeCell ref="A4:O4"/>
    <mergeCell ref="A1:O1"/>
  </mergeCells>
  <pageMargins left="0.43" right="0.7" top="0.47" bottom="0.14000000000000001" header="0.3" footer="0.04"/>
  <pageSetup paperSize="9" scale="64" orientation="landscape" horizontalDpi="4294967295" verticalDpi="4294967295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236"/>
  <sheetViews>
    <sheetView showGridLines="0" view="pageBreakPreview" zoomScaleSheetLayoutView="100" workbookViewId="0">
      <selection activeCell="Y72" sqref="Y72"/>
    </sheetView>
  </sheetViews>
  <sheetFormatPr defaultColWidth="9.140625" defaultRowHeight="12.75"/>
  <cols>
    <col min="1" max="1" width="36.140625" style="181" customWidth="1"/>
    <col min="2" max="2" width="11.140625" style="158" customWidth="1"/>
    <col min="3" max="6" width="7.42578125" style="7" hidden="1" customWidth="1"/>
    <col min="7" max="7" width="5.85546875" style="7" customWidth="1"/>
    <col min="8" max="13" width="7.42578125" style="7" customWidth="1"/>
    <col min="14" max="14" width="7.5703125" style="7" customWidth="1"/>
    <col min="15" max="22" width="7.42578125" style="7" customWidth="1"/>
    <col min="23" max="23" width="36.5703125" style="7" customWidth="1"/>
    <col min="24" max="24" width="9.140625" style="7" customWidth="1"/>
    <col min="25" max="35" width="9.140625" style="7"/>
    <col min="36" max="36" width="36" style="7" customWidth="1"/>
    <col min="37" max="16384" width="9.140625" style="7"/>
  </cols>
  <sheetData>
    <row r="1" spans="1:35" ht="19.5">
      <c r="A1" s="595" t="s">
        <v>300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"/>
    </row>
    <row r="2" spans="1:35" ht="15.75">
      <c r="A2" s="628" t="s">
        <v>299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118"/>
    </row>
    <row r="3" spans="1:35" ht="15" customHeight="1">
      <c r="A3" s="632" t="s">
        <v>66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632"/>
      <c r="O3" s="632"/>
      <c r="P3" s="632"/>
      <c r="Q3" s="632"/>
      <c r="R3" s="632"/>
      <c r="S3" s="632"/>
      <c r="T3" s="632"/>
      <c r="U3" s="632"/>
      <c r="V3" s="632"/>
      <c r="W3" s="632"/>
    </row>
    <row r="4" spans="1:35">
      <c r="A4" s="631" t="s">
        <v>65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  <c r="R4" s="631"/>
      <c r="S4" s="631"/>
      <c r="T4" s="631"/>
      <c r="U4" s="631"/>
      <c r="V4" s="631"/>
      <c r="W4" s="631"/>
    </row>
    <row r="5" spans="1:35" ht="16.5" customHeight="1">
      <c r="A5" s="19"/>
      <c r="B5" s="629" t="s">
        <v>263</v>
      </c>
      <c r="C5" s="618"/>
      <c r="D5" s="618"/>
      <c r="E5" s="618"/>
      <c r="F5" s="618"/>
      <c r="G5" s="618"/>
      <c r="H5" s="618"/>
      <c r="I5" s="618"/>
      <c r="J5" s="564"/>
      <c r="K5" s="564"/>
      <c r="L5" s="564"/>
      <c r="M5" s="564"/>
      <c r="N5" s="564"/>
      <c r="O5" s="624" t="s">
        <v>325</v>
      </c>
      <c r="P5" s="625"/>
      <c r="Q5" s="625"/>
      <c r="R5" s="625"/>
      <c r="S5" s="625"/>
      <c r="T5" s="625"/>
      <c r="U5" s="625"/>
      <c r="V5" s="625"/>
      <c r="W5" s="23"/>
    </row>
    <row r="6" spans="1:35" ht="27.75" customHeight="1">
      <c r="A6" s="113" t="s">
        <v>77</v>
      </c>
      <c r="B6" s="630"/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19"/>
      <c r="N6" s="619"/>
      <c r="O6" s="626" t="s">
        <v>326</v>
      </c>
      <c r="P6" s="627"/>
      <c r="Q6" s="627"/>
      <c r="R6" s="627"/>
      <c r="S6" s="627"/>
      <c r="T6" s="627"/>
      <c r="U6" s="627"/>
      <c r="V6" s="627"/>
      <c r="W6" s="114" t="s">
        <v>29</v>
      </c>
    </row>
    <row r="7" spans="1:35">
      <c r="A7" s="52"/>
      <c r="B7" s="52" t="s">
        <v>8</v>
      </c>
      <c r="C7" s="52">
        <v>2006</v>
      </c>
      <c r="D7" s="52">
        <v>2007</v>
      </c>
      <c r="E7" s="52">
        <v>2008</v>
      </c>
      <c r="F7" s="52">
        <v>2009</v>
      </c>
      <c r="G7" s="52">
        <v>2010</v>
      </c>
      <c r="H7" s="52">
        <v>2011</v>
      </c>
      <c r="I7" s="52">
        <v>2012</v>
      </c>
      <c r="J7" s="52">
        <v>2013</v>
      </c>
      <c r="K7" s="52">
        <v>2014</v>
      </c>
      <c r="L7" s="52">
        <v>2015</v>
      </c>
      <c r="M7" s="52">
        <v>2016</v>
      </c>
      <c r="N7" s="52">
        <v>2017</v>
      </c>
      <c r="O7" s="119">
        <v>2010</v>
      </c>
      <c r="P7" s="120">
        <v>2011</v>
      </c>
      <c r="Q7" s="120">
        <v>2012</v>
      </c>
      <c r="R7" s="120">
        <v>2013</v>
      </c>
      <c r="S7" s="120">
        <v>2014</v>
      </c>
      <c r="T7" s="52">
        <v>2015</v>
      </c>
      <c r="U7" s="52">
        <v>2016</v>
      </c>
      <c r="V7" s="52">
        <v>2017</v>
      </c>
      <c r="W7" s="54"/>
      <c r="Y7" s="30"/>
    </row>
    <row r="8" spans="1:35" s="30" customFormat="1" ht="15">
      <c r="A8" s="25" t="s">
        <v>55</v>
      </c>
      <c r="B8" s="121">
        <v>28.43529313839241</v>
      </c>
      <c r="C8" s="26">
        <v>46.54226956659236</v>
      </c>
      <c r="D8" s="26">
        <v>54.070703301292049</v>
      </c>
      <c r="E8" s="27">
        <v>64.381973226397193</v>
      </c>
      <c r="F8" s="28">
        <v>64.715472651196961</v>
      </c>
      <c r="G8" s="28">
        <v>69.554480633976965</v>
      </c>
      <c r="H8" s="28">
        <v>83.416709968576413</v>
      </c>
      <c r="I8" s="28">
        <v>98.126990664931839</v>
      </c>
      <c r="J8" s="28">
        <v>105.15731822206406</v>
      </c>
      <c r="K8" s="28">
        <v>105.91516633353841</v>
      </c>
      <c r="L8" s="257">
        <v>106.42761479980396</v>
      </c>
      <c r="M8" s="257">
        <f>'[3]Republic data'!$OC$4</f>
        <v>107.04157551050889</v>
      </c>
      <c r="N8" s="257">
        <v>113.03489126776282</v>
      </c>
      <c r="O8" s="123">
        <v>7.4773586354862198</v>
      </c>
      <c r="P8" s="29">
        <v>19.930030687092536</v>
      </c>
      <c r="Q8" s="29">
        <v>17.634692979256638</v>
      </c>
      <c r="R8" s="29">
        <v>7.1645196795428578</v>
      </c>
      <c r="S8" s="29">
        <v>0.72068033332113313</v>
      </c>
      <c r="T8" s="29">
        <f>'[4]annual work'!$C$13</f>
        <v>0.48382916630824724</v>
      </c>
      <c r="U8" s="29">
        <f>'[3]Republic data'!$OF$4</f>
        <v>0.57688102083264248</v>
      </c>
      <c r="V8" s="29">
        <v>5.5990541326304877</v>
      </c>
      <c r="W8" s="2" t="s">
        <v>57</v>
      </c>
      <c r="Z8" s="122" t="s">
        <v>84</v>
      </c>
    </row>
    <row r="9" spans="1:35" s="30" customFormat="1" ht="15">
      <c r="A9" s="25" t="s">
        <v>56</v>
      </c>
      <c r="B9" s="121">
        <f>B8-B10</f>
        <v>19.788959216936362</v>
      </c>
      <c r="C9" s="26">
        <v>56.866771691184077</v>
      </c>
      <c r="D9" s="26">
        <v>62.767090501684173</v>
      </c>
      <c r="E9" s="27">
        <v>76.153290746199403</v>
      </c>
      <c r="F9" s="28">
        <v>78.381813378991197</v>
      </c>
      <c r="G9" s="28">
        <v>84.204150454829019</v>
      </c>
      <c r="H9" s="28">
        <v>94.794400673064558</v>
      </c>
      <c r="I9" s="28">
        <v>100.0268178957039</v>
      </c>
      <c r="J9" s="28">
        <v>105.46827201556327</v>
      </c>
      <c r="K9" s="28">
        <v>105.77637644985344</v>
      </c>
      <c r="L9" s="27">
        <v>106.72890504792964</v>
      </c>
      <c r="M9" s="27">
        <f>'[3]Republic data'!$OC$485</f>
        <v>108.34446887815083</v>
      </c>
      <c r="N9" s="574">
        <v>115.49732275295001</v>
      </c>
      <c r="O9" s="29">
        <v>7.4281734816285638</v>
      </c>
      <c r="P9" s="29">
        <v>12.576874371432133</v>
      </c>
      <c r="Q9" s="29">
        <v>5.5197534722386976</v>
      </c>
      <c r="R9" s="29">
        <v>5.4399952276129371</v>
      </c>
      <c r="S9" s="29">
        <v>0.29212997274166153</v>
      </c>
      <c r="T9" s="29">
        <f>'[4]annual work'!$P$13</f>
        <v>0.90051165491358276</v>
      </c>
      <c r="U9" s="29">
        <f>'[3]Republic data'!$OF$485</f>
        <v>1.513707865264502</v>
      </c>
      <c r="V9" s="29">
        <v>6.6019557332858358</v>
      </c>
      <c r="W9" s="2" t="s">
        <v>58</v>
      </c>
      <c r="Z9" s="122"/>
      <c r="AA9" s="30">
        <v>2009</v>
      </c>
      <c r="AB9" s="30">
        <v>2010</v>
      </c>
      <c r="AC9" s="30">
        <v>2011</v>
      </c>
      <c r="AD9" s="30">
        <v>2012</v>
      </c>
      <c r="AE9" s="30">
        <v>2013</v>
      </c>
      <c r="AF9" s="30">
        <v>2014</v>
      </c>
      <c r="AG9" s="30">
        <v>2015</v>
      </c>
      <c r="AH9" s="30">
        <v>2016</v>
      </c>
      <c r="AI9" s="30">
        <v>2017</v>
      </c>
    </row>
    <row r="10" spans="1:35" s="30" customFormat="1" ht="15">
      <c r="A10" s="31" t="s">
        <v>9</v>
      </c>
      <c r="B10" s="121">
        <v>8.646333921456046</v>
      </c>
      <c r="C10" s="26">
        <v>22.898483196595674</v>
      </c>
      <c r="D10" s="26">
        <v>34.155406788630842</v>
      </c>
      <c r="E10" s="27">
        <v>37.424884799955599</v>
      </c>
      <c r="F10" s="28">
        <v>33.418656908585071</v>
      </c>
      <c r="G10" s="28">
        <v>36.005776836416281</v>
      </c>
      <c r="H10" s="28">
        <v>57.361052741283949</v>
      </c>
      <c r="I10" s="28">
        <v>93.7760772522998</v>
      </c>
      <c r="J10" s="28">
        <v>104.44563486657425</v>
      </c>
      <c r="K10" s="28">
        <v>106.23281626157906</v>
      </c>
      <c r="L10" s="27">
        <v>105.73804850653096</v>
      </c>
      <c r="M10" s="27">
        <f>'[3]Republic data'!$OC$38</f>
        <v>104.05962917920893</v>
      </c>
      <c r="N10" s="574">
        <v>107.39909733735</v>
      </c>
      <c r="O10" s="29">
        <v>7.7415436979054508</v>
      </c>
      <c r="P10" s="29">
        <v>59.310693397590896</v>
      </c>
      <c r="Q10" s="29">
        <v>63.483884571050076</v>
      </c>
      <c r="R10" s="29">
        <v>11.377696665183112</v>
      </c>
      <c r="S10" s="29">
        <v>1.7111116202107146</v>
      </c>
      <c r="T10" s="29">
        <f>'[4]annual work'!$Q$13</f>
        <v>-0.46573909311584671</v>
      </c>
      <c r="U10" s="29">
        <f>'[3]Republic data'!$OF$38</f>
        <v>-1.587337151600976</v>
      </c>
      <c r="V10" s="29">
        <v>3.2091870636881792</v>
      </c>
      <c r="W10" s="2" t="s">
        <v>10</v>
      </c>
      <c r="Z10" s="122" t="s">
        <v>76</v>
      </c>
      <c r="AA10" s="82">
        <f t="shared" ref="AA10:AH10" si="0">F23</f>
        <v>75.900734670117231</v>
      </c>
      <c r="AB10" s="124">
        <f t="shared" si="0"/>
        <v>80.568542845421106</v>
      </c>
      <c r="AC10" s="124">
        <f t="shared" si="0"/>
        <v>89.651368722070842</v>
      </c>
      <c r="AD10" s="124">
        <f t="shared" si="0"/>
        <v>99.409647361204449</v>
      </c>
      <c r="AE10" s="124">
        <f t="shared" si="0"/>
        <v>103.19281073321666</v>
      </c>
      <c r="AF10" s="124">
        <f t="shared" si="0"/>
        <v>105.38050013404563</v>
      </c>
      <c r="AG10" s="124">
        <f t="shared" si="0"/>
        <v>106.38499407837655</v>
      </c>
      <c r="AH10" s="124">
        <f t="shared" si="0"/>
        <v>106.91958868829052</v>
      </c>
      <c r="AI10" s="124">
        <f>N23</f>
        <v>109.93201964009602</v>
      </c>
    </row>
    <row r="11" spans="1:35" s="30" customFormat="1" ht="15">
      <c r="A11" s="31" t="s">
        <v>51</v>
      </c>
      <c r="B11" s="121">
        <v>2.254164063270403</v>
      </c>
      <c r="C11" s="26">
        <v>49.327553362016907</v>
      </c>
      <c r="D11" s="26">
        <v>49.926435555846972</v>
      </c>
      <c r="E11" s="27">
        <v>51.632567552779186</v>
      </c>
      <c r="F11" s="28">
        <v>50.700704461040182</v>
      </c>
      <c r="G11" s="28">
        <v>50.532891620339313</v>
      </c>
      <c r="H11" s="28">
        <v>64.296766109008189</v>
      </c>
      <c r="I11" s="28">
        <v>101.2436810917912</v>
      </c>
      <c r="J11" s="28">
        <v>98.00579870542515</v>
      </c>
      <c r="K11" s="28">
        <v>100.18505236961772</v>
      </c>
      <c r="L11" s="27">
        <v>117.46360163260034</v>
      </c>
      <c r="M11" s="27">
        <f>'[3]Republic data'!$OC$156</f>
        <v>122.18459773517431</v>
      </c>
      <c r="N11" s="574">
        <v>154.41417266945828</v>
      </c>
      <c r="O11" s="29">
        <v>-0.33098719728800186</v>
      </c>
      <c r="P11" s="29">
        <v>27.237456728340014</v>
      </c>
      <c r="Q11" s="29">
        <v>57.463099963913479</v>
      </c>
      <c r="R11" s="29">
        <v>-3.1981081203778738</v>
      </c>
      <c r="S11" s="29">
        <v>2.2235966575230304</v>
      </c>
      <c r="T11" s="29">
        <v>17.246633958163748</v>
      </c>
      <c r="U11" s="29">
        <f>'[3]Republic data'!$OF$156</f>
        <v>4.0191140378448287</v>
      </c>
      <c r="V11" s="29">
        <v>26.377772265649302</v>
      </c>
      <c r="W11" s="2" t="s">
        <v>30</v>
      </c>
      <c r="Z11" s="122" t="s">
        <v>47</v>
      </c>
      <c r="AA11" s="82">
        <f t="shared" ref="AA11:AH11" si="1">F44</f>
        <v>75.900734670117231</v>
      </c>
      <c r="AB11" s="124">
        <f t="shared" si="1"/>
        <v>80.568542845421106</v>
      </c>
      <c r="AC11" s="124">
        <f t="shared" si="1"/>
        <v>89.651368722070842</v>
      </c>
      <c r="AD11" s="124">
        <f t="shared" si="1"/>
        <v>99.415139330518244</v>
      </c>
      <c r="AE11" s="124">
        <f t="shared" si="1"/>
        <v>103.38895723436703</v>
      </c>
      <c r="AF11" s="124">
        <f t="shared" si="1"/>
        <v>105.92043432963987</v>
      </c>
      <c r="AG11" s="124">
        <f t="shared" si="1"/>
        <v>107.37293678888472</v>
      </c>
      <c r="AH11" s="124">
        <f t="shared" si="1"/>
        <v>108.23342334232696</v>
      </c>
      <c r="AI11" s="124">
        <f>N44</f>
        <v>110.69246887707151</v>
      </c>
    </row>
    <row r="12" spans="1:35" s="30" customFormat="1" ht="15">
      <c r="A12" s="31" t="s">
        <v>11</v>
      </c>
      <c r="B12" s="121">
        <v>3.890313123952799</v>
      </c>
      <c r="C12" s="26">
        <v>67.493428550865232</v>
      </c>
      <c r="D12" s="26">
        <v>66.522696340505789</v>
      </c>
      <c r="E12" s="27">
        <v>68.251967675022911</v>
      </c>
      <c r="F12" s="28">
        <v>70.445891756658199</v>
      </c>
      <c r="G12" s="28">
        <v>72.534285938334179</v>
      </c>
      <c r="H12" s="28">
        <v>81.881292827210913</v>
      </c>
      <c r="I12" s="28">
        <v>98.359038463336105</v>
      </c>
      <c r="J12" s="28">
        <v>101.52586212230904</v>
      </c>
      <c r="K12" s="28">
        <v>102.46527730468375</v>
      </c>
      <c r="L12" s="27">
        <v>101.54061731751705</v>
      </c>
      <c r="M12" s="27">
        <f>'[3]Republic data'!$OC$167</f>
        <v>100.99558210523537</v>
      </c>
      <c r="N12" s="574">
        <v>100.29057707007946</v>
      </c>
      <c r="O12" s="29">
        <v>2.964536511071425</v>
      </c>
      <c r="P12" s="29">
        <v>12.886329227564453</v>
      </c>
      <c r="Q12" s="29">
        <v>20.123944147898555</v>
      </c>
      <c r="R12" s="29">
        <v>3.2196569918212292</v>
      </c>
      <c r="S12" s="29">
        <v>0.92529643456067401</v>
      </c>
      <c r="T12" s="29">
        <v>-0.90241300418013592</v>
      </c>
      <c r="U12" s="29">
        <f>'[3]Republic data'!$OF$167</f>
        <v>-0.53676570684748626</v>
      </c>
      <c r="V12" s="29">
        <v>-0.69805532129247894</v>
      </c>
      <c r="W12" s="2" t="s">
        <v>31</v>
      </c>
      <c r="Z12" s="122"/>
      <c r="AA12" s="82"/>
      <c r="AB12" s="82"/>
      <c r="AC12" s="82"/>
      <c r="AD12" s="82"/>
    </row>
    <row r="13" spans="1:35" s="30" customFormat="1" ht="15">
      <c r="A13" s="31" t="s">
        <v>67</v>
      </c>
      <c r="B13" s="121">
        <v>23.290469082093963</v>
      </c>
      <c r="C13" s="26">
        <v>70.128284933346336</v>
      </c>
      <c r="D13" s="26">
        <v>72.790167958905229</v>
      </c>
      <c r="E13" s="27">
        <v>80.824789456236729</v>
      </c>
      <c r="F13" s="28">
        <v>87.147430127106858</v>
      </c>
      <c r="G13" s="28">
        <v>93.758762276598645</v>
      </c>
      <c r="H13" s="28">
        <v>96.487654366096692</v>
      </c>
      <c r="I13" s="28">
        <v>99.951850044063292</v>
      </c>
      <c r="J13" s="28">
        <v>103.51724004351574</v>
      </c>
      <c r="K13" s="28">
        <v>106.69055604936631</v>
      </c>
      <c r="L13" s="27">
        <v>107.78553856963902</v>
      </c>
      <c r="M13" s="27">
        <f>'[3]Republic data'!$OC$207</f>
        <v>108.10803524718015</v>
      </c>
      <c r="N13" s="574">
        <v>109.47834485115725</v>
      </c>
      <c r="O13" s="29">
        <v>7.5863764884965379</v>
      </c>
      <c r="P13" s="29">
        <v>2.9105461966824064</v>
      </c>
      <c r="Q13" s="29">
        <v>3.5902994022661616</v>
      </c>
      <c r="R13" s="29">
        <v>3.5671075601708901</v>
      </c>
      <c r="S13" s="29">
        <v>3.0654951817847831</v>
      </c>
      <c r="T13" s="29">
        <v>1.0263162559262184</v>
      </c>
      <c r="U13" s="29">
        <f>'[3]Republic data'!$OF$207</f>
        <v>0.29920217667491755</v>
      </c>
      <c r="V13" s="29">
        <v>1.2675372379527428</v>
      </c>
      <c r="W13" s="2" t="s">
        <v>32</v>
      </c>
    </row>
    <row r="14" spans="1:35" s="30" customFormat="1" ht="15">
      <c r="A14" s="31" t="s">
        <v>68</v>
      </c>
      <c r="B14" s="121">
        <v>11.680398408355288</v>
      </c>
      <c r="C14" s="26">
        <v>64.647461828276832</v>
      </c>
      <c r="D14" s="26">
        <v>67.343842950624648</v>
      </c>
      <c r="E14" s="27">
        <v>74.851279000594886</v>
      </c>
      <c r="F14" s="28">
        <v>85.550267697798958</v>
      </c>
      <c r="G14" s="28">
        <v>91.040551259171139</v>
      </c>
      <c r="H14" s="28">
        <v>95.103608962918898</v>
      </c>
      <c r="I14" s="28">
        <v>100.07057660044312</v>
      </c>
      <c r="J14" s="28">
        <v>104.08964183574052</v>
      </c>
      <c r="K14" s="28">
        <v>108.54742074440985</v>
      </c>
      <c r="L14" s="27">
        <v>112.36921152715941</v>
      </c>
      <c r="M14" s="27">
        <f>'[3]Republic data'!$OC$209</f>
        <v>116.59514145414504</v>
      </c>
      <c r="N14" s="574">
        <v>122.00177799672292</v>
      </c>
      <c r="O14" s="29">
        <v>6.4176111999628915</v>
      </c>
      <c r="P14" s="29">
        <v>4.4629098215598351</v>
      </c>
      <c r="Q14" s="29">
        <v>5.2226910121369263</v>
      </c>
      <c r="R14" s="29">
        <v>4.0162307161919708</v>
      </c>
      <c r="S14" s="29">
        <v>4.2826344966235608</v>
      </c>
      <c r="T14" s="29">
        <f>'[4]annual work'!$R$13</f>
        <v>3.5208490045548935</v>
      </c>
      <c r="U14" s="29">
        <f>'[3]Republic data'!$OF$209</f>
        <v>3.7607542756177725</v>
      </c>
      <c r="V14" s="29">
        <v>4.6371027773093099</v>
      </c>
      <c r="W14" s="72" t="s">
        <v>73</v>
      </c>
    </row>
    <row r="15" spans="1:35" s="30" customFormat="1" ht="25.5">
      <c r="A15" s="25" t="s">
        <v>50</v>
      </c>
      <c r="B15" s="121">
        <v>8.7141649537725758</v>
      </c>
      <c r="C15" s="26">
        <v>62.787235480784801</v>
      </c>
      <c r="D15" s="26">
        <v>65.996050857083574</v>
      </c>
      <c r="E15" s="27">
        <v>68.380911967950468</v>
      </c>
      <c r="F15" s="28">
        <v>75.858602553560274</v>
      </c>
      <c r="G15" s="28">
        <v>80.397772506783596</v>
      </c>
      <c r="H15" s="28">
        <v>83.774232067142066</v>
      </c>
      <c r="I15" s="28">
        <v>98.65523637265558</v>
      </c>
      <c r="J15" s="28">
        <v>97.029807398560521</v>
      </c>
      <c r="K15" s="28">
        <v>96.030794344264748</v>
      </c>
      <c r="L15" s="27">
        <v>96.619226474540611</v>
      </c>
      <c r="M15" s="27">
        <f>'[3]Republic data'!$OC$240</f>
        <v>97.499129166170533</v>
      </c>
      <c r="N15" s="574">
        <v>98.588794205371599</v>
      </c>
      <c r="O15" s="29">
        <v>5.9837247199728161</v>
      </c>
      <c r="P15" s="29">
        <v>4.1996929206882916</v>
      </c>
      <c r="Q15" s="29">
        <v>17.763223772182023</v>
      </c>
      <c r="R15" s="29">
        <v>-1.6475850992391683</v>
      </c>
      <c r="S15" s="29">
        <v>-1.0295939784691344</v>
      </c>
      <c r="T15" s="29">
        <v>0.61275358003014535</v>
      </c>
      <c r="U15" s="29">
        <f>'[3]Republic data'!$OF$240</f>
        <v>0.91069109507078139</v>
      </c>
      <c r="V15" s="29">
        <v>1.1176151505352561</v>
      </c>
      <c r="W15" s="2" t="s">
        <v>53</v>
      </c>
      <c r="Z15" s="122" t="s">
        <v>324</v>
      </c>
    </row>
    <row r="16" spans="1:35" s="30" customFormat="1" ht="18.75" customHeight="1">
      <c r="A16" s="33" t="s">
        <v>33</v>
      </c>
      <c r="B16" s="121">
        <v>5.4197286759786749</v>
      </c>
      <c r="C16" s="26">
        <v>87.683380878679159</v>
      </c>
      <c r="D16" s="26">
        <v>95.725018168451655</v>
      </c>
      <c r="E16" s="27">
        <v>115.02993652927483</v>
      </c>
      <c r="F16" s="28">
        <v>117.62003560285746</v>
      </c>
      <c r="G16" s="28">
        <v>123.09882000085349</v>
      </c>
      <c r="H16" s="28">
        <v>136.10400273752558</v>
      </c>
      <c r="I16" s="28">
        <v>103.11447443846129</v>
      </c>
      <c r="J16" s="28">
        <v>110.75985912203326</v>
      </c>
      <c r="K16" s="28">
        <v>120.99690521142638</v>
      </c>
      <c r="L16" s="27">
        <v>123.58711110547449</v>
      </c>
      <c r="M16" s="27">
        <f>'[3]Republic data'!$OC$292</f>
        <v>125.81722828813672</v>
      </c>
      <c r="N16" s="574">
        <v>125.52846282798579</v>
      </c>
      <c r="O16" s="29">
        <v>4.6580366770973214</v>
      </c>
      <c r="P16" s="29">
        <v>10.564831357913839</v>
      </c>
      <c r="Q16" s="29">
        <v>-24.238470313532279</v>
      </c>
      <c r="R16" s="29">
        <v>7.4144631248009185</v>
      </c>
      <c r="S16" s="29">
        <v>9.2425596877241603</v>
      </c>
      <c r="T16" s="29">
        <v>2.140720780851435</v>
      </c>
      <c r="U16" s="29">
        <f>'[3]Republic data'!$OF$292</f>
        <v>1.804490098291045</v>
      </c>
      <c r="V16" s="29">
        <v>-0.22951185944870556</v>
      </c>
      <c r="W16" s="2" t="s">
        <v>34</v>
      </c>
      <c r="AA16" s="122" t="s">
        <v>62</v>
      </c>
      <c r="AB16" s="122" t="s">
        <v>63</v>
      </c>
    </row>
    <row r="17" spans="1:42" s="30" customFormat="1" ht="15">
      <c r="A17" s="33" t="s">
        <v>35</v>
      </c>
      <c r="B17" s="121">
        <v>5.4378723050111919</v>
      </c>
      <c r="C17" s="26">
        <v>60.859975065826738</v>
      </c>
      <c r="D17" s="26">
        <v>63.749393784738366</v>
      </c>
      <c r="E17" s="27">
        <v>77.220453300900303</v>
      </c>
      <c r="F17" s="28">
        <v>77.979582923899997</v>
      </c>
      <c r="G17" s="28">
        <v>80.571924425587255</v>
      </c>
      <c r="H17" s="28">
        <v>91.644770975471246</v>
      </c>
      <c r="I17" s="28">
        <v>99.95473548796538</v>
      </c>
      <c r="J17" s="28">
        <v>102.17949400970934</v>
      </c>
      <c r="K17" s="28">
        <v>105.37961599773739</v>
      </c>
      <c r="L17" s="27">
        <v>102.92917404156066</v>
      </c>
      <c r="M17" s="27">
        <f>'[3]Republic data'!$OC$322</f>
        <v>101.34706519435288</v>
      </c>
      <c r="N17" s="574">
        <v>101.83981865912176</v>
      </c>
      <c r="O17" s="29">
        <v>3.3243849280613746</v>
      </c>
      <c r="P17" s="29">
        <v>13.742810077858314</v>
      </c>
      <c r="Q17" s="29">
        <v>9.0675817332974695</v>
      </c>
      <c r="R17" s="29">
        <v>2.2257660038646376</v>
      </c>
      <c r="S17" s="29">
        <v>3.1318632168250593</v>
      </c>
      <c r="T17" s="29">
        <v>-2.3253472058859526</v>
      </c>
      <c r="U17" s="29">
        <f>'[3]Republic data'!$OF$322</f>
        <v>-1.5370849537459153</v>
      </c>
      <c r="V17" s="29">
        <v>0.48620398017833466</v>
      </c>
      <c r="W17" s="2" t="s">
        <v>36</v>
      </c>
      <c r="Z17" s="30">
        <v>2007</v>
      </c>
      <c r="AA17" s="82">
        <f>D23</f>
        <v>64.807540880908348</v>
      </c>
      <c r="AB17" s="82">
        <f>D24</f>
        <v>67.18924401230818</v>
      </c>
      <c r="AC17" s="82"/>
    </row>
    <row r="18" spans="1:42" s="30" customFormat="1" ht="15">
      <c r="A18" s="33" t="s">
        <v>37</v>
      </c>
      <c r="B18" s="121">
        <v>4.7510307288693099</v>
      </c>
      <c r="C18" s="26">
        <v>115.34450273124089</v>
      </c>
      <c r="D18" s="26">
        <v>104.72754551977413</v>
      </c>
      <c r="E18" s="27">
        <v>100.9097966458598</v>
      </c>
      <c r="F18" s="28">
        <v>100.15439105359373</v>
      </c>
      <c r="G18" s="28">
        <v>100.38298344923554</v>
      </c>
      <c r="H18" s="28">
        <v>100.6195512642537</v>
      </c>
      <c r="I18" s="28">
        <v>100.00528180711392</v>
      </c>
      <c r="J18" s="28">
        <v>99.050815085253589</v>
      </c>
      <c r="K18" s="28">
        <v>100.28780520090577</v>
      </c>
      <c r="L18" s="27">
        <v>100.55782006117782</v>
      </c>
      <c r="M18" s="27">
        <f>'[3]Republic data'!$OC$348</f>
        <v>99.79368976091358</v>
      </c>
      <c r="N18" s="574">
        <v>99.659396804799613</v>
      </c>
      <c r="O18" s="29">
        <v>0.22824001348027423</v>
      </c>
      <c r="P18" s="29">
        <v>0.23566525609173272</v>
      </c>
      <c r="Q18" s="29">
        <v>-0.61048717612200987</v>
      </c>
      <c r="R18" s="29">
        <v>-0.95441631143169392</v>
      </c>
      <c r="S18" s="29">
        <v>1.2488439540729646</v>
      </c>
      <c r="T18" s="29">
        <v>0.26923997362504615</v>
      </c>
      <c r="U18" s="29">
        <f>'[3]Republic data'!$OF$348</f>
        <v>-0.75989147318363814</v>
      </c>
      <c r="V18" s="29">
        <v>-0.13457058901791275</v>
      </c>
      <c r="W18" s="2" t="s">
        <v>38</v>
      </c>
      <c r="Z18" s="30">
        <v>2008</v>
      </c>
      <c r="AA18" s="82">
        <f>E23</f>
        <v>72.611313924073201</v>
      </c>
      <c r="AB18" s="82">
        <f>E24</f>
        <v>75.385471686170362</v>
      </c>
      <c r="AC18" s="82"/>
    </row>
    <row r="19" spans="1:42" s="30" customFormat="1" ht="15">
      <c r="A19" s="34" t="s">
        <v>39</v>
      </c>
      <c r="B19" s="121">
        <v>5.1031994041341724</v>
      </c>
      <c r="C19" s="26">
        <v>94.874945972791352</v>
      </c>
      <c r="D19" s="26">
        <v>96.624178349214034</v>
      </c>
      <c r="E19" s="27">
        <v>90.077187080296483</v>
      </c>
      <c r="F19" s="28">
        <v>94.587232125872092</v>
      </c>
      <c r="G19" s="28">
        <v>100.01905005623114</v>
      </c>
      <c r="H19" s="28">
        <v>97.89290317146407</v>
      </c>
      <c r="I19" s="28">
        <v>99.531777140452178</v>
      </c>
      <c r="J19" s="28">
        <v>98.82807875047888</v>
      </c>
      <c r="K19" s="28">
        <v>102.2003441480955</v>
      </c>
      <c r="L19" s="27">
        <v>101.95630588932649</v>
      </c>
      <c r="M19" s="27">
        <f>'[3]Republic data'!$OC$360</f>
        <v>100.69713942933714</v>
      </c>
      <c r="N19" s="574">
        <v>100.58404074832116</v>
      </c>
      <c r="O19" s="29">
        <v>5.7426544875852192</v>
      </c>
      <c r="P19" s="29">
        <v>-2.1257419297341262</v>
      </c>
      <c r="Q19" s="29">
        <v>1.6741499290480188</v>
      </c>
      <c r="R19" s="29">
        <v>-0.70700876663770673</v>
      </c>
      <c r="S19" s="29">
        <v>3.4122543312117948</v>
      </c>
      <c r="T19" s="29">
        <v>-0.2387841849293415</v>
      </c>
      <c r="U19" s="29">
        <f>'[3]Republic data'!$OF$360</f>
        <v>-1.2350059655517276</v>
      </c>
      <c r="V19" s="29">
        <v>-0.1123156840968198</v>
      </c>
      <c r="W19" s="35" t="s">
        <v>40</v>
      </c>
      <c r="Z19" s="30">
        <v>2009</v>
      </c>
      <c r="AA19" s="82">
        <f>F23</f>
        <v>75.900734670117231</v>
      </c>
      <c r="AB19" s="82">
        <f>F24</f>
        <v>79.51493809042644</v>
      </c>
      <c r="AC19" s="82"/>
    </row>
    <row r="20" spans="1:42" s="30" customFormat="1" ht="15">
      <c r="A20" s="31" t="s">
        <v>12</v>
      </c>
      <c r="B20" s="121">
        <v>2.4983461177360984</v>
      </c>
      <c r="C20" s="26">
        <v>47.049388033467601</v>
      </c>
      <c r="D20" s="26">
        <v>48.13102192510862</v>
      </c>
      <c r="E20" s="27">
        <v>49.012472981378899</v>
      </c>
      <c r="F20" s="28">
        <v>66.212440093936394</v>
      </c>
      <c r="G20" s="28">
        <v>72.465176121953334</v>
      </c>
      <c r="H20" s="28">
        <v>85.752154766717368</v>
      </c>
      <c r="I20" s="28">
        <v>100.26897294373833</v>
      </c>
      <c r="J20" s="28">
        <v>105.75107702222947</v>
      </c>
      <c r="K20" s="28">
        <v>110.56855328746506</v>
      </c>
      <c r="L20" s="27">
        <v>119.00762505009182</v>
      </c>
      <c r="M20" s="27">
        <f>'[3]Republic data'!$OC$405</f>
        <v>124.80292719209795</v>
      </c>
      <c r="N20" s="574">
        <v>130.07859259520549</v>
      </c>
      <c r="O20" s="29">
        <v>9.4434460037209114</v>
      </c>
      <c r="P20" s="29">
        <v>18.335674258768186</v>
      </c>
      <c r="Q20" s="29">
        <v>16.928808630538718</v>
      </c>
      <c r="R20" s="29">
        <v>5.4673982564548584</v>
      </c>
      <c r="S20" s="29">
        <v>4.5554867154903089</v>
      </c>
      <c r="T20" s="29">
        <v>7.6324339169801414</v>
      </c>
      <c r="U20" s="29">
        <f>'[3]Republic data'!$OF$405</f>
        <v>4.8696897695142072</v>
      </c>
      <c r="V20" s="29">
        <v>4.2271968469034249</v>
      </c>
      <c r="W20" s="35" t="s">
        <v>13</v>
      </c>
      <c r="Z20" s="30">
        <v>2010</v>
      </c>
      <c r="AA20" s="82">
        <f>G23</f>
        <v>80.568542845421106</v>
      </c>
      <c r="AB20" s="124">
        <f>G24</f>
        <v>84.338371332150743</v>
      </c>
      <c r="AC20" s="82"/>
    </row>
    <row r="21" spans="1:42" s="30" customFormat="1" ht="15">
      <c r="A21" s="31" t="s">
        <v>41</v>
      </c>
      <c r="B21" s="121">
        <v>3.0243474234302665</v>
      </c>
      <c r="C21" s="26">
        <v>49.094342913656533</v>
      </c>
      <c r="D21" s="26">
        <v>57.310377045571919</v>
      </c>
      <c r="E21" s="27">
        <v>66.268774405103429</v>
      </c>
      <c r="F21" s="28">
        <v>67.972496509520113</v>
      </c>
      <c r="G21" s="28">
        <v>70.167294544238487</v>
      </c>
      <c r="H21" s="28">
        <v>81.124231104476152</v>
      </c>
      <c r="I21" s="28">
        <v>103.56604942649903</v>
      </c>
      <c r="J21" s="28">
        <v>115.92908544747458</v>
      </c>
      <c r="K21" s="28">
        <v>121.3287709962447</v>
      </c>
      <c r="L21" s="27">
        <v>121.06073734975051</v>
      </c>
      <c r="M21" s="27">
        <f>'[3]Republic data'!$OC$421</f>
        <v>123.14673548135868</v>
      </c>
      <c r="N21" s="574">
        <v>125.6295963585136</v>
      </c>
      <c r="O21" s="29">
        <v>3.2289501598796955</v>
      </c>
      <c r="P21" s="29">
        <v>15.615446813799583</v>
      </c>
      <c r="Q21" s="29">
        <v>27.663520524615027</v>
      </c>
      <c r="R21" s="29">
        <v>11.937344418790063</v>
      </c>
      <c r="S21" s="29">
        <v>4.6577487676434881</v>
      </c>
      <c r="T21" s="29">
        <v>-0.22091515828713826</v>
      </c>
      <c r="U21" s="29">
        <f>'[3]Republic data'!$OF$421</f>
        <v>1.7231004678103012</v>
      </c>
      <c r="V21" s="29">
        <v>2.0161808329306252</v>
      </c>
      <c r="W21" s="35" t="s">
        <v>42</v>
      </c>
      <c r="Z21" s="30">
        <v>2011</v>
      </c>
      <c r="AA21" s="82">
        <f>H23</f>
        <v>89.651368722070842</v>
      </c>
      <c r="AB21" s="124">
        <f>H24</f>
        <v>91.679051572020867</v>
      </c>
      <c r="AC21" s="82"/>
    </row>
    <row r="22" spans="1:42" s="30" customFormat="1" ht="15">
      <c r="A22" s="34" t="s">
        <v>43</v>
      </c>
      <c r="B22" s="121">
        <v>7.1810709833581452</v>
      </c>
      <c r="C22" s="26">
        <v>66.045812015945941</v>
      </c>
      <c r="D22" s="26">
        <v>67.578746700557247</v>
      </c>
      <c r="E22" s="27">
        <v>71.846737489273423</v>
      </c>
      <c r="F22" s="28">
        <v>76.948539555294857</v>
      </c>
      <c r="G22" s="28">
        <v>80.738363693637908</v>
      </c>
      <c r="H22" s="28">
        <v>86.725904563278689</v>
      </c>
      <c r="I22" s="28">
        <v>100.59989156921542</v>
      </c>
      <c r="J22" s="28">
        <v>99.01609787482279</v>
      </c>
      <c r="K22" s="28">
        <v>98.892634758290214</v>
      </c>
      <c r="L22" s="27">
        <v>98.735605526974709</v>
      </c>
      <c r="M22" s="27">
        <f>'[3]Republic data'!$OC$438</f>
        <v>98.469134997835681</v>
      </c>
      <c r="N22" s="574">
        <v>98.317889337161489</v>
      </c>
      <c r="O22" s="29">
        <v>4.9251410881160362</v>
      </c>
      <c r="P22" s="29">
        <v>7.4159799576327012</v>
      </c>
      <c r="Q22" s="29">
        <v>15.997512018815229</v>
      </c>
      <c r="R22" s="29">
        <v>-1.5743493056381008</v>
      </c>
      <c r="S22" s="29">
        <v>-0.12468994353691532</v>
      </c>
      <c r="T22" s="29">
        <v>-0.15878758989413821</v>
      </c>
      <c r="U22" s="29">
        <f>'[3]Republic data'!$OF$438</f>
        <v>-0.2698829137845582</v>
      </c>
      <c r="V22" s="29">
        <v>-0.15359702375522533</v>
      </c>
      <c r="W22" s="125" t="s">
        <v>74</v>
      </c>
      <c r="Z22" s="30">
        <v>2012</v>
      </c>
      <c r="AA22" s="82">
        <f>I23</f>
        <v>99.409647361204449</v>
      </c>
      <c r="AB22" s="124">
        <f>I24</f>
        <v>100.14126599840249</v>
      </c>
    </row>
    <row r="23" spans="1:42" s="41" customFormat="1" ht="15">
      <c r="A23" s="36" t="s">
        <v>69</v>
      </c>
      <c r="B23" s="126">
        <f>SUM(B8,B12:B13,B11,B15:B22)</f>
        <v>100.00000000000003</v>
      </c>
      <c r="C23" s="37">
        <v>60.684187749186492</v>
      </c>
      <c r="D23" s="37">
        <v>64.807540880908348</v>
      </c>
      <c r="E23" s="38">
        <v>72.611313924073201</v>
      </c>
      <c r="F23" s="38">
        <v>75.900734670117231</v>
      </c>
      <c r="G23" s="38">
        <v>80.568542845421106</v>
      </c>
      <c r="H23" s="38">
        <v>89.651368722070842</v>
      </c>
      <c r="I23" s="38">
        <v>99.409647361204449</v>
      </c>
      <c r="J23" s="38">
        <v>103.19281073321666</v>
      </c>
      <c r="K23" s="38">
        <v>105.38050013404563</v>
      </c>
      <c r="L23" s="38">
        <v>106.38499407837655</v>
      </c>
      <c r="M23" s="38">
        <f>'[3]Republic data'!$OC$3</f>
        <v>106.91958868829052</v>
      </c>
      <c r="N23" s="575">
        <v>109.93201964009602</v>
      </c>
      <c r="O23" s="39">
        <v>6.1498853675017617</v>
      </c>
      <c r="P23" s="39">
        <v>11.273414605593723</v>
      </c>
      <c r="Q23" s="39">
        <v>10.884695658563071</v>
      </c>
      <c r="R23" s="39">
        <v>3.8056300091942941</v>
      </c>
      <c r="S23" s="39">
        <v>2.1200017571813001</v>
      </c>
      <c r="T23" s="39">
        <v>0.95</v>
      </c>
      <c r="U23" s="39">
        <f>'[3]Republic data'!$OF$3</f>
        <v>0.50250941361158485</v>
      </c>
      <c r="V23" s="39">
        <v>2.8174733823451481</v>
      </c>
      <c r="W23" s="40" t="s">
        <v>14</v>
      </c>
      <c r="Z23" s="41">
        <v>2013</v>
      </c>
      <c r="AA23" s="127">
        <f>J23</f>
        <v>103.19281073321666</v>
      </c>
      <c r="AB23" s="127">
        <f>J24</f>
        <v>103.07423491391059</v>
      </c>
    </row>
    <row r="24" spans="1:42" s="45" customFormat="1" ht="15">
      <c r="A24" s="42" t="s">
        <v>70</v>
      </c>
      <c r="B24" s="128">
        <f>B23-B10</f>
        <v>91.353666078543981</v>
      </c>
      <c r="C24" s="43">
        <v>64.052485645287277</v>
      </c>
      <c r="D24" s="43">
        <v>67.18924401230818</v>
      </c>
      <c r="E24" s="43">
        <v>75.385471686170362</v>
      </c>
      <c r="F24" s="43">
        <v>79.51493809042644</v>
      </c>
      <c r="G24" s="43">
        <v>84.338371332150743</v>
      </c>
      <c r="H24" s="43">
        <v>91.679051572020867</v>
      </c>
      <c r="I24" s="43">
        <v>100.14126599840249</v>
      </c>
      <c r="J24" s="43">
        <v>103.07423491391059</v>
      </c>
      <c r="K24" s="43">
        <v>105.29983112357628</v>
      </c>
      <c r="L24" s="43">
        <v>106.44622541898161</v>
      </c>
      <c r="M24" s="43">
        <f>'[3]Republic data'!$OC$484</f>
        <v>107.1902747590181</v>
      </c>
      <c r="N24" s="576">
        <v>110.17175267946645</v>
      </c>
      <c r="O24" s="43">
        <v>6.0660718068332953</v>
      </c>
      <c r="P24" s="43">
        <v>8.7038439608470028</v>
      </c>
      <c r="Q24" s="43">
        <v>9.2302595645133998</v>
      </c>
      <c r="R24" s="43">
        <v>2.9288314724869702</v>
      </c>
      <c r="S24" s="43">
        <v>2.159216812546938</v>
      </c>
      <c r="T24" s="43">
        <v>1.0900000000000001</v>
      </c>
      <c r="U24" s="43">
        <f>'[3]Republic data'!$OF$484</f>
        <v>0.69899081635618199</v>
      </c>
      <c r="V24" s="43">
        <v>2.7814817409053338</v>
      </c>
      <c r="W24" s="44" t="s">
        <v>54</v>
      </c>
      <c r="Z24" s="41">
        <v>2014</v>
      </c>
      <c r="AA24" s="127">
        <f>K23</f>
        <v>105.38050013404563</v>
      </c>
      <c r="AB24" s="127">
        <f>K24</f>
        <v>105.29983112357628</v>
      </c>
    </row>
    <row r="25" spans="1:42" s="133" customFormat="1" ht="15.75" customHeight="1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265"/>
      <c r="M25" s="265"/>
      <c r="N25" s="552"/>
      <c r="O25" s="130"/>
      <c r="P25" s="130"/>
      <c r="Q25" s="130"/>
      <c r="R25" s="130"/>
      <c r="S25" s="130"/>
      <c r="T25" s="130"/>
      <c r="U25" s="130"/>
      <c r="V25" s="130"/>
      <c r="W25" s="131"/>
      <c r="X25" s="132"/>
      <c r="Y25" s="130"/>
      <c r="Z25" s="41">
        <v>2015</v>
      </c>
      <c r="AA25" s="127">
        <f>L23</f>
        <v>106.38499407837655</v>
      </c>
      <c r="AB25" s="127">
        <f>L24</f>
        <v>106.44622541898161</v>
      </c>
    </row>
    <row r="26" spans="1:42" ht="21" customHeight="1">
      <c r="A26" s="19"/>
      <c r="B26" s="618" t="s">
        <v>52</v>
      </c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566"/>
      <c r="N26" s="391"/>
      <c r="O26" s="624" t="s">
        <v>325</v>
      </c>
      <c r="P26" s="625"/>
      <c r="Q26" s="625"/>
      <c r="R26" s="625"/>
      <c r="S26" s="625"/>
      <c r="T26" s="625"/>
      <c r="U26" s="625"/>
      <c r="V26" s="625"/>
      <c r="W26" s="23"/>
      <c r="Z26" s="41">
        <v>2016</v>
      </c>
      <c r="AA26" s="127">
        <f>M23</f>
        <v>106.91958868829052</v>
      </c>
      <c r="AB26" s="127">
        <f>M24</f>
        <v>107.1902747590181</v>
      </c>
    </row>
    <row r="27" spans="1:42" ht="28.5" customHeight="1">
      <c r="A27" s="65" t="s">
        <v>44</v>
      </c>
      <c r="B27" s="619"/>
      <c r="C27" s="623"/>
      <c r="D27" s="623"/>
      <c r="E27" s="623"/>
      <c r="F27" s="623"/>
      <c r="G27" s="623"/>
      <c r="H27" s="623"/>
      <c r="I27" s="623"/>
      <c r="J27" s="623"/>
      <c r="K27" s="623"/>
      <c r="L27" s="623"/>
      <c r="M27" s="567"/>
      <c r="N27" s="499"/>
      <c r="O27" s="626" t="s">
        <v>326</v>
      </c>
      <c r="P27" s="627"/>
      <c r="Q27" s="627"/>
      <c r="R27" s="627"/>
      <c r="S27" s="627"/>
      <c r="T27" s="627"/>
      <c r="U27" s="627"/>
      <c r="V27" s="627"/>
      <c r="W27" s="114" t="s">
        <v>45</v>
      </c>
      <c r="Z27" s="41">
        <v>2017</v>
      </c>
      <c r="AA27" s="127">
        <f>N23</f>
        <v>109.93201964009602</v>
      </c>
      <c r="AB27" s="127">
        <f>N24</f>
        <v>110.17175267946645</v>
      </c>
    </row>
    <row r="28" spans="1:42">
      <c r="A28" s="137"/>
      <c r="B28" s="138" t="s">
        <v>8</v>
      </c>
      <c r="C28" s="139">
        <v>2006</v>
      </c>
      <c r="D28" s="139">
        <v>2007</v>
      </c>
      <c r="E28" s="139">
        <v>2008</v>
      </c>
      <c r="F28" s="139">
        <v>2009</v>
      </c>
      <c r="G28" s="139">
        <v>2010</v>
      </c>
      <c r="H28" s="139">
        <v>2011</v>
      </c>
      <c r="I28" s="139">
        <v>2012</v>
      </c>
      <c r="J28" s="139">
        <v>2013</v>
      </c>
      <c r="K28" s="139">
        <v>2014</v>
      </c>
      <c r="L28" s="266">
        <v>2015</v>
      </c>
      <c r="M28" s="52">
        <v>2016</v>
      </c>
      <c r="N28" s="392">
        <v>2017</v>
      </c>
      <c r="O28" s="140">
        <v>2010</v>
      </c>
      <c r="P28" s="140">
        <v>2011</v>
      </c>
      <c r="Q28" s="140">
        <v>2012</v>
      </c>
      <c r="R28" s="140">
        <v>2013</v>
      </c>
      <c r="S28" s="120">
        <v>2014</v>
      </c>
      <c r="T28" s="52">
        <v>2015</v>
      </c>
      <c r="U28" s="52">
        <v>2016</v>
      </c>
      <c r="V28" s="52">
        <v>2017</v>
      </c>
      <c r="W28" s="54"/>
      <c r="AA28" s="182"/>
    </row>
    <row r="29" spans="1:42" s="63" customFormat="1" ht="18" customHeight="1">
      <c r="A29" s="25" t="s">
        <v>55</v>
      </c>
      <c r="B29" s="121">
        <v>23.78411261195577</v>
      </c>
      <c r="C29" s="26">
        <v>46.54226956659236</v>
      </c>
      <c r="D29" s="26">
        <v>54.070703301292049</v>
      </c>
      <c r="E29" s="27">
        <v>64.381973226397193</v>
      </c>
      <c r="F29" s="28">
        <v>64.715472651196961</v>
      </c>
      <c r="G29" s="28">
        <v>69.554480633976965</v>
      </c>
      <c r="H29" s="28">
        <v>83.416709968576413</v>
      </c>
      <c r="I29" s="28">
        <v>98.167408450774488</v>
      </c>
      <c r="J29" s="28">
        <v>105.5418979724201</v>
      </c>
      <c r="K29" s="28">
        <v>106.60711823254361</v>
      </c>
      <c r="L29" s="257">
        <v>107.44921725072059</v>
      </c>
      <c r="M29" s="257">
        <f>[3]Male!$OC$4</f>
        <v>106.21438956055287</v>
      </c>
      <c r="N29" s="573">
        <v>109.84186445841966</v>
      </c>
      <c r="O29" s="29">
        <v>7.4773586354862198</v>
      </c>
      <c r="P29" s="29">
        <v>19.930030687092536</v>
      </c>
      <c r="Q29" s="29">
        <v>17.683145844225635</v>
      </c>
      <c r="R29" s="29">
        <v>7.5121566699435816</v>
      </c>
      <c r="S29" s="28">
        <v>1.0092866251105947</v>
      </c>
      <c r="T29" s="29">
        <v>0.78990880922238382</v>
      </c>
      <c r="U29" s="29">
        <f>[3]Male!$OF$4</f>
        <v>-1.1492198098441153</v>
      </c>
      <c r="V29" s="29">
        <v>3.4152386629297204</v>
      </c>
      <c r="W29" s="2" t="s">
        <v>57</v>
      </c>
      <c r="X29" s="141"/>
      <c r="Z29" s="7"/>
      <c r="AA29" s="7"/>
      <c r="AB29" s="7"/>
      <c r="AC29" s="142"/>
      <c r="AD29" s="142"/>
      <c r="AE29" s="142"/>
      <c r="AF29" s="142"/>
      <c r="AG29" s="142"/>
      <c r="AH29" s="142"/>
      <c r="AI29" s="143"/>
      <c r="AL29" s="70"/>
      <c r="AM29" s="70"/>
      <c r="AN29" s="70"/>
      <c r="AO29" s="144"/>
      <c r="AP29" s="70"/>
    </row>
    <row r="30" spans="1:42" s="63" customFormat="1" ht="18" customHeight="1">
      <c r="A30" s="25" t="s">
        <v>56</v>
      </c>
      <c r="B30" s="121">
        <f>B29-B31</f>
        <v>16.141190180918223</v>
      </c>
      <c r="C30" s="26">
        <v>56.866771691184077</v>
      </c>
      <c r="D30" s="26">
        <v>62.767090501684173</v>
      </c>
      <c r="E30" s="27">
        <v>76.153290746199403</v>
      </c>
      <c r="F30" s="28">
        <v>78.381813378991197</v>
      </c>
      <c r="G30" s="28">
        <v>84.204150454829019</v>
      </c>
      <c r="H30" s="28">
        <v>94.794400673064558</v>
      </c>
      <c r="I30" s="28">
        <v>99.776621425288184</v>
      </c>
      <c r="J30" s="28">
        <v>106.34377466951754</v>
      </c>
      <c r="K30" s="28">
        <v>106.61664175076959</v>
      </c>
      <c r="L30" s="27">
        <v>108.00177303732585</v>
      </c>
      <c r="M30" s="27">
        <f>[3]Male!$OC$485</f>
        <v>108.54418419912565</v>
      </c>
      <c r="N30" s="574">
        <v>114.09709413054804</v>
      </c>
      <c r="O30" s="29">
        <v>7.4281734816285638</v>
      </c>
      <c r="P30" s="29">
        <v>12.576874371432133</v>
      </c>
      <c r="Q30" s="29">
        <v>5.2558175555186493</v>
      </c>
      <c r="R30" s="29">
        <v>6.5818556996809052</v>
      </c>
      <c r="S30" s="28">
        <v>0.25658961429573246</v>
      </c>
      <c r="T30" s="29">
        <v>1.2991698704918786</v>
      </c>
      <c r="U30" s="29">
        <f>[3]Male!$OF$485</f>
        <v>0.50222431219935082</v>
      </c>
      <c r="V30" s="29">
        <v>5.1158060400873229</v>
      </c>
      <c r="W30" s="2" t="s">
        <v>58</v>
      </c>
      <c r="X30" s="141"/>
      <c r="Z30" s="7"/>
      <c r="AA30" s="182"/>
      <c r="AB30" s="7"/>
      <c r="AC30" s="145"/>
      <c r="AD30" s="145"/>
      <c r="AE30" s="145"/>
      <c r="AF30" s="145"/>
      <c r="AG30" s="145"/>
      <c r="AH30" s="145"/>
      <c r="AI30" s="143"/>
      <c r="AL30" s="70"/>
      <c r="AM30" s="70"/>
      <c r="AN30" s="70"/>
      <c r="AO30" s="144"/>
      <c r="AP30" s="70"/>
    </row>
    <row r="31" spans="1:42" s="63" customFormat="1" ht="15">
      <c r="A31" s="31" t="s">
        <v>9</v>
      </c>
      <c r="B31" s="121">
        <v>7.6429224310375492</v>
      </c>
      <c r="C31" s="26">
        <v>22.898483196595674</v>
      </c>
      <c r="D31" s="26">
        <v>34.155406788630842</v>
      </c>
      <c r="E31" s="27">
        <v>37.424884799955599</v>
      </c>
      <c r="F31" s="28">
        <v>33.418656908585071</v>
      </c>
      <c r="G31" s="28">
        <v>36.005776836416281</v>
      </c>
      <c r="H31" s="28">
        <v>57.361052741283949</v>
      </c>
      <c r="I31" s="28">
        <v>94.406157167404913</v>
      </c>
      <c r="J31" s="28">
        <v>103.84840384287946</v>
      </c>
      <c r="K31" s="28">
        <v>106.58700538693205</v>
      </c>
      <c r="L31" s="27">
        <v>106.28226728915327</v>
      </c>
      <c r="M31" s="27">
        <f>[3]Male!$OC$38</f>
        <v>101.29406507957015</v>
      </c>
      <c r="N31" s="574">
        <v>100.85518795855286</v>
      </c>
      <c r="O31" s="29">
        <v>7.7415436979054508</v>
      </c>
      <c r="P31" s="29">
        <v>59.310693397590896</v>
      </c>
      <c r="Q31" s="29">
        <v>64.582330092869483</v>
      </c>
      <c r="R31" s="29">
        <v>10.001727597842125</v>
      </c>
      <c r="S31" s="28">
        <v>2.6371147198333666</v>
      </c>
      <c r="T31" s="29">
        <v>-0.28590548788993697</v>
      </c>
      <c r="U31" s="29">
        <f>[3]Male!$OF$38</f>
        <v>-4.6933532157458995</v>
      </c>
      <c r="V31" s="29">
        <v>-0.43327032109189423</v>
      </c>
      <c r="W31" s="2" t="s">
        <v>10</v>
      </c>
      <c r="X31" s="141"/>
      <c r="Y31" s="145"/>
      <c r="Z31" s="7"/>
      <c r="AA31" s="182"/>
      <c r="AB31" s="7"/>
      <c r="AC31" s="145"/>
      <c r="AD31" s="145"/>
      <c r="AE31" s="145"/>
      <c r="AF31" s="145"/>
      <c r="AG31" s="145"/>
      <c r="AH31" s="145"/>
      <c r="AI31" s="143"/>
      <c r="AL31" s="70"/>
      <c r="AM31" s="70"/>
      <c r="AN31" s="70"/>
      <c r="AO31" s="144"/>
      <c r="AP31" s="70"/>
    </row>
    <row r="32" spans="1:42" s="63" customFormat="1" ht="15">
      <c r="A32" s="31" t="s">
        <v>51</v>
      </c>
      <c r="B32" s="121">
        <v>1.2551264274393874</v>
      </c>
      <c r="C32" s="26">
        <v>49.327553362016907</v>
      </c>
      <c r="D32" s="26">
        <v>49.926435555846972</v>
      </c>
      <c r="E32" s="27">
        <v>51.632567552779186</v>
      </c>
      <c r="F32" s="28">
        <v>50.700704461040182</v>
      </c>
      <c r="G32" s="28">
        <v>50.532891620339313</v>
      </c>
      <c r="H32" s="28">
        <v>64.296766109008189</v>
      </c>
      <c r="I32" s="28">
        <v>101.10997281948137</v>
      </c>
      <c r="J32" s="28">
        <v>98.191752361218789</v>
      </c>
      <c r="K32" s="28">
        <v>101.20504904236994</v>
      </c>
      <c r="L32" s="27">
        <v>116.20524691029136</v>
      </c>
      <c r="M32" s="27">
        <f>[3]Male!$OC$156</f>
        <v>119.42144298997056</v>
      </c>
      <c r="N32" s="574">
        <v>153.44593309791097</v>
      </c>
      <c r="O32" s="29">
        <v>-0.33098719728800186</v>
      </c>
      <c r="P32" s="29">
        <v>27.237456728340014</v>
      </c>
      <c r="Q32" s="29">
        <v>57.255145069132077</v>
      </c>
      <c r="R32" s="29">
        <v>-2.8861845937518726</v>
      </c>
      <c r="S32" s="28">
        <v>3.068787967105524</v>
      </c>
      <c r="T32" s="29">
        <v>14.821590434328558</v>
      </c>
      <c r="U32" s="29">
        <f>[3]Male!$OF$156</f>
        <v>2.7676857673750721</v>
      </c>
      <c r="V32" s="29">
        <v>28.491106166585102</v>
      </c>
      <c r="W32" s="2" t="s">
        <v>30</v>
      </c>
      <c r="X32" s="141"/>
      <c r="Y32" s="145"/>
      <c r="Z32" s="7"/>
      <c r="AA32" s="182"/>
      <c r="AB32" s="7"/>
      <c r="AC32" s="145"/>
      <c r="AD32" s="145"/>
      <c r="AE32" s="145"/>
      <c r="AF32" s="145"/>
      <c r="AG32" s="145"/>
      <c r="AH32" s="145"/>
      <c r="AI32" s="143"/>
      <c r="AL32" s="70"/>
      <c r="AM32" s="70"/>
      <c r="AN32" s="70"/>
      <c r="AO32" s="144"/>
      <c r="AP32" s="70"/>
    </row>
    <row r="33" spans="1:42" s="63" customFormat="1" ht="15">
      <c r="A33" s="31" t="s">
        <v>11</v>
      </c>
      <c r="B33" s="121">
        <v>3.325234690971965</v>
      </c>
      <c r="C33" s="26">
        <v>67.493428550865232</v>
      </c>
      <c r="D33" s="26">
        <v>66.522696340505789</v>
      </c>
      <c r="E33" s="27">
        <v>68.251967675022911</v>
      </c>
      <c r="F33" s="28">
        <v>70.445891756658199</v>
      </c>
      <c r="G33" s="28">
        <v>72.534285938334179</v>
      </c>
      <c r="H33" s="28">
        <v>81.881292827210913</v>
      </c>
      <c r="I33" s="28">
        <v>98.218343825881036</v>
      </c>
      <c r="J33" s="28">
        <v>99.664487530793849</v>
      </c>
      <c r="K33" s="28">
        <v>99.988590307242035</v>
      </c>
      <c r="L33" s="27">
        <v>99.014648713762881</v>
      </c>
      <c r="M33" s="27">
        <f>[3]Male!$OC$167</f>
        <v>98.190748488110202</v>
      </c>
      <c r="N33" s="574">
        <v>97.817675747130053</v>
      </c>
      <c r="O33" s="29">
        <v>2.964536511071425</v>
      </c>
      <c r="P33" s="29">
        <v>12.886329227564453</v>
      </c>
      <c r="Q33" s="29">
        <v>19.95211657581568</v>
      </c>
      <c r="R33" s="29">
        <v>1.4723763897673825</v>
      </c>
      <c r="S33" s="28">
        <v>0.32519384233831161</v>
      </c>
      <c r="T33" s="29">
        <v>-0.97405272990294112</v>
      </c>
      <c r="U33" s="29">
        <f>[3]Male!$OF$167</f>
        <v>-0.83209932707477563</v>
      </c>
      <c r="V33" s="29">
        <v>-0.37994693667634527</v>
      </c>
      <c r="W33" s="2" t="s">
        <v>31</v>
      </c>
      <c r="X33" s="141"/>
      <c r="Y33" s="145"/>
      <c r="Z33" s="7"/>
      <c r="AA33" s="182"/>
      <c r="AB33" s="7"/>
      <c r="AC33" s="145"/>
      <c r="AD33" s="145"/>
      <c r="AE33" s="145"/>
      <c r="AF33" s="145"/>
      <c r="AG33" s="145"/>
      <c r="AH33" s="145"/>
      <c r="AI33" s="143"/>
      <c r="AL33" s="70"/>
      <c r="AM33" s="70"/>
      <c r="AN33" s="70"/>
      <c r="AO33" s="144"/>
      <c r="AP33" s="70"/>
    </row>
    <row r="34" spans="1:42" s="63" customFormat="1" ht="15">
      <c r="A34" s="31" t="s">
        <v>67</v>
      </c>
      <c r="B34" s="121">
        <v>33.253292498580983</v>
      </c>
      <c r="C34" s="26">
        <v>70.128284933346336</v>
      </c>
      <c r="D34" s="26">
        <v>72.790167958905229</v>
      </c>
      <c r="E34" s="27">
        <v>80.824789456236729</v>
      </c>
      <c r="F34" s="28">
        <v>87.147430127106858</v>
      </c>
      <c r="G34" s="28">
        <v>93.758762276598645</v>
      </c>
      <c r="H34" s="28">
        <v>96.487654366096692</v>
      </c>
      <c r="I34" s="28">
        <v>100.00377000426182</v>
      </c>
      <c r="J34" s="28">
        <v>103.95006675159617</v>
      </c>
      <c r="K34" s="28">
        <v>107.01057323330696</v>
      </c>
      <c r="L34" s="27">
        <v>109.61354663249911</v>
      </c>
      <c r="M34" s="27">
        <f>[3]Male!$OC$207</f>
        <v>111.78087632908641</v>
      </c>
      <c r="N34" s="574">
        <v>114.83955338142039</v>
      </c>
      <c r="O34" s="29">
        <v>7.5863764884965379</v>
      </c>
      <c r="P34" s="29">
        <v>2.9105461966824064</v>
      </c>
      <c r="Q34" s="29">
        <v>3.6441093539533842</v>
      </c>
      <c r="R34" s="29">
        <v>3.9461479773874153</v>
      </c>
      <c r="S34" s="28">
        <v>2.9442082889896692</v>
      </c>
      <c r="T34" s="29">
        <v>2.4324450571039158</v>
      </c>
      <c r="U34" s="29">
        <f>[3]Male!$OF$207</f>
        <v>1.9772462101365074</v>
      </c>
      <c r="V34" s="29">
        <v>2.7363151486924586</v>
      </c>
      <c r="W34" s="2" t="s">
        <v>32</v>
      </c>
      <c r="X34" s="141"/>
      <c r="Y34" s="145"/>
      <c r="Z34" s="7"/>
      <c r="AA34" s="182"/>
      <c r="AB34" s="7"/>
      <c r="AC34" s="145"/>
      <c r="AD34" s="145"/>
      <c r="AE34" s="145"/>
      <c r="AF34" s="145"/>
      <c r="AG34" s="145"/>
      <c r="AH34" s="145"/>
      <c r="AI34" s="143"/>
      <c r="AL34" s="70"/>
      <c r="AM34" s="70"/>
      <c r="AN34" s="70"/>
      <c r="AO34" s="144"/>
      <c r="AP34" s="70"/>
    </row>
    <row r="35" spans="1:42" s="63" customFormat="1" ht="15">
      <c r="A35" s="31" t="s">
        <v>68</v>
      </c>
      <c r="B35" s="121">
        <v>24.01513195689877</v>
      </c>
      <c r="C35" s="26">
        <v>64.647461828276832</v>
      </c>
      <c r="D35" s="26">
        <v>67.343842950624648</v>
      </c>
      <c r="E35" s="27">
        <v>74.851279000594886</v>
      </c>
      <c r="F35" s="28">
        <v>85.550267697798958</v>
      </c>
      <c r="G35" s="28">
        <v>91.040551259171139</v>
      </c>
      <c r="H35" s="28">
        <v>95.103608962918898</v>
      </c>
      <c r="I35" s="28">
        <v>100.09393014432733</v>
      </c>
      <c r="J35" s="28">
        <v>104.20681505043228</v>
      </c>
      <c r="K35" s="28">
        <v>108.38813271909099</v>
      </c>
      <c r="L35" s="27">
        <v>113.03365604700161</v>
      </c>
      <c r="M35" s="27">
        <f>[3]Male!$OC$209</f>
        <v>117.41374229948713</v>
      </c>
      <c r="N35" s="574">
        <v>122.83526593997867</v>
      </c>
      <c r="O35" s="29">
        <v>6.4176111999628915</v>
      </c>
      <c r="P35" s="29">
        <v>4.4629098215598351</v>
      </c>
      <c r="Q35" s="29">
        <v>5.2472469087415652</v>
      </c>
      <c r="R35" s="29">
        <v>4.1090252927170612</v>
      </c>
      <c r="S35" s="28">
        <v>4.012518439062851</v>
      </c>
      <c r="T35" s="29">
        <v>4.2860073435810664</v>
      </c>
      <c r="U35" s="29">
        <f>[3]Male!$OF$209</f>
        <v>3.8750283815151443</v>
      </c>
      <c r="V35" s="29">
        <v>4.6174523819050739</v>
      </c>
      <c r="W35" s="72" t="s">
        <v>73</v>
      </c>
      <c r="X35" s="141"/>
      <c r="Y35" s="145"/>
      <c r="Z35" s="7"/>
      <c r="AA35" s="182"/>
      <c r="AB35" s="7"/>
      <c r="AC35" s="145"/>
      <c r="AD35" s="145"/>
      <c r="AE35" s="145"/>
      <c r="AF35" s="145"/>
      <c r="AG35" s="145"/>
      <c r="AH35" s="145"/>
      <c r="AI35" s="143"/>
      <c r="AL35" s="70"/>
      <c r="AM35" s="70"/>
      <c r="AN35" s="70"/>
      <c r="AO35" s="144"/>
      <c r="AP35" s="70"/>
    </row>
    <row r="36" spans="1:42" s="63" customFormat="1" ht="25.5">
      <c r="A36" s="25" t="s">
        <v>50</v>
      </c>
      <c r="B36" s="121">
        <v>7.3787368723932971</v>
      </c>
      <c r="C36" s="26">
        <v>62.787235480784801</v>
      </c>
      <c r="D36" s="26">
        <v>65.996050857083574</v>
      </c>
      <c r="E36" s="27">
        <v>68.380911967950468</v>
      </c>
      <c r="F36" s="28">
        <v>75.858602553560274</v>
      </c>
      <c r="G36" s="28">
        <v>80.397772506783596</v>
      </c>
      <c r="H36" s="28">
        <v>83.774232067142066</v>
      </c>
      <c r="I36" s="28">
        <v>98.524372725422779</v>
      </c>
      <c r="J36" s="28">
        <v>96.547282672985318</v>
      </c>
      <c r="K36" s="28">
        <v>93.814065718362556</v>
      </c>
      <c r="L36" s="27">
        <v>94.620620411023353</v>
      </c>
      <c r="M36" s="27">
        <f>[3]Male!$OC$240</f>
        <v>96.196125798305104</v>
      </c>
      <c r="N36" s="574">
        <v>97.823903613179155</v>
      </c>
      <c r="O36" s="29">
        <v>5.9837247199728161</v>
      </c>
      <c r="P36" s="29">
        <v>4.1996929206882916</v>
      </c>
      <c r="Q36" s="29">
        <v>17.60701386848762</v>
      </c>
      <c r="R36" s="29">
        <v>-2.0067014868974664</v>
      </c>
      <c r="S36" s="28">
        <v>-2.8309620726255202</v>
      </c>
      <c r="T36" s="29">
        <v>0.85973748870680211</v>
      </c>
      <c r="U36" s="29">
        <f>[3]Male!$OF$240</f>
        <v>1.6650761540538461</v>
      </c>
      <c r="V36" s="29">
        <v>1.6921448773176362</v>
      </c>
      <c r="W36" s="2" t="s">
        <v>53</v>
      </c>
      <c r="X36" s="141"/>
      <c r="Y36" s="145"/>
      <c r="Z36" s="7"/>
      <c r="AA36" s="182"/>
      <c r="AB36" s="7"/>
      <c r="AC36" s="145"/>
      <c r="AD36" s="145"/>
      <c r="AE36" s="145"/>
      <c r="AF36" s="145"/>
      <c r="AG36" s="145"/>
      <c r="AH36" s="145"/>
      <c r="AI36" s="143"/>
      <c r="AL36" s="70"/>
      <c r="AM36" s="70"/>
      <c r="AN36" s="70"/>
      <c r="AO36" s="144"/>
      <c r="AP36" s="70"/>
    </row>
    <row r="37" spans="1:42" s="63" customFormat="1" ht="15">
      <c r="A37" s="33" t="s">
        <v>33</v>
      </c>
      <c r="B37" s="121">
        <v>3.3443838651865483</v>
      </c>
      <c r="C37" s="26">
        <v>87.683380878679159</v>
      </c>
      <c r="D37" s="26">
        <v>95.725018168451655</v>
      </c>
      <c r="E37" s="27">
        <v>115.02993652927483</v>
      </c>
      <c r="F37" s="28">
        <v>117.62003560285746</v>
      </c>
      <c r="G37" s="28">
        <v>123.09882000085349</v>
      </c>
      <c r="H37" s="28">
        <v>136.10400273752558</v>
      </c>
      <c r="I37" s="28">
        <v>102.76543099265899</v>
      </c>
      <c r="J37" s="28">
        <v>110.56654167287611</v>
      </c>
      <c r="K37" s="28">
        <v>124.65316422633758</v>
      </c>
      <c r="L37" s="27">
        <v>127.35658087728201</v>
      </c>
      <c r="M37" s="27">
        <f>[3]Male!$OC$292</f>
        <v>128.61309538574685</v>
      </c>
      <c r="N37" s="574">
        <v>128.95886976125692</v>
      </c>
      <c r="O37" s="29">
        <v>4.6580366770973214</v>
      </c>
      <c r="P37" s="29">
        <v>10.564831357913839</v>
      </c>
      <c r="Q37" s="29">
        <v>-24.49492378939031</v>
      </c>
      <c r="R37" s="29">
        <v>7.591181786387291</v>
      </c>
      <c r="S37" s="28">
        <v>12.740402603111489</v>
      </c>
      <c r="T37" s="29">
        <v>2.1687509239923797</v>
      </c>
      <c r="U37" s="29">
        <f>[3]Male!$OF$292</f>
        <v>0.98661137085298556</v>
      </c>
      <c r="V37" s="29">
        <v>0.2688484982598327</v>
      </c>
      <c r="W37" s="2" t="s">
        <v>34</v>
      </c>
      <c r="X37" s="141"/>
      <c r="Y37" s="145"/>
      <c r="Z37" s="7"/>
      <c r="AA37" s="182"/>
      <c r="AB37" s="7"/>
      <c r="AC37" s="145"/>
      <c r="AD37" s="145"/>
      <c r="AE37" s="145"/>
      <c r="AF37" s="145"/>
      <c r="AG37" s="145"/>
      <c r="AH37" s="145"/>
      <c r="AI37" s="143"/>
      <c r="AL37" s="70"/>
      <c r="AM37" s="70"/>
      <c r="AN37" s="70"/>
      <c r="AO37" s="144"/>
      <c r="AP37" s="70"/>
    </row>
    <row r="38" spans="1:42" s="63" customFormat="1" ht="15">
      <c r="A38" s="33" t="s">
        <v>35</v>
      </c>
      <c r="B38" s="121">
        <v>5.0247567425570834</v>
      </c>
      <c r="C38" s="26">
        <v>60.859975065826738</v>
      </c>
      <c r="D38" s="26">
        <v>63.749393784738366</v>
      </c>
      <c r="E38" s="27">
        <v>77.220453300900303</v>
      </c>
      <c r="F38" s="28">
        <v>77.979582923899997</v>
      </c>
      <c r="G38" s="28">
        <v>80.571924425587255</v>
      </c>
      <c r="H38" s="28">
        <v>91.644770975471246</v>
      </c>
      <c r="I38" s="28">
        <v>99.919914617161496</v>
      </c>
      <c r="J38" s="28">
        <v>102.42725062633708</v>
      </c>
      <c r="K38" s="28">
        <v>107.6673987994979</v>
      </c>
      <c r="L38" s="27">
        <v>107.33736946618552</v>
      </c>
      <c r="M38" s="27">
        <f>[3]Male!$OC$322</f>
        <v>107.44337348085035</v>
      </c>
      <c r="N38" s="574">
        <v>105.43253318252432</v>
      </c>
      <c r="O38" s="29">
        <v>3.3243849280613746</v>
      </c>
      <c r="P38" s="29">
        <v>13.742810077858314</v>
      </c>
      <c r="Q38" s="29">
        <v>9.0295862531045046</v>
      </c>
      <c r="R38" s="29">
        <v>2.5093456282286875</v>
      </c>
      <c r="S38" s="28">
        <v>5.1159707412994138</v>
      </c>
      <c r="T38" s="29">
        <v>-0.30652670817001848</v>
      </c>
      <c r="U38" s="29">
        <f>[3]Male!$OF$322</f>
        <v>9.8757790685599645E-2</v>
      </c>
      <c r="V38" s="29">
        <v>-1.8715349613295795</v>
      </c>
      <c r="W38" s="2" t="s">
        <v>36</v>
      </c>
      <c r="X38" s="141"/>
      <c r="Y38" s="145"/>
      <c r="Z38" s="7"/>
      <c r="AA38" s="182"/>
      <c r="AB38" s="7"/>
      <c r="AC38" s="145"/>
      <c r="AD38" s="145"/>
      <c r="AE38" s="145"/>
      <c r="AF38" s="145"/>
      <c r="AG38" s="145"/>
      <c r="AH38" s="145"/>
      <c r="AI38" s="143"/>
      <c r="AL38" s="70"/>
      <c r="AM38" s="70"/>
      <c r="AN38" s="70"/>
      <c r="AO38" s="144"/>
      <c r="AP38" s="70"/>
    </row>
    <row r="39" spans="1:42" s="63" customFormat="1" ht="15">
      <c r="A39" s="33" t="s">
        <v>37</v>
      </c>
      <c r="B39" s="121">
        <v>4.9499335195000258</v>
      </c>
      <c r="C39" s="26">
        <v>115.34450273124089</v>
      </c>
      <c r="D39" s="26">
        <v>104.72754551977413</v>
      </c>
      <c r="E39" s="27">
        <v>100.9097966458598</v>
      </c>
      <c r="F39" s="28">
        <v>100.15439105359373</v>
      </c>
      <c r="G39" s="28">
        <v>100.38298344923554</v>
      </c>
      <c r="H39" s="28">
        <v>100.6195512642537</v>
      </c>
      <c r="I39" s="28">
        <v>99.902385256204028</v>
      </c>
      <c r="J39" s="28">
        <v>98.048576495455336</v>
      </c>
      <c r="K39" s="28">
        <v>97.118601810845405</v>
      </c>
      <c r="L39" s="27">
        <v>96.214029396765625</v>
      </c>
      <c r="M39" s="27">
        <f>[3]Male!$OC$348</f>
        <v>95.751607847297137</v>
      </c>
      <c r="N39" s="574">
        <v>95.746365973594948</v>
      </c>
      <c r="O39" s="29">
        <v>0.22824001348027423</v>
      </c>
      <c r="P39" s="29">
        <v>0.23566525609173272</v>
      </c>
      <c r="Q39" s="29">
        <v>-0.71275015545061438</v>
      </c>
      <c r="R39" s="29">
        <v>-1.8556201195742417</v>
      </c>
      <c r="S39" s="28">
        <v>-0.94848361684581883</v>
      </c>
      <c r="T39" s="29">
        <v>-0.93141004628709556</v>
      </c>
      <c r="U39" s="29">
        <f>[3]Male!$OF$348</f>
        <v>-0.48061759014536021</v>
      </c>
      <c r="V39" s="29">
        <v>-5.474449797804315E-3</v>
      </c>
      <c r="W39" s="2" t="s">
        <v>38</v>
      </c>
      <c r="X39" s="141"/>
      <c r="Y39" s="145"/>
      <c r="Z39" s="7"/>
      <c r="AA39" s="182"/>
      <c r="AB39" s="7"/>
      <c r="AC39" s="145"/>
      <c r="AD39" s="145"/>
      <c r="AE39" s="145"/>
      <c r="AF39" s="145"/>
      <c r="AG39" s="145"/>
      <c r="AH39" s="145"/>
      <c r="AI39" s="143"/>
      <c r="AL39" s="70"/>
      <c r="AM39" s="70"/>
      <c r="AN39" s="70"/>
      <c r="AO39" s="144"/>
      <c r="AP39" s="70"/>
    </row>
    <row r="40" spans="1:42" s="63" customFormat="1" ht="15">
      <c r="A40" s="34" t="s">
        <v>39</v>
      </c>
      <c r="B40" s="121">
        <v>3.8759977554993457</v>
      </c>
      <c r="C40" s="26">
        <v>94.874945972791352</v>
      </c>
      <c r="D40" s="26">
        <v>96.624178349214034</v>
      </c>
      <c r="E40" s="27">
        <v>90.077187080296483</v>
      </c>
      <c r="F40" s="28">
        <v>94.587232125872092</v>
      </c>
      <c r="G40" s="28">
        <v>100.01905005623114</v>
      </c>
      <c r="H40" s="28">
        <v>97.89290317146407</v>
      </c>
      <c r="I40" s="28">
        <v>99.123228888029075</v>
      </c>
      <c r="J40" s="28">
        <v>99.19328729416749</v>
      </c>
      <c r="K40" s="28">
        <v>101.98521882257955</v>
      </c>
      <c r="L40" s="27">
        <v>101.05736071574518</v>
      </c>
      <c r="M40" s="27">
        <f>[3]Male!$OC$360</f>
        <v>100.46158690929978</v>
      </c>
      <c r="N40" s="574">
        <v>102.05528211482302</v>
      </c>
      <c r="O40" s="29">
        <v>5.7426544875852192</v>
      </c>
      <c r="P40" s="29">
        <v>-2.1257419297341262</v>
      </c>
      <c r="Q40" s="29">
        <v>1.256807875449395</v>
      </c>
      <c r="R40" s="29">
        <v>7.0678091224762873E-2</v>
      </c>
      <c r="S40" s="28">
        <v>2.8146375672905233</v>
      </c>
      <c r="T40" s="29">
        <v>-0.90979665244288466</v>
      </c>
      <c r="U40" s="29">
        <f>[3]Male!$OF$360</f>
        <v>-0.58954023954889134</v>
      </c>
      <c r="V40" s="29">
        <v>1.5863727167301001</v>
      </c>
      <c r="W40" s="35" t="s">
        <v>40</v>
      </c>
      <c r="X40" s="141"/>
      <c r="Y40" s="145"/>
      <c r="Z40" s="7"/>
      <c r="AA40" s="182"/>
      <c r="AB40" s="7"/>
      <c r="AC40" s="145"/>
      <c r="AD40" s="145"/>
      <c r="AE40" s="145"/>
      <c r="AF40" s="145"/>
      <c r="AG40" s="145"/>
      <c r="AH40" s="145"/>
      <c r="AI40" s="143"/>
      <c r="AL40" s="70"/>
      <c r="AM40" s="70"/>
      <c r="AN40" s="70"/>
      <c r="AO40" s="144"/>
      <c r="AP40" s="70"/>
    </row>
    <row r="41" spans="1:42" s="63" customFormat="1" ht="15">
      <c r="A41" s="31" t="s">
        <v>12</v>
      </c>
      <c r="B41" s="121">
        <v>3.1475471737470042</v>
      </c>
      <c r="C41" s="26">
        <v>47.049388033467601</v>
      </c>
      <c r="D41" s="26">
        <v>48.13102192510862</v>
      </c>
      <c r="E41" s="27">
        <v>49.012472981378899</v>
      </c>
      <c r="F41" s="28">
        <v>66.212440093936394</v>
      </c>
      <c r="G41" s="28">
        <v>72.465176121953334</v>
      </c>
      <c r="H41" s="28">
        <v>85.752154766717368</v>
      </c>
      <c r="I41" s="28">
        <v>99.974205552764317</v>
      </c>
      <c r="J41" s="28">
        <v>102.13692109662372</v>
      </c>
      <c r="K41" s="28">
        <v>111.56417616429451</v>
      </c>
      <c r="L41" s="27">
        <v>117.33257668396261</v>
      </c>
      <c r="M41" s="27">
        <f>[3]Male!$OC$405</f>
        <v>125.51210025739101</v>
      </c>
      <c r="N41" s="574">
        <v>127.79701695768269</v>
      </c>
      <c r="O41" s="29">
        <v>9.4434460037209114</v>
      </c>
      <c r="P41" s="29">
        <v>18.335674258768186</v>
      </c>
      <c r="Q41" s="29">
        <v>16.585065208841733</v>
      </c>
      <c r="R41" s="29">
        <v>2.1632735483133825</v>
      </c>
      <c r="S41" s="28">
        <v>9.2300168895363512</v>
      </c>
      <c r="T41" s="29">
        <v>5.1704774041205548</v>
      </c>
      <c r="U41" s="29">
        <f>[3]Male!$OF$405</f>
        <v>6.971229819200242</v>
      </c>
      <c r="V41" s="29">
        <v>1.8204752335479579</v>
      </c>
      <c r="W41" s="35" t="s">
        <v>13</v>
      </c>
      <c r="Y41" s="70"/>
      <c r="Z41" s="7"/>
      <c r="AA41" s="182"/>
      <c r="AB41" s="7"/>
      <c r="AC41" s="70"/>
      <c r="AD41" s="70"/>
      <c r="AE41" s="70"/>
      <c r="AF41" s="70"/>
      <c r="AG41" s="70"/>
      <c r="AH41" s="70"/>
      <c r="AI41" s="143"/>
      <c r="AL41" s="70"/>
      <c r="AM41" s="70"/>
      <c r="AN41" s="70"/>
      <c r="AO41" s="144"/>
      <c r="AP41" s="70"/>
    </row>
    <row r="42" spans="1:42" s="63" customFormat="1" ht="15">
      <c r="A42" s="31" t="s">
        <v>41</v>
      </c>
      <c r="B42" s="121">
        <v>4.0917964761770804</v>
      </c>
      <c r="C42" s="26">
        <v>49.094342913656533</v>
      </c>
      <c r="D42" s="26">
        <v>57.310377045571919</v>
      </c>
      <c r="E42" s="27">
        <v>66.268774405103429</v>
      </c>
      <c r="F42" s="28">
        <v>67.972496509520113</v>
      </c>
      <c r="G42" s="28">
        <v>70.167294544238487</v>
      </c>
      <c r="H42" s="28">
        <v>81.124231104476152</v>
      </c>
      <c r="I42" s="28">
        <v>103.92316833381101</v>
      </c>
      <c r="J42" s="28">
        <v>117.33190209291605</v>
      </c>
      <c r="K42" s="28">
        <v>125.48306357044619</v>
      </c>
      <c r="L42" s="27">
        <v>125.82497057055754</v>
      </c>
      <c r="M42" s="27">
        <f>[3]Male!$OC$421</f>
        <v>127.6536356791524</v>
      </c>
      <c r="N42" s="574">
        <v>128.04598972223968</v>
      </c>
      <c r="O42" s="29">
        <v>3.2289501598796955</v>
      </c>
      <c r="P42" s="29">
        <v>15.615446813799583</v>
      </c>
      <c r="Q42" s="29">
        <v>28.103732903148448</v>
      </c>
      <c r="R42" s="29">
        <v>12.902545191881497</v>
      </c>
      <c r="S42" s="28">
        <v>6.9470973640870293</v>
      </c>
      <c r="T42" s="29">
        <v>0.27247262728757882</v>
      </c>
      <c r="U42" s="29">
        <f>[3]Male!$OF$421</f>
        <v>1.4533403825192304</v>
      </c>
      <c r="V42" s="29">
        <v>0.30735829888419719</v>
      </c>
      <c r="W42" s="35" t="s">
        <v>42</v>
      </c>
      <c r="Y42" s="70"/>
      <c r="Z42" s="7"/>
      <c r="AA42" s="182"/>
      <c r="AB42" s="146"/>
      <c r="AC42" s="70"/>
      <c r="AD42" s="70"/>
      <c r="AE42" s="70"/>
      <c r="AF42" s="70"/>
      <c r="AG42" s="70"/>
      <c r="AH42" s="70"/>
      <c r="AI42" s="143"/>
      <c r="AL42" s="70"/>
      <c r="AM42" s="70"/>
      <c r="AN42" s="70"/>
      <c r="AO42" s="144"/>
      <c r="AP42" s="70"/>
    </row>
    <row r="43" spans="1:42" s="63" customFormat="1" ht="15">
      <c r="A43" s="34" t="s">
        <v>43</v>
      </c>
      <c r="B43" s="147">
        <v>6.5690813659915177</v>
      </c>
      <c r="C43" s="26">
        <v>66.045812015945941</v>
      </c>
      <c r="D43" s="26">
        <v>67.578746700557247</v>
      </c>
      <c r="E43" s="27">
        <v>71.846737489273423</v>
      </c>
      <c r="F43" s="28">
        <v>76.948539555294857</v>
      </c>
      <c r="G43" s="28">
        <v>80.738363693637908</v>
      </c>
      <c r="H43" s="28">
        <v>86.725904563278689</v>
      </c>
      <c r="I43" s="28">
        <v>100.69814215631898</v>
      </c>
      <c r="J43" s="28">
        <v>98.812991503112301</v>
      </c>
      <c r="K43" s="28">
        <v>98.609462577367751</v>
      </c>
      <c r="L43" s="27">
        <v>98.344584404467298</v>
      </c>
      <c r="M43" s="27">
        <f>[3]Male!$OC$438</f>
        <v>97.897045106929454</v>
      </c>
      <c r="N43" s="574">
        <v>97.659694697503355</v>
      </c>
      <c r="O43" s="29">
        <v>4.9251410881160362</v>
      </c>
      <c r="P43" s="29">
        <v>7.4159799576327012</v>
      </c>
      <c r="Q43" s="29">
        <v>16.110800646473034</v>
      </c>
      <c r="R43" s="29">
        <v>-1.8720808674704825</v>
      </c>
      <c r="S43" s="28">
        <v>-0.20597385287959291</v>
      </c>
      <c r="T43" s="29">
        <v>-0.26861334194234754</v>
      </c>
      <c r="U43" s="29">
        <f>[3]Male!$OF$438</f>
        <v>-0.45507264100809186</v>
      </c>
      <c r="V43" s="29">
        <v>-0.24244900258925117</v>
      </c>
      <c r="W43" s="125" t="s">
        <v>74</v>
      </c>
      <c r="X43" s="141"/>
      <c r="Y43" s="145"/>
      <c r="Z43" s="7"/>
      <c r="AA43" s="182"/>
      <c r="AB43" s="7"/>
      <c r="AC43" s="145"/>
      <c r="AD43" s="145"/>
      <c r="AE43" s="145"/>
      <c r="AF43" s="145"/>
      <c r="AG43" s="145"/>
      <c r="AH43" s="145"/>
      <c r="AI43" s="143"/>
      <c r="AO43" s="148"/>
    </row>
    <row r="44" spans="1:42" s="60" customFormat="1" ht="15">
      <c r="A44" s="36" t="s">
        <v>69</v>
      </c>
      <c r="B44" s="149">
        <f>SUM(B36:B43,B32:B34,B29)</f>
        <v>100</v>
      </c>
      <c r="C44" s="37">
        <v>60.684187749186492</v>
      </c>
      <c r="D44" s="37">
        <v>64.807540880908348</v>
      </c>
      <c r="E44" s="38">
        <v>72.611313924073201</v>
      </c>
      <c r="F44" s="38">
        <v>75.900734670117231</v>
      </c>
      <c r="G44" s="38">
        <v>80.568542845421106</v>
      </c>
      <c r="H44" s="38">
        <v>89.651368722070842</v>
      </c>
      <c r="I44" s="38">
        <v>99.415139330518244</v>
      </c>
      <c r="J44" s="38">
        <v>103.38895723436703</v>
      </c>
      <c r="K44" s="38">
        <v>105.92043432963987</v>
      </c>
      <c r="L44" s="38">
        <v>107.37293678888472</v>
      </c>
      <c r="M44" s="38">
        <f>[3]Male!$OC$3</f>
        <v>108.23342334232696</v>
      </c>
      <c r="N44" s="575">
        <v>110.69246887707151</v>
      </c>
      <c r="O44" s="39">
        <v>6.1498853675017617</v>
      </c>
      <c r="P44" s="39">
        <v>11.273414605593723</v>
      </c>
      <c r="Q44" s="39">
        <v>10.890821576540755</v>
      </c>
      <c r="R44" s="39">
        <v>3.9971959307297356</v>
      </c>
      <c r="S44" s="38">
        <v>2.4484985272985815</v>
      </c>
      <c r="T44" s="39">
        <v>1.3713146744890103</v>
      </c>
      <c r="U44" s="39">
        <f>[3]Male!$OF$3</f>
        <v>0.80139984913900619</v>
      </c>
      <c r="V44" s="39">
        <v>2.2719835137866129</v>
      </c>
      <c r="W44" s="40" t="s">
        <v>14</v>
      </c>
      <c r="X44" s="150"/>
      <c r="Y44" s="151"/>
      <c r="Z44" s="249"/>
      <c r="AA44" s="259"/>
      <c r="AB44" s="249"/>
      <c r="AC44" s="151"/>
      <c r="AD44" s="151"/>
      <c r="AE44" s="151"/>
      <c r="AF44" s="151"/>
      <c r="AG44" s="151"/>
      <c r="AH44" s="151"/>
      <c r="AI44" s="143"/>
      <c r="AO44" s="152"/>
    </row>
    <row r="45" spans="1:42" s="155" customFormat="1" ht="15">
      <c r="A45" s="42" t="s">
        <v>70</v>
      </c>
      <c r="B45" s="128">
        <f>B44-B31</f>
        <v>92.357077568962453</v>
      </c>
      <c r="C45" s="43">
        <v>64.052485645287277</v>
      </c>
      <c r="D45" s="43">
        <v>67.18924401230818</v>
      </c>
      <c r="E45" s="43">
        <v>75.385471686170362</v>
      </c>
      <c r="F45" s="43">
        <v>79.51493809042644</v>
      </c>
      <c r="G45" s="43">
        <v>84.338371332150743</v>
      </c>
      <c r="H45" s="43">
        <v>91.679051572020867</v>
      </c>
      <c r="I45" s="43">
        <v>100.09850402946053</v>
      </c>
      <c r="J45" s="43">
        <v>103.35093616567913</v>
      </c>
      <c r="K45" s="74">
        <v>105.86527287347694</v>
      </c>
      <c r="L45" s="43">
        <v>107.46319410975025</v>
      </c>
      <c r="M45" s="43">
        <f>[3]Male!$OC$484</f>
        <v>108.80768335920361</v>
      </c>
      <c r="N45" s="576">
        <v>111.50654373707793</v>
      </c>
      <c r="O45" s="43">
        <v>6.0660718068332953</v>
      </c>
      <c r="P45" s="43">
        <v>8.7038439608470028</v>
      </c>
      <c r="Q45" s="43">
        <v>9.1836164457106619</v>
      </c>
      <c r="R45" s="43">
        <v>3.2492315122525373</v>
      </c>
      <c r="S45" s="74">
        <v>2.4328146421113583</v>
      </c>
      <c r="T45" s="43">
        <v>1.5093913168136242</v>
      </c>
      <c r="U45" s="43">
        <f>[3]Male!$OF$484</f>
        <v>1.2511160314853997</v>
      </c>
      <c r="V45" s="43">
        <v>2.4803950369613581</v>
      </c>
      <c r="W45" s="44" t="s">
        <v>54</v>
      </c>
      <c r="X45" s="151"/>
      <c r="Y45" s="151"/>
      <c r="Z45" s="249"/>
      <c r="AA45" s="259"/>
      <c r="AB45" s="260"/>
      <c r="AC45" s="151"/>
      <c r="AD45" s="151"/>
      <c r="AE45" s="151"/>
      <c r="AF45" s="151"/>
      <c r="AG45" s="151"/>
      <c r="AH45" s="151"/>
      <c r="AI45" s="154"/>
      <c r="AO45" s="156"/>
    </row>
    <row r="46" spans="1:42" s="45" customFormat="1" ht="15">
      <c r="A46" s="157" t="s">
        <v>85</v>
      </c>
      <c r="B46" s="126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76"/>
    </row>
    <row r="47" spans="1:42" ht="17.25">
      <c r="A47" s="381" t="s">
        <v>108</v>
      </c>
      <c r="W47" s="380" t="s">
        <v>109</v>
      </c>
    </row>
    <row r="48" spans="1:42" s="133" customFormat="1" ht="15.75" hidden="1" customHeight="1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1"/>
      <c r="X48" s="132"/>
      <c r="Y48" s="130"/>
      <c r="AB48" s="134"/>
    </row>
    <row r="49" spans="1:42" ht="21" hidden="1" customHeight="1">
      <c r="A49" s="19"/>
      <c r="B49" s="618" t="s">
        <v>52</v>
      </c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59"/>
      <c r="P49" s="159"/>
      <c r="Q49" s="159"/>
      <c r="R49" s="159"/>
      <c r="S49" s="159"/>
      <c r="T49" s="159"/>
      <c r="U49" s="159"/>
      <c r="V49" s="159"/>
      <c r="W49" s="23"/>
    </row>
    <row r="50" spans="1:42" ht="28.5" hidden="1" customHeight="1">
      <c r="A50" s="65" t="s">
        <v>80</v>
      </c>
      <c r="B50" s="620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621"/>
      <c r="P50" s="621"/>
      <c r="Q50" s="565"/>
      <c r="R50" s="565"/>
      <c r="S50" s="565"/>
      <c r="T50" s="565"/>
      <c r="U50" s="565"/>
      <c r="V50" s="565"/>
      <c r="W50" s="160" t="s">
        <v>82</v>
      </c>
    </row>
    <row r="51" spans="1:42" hidden="1">
      <c r="A51" s="161"/>
      <c r="B51" s="162" t="s">
        <v>8</v>
      </c>
      <c r="C51" s="163">
        <v>2006</v>
      </c>
      <c r="D51" s="163">
        <v>2007</v>
      </c>
      <c r="E51" s="163">
        <v>2008</v>
      </c>
      <c r="F51" s="163">
        <v>2009</v>
      </c>
      <c r="G51" s="163">
        <v>2010</v>
      </c>
      <c r="H51" s="163">
        <v>2011</v>
      </c>
      <c r="I51" s="163">
        <v>2012</v>
      </c>
      <c r="J51" s="163">
        <v>2012</v>
      </c>
      <c r="K51" s="163">
        <v>2012</v>
      </c>
      <c r="L51" s="163"/>
      <c r="M51" s="163"/>
      <c r="N51" s="163"/>
      <c r="O51" s="162">
        <v>2010</v>
      </c>
      <c r="P51" s="162">
        <v>2011</v>
      </c>
      <c r="Q51" s="162">
        <v>2012</v>
      </c>
      <c r="R51" s="162">
        <v>2012</v>
      </c>
      <c r="S51" s="162">
        <v>2012</v>
      </c>
      <c r="T51" s="162"/>
      <c r="U51" s="162"/>
      <c r="V51" s="162"/>
      <c r="W51" s="54"/>
    </row>
    <row r="52" spans="1:42" s="63" customFormat="1" ht="18" hidden="1" customHeight="1">
      <c r="A52" s="164" t="s">
        <v>55</v>
      </c>
      <c r="B52" s="165">
        <v>32.41357084023938</v>
      </c>
      <c r="C52" s="166"/>
      <c r="D52" s="166"/>
      <c r="E52" s="167"/>
      <c r="F52" s="28"/>
      <c r="G52" s="28"/>
      <c r="H52" s="28"/>
      <c r="I52" s="28"/>
      <c r="J52" s="28"/>
      <c r="K52" s="28"/>
      <c r="L52" s="28"/>
      <c r="M52" s="28"/>
      <c r="N52" s="28"/>
      <c r="O52" s="168"/>
      <c r="P52" s="168"/>
      <c r="Q52" s="168"/>
      <c r="R52" s="168"/>
      <c r="S52" s="168"/>
      <c r="T52" s="168"/>
      <c r="U52" s="168"/>
      <c r="V52" s="168"/>
      <c r="W52" s="2" t="s">
        <v>57</v>
      </c>
      <c r="X52" s="141"/>
      <c r="Z52" s="7"/>
      <c r="AA52" s="7"/>
      <c r="AB52" s="7"/>
      <c r="AC52" s="142"/>
      <c r="AD52" s="142"/>
      <c r="AE52" s="142"/>
      <c r="AF52" s="142"/>
      <c r="AG52" s="142"/>
      <c r="AH52" s="142"/>
      <c r="AI52" s="143"/>
      <c r="AL52" s="70"/>
      <c r="AM52" s="70"/>
      <c r="AN52" s="70"/>
      <c r="AO52" s="144"/>
      <c r="AP52" s="70"/>
    </row>
    <row r="53" spans="1:42" s="63" customFormat="1" ht="18" hidden="1" customHeight="1">
      <c r="A53" s="164" t="s">
        <v>56</v>
      </c>
      <c r="B53" s="165">
        <v>22.908992536433551</v>
      </c>
      <c r="C53" s="166"/>
      <c r="D53" s="166"/>
      <c r="E53" s="167"/>
      <c r="F53" s="28"/>
      <c r="G53" s="28"/>
      <c r="H53" s="28"/>
      <c r="I53" s="28"/>
      <c r="J53" s="28"/>
      <c r="K53" s="28"/>
      <c r="L53" s="28"/>
      <c r="M53" s="28"/>
      <c r="N53" s="28"/>
      <c r="O53" s="168"/>
      <c r="P53" s="168"/>
      <c r="Q53" s="168"/>
      <c r="R53" s="168"/>
      <c r="S53" s="168"/>
      <c r="T53" s="168"/>
      <c r="U53" s="168"/>
      <c r="V53" s="168"/>
      <c r="W53" s="2" t="s">
        <v>58</v>
      </c>
      <c r="X53" s="141"/>
      <c r="Z53" s="7"/>
      <c r="AA53" s="7"/>
      <c r="AB53" s="7"/>
      <c r="AC53" s="145"/>
      <c r="AD53" s="145"/>
      <c r="AE53" s="145"/>
      <c r="AF53" s="145"/>
      <c r="AG53" s="145"/>
      <c r="AH53" s="145"/>
      <c r="AI53" s="143"/>
      <c r="AL53" s="70"/>
      <c r="AM53" s="70"/>
      <c r="AN53" s="70"/>
      <c r="AO53" s="144"/>
      <c r="AP53" s="70"/>
    </row>
    <row r="54" spans="1:42" s="63" customFormat="1" ht="15" hidden="1">
      <c r="A54" s="169" t="s">
        <v>9</v>
      </c>
      <c r="B54" s="165">
        <v>9.5045783038058271</v>
      </c>
      <c r="C54" s="166"/>
      <c r="D54" s="166"/>
      <c r="E54" s="167"/>
      <c r="F54" s="28"/>
      <c r="G54" s="28"/>
      <c r="H54" s="28"/>
      <c r="I54" s="28"/>
      <c r="J54" s="28"/>
      <c r="K54" s="28"/>
      <c r="L54" s="28"/>
      <c r="M54" s="28"/>
      <c r="N54" s="28"/>
      <c r="O54" s="168"/>
      <c r="P54" s="168"/>
      <c r="Q54" s="168"/>
      <c r="R54" s="168"/>
      <c r="S54" s="168"/>
      <c r="T54" s="168"/>
      <c r="U54" s="168"/>
      <c r="V54" s="168"/>
      <c r="W54" s="2" t="s">
        <v>10</v>
      </c>
      <c r="X54" s="141"/>
      <c r="Y54" s="145"/>
      <c r="Z54" s="7"/>
      <c r="AA54" s="7"/>
      <c r="AB54" s="7"/>
      <c r="AC54" s="145"/>
      <c r="AD54" s="145"/>
      <c r="AE54" s="145"/>
      <c r="AF54" s="145"/>
      <c r="AG54" s="145"/>
      <c r="AH54" s="145"/>
      <c r="AI54" s="143"/>
      <c r="AL54" s="70"/>
      <c r="AM54" s="70"/>
      <c r="AN54" s="70"/>
      <c r="AO54" s="144"/>
      <c r="AP54" s="70"/>
    </row>
    <row r="55" spans="1:42" s="63" customFormat="1" ht="15" hidden="1">
      <c r="A55" s="169" t="s">
        <v>51</v>
      </c>
      <c r="B55" s="165">
        <v>3.1086673721276403</v>
      </c>
      <c r="C55" s="166"/>
      <c r="D55" s="166"/>
      <c r="E55" s="167"/>
      <c r="F55" s="28"/>
      <c r="G55" s="28"/>
      <c r="H55" s="28"/>
      <c r="I55" s="28"/>
      <c r="J55" s="28"/>
      <c r="K55" s="28"/>
      <c r="L55" s="28"/>
      <c r="M55" s="28"/>
      <c r="N55" s="28"/>
      <c r="O55" s="168"/>
      <c r="P55" s="168"/>
      <c r="Q55" s="168"/>
      <c r="R55" s="168"/>
      <c r="S55" s="168"/>
      <c r="T55" s="168"/>
      <c r="U55" s="168"/>
      <c r="V55" s="168"/>
      <c r="W55" s="2" t="s">
        <v>30</v>
      </c>
      <c r="X55" s="141"/>
      <c r="Y55" s="145"/>
      <c r="Z55" s="7"/>
      <c r="AA55" s="7"/>
      <c r="AB55" s="7"/>
      <c r="AC55" s="145"/>
      <c r="AD55" s="145"/>
      <c r="AE55" s="145"/>
      <c r="AF55" s="145"/>
      <c r="AG55" s="145"/>
      <c r="AH55" s="145"/>
      <c r="AI55" s="143"/>
      <c r="AL55" s="70"/>
      <c r="AM55" s="70"/>
      <c r="AN55" s="70"/>
      <c r="AO55" s="144"/>
      <c r="AP55" s="70"/>
    </row>
    <row r="56" spans="1:42" s="63" customFormat="1" ht="15" hidden="1">
      <c r="A56" s="169" t="s">
        <v>11</v>
      </c>
      <c r="B56" s="165">
        <v>4.37363965083017</v>
      </c>
      <c r="C56" s="166"/>
      <c r="D56" s="166"/>
      <c r="E56" s="167"/>
      <c r="F56" s="28"/>
      <c r="G56" s="28"/>
      <c r="H56" s="28"/>
      <c r="I56" s="28"/>
      <c r="J56" s="28"/>
      <c r="K56" s="28"/>
      <c r="L56" s="28"/>
      <c r="M56" s="28"/>
      <c r="N56" s="28"/>
      <c r="O56" s="168"/>
      <c r="P56" s="168"/>
      <c r="Q56" s="168"/>
      <c r="R56" s="168"/>
      <c r="S56" s="168"/>
      <c r="T56" s="168"/>
      <c r="U56" s="168"/>
      <c r="V56" s="168"/>
      <c r="W56" s="2" t="s">
        <v>31</v>
      </c>
      <c r="X56" s="141"/>
      <c r="Y56" s="145"/>
      <c r="Z56" s="7"/>
      <c r="AA56" s="7"/>
      <c r="AB56" s="7"/>
      <c r="AC56" s="145"/>
      <c r="AD56" s="145"/>
      <c r="AE56" s="145"/>
      <c r="AF56" s="145"/>
      <c r="AG56" s="145"/>
      <c r="AH56" s="145"/>
      <c r="AI56" s="143"/>
      <c r="AL56" s="70"/>
      <c r="AM56" s="70"/>
      <c r="AN56" s="70"/>
      <c r="AO56" s="144"/>
      <c r="AP56" s="70"/>
    </row>
    <row r="57" spans="1:42" s="63" customFormat="1" ht="15" hidden="1">
      <c r="A57" s="169" t="s">
        <v>67</v>
      </c>
      <c r="B57" s="165">
        <v>14.769002753283388</v>
      </c>
      <c r="C57" s="166"/>
      <c r="D57" s="166"/>
      <c r="E57" s="167"/>
      <c r="F57" s="28"/>
      <c r="G57" s="28"/>
      <c r="H57" s="28"/>
      <c r="I57" s="28"/>
      <c r="J57" s="28"/>
      <c r="K57" s="28"/>
      <c r="L57" s="28"/>
      <c r="M57" s="28"/>
      <c r="N57" s="28"/>
      <c r="O57" s="168"/>
      <c r="P57" s="168"/>
      <c r="Q57" s="168"/>
      <c r="R57" s="168"/>
      <c r="S57" s="168"/>
      <c r="T57" s="168"/>
      <c r="U57" s="168"/>
      <c r="V57" s="168"/>
      <c r="W57" s="2" t="s">
        <v>32</v>
      </c>
      <c r="X57" s="141"/>
      <c r="Y57" s="145"/>
      <c r="Z57" s="7"/>
      <c r="AA57" s="7"/>
      <c r="AB57" s="7"/>
      <c r="AC57" s="145"/>
      <c r="AD57" s="145"/>
      <c r="AE57" s="145"/>
      <c r="AF57" s="145"/>
      <c r="AG57" s="145"/>
      <c r="AH57" s="145"/>
      <c r="AI57" s="143"/>
      <c r="AL57" s="70"/>
      <c r="AM57" s="70"/>
      <c r="AN57" s="70"/>
      <c r="AO57" s="144"/>
      <c r="AP57" s="70"/>
    </row>
    <row r="58" spans="1:42" s="63" customFormat="1" ht="15" hidden="1">
      <c r="A58" s="169" t="s">
        <v>68</v>
      </c>
      <c r="B58" s="165">
        <v>1.130174619903735</v>
      </c>
      <c r="C58" s="166"/>
      <c r="D58" s="166"/>
      <c r="E58" s="167"/>
      <c r="F58" s="28"/>
      <c r="G58" s="28"/>
      <c r="H58" s="28"/>
      <c r="I58" s="28"/>
      <c r="J58" s="28"/>
      <c r="K58" s="28"/>
      <c r="L58" s="28"/>
      <c r="M58" s="28"/>
      <c r="N58" s="28"/>
      <c r="O58" s="168"/>
      <c r="P58" s="168"/>
      <c r="Q58" s="168"/>
      <c r="R58" s="168"/>
      <c r="S58" s="168"/>
      <c r="T58" s="168"/>
      <c r="U58" s="168"/>
      <c r="V58" s="168"/>
      <c r="W58" s="72" t="s">
        <v>73</v>
      </c>
      <c r="X58" s="141"/>
      <c r="Y58" s="145"/>
      <c r="Z58" s="7"/>
      <c r="AA58" s="7"/>
      <c r="AB58" s="7"/>
      <c r="AC58" s="145"/>
      <c r="AD58" s="145"/>
      <c r="AE58" s="145"/>
      <c r="AF58" s="145"/>
      <c r="AG58" s="145"/>
      <c r="AH58" s="145"/>
      <c r="AI58" s="143"/>
      <c r="AL58" s="70"/>
      <c r="AM58" s="70"/>
      <c r="AN58" s="70"/>
      <c r="AO58" s="144"/>
      <c r="AP58" s="70"/>
    </row>
    <row r="59" spans="1:42" s="63" customFormat="1" ht="24" hidden="1">
      <c r="A59" s="164" t="s">
        <v>50</v>
      </c>
      <c r="B59" s="165">
        <v>9.8563919063440419</v>
      </c>
      <c r="C59" s="166"/>
      <c r="D59" s="166"/>
      <c r="E59" s="167"/>
      <c r="F59" s="28"/>
      <c r="G59" s="28"/>
      <c r="H59" s="28"/>
      <c r="I59" s="28"/>
      <c r="J59" s="28"/>
      <c r="K59" s="28"/>
      <c r="L59" s="28"/>
      <c r="M59" s="28"/>
      <c r="N59" s="28"/>
      <c r="O59" s="168"/>
      <c r="P59" s="168"/>
      <c r="Q59" s="168"/>
      <c r="R59" s="168"/>
      <c r="S59" s="168"/>
      <c r="T59" s="168"/>
      <c r="U59" s="168"/>
      <c r="V59" s="168"/>
      <c r="W59" s="2" t="s">
        <v>53</v>
      </c>
      <c r="X59" s="141"/>
      <c r="Y59" s="145"/>
      <c r="Z59" s="7"/>
      <c r="AA59" s="7"/>
      <c r="AB59" s="7"/>
      <c r="AC59" s="145"/>
      <c r="AD59" s="145"/>
      <c r="AE59" s="145"/>
      <c r="AF59" s="145"/>
      <c r="AG59" s="145"/>
      <c r="AH59" s="145"/>
      <c r="AI59" s="143"/>
      <c r="AL59" s="70"/>
      <c r="AM59" s="70"/>
      <c r="AN59" s="70"/>
      <c r="AO59" s="144"/>
      <c r="AP59" s="70"/>
    </row>
    <row r="60" spans="1:42" s="63" customFormat="1" ht="15" hidden="1">
      <c r="A60" s="33" t="s">
        <v>33</v>
      </c>
      <c r="B60" s="165">
        <v>7.1948259738561822</v>
      </c>
      <c r="C60" s="166"/>
      <c r="D60" s="166"/>
      <c r="E60" s="167"/>
      <c r="F60" s="28"/>
      <c r="G60" s="28"/>
      <c r="H60" s="28"/>
      <c r="I60" s="28"/>
      <c r="J60" s="28"/>
      <c r="K60" s="28"/>
      <c r="L60" s="28"/>
      <c r="M60" s="28"/>
      <c r="N60" s="28"/>
      <c r="O60" s="168"/>
      <c r="P60" s="168"/>
      <c r="Q60" s="168"/>
      <c r="R60" s="168"/>
      <c r="S60" s="168"/>
      <c r="T60" s="168"/>
      <c r="U60" s="168"/>
      <c r="V60" s="168"/>
      <c r="W60" s="2" t="s">
        <v>34</v>
      </c>
      <c r="X60" s="141"/>
      <c r="Y60" s="145"/>
      <c r="Z60" s="7"/>
      <c r="AA60" s="7"/>
      <c r="AB60" s="7"/>
      <c r="AC60" s="145"/>
      <c r="AD60" s="145"/>
      <c r="AE60" s="145"/>
      <c r="AF60" s="145"/>
      <c r="AG60" s="145"/>
      <c r="AH60" s="145"/>
      <c r="AI60" s="143"/>
      <c r="AL60" s="70"/>
      <c r="AM60" s="70"/>
      <c r="AN60" s="70"/>
      <c r="AO60" s="144"/>
      <c r="AP60" s="70"/>
    </row>
    <row r="61" spans="1:42" s="63" customFormat="1" ht="15" hidden="1">
      <c r="A61" s="33" t="s">
        <v>35</v>
      </c>
      <c r="B61" s="165">
        <v>5.7912209701631463</v>
      </c>
      <c r="C61" s="166"/>
      <c r="D61" s="166"/>
      <c r="E61" s="167"/>
      <c r="F61" s="28"/>
      <c r="G61" s="28"/>
      <c r="H61" s="28"/>
      <c r="I61" s="28"/>
      <c r="J61" s="28"/>
      <c r="K61" s="28"/>
      <c r="L61" s="28"/>
      <c r="M61" s="28"/>
      <c r="N61" s="28"/>
      <c r="O61" s="168"/>
      <c r="P61" s="168"/>
      <c r="Q61" s="168"/>
      <c r="R61" s="168"/>
      <c r="S61" s="168"/>
      <c r="T61" s="168"/>
      <c r="U61" s="168"/>
      <c r="V61" s="168"/>
      <c r="W61" s="2" t="s">
        <v>36</v>
      </c>
      <c r="X61" s="141"/>
      <c r="Y61" s="145"/>
      <c r="Z61" s="7"/>
      <c r="AA61" s="7"/>
      <c r="AB61" s="7"/>
      <c r="AC61" s="145"/>
      <c r="AD61" s="145"/>
      <c r="AE61" s="145"/>
      <c r="AF61" s="145"/>
      <c r="AG61" s="145"/>
      <c r="AH61" s="145"/>
      <c r="AI61" s="143"/>
      <c r="AL61" s="70"/>
      <c r="AM61" s="70"/>
      <c r="AN61" s="70"/>
      <c r="AO61" s="144"/>
      <c r="AP61" s="70"/>
    </row>
    <row r="62" spans="1:42" s="63" customFormat="1" ht="15" hidden="1">
      <c r="A62" s="33" t="s">
        <v>37</v>
      </c>
      <c r="B62" s="165">
        <v>4.58090391218186</v>
      </c>
      <c r="C62" s="166"/>
      <c r="D62" s="166"/>
      <c r="E62" s="167"/>
      <c r="F62" s="28"/>
      <c r="G62" s="28"/>
      <c r="H62" s="28"/>
      <c r="I62" s="28"/>
      <c r="J62" s="28"/>
      <c r="K62" s="28"/>
      <c r="L62" s="28"/>
      <c r="M62" s="28"/>
      <c r="N62" s="28"/>
      <c r="O62" s="168"/>
      <c r="P62" s="168"/>
      <c r="Q62" s="168"/>
      <c r="R62" s="168"/>
      <c r="S62" s="168"/>
      <c r="T62" s="168"/>
      <c r="U62" s="168"/>
      <c r="V62" s="168"/>
      <c r="W62" s="2" t="s">
        <v>38</v>
      </c>
      <c r="X62" s="141"/>
      <c r="Y62" s="145"/>
      <c r="Z62" s="7"/>
      <c r="AA62" s="7"/>
      <c r="AB62" s="7"/>
      <c r="AC62" s="145"/>
      <c r="AD62" s="145"/>
      <c r="AE62" s="145"/>
      <c r="AF62" s="145"/>
      <c r="AG62" s="145"/>
      <c r="AH62" s="145"/>
      <c r="AI62" s="143"/>
      <c r="AL62" s="70"/>
      <c r="AM62" s="70"/>
      <c r="AN62" s="70"/>
      <c r="AO62" s="144"/>
      <c r="AP62" s="70"/>
    </row>
    <row r="63" spans="1:42" s="63" customFormat="1" ht="15" hidden="1">
      <c r="A63" s="170" t="s">
        <v>39</v>
      </c>
      <c r="B63" s="165">
        <v>6.1528574267983878</v>
      </c>
      <c r="C63" s="166"/>
      <c r="D63" s="166"/>
      <c r="E63" s="167"/>
      <c r="F63" s="28"/>
      <c r="G63" s="28"/>
      <c r="H63" s="28"/>
      <c r="I63" s="28"/>
      <c r="J63" s="28"/>
      <c r="K63" s="28"/>
      <c r="L63" s="28"/>
      <c r="M63" s="28"/>
      <c r="N63" s="28"/>
      <c r="O63" s="168"/>
      <c r="P63" s="168"/>
      <c r="Q63" s="168"/>
      <c r="R63" s="168"/>
      <c r="S63" s="168"/>
      <c r="T63" s="168"/>
      <c r="U63" s="168"/>
      <c r="V63" s="168"/>
      <c r="W63" s="35" t="s">
        <v>40</v>
      </c>
      <c r="X63" s="141"/>
      <c r="Y63" s="145"/>
      <c r="Z63" s="7"/>
      <c r="AA63" s="7"/>
      <c r="AB63" s="7"/>
      <c r="AC63" s="145"/>
      <c r="AD63" s="145"/>
      <c r="AE63" s="145"/>
      <c r="AF63" s="145"/>
      <c r="AG63" s="145"/>
      <c r="AH63" s="145"/>
      <c r="AI63" s="143"/>
      <c r="AL63" s="70"/>
      <c r="AM63" s="70"/>
      <c r="AN63" s="70"/>
      <c r="AO63" s="144"/>
      <c r="AP63" s="70"/>
    </row>
    <row r="64" spans="1:42" s="63" customFormat="1" ht="15" hidden="1">
      <c r="A64" s="169" t="s">
        <v>12</v>
      </c>
      <c r="B64" s="165">
        <v>1.9430672868104886</v>
      </c>
      <c r="C64" s="166"/>
      <c r="D64" s="166"/>
      <c r="E64" s="167"/>
      <c r="F64" s="28"/>
      <c r="G64" s="28"/>
      <c r="H64" s="28"/>
      <c r="I64" s="28"/>
      <c r="J64" s="28"/>
      <c r="K64" s="28"/>
      <c r="L64" s="28"/>
      <c r="M64" s="28"/>
      <c r="N64" s="28"/>
      <c r="O64" s="168"/>
      <c r="P64" s="168"/>
      <c r="Q64" s="168"/>
      <c r="R64" s="168"/>
      <c r="S64" s="168"/>
      <c r="T64" s="168"/>
      <c r="U64" s="168"/>
      <c r="V64" s="168"/>
      <c r="W64" s="35" t="s">
        <v>13</v>
      </c>
      <c r="Y64" s="70"/>
      <c r="Z64" s="7"/>
      <c r="AA64" s="7"/>
      <c r="AB64" s="7"/>
      <c r="AC64" s="70"/>
      <c r="AD64" s="70"/>
      <c r="AE64" s="70"/>
      <c r="AF64" s="70"/>
      <c r="AG64" s="70"/>
      <c r="AH64" s="70"/>
      <c r="AI64" s="143"/>
      <c r="AL64" s="70"/>
      <c r="AM64" s="70"/>
      <c r="AN64" s="70"/>
      <c r="AO64" s="144"/>
      <c r="AP64" s="70"/>
    </row>
    <row r="65" spans="1:42" s="63" customFormat="1" ht="15" hidden="1">
      <c r="A65" s="169" t="s">
        <v>41</v>
      </c>
      <c r="B65" s="165">
        <v>2.1113300205874355</v>
      </c>
      <c r="C65" s="166"/>
      <c r="D65" s="166"/>
      <c r="E65" s="167"/>
      <c r="F65" s="28"/>
      <c r="G65" s="28"/>
      <c r="H65" s="28"/>
      <c r="I65" s="28"/>
      <c r="J65" s="28"/>
      <c r="K65" s="28"/>
      <c r="L65" s="28"/>
      <c r="M65" s="28"/>
      <c r="N65" s="28"/>
      <c r="O65" s="168"/>
      <c r="P65" s="168"/>
      <c r="Q65" s="168"/>
      <c r="R65" s="168"/>
      <c r="S65" s="168"/>
      <c r="T65" s="168"/>
      <c r="U65" s="168"/>
      <c r="V65" s="168"/>
      <c r="W65" s="35" t="s">
        <v>42</v>
      </c>
      <c r="Y65" s="70"/>
      <c r="Z65" s="146"/>
      <c r="AA65" s="146"/>
      <c r="AB65" s="146"/>
      <c r="AC65" s="70"/>
      <c r="AD65" s="70"/>
      <c r="AE65" s="70"/>
      <c r="AF65" s="70"/>
      <c r="AG65" s="70"/>
      <c r="AH65" s="70"/>
      <c r="AI65" s="143"/>
      <c r="AL65" s="70"/>
      <c r="AM65" s="70"/>
      <c r="AN65" s="70"/>
      <c r="AO65" s="144"/>
      <c r="AP65" s="70"/>
    </row>
    <row r="66" spans="1:42" s="63" customFormat="1" ht="15" hidden="1">
      <c r="A66" s="170" t="s">
        <v>43</v>
      </c>
      <c r="B66" s="171">
        <v>7.7045218867778775</v>
      </c>
      <c r="C66" s="166"/>
      <c r="D66" s="166"/>
      <c r="E66" s="167"/>
      <c r="F66" s="28"/>
      <c r="G66" s="28"/>
      <c r="H66" s="28"/>
      <c r="I66" s="28"/>
      <c r="J66" s="28"/>
      <c r="K66" s="28"/>
      <c r="L66" s="28"/>
      <c r="M66" s="28"/>
      <c r="N66" s="28"/>
      <c r="O66" s="168"/>
      <c r="P66" s="168"/>
      <c r="Q66" s="168"/>
      <c r="R66" s="168"/>
      <c r="S66" s="168"/>
      <c r="T66" s="168"/>
      <c r="U66" s="168"/>
      <c r="V66" s="168"/>
      <c r="W66" s="125" t="s">
        <v>74</v>
      </c>
      <c r="X66" s="141"/>
      <c r="Y66" s="145"/>
      <c r="Z66" s="7"/>
      <c r="AA66" s="7"/>
      <c r="AB66" s="7"/>
      <c r="AC66" s="145"/>
      <c r="AD66" s="145"/>
      <c r="AE66" s="145"/>
      <c r="AF66" s="145"/>
      <c r="AG66" s="145"/>
      <c r="AH66" s="145"/>
      <c r="AI66" s="143"/>
      <c r="AO66" s="148"/>
    </row>
    <row r="67" spans="1:42" s="60" customFormat="1" ht="15" hidden="1">
      <c r="A67" s="172" t="s">
        <v>69</v>
      </c>
      <c r="B67" s="173">
        <v>100</v>
      </c>
      <c r="C67" s="174"/>
      <c r="D67" s="174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6"/>
      <c r="P67" s="176"/>
      <c r="Q67" s="176"/>
      <c r="R67" s="176"/>
      <c r="S67" s="176"/>
      <c r="T67" s="176"/>
      <c r="U67" s="176"/>
      <c r="V67" s="176"/>
      <c r="W67" s="40" t="s">
        <v>14</v>
      </c>
      <c r="X67" s="150"/>
      <c r="Y67" s="151"/>
      <c r="Z67" s="7"/>
      <c r="AA67" s="7"/>
      <c r="AB67" s="7"/>
      <c r="AC67" s="151"/>
      <c r="AD67" s="151"/>
      <c r="AE67" s="151"/>
      <c r="AF67" s="151"/>
      <c r="AG67" s="151"/>
      <c r="AH67" s="151"/>
      <c r="AI67" s="143"/>
      <c r="AO67" s="152"/>
    </row>
    <row r="68" spans="1:42" s="155" customFormat="1" ht="15" hidden="1">
      <c r="A68" s="177" t="s">
        <v>70</v>
      </c>
      <c r="B68" s="178">
        <v>90.495421696194171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44" t="s">
        <v>54</v>
      </c>
      <c r="X68" s="151"/>
      <c r="Y68" s="151"/>
      <c r="Z68" s="153"/>
      <c r="AA68" s="153"/>
      <c r="AB68" s="153"/>
      <c r="AC68" s="151"/>
      <c r="AD68" s="151"/>
      <c r="AE68" s="151"/>
      <c r="AF68" s="151"/>
      <c r="AG68" s="151"/>
      <c r="AH68" s="151"/>
      <c r="AI68" s="154"/>
      <c r="AO68" s="156"/>
    </row>
    <row r="69" spans="1:42" ht="21" hidden="1">
      <c r="A69" s="180"/>
    </row>
    <row r="70" spans="1:42" ht="21.75" hidden="1" customHeight="1">
      <c r="A70" s="180"/>
    </row>
    <row r="71" spans="1:42" ht="21">
      <c r="A71" s="180"/>
    </row>
    <row r="72" spans="1:42">
      <c r="B72" s="7"/>
    </row>
    <row r="73" spans="1:42">
      <c r="B73" s="7"/>
      <c r="Z73" s="182"/>
    </row>
    <row r="74" spans="1:42">
      <c r="B74" s="7"/>
      <c r="Y74" s="239"/>
      <c r="Z74" s="182"/>
      <c r="AA74" s="182"/>
    </row>
    <row r="75" spans="1:42">
      <c r="B75" s="7"/>
      <c r="Y75" s="239"/>
      <c r="Z75" s="182"/>
      <c r="AA75" s="182"/>
    </row>
    <row r="76" spans="1:42">
      <c r="Y76" s="239"/>
      <c r="Z76" s="182"/>
      <c r="AA76" s="182"/>
    </row>
    <row r="77" spans="1:42">
      <c r="Y77" s="239"/>
      <c r="Z77" s="182"/>
      <c r="AA77" s="182"/>
    </row>
    <row r="78" spans="1:42">
      <c r="Y78" s="239"/>
      <c r="Z78" s="182"/>
      <c r="AA78" s="182"/>
    </row>
    <row r="79" spans="1:42">
      <c r="Y79" s="239"/>
      <c r="Z79" s="182"/>
      <c r="AA79" s="182"/>
    </row>
    <row r="80" spans="1:42">
      <c r="Y80" s="239"/>
      <c r="Z80" s="182"/>
      <c r="AA80" s="182"/>
    </row>
    <row r="81" spans="1:27">
      <c r="A81" s="7"/>
      <c r="Y81" s="239"/>
      <c r="Z81" s="182"/>
      <c r="AA81" s="182"/>
    </row>
    <row r="82" spans="1:27"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239"/>
      <c r="Z82" s="182"/>
      <c r="AA82" s="182"/>
    </row>
    <row r="83" spans="1:27">
      <c r="A83" s="7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239"/>
      <c r="Z83" s="182"/>
      <c r="AA83" s="182"/>
    </row>
    <row r="84" spans="1:27"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239"/>
      <c r="Z84" s="182"/>
      <c r="AA84" s="182"/>
    </row>
    <row r="85" spans="1:27" ht="23.25">
      <c r="A85" s="183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239"/>
      <c r="Z85" s="182"/>
      <c r="AA85" s="182"/>
    </row>
    <row r="86" spans="1:27"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239"/>
      <c r="Z86" s="182"/>
      <c r="AA86" s="182"/>
    </row>
    <row r="87" spans="1:27"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239"/>
      <c r="Z87" s="182"/>
      <c r="AA87" s="182"/>
    </row>
    <row r="88" spans="1:27"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239"/>
      <c r="Z88" s="182"/>
    </row>
    <row r="89" spans="1:27"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239"/>
      <c r="Z89" s="182"/>
    </row>
    <row r="90" spans="1:27"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239"/>
    </row>
    <row r="91" spans="1:27"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239"/>
    </row>
    <row r="92" spans="1:27"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239"/>
    </row>
    <row r="93" spans="1:27"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239"/>
    </row>
    <row r="94" spans="1:27"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239"/>
    </row>
    <row r="95" spans="1:27"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239"/>
    </row>
    <row r="96" spans="1:27"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</row>
    <row r="97" spans="8:24"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</row>
    <row r="98" spans="8:24"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</row>
    <row r="99" spans="8:24"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</row>
    <row r="100" spans="8:24"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</row>
    <row r="101" spans="8:24"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</row>
    <row r="102" spans="8:24"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</row>
    <row r="103" spans="8:24"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</row>
    <row r="104" spans="8:24"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</row>
    <row r="105" spans="8:24"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</row>
    <row r="106" spans="8:24"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</row>
    <row r="107" spans="8:24"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</row>
    <row r="108" spans="8:24"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</row>
    <row r="109" spans="8:24"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</row>
    <row r="110" spans="8:24"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</row>
    <row r="111" spans="8:24"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</row>
    <row r="112" spans="8:24"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</row>
    <row r="113" spans="8:24"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</row>
    <row r="114" spans="8:24"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</row>
    <row r="115" spans="8:24"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</row>
    <row r="116" spans="8:24"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</row>
    <row r="117" spans="8:24"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</row>
    <row r="118" spans="8:24"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</row>
    <row r="119" spans="8:24"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</row>
    <row r="120" spans="8:24"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</row>
    <row r="121" spans="8:24"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</row>
    <row r="122" spans="8:24"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</row>
    <row r="123" spans="8:24"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</row>
    <row r="124" spans="8:24"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</row>
    <row r="125" spans="8:24"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</row>
    <row r="126" spans="8:24"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</row>
    <row r="127" spans="8:24"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</row>
    <row r="128" spans="8:24"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</row>
    <row r="129" spans="8:24"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</row>
    <row r="130" spans="8:24"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</row>
    <row r="131" spans="8:24"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</row>
    <row r="132" spans="8:24"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</row>
    <row r="133" spans="8:24"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</row>
    <row r="134" spans="8:24"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</row>
    <row r="135" spans="8:24"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</row>
    <row r="136" spans="8:24"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</row>
    <row r="137" spans="8:24"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</row>
    <row r="138" spans="8:24"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</row>
    <row r="139" spans="8:24"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</row>
    <row r="140" spans="8:24"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</row>
    <row r="141" spans="8:24"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</row>
    <row r="142" spans="8:24"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</row>
    <row r="143" spans="8:24"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</row>
    <row r="144" spans="8:24">
      <c r="H144" s="182"/>
      <c r="I144" s="182"/>
      <c r="J144" s="182"/>
      <c r="K144" s="182"/>
      <c r="L144" s="182"/>
      <c r="M144" s="182"/>
      <c r="N144" s="182"/>
    </row>
    <row r="145" spans="8:14">
      <c r="H145" s="182"/>
      <c r="I145" s="182"/>
      <c r="J145" s="182"/>
      <c r="K145" s="182"/>
      <c r="L145" s="182"/>
      <c r="M145" s="182"/>
      <c r="N145" s="182"/>
    </row>
    <row r="146" spans="8:14">
      <c r="H146" s="182"/>
      <c r="I146" s="182"/>
      <c r="J146" s="182"/>
      <c r="K146" s="182"/>
      <c r="L146" s="182"/>
      <c r="M146" s="182"/>
      <c r="N146" s="182"/>
    </row>
    <row r="147" spans="8:14">
      <c r="H147" s="182"/>
      <c r="I147" s="182"/>
      <c r="J147" s="182"/>
      <c r="K147" s="182"/>
      <c r="L147" s="182"/>
      <c r="M147" s="182"/>
      <c r="N147" s="182"/>
    </row>
    <row r="148" spans="8:14">
      <c r="H148" s="182"/>
      <c r="I148" s="182"/>
      <c r="J148" s="182"/>
      <c r="K148" s="182"/>
      <c r="L148" s="182"/>
      <c r="M148" s="182"/>
      <c r="N148" s="182"/>
    </row>
    <row r="149" spans="8:14">
      <c r="H149" s="182"/>
      <c r="I149" s="182"/>
      <c r="J149" s="182"/>
      <c r="K149" s="182"/>
      <c r="L149" s="182"/>
      <c r="M149" s="182"/>
      <c r="N149" s="182"/>
    </row>
    <row r="150" spans="8:14">
      <c r="H150" s="182"/>
      <c r="I150" s="182"/>
      <c r="J150" s="182"/>
      <c r="K150" s="182"/>
      <c r="L150" s="182"/>
      <c r="M150" s="182"/>
      <c r="N150" s="182"/>
    </row>
    <row r="151" spans="8:14">
      <c r="H151" s="182"/>
      <c r="I151" s="182"/>
      <c r="J151" s="182"/>
      <c r="K151" s="182"/>
      <c r="L151" s="182"/>
      <c r="M151" s="182"/>
      <c r="N151" s="182"/>
    </row>
    <row r="152" spans="8:14">
      <c r="H152" s="182"/>
      <c r="I152" s="182"/>
      <c r="J152" s="182"/>
      <c r="K152" s="182"/>
      <c r="L152" s="182"/>
      <c r="M152" s="182"/>
      <c r="N152" s="182"/>
    </row>
    <row r="153" spans="8:14">
      <c r="H153" s="182"/>
      <c r="I153" s="182"/>
      <c r="J153" s="182"/>
      <c r="K153" s="182"/>
      <c r="L153" s="182"/>
      <c r="M153" s="182"/>
      <c r="N153" s="182"/>
    </row>
    <row r="154" spans="8:14">
      <c r="H154" s="182"/>
      <c r="I154" s="182"/>
      <c r="J154" s="182"/>
      <c r="K154" s="182"/>
      <c r="L154" s="182"/>
      <c r="M154" s="182"/>
      <c r="N154" s="182"/>
    </row>
    <row r="155" spans="8:14">
      <c r="H155" s="182"/>
      <c r="I155" s="182"/>
      <c r="J155" s="182"/>
      <c r="K155" s="182"/>
      <c r="L155" s="182"/>
      <c r="M155" s="182"/>
      <c r="N155" s="182"/>
    </row>
    <row r="156" spans="8:14">
      <c r="H156" s="182"/>
      <c r="I156" s="182"/>
      <c r="J156" s="182"/>
      <c r="K156" s="182"/>
      <c r="L156" s="182"/>
      <c r="M156" s="182"/>
      <c r="N156" s="182"/>
    </row>
    <row r="157" spans="8:14">
      <c r="H157" s="182"/>
      <c r="I157" s="182"/>
      <c r="J157" s="182"/>
      <c r="K157" s="182"/>
      <c r="L157" s="182"/>
      <c r="M157" s="182"/>
      <c r="N157" s="182"/>
    </row>
    <row r="158" spans="8:14">
      <c r="H158" s="182"/>
      <c r="I158" s="182"/>
      <c r="J158" s="182"/>
      <c r="K158" s="182"/>
      <c r="L158" s="182"/>
      <c r="M158" s="182"/>
      <c r="N158" s="182"/>
    </row>
    <row r="159" spans="8:14">
      <c r="H159" s="182"/>
      <c r="I159" s="182"/>
      <c r="J159" s="182"/>
      <c r="K159" s="182"/>
      <c r="L159" s="182"/>
      <c r="M159" s="182"/>
      <c r="N159" s="182"/>
    </row>
    <row r="160" spans="8:14">
      <c r="H160" s="182"/>
      <c r="I160" s="182"/>
      <c r="J160" s="182"/>
      <c r="K160" s="182"/>
      <c r="L160" s="182"/>
      <c r="M160" s="182"/>
      <c r="N160" s="182"/>
    </row>
    <row r="161" spans="8:14">
      <c r="H161" s="182"/>
      <c r="I161" s="182"/>
      <c r="J161" s="182"/>
      <c r="K161" s="182"/>
      <c r="L161" s="182"/>
      <c r="M161" s="182"/>
      <c r="N161" s="182"/>
    </row>
    <row r="162" spans="8:14">
      <c r="H162" s="182"/>
      <c r="I162" s="182"/>
      <c r="J162" s="182"/>
      <c r="K162" s="182"/>
      <c r="L162" s="182"/>
      <c r="M162" s="182"/>
      <c r="N162" s="182"/>
    </row>
    <row r="163" spans="8:14">
      <c r="H163" s="182"/>
      <c r="I163" s="182"/>
      <c r="J163" s="182"/>
      <c r="K163" s="182"/>
      <c r="L163" s="182"/>
      <c r="M163" s="182"/>
      <c r="N163" s="182"/>
    </row>
    <row r="164" spans="8:14">
      <c r="H164" s="182"/>
      <c r="I164" s="182"/>
      <c r="J164" s="182"/>
      <c r="K164" s="182"/>
      <c r="L164" s="182"/>
      <c r="M164" s="182"/>
      <c r="N164" s="182"/>
    </row>
    <row r="165" spans="8:14">
      <c r="H165" s="182"/>
      <c r="I165" s="182"/>
      <c r="J165" s="182"/>
      <c r="K165" s="182"/>
      <c r="L165" s="182"/>
      <c r="M165" s="182"/>
      <c r="N165" s="182"/>
    </row>
    <row r="166" spans="8:14">
      <c r="H166" s="182"/>
      <c r="I166" s="182"/>
      <c r="J166" s="182"/>
      <c r="K166" s="182"/>
      <c r="L166" s="182"/>
      <c r="M166" s="182"/>
      <c r="N166" s="182"/>
    </row>
    <row r="167" spans="8:14">
      <c r="H167" s="182"/>
      <c r="I167" s="182"/>
      <c r="J167" s="182"/>
      <c r="K167" s="182"/>
      <c r="L167" s="182"/>
      <c r="M167" s="182"/>
      <c r="N167" s="182"/>
    </row>
    <row r="168" spans="8:14">
      <c r="H168" s="182"/>
      <c r="I168" s="182"/>
      <c r="J168" s="182"/>
      <c r="K168" s="182"/>
      <c r="L168" s="182"/>
      <c r="M168" s="182"/>
      <c r="N168" s="182"/>
    </row>
    <row r="169" spans="8:14">
      <c r="H169" s="182"/>
      <c r="I169" s="182"/>
      <c r="J169" s="182"/>
      <c r="K169" s="182"/>
      <c r="L169" s="182"/>
      <c r="M169" s="182"/>
      <c r="N169" s="182"/>
    </row>
    <row r="170" spans="8:14">
      <c r="H170" s="182"/>
      <c r="I170" s="182"/>
      <c r="J170" s="182"/>
      <c r="K170" s="182"/>
      <c r="L170" s="182"/>
      <c r="M170" s="182"/>
      <c r="N170" s="182"/>
    </row>
    <row r="171" spans="8:14">
      <c r="H171" s="182"/>
      <c r="I171" s="182"/>
      <c r="J171" s="182"/>
      <c r="K171" s="182"/>
      <c r="L171" s="182"/>
      <c r="M171" s="182"/>
      <c r="N171" s="182"/>
    </row>
    <row r="172" spans="8:14">
      <c r="H172" s="182"/>
      <c r="I172" s="182"/>
      <c r="J172" s="182"/>
      <c r="K172" s="182"/>
      <c r="L172" s="182"/>
      <c r="M172" s="182"/>
      <c r="N172" s="182"/>
    </row>
    <row r="173" spans="8:14">
      <c r="H173" s="182"/>
      <c r="I173" s="182"/>
      <c r="J173" s="182"/>
      <c r="K173" s="182"/>
      <c r="L173" s="182"/>
      <c r="M173" s="182"/>
      <c r="N173" s="182"/>
    </row>
    <row r="174" spans="8:14">
      <c r="H174" s="182"/>
      <c r="I174" s="182"/>
      <c r="J174" s="182"/>
      <c r="K174" s="182"/>
      <c r="L174" s="182"/>
      <c r="M174" s="182"/>
      <c r="N174" s="182"/>
    </row>
    <row r="175" spans="8:14">
      <c r="H175" s="182"/>
      <c r="I175" s="182"/>
      <c r="J175" s="182"/>
      <c r="K175" s="182"/>
      <c r="L175" s="182"/>
      <c r="M175" s="182"/>
      <c r="N175" s="182"/>
    </row>
    <row r="176" spans="8:14">
      <c r="H176" s="182"/>
      <c r="I176" s="182"/>
      <c r="J176" s="182"/>
      <c r="K176" s="182"/>
      <c r="L176" s="182"/>
      <c r="M176" s="182"/>
      <c r="N176" s="182"/>
    </row>
    <row r="177" spans="8:14">
      <c r="H177" s="182"/>
      <c r="I177" s="182"/>
      <c r="J177" s="182"/>
      <c r="K177" s="182"/>
      <c r="L177" s="182"/>
      <c r="M177" s="182"/>
      <c r="N177" s="182"/>
    </row>
    <row r="178" spans="8:14">
      <c r="H178" s="182"/>
      <c r="I178" s="182"/>
      <c r="J178" s="182"/>
      <c r="K178" s="182"/>
      <c r="L178" s="182"/>
      <c r="M178" s="182"/>
      <c r="N178" s="182"/>
    </row>
    <row r="179" spans="8:14">
      <c r="H179" s="182"/>
      <c r="I179" s="182"/>
      <c r="J179" s="182"/>
      <c r="K179" s="182"/>
      <c r="L179" s="182"/>
      <c r="M179" s="182"/>
      <c r="N179" s="182"/>
    </row>
    <row r="180" spans="8:14">
      <c r="H180" s="182"/>
      <c r="I180" s="182"/>
      <c r="J180" s="182"/>
      <c r="K180" s="182"/>
      <c r="L180" s="182"/>
      <c r="M180" s="182"/>
      <c r="N180" s="182"/>
    </row>
    <row r="181" spans="8:14">
      <c r="H181" s="182"/>
      <c r="I181" s="182"/>
      <c r="J181" s="182"/>
      <c r="K181" s="182"/>
      <c r="L181" s="182"/>
      <c r="M181" s="182"/>
      <c r="N181" s="182"/>
    </row>
    <row r="182" spans="8:14">
      <c r="H182" s="182"/>
      <c r="I182" s="182"/>
      <c r="J182" s="182"/>
      <c r="K182" s="182"/>
      <c r="L182" s="182"/>
      <c r="M182" s="182"/>
      <c r="N182" s="182"/>
    </row>
    <row r="183" spans="8:14">
      <c r="H183" s="182"/>
      <c r="I183" s="182"/>
      <c r="J183" s="182"/>
      <c r="K183" s="182"/>
      <c r="L183" s="182"/>
      <c r="M183" s="182"/>
      <c r="N183" s="182"/>
    </row>
    <row r="184" spans="8:14">
      <c r="H184" s="182"/>
      <c r="I184" s="182"/>
      <c r="J184" s="182"/>
      <c r="K184" s="182"/>
      <c r="L184" s="182"/>
      <c r="M184" s="182"/>
      <c r="N184" s="182"/>
    </row>
    <row r="185" spans="8:14">
      <c r="H185" s="182"/>
      <c r="I185" s="182"/>
      <c r="J185" s="182"/>
      <c r="K185" s="182"/>
      <c r="L185" s="182"/>
      <c r="M185" s="182"/>
      <c r="N185" s="182"/>
    </row>
    <row r="186" spans="8:14">
      <c r="H186" s="182"/>
      <c r="I186" s="182"/>
      <c r="J186" s="182"/>
      <c r="K186" s="182"/>
      <c r="L186" s="182"/>
      <c r="M186" s="182"/>
      <c r="N186" s="182"/>
    </row>
    <row r="187" spans="8:14">
      <c r="H187" s="182"/>
      <c r="I187" s="182"/>
      <c r="J187" s="182"/>
      <c r="K187" s="182"/>
      <c r="L187" s="182"/>
      <c r="M187" s="182"/>
      <c r="N187" s="182"/>
    </row>
    <row r="188" spans="8:14">
      <c r="H188" s="182"/>
      <c r="I188" s="182"/>
      <c r="J188" s="182"/>
      <c r="K188" s="182"/>
      <c r="L188" s="182"/>
      <c r="M188" s="182"/>
      <c r="N188" s="182"/>
    </row>
    <row r="189" spans="8:14">
      <c r="H189" s="182"/>
      <c r="I189" s="182"/>
      <c r="J189" s="182"/>
      <c r="K189" s="182"/>
      <c r="L189" s="182"/>
      <c r="M189" s="182"/>
      <c r="N189" s="182"/>
    </row>
    <row r="190" spans="8:14">
      <c r="H190" s="182"/>
      <c r="I190" s="182"/>
      <c r="J190" s="182"/>
      <c r="K190" s="182"/>
      <c r="L190" s="182"/>
      <c r="M190" s="182"/>
      <c r="N190" s="182"/>
    </row>
    <row r="191" spans="8:14">
      <c r="H191" s="182"/>
      <c r="I191" s="182"/>
      <c r="J191" s="182"/>
      <c r="K191" s="182"/>
      <c r="L191" s="182"/>
      <c r="M191" s="182"/>
      <c r="N191" s="182"/>
    </row>
    <row r="192" spans="8:14">
      <c r="H192" s="182"/>
      <c r="I192" s="182"/>
      <c r="J192" s="182"/>
      <c r="K192" s="182"/>
      <c r="L192" s="182"/>
      <c r="M192" s="182"/>
      <c r="N192" s="182"/>
    </row>
    <row r="193" spans="8:14">
      <c r="H193" s="182"/>
      <c r="I193" s="182"/>
      <c r="J193" s="182"/>
      <c r="K193" s="182"/>
      <c r="L193" s="182"/>
      <c r="M193" s="182"/>
      <c r="N193" s="182"/>
    </row>
    <row r="194" spans="8:14">
      <c r="H194" s="182"/>
      <c r="I194" s="182"/>
      <c r="J194" s="182"/>
      <c r="K194" s="182"/>
      <c r="L194" s="182"/>
      <c r="M194" s="182"/>
      <c r="N194" s="182"/>
    </row>
    <row r="195" spans="8:14">
      <c r="H195" s="182"/>
      <c r="I195" s="182"/>
      <c r="J195" s="182"/>
      <c r="K195" s="182"/>
      <c r="L195" s="182"/>
      <c r="M195" s="182"/>
      <c r="N195" s="182"/>
    </row>
    <row r="196" spans="8:14">
      <c r="H196" s="182"/>
      <c r="I196" s="182"/>
      <c r="J196" s="182"/>
      <c r="K196" s="182"/>
      <c r="L196" s="182"/>
      <c r="M196" s="182"/>
      <c r="N196" s="182"/>
    </row>
    <row r="197" spans="8:14">
      <c r="H197" s="182"/>
      <c r="I197" s="182"/>
      <c r="J197" s="182"/>
      <c r="K197" s="182"/>
      <c r="L197" s="182"/>
      <c r="M197" s="182"/>
      <c r="N197" s="182"/>
    </row>
    <row r="198" spans="8:14">
      <c r="H198" s="182"/>
      <c r="I198" s="182"/>
      <c r="J198" s="182"/>
      <c r="K198" s="182"/>
      <c r="L198" s="182"/>
      <c r="M198" s="182"/>
      <c r="N198" s="182"/>
    </row>
    <row r="199" spans="8:14">
      <c r="H199" s="182"/>
      <c r="I199" s="182"/>
      <c r="J199" s="182"/>
      <c r="K199" s="182"/>
      <c r="L199" s="182"/>
      <c r="M199" s="182"/>
      <c r="N199" s="182"/>
    </row>
    <row r="200" spans="8:14">
      <c r="H200" s="182"/>
      <c r="I200" s="182"/>
      <c r="J200" s="182"/>
      <c r="K200" s="182"/>
      <c r="L200" s="182"/>
      <c r="M200" s="182"/>
      <c r="N200" s="182"/>
    </row>
    <row r="201" spans="8:14">
      <c r="H201" s="182"/>
      <c r="I201" s="182"/>
      <c r="J201" s="182"/>
      <c r="K201" s="182"/>
      <c r="L201" s="182"/>
      <c r="M201" s="182"/>
      <c r="N201" s="182"/>
    </row>
    <row r="202" spans="8:14">
      <c r="H202" s="182"/>
      <c r="I202" s="182"/>
      <c r="J202" s="182"/>
      <c r="K202" s="182"/>
      <c r="L202" s="182"/>
      <c r="M202" s="182"/>
      <c r="N202" s="182"/>
    </row>
    <row r="203" spans="8:14">
      <c r="H203" s="182"/>
      <c r="I203" s="182"/>
      <c r="J203" s="182"/>
      <c r="K203" s="182"/>
      <c r="L203" s="182"/>
      <c r="M203" s="182"/>
      <c r="N203" s="182"/>
    </row>
    <row r="204" spans="8:14">
      <c r="H204" s="182"/>
      <c r="I204" s="182"/>
      <c r="J204" s="182"/>
      <c r="K204" s="182"/>
      <c r="L204" s="182"/>
      <c r="M204" s="182"/>
      <c r="N204" s="182"/>
    </row>
    <row r="205" spans="8:14">
      <c r="H205" s="182"/>
      <c r="I205" s="182"/>
      <c r="J205" s="182"/>
      <c r="K205" s="182"/>
      <c r="L205" s="182"/>
      <c r="M205" s="182"/>
      <c r="N205" s="182"/>
    </row>
    <row r="206" spans="8:14">
      <c r="H206" s="182"/>
      <c r="I206" s="182"/>
      <c r="J206" s="182"/>
      <c r="K206" s="182"/>
      <c r="L206" s="182"/>
      <c r="M206" s="182"/>
      <c r="N206" s="182"/>
    </row>
    <row r="207" spans="8:14">
      <c r="H207" s="182"/>
      <c r="I207" s="182"/>
      <c r="J207" s="182"/>
      <c r="K207" s="182"/>
      <c r="L207" s="182"/>
      <c r="M207" s="182"/>
      <c r="N207" s="182"/>
    </row>
    <row r="208" spans="8:14">
      <c r="H208" s="182"/>
      <c r="I208" s="182"/>
      <c r="J208" s="182"/>
      <c r="K208" s="182"/>
      <c r="L208" s="182"/>
      <c r="M208" s="182"/>
      <c r="N208" s="182"/>
    </row>
    <row r="209" spans="8:14">
      <c r="H209" s="182"/>
      <c r="I209" s="182"/>
      <c r="J209" s="182"/>
      <c r="K209" s="182"/>
      <c r="L209" s="182"/>
      <c r="M209" s="182"/>
      <c r="N209" s="182"/>
    </row>
    <row r="210" spans="8:14">
      <c r="H210" s="182"/>
      <c r="I210" s="182"/>
      <c r="J210" s="182"/>
      <c r="K210" s="182"/>
      <c r="L210" s="182"/>
      <c r="M210" s="182"/>
      <c r="N210" s="182"/>
    </row>
    <row r="211" spans="8:14">
      <c r="H211" s="182"/>
      <c r="I211" s="182"/>
      <c r="J211" s="182"/>
      <c r="K211" s="182"/>
      <c r="L211" s="182"/>
      <c r="M211" s="182"/>
      <c r="N211" s="182"/>
    </row>
    <row r="212" spans="8:14">
      <c r="H212" s="182"/>
      <c r="I212" s="182"/>
      <c r="J212" s="182"/>
      <c r="K212" s="182"/>
      <c r="L212" s="182"/>
      <c r="M212" s="182"/>
      <c r="N212" s="182"/>
    </row>
    <row r="213" spans="8:14">
      <c r="H213" s="182"/>
      <c r="I213" s="182"/>
      <c r="J213" s="182"/>
      <c r="K213" s="182"/>
      <c r="L213" s="182"/>
      <c r="M213" s="182"/>
      <c r="N213" s="182"/>
    </row>
    <row r="214" spans="8:14">
      <c r="H214" s="182"/>
      <c r="I214" s="182"/>
      <c r="J214" s="182"/>
      <c r="K214" s="182"/>
      <c r="L214" s="182"/>
      <c r="M214" s="182"/>
      <c r="N214" s="182"/>
    </row>
    <row r="215" spans="8:14">
      <c r="H215" s="182"/>
      <c r="I215" s="182"/>
      <c r="J215" s="182"/>
      <c r="K215" s="182"/>
      <c r="L215" s="182"/>
      <c r="M215" s="182"/>
      <c r="N215" s="182"/>
    </row>
    <row r="216" spans="8:14">
      <c r="H216" s="182"/>
      <c r="I216" s="182"/>
      <c r="J216" s="182"/>
      <c r="K216" s="182"/>
      <c r="L216" s="182"/>
      <c r="M216" s="182"/>
      <c r="N216" s="182"/>
    </row>
    <row r="217" spans="8:14">
      <c r="H217" s="182"/>
      <c r="I217" s="182"/>
      <c r="J217" s="182"/>
      <c r="K217" s="182"/>
      <c r="L217" s="182"/>
      <c r="M217" s="182"/>
      <c r="N217" s="182"/>
    </row>
    <row r="218" spans="8:14">
      <c r="H218" s="182"/>
      <c r="I218" s="182"/>
      <c r="J218" s="182"/>
      <c r="K218" s="182"/>
      <c r="L218" s="182"/>
      <c r="M218" s="182"/>
      <c r="N218" s="182"/>
    </row>
    <row r="219" spans="8:14">
      <c r="H219" s="182"/>
      <c r="I219" s="182"/>
      <c r="J219" s="182"/>
      <c r="K219" s="182"/>
      <c r="L219" s="182"/>
      <c r="M219" s="182"/>
      <c r="N219" s="182"/>
    </row>
    <row r="220" spans="8:14">
      <c r="H220" s="182"/>
      <c r="I220" s="182"/>
      <c r="J220" s="182"/>
      <c r="K220" s="182"/>
      <c r="L220" s="182"/>
      <c r="M220" s="182"/>
      <c r="N220" s="182"/>
    </row>
    <row r="221" spans="8:14">
      <c r="H221" s="182"/>
      <c r="I221" s="182"/>
      <c r="J221" s="182"/>
      <c r="K221" s="182"/>
      <c r="L221" s="182"/>
      <c r="M221" s="182"/>
      <c r="N221" s="182"/>
    </row>
    <row r="222" spans="8:14">
      <c r="H222" s="182"/>
      <c r="I222" s="182"/>
      <c r="J222" s="182"/>
      <c r="K222" s="182"/>
      <c r="L222" s="182"/>
      <c r="M222" s="182"/>
      <c r="N222" s="182"/>
    </row>
    <row r="223" spans="8:14">
      <c r="H223" s="182"/>
      <c r="I223" s="182"/>
      <c r="J223" s="182"/>
      <c r="K223" s="182"/>
      <c r="L223" s="182"/>
      <c r="M223" s="182"/>
      <c r="N223" s="182"/>
    </row>
    <row r="224" spans="8:14">
      <c r="H224" s="182"/>
      <c r="I224" s="182"/>
      <c r="J224" s="182"/>
      <c r="K224" s="182"/>
      <c r="L224" s="182"/>
      <c r="M224" s="182"/>
      <c r="N224" s="182"/>
    </row>
    <row r="225" spans="8:14">
      <c r="H225" s="182"/>
      <c r="I225" s="182"/>
      <c r="J225" s="182"/>
      <c r="K225" s="182"/>
      <c r="L225" s="182"/>
      <c r="M225" s="182"/>
      <c r="N225" s="182"/>
    </row>
    <row r="226" spans="8:14">
      <c r="H226" s="182"/>
      <c r="I226" s="182"/>
      <c r="J226" s="182"/>
      <c r="K226" s="182"/>
      <c r="L226" s="182"/>
      <c r="M226" s="182"/>
      <c r="N226" s="182"/>
    </row>
    <row r="227" spans="8:14">
      <c r="H227" s="182"/>
      <c r="I227" s="182"/>
      <c r="J227" s="182"/>
      <c r="K227" s="182"/>
      <c r="L227" s="182"/>
      <c r="M227" s="182"/>
      <c r="N227" s="182"/>
    </row>
    <row r="228" spans="8:14">
      <c r="H228" s="182"/>
      <c r="I228" s="182"/>
      <c r="J228" s="182"/>
      <c r="K228" s="182"/>
      <c r="L228" s="182"/>
      <c r="M228" s="182"/>
      <c r="N228" s="182"/>
    </row>
    <row r="229" spans="8:14">
      <c r="H229" s="182"/>
      <c r="I229" s="182"/>
      <c r="J229" s="182"/>
      <c r="K229" s="182"/>
      <c r="L229" s="182"/>
      <c r="M229" s="182"/>
      <c r="N229" s="182"/>
    </row>
    <row r="230" spans="8:14">
      <c r="H230" s="182"/>
      <c r="I230" s="182"/>
      <c r="J230" s="182"/>
      <c r="K230" s="182"/>
      <c r="L230" s="182"/>
      <c r="M230" s="182"/>
      <c r="N230" s="182"/>
    </row>
    <row r="231" spans="8:14">
      <c r="H231" s="182"/>
      <c r="I231" s="182"/>
      <c r="J231" s="182"/>
      <c r="K231" s="182"/>
      <c r="L231" s="182"/>
      <c r="M231" s="182"/>
      <c r="N231" s="182"/>
    </row>
    <row r="232" spans="8:14">
      <c r="H232" s="182"/>
      <c r="I232" s="182"/>
      <c r="J232" s="182"/>
      <c r="K232" s="182"/>
      <c r="L232" s="182"/>
      <c r="M232" s="182"/>
      <c r="N232" s="182"/>
    </row>
    <row r="233" spans="8:14">
      <c r="H233" s="182"/>
      <c r="I233" s="182"/>
      <c r="J233" s="182"/>
      <c r="K233" s="182"/>
      <c r="L233" s="182"/>
      <c r="M233" s="182"/>
      <c r="N233" s="182"/>
    </row>
    <row r="234" spans="8:14">
      <c r="H234" s="182"/>
      <c r="I234" s="182"/>
      <c r="J234" s="182"/>
      <c r="K234" s="182"/>
      <c r="L234" s="182"/>
      <c r="M234" s="182"/>
      <c r="N234" s="182"/>
    </row>
    <row r="235" spans="8:14">
      <c r="H235" s="182"/>
      <c r="I235" s="182"/>
      <c r="J235" s="182"/>
      <c r="K235" s="182"/>
      <c r="L235" s="182"/>
      <c r="M235" s="182"/>
      <c r="N235" s="182"/>
    </row>
    <row r="236" spans="8:14">
      <c r="H236" s="182"/>
      <c r="I236" s="182"/>
      <c r="J236" s="182"/>
      <c r="K236" s="182"/>
      <c r="L236" s="182"/>
      <c r="M236" s="182"/>
      <c r="N236" s="182"/>
    </row>
  </sheetData>
  <mergeCells count="16">
    <mergeCell ref="A2:W2"/>
    <mergeCell ref="A1:W1"/>
    <mergeCell ref="C5:I5"/>
    <mergeCell ref="B5:B6"/>
    <mergeCell ref="A4:W4"/>
    <mergeCell ref="A3:W3"/>
    <mergeCell ref="O6:V6"/>
    <mergeCell ref="O5:V5"/>
    <mergeCell ref="C6:N6"/>
    <mergeCell ref="B26:B27"/>
    <mergeCell ref="B49:B50"/>
    <mergeCell ref="O50:P50"/>
    <mergeCell ref="C26:L26"/>
    <mergeCell ref="C27:L27"/>
    <mergeCell ref="O26:V26"/>
    <mergeCell ref="O27:V27"/>
  </mergeCells>
  <phoneticPr fontId="5" type="noConversion"/>
  <pageMargins left="0.25" right="0.25" top="0.75" bottom="0.75" header="0.3" footer="0.3"/>
  <pageSetup paperSize="9" scale="60" orientation="landscape" r:id="rId1"/>
  <headerFooter alignWithMargins="0"/>
  <rowBreaks count="2" manualBreakCount="2">
    <brk id="47" max="21" man="1"/>
    <brk id="70" max="2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31"/>
  <sheetViews>
    <sheetView showGridLines="0" view="pageBreakPreview" zoomScaleNormal="100" zoomScaleSheetLayoutView="100" workbookViewId="0">
      <selection activeCell="T91" sqref="T91"/>
    </sheetView>
  </sheetViews>
  <sheetFormatPr defaultColWidth="9.140625" defaultRowHeight="15"/>
  <cols>
    <col min="1" max="1" width="37.5703125" style="220" customWidth="1"/>
    <col min="2" max="2" width="8.5703125" style="146" customWidth="1"/>
    <col min="3" max="3" width="7.7109375" style="221" customWidth="1"/>
    <col min="4" max="4" width="7.85546875" style="221" customWidth="1"/>
    <col min="5" max="5" width="9.140625" style="146" customWidth="1"/>
    <col min="6" max="6" width="8.42578125" style="146" customWidth="1"/>
    <col min="7" max="7" width="7.85546875" style="146" customWidth="1"/>
    <col min="8" max="8" width="8.28515625" style="146" customWidth="1"/>
    <col min="9" max="9" width="9.42578125" style="146" customWidth="1"/>
    <col min="10" max="13" width="11" style="146" customWidth="1"/>
    <col min="14" max="14" width="8.85546875" style="146" customWidth="1"/>
    <col min="15" max="15" width="7.7109375" style="146" customWidth="1"/>
    <col min="16" max="16" width="8.85546875" style="146" customWidth="1"/>
    <col min="17" max="17" width="6.42578125" style="146" customWidth="1"/>
    <col min="18" max="18" width="12" style="222" customWidth="1"/>
    <col min="19" max="19" width="6.42578125" style="146" customWidth="1"/>
    <col min="20" max="20" width="9.140625" style="146"/>
    <col min="21" max="32" width="10.140625" style="146" customWidth="1"/>
    <col min="33" max="16384" width="9.140625" style="146"/>
  </cols>
  <sheetData>
    <row r="1" spans="1:20" s="185" customFormat="1" ht="23.25" customHeight="1">
      <c r="A1" s="633" t="s">
        <v>303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184"/>
    </row>
    <row r="2" spans="1:20" s="186" customFormat="1" ht="12.75">
      <c r="A2" s="634" t="s">
        <v>304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56"/>
    </row>
    <row r="3" spans="1:20" s="185" customFormat="1" ht="15" customHeight="1">
      <c r="A3" s="635" t="s">
        <v>66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187"/>
      <c r="T3" s="188"/>
    </row>
    <row r="4" spans="1:20" s="190" customFormat="1" ht="12">
      <c r="A4" s="636" t="s">
        <v>65</v>
      </c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189"/>
    </row>
    <row r="5" spans="1:20" ht="6" customHeight="1">
      <c r="A5" s="191"/>
      <c r="B5" s="192"/>
      <c r="C5" s="193"/>
      <c r="D5" s="193"/>
      <c r="E5" s="192"/>
      <c r="F5" s="194"/>
      <c r="G5" s="194"/>
      <c r="H5" s="194"/>
      <c r="I5" s="194"/>
      <c r="J5" s="194"/>
      <c r="K5" s="194"/>
      <c r="L5" s="194"/>
      <c r="M5" s="194"/>
      <c r="O5" s="195"/>
      <c r="P5" s="195"/>
      <c r="Q5" s="195"/>
      <c r="R5" s="196"/>
    </row>
    <row r="6" spans="1:20">
      <c r="A6" s="197"/>
      <c r="B6" s="198" t="s">
        <v>301</v>
      </c>
      <c r="C6" s="199"/>
      <c r="D6" s="199"/>
      <c r="E6" s="198"/>
      <c r="F6" s="200"/>
      <c r="G6" s="201"/>
      <c r="H6" s="62"/>
      <c r="I6" s="62"/>
      <c r="J6" s="62"/>
      <c r="K6" s="62"/>
      <c r="L6" s="62"/>
      <c r="M6" s="201"/>
      <c r="N6" s="22" t="s">
        <v>302</v>
      </c>
      <c r="R6" s="40" t="s">
        <v>19</v>
      </c>
    </row>
    <row r="7" spans="1:20" s="204" customFormat="1">
      <c r="A7" s="202" t="s">
        <v>7</v>
      </c>
      <c r="B7" s="66" t="s">
        <v>61</v>
      </c>
      <c r="C7" s="66" t="s">
        <v>60</v>
      </c>
      <c r="D7" s="66" t="s">
        <v>0</v>
      </c>
      <c r="E7" s="66" t="s">
        <v>15</v>
      </c>
      <c r="F7" s="66" t="s">
        <v>16</v>
      </c>
      <c r="G7" s="1" t="s">
        <v>1</v>
      </c>
      <c r="H7" s="1" t="s">
        <v>17</v>
      </c>
      <c r="I7" s="1" t="s">
        <v>59</v>
      </c>
      <c r="J7" s="1" t="s">
        <v>258</v>
      </c>
      <c r="K7" s="1" t="s">
        <v>259</v>
      </c>
      <c r="L7" s="1" t="s">
        <v>260</v>
      </c>
      <c r="M7" s="1" t="s">
        <v>261</v>
      </c>
      <c r="N7" s="203" t="s">
        <v>18</v>
      </c>
      <c r="R7" s="205" t="s">
        <v>46</v>
      </c>
    </row>
    <row r="8" spans="1:20" s="204" customFormat="1" ht="18" customHeight="1">
      <c r="A8" s="67" t="s">
        <v>76</v>
      </c>
      <c r="B8" s="206" t="s">
        <v>20</v>
      </c>
      <c r="C8" s="207" t="s">
        <v>21</v>
      </c>
      <c r="D8" s="207" t="s">
        <v>2</v>
      </c>
      <c r="E8" s="207" t="s">
        <v>22</v>
      </c>
      <c r="F8" s="207" t="s">
        <v>23</v>
      </c>
      <c r="G8" s="207" t="s">
        <v>3</v>
      </c>
      <c r="H8" s="207" t="s">
        <v>24</v>
      </c>
      <c r="I8" s="207" t="s">
        <v>25</v>
      </c>
      <c r="J8" s="207" t="s">
        <v>4</v>
      </c>
      <c r="K8" s="207" t="s">
        <v>26</v>
      </c>
      <c r="L8" s="207" t="s">
        <v>27</v>
      </c>
      <c r="M8" s="207" t="s">
        <v>5</v>
      </c>
      <c r="N8" s="208" t="s">
        <v>28</v>
      </c>
      <c r="O8" s="209"/>
      <c r="P8" s="209"/>
      <c r="Q8" s="209"/>
      <c r="R8" s="210"/>
    </row>
    <row r="9" spans="1:20" ht="19.5" customHeight="1">
      <c r="A9" s="25" t="s">
        <v>55</v>
      </c>
      <c r="B9" s="267">
        <v>112.83893956125075</v>
      </c>
      <c r="C9" s="267">
        <v>113.78095995441291</v>
      </c>
      <c r="D9" s="267">
        <v>113.44067732511131</v>
      </c>
      <c r="E9" s="267">
        <v>113.29432454470755</v>
      </c>
      <c r="F9" s="267">
        <v>115.59499586478387</v>
      </c>
      <c r="G9" s="267">
        <v>113.41876247072705</v>
      </c>
      <c r="H9" s="267">
        <v>113.16400362691853</v>
      </c>
      <c r="I9" s="267">
        <v>111.57389227723965</v>
      </c>
      <c r="J9" s="267">
        <v>113.03888312293248</v>
      </c>
      <c r="K9" s="267">
        <v>111.66838913440606</v>
      </c>
      <c r="L9" s="267">
        <v>110.71344425206759</v>
      </c>
      <c r="M9" s="267">
        <v>113.89142307859603</v>
      </c>
      <c r="N9" s="267">
        <v>113.03489126776282</v>
      </c>
      <c r="O9" s="379"/>
      <c r="P9" s="379"/>
      <c r="Q9" s="379"/>
      <c r="R9" s="2" t="s">
        <v>57</v>
      </c>
      <c r="S9" s="211"/>
    </row>
    <row r="10" spans="1:20" ht="19.5" customHeight="1">
      <c r="A10" s="25" t="s">
        <v>56</v>
      </c>
      <c r="B10" s="267">
        <v>116.48829361283794</v>
      </c>
      <c r="C10" s="267">
        <v>116.33174989952283</v>
      </c>
      <c r="D10" s="267">
        <v>115.42087987362792</v>
      </c>
      <c r="E10" s="267">
        <v>115.32305299431519</v>
      </c>
      <c r="F10" s="267">
        <v>116.01271108913632</v>
      </c>
      <c r="G10" s="267">
        <v>114.79207806519474</v>
      </c>
      <c r="H10" s="267">
        <v>113.90355657548979</v>
      </c>
      <c r="I10" s="267">
        <v>113.9763673821865</v>
      </c>
      <c r="J10" s="267">
        <v>114.54542788627839</v>
      </c>
      <c r="K10" s="267">
        <v>115.08634817734043</v>
      </c>
      <c r="L10" s="267">
        <v>116.47710135529299</v>
      </c>
      <c r="M10" s="267">
        <v>117.61030612417696</v>
      </c>
      <c r="N10" s="267">
        <v>115.49732275295001</v>
      </c>
      <c r="R10" s="2" t="s">
        <v>58</v>
      </c>
      <c r="S10" s="211"/>
    </row>
    <row r="11" spans="1:20" ht="19.5" customHeight="1">
      <c r="A11" s="31" t="s">
        <v>9</v>
      </c>
      <c r="B11" s="267">
        <v>104.48662294347504</v>
      </c>
      <c r="C11" s="267">
        <v>107.94293904829392</v>
      </c>
      <c r="D11" s="267">
        <v>108.90856604768052</v>
      </c>
      <c r="E11" s="267">
        <v>108.65115150556609</v>
      </c>
      <c r="F11" s="267">
        <v>114.6389664523081</v>
      </c>
      <c r="G11" s="267">
        <v>110.2756400170059</v>
      </c>
      <c r="H11" s="267">
        <v>111.47138068741813</v>
      </c>
      <c r="I11" s="267">
        <v>106.07532117145389</v>
      </c>
      <c r="J11" s="267">
        <v>109.59083761009899</v>
      </c>
      <c r="K11" s="267">
        <v>103.84566880921275</v>
      </c>
      <c r="L11" s="267">
        <v>97.522099065514638</v>
      </c>
      <c r="M11" s="267">
        <v>105.37997469017212</v>
      </c>
      <c r="N11" s="267">
        <v>107.39909733735</v>
      </c>
      <c r="R11" s="2" t="s">
        <v>10</v>
      </c>
      <c r="S11" s="211"/>
    </row>
    <row r="12" spans="1:20" ht="19.5" customHeight="1">
      <c r="A12" s="31" t="s">
        <v>51</v>
      </c>
      <c r="B12" s="267">
        <v>122.67340574770263</v>
      </c>
      <c r="C12" s="267">
        <v>123.2576164333824</v>
      </c>
      <c r="D12" s="267">
        <v>159.42685794922326</v>
      </c>
      <c r="E12" s="267">
        <v>159.98455374419413</v>
      </c>
      <c r="F12" s="267">
        <v>160.81041210237751</v>
      </c>
      <c r="G12" s="267">
        <v>161.57166588309633</v>
      </c>
      <c r="H12" s="267">
        <v>161.36325396112733</v>
      </c>
      <c r="I12" s="267">
        <v>160.71752015594527</v>
      </c>
      <c r="J12" s="267">
        <v>160.83120611807271</v>
      </c>
      <c r="K12" s="267">
        <v>160.92914232629056</v>
      </c>
      <c r="L12" s="267">
        <v>160.98571701074584</v>
      </c>
      <c r="M12" s="267">
        <v>160.41872060134136</v>
      </c>
      <c r="N12" s="267">
        <v>154.41417266945828</v>
      </c>
      <c r="R12" s="2" t="s">
        <v>30</v>
      </c>
      <c r="S12" s="211"/>
    </row>
    <row r="13" spans="1:20" ht="19.5" customHeight="1">
      <c r="A13" s="31" t="s">
        <v>11</v>
      </c>
      <c r="B13" s="267">
        <v>100.65047510964997</v>
      </c>
      <c r="C13" s="267">
        <v>100.49836435204436</v>
      </c>
      <c r="D13" s="267">
        <v>100.5368959965402</v>
      </c>
      <c r="E13" s="267">
        <v>100.55089549017585</v>
      </c>
      <c r="F13" s="267">
        <v>100.57977623452557</v>
      </c>
      <c r="G13" s="267">
        <v>100.33845373517408</v>
      </c>
      <c r="H13" s="267">
        <v>100.10621027675735</v>
      </c>
      <c r="I13" s="267">
        <v>100.21039832853231</v>
      </c>
      <c r="J13" s="267">
        <v>100.20785549717321</v>
      </c>
      <c r="K13" s="267">
        <v>100.01345055190248</v>
      </c>
      <c r="L13" s="267">
        <v>99.849225760842629</v>
      </c>
      <c r="M13" s="267">
        <v>99.944923507635622</v>
      </c>
      <c r="N13" s="267">
        <v>100.29057707007946</v>
      </c>
      <c r="R13" s="2" t="s">
        <v>31</v>
      </c>
      <c r="S13" s="211"/>
    </row>
    <row r="14" spans="1:20" ht="19.5" customHeight="1">
      <c r="A14" s="31" t="s">
        <v>67</v>
      </c>
      <c r="B14" s="267">
        <v>109.98434334798695</v>
      </c>
      <c r="C14" s="267">
        <v>110.19076086200178</v>
      </c>
      <c r="D14" s="267">
        <v>110.25043234259323</v>
      </c>
      <c r="E14" s="267">
        <v>110.38760486518682</v>
      </c>
      <c r="F14" s="267">
        <v>110.54035740868545</v>
      </c>
      <c r="G14" s="267">
        <v>108.74533133210758</v>
      </c>
      <c r="H14" s="267">
        <v>107.84852463616971</v>
      </c>
      <c r="I14" s="267">
        <v>108.1740565533721</v>
      </c>
      <c r="J14" s="267">
        <v>108.86653792482572</v>
      </c>
      <c r="K14" s="267">
        <v>109.19533355640154</v>
      </c>
      <c r="L14" s="267">
        <v>109.50339625023084</v>
      </c>
      <c r="M14" s="267">
        <v>110.05345913432531</v>
      </c>
      <c r="N14" s="267">
        <v>109.47834485115725</v>
      </c>
      <c r="R14" s="2" t="s">
        <v>32</v>
      </c>
      <c r="S14" s="211"/>
    </row>
    <row r="15" spans="1:20" ht="19.5" customHeight="1">
      <c r="A15" s="31" t="s">
        <v>68</v>
      </c>
      <c r="B15" s="267">
        <v>118.78779793927102</v>
      </c>
      <c r="C15" s="267">
        <v>118.94183226767581</v>
      </c>
      <c r="D15" s="267">
        <v>119.02618439989749</v>
      </c>
      <c r="E15" s="267">
        <v>119.39085674294863</v>
      </c>
      <c r="F15" s="267">
        <v>120.25326058718625</v>
      </c>
      <c r="G15" s="267">
        <v>121.0400010386233</v>
      </c>
      <c r="H15" s="267">
        <v>122.26401244576164</v>
      </c>
      <c r="I15" s="267">
        <v>122.90327873522459</v>
      </c>
      <c r="J15" s="267">
        <v>124.23718345011135</v>
      </c>
      <c r="K15" s="267">
        <v>124.90591201723197</v>
      </c>
      <c r="L15" s="267">
        <v>125.58544912329786</v>
      </c>
      <c r="M15" s="267">
        <v>126.68556721344532</v>
      </c>
      <c r="N15" s="267">
        <v>122.00177799672292</v>
      </c>
      <c r="R15" s="72" t="s">
        <v>75</v>
      </c>
      <c r="S15" s="211"/>
    </row>
    <row r="16" spans="1:20" ht="25.5">
      <c r="A16" s="25" t="s">
        <v>50</v>
      </c>
      <c r="B16" s="267">
        <v>99.489944419387044</v>
      </c>
      <c r="C16" s="267">
        <v>100.47923842593966</v>
      </c>
      <c r="D16" s="267">
        <v>100.46961782487625</v>
      </c>
      <c r="E16" s="267">
        <v>100.3589566274928</v>
      </c>
      <c r="F16" s="267">
        <v>96.854831151878116</v>
      </c>
      <c r="G16" s="267">
        <v>96.572722365507417</v>
      </c>
      <c r="H16" s="267">
        <v>98.344525882033039</v>
      </c>
      <c r="I16" s="267">
        <v>98.281432173438176</v>
      </c>
      <c r="J16" s="267">
        <v>98.120131132157866</v>
      </c>
      <c r="K16" s="267">
        <v>98.221613012417507</v>
      </c>
      <c r="L16" s="267">
        <v>97.929386668970039</v>
      </c>
      <c r="M16" s="267">
        <v>97.943130780361429</v>
      </c>
      <c r="N16" s="267">
        <v>98.588794205371599</v>
      </c>
      <c r="R16" s="2" t="s">
        <v>53</v>
      </c>
      <c r="S16" s="211"/>
    </row>
    <row r="17" spans="1:32" ht="19.5" customHeight="1">
      <c r="A17" s="33" t="s">
        <v>33</v>
      </c>
      <c r="B17" s="267">
        <v>125.51448139795777</v>
      </c>
      <c r="C17" s="267">
        <v>125.39571912221571</v>
      </c>
      <c r="D17" s="267">
        <v>125.38709914167559</v>
      </c>
      <c r="E17" s="267">
        <v>125.3963615949699</v>
      </c>
      <c r="F17" s="267">
        <v>125.49360096447738</v>
      </c>
      <c r="G17" s="267">
        <v>125.48360252604184</v>
      </c>
      <c r="H17" s="267">
        <v>125.49738677386105</v>
      </c>
      <c r="I17" s="267">
        <v>125.52036145728432</v>
      </c>
      <c r="J17" s="267">
        <v>125.50584620928863</v>
      </c>
      <c r="K17" s="267">
        <v>125.69250130325075</v>
      </c>
      <c r="L17" s="267">
        <v>125.72174159517944</v>
      </c>
      <c r="M17" s="267">
        <v>125.73285184962693</v>
      </c>
      <c r="N17" s="267">
        <v>125.52846282798579</v>
      </c>
      <c r="R17" s="2" t="s">
        <v>34</v>
      </c>
      <c r="S17" s="211"/>
    </row>
    <row r="18" spans="1:32" ht="19.5" customHeight="1">
      <c r="A18" s="33" t="s">
        <v>35</v>
      </c>
      <c r="B18" s="267">
        <v>103.32247816586994</v>
      </c>
      <c r="C18" s="267">
        <v>103.1700025234308</v>
      </c>
      <c r="D18" s="267">
        <v>103.169187443269</v>
      </c>
      <c r="E18" s="267">
        <v>102.91268725784089</v>
      </c>
      <c r="F18" s="267">
        <v>101.77646010607812</v>
      </c>
      <c r="G18" s="267">
        <v>101.00390073970956</v>
      </c>
      <c r="H18" s="267">
        <v>100.81388528639233</v>
      </c>
      <c r="I18" s="267">
        <v>100.84179555620557</v>
      </c>
      <c r="J18" s="267">
        <v>101.07945071679406</v>
      </c>
      <c r="K18" s="267">
        <v>101.50327625840072</v>
      </c>
      <c r="L18" s="267">
        <v>101.23086820908144</v>
      </c>
      <c r="M18" s="267">
        <v>101.2538316463888</v>
      </c>
      <c r="N18" s="267">
        <v>101.83981865912176</v>
      </c>
      <c r="R18" s="2" t="s">
        <v>36</v>
      </c>
      <c r="S18" s="211"/>
    </row>
    <row r="19" spans="1:32" ht="19.5" customHeight="1">
      <c r="A19" s="33" t="s">
        <v>37</v>
      </c>
      <c r="B19" s="267">
        <v>99.25672955425857</v>
      </c>
      <c r="C19" s="267">
        <v>99.25672955425857</v>
      </c>
      <c r="D19" s="267">
        <v>99.25672955425857</v>
      </c>
      <c r="E19" s="267">
        <v>99.25672955425857</v>
      </c>
      <c r="F19" s="267">
        <v>99.25672955425857</v>
      </c>
      <c r="G19" s="267">
        <v>99.25672955425857</v>
      </c>
      <c r="H19" s="267">
        <v>100.20909082660211</v>
      </c>
      <c r="I19" s="267">
        <v>100.20909082660211</v>
      </c>
      <c r="J19" s="267">
        <v>100.20909082660211</v>
      </c>
      <c r="K19" s="267">
        <v>100.1146600585961</v>
      </c>
      <c r="L19" s="267">
        <v>100.1146600585961</v>
      </c>
      <c r="M19" s="267">
        <v>99.515791735045639</v>
      </c>
      <c r="N19" s="267">
        <v>99.659396804799613</v>
      </c>
      <c r="R19" s="2" t="s">
        <v>38</v>
      </c>
      <c r="S19" s="211"/>
    </row>
    <row r="20" spans="1:32" ht="19.5" customHeight="1">
      <c r="A20" s="34" t="s">
        <v>39</v>
      </c>
      <c r="B20" s="267">
        <v>101.75845024250361</v>
      </c>
      <c r="C20" s="267">
        <v>101.74510991233566</v>
      </c>
      <c r="D20" s="267">
        <v>101.75936358610916</v>
      </c>
      <c r="E20" s="267">
        <v>101.75936358610916</v>
      </c>
      <c r="F20" s="267">
        <v>100.13613685073707</v>
      </c>
      <c r="G20" s="267">
        <v>99.830178710478606</v>
      </c>
      <c r="H20" s="267">
        <v>100.25912112595857</v>
      </c>
      <c r="I20" s="267">
        <v>100.28577086478815</v>
      </c>
      <c r="J20" s="267">
        <v>100.28345829041872</v>
      </c>
      <c r="K20" s="267">
        <v>99.911722105898576</v>
      </c>
      <c r="L20" s="267">
        <v>99.666145400486442</v>
      </c>
      <c r="M20" s="267">
        <v>99.613668304030128</v>
      </c>
      <c r="N20" s="267">
        <v>100.58404074832116</v>
      </c>
      <c r="R20" s="35" t="s">
        <v>40</v>
      </c>
      <c r="S20" s="211"/>
    </row>
    <row r="21" spans="1:32" ht="19.5" customHeight="1">
      <c r="A21" s="31" t="s">
        <v>12</v>
      </c>
      <c r="B21" s="267">
        <v>130.07791242751054</v>
      </c>
      <c r="C21" s="267">
        <v>130.07791242751054</v>
      </c>
      <c r="D21" s="267">
        <v>130.07791242751054</v>
      </c>
      <c r="E21" s="267">
        <v>130.07791242751054</v>
      </c>
      <c r="F21" s="267">
        <v>130.07791242751054</v>
      </c>
      <c r="G21" s="267">
        <v>130.07791242751054</v>
      </c>
      <c r="H21" s="267">
        <v>130.07927276290044</v>
      </c>
      <c r="I21" s="267">
        <v>130.07927276290044</v>
      </c>
      <c r="J21" s="267">
        <v>130.07927276290044</v>
      </c>
      <c r="K21" s="267">
        <v>130.07927276290044</v>
      </c>
      <c r="L21" s="267">
        <v>130.07927276290044</v>
      </c>
      <c r="M21" s="267">
        <v>130.07927276290044</v>
      </c>
      <c r="N21" s="267">
        <v>130.07859259520549</v>
      </c>
      <c r="R21" s="35" t="s">
        <v>13</v>
      </c>
      <c r="S21" s="211"/>
    </row>
    <row r="22" spans="1:32" ht="19.5" customHeight="1">
      <c r="A22" s="31" t="s">
        <v>41</v>
      </c>
      <c r="B22" s="267">
        <v>125.33425513277646</v>
      </c>
      <c r="C22" s="267">
        <v>125.28511299251818</v>
      </c>
      <c r="D22" s="267">
        <v>125.27368908992756</v>
      </c>
      <c r="E22" s="267">
        <v>125.27368908992756</v>
      </c>
      <c r="F22" s="267">
        <v>125.27368908992756</v>
      </c>
      <c r="G22" s="267">
        <v>125.27368908992756</v>
      </c>
      <c r="H22" s="267">
        <v>125.27368908992756</v>
      </c>
      <c r="I22" s="267">
        <v>125.29100537512497</v>
      </c>
      <c r="J22" s="267">
        <v>125.29123614182799</v>
      </c>
      <c r="K22" s="267">
        <v>125.21119191220903</v>
      </c>
      <c r="L22" s="267">
        <v>127.13670782815568</v>
      </c>
      <c r="M22" s="267">
        <v>127.63720146991291</v>
      </c>
      <c r="N22" s="267">
        <v>125.6295963585136</v>
      </c>
      <c r="R22" s="35" t="s">
        <v>42</v>
      </c>
      <c r="S22" s="211"/>
      <c r="Y22" s="7"/>
      <c r="Z22" s="7"/>
      <c r="AA22" s="7"/>
    </row>
    <row r="23" spans="1:32" s="7" customFormat="1" ht="19.5" customHeight="1">
      <c r="A23" s="34" t="s">
        <v>43</v>
      </c>
      <c r="B23" s="267">
        <v>98.553232538183764</v>
      </c>
      <c r="C23" s="267">
        <v>98.461953308934227</v>
      </c>
      <c r="D23" s="267">
        <v>98.245934608629341</v>
      </c>
      <c r="E23" s="267">
        <v>98.36233315851166</v>
      </c>
      <c r="F23" s="267">
        <v>98.296244855685458</v>
      </c>
      <c r="G23" s="267">
        <v>98.405676684483197</v>
      </c>
      <c r="H23" s="267">
        <v>98.433087059217996</v>
      </c>
      <c r="I23" s="267">
        <v>98.304963846505373</v>
      </c>
      <c r="J23" s="267">
        <v>98.114907507857836</v>
      </c>
      <c r="K23" s="267">
        <v>98.205793584935364</v>
      </c>
      <c r="L23" s="267">
        <v>98.193892314276169</v>
      </c>
      <c r="M23" s="267">
        <v>98.23665257871744</v>
      </c>
      <c r="N23" s="267">
        <v>98.317889337161489</v>
      </c>
      <c r="O23" s="146"/>
      <c r="P23" s="146"/>
      <c r="Q23" s="146"/>
      <c r="R23" s="35" t="s">
        <v>74</v>
      </c>
      <c r="S23" s="211"/>
      <c r="U23" s="146"/>
      <c r="V23" s="146"/>
      <c r="W23" s="146"/>
      <c r="X23" s="146"/>
    </row>
    <row r="24" spans="1:32" s="200" customFormat="1" ht="19.5" customHeight="1">
      <c r="A24" s="36" t="s">
        <v>69</v>
      </c>
      <c r="B24" s="268">
        <v>109.49980955008905</v>
      </c>
      <c r="C24" s="268">
        <v>109.88576174896833</v>
      </c>
      <c r="D24" s="268">
        <v>110.60323178045907</v>
      </c>
      <c r="E24" s="268">
        <v>110.59194937513206</v>
      </c>
      <c r="F24" s="268">
        <v>110.85201445600245</v>
      </c>
      <c r="G24" s="268">
        <v>109.74800644419963</v>
      </c>
      <c r="H24" s="268">
        <v>109.6669128495823</v>
      </c>
      <c r="I24" s="268">
        <v>109.27002315425663</v>
      </c>
      <c r="J24" s="268">
        <v>109.83466504100939</v>
      </c>
      <c r="K24" s="268">
        <v>109.5388392789536</v>
      </c>
      <c r="L24" s="268">
        <v>109.34008741675697</v>
      </c>
      <c r="M24" s="268">
        <v>110.35293458574249</v>
      </c>
      <c r="N24" s="269">
        <v>109.93201964009602</v>
      </c>
      <c r="R24" s="40" t="s">
        <v>14</v>
      </c>
      <c r="S24" s="211"/>
      <c r="U24" s="249"/>
      <c r="V24" s="249"/>
      <c r="W24" s="249"/>
      <c r="X24" s="249"/>
    </row>
    <row r="25" spans="1:32" s="200" customFormat="1" ht="19.5" customHeight="1">
      <c r="A25" s="42" t="s">
        <v>70</v>
      </c>
      <c r="B25" s="270">
        <v>109.97429171672792</v>
      </c>
      <c r="C25" s="270">
        <v>110.06964373796011</v>
      </c>
      <c r="D25" s="270">
        <v>110.76362650176397</v>
      </c>
      <c r="E25" s="270">
        <v>110.77563972029991</v>
      </c>
      <c r="F25" s="270">
        <v>110.49359149488743</v>
      </c>
      <c r="G25" s="270">
        <v>109.69806760480228</v>
      </c>
      <c r="H25" s="270">
        <v>109.49612570828637</v>
      </c>
      <c r="I25" s="270">
        <v>109.57239153539088</v>
      </c>
      <c r="J25" s="270">
        <v>109.8577425317917</v>
      </c>
      <c r="K25" s="270">
        <v>110.07767975538096</v>
      </c>
      <c r="L25" s="270">
        <v>110.45862242417377</v>
      </c>
      <c r="M25" s="270">
        <v>110.82360942213208</v>
      </c>
      <c r="N25" s="270">
        <v>110.17175267946645</v>
      </c>
      <c r="O25" s="250"/>
      <c r="P25" s="250"/>
      <c r="Q25" s="250"/>
      <c r="R25" s="44" t="s">
        <v>54</v>
      </c>
      <c r="S25" s="211"/>
      <c r="U25" s="249"/>
      <c r="V25" s="249"/>
      <c r="W25" s="249"/>
      <c r="X25" s="249"/>
    </row>
    <row r="27" spans="1:32">
      <c r="A27" s="212"/>
      <c r="B27" s="153"/>
      <c r="C27" s="153"/>
      <c r="D27" s="153"/>
      <c r="E27" s="153"/>
      <c r="F27" s="194"/>
      <c r="G27" s="153"/>
      <c r="H27" s="153"/>
      <c r="J27" s="379"/>
      <c r="K27" s="379"/>
      <c r="L27" s="379"/>
      <c r="M27" s="213"/>
      <c r="R27" s="146"/>
    </row>
    <row r="28" spans="1:32">
      <c r="A28" s="197"/>
      <c r="B28" s="198" t="s">
        <v>301</v>
      </c>
      <c r="C28" s="199"/>
      <c r="D28" s="199"/>
      <c r="E28" s="198"/>
      <c r="F28" s="200"/>
      <c r="G28" s="201"/>
      <c r="H28" s="62"/>
      <c r="I28" s="62"/>
      <c r="J28" s="62"/>
      <c r="K28" s="62"/>
      <c r="L28" s="62"/>
      <c r="M28" s="201"/>
      <c r="N28" s="22" t="s">
        <v>302</v>
      </c>
      <c r="O28" s="135"/>
      <c r="P28" s="135"/>
      <c r="Q28" s="135"/>
      <c r="R28" s="108" t="s">
        <v>19</v>
      </c>
    </row>
    <row r="29" spans="1:32" s="204" customFormat="1">
      <c r="A29" s="202" t="s">
        <v>7</v>
      </c>
      <c r="B29" s="66" t="s">
        <v>61</v>
      </c>
      <c r="C29" s="66" t="s">
        <v>60</v>
      </c>
      <c r="D29" s="66" t="s">
        <v>0</v>
      </c>
      <c r="E29" s="66" t="s">
        <v>15</v>
      </c>
      <c r="F29" s="66" t="s">
        <v>16</v>
      </c>
      <c r="G29" s="1" t="s">
        <v>1</v>
      </c>
      <c r="H29" s="1" t="s">
        <v>17</v>
      </c>
      <c r="I29" s="1" t="s">
        <v>59</v>
      </c>
      <c r="J29" s="1" t="s">
        <v>258</v>
      </c>
      <c r="K29" s="1" t="s">
        <v>259</v>
      </c>
      <c r="L29" s="1" t="s">
        <v>260</v>
      </c>
      <c r="M29" s="1" t="s">
        <v>261</v>
      </c>
      <c r="N29" s="203" t="s">
        <v>18</v>
      </c>
      <c r="O29" s="246"/>
      <c r="P29" s="246"/>
      <c r="Q29" s="246"/>
      <c r="R29" s="205" t="s">
        <v>48</v>
      </c>
    </row>
    <row r="30" spans="1:32" s="204" customFormat="1" ht="18" customHeight="1">
      <c r="A30" s="67" t="s">
        <v>47</v>
      </c>
      <c r="B30" s="206" t="s">
        <v>20</v>
      </c>
      <c r="C30" s="207" t="s">
        <v>21</v>
      </c>
      <c r="D30" s="207" t="s">
        <v>2</v>
      </c>
      <c r="E30" s="207" t="s">
        <v>22</v>
      </c>
      <c r="F30" s="207" t="s">
        <v>23</v>
      </c>
      <c r="G30" s="207" t="s">
        <v>3</v>
      </c>
      <c r="H30" s="207" t="s">
        <v>24</v>
      </c>
      <c r="I30" s="207" t="s">
        <v>25</v>
      </c>
      <c r="J30" s="207" t="s">
        <v>4</v>
      </c>
      <c r="K30" s="207" t="s">
        <v>26</v>
      </c>
      <c r="L30" s="207" t="s">
        <v>27</v>
      </c>
      <c r="M30" s="207" t="s">
        <v>5</v>
      </c>
      <c r="N30" s="208" t="s">
        <v>28</v>
      </c>
      <c r="O30" s="209"/>
      <c r="P30" s="209"/>
      <c r="Q30" s="209"/>
      <c r="R30" s="210"/>
    </row>
    <row r="31" spans="1:32" ht="19.5" customHeight="1">
      <c r="A31" s="25" t="s">
        <v>55</v>
      </c>
      <c r="B31" s="577">
        <v>109.62341258550511</v>
      </c>
      <c r="C31" s="577">
        <v>110.28715535913202</v>
      </c>
      <c r="D31" s="577">
        <v>109.26627750510089</v>
      </c>
      <c r="E31" s="577">
        <v>108.99546337034545</v>
      </c>
      <c r="F31" s="577">
        <v>111.82477021410688</v>
      </c>
      <c r="G31" s="577">
        <v>110.87078267032248</v>
      </c>
      <c r="H31" s="577">
        <v>110.10061156432342</v>
      </c>
      <c r="I31" s="577">
        <v>108.27258347670399</v>
      </c>
      <c r="J31" s="577">
        <v>109.81925626641697</v>
      </c>
      <c r="K31" s="577">
        <v>109.37922158420416</v>
      </c>
      <c r="L31" s="577">
        <v>108.49870408345511</v>
      </c>
      <c r="M31" s="577">
        <v>111.16413482141958</v>
      </c>
      <c r="N31" s="577">
        <v>109.84186445841966</v>
      </c>
      <c r="O31" s="379"/>
      <c r="P31" s="379"/>
      <c r="Q31" s="379"/>
      <c r="R31" s="2" t="s">
        <v>57</v>
      </c>
      <c r="S31" s="211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</row>
    <row r="32" spans="1:32" ht="19.5" customHeight="1">
      <c r="A32" s="25" t="s">
        <v>56</v>
      </c>
      <c r="B32" s="577">
        <v>114.83231321196669</v>
      </c>
      <c r="C32" s="577">
        <v>114.96529994736348</v>
      </c>
      <c r="D32" s="577">
        <v>113.49090959318865</v>
      </c>
      <c r="E32" s="577">
        <v>113.33168216221961</v>
      </c>
      <c r="F32" s="577">
        <v>115.93197536220087</v>
      </c>
      <c r="G32" s="577">
        <v>113.75552887923914</v>
      </c>
      <c r="H32" s="577">
        <v>111.69684654787871</v>
      </c>
      <c r="I32" s="577">
        <v>112.18778677532134</v>
      </c>
      <c r="J32" s="577">
        <v>113.13423311562511</v>
      </c>
      <c r="K32" s="577">
        <v>114.01663980598536</v>
      </c>
      <c r="L32" s="577">
        <v>115.5151096119597</v>
      </c>
      <c r="M32" s="577">
        <v>116.30680455362784</v>
      </c>
      <c r="N32" s="577">
        <v>114.09709413054804</v>
      </c>
      <c r="R32" s="2" t="s">
        <v>58</v>
      </c>
      <c r="S32" s="211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</row>
    <row r="33" spans="1:32" ht="19.5" customHeight="1">
      <c r="A33" s="31" t="s">
        <v>9</v>
      </c>
      <c r="B33" s="577">
        <v>98.622665632509197</v>
      </c>
      <c r="C33" s="577">
        <v>100.40731918732534</v>
      </c>
      <c r="D33" s="577">
        <v>100.34422045251124</v>
      </c>
      <c r="E33" s="577">
        <v>99.837744864466188</v>
      </c>
      <c r="F33" s="577">
        <v>103.15070868782344</v>
      </c>
      <c r="G33" s="577">
        <v>104.77844854002754</v>
      </c>
      <c r="H33" s="577">
        <v>106.72950153730419</v>
      </c>
      <c r="I33" s="577">
        <v>100.00401322623217</v>
      </c>
      <c r="J33" s="577">
        <v>102.81831228834953</v>
      </c>
      <c r="K33" s="577">
        <v>99.585395970817203</v>
      </c>
      <c r="L33" s="577">
        <v>93.680663334785208</v>
      </c>
      <c r="M33" s="577">
        <v>100.30326178048315</v>
      </c>
      <c r="N33" s="577">
        <v>100.85518795855286</v>
      </c>
      <c r="R33" s="2" t="s">
        <v>10</v>
      </c>
      <c r="S33" s="211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</row>
    <row r="34" spans="1:32" ht="19.5" customHeight="1">
      <c r="A34" s="31" t="s">
        <v>51</v>
      </c>
      <c r="B34" s="577">
        <v>120.1312073036525</v>
      </c>
      <c r="C34" s="577">
        <v>119.94157889243218</v>
      </c>
      <c r="D34" s="577">
        <v>158.45104452910323</v>
      </c>
      <c r="E34" s="577">
        <v>160.26372492819607</v>
      </c>
      <c r="F34" s="577">
        <v>160.70412757373788</v>
      </c>
      <c r="G34" s="577">
        <v>160.39551178625581</v>
      </c>
      <c r="H34" s="577">
        <v>160.41498760325109</v>
      </c>
      <c r="I34" s="577">
        <v>160.45621399087744</v>
      </c>
      <c r="J34" s="577">
        <v>160.64760094108865</v>
      </c>
      <c r="K34" s="577">
        <v>160.64760094108865</v>
      </c>
      <c r="L34" s="577">
        <v>160.65643892296674</v>
      </c>
      <c r="M34" s="577">
        <v>158.64115976228109</v>
      </c>
      <c r="N34" s="577">
        <v>153.44593309791097</v>
      </c>
      <c r="R34" s="2" t="s">
        <v>30</v>
      </c>
      <c r="S34" s="211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</row>
    <row r="35" spans="1:32" ht="19.5" customHeight="1">
      <c r="A35" s="31" t="s">
        <v>11</v>
      </c>
      <c r="B35" s="577">
        <v>98.358996475300657</v>
      </c>
      <c r="C35" s="577">
        <v>97.684073619215525</v>
      </c>
      <c r="D35" s="577">
        <v>97.792834268833431</v>
      </c>
      <c r="E35" s="577">
        <v>97.831083914163571</v>
      </c>
      <c r="F35" s="577">
        <v>97.900423211003826</v>
      </c>
      <c r="G35" s="577">
        <v>97.789253029027932</v>
      </c>
      <c r="H35" s="577">
        <v>97.845370119347564</v>
      </c>
      <c r="I35" s="577">
        <v>97.683681405873926</v>
      </c>
      <c r="J35" s="577">
        <v>97.698061495148494</v>
      </c>
      <c r="K35" s="577">
        <v>97.760030236885228</v>
      </c>
      <c r="L35" s="577">
        <v>97.782693487590436</v>
      </c>
      <c r="M35" s="577">
        <v>97.685607703169964</v>
      </c>
      <c r="N35" s="577">
        <v>97.817675747130053</v>
      </c>
      <c r="R35" s="2" t="s">
        <v>31</v>
      </c>
      <c r="S35" s="211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</row>
    <row r="36" spans="1:32" ht="19.5" customHeight="1">
      <c r="A36" s="31" t="s">
        <v>67</v>
      </c>
      <c r="B36" s="577">
        <v>113.51806565959235</v>
      </c>
      <c r="C36" s="577">
        <v>113.63542805327531</v>
      </c>
      <c r="D36" s="577">
        <v>113.69969793553025</v>
      </c>
      <c r="E36" s="577">
        <v>113.97257056379492</v>
      </c>
      <c r="F36" s="577">
        <v>114.11746050624473</v>
      </c>
      <c r="G36" s="577">
        <v>112.97265816761842</v>
      </c>
      <c r="H36" s="577">
        <v>114.37602661327944</v>
      </c>
      <c r="I36" s="577">
        <v>114.86305338477162</v>
      </c>
      <c r="J36" s="577">
        <v>115.87938689890034</v>
      </c>
      <c r="K36" s="577">
        <v>116.38890699207856</v>
      </c>
      <c r="L36" s="577">
        <v>116.90666236641761</v>
      </c>
      <c r="M36" s="577">
        <v>117.74472343554118</v>
      </c>
      <c r="N36" s="577">
        <v>114.83955338142039</v>
      </c>
      <c r="R36" s="2" t="s">
        <v>32</v>
      </c>
      <c r="S36" s="211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</row>
    <row r="37" spans="1:32" ht="19.5" customHeight="1">
      <c r="A37" s="31" t="s">
        <v>68</v>
      </c>
      <c r="B37" s="577">
        <v>119.44444940676338</v>
      </c>
      <c r="C37" s="577">
        <v>119.60695886173858</v>
      </c>
      <c r="D37" s="577">
        <v>119.69595213470119</v>
      </c>
      <c r="E37" s="577">
        <v>120.08068912370557</v>
      </c>
      <c r="F37" s="577">
        <v>120.99054331106096</v>
      </c>
      <c r="G37" s="577">
        <v>121.82057102822017</v>
      </c>
      <c r="H37" s="577">
        <v>123.11192879708548</v>
      </c>
      <c r="I37" s="577">
        <v>123.78636817277867</v>
      </c>
      <c r="J37" s="577">
        <v>125.19366569178</v>
      </c>
      <c r="K37" s="577">
        <v>125.89918838983422</v>
      </c>
      <c r="L37" s="577">
        <v>126.61611432372078</v>
      </c>
      <c r="M37" s="577">
        <v>127.7767620383549</v>
      </c>
      <c r="N37" s="577">
        <v>122.83526593997867</v>
      </c>
      <c r="R37" s="72" t="s">
        <v>75</v>
      </c>
      <c r="S37" s="211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</row>
    <row r="38" spans="1:32" ht="25.5">
      <c r="A38" s="25" t="s">
        <v>50</v>
      </c>
      <c r="B38" s="577">
        <v>98.503101100687942</v>
      </c>
      <c r="C38" s="577">
        <v>99.538052792356098</v>
      </c>
      <c r="D38" s="577">
        <v>99.511092311215066</v>
      </c>
      <c r="E38" s="577">
        <v>99.511092311215066</v>
      </c>
      <c r="F38" s="577">
        <v>94.929118230845233</v>
      </c>
      <c r="G38" s="577">
        <v>94.805834771550394</v>
      </c>
      <c r="H38" s="577">
        <v>97.768032335165216</v>
      </c>
      <c r="I38" s="577">
        <v>97.928230463323331</v>
      </c>
      <c r="J38" s="577">
        <v>97.777849878086911</v>
      </c>
      <c r="K38" s="577">
        <v>97.900018995616676</v>
      </c>
      <c r="L38" s="577">
        <v>97.853264513166351</v>
      </c>
      <c r="M38" s="577">
        <v>97.86115565492176</v>
      </c>
      <c r="N38" s="577">
        <v>97.823903613179155</v>
      </c>
      <c r="R38" s="2" t="s">
        <v>53</v>
      </c>
      <c r="S38" s="211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</row>
    <row r="39" spans="1:32" ht="19.5" customHeight="1">
      <c r="A39" s="33" t="s">
        <v>33</v>
      </c>
      <c r="B39" s="577">
        <v>129.05057630644723</v>
      </c>
      <c r="C39" s="577">
        <v>128.82738850884596</v>
      </c>
      <c r="D39" s="577">
        <v>128.87693609345939</v>
      </c>
      <c r="E39" s="577">
        <v>128.87693609345939</v>
      </c>
      <c r="F39" s="577">
        <v>129.01350673957566</v>
      </c>
      <c r="G39" s="577">
        <v>129.01350673957566</v>
      </c>
      <c r="H39" s="577">
        <v>129.0110199489325</v>
      </c>
      <c r="I39" s="577">
        <v>128.99811486992829</v>
      </c>
      <c r="J39" s="577">
        <v>128.94709089114934</v>
      </c>
      <c r="K39" s="577">
        <v>128.92945457030893</v>
      </c>
      <c r="L39" s="577">
        <v>129.01111186285701</v>
      </c>
      <c r="M39" s="577">
        <v>128.95079451054374</v>
      </c>
      <c r="N39" s="577">
        <v>128.95886976125692</v>
      </c>
      <c r="R39" s="2" t="s">
        <v>34</v>
      </c>
      <c r="S39" s="211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</row>
    <row r="40" spans="1:32" ht="19.5" customHeight="1">
      <c r="A40" s="33" t="s">
        <v>35</v>
      </c>
      <c r="B40" s="577">
        <v>107.40312300634571</v>
      </c>
      <c r="C40" s="577">
        <v>107.04866359613457</v>
      </c>
      <c r="D40" s="577">
        <v>107.04736338598453</v>
      </c>
      <c r="E40" s="577">
        <v>106.7766222593232</v>
      </c>
      <c r="F40" s="577">
        <v>105.0148507534213</v>
      </c>
      <c r="G40" s="577">
        <v>104.71470632981634</v>
      </c>
      <c r="H40" s="577">
        <v>104.51864974159125</v>
      </c>
      <c r="I40" s="577">
        <v>104.51864974159125</v>
      </c>
      <c r="J40" s="577">
        <v>104.49190049426724</v>
      </c>
      <c r="K40" s="577">
        <v>104.53973956094983</v>
      </c>
      <c r="L40" s="577">
        <v>104.55806466043322</v>
      </c>
      <c r="M40" s="577">
        <v>104.55806466043322</v>
      </c>
      <c r="N40" s="577">
        <v>105.43253318252432</v>
      </c>
      <c r="R40" s="2" t="s">
        <v>36</v>
      </c>
      <c r="S40" s="211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</row>
    <row r="41" spans="1:32" ht="19.5" customHeight="1">
      <c r="A41" s="33" t="s">
        <v>37</v>
      </c>
      <c r="B41" s="577">
        <v>95.746365973594948</v>
      </c>
      <c r="C41" s="577">
        <v>95.746365973594948</v>
      </c>
      <c r="D41" s="577">
        <v>95.746365973594948</v>
      </c>
      <c r="E41" s="577">
        <v>95.746365973594948</v>
      </c>
      <c r="F41" s="577">
        <v>95.746365973594948</v>
      </c>
      <c r="G41" s="577">
        <v>95.746365973594948</v>
      </c>
      <c r="H41" s="577">
        <v>95.746365973594948</v>
      </c>
      <c r="I41" s="577">
        <v>95.746365973594948</v>
      </c>
      <c r="J41" s="577">
        <v>95.746365973594948</v>
      </c>
      <c r="K41" s="577">
        <v>95.746365973594948</v>
      </c>
      <c r="L41" s="577">
        <v>95.746365973594948</v>
      </c>
      <c r="M41" s="577">
        <v>95.746365973594948</v>
      </c>
      <c r="N41" s="577">
        <v>95.746365973594948</v>
      </c>
      <c r="R41" s="2" t="s">
        <v>38</v>
      </c>
      <c r="S41" s="211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</row>
    <row r="42" spans="1:32" ht="19.5" customHeight="1">
      <c r="A42" s="34" t="s">
        <v>39</v>
      </c>
      <c r="B42" s="577">
        <v>102.48197574553998</v>
      </c>
      <c r="C42" s="577">
        <v>102.48197574553998</v>
      </c>
      <c r="D42" s="577">
        <v>102.48197574553998</v>
      </c>
      <c r="E42" s="577">
        <v>102.48197574553998</v>
      </c>
      <c r="F42" s="577">
        <v>102.06328167516989</v>
      </c>
      <c r="G42" s="577">
        <v>101.76733932682954</v>
      </c>
      <c r="H42" s="577">
        <v>102.39311199841308</v>
      </c>
      <c r="I42" s="577">
        <v>102.42085857140147</v>
      </c>
      <c r="J42" s="577">
        <v>102.38889447668113</v>
      </c>
      <c r="K42" s="577">
        <v>101.37352635018489</v>
      </c>
      <c r="L42" s="577">
        <v>101.1658227152942</v>
      </c>
      <c r="M42" s="577">
        <v>101.16264728174201</v>
      </c>
      <c r="N42" s="577">
        <v>102.05528211482302</v>
      </c>
      <c r="R42" s="35" t="s">
        <v>40</v>
      </c>
      <c r="S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</row>
    <row r="43" spans="1:32" ht="19.5" customHeight="1">
      <c r="A43" s="31" t="s">
        <v>12</v>
      </c>
      <c r="B43" s="577">
        <v>127.7970169576827</v>
      </c>
      <c r="C43" s="577">
        <v>127.7970169576827</v>
      </c>
      <c r="D43" s="577">
        <v>127.7970169576827</v>
      </c>
      <c r="E43" s="577">
        <v>127.7970169576827</v>
      </c>
      <c r="F43" s="577">
        <v>127.7970169576827</v>
      </c>
      <c r="G43" s="577">
        <v>127.7970169576827</v>
      </c>
      <c r="H43" s="577">
        <v>127.7970169576827</v>
      </c>
      <c r="I43" s="577">
        <v>127.7970169576827</v>
      </c>
      <c r="J43" s="577">
        <v>127.7970169576827</v>
      </c>
      <c r="K43" s="577">
        <v>127.7970169576827</v>
      </c>
      <c r="L43" s="577">
        <v>127.7970169576827</v>
      </c>
      <c r="M43" s="577">
        <v>127.7970169576827</v>
      </c>
      <c r="N43" s="577">
        <v>127.79701695768269</v>
      </c>
      <c r="R43" s="35" t="s">
        <v>13</v>
      </c>
      <c r="S43" s="211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</row>
    <row r="44" spans="1:32" ht="19.5" customHeight="1">
      <c r="A44" s="31" t="s">
        <v>41</v>
      </c>
      <c r="B44" s="577">
        <v>127.46890844032582</v>
      </c>
      <c r="C44" s="577">
        <v>127.47143766897096</v>
      </c>
      <c r="D44" s="577">
        <v>127.46380896773262</v>
      </c>
      <c r="E44" s="577">
        <v>127.46380896773262</v>
      </c>
      <c r="F44" s="577">
        <v>127.46380896773262</v>
      </c>
      <c r="G44" s="577">
        <v>127.46380896773262</v>
      </c>
      <c r="H44" s="577">
        <v>127.46380896773262</v>
      </c>
      <c r="I44" s="577">
        <v>127.46286895878529</v>
      </c>
      <c r="J44" s="577">
        <v>127.46323893962705</v>
      </c>
      <c r="K44" s="577">
        <v>127.46323893962705</v>
      </c>
      <c r="L44" s="577">
        <v>130.55035675156071</v>
      </c>
      <c r="M44" s="577">
        <v>131.35278212931652</v>
      </c>
      <c r="N44" s="577">
        <v>128.04598972223968</v>
      </c>
      <c r="R44" s="35" t="s">
        <v>42</v>
      </c>
      <c r="S44" s="211"/>
      <c r="U44" s="238"/>
      <c r="V44" s="238"/>
      <c r="W44" s="238"/>
      <c r="X44" s="238"/>
      <c r="Y44" s="239"/>
      <c r="Z44" s="239"/>
      <c r="AA44" s="239"/>
      <c r="AB44" s="238"/>
      <c r="AC44" s="238"/>
      <c r="AD44" s="238"/>
      <c r="AE44" s="238"/>
      <c r="AF44" s="238"/>
    </row>
    <row r="45" spans="1:32" s="7" customFormat="1" ht="19.5" customHeight="1">
      <c r="A45" s="34" t="s">
        <v>43</v>
      </c>
      <c r="B45" s="577">
        <v>98.485916505342814</v>
      </c>
      <c r="C45" s="577">
        <v>98.046541063021564</v>
      </c>
      <c r="D45" s="577">
        <v>97.625419603861843</v>
      </c>
      <c r="E45" s="577">
        <v>97.736081946315139</v>
      </c>
      <c r="F45" s="577">
        <v>97.696996491810637</v>
      </c>
      <c r="G45" s="577">
        <v>97.9201749442351</v>
      </c>
      <c r="H45" s="577">
        <v>97.87085232200819</v>
      </c>
      <c r="I45" s="577">
        <v>97.712578034730925</v>
      </c>
      <c r="J45" s="577">
        <v>97.338068027609495</v>
      </c>
      <c r="K45" s="577">
        <v>97.22519675273449</v>
      </c>
      <c r="L45" s="577">
        <v>97.054897496360951</v>
      </c>
      <c r="M45" s="577">
        <v>97.203613182008951</v>
      </c>
      <c r="N45" s="577">
        <v>97.659694697503355</v>
      </c>
      <c r="O45" s="146"/>
      <c r="P45" s="146"/>
      <c r="Q45" s="146"/>
      <c r="R45" s="35" t="s">
        <v>74</v>
      </c>
      <c r="S45" s="211"/>
      <c r="U45" s="238"/>
      <c r="V45" s="238"/>
      <c r="W45" s="238"/>
      <c r="X45" s="238"/>
      <c r="Y45" s="239"/>
      <c r="Z45" s="239"/>
      <c r="AA45" s="239"/>
      <c r="AB45" s="239"/>
      <c r="AC45" s="239"/>
      <c r="AD45" s="239"/>
      <c r="AE45" s="239"/>
      <c r="AF45" s="239"/>
    </row>
    <row r="46" spans="1:32" ht="19.5" customHeight="1">
      <c r="A46" s="36" t="s">
        <v>69</v>
      </c>
      <c r="B46" s="578">
        <v>110.00033350331248</v>
      </c>
      <c r="C46" s="578">
        <v>110.19473478970797</v>
      </c>
      <c r="D46" s="578">
        <v>110.43188535416721</v>
      </c>
      <c r="E46" s="578">
        <v>110.4759024861235</v>
      </c>
      <c r="F46" s="578">
        <v>110.76399676778138</v>
      </c>
      <c r="G46" s="578">
        <v>110.12785640422548</v>
      </c>
      <c r="H46" s="578">
        <v>110.64310784713696</v>
      </c>
      <c r="I46" s="578">
        <v>110.36744976871628</v>
      </c>
      <c r="J46" s="578">
        <v>111.03618447704602</v>
      </c>
      <c r="K46" s="578">
        <v>111.06707720222175</v>
      </c>
      <c r="L46" s="578">
        <v>111.13797189910584</v>
      </c>
      <c r="M46" s="578">
        <v>112.06312602531305</v>
      </c>
      <c r="N46" s="579">
        <v>110.69246887707151</v>
      </c>
      <c r="R46" s="40" t="s">
        <v>14</v>
      </c>
      <c r="S46" s="211"/>
      <c r="U46" s="239"/>
      <c r="V46" s="239"/>
      <c r="W46" s="239"/>
      <c r="X46" s="239"/>
      <c r="Y46" s="238"/>
      <c r="Z46" s="238"/>
      <c r="AA46" s="238"/>
      <c r="AB46" s="238"/>
      <c r="AC46" s="238"/>
      <c r="AD46" s="238"/>
      <c r="AE46" s="238"/>
      <c r="AF46" s="238"/>
    </row>
    <row r="47" spans="1:32" ht="19.5" customHeight="1">
      <c r="A47" s="42" t="s">
        <v>70</v>
      </c>
      <c r="B47" s="580">
        <v>110.94188162579096</v>
      </c>
      <c r="C47" s="580">
        <v>111.004683092733</v>
      </c>
      <c r="D47" s="580">
        <v>111.26668050341912</v>
      </c>
      <c r="E47" s="580">
        <v>111.35625313873874</v>
      </c>
      <c r="F47" s="580">
        <v>111.39402720802357</v>
      </c>
      <c r="G47" s="580">
        <v>110.57054158260298</v>
      </c>
      <c r="H47" s="580">
        <v>110.96697462853581</v>
      </c>
      <c r="I47" s="580">
        <v>111.22506613876691</v>
      </c>
      <c r="J47" s="580">
        <v>111.71624670226616</v>
      </c>
      <c r="K47" s="580">
        <v>112.01723285178731</v>
      </c>
      <c r="L47" s="580">
        <v>112.58263492573909</v>
      </c>
      <c r="M47" s="580">
        <v>113.03630244653148</v>
      </c>
      <c r="N47" s="580">
        <v>111.50654373707793</v>
      </c>
      <c r="O47" s="195"/>
      <c r="P47" s="195"/>
      <c r="Q47" s="195"/>
      <c r="R47" s="44" t="s">
        <v>54</v>
      </c>
      <c r="S47" s="211"/>
      <c r="U47" s="239"/>
      <c r="V47" s="239"/>
      <c r="W47" s="239"/>
      <c r="X47" s="239"/>
      <c r="Y47" s="238"/>
      <c r="Z47" s="238"/>
      <c r="AA47" s="238"/>
      <c r="AB47" s="238"/>
      <c r="AC47" s="238"/>
      <c r="AD47" s="238"/>
      <c r="AE47" s="238"/>
      <c r="AF47" s="238"/>
    </row>
    <row r="49" spans="1:32">
      <c r="A49" s="212"/>
      <c r="B49" s="153"/>
      <c r="C49" s="153"/>
      <c r="D49" s="153"/>
      <c r="E49" s="153"/>
      <c r="F49" s="194"/>
      <c r="G49" s="153"/>
      <c r="H49" s="153"/>
      <c r="J49" s="379"/>
      <c r="K49" s="379"/>
      <c r="L49" s="379"/>
      <c r="M49" s="213"/>
      <c r="R49" s="146"/>
    </row>
    <row r="50" spans="1:32">
      <c r="A50" s="214" t="s">
        <v>7</v>
      </c>
      <c r="B50" s="198" t="s">
        <v>301</v>
      </c>
      <c r="C50" s="199"/>
      <c r="D50" s="199"/>
      <c r="E50" s="198"/>
      <c r="F50" s="200"/>
      <c r="G50" s="201"/>
      <c r="H50" s="62"/>
      <c r="I50" s="62"/>
      <c r="J50" s="62"/>
      <c r="K50" s="62"/>
      <c r="L50" s="62"/>
      <c r="M50" s="201"/>
      <c r="N50" s="22" t="s">
        <v>302</v>
      </c>
      <c r="O50" s="135"/>
      <c r="P50" s="135"/>
      <c r="Q50" s="135"/>
      <c r="R50" s="108" t="s">
        <v>19</v>
      </c>
    </row>
    <row r="51" spans="1:32">
      <c r="A51" s="202" t="s">
        <v>49</v>
      </c>
      <c r="B51" s="66" t="s">
        <v>61</v>
      </c>
      <c r="C51" s="66" t="s">
        <v>60</v>
      </c>
      <c r="D51" s="66" t="s">
        <v>0</v>
      </c>
      <c r="E51" s="66" t="s">
        <v>15</v>
      </c>
      <c r="F51" s="66" t="s">
        <v>16</v>
      </c>
      <c r="G51" s="1" t="s">
        <v>1</v>
      </c>
      <c r="H51" s="1" t="s">
        <v>17</v>
      </c>
      <c r="I51" s="1" t="s">
        <v>59</v>
      </c>
      <c r="J51" s="1" t="s">
        <v>258</v>
      </c>
      <c r="K51" s="1" t="s">
        <v>259</v>
      </c>
      <c r="L51" s="1" t="s">
        <v>260</v>
      </c>
      <c r="M51" s="1" t="s">
        <v>261</v>
      </c>
      <c r="N51" s="203" t="s">
        <v>18</v>
      </c>
      <c r="O51" s="379"/>
      <c r="P51" s="379"/>
      <c r="Q51" s="379"/>
      <c r="R51" s="40" t="s">
        <v>83</v>
      </c>
    </row>
    <row r="52" spans="1:32" ht="15.75">
      <c r="A52" s="215"/>
      <c r="B52" s="206" t="s">
        <v>20</v>
      </c>
      <c r="C52" s="207" t="s">
        <v>21</v>
      </c>
      <c r="D52" s="207" t="s">
        <v>2</v>
      </c>
      <c r="E52" s="207" t="s">
        <v>22</v>
      </c>
      <c r="F52" s="207" t="s">
        <v>23</v>
      </c>
      <c r="G52" s="207" t="s">
        <v>3</v>
      </c>
      <c r="H52" s="207" t="s">
        <v>24</v>
      </c>
      <c r="I52" s="207" t="s">
        <v>25</v>
      </c>
      <c r="J52" s="207" t="s">
        <v>4</v>
      </c>
      <c r="K52" s="207" t="s">
        <v>26</v>
      </c>
      <c r="L52" s="207" t="s">
        <v>27</v>
      </c>
      <c r="M52" s="207" t="s">
        <v>5</v>
      </c>
      <c r="N52" s="208" t="s">
        <v>28</v>
      </c>
      <c r="O52" s="195"/>
      <c r="P52" s="195"/>
      <c r="Q52" s="195"/>
      <c r="R52" s="216"/>
    </row>
    <row r="53" spans="1:32" ht="22.5" customHeight="1">
      <c r="A53" s="25" t="s">
        <v>55</v>
      </c>
      <c r="B53" s="267">
        <v>114.85704629519229</v>
      </c>
      <c r="C53" s="267">
        <v>115.97371735747504</v>
      </c>
      <c r="D53" s="267">
        <v>116.06058518173062</v>
      </c>
      <c r="E53" s="267">
        <v>115.99234597313864</v>
      </c>
      <c r="F53" s="267">
        <v>117.96123873306081</v>
      </c>
      <c r="G53" s="267">
        <v>115.01790787735233</v>
      </c>
      <c r="H53" s="267">
        <v>115.0866285020504</v>
      </c>
      <c r="I53" s="267">
        <v>113.64583680497492</v>
      </c>
      <c r="J53" s="267">
        <v>115.05956299560125</v>
      </c>
      <c r="K53" s="267">
        <v>113.10510059197715</v>
      </c>
      <c r="L53" s="267">
        <v>112.10344411271905</v>
      </c>
      <c r="M53" s="267">
        <v>115.60310481497176</v>
      </c>
      <c r="N53" s="267">
        <v>115.03887660335369</v>
      </c>
      <c r="R53" s="2" t="s">
        <v>57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22.5" customHeight="1">
      <c r="A54" s="25" t="s">
        <v>56</v>
      </c>
      <c r="B54" s="267">
        <v>117.48626170454889</v>
      </c>
      <c r="C54" s="267">
        <v>117.155233951905</v>
      </c>
      <c r="D54" s="267">
        <v>116.58396656041208</v>
      </c>
      <c r="E54" s="267">
        <v>116.52314240850735</v>
      </c>
      <c r="F54" s="267">
        <v>116.06136606071694</v>
      </c>
      <c r="G54" s="267">
        <v>115.41674911355277</v>
      </c>
      <c r="H54" s="267">
        <v>115.23341905094898</v>
      </c>
      <c r="I54" s="267">
        <v>115.05424630766495</v>
      </c>
      <c r="J54" s="267">
        <v>115.39587717393924</v>
      </c>
      <c r="K54" s="267">
        <v>115.73100243863888</v>
      </c>
      <c r="L54" s="267">
        <v>117.05684074341066</v>
      </c>
      <c r="M54" s="267">
        <v>118.39585465737136</v>
      </c>
      <c r="N54" s="267">
        <v>116.34116334763475</v>
      </c>
      <c r="R54" s="2" t="s">
        <v>58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22.5" customHeight="1">
      <c r="A55" s="31" t="s">
        <v>9</v>
      </c>
      <c r="B55" s="267">
        <v>108.51981867032163</v>
      </c>
      <c r="C55" s="267">
        <v>113.12589455268756</v>
      </c>
      <c r="D55" s="267">
        <v>114.79907312778515</v>
      </c>
      <c r="E55" s="267">
        <v>114.71296132423143</v>
      </c>
      <c r="F55" s="267">
        <v>122.54052331357438</v>
      </c>
      <c r="G55" s="267">
        <v>114.05657633677494</v>
      </c>
      <c r="H55" s="267">
        <v>114.73281758254983</v>
      </c>
      <c r="I55" s="267">
        <v>110.25113145834774</v>
      </c>
      <c r="J55" s="267">
        <v>114.24894112946809</v>
      </c>
      <c r="K55" s="267">
        <v>106.77585968473025</v>
      </c>
      <c r="L55" s="267">
        <v>100.16421621482596</v>
      </c>
      <c r="M55" s="267">
        <v>108.8717082973547</v>
      </c>
      <c r="N55" s="267">
        <v>111.89996014105429</v>
      </c>
      <c r="R55" s="2" t="s">
        <v>10</v>
      </c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22.5" customHeight="1">
      <c r="A56" s="31" t="s">
        <v>51</v>
      </c>
      <c r="B56" s="267">
        <v>123.55132498806739</v>
      </c>
      <c r="C56" s="267">
        <v>124.4027721806788</v>
      </c>
      <c r="D56" s="267">
        <v>159.76384398527972</v>
      </c>
      <c r="E56" s="267">
        <v>159.88814515958322</v>
      </c>
      <c r="F56" s="267">
        <v>160.84711625223017</v>
      </c>
      <c r="G56" s="267">
        <v>161.97783728708981</v>
      </c>
      <c r="H56" s="267">
        <v>161.69072693339604</v>
      </c>
      <c r="I56" s="267">
        <v>160.80775926000723</v>
      </c>
      <c r="J56" s="267">
        <v>160.89461207203431</v>
      </c>
      <c r="K56" s="267">
        <v>161.02636943285495</v>
      </c>
      <c r="L56" s="267">
        <v>161.09942944313607</v>
      </c>
      <c r="M56" s="267">
        <v>161.03258096506801</v>
      </c>
      <c r="N56" s="267">
        <v>154.74854316328549</v>
      </c>
      <c r="R56" s="2" t="s">
        <v>30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22.5" customHeight="1">
      <c r="A57" s="31" t="s">
        <v>11</v>
      </c>
      <c r="B57" s="267">
        <v>102.14061491595783</v>
      </c>
      <c r="C57" s="267">
        <v>102.32848686972707</v>
      </c>
      <c r="D57" s="267">
        <v>102.32134886034919</v>
      </c>
      <c r="E57" s="267">
        <v>102.31957857293285</v>
      </c>
      <c r="F57" s="267">
        <v>102.3221492750819</v>
      </c>
      <c r="G57" s="267">
        <v>101.99618922070486</v>
      </c>
      <c r="H57" s="267">
        <v>101.57642599849908</v>
      </c>
      <c r="I57" s="267">
        <v>101.85351269551137</v>
      </c>
      <c r="J57" s="267">
        <v>101.8399649534814</v>
      </c>
      <c r="K57" s="267">
        <v>101.47884117846772</v>
      </c>
      <c r="L57" s="267">
        <v>101.19308380744727</v>
      </c>
      <c r="M57" s="267">
        <v>101.41414794847827</v>
      </c>
      <c r="N57" s="267">
        <v>101.89869535805325</v>
      </c>
      <c r="R57" s="2" t="s">
        <v>31</v>
      </c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22.5" customHeight="1">
      <c r="A58" s="31" t="s">
        <v>67</v>
      </c>
      <c r="B58" s="267">
        <v>103.17903513778771</v>
      </c>
      <c r="C58" s="267">
        <v>103.55695666035595</v>
      </c>
      <c r="D58" s="267">
        <v>103.60777245342159</v>
      </c>
      <c r="E58" s="267">
        <v>103.4836111863692</v>
      </c>
      <c r="F58" s="267">
        <v>103.65150567333501</v>
      </c>
      <c r="G58" s="267">
        <v>100.60426661787763</v>
      </c>
      <c r="H58" s="267">
        <v>95.277739815011344</v>
      </c>
      <c r="I58" s="267">
        <v>95.292261935492036</v>
      </c>
      <c r="J58" s="267">
        <v>95.361062821866412</v>
      </c>
      <c r="K58" s="267">
        <v>95.341815920986349</v>
      </c>
      <c r="L58" s="267">
        <v>95.246048547126136</v>
      </c>
      <c r="M58" s="267">
        <v>95.241479165220397</v>
      </c>
      <c r="N58" s="267">
        <v>99.153629661237474</v>
      </c>
      <c r="R58" s="2" t="s">
        <v>32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5.6" customHeight="1">
      <c r="A59" s="31" t="s">
        <v>68</v>
      </c>
      <c r="B59" s="267">
        <v>106.8532425139463</v>
      </c>
      <c r="C59" s="267">
        <v>106.8532425139463</v>
      </c>
      <c r="D59" s="267">
        <v>106.8532425139463</v>
      </c>
      <c r="E59" s="267">
        <v>106.8532425139463</v>
      </c>
      <c r="F59" s="267">
        <v>106.8532425139463</v>
      </c>
      <c r="G59" s="267">
        <v>106.8532425139463</v>
      </c>
      <c r="H59" s="267">
        <v>106.8532425139463</v>
      </c>
      <c r="I59" s="267">
        <v>106.8532425139463</v>
      </c>
      <c r="J59" s="267">
        <v>106.8532425139463</v>
      </c>
      <c r="K59" s="267">
        <v>106.8532425139463</v>
      </c>
      <c r="L59" s="267">
        <v>106.8532425139463</v>
      </c>
      <c r="M59" s="267">
        <v>106.8532425139463</v>
      </c>
      <c r="N59" s="267">
        <v>106.85324251394628</v>
      </c>
      <c r="R59" s="72" t="s">
        <v>71</v>
      </c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30" customHeight="1">
      <c r="A60" s="25" t="s">
        <v>50</v>
      </c>
      <c r="B60" s="267">
        <v>100.12183832201163</v>
      </c>
      <c r="C60" s="267">
        <v>101.08189687417571</v>
      </c>
      <c r="D60" s="267">
        <v>101.08337931681302</v>
      </c>
      <c r="E60" s="267">
        <v>100.90185972219595</v>
      </c>
      <c r="F60" s="267">
        <v>98.087900505390124</v>
      </c>
      <c r="G60" s="267">
        <v>97.704092944898036</v>
      </c>
      <c r="H60" s="267">
        <v>98.713665288730837</v>
      </c>
      <c r="I60" s="267">
        <v>98.507593715791685</v>
      </c>
      <c r="J60" s="267">
        <v>98.339300105927038</v>
      </c>
      <c r="K60" s="267">
        <v>98.427535568193647</v>
      </c>
      <c r="L60" s="267">
        <v>97.97812908349087</v>
      </c>
      <c r="M60" s="267">
        <v>97.995620958843503</v>
      </c>
      <c r="N60" s="267">
        <v>99.0785677005385</v>
      </c>
      <c r="R60" s="2" t="s">
        <v>53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22.5" customHeight="1">
      <c r="A61" s="33" t="s">
        <v>33</v>
      </c>
      <c r="B61" s="267">
        <v>124.10859043895114</v>
      </c>
      <c r="C61" s="267">
        <v>124.03134596769986</v>
      </c>
      <c r="D61" s="267">
        <v>123.99959955642946</v>
      </c>
      <c r="E61" s="267">
        <v>124.01254460300299</v>
      </c>
      <c r="F61" s="267">
        <v>124.09414652848778</v>
      </c>
      <c r="G61" s="267">
        <v>124.08017288164734</v>
      </c>
      <c r="H61" s="267">
        <v>124.10042621654142</v>
      </c>
      <c r="I61" s="267">
        <v>124.13766608088137</v>
      </c>
      <c r="J61" s="267">
        <v>124.13766608088137</v>
      </c>
      <c r="K61" s="267">
        <v>124.40554395322084</v>
      </c>
      <c r="L61" s="267">
        <v>124.41394414069075</v>
      </c>
      <c r="M61" s="267">
        <v>124.4534527920046</v>
      </c>
      <c r="N61" s="267">
        <v>124.1645916033699</v>
      </c>
      <c r="R61" s="2" t="s">
        <v>34</v>
      </c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22.5" customHeight="1">
      <c r="A62" s="33" t="s">
        <v>35</v>
      </c>
      <c r="B62" s="267">
        <v>100.29413140619782</v>
      </c>
      <c r="C62" s="267">
        <v>100.29155287868805</v>
      </c>
      <c r="D62" s="267">
        <v>100.29109782540567</v>
      </c>
      <c r="E62" s="267">
        <v>100.04516619223442</v>
      </c>
      <c r="F62" s="267">
        <v>99.373170869494928</v>
      </c>
      <c r="G62" s="267">
        <v>98.250020771252721</v>
      </c>
      <c r="H62" s="267">
        <v>98.064488592525151</v>
      </c>
      <c r="I62" s="267">
        <v>98.113111759062974</v>
      </c>
      <c r="J62" s="267">
        <v>98.546987924724675</v>
      </c>
      <c r="K62" s="267">
        <v>99.249842263869184</v>
      </c>
      <c r="L62" s="267">
        <v>98.761674004209397</v>
      </c>
      <c r="M62" s="267">
        <v>98.801679172341053</v>
      </c>
      <c r="N62" s="267">
        <v>99.17357697166716</v>
      </c>
      <c r="R62" s="2" t="s">
        <v>36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22.5" customHeight="1">
      <c r="A63" s="33" t="s">
        <v>37</v>
      </c>
      <c r="B63" s="267">
        <v>102.5011130507078</v>
      </c>
      <c r="C63" s="267">
        <v>102.5011130507078</v>
      </c>
      <c r="D63" s="267">
        <v>102.5011130507078</v>
      </c>
      <c r="E63" s="267">
        <v>102.5011130507078</v>
      </c>
      <c r="F63" s="267">
        <v>102.5011130507078</v>
      </c>
      <c r="G63" s="267">
        <v>102.5011130507078</v>
      </c>
      <c r="H63" s="267">
        <v>104.33367522636192</v>
      </c>
      <c r="I63" s="267">
        <v>104.33367522636192</v>
      </c>
      <c r="J63" s="267">
        <v>104.33367522636192</v>
      </c>
      <c r="K63" s="267">
        <v>104.15196870522216</v>
      </c>
      <c r="L63" s="267">
        <v>104.15196870522216</v>
      </c>
      <c r="M63" s="267">
        <v>102.99960828296835</v>
      </c>
      <c r="N63" s="267">
        <v>103.27593747306211</v>
      </c>
      <c r="R63" s="2" t="s">
        <v>38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22.5" customHeight="1">
      <c r="A64" s="34" t="s">
        <v>39</v>
      </c>
      <c r="B64" s="267">
        <v>101.36860484761949</v>
      </c>
      <c r="C64" s="267">
        <v>101.34807656587225</v>
      </c>
      <c r="D64" s="267">
        <v>101.37001031319875</v>
      </c>
      <c r="E64" s="267">
        <v>101.37001031319875</v>
      </c>
      <c r="F64" s="267">
        <v>99.09776497313635</v>
      </c>
      <c r="G64" s="267">
        <v>98.786410187785179</v>
      </c>
      <c r="H64" s="267">
        <v>99.109297780603285</v>
      </c>
      <c r="I64" s="267">
        <v>99.135356530250078</v>
      </c>
      <c r="J64" s="267">
        <v>99.14902059887612</v>
      </c>
      <c r="K64" s="267">
        <v>99.124082070453355</v>
      </c>
      <c r="L64" s="267">
        <v>98.858098838842835</v>
      </c>
      <c r="M64" s="267">
        <v>98.779057334963937</v>
      </c>
      <c r="N64" s="267">
        <v>99.791315862900035</v>
      </c>
      <c r="R64" s="35" t="s">
        <v>40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8" customHeight="1">
      <c r="A65" s="31" t="s">
        <v>12</v>
      </c>
      <c r="B65" s="267">
        <v>133.23816424501564</v>
      </c>
      <c r="C65" s="267">
        <v>133.23816424501564</v>
      </c>
      <c r="D65" s="267">
        <v>133.23816424501564</v>
      </c>
      <c r="E65" s="267">
        <v>133.23816424501564</v>
      </c>
      <c r="F65" s="267">
        <v>133.23816424501564</v>
      </c>
      <c r="G65" s="267">
        <v>133.23816424501564</v>
      </c>
      <c r="H65" s="267">
        <v>133.24140936751891</v>
      </c>
      <c r="I65" s="267">
        <v>133.24140936751891</v>
      </c>
      <c r="J65" s="267">
        <v>133.24140936751891</v>
      </c>
      <c r="K65" s="267">
        <v>133.24140936751891</v>
      </c>
      <c r="L65" s="267">
        <v>133.24140936751891</v>
      </c>
      <c r="M65" s="267">
        <v>133.24140936751891</v>
      </c>
      <c r="N65" s="267">
        <v>133.23978680626726</v>
      </c>
      <c r="R65" s="35" t="s">
        <v>13</v>
      </c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s="7" customFormat="1" ht="22.5" customHeight="1">
      <c r="A66" s="31" t="s">
        <v>41</v>
      </c>
      <c r="B66" s="267">
        <v>121.79577182544507</v>
      </c>
      <c r="C66" s="267">
        <v>121.66097723957182</v>
      </c>
      <c r="D66" s="267">
        <v>121.64326226545897</v>
      </c>
      <c r="E66" s="267">
        <v>121.64326226545897</v>
      </c>
      <c r="F66" s="267">
        <v>121.64326226545897</v>
      </c>
      <c r="G66" s="267">
        <v>121.64326226545897</v>
      </c>
      <c r="H66" s="267">
        <v>121.64326226545897</v>
      </c>
      <c r="I66" s="267">
        <v>121.69084088499255</v>
      </c>
      <c r="J66" s="267">
        <v>121.69084088499255</v>
      </c>
      <c r="K66" s="267">
        <v>121.47811226613192</v>
      </c>
      <c r="L66" s="267">
        <v>121.47811226613192</v>
      </c>
      <c r="M66" s="267">
        <v>121.47811226613192</v>
      </c>
      <c r="N66" s="267">
        <v>121.62408991339107</v>
      </c>
      <c r="R66" s="35" t="s">
        <v>42</v>
      </c>
      <c r="T66" s="146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s="7" customFormat="1" ht="22.5" customHeight="1">
      <c r="A67" s="34" t="s">
        <v>43</v>
      </c>
      <c r="B67" s="267">
        <v>98.602324383938466</v>
      </c>
      <c r="C67" s="267">
        <v>98.764902740746294</v>
      </c>
      <c r="D67" s="267">
        <v>98.698460190084447</v>
      </c>
      <c r="E67" s="267">
        <v>98.819042008029911</v>
      </c>
      <c r="F67" s="267">
        <v>98.733261224693422</v>
      </c>
      <c r="G67" s="267">
        <v>98.759740575952733</v>
      </c>
      <c r="H67" s="267">
        <v>98.843110345384048</v>
      </c>
      <c r="I67" s="267">
        <v>98.736975533345088</v>
      </c>
      <c r="J67" s="267">
        <v>98.681436495546677</v>
      </c>
      <c r="K67" s="267">
        <v>98.920917551729744</v>
      </c>
      <c r="L67" s="267">
        <v>99.024531844813566</v>
      </c>
      <c r="M67" s="267">
        <v>98.990021554600204</v>
      </c>
      <c r="N67" s="267">
        <v>98.797893704072052</v>
      </c>
      <c r="R67" s="35" t="s">
        <v>74</v>
      </c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22.5" customHeight="1">
      <c r="A68" s="36" t="s">
        <v>69</v>
      </c>
      <c r="B68" s="268">
        <v>109.07169817685147</v>
      </c>
      <c r="C68" s="268">
        <v>109.62148893662328</v>
      </c>
      <c r="D68" s="268">
        <v>110.74978891001659</v>
      </c>
      <c r="E68" s="268">
        <v>110.69120734808921</v>
      </c>
      <c r="F68" s="268">
        <v>110.92729831231124</v>
      </c>
      <c r="G68" s="268">
        <v>109.4231107284929</v>
      </c>
      <c r="H68" s="268">
        <v>108.83194745330235</v>
      </c>
      <c r="I68" s="268">
        <v>108.3313651501429</v>
      </c>
      <c r="J68" s="268">
        <v>108.8069736939307</v>
      </c>
      <c r="K68" s="268">
        <v>108.23169696987796</v>
      </c>
      <c r="L68" s="268">
        <v>107.80230927506346</v>
      </c>
      <c r="M68" s="268">
        <v>108.89016262252547</v>
      </c>
      <c r="N68" s="269">
        <v>109.28158729810228</v>
      </c>
      <c r="R68" s="40" t="s">
        <v>14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22.5" customHeight="1">
      <c r="A69" s="42" t="s">
        <v>70</v>
      </c>
      <c r="B69" s="270">
        <v>109.12966113106238</v>
      </c>
      <c r="C69" s="270">
        <v>109.25342724950274</v>
      </c>
      <c r="D69" s="270">
        <v>110.32449956166305</v>
      </c>
      <c r="E69" s="270">
        <v>110.26880945360543</v>
      </c>
      <c r="F69" s="270">
        <v>109.70758128889334</v>
      </c>
      <c r="G69" s="270">
        <v>108.93646581467878</v>
      </c>
      <c r="H69" s="270">
        <v>108.21218922517542</v>
      </c>
      <c r="I69" s="270">
        <v>108.12973540071086</v>
      </c>
      <c r="J69" s="270">
        <v>108.23541322547429</v>
      </c>
      <c r="K69" s="270">
        <v>108.3846010529235</v>
      </c>
      <c r="L69" s="270">
        <v>108.60452503606065</v>
      </c>
      <c r="M69" s="270">
        <v>108.89210084851892</v>
      </c>
      <c r="N69" s="270">
        <v>109.00658410735581</v>
      </c>
      <c r="O69" s="195"/>
      <c r="P69" s="195"/>
      <c r="Q69" s="195"/>
      <c r="R69" s="44" t="s">
        <v>54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7.25">
      <c r="A70" s="381" t="s">
        <v>108</v>
      </c>
      <c r="B70" s="7"/>
      <c r="C70" s="7"/>
      <c r="D70" s="7"/>
      <c r="E70" s="7"/>
      <c r="F70" s="7"/>
      <c r="G70" s="7"/>
      <c r="H70" s="7"/>
      <c r="I70" s="324"/>
      <c r="J70" s="7"/>
      <c r="K70" s="7"/>
      <c r="L70" s="7"/>
      <c r="R70" s="380" t="s">
        <v>109</v>
      </c>
    </row>
    <row r="71" spans="1:32" ht="15" customHeight="1"/>
    <row r="72" spans="1:32" ht="15" customHeight="1"/>
    <row r="73" spans="1:32" ht="15" customHeight="1"/>
    <row r="74" spans="1:32" ht="15" customHeight="1">
      <c r="Q74" s="240"/>
    </row>
    <row r="75" spans="1:32" ht="15" customHeight="1">
      <c r="Q75" s="240"/>
    </row>
    <row r="76" spans="1:32" ht="15" customHeight="1">
      <c r="Q76" s="240"/>
    </row>
    <row r="77" spans="1:32" ht="15" customHeight="1">
      <c r="Q77" s="240"/>
    </row>
    <row r="78" spans="1:32" ht="15" customHeight="1">
      <c r="Q78" s="240"/>
      <c r="V78" s="146">
        <v>2010</v>
      </c>
      <c r="W78" s="146">
        <v>2011</v>
      </c>
      <c r="X78" s="146">
        <v>2012</v>
      </c>
      <c r="Y78" s="146">
        <v>2013</v>
      </c>
      <c r="Z78" s="146">
        <v>2014</v>
      </c>
      <c r="AA78" s="264">
        <v>2015</v>
      </c>
      <c r="AB78" s="146">
        <v>2016</v>
      </c>
      <c r="AC78" s="264">
        <v>2017</v>
      </c>
    </row>
    <row r="79" spans="1:32" ht="15" customHeight="1">
      <c r="Q79" s="240"/>
      <c r="U79" s="164" t="s">
        <v>55</v>
      </c>
      <c r="V79" s="223">
        <v>69.554480633976965</v>
      </c>
      <c r="W79" s="223">
        <v>83.416709968576413</v>
      </c>
      <c r="X79" s="223">
        <v>98.126990664931839</v>
      </c>
      <c r="Y79" s="223">
        <v>105.15731822206406</v>
      </c>
      <c r="Z79" s="223">
        <v>105.91516633353841</v>
      </c>
      <c r="AA79" s="223">
        <v>106.42761479980396</v>
      </c>
      <c r="AB79" s="223">
        <v>107.04157551050889</v>
      </c>
      <c r="AC79" s="223">
        <f t="shared" ref="AC79:AC95" si="0">N9</f>
        <v>113.03489126776282</v>
      </c>
    </row>
    <row r="80" spans="1:32" ht="15" customHeight="1">
      <c r="Q80" s="240"/>
      <c r="U80" s="224" t="s">
        <v>56</v>
      </c>
      <c r="V80" s="223">
        <v>84.204150454829019</v>
      </c>
      <c r="W80" s="223">
        <v>94.794400673064558</v>
      </c>
      <c r="X80" s="223">
        <v>100.0268178957039</v>
      </c>
      <c r="Y80" s="223">
        <v>105.46827201556327</v>
      </c>
      <c r="Z80" s="223">
        <v>105.77637644985344</v>
      </c>
      <c r="AA80" s="223">
        <v>106.72890504792964</v>
      </c>
      <c r="AB80" s="223">
        <v>108.34446887815083</v>
      </c>
      <c r="AC80" s="223">
        <f t="shared" si="0"/>
        <v>115.49732275295001</v>
      </c>
    </row>
    <row r="81" spans="17:29" ht="15" customHeight="1">
      <c r="Q81" s="240"/>
      <c r="U81" s="225" t="s">
        <v>9</v>
      </c>
      <c r="V81" s="223">
        <v>36.005776836416281</v>
      </c>
      <c r="W81" s="223">
        <v>57.361052741283949</v>
      </c>
      <c r="X81" s="223">
        <v>93.7760772522998</v>
      </c>
      <c r="Y81" s="223">
        <v>104.44563486657425</v>
      </c>
      <c r="Z81" s="223">
        <v>106.23281626157906</v>
      </c>
      <c r="AA81" s="223">
        <v>105.73804850653096</v>
      </c>
      <c r="AB81" s="223">
        <v>104.05962917920893</v>
      </c>
      <c r="AC81" s="223">
        <f t="shared" si="0"/>
        <v>107.39909733735</v>
      </c>
    </row>
    <row r="82" spans="17:29" ht="15" customHeight="1">
      <c r="Q82" s="240"/>
      <c r="U82" s="220" t="s">
        <v>51</v>
      </c>
      <c r="V82" s="223">
        <v>50.532891620339313</v>
      </c>
      <c r="W82" s="223">
        <v>64.296766109008189</v>
      </c>
      <c r="X82" s="223">
        <v>101.2436810917912</v>
      </c>
      <c r="Y82" s="223">
        <v>98.00579870542515</v>
      </c>
      <c r="Z82" s="223">
        <v>100.18505236961772</v>
      </c>
      <c r="AA82" s="223">
        <v>117.46360163260034</v>
      </c>
      <c r="AB82" s="223">
        <v>122.18459773517431</v>
      </c>
      <c r="AC82" s="223">
        <f t="shared" si="0"/>
        <v>154.41417266945828</v>
      </c>
    </row>
    <row r="83" spans="17:29" ht="15" customHeight="1">
      <c r="Q83" s="240"/>
      <c r="U83" s="225" t="s">
        <v>11</v>
      </c>
      <c r="V83" s="223">
        <v>72.534285938334179</v>
      </c>
      <c r="W83" s="223">
        <v>81.881292827210913</v>
      </c>
      <c r="X83" s="223">
        <v>98.359038463336105</v>
      </c>
      <c r="Y83" s="223">
        <v>101.52586212230904</v>
      </c>
      <c r="Z83" s="223">
        <v>102.46527730468375</v>
      </c>
      <c r="AA83" s="223">
        <v>101.54061731751705</v>
      </c>
      <c r="AB83" s="223">
        <v>100.99558210523537</v>
      </c>
      <c r="AC83" s="223">
        <f t="shared" si="0"/>
        <v>100.29057707007946</v>
      </c>
    </row>
    <row r="84" spans="17:29" ht="15" customHeight="1">
      <c r="Q84" s="240"/>
      <c r="U84" s="225" t="s">
        <v>67</v>
      </c>
      <c r="V84" s="223">
        <v>93.758762276598645</v>
      </c>
      <c r="W84" s="223">
        <v>96.487654366096692</v>
      </c>
      <c r="X84" s="223">
        <v>99.951850044063292</v>
      </c>
      <c r="Y84" s="223">
        <v>103.51724004351574</v>
      </c>
      <c r="Z84" s="223">
        <v>106.69055604936631</v>
      </c>
      <c r="AA84" s="223">
        <v>107.78553856963902</v>
      </c>
      <c r="AB84" s="223">
        <v>108.10803524718015</v>
      </c>
      <c r="AC84" s="223">
        <f t="shared" si="0"/>
        <v>109.47834485115725</v>
      </c>
    </row>
    <row r="85" spans="17:29" ht="15" customHeight="1">
      <c r="Q85" s="240"/>
      <c r="U85" s="225" t="s">
        <v>68</v>
      </c>
      <c r="V85" s="223">
        <v>91.040551259171139</v>
      </c>
      <c r="W85" s="223">
        <v>95.103608962918898</v>
      </c>
      <c r="X85" s="223">
        <v>100.07057660044312</v>
      </c>
      <c r="Y85" s="223">
        <v>104.08964183574052</v>
      </c>
      <c r="Z85" s="223">
        <v>108.54742074440985</v>
      </c>
      <c r="AA85" s="223">
        <v>112.36921152715941</v>
      </c>
      <c r="AB85" s="223">
        <v>116.59514145414504</v>
      </c>
      <c r="AC85" s="223">
        <f t="shared" si="0"/>
        <v>122.00177799672292</v>
      </c>
    </row>
    <row r="86" spans="17:29" ht="15" customHeight="1">
      <c r="Q86" s="240"/>
      <c r="U86" s="164" t="s">
        <v>50</v>
      </c>
      <c r="V86" s="223">
        <v>80.397772506783596</v>
      </c>
      <c r="W86" s="223">
        <v>83.774232067142066</v>
      </c>
      <c r="X86" s="223">
        <v>98.65523637265558</v>
      </c>
      <c r="Y86" s="223">
        <v>97.029807398560521</v>
      </c>
      <c r="Z86" s="223">
        <v>96.030794344264748</v>
      </c>
      <c r="AA86" s="223">
        <v>96.619226474540611</v>
      </c>
      <c r="AB86" s="223">
        <v>97.499129166170533</v>
      </c>
      <c r="AC86" s="223">
        <f t="shared" si="0"/>
        <v>98.588794205371599</v>
      </c>
    </row>
    <row r="87" spans="17:29" ht="15" customHeight="1">
      <c r="Q87" s="240"/>
      <c r="U87" s="226" t="s">
        <v>33</v>
      </c>
      <c r="V87" s="223">
        <v>123.09882000085349</v>
      </c>
      <c r="W87" s="223">
        <v>136.10400273752558</v>
      </c>
      <c r="X87" s="223">
        <v>103.11447443846129</v>
      </c>
      <c r="Y87" s="223">
        <v>110.75985912203326</v>
      </c>
      <c r="Z87" s="223">
        <v>120.99690521142638</v>
      </c>
      <c r="AA87" s="223">
        <v>123.58711110547449</v>
      </c>
      <c r="AB87" s="223">
        <v>125.81722828813672</v>
      </c>
      <c r="AC87" s="223">
        <f t="shared" si="0"/>
        <v>125.52846282798579</v>
      </c>
    </row>
    <row r="88" spans="17:29">
      <c r="U88" s="226" t="s">
        <v>35</v>
      </c>
      <c r="V88" s="223">
        <v>80.571924425587255</v>
      </c>
      <c r="W88" s="223">
        <v>91.644770975471246</v>
      </c>
      <c r="X88" s="223">
        <v>99.95473548796538</v>
      </c>
      <c r="Y88" s="223">
        <v>102.17949400970934</v>
      </c>
      <c r="Z88" s="223">
        <v>105.37961599773739</v>
      </c>
      <c r="AA88" s="223">
        <v>102.92917404156066</v>
      </c>
      <c r="AB88" s="223">
        <v>101.34706519435288</v>
      </c>
      <c r="AC88" s="223">
        <f t="shared" si="0"/>
        <v>101.83981865912176</v>
      </c>
    </row>
    <row r="89" spans="17:29">
      <c r="U89" s="226" t="s">
        <v>37</v>
      </c>
      <c r="V89" s="223">
        <v>100.38298344923554</v>
      </c>
      <c r="W89" s="223">
        <v>100.6195512642537</v>
      </c>
      <c r="X89" s="223">
        <v>100.00528180711392</v>
      </c>
      <c r="Y89" s="223">
        <v>99.050815085253589</v>
      </c>
      <c r="Z89" s="223">
        <v>100.28780520090577</v>
      </c>
      <c r="AA89" s="223">
        <v>100.55782006117782</v>
      </c>
      <c r="AB89" s="223">
        <v>99.79368976091358</v>
      </c>
      <c r="AC89" s="223">
        <f t="shared" si="0"/>
        <v>99.659396804799613</v>
      </c>
    </row>
    <row r="90" spans="17:29" ht="27">
      <c r="U90" s="227" t="s">
        <v>39</v>
      </c>
      <c r="V90" s="223">
        <v>100.01905005623114</v>
      </c>
      <c r="W90" s="223">
        <v>97.89290317146407</v>
      </c>
      <c r="X90" s="223">
        <v>99.531777140452178</v>
      </c>
      <c r="Y90" s="223">
        <v>98.82807875047888</v>
      </c>
      <c r="Z90" s="223">
        <v>102.2003441480955</v>
      </c>
      <c r="AA90" s="223">
        <v>101.95630588932649</v>
      </c>
      <c r="AB90" s="223">
        <v>100.69713942933714</v>
      </c>
      <c r="AC90" s="223">
        <f t="shared" si="0"/>
        <v>100.58404074832116</v>
      </c>
    </row>
    <row r="91" spans="17:29">
      <c r="U91" s="225" t="s">
        <v>12</v>
      </c>
      <c r="V91" s="223">
        <v>72.465176121953334</v>
      </c>
      <c r="W91" s="223">
        <v>85.752154766717368</v>
      </c>
      <c r="X91" s="223">
        <v>100.26897294373833</v>
      </c>
      <c r="Y91" s="223">
        <v>105.75107702222947</v>
      </c>
      <c r="Z91" s="223">
        <v>110.56855328746506</v>
      </c>
      <c r="AA91" s="223">
        <v>119.00762505009182</v>
      </c>
      <c r="AB91" s="223">
        <v>124.80292719209795</v>
      </c>
      <c r="AC91" s="223">
        <f t="shared" si="0"/>
        <v>130.07859259520549</v>
      </c>
    </row>
    <row r="92" spans="17:29">
      <c r="U92" s="220" t="s">
        <v>41</v>
      </c>
      <c r="V92" s="223">
        <v>70.167294544238487</v>
      </c>
      <c r="W92" s="223">
        <v>81.124231104476152</v>
      </c>
      <c r="X92" s="223">
        <v>103.56604942649903</v>
      </c>
      <c r="Y92" s="223">
        <v>115.92908544747458</v>
      </c>
      <c r="Z92" s="223">
        <v>121.3287709962447</v>
      </c>
      <c r="AA92" s="223">
        <v>121.06073734975051</v>
      </c>
      <c r="AB92" s="223">
        <v>123.14673548135868</v>
      </c>
      <c r="AC92" s="223">
        <f t="shared" si="0"/>
        <v>125.6295963585136</v>
      </c>
    </row>
    <row r="93" spans="17:29" ht="51">
      <c r="U93" s="227" t="s">
        <v>43</v>
      </c>
      <c r="V93" s="223">
        <v>80.738363693637908</v>
      </c>
      <c r="W93" s="223">
        <v>86.725904563278689</v>
      </c>
      <c r="X93" s="223">
        <v>100.59989156921542</v>
      </c>
      <c r="Y93" s="223">
        <v>99.01609787482279</v>
      </c>
      <c r="Z93" s="223">
        <v>98.892634758290214</v>
      </c>
      <c r="AA93" s="223">
        <v>98.735605526974709</v>
      </c>
      <c r="AB93" s="223">
        <v>98.469134997835681</v>
      </c>
      <c r="AC93" s="223">
        <f t="shared" si="0"/>
        <v>98.317889337161489</v>
      </c>
    </row>
    <row r="94" spans="17:29" ht="27">
      <c r="U94" s="227" t="s">
        <v>69</v>
      </c>
      <c r="V94" s="223">
        <v>80.568542845421106</v>
      </c>
      <c r="W94" s="223">
        <v>89.651368722070842</v>
      </c>
      <c r="X94" s="223">
        <v>99.409647361204449</v>
      </c>
      <c r="Y94" s="223">
        <v>103.19281073321666</v>
      </c>
      <c r="Z94" s="223">
        <v>105.38050013404563</v>
      </c>
      <c r="AA94" s="223">
        <v>106.38499407837655</v>
      </c>
      <c r="AB94" s="223">
        <v>106.91958868829052</v>
      </c>
      <c r="AC94" s="223">
        <f t="shared" si="0"/>
        <v>109.93201964009602</v>
      </c>
    </row>
    <row r="95" spans="17:29" ht="39">
      <c r="U95" s="227" t="s">
        <v>70</v>
      </c>
      <c r="V95" s="223">
        <v>84.338371332150743</v>
      </c>
      <c r="W95" s="223">
        <v>91.679051572020867</v>
      </c>
      <c r="X95" s="223">
        <v>100.14126599840249</v>
      </c>
      <c r="Y95" s="223">
        <v>103.07423491391059</v>
      </c>
      <c r="Z95" s="223">
        <v>105.29983112357628</v>
      </c>
      <c r="AA95" s="223">
        <v>106.44622541898161</v>
      </c>
      <c r="AB95" s="223">
        <v>107.1902747590181</v>
      </c>
      <c r="AC95" s="223">
        <f t="shared" si="0"/>
        <v>110.17175267946645</v>
      </c>
    </row>
    <row r="97" spans="21:24">
      <c r="U97" s="185"/>
      <c r="V97" s="185"/>
      <c r="W97" s="185"/>
      <c r="X97" s="185"/>
    </row>
    <row r="98" spans="21:24">
      <c r="U98" s="186"/>
      <c r="V98" s="186"/>
      <c r="W98" s="186"/>
      <c r="X98" s="186"/>
    </row>
    <row r="99" spans="21:24">
      <c r="U99" s="185"/>
      <c r="V99" s="185"/>
      <c r="W99" s="185"/>
      <c r="X99" s="185"/>
    </row>
    <row r="100" spans="21:24">
      <c r="W100" s="228" t="s">
        <v>79</v>
      </c>
      <c r="X100" s="211">
        <v>77.389912482844039</v>
      </c>
    </row>
    <row r="101" spans="21:24">
      <c r="W101" s="228" t="s">
        <v>21</v>
      </c>
      <c r="X101" s="211">
        <v>78.114608960554079</v>
      </c>
    </row>
    <row r="102" spans="21:24">
      <c r="W102" s="228" t="s">
        <v>2</v>
      </c>
      <c r="X102" s="211">
        <v>78.802289490440288</v>
      </c>
    </row>
    <row r="103" spans="21:24">
      <c r="W103" s="228" t="s">
        <v>22</v>
      </c>
      <c r="X103" s="211">
        <v>79.493759054355692</v>
      </c>
    </row>
    <row r="104" spans="21:24">
      <c r="W104" s="228" t="s">
        <v>23</v>
      </c>
      <c r="X104" s="211">
        <v>79.593148331583464</v>
      </c>
    </row>
    <row r="105" spans="21:24">
      <c r="W105" s="228" t="s">
        <v>3</v>
      </c>
      <c r="X105" s="211">
        <v>80.456465161931419</v>
      </c>
    </row>
    <row r="106" spans="21:24">
      <c r="W106" s="228" t="s">
        <v>24</v>
      </c>
      <c r="X106" s="211">
        <v>82.218774035333112</v>
      </c>
    </row>
    <row r="107" spans="21:24">
      <c r="W107" s="228" t="s">
        <v>25</v>
      </c>
      <c r="X107" s="211">
        <v>82.738454625647236</v>
      </c>
    </row>
    <row r="108" spans="21:24">
      <c r="W108" s="228" t="s">
        <v>4</v>
      </c>
      <c r="X108" s="211">
        <v>81.674668748738398</v>
      </c>
    </row>
    <row r="109" spans="21:24">
      <c r="W109" s="228" t="s">
        <v>26</v>
      </c>
      <c r="X109" s="211">
        <v>81.490055352268982</v>
      </c>
    </row>
    <row r="110" spans="21:24">
      <c r="W110" s="228" t="s">
        <v>27</v>
      </c>
      <c r="X110" s="211">
        <v>81.876012187767557</v>
      </c>
    </row>
    <row r="111" spans="21:24">
      <c r="W111" s="228" t="s">
        <v>5</v>
      </c>
      <c r="X111" s="211">
        <v>82.974365713589037</v>
      </c>
    </row>
    <row r="112" spans="21:24">
      <c r="W112" s="228" t="s">
        <v>78</v>
      </c>
      <c r="X112" s="211">
        <v>83.42322051397251</v>
      </c>
    </row>
    <row r="113" spans="1:24">
      <c r="W113" s="228" t="s">
        <v>21</v>
      </c>
      <c r="X113" s="211">
        <v>82.763753714396117</v>
      </c>
    </row>
    <row r="114" spans="1:24">
      <c r="W114" s="228" t="s">
        <v>2</v>
      </c>
      <c r="X114" s="211">
        <v>83.286640410427239</v>
      </c>
    </row>
    <row r="115" spans="1:24">
      <c r="W115" s="228" t="s">
        <v>22</v>
      </c>
      <c r="X115" s="211">
        <v>86.965500988635156</v>
      </c>
    </row>
    <row r="116" spans="1:24">
      <c r="A116" s="315"/>
      <c r="B116" s="379"/>
      <c r="C116" s="247"/>
      <c r="D116" s="247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248"/>
      <c r="W116" s="228" t="s">
        <v>23</v>
      </c>
      <c r="X116" s="211">
        <v>89.847381978421922</v>
      </c>
    </row>
    <row r="117" spans="1:24">
      <c r="A117" s="315"/>
      <c r="B117" s="379"/>
      <c r="C117" s="247"/>
      <c r="D117" s="247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248"/>
      <c r="W117" s="228" t="s">
        <v>3</v>
      </c>
      <c r="X117" s="211">
        <v>90.663889665301312</v>
      </c>
    </row>
    <row r="118" spans="1:24" s="185" customFormat="1" ht="23.25" customHeight="1">
      <c r="A118" s="637"/>
      <c r="B118" s="637"/>
      <c r="C118" s="637"/>
      <c r="D118" s="637"/>
      <c r="E118" s="637"/>
      <c r="F118" s="637"/>
      <c r="G118" s="637"/>
      <c r="H118" s="637"/>
      <c r="I118" s="637"/>
      <c r="J118" s="637"/>
      <c r="K118" s="637"/>
      <c r="L118" s="637"/>
      <c r="M118" s="637"/>
      <c r="N118" s="637"/>
      <c r="O118" s="637"/>
      <c r="P118" s="637"/>
      <c r="Q118" s="637"/>
      <c r="R118" s="637"/>
      <c r="S118" s="184"/>
      <c r="W118" s="228" t="s">
        <v>24</v>
      </c>
      <c r="X118" s="211">
        <v>90.718393462490738</v>
      </c>
    </row>
    <row r="119" spans="1:24" s="186" customFormat="1">
      <c r="A119" s="581"/>
      <c r="B119" s="136"/>
      <c r="C119" s="582"/>
      <c r="D119" s="582"/>
      <c r="E119" s="136"/>
      <c r="F119" s="136"/>
      <c r="G119" s="136"/>
      <c r="H119" s="1"/>
      <c r="I119" s="1"/>
      <c r="J119" s="1"/>
      <c r="K119" s="1"/>
      <c r="L119" s="1"/>
      <c r="M119" s="136"/>
      <c r="N119" s="40"/>
      <c r="O119" s="379"/>
      <c r="P119" s="379"/>
      <c r="Q119" s="379"/>
      <c r="R119" s="40"/>
      <c r="S119" s="56"/>
      <c r="W119" s="228" t="s">
        <v>25</v>
      </c>
      <c r="X119" s="211">
        <v>91.00443638528057</v>
      </c>
    </row>
    <row r="120" spans="1:24" s="185" customFormat="1" ht="15" customHeight="1">
      <c r="A120" s="20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03"/>
      <c r="O120" s="246"/>
      <c r="P120" s="246"/>
      <c r="Q120" s="246"/>
      <c r="R120" s="205"/>
      <c r="S120" s="187"/>
      <c r="T120" s="188"/>
      <c r="W120" s="228" t="s">
        <v>4</v>
      </c>
      <c r="X120" s="211">
        <v>92.189005008474396</v>
      </c>
    </row>
    <row r="121" spans="1:24" s="190" customFormat="1" ht="15.75">
      <c r="A121" s="202"/>
      <c r="B121" s="583"/>
      <c r="C121" s="584"/>
      <c r="D121" s="584"/>
      <c r="E121" s="584"/>
      <c r="F121" s="584"/>
      <c r="G121" s="584"/>
      <c r="H121" s="584"/>
      <c r="I121" s="584"/>
      <c r="J121" s="584"/>
      <c r="K121" s="584"/>
      <c r="L121" s="584"/>
      <c r="M121" s="584"/>
      <c r="N121" s="585"/>
      <c r="O121" s="246"/>
      <c r="P121" s="246"/>
      <c r="Q121" s="246"/>
      <c r="R121" s="586"/>
      <c r="S121" s="189"/>
      <c r="W121" s="228" t="s">
        <v>26</v>
      </c>
      <c r="X121" s="211">
        <v>92.495800179178048</v>
      </c>
    </row>
    <row r="122" spans="1:24" ht="6" customHeight="1">
      <c r="A122" s="34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379"/>
      <c r="P122" s="379"/>
      <c r="Q122" s="379"/>
      <c r="R122" s="422"/>
      <c r="W122" s="228" t="s">
        <v>27</v>
      </c>
      <c r="X122" s="211">
        <v>95.662033599649305</v>
      </c>
    </row>
    <row r="123" spans="1:24">
      <c r="A123" s="34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379"/>
      <c r="P123" s="379"/>
      <c r="Q123" s="379"/>
      <c r="R123" s="422"/>
      <c r="W123" s="228" t="s">
        <v>5</v>
      </c>
      <c r="X123" s="211">
        <v>96.796368758622648</v>
      </c>
    </row>
    <row r="124" spans="1:24" s="204" customFormat="1">
      <c r="A124" s="58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379"/>
      <c r="P124" s="379"/>
      <c r="Q124" s="379"/>
      <c r="R124" s="422"/>
      <c r="W124" s="228" t="s">
        <v>110</v>
      </c>
      <c r="X124" s="211">
        <v>97.59859943214181</v>
      </c>
    </row>
    <row r="125" spans="1:24" s="204" customFormat="1" ht="18" customHeight="1">
      <c r="A125" s="58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379"/>
      <c r="P125" s="379"/>
      <c r="Q125" s="379"/>
      <c r="R125" s="422"/>
      <c r="W125" s="228" t="s">
        <v>21</v>
      </c>
      <c r="X125" s="211">
        <v>97.302942479972216</v>
      </c>
    </row>
    <row r="126" spans="1:24" ht="19.5" customHeight="1">
      <c r="A126" s="58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379"/>
      <c r="P126" s="379"/>
      <c r="Q126" s="379"/>
      <c r="R126" s="422"/>
      <c r="S126" s="211"/>
      <c r="W126" s="228" t="s">
        <v>2</v>
      </c>
      <c r="X126" s="211">
        <v>98.042112633334924</v>
      </c>
    </row>
    <row r="127" spans="1:24" ht="19.5" customHeight="1">
      <c r="A127" s="58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379"/>
      <c r="P127" s="379"/>
      <c r="Q127" s="379"/>
      <c r="R127" s="422"/>
      <c r="S127" s="211"/>
      <c r="W127" s="228" t="s">
        <v>22</v>
      </c>
      <c r="X127" s="211">
        <v>97.952949517338325</v>
      </c>
    </row>
    <row r="128" spans="1:24" ht="19.5" customHeight="1">
      <c r="A128" s="58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379"/>
      <c r="P128" s="379"/>
      <c r="Q128" s="379"/>
      <c r="R128" s="588"/>
      <c r="S128" s="211"/>
      <c r="W128" s="228" t="s">
        <v>23</v>
      </c>
      <c r="X128" s="211">
        <v>96.007467362032386</v>
      </c>
    </row>
    <row r="129" spans="1:27" ht="19.5" customHeight="1">
      <c r="A129" s="34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379"/>
      <c r="P129" s="379"/>
      <c r="Q129" s="379"/>
      <c r="R129" s="422"/>
      <c r="S129" s="211"/>
      <c r="W129" s="228" t="s">
        <v>3</v>
      </c>
      <c r="X129" s="211">
        <v>100</v>
      </c>
    </row>
    <row r="130" spans="1:27" ht="19.5" customHeight="1">
      <c r="A130" s="589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379"/>
      <c r="P130" s="379"/>
      <c r="Q130" s="379"/>
      <c r="R130" s="422"/>
      <c r="S130" s="211"/>
      <c r="W130" s="228" t="s">
        <v>24</v>
      </c>
      <c r="X130" s="211">
        <v>100.24448657012601</v>
      </c>
    </row>
    <row r="131" spans="1:27" ht="19.5" customHeight="1">
      <c r="A131" s="589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379"/>
      <c r="P131" s="379"/>
      <c r="Q131" s="379"/>
      <c r="R131" s="422"/>
      <c r="S131" s="211"/>
      <c r="W131" s="228" t="s">
        <v>25</v>
      </c>
      <c r="X131" s="211">
        <v>100.89350190672525</v>
      </c>
    </row>
    <row r="132" spans="1:27" ht="19.5" customHeight="1">
      <c r="A132" s="589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379"/>
      <c r="P132" s="379"/>
      <c r="Q132" s="379"/>
      <c r="R132" s="422"/>
      <c r="S132" s="211"/>
      <c r="W132" s="228" t="s">
        <v>4</v>
      </c>
      <c r="X132" s="211">
        <v>100.91361135830726</v>
      </c>
    </row>
    <row r="133" spans="1:27">
      <c r="A133" s="34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379"/>
      <c r="P133" s="379"/>
      <c r="Q133" s="379"/>
      <c r="R133" s="492"/>
      <c r="S133" s="211"/>
      <c r="W133" s="228" t="s">
        <v>26</v>
      </c>
      <c r="X133" s="211">
        <v>100.95666404241017</v>
      </c>
    </row>
    <row r="134" spans="1:27" ht="19.5" customHeight="1">
      <c r="A134" s="58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379"/>
      <c r="P134" s="379"/>
      <c r="Q134" s="379"/>
      <c r="R134" s="492"/>
      <c r="S134" s="211"/>
      <c r="W134" s="228" t="s">
        <v>27</v>
      </c>
      <c r="X134" s="211">
        <v>101.30243465313896</v>
      </c>
    </row>
    <row r="135" spans="1:27" ht="19.5" customHeight="1">
      <c r="A135" s="58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379"/>
      <c r="P135" s="379"/>
      <c r="Q135" s="379"/>
      <c r="R135" s="492"/>
      <c r="S135" s="211"/>
      <c r="W135" s="228" t="s">
        <v>5</v>
      </c>
      <c r="X135" s="211">
        <v>101.7009983789261</v>
      </c>
    </row>
    <row r="136" spans="1:27" ht="19.5" customHeight="1">
      <c r="A136" s="34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379"/>
      <c r="P136" s="379"/>
      <c r="Q136" s="379"/>
      <c r="R136" s="492"/>
      <c r="S136" s="211"/>
      <c r="W136" s="228" t="s">
        <v>111</v>
      </c>
      <c r="X136" s="211">
        <v>101.82326041829094</v>
      </c>
    </row>
    <row r="137" spans="1:27" ht="19.5" customHeight="1">
      <c r="A137" s="36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136"/>
      <c r="P137" s="136"/>
      <c r="Q137" s="136"/>
      <c r="R137" s="40"/>
      <c r="S137" s="211"/>
      <c r="W137" s="228" t="s">
        <v>21</v>
      </c>
      <c r="X137" s="211">
        <v>101.61695886850373</v>
      </c>
    </row>
    <row r="138" spans="1:27" ht="19.5" customHeight="1">
      <c r="A138" s="36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136"/>
      <c r="P138" s="136"/>
      <c r="Q138" s="136"/>
      <c r="R138" s="76"/>
      <c r="S138" s="211"/>
      <c r="W138" s="228" t="s">
        <v>2</v>
      </c>
      <c r="X138" s="211">
        <v>102.12566814142265</v>
      </c>
    </row>
    <row r="139" spans="1:27" ht="19.5" customHeight="1">
      <c r="A139" s="315"/>
      <c r="B139" s="379"/>
      <c r="C139" s="247"/>
      <c r="D139" s="247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248"/>
      <c r="S139" s="211"/>
      <c r="W139" s="228" t="s">
        <v>22</v>
      </c>
      <c r="X139" s="211">
        <v>102.24323827834799</v>
      </c>
      <c r="Y139" s="7"/>
      <c r="Z139" s="7"/>
      <c r="AA139" s="7"/>
    </row>
    <row r="140" spans="1:27" s="7" customFormat="1" ht="19.5" customHeight="1">
      <c r="A140" s="212"/>
      <c r="B140" s="153"/>
      <c r="C140" s="153"/>
      <c r="D140" s="153"/>
      <c r="E140" s="153"/>
      <c r="F140" s="153"/>
      <c r="G140" s="153"/>
      <c r="H140" s="153"/>
      <c r="I140" s="379"/>
      <c r="J140" s="379"/>
      <c r="K140" s="379"/>
      <c r="L140" s="379"/>
      <c r="M140" s="213"/>
      <c r="N140" s="379"/>
      <c r="O140" s="379"/>
      <c r="P140" s="379"/>
      <c r="Q140" s="379"/>
      <c r="R140" s="379"/>
      <c r="S140" s="211"/>
      <c r="W140" s="228" t="s">
        <v>23</v>
      </c>
      <c r="X140" s="211">
        <v>102.34106701439609</v>
      </c>
    </row>
    <row r="141" spans="1:27" ht="19.5" customHeight="1">
      <c r="A141" s="581"/>
      <c r="B141" s="136"/>
      <c r="C141" s="582"/>
      <c r="D141" s="582"/>
      <c r="E141" s="136"/>
      <c r="F141" s="136"/>
      <c r="G141" s="136"/>
      <c r="H141" s="1"/>
      <c r="I141" s="1"/>
      <c r="J141" s="1"/>
      <c r="K141" s="1"/>
      <c r="L141" s="1"/>
      <c r="M141" s="136"/>
      <c r="N141" s="40"/>
      <c r="O141" s="379"/>
      <c r="P141" s="379"/>
      <c r="Q141" s="379"/>
      <c r="R141" s="40"/>
      <c r="S141" s="211"/>
      <c r="W141" s="228" t="s">
        <v>3</v>
      </c>
      <c r="X141" s="211">
        <v>102.06719267346149</v>
      </c>
    </row>
    <row r="142" spans="1:27" ht="19.5" customHeight="1">
      <c r="A142" s="20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03"/>
      <c r="O142" s="246"/>
      <c r="P142" s="246"/>
      <c r="Q142" s="246"/>
      <c r="R142" s="205"/>
      <c r="S142" s="211"/>
      <c r="W142" s="228" t="s">
        <v>24</v>
      </c>
      <c r="X142" s="211">
        <v>103.25634477540279</v>
      </c>
    </row>
    <row r="143" spans="1:27" ht="15.75">
      <c r="A143" s="202"/>
      <c r="B143" s="583"/>
      <c r="C143" s="584"/>
      <c r="D143" s="584"/>
      <c r="E143" s="584"/>
      <c r="F143" s="584"/>
      <c r="G143" s="584"/>
      <c r="H143" s="584"/>
      <c r="I143" s="584"/>
      <c r="J143" s="584"/>
      <c r="K143" s="584"/>
      <c r="L143" s="584"/>
      <c r="M143" s="584"/>
      <c r="N143" s="585"/>
      <c r="O143" s="246"/>
      <c r="P143" s="246"/>
      <c r="Q143" s="246"/>
      <c r="R143" s="586"/>
      <c r="W143" s="228" t="s">
        <v>25</v>
      </c>
      <c r="X143" s="211">
        <v>103.43085978874505</v>
      </c>
    </row>
    <row r="144" spans="1:27">
      <c r="A144" s="34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379"/>
      <c r="P144" s="379"/>
      <c r="Q144" s="379"/>
      <c r="R144" s="422"/>
      <c r="W144" s="228" t="s">
        <v>4</v>
      </c>
      <c r="X144" s="211">
        <v>104.3457858782799</v>
      </c>
    </row>
    <row r="145" spans="1:38">
      <c r="A145" s="34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379"/>
      <c r="P145" s="379"/>
      <c r="Q145" s="379"/>
      <c r="R145" s="422"/>
      <c r="W145" s="228" t="s">
        <v>26</v>
      </c>
      <c r="X145" s="211">
        <v>104.94594055432941</v>
      </c>
    </row>
    <row r="146" spans="1:38" s="204" customFormat="1">
      <c r="A146" s="58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379"/>
      <c r="P146" s="379"/>
      <c r="Q146" s="379"/>
      <c r="R146" s="422"/>
      <c r="W146" s="228" t="s">
        <v>27</v>
      </c>
      <c r="X146" s="211">
        <v>105.07383775862121</v>
      </c>
    </row>
    <row r="147" spans="1:38" s="204" customFormat="1" ht="18" customHeight="1">
      <c r="A147" s="58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379"/>
      <c r="P147" s="379"/>
      <c r="Q147" s="379"/>
      <c r="R147" s="422"/>
      <c r="W147" s="228" t="s">
        <v>5</v>
      </c>
      <c r="X147" s="211">
        <v>105.04357464879853</v>
      </c>
    </row>
    <row r="148" spans="1:38" ht="19.5" customHeight="1">
      <c r="A148" s="58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379"/>
      <c r="P148" s="379"/>
      <c r="Q148" s="379"/>
      <c r="R148" s="422"/>
      <c r="S148" s="211"/>
      <c r="W148" s="228" t="s">
        <v>112</v>
      </c>
      <c r="X148" s="240">
        <v>105.15896985278053</v>
      </c>
      <c r="Y148" s="240"/>
      <c r="Z148" s="240"/>
      <c r="AA148" s="240"/>
      <c r="AB148" s="240"/>
      <c r="AC148" s="240"/>
      <c r="AD148" s="240"/>
      <c r="AE148" s="240"/>
      <c r="AF148" s="240"/>
      <c r="AG148" s="240"/>
      <c r="AH148" s="240"/>
      <c r="AI148" s="240"/>
      <c r="AJ148" s="240"/>
      <c r="AK148" s="240"/>
      <c r="AL148" s="240"/>
    </row>
    <row r="149" spans="1:38" ht="19.5" customHeight="1">
      <c r="A149" s="58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379"/>
      <c r="P149" s="379"/>
      <c r="Q149" s="379"/>
      <c r="R149" s="422"/>
      <c r="S149" s="211"/>
      <c r="W149" s="228" t="s">
        <v>21</v>
      </c>
      <c r="X149" s="240">
        <v>105.01355186464795</v>
      </c>
      <c r="Y149" s="240"/>
    </row>
    <row r="150" spans="1:38" ht="19.5" customHeight="1">
      <c r="A150" s="58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379"/>
      <c r="P150" s="379"/>
      <c r="Q150" s="379"/>
      <c r="R150" s="588"/>
      <c r="S150" s="211"/>
      <c r="W150" s="228" t="s">
        <v>2</v>
      </c>
      <c r="X150" s="240">
        <v>104.39801712089321</v>
      </c>
      <c r="Y150" s="240"/>
    </row>
    <row r="151" spans="1:38" ht="19.5" customHeight="1">
      <c r="A151" s="34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379"/>
      <c r="P151" s="379"/>
      <c r="Q151" s="379"/>
      <c r="R151" s="422"/>
      <c r="S151" s="211"/>
      <c r="W151" s="228" t="s">
        <v>22</v>
      </c>
      <c r="X151" s="240">
        <v>104.59296064304696</v>
      </c>
      <c r="Y151" s="240"/>
    </row>
    <row r="152" spans="1:38" ht="19.5" customHeight="1">
      <c r="A152" s="589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379"/>
      <c r="P152" s="379"/>
      <c r="Q152" s="379"/>
      <c r="R152" s="422"/>
      <c r="S152" s="211"/>
      <c r="W152" s="228" t="s">
        <v>23</v>
      </c>
      <c r="X152" s="240">
        <v>105.60752384285271</v>
      </c>
      <c r="Y152" s="240"/>
    </row>
    <row r="153" spans="1:38" ht="19.5" customHeight="1">
      <c r="A153" s="589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379"/>
      <c r="P153" s="379"/>
      <c r="Q153" s="379"/>
      <c r="R153" s="422"/>
      <c r="S153" s="211"/>
      <c r="W153" s="228" t="s">
        <v>3</v>
      </c>
      <c r="X153" s="240">
        <v>105.45481378593364</v>
      </c>
      <c r="Y153" s="240"/>
    </row>
    <row r="154" spans="1:38" ht="19.5" customHeight="1">
      <c r="A154" s="589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379"/>
      <c r="P154" s="379"/>
      <c r="Q154" s="379"/>
      <c r="R154" s="422"/>
      <c r="S154" s="211"/>
      <c r="W154" s="228" t="s">
        <v>24</v>
      </c>
      <c r="X154" s="240">
        <v>105.89024984877231</v>
      </c>
      <c r="Y154" s="240"/>
    </row>
    <row r="155" spans="1:38">
      <c r="A155" s="34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379"/>
      <c r="P155" s="379"/>
      <c r="Q155" s="379"/>
      <c r="R155" s="492"/>
      <c r="S155" s="211"/>
      <c r="W155" s="228" t="s">
        <v>25</v>
      </c>
      <c r="X155" s="240">
        <v>105.74086822284956</v>
      </c>
      <c r="Y155" s="240"/>
    </row>
    <row r="156" spans="1:38" ht="19.5" customHeight="1">
      <c r="A156" s="58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379"/>
      <c r="P156" s="379"/>
      <c r="Q156" s="379"/>
      <c r="R156" s="492"/>
      <c r="S156" s="211"/>
      <c r="W156" s="228" t="s">
        <v>4</v>
      </c>
      <c r="X156" s="240">
        <v>105.8090548036067</v>
      </c>
      <c r="Y156" s="240"/>
    </row>
    <row r="157" spans="1:38" ht="19.5" customHeight="1">
      <c r="A157" s="58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379"/>
      <c r="P157" s="379"/>
      <c r="Q157" s="379"/>
      <c r="R157" s="492"/>
      <c r="S157" s="211"/>
      <c r="W157" s="228" t="s">
        <v>26</v>
      </c>
      <c r="X157" s="240">
        <v>105.85453303952553</v>
      </c>
      <c r="Y157" s="240"/>
    </row>
    <row r="158" spans="1:38" ht="19.5" customHeight="1">
      <c r="A158" s="34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379"/>
      <c r="P158" s="379"/>
      <c r="Q158" s="379"/>
      <c r="R158" s="492"/>
      <c r="S158" s="211"/>
      <c r="W158" s="228" t="s">
        <v>27</v>
      </c>
      <c r="X158" s="240">
        <v>105.44398185358602</v>
      </c>
      <c r="Y158" s="240"/>
    </row>
    <row r="159" spans="1:38" ht="19.5" customHeight="1">
      <c r="A159" s="36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379"/>
      <c r="P159" s="379"/>
      <c r="Q159" s="379"/>
      <c r="R159" s="40"/>
      <c r="S159" s="211"/>
      <c r="W159" s="228" t="s">
        <v>5</v>
      </c>
      <c r="X159" s="240">
        <v>105.60147673005247</v>
      </c>
      <c r="Y159" s="240"/>
    </row>
    <row r="160" spans="1:38" ht="19.5" customHeight="1">
      <c r="A160" s="36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379"/>
      <c r="P160" s="379"/>
      <c r="Q160" s="379"/>
      <c r="R160" s="76"/>
      <c r="S160" s="211"/>
      <c r="W160" s="228" t="s">
        <v>113</v>
      </c>
      <c r="X160" s="211">
        <v>105.30480193359342</v>
      </c>
    </row>
    <row r="161" spans="1:27" ht="19.5" customHeight="1">
      <c r="A161" s="315"/>
      <c r="B161" s="379"/>
      <c r="C161" s="247"/>
      <c r="D161" s="247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248"/>
      <c r="S161" s="211"/>
      <c r="W161" s="228" t="s">
        <v>21</v>
      </c>
      <c r="X161" s="182">
        <v>105.43217364780411</v>
      </c>
      <c r="Z161" s="7"/>
      <c r="AA161" s="7"/>
    </row>
    <row r="162" spans="1:27" s="7" customFormat="1" ht="19.5" customHeight="1">
      <c r="A162" s="212"/>
      <c r="B162" s="153"/>
      <c r="C162" s="153"/>
      <c r="D162" s="153"/>
      <c r="E162" s="153"/>
      <c r="F162" s="153"/>
      <c r="G162" s="153"/>
      <c r="H162" s="153"/>
      <c r="I162" s="379"/>
      <c r="J162" s="379"/>
      <c r="K162" s="379"/>
      <c r="L162" s="379"/>
      <c r="M162" s="213"/>
      <c r="N162" s="379"/>
      <c r="O162" s="379"/>
      <c r="P162" s="379"/>
      <c r="Q162" s="379"/>
      <c r="R162" s="379"/>
      <c r="S162" s="211"/>
      <c r="U162" s="146"/>
      <c r="V162" s="146"/>
      <c r="W162" s="228" t="s">
        <v>2</v>
      </c>
      <c r="X162" s="182">
        <v>105.35756355895435</v>
      </c>
    </row>
    <row r="163" spans="1:27" ht="19.5" customHeight="1">
      <c r="A163" s="202"/>
      <c r="B163" s="136"/>
      <c r="C163" s="582"/>
      <c r="D163" s="582"/>
      <c r="E163" s="136"/>
      <c r="F163" s="136"/>
      <c r="G163" s="136"/>
      <c r="H163" s="1"/>
      <c r="I163" s="1"/>
      <c r="J163" s="1"/>
      <c r="K163" s="1"/>
      <c r="L163" s="1"/>
      <c r="M163" s="136"/>
      <c r="N163" s="40"/>
      <c r="O163" s="379"/>
      <c r="P163" s="379"/>
      <c r="Q163" s="379"/>
      <c r="R163" s="40"/>
      <c r="S163" s="211"/>
      <c r="U163" s="7"/>
      <c r="V163" s="7"/>
      <c r="W163" s="228" t="s">
        <v>22</v>
      </c>
      <c r="X163" s="211">
        <v>106.06388213106912</v>
      </c>
    </row>
    <row r="164" spans="1:27" ht="19.5" customHeight="1">
      <c r="A164" s="20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03"/>
      <c r="O164" s="379"/>
      <c r="P164" s="379"/>
      <c r="Q164" s="379"/>
      <c r="R164" s="40"/>
      <c r="S164" s="211"/>
      <c r="U164" s="7"/>
      <c r="V164" s="7"/>
      <c r="W164" s="228" t="s">
        <v>23</v>
      </c>
      <c r="X164" s="211">
        <v>106.10127795050008</v>
      </c>
    </row>
    <row r="165" spans="1:27" ht="15.75">
      <c r="A165" s="315"/>
      <c r="B165" s="583"/>
      <c r="C165" s="584"/>
      <c r="D165" s="584"/>
      <c r="E165" s="584"/>
      <c r="F165" s="584"/>
      <c r="G165" s="584"/>
      <c r="H165" s="584"/>
      <c r="I165" s="584"/>
      <c r="J165" s="584"/>
      <c r="K165" s="584"/>
      <c r="L165" s="584"/>
      <c r="M165" s="584"/>
      <c r="N165" s="585"/>
      <c r="O165" s="379"/>
      <c r="P165" s="379"/>
      <c r="Q165" s="379"/>
      <c r="R165" s="248"/>
      <c r="W165" s="228" t="s">
        <v>3</v>
      </c>
      <c r="X165" s="211">
        <v>106.98715425252276</v>
      </c>
    </row>
    <row r="166" spans="1:27">
      <c r="A166" s="34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379"/>
      <c r="P166" s="379"/>
      <c r="Q166" s="379"/>
      <c r="R166" s="422"/>
      <c r="W166" s="228" t="s">
        <v>24</v>
      </c>
      <c r="X166" s="211">
        <v>106.85657855404348</v>
      </c>
    </row>
    <row r="167" spans="1:27">
      <c r="A167" s="34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379"/>
      <c r="P167" s="379"/>
      <c r="Q167" s="379"/>
      <c r="R167" s="422"/>
      <c r="W167" s="228" t="s">
        <v>25</v>
      </c>
      <c r="X167" s="211">
        <v>107.01969350992501</v>
      </c>
    </row>
    <row r="168" spans="1:27">
      <c r="A168" s="58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379"/>
      <c r="P168" s="379"/>
      <c r="Q168" s="379"/>
      <c r="R168" s="422"/>
      <c r="W168" s="228" t="s">
        <v>4</v>
      </c>
      <c r="X168" s="211">
        <v>106.97557619963439</v>
      </c>
    </row>
    <row r="169" spans="1:27">
      <c r="A169" s="58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379"/>
      <c r="P169" s="379"/>
      <c r="Q169" s="379"/>
      <c r="R169" s="422"/>
      <c r="W169" s="228" t="s">
        <v>26</v>
      </c>
      <c r="X169" s="211">
        <v>106.95325296574117</v>
      </c>
    </row>
    <row r="170" spans="1:27" ht="22.5" customHeight="1">
      <c r="A170" s="58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379"/>
      <c r="P170" s="379"/>
      <c r="Q170" s="379"/>
      <c r="R170" s="422"/>
      <c r="T170" s="12"/>
      <c r="U170" s="218"/>
      <c r="W170" s="228" t="s">
        <v>27</v>
      </c>
      <c r="X170" s="211">
        <v>107.06489578214516</v>
      </c>
    </row>
    <row r="171" spans="1:27" ht="22.5" customHeight="1">
      <c r="A171" s="58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379"/>
      <c r="P171" s="379"/>
      <c r="Q171" s="379"/>
      <c r="R171" s="422"/>
      <c r="T171" s="12"/>
      <c r="U171" s="218"/>
      <c r="W171" s="228" t="s">
        <v>5</v>
      </c>
      <c r="X171" s="211">
        <v>106.50307845458552</v>
      </c>
    </row>
    <row r="172" spans="1:27" ht="22.5" customHeight="1">
      <c r="A172" s="58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379"/>
      <c r="P172" s="379"/>
      <c r="Q172" s="379"/>
      <c r="R172" s="588"/>
      <c r="T172" s="12"/>
      <c r="U172" s="218"/>
      <c r="W172" s="228" t="s">
        <v>262</v>
      </c>
      <c r="X172" s="267">
        <v>106.400717559509</v>
      </c>
      <c r="Y172" s="211"/>
    </row>
    <row r="173" spans="1:27" ht="22.5" customHeight="1">
      <c r="A173" s="34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379"/>
      <c r="P173" s="379"/>
      <c r="Q173" s="379"/>
      <c r="R173" s="422"/>
      <c r="T173" s="12"/>
      <c r="U173" s="218"/>
      <c r="W173" s="228" t="s">
        <v>21</v>
      </c>
      <c r="X173" s="267">
        <v>106.63038619744921</v>
      </c>
    </row>
    <row r="174" spans="1:27" ht="22.5" customHeight="1">
      <c r="A174" s="589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379"/>
      <c r="P174" s="379"/>
      <c r="Q174" s="379"/>
      <c r="R174" s="422"/>
      <c r="T174" s="12"/>
      <c r="U174" s="218"/>
      <c r="W174" s="228" t="s">
        <v>2</v>
      </c>
      <c r="X174" s="267">
        <v>106.062411174174</v>
      </c>
    </row>
    <row r="175" spans="1:27" ht="22.5" customHeight="1">
      <c r="A175" s="589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379"/>
      <c r="P175" s="379"/>
      <c r="Q175" s="379"/>
      <c r="R175" s="422"/>
      <c r="T175" s="12"/>
      <c r="U175" s="218"/>
      <c r="W175" s="228" t="s">
        <v>22</v>
      </c>
      <c r="X175" s="267">
        <v>105.86893022730047</v>
      </c>
    </row>
    <row r="176" spans="1:27">
      <c r="A176" s="589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379"/>
      <c r="P176" s="379"/>
      <c r="Q176" s="379"/>
      <c r="R176" s="422"/>
      <c r="T176" s="12"/>
      <c r="U176" s="218"/>
      <c r="W176" s="228" t="s">
        <v>23</v>
      </c>
      <c r="X176" s="267">
        <v>105.93595093311723</v>
      </c>
    </row>
    <row r="177" spans="1:27" ht="30" customHeight="1">
      <c r="A177" s="34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379"/>
      <c r="P177" s="379"/>
      <c r="Q177" s="379"/>
      <c r="R177" s="492"/>
      <c r="T177" s="12"/>
      <c r="U177" s="218"/>
      <c r="W177" s="228" t="s">
        <v>3</v>
      </c>
      <c r="X177" s="267">
        <v>106.16673824347546</v>
      </c>
    </row>
    <row r="178" spans="1:27" ht="22.5" customHeight="1">
      <c r="A178" s="58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379"/>
      <c r="P178" s="379"/>
      <c r="Q178" s="379"/>
      <c r="R178" s="492"/>
      <c r="T178" s="12"/>
      <c r="U178" s="218"/>
      <c r="W178" s="228" t="s">
        <v>24</v>
      </c>
      <c r="X178" s="267">
        <v>106.44633482430255</v>
      </c>
    </row>
    <row r="179" spans="1:27" ht="22.5" customHeight="1">
      <c r="A179" s="58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153"/>
      <c r="P179" s="153"/>
      <c r="Q179" s="153"/>
      <c r="R179" s="492"/>
      <c r="T179" s="12"/>
      <c r="U179" s="218"/>
      <c r="W179" s="228" t="s">
        <v>25</v>
      </c>
      <c r="X179" s="267">
        <v>106.34650731154315</v>
      </c>
    </row>
    <row r="180" spans="1:27" ht="22.5" customHeight="1">
      <c r="A180" s="34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153"/>
      <c r="P180" s="153"/>
      <c r="Q180" s="153"/>
      <c r="R180" s="492"/>
      <c r="T180" s="12"/>
      <c r="U180" s="218"/>
      <c r="W180" s="228" t="s">
        <v>4</v>
      </c>
      <c r="X180" s="267">
        <v>106.75036802647057</v>
      </c>
    </row>
    <row r="181" spans="1:27" ht="22.5" customHeight="1">
      <c r="A181" s="36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379"/>
      <c r="P181" s="379"/>
      <c r="Q181" s="379"/>
      <c r="R181" s="40"/>
      <c r="T181" s="12"/>
      <c r="U181" s="218"/>
      <c r="W181" s="228" t="s">
        <v>26</v>
      </c>
      <c r="X181" s="267">
        <v>108.78521616648365</v>
      </c>
    </row>
    <row r="182" spans="1:27" ht="18" customHeight="1">
      <c r="A182" s="36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379"/>
      <c r="P182" s="379"/>
      <c r="Q182" s="379"/>
      <c r="R182" s="76"/>
      <c r="T182" s="12"/>
      <c r="U182" s="218"/>
      <c r="W182" s="228" t="s">
        <v>27</v>
      </c>
      <c r="X182" s="267">
        <v>108.6699796816679</v>
      </c>
    </row>
    <row r="183" spans="1:27" s="7" customFormat="1" ht="22.5" customHeight="1">
      <c r="A183" s="381"/>
      <c r="B183" s="153"/>
      <c r="C183" s="153"/>
      <c r="D183" s="153"/>
      <c r="E183" s="153"/>
      <c r="F183" s="153"/>
      <c r="G183" s="153"/>
      <c r="H183" s="153"/>
      <c r="I183" s="396"/>
      <c r="J183" s="153"/>
      <c r="K183" s="153"/>
      <c r="L183" s="153"/>
      <c r="M183" s="379"/>
      <c r="N183" s="379"/>
      <c r="O183" s="379"/>
      <c r="P183" s="379"/>
      <c r="Q183" s="379"/>
      <c r="R183" s="493"/>
      <c r="T183" s="12"/>
      <c r="U183" s="218"/>
      <c r="V183" s="146"/>
      <c r="W183" s="228" t="s">
        <v>5</v>
      </c>
      <c r="X183" s="267">
        <v>108.97152391399352</v>
      </c>
      <c r="Y183" s="146"/>
      <c r="Z183" s="146"/>
      <c r="AA183" s="146"/>
    </row>
    <row r="184" spans="1:27" s="7" customFormat="1" ht="22.5" customHeight="1">
      <c r="A184" s="34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153"/>
      <c r="P184" s="153"/>
      <c r="Q184" s="153"/>
      <c r="R184" s="492"/>
      <c r="T184" s="12"/>
      <c r="U184" s="218"/>
      <c r="V184" s="146"/>
      <c r="W184" s="228" t="s">
        <v>327</v>
      </c>
      <c r="X184" s="267">
        <v>109.49980955008905</v>
      </c>
      <c r="Y184" s="146"/>
      <c r="Z184" s="146"/>
      <c r="AA184" s="146"/>
    </row>
    <row r="185" spans="1:27" ht="22.5" customHeight="1">
      <c r="A185" s="36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379"/>
      <c r="P185" s="379"/>
      <c r="Q185" s="379"/>
      <c r="R185" s="40"/>
      <c r="U185" s="218"/>
      <c r="W185" s="228" t="s">
        <v>21</v>
      </c>
      <c r="X185" s="267">
        <v>109.88576174896833</v>
      </c>
    </row>
    <row r="186" spans="1:27" ht="22.5" customHeight="1">
      <c r="A186" s="36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379"/>
      <c r="P186" s="379"/>
      <c r="Q186" s="379"/>
      <c r="R186" s="76"/>
      <c r="U186" s="218"/>
      <c r="W186" s="228" t="s">
        <v>2</v>
      </c>
      <c r="X186" s="267">
        <v>110.60323178045907</v>
      </c>
    </row>
    <row r="187" spans="1:27" ht="17.25">
      <c r="A187" s="381"/>
      <c r="B187" s="153"/>
      <c r="C187" s="153"/>
      <c r="D187" s="153"/>
      <c r="E187" s="153"/>
      <c r="F187" s="153"/>
      <c r="G187" s="153"/>
      <c r="H187" s="153"/>
      <c r="I187" s="396"/>
      <c r="J187" s="153"/>
      <c r="K187" s="153"/>
      <c r="L187" s="153"/>
      <c r="M187" s="379"/>
      <c r="N187" s="379"/>
      <c r="O187" s="379"/>
      <c r="P187" s="379"/>
      <c r="Q187" s="379"/>
      <c r="R187" s="493"/>
      <c r="W187" s="228" t="s">
        <v>22</v>
      </c>
      <c r="X187" s="267">
        <v>110.59194937513206</v>
      </c>
    </row>
    <row r="188" spans="1:27" ht="15.75">
      <c r="A188" s="315"/>
      <c r="B188" s="379"/>
      <c r="C188" s="247"/>
      <c r="D188" s="247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248"/>
      <c r="W188" s="228" t="s">
        <v>23</v>
      </c>
      <c r="X188" s="267">
        <v>110.85201445600245</v>
      </c>
    </row>
    <row r="189" spans="1:27" ht="15.75">
      <c r="A189" s="315"/>
      <c r="B189" s="379"/>
      <c r="C189" s="247"/>
      <c r="D189" s="247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248"/>
      <c r="W189" s="228" t="s">
        <v>3</v>
      </c>
      <c r="X189" s="267">
        <v>109.74800644419963</v>
      </c>
    </row>
    <row r="190" spans="1:27" ht="15.75">
      <c r="A190" s="315"/>
      <c r="B190" s="379"/>
      <c r="C190" s="247"/>
      <c r="D190" s="247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248"/>
      <c r="W190" s="228" t="s">
        <v>24</v>
      </c>
      <c r="X190" s="267">
        <v>109.6669128495823</v>
      </c>
    </row>
    <row r="191" spans="1:27" ht="15.75">
      <c r="A191" s="315"/>
      <c r="B191" s="379"/>
      <c r="C191" s="247"/>
      <c r="D191" s="247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248"/>
      <c r="W191" s="228" t="s">
        <v>25</v>
      </c>
      <c r="X191" s="267">
        <v>109.27002315425663</v>
      </c>
    </row>
    <row r="192" spans="1:27" ht="15.75">
      <c r="A192" s="315"/>
      <c r="B192" s="379"/>
      <c r="C192" s="247"/>
      <c r="D192" s="247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248"/>
      <c r="W192" s="228" t="s">
        <v>4</v>
      </c>
      <c r="X192" s="267">
        <v>109.83466504100939</v>
      </c>
    </row>
    <row r="193" spans="1:24" ht="15.75">
      <c r="A193" s="315"/>
      <c r="B193" s="379"/>
      <c r="C193" s="247"/>
      <c r="D193" s="247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248"/>
      <c r="W193" s="228" t="s">
        <v>26</v>
      </c>
      <c r="X193" s="267">
        <v>109.5388392789536</v>
      </c>
    </row>
    <row r="194" spans="1:24" ht="15.75">
      <c r="A194" s="315"/>
      <c r="B194" s="379"/>
      <c r="C194" s="247"/>
      <c r="D194" s="247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248"/>
      <c r="W194" s="228" t="s">
        <v>27</v>
      </c>
      <c r="X194" s="267">
        <v>109.34008741675697</v>
      </c>
    </row>
    <row r="195" spans="1:24" ht="15.75">
      <c r="A195" s="315"/>
      <c r="B195" s="379"/>
      <c r="C195" s="247"/>
      <c r="D195" s="247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248"/>
      <c r="W195" s="228" t="s">
        <v>5</v>
      </c>
      <c r="X195" s="267">
        <v>110.35293458574249</v>
      </c>
    </row>
    <row r="196" spans="1:24" ht="15.75">
      <c r="A196" s="315"/>
      <c r="B196" s="379"/>
      <c r="C196" s="247"/>
      <c r="D196" s="247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248"/>
      <c r="X196" s="267"/>
    </row>
    <row r="197" spans="1:24">
      <c r="A197" s="315"/>
      <c r="B197" s="379"/>
      <c r="C197" s="247"/>
      <c r="D197" s="247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248"/>
    </row>
    <row r="198" spans="1:24">
      <c r="A198" s="315"/>
      <c r="B198" s="379"/>
      <c r="C198" s="247"/>
      <c r="D198" s="247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248"/>
    </row>
    <row r="199" spans="1:24">
      <c r="A199" s="315"/>
      <c r="B199" s="379"/>
      <c r="C199" s="247"/>
      <c r="D199" s="247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248"/>
    </row>
    <row r="200" spans="1:24">
      <c r="A200" s="315"/>
      <c r="B200" s="379"/>
      <c r="C200" s="247"/>
      <c r="D200" s="247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248"/>
    </row>
    <row r="201" spans="1:24">
      <c r="A201" s="315"/>
      <c r="B201" s="379"/>
      <c r="C201" s="247"/>
      <c r="D201" s="247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248"/>
    </row>
    <row r="202" spans="1:24">
      <c r="A202" s="315"/>
      <c r="B202" s="379"/>
      <c r="C202" s="247"/>
      <c r="D202" s="247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248"/>
    </row>
    <row r="203" spans="1:24">
      <c r="A203" s="315"/>
      <c r="B203" s="379"/>
      <c r="C203" s="247"/>
      <c r="D203" s="247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248"/>
    </row>
    <row r="204" spans="1:24">
      <c r="A204" s="315"/>
      <c r="B204" s="379"/>
      <c r="C204" s="247"/>
      <c r="D204" s="247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248"/>
    </row>
    <row r="205" spans="1:24">
      <c r="A205" s="315"/>
      <c r="B205" s="379"/>
      <c r="C205" s="247"/>
      <c r="D205" s="247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248"/>
    </row>
    <row r="206" spans="1:24">
      <c r="A206" s="315"/>
      <c r="B206" s="379"/>
      <c r="C206" s="247"/>
      <c r="D206" s="247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248"/>
    </row>
    <row r="207" spans="1:24">
      <c r="A207" s="315"/>
      <c r="B207" s="379"/>
      <c r="C207" s="247"/>
      <c r="D207" s="247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248"/>
    </row>
    <row r="208" spans="1:24">
      <c r="A208" s="315"/>
      <c r="B208" s="379"/>
      <c r="C208" s="247"/>
      <c r="D208" s="247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248"/>
    </row>
    <row r="209" spans="1:18">
      <c r="A209" s="315"/>
      <c r="B209" s="379"/>
      <c r="C209" s="247"/>
      <c r="D209" s="247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248"/>
    </row>
    <row r="210" spans="1:18">
      <c r="A210" s="315"/>
      <c r="B210" s="379"/>
      <c r="C210" s="247"/>
      <c r="D210" s="247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248"/>
    </row>
    <row r="211" spans="1:18">
      <c r="A211" s="315"/>
      <c r="B211" s="379"/>
      <c r="C211" s="247"/>
      <c r="D211" s="247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248"/>
    </row>
    <row r="212" spans="1:18">
      <c r="A212" s="315"/>
      <c r="B212" s="379"/>
      <c r="C212" s="247"/>
      <c r="D212" s="247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248"/>
    </row>
    <row r="213" spans="1:18">
      <c r="A213" s="315"/>
      <c r="B213" s="379"/>
      <c r="C213" s="247"/>
      <c r="D213" s="247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248"/>
    </row>
    <row r="214" spans="1:18">
      <c r="A214" s="315"/>
      <c r="B214" s="379"/>
      <c r="C214" s="247"/>
      <c r="D214" s="247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248"/>
    </row>
    <row r="215" spans="1:18">
      <c r="A215" s="315"/>
      <c r="B215" s="379"/>
      <c r="C215" s="247"/>
      <c r="D215" s="247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248"/>
    </row>
    <row r="216" spans="1:18">
      <c r="A216" s="315"/>
      <c r="B216" s="379"/>
      <c r="C216" s="247"/>
      <c r="D216" s="247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248"/>
    </row>
    <row r="217" spans="1:18">
      <c r="A217" s="315"/>
      <c r="B217" s="379"/>
      <c r="C217" s="247"/>
      <c r="D217" s="247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248"/>
    </row>
    <row r="218" spans="1:18">
      <c r="A218" s="315"/>
      <c r="B218" s="379"/>
      <c r="C218" s="247"/>
      <c r="D218" s="247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248"/>
    </row>
    <row r="219" spans="1:18">
      <c r="A219" s="315"/>
      <c r="B219" s="379"/>
      <c r="C219" s="247"/>
      <c r="D219" s="247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248"/>
    </row>
    <row r="220" spans="1:18">
      <c r="A220" s="315"/>
      <c r="B220" s="379"/>
      <c r="C220" s="247"/>
      <c r="D220" s="247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248"/>
    </row>
    <row r="221" spans="1:18">
      <c r="A221" s="315"/>
      <c r="B221" s="379"/>
      <c r="C221" s="247"/>
      <c r="D221" s="247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248"/>
    </row>
    <row r="222" spans="1:18">
      <c r="A222" s="315"/>
      <c r="B222" s="379"/>
      <c r="C222" s="247"/>
      <c r="D222" s="247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248"/>
    </row>
    <row r="223" spans="1:18">
      <c r="A223" s="315"/>
      <c r="B223" s="379"/>
      <c r="C223" s="247"/>
      <c r="D223" s="247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248"/>
    </row>
    <row r="224" spans="1:18">
      <c r="A224" s="315"/>
      <c r="B224" s="379"/>
      <c r="C224" s="247"/>
      <c r="D224" s="247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248"/>
    </row>
    <row r="225" spans="1:18">
      <c r="A225" s="315"/>
      <c r="B225" s="379"/>
      <c r="C225" s="247"/>
      <c r="D225" s="247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248"/>
    </row>
    <row r="226" spans="1:18">
      <c r="A226" s="315"/>
      <c r="B226" s="379"/>
      <c r="C226" s="247"/>
      <c r="D226" s="247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248"/>
    </row>
    <row r="227" spans="1:18">
      <c r="A227" s="315"/>
      <c r="B227" s="379"/>
      <c r="C227" s="247"/>
      <c r="D227" s="247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248"/>
    </row>
    <row r="228" spans="1:18">
      <c r="A228" s="315"/>
      <c r="B228" s="379"/>
      <c r="C228" s="247"/>
      <c r="D228" s="247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248"/>
    </row>
    <row r="229" spans="1:18">
      <c r="A229" s="315"/>
      <c r="B229" s="379"/>
      <c r="C229" s="247"/>
      <c r="D229" s="247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248"/>
    </row>
    <row r="230" spans="1:18">
      <c r="A230" s="315"/>
      <c r="B230" s="379"/>
      <c r="C230" s="247"/>
      <c r="D230" s="247"/>
      <c r="E230" s="379"/>
      <c r="F230" s="379"/>
      <c r="G230" s="379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248"/>
    </row>
    <row r="231" spans="1:18">
      <c r="A231" s="315"/>
      <c r="B231" s="379"/>
      <c r="C231" s="247"/>
      <c r="D231" s="247"/>
      <c r="E231" s="379"/>
      <c r="F231" s="379"/>
      <c r="G231" s="379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248"/>
    </row>
  </sheetData>
  <mergeCells count="5">
    <mergeCell ref="A1:R1"/>
    <mergeCell ref="A2:R2"/>
    <mergeCell ref="A3:R3"/>
    <mergeCell ref="A4:R4"/>
    <mergeCell ref="A118:R118"/>
  </mergeCells>
  <pageMargins left="0.16" right="0.13" top="0.25" bottom="0.21" header="0.18" footer="0.17"/>
  <pageSetup paperSize="9" scale="76" orientation="landscape" horizontalDpi="4294967295" verticalDpi="4294967295" r:id="rId1"/>
  <rowBreaks count="4" manualBreakCount="4">
    <brk id="26" max="17" man="1"/>
    <brk id="48" max="17" man="1"/>
    <brk id="70" max="17" man="1"/>
    <brk id="110" max="1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70"/>
  <sheetViews>
    <sheetView showGridLines="0" view="pageBreakPreview" zoomScaleNormal="100" zoomScaleSheetLayoutView="100" workbookViewId="0">
      <selection activeCell="A41" sqref="A1:XFD1048576"/>
    </sheetView>
  </sheetViews>
  <sheetFormatPr defaultColWidth="9.140625" defaultRowHeight="12.75"/>
  <cols>
    <col min="1" max="1" width="35.7109375" style="84" customWidth="1"/>
    <col min="2" max="9" width="9.140625" style="83" customWidth="1"/>
    <col min="10" max="13" width="10.5703125" style="83" customWidth="1"/>
    <col min="14" max="14" width="11.28515625" style="83" customWidth="1"/>
    <col min="15" max="16384" width="9.140625" style="83"/>
  </cols>
  <sheetData>
    <row r="1" spans="1:43" s="185" customFormat="1" ht="19.5">
      <c r="A1" s="638" t="s">
        <v>308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</row>
    <row r="2" spans="1:43" s="186" customFormat="1">
      <c r="A2" s="634" t="s">
        <v>309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</row>
    <row r="3" spans="1:43" s="185" customFormat="1" ht="15" customHeight="1">
      <c r="A3" s="635" t="s">
        <v>66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M3" s="188"/>
      <c r="AN3" s="188"/>
      <c r="AO3" s="188"/>
      <c r="AP3" s="188"/>
      <c r="AQ3" s="188"/>
    </row>
    <row r="4" spans="1:43" s="230" customFormat="1" ht="12">
      <c r="A4" s="639" t="s">
        <v>65</v>
      </c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R4" s="63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M4" s="231"/>
      <c r="AN4" s="231"/>
      <c r="AO4" s="231"/>
      <c r="AP4" s="231"/>
      <c r="AQ4" s="231"/>
    </row>
    <row r="5" spans="1:43" s="63" customFormat="1" ht="22.5" customHeight="1">
      <c r="A5" s="57"/>
      <c r="B5" s="57" t="s">
        <v>305</v>
      </c>
      <c r="C5" s="62"/>
      <c r="D5" s="62"/>
      <c r="E5" s="62"/>
      <c r="F5" s="62"/>
      <c r="G5" s="61"/>
      <c r="H5" s="233"/>
      <c r="I5" s="233"/>
      <c r="J5" s="233"/>
      <c r="K5" s="233"/>
      <c r="L5" s="22"/>
      <c r="M5" s="233"/>
      <c r="N5" s="22" t="s">
        <v>306</v>
      </c>
      <c r="R5" s="40" t="s">
        <v>19</v>
      </c>
      <c r="AK5" s="64"/>
    </row>
    <row r="6" spans="1:43" s="63" customFormat="1" ht="14.25" customHeight="1">
      <c r="A6" s="65" t="s">
        <v>7</v>
      </c>
      <c r="B6" s="66" t="s">
        <v>61</v>
      </c>
      <c r="C6" s="66" t="s">
        <v>60</v>
      </c>
      <c r="D6" s="66" t="s">
        <v>0</v>
      </c>
      <c r="E6" s="66" t="s">
        <v>15</v>
      </c>
      <c r="F6" s="66" t="s">
        <v>16</v>
      </c>
      <c r="G6" s="1" t="s">
        <v>1</v>
      </c>
      <c r="H6" s="1" t="s">
        <v>17</v>
      </c>
      <c r="I6" s="1" t="s">
        <v>59</v>
      </c>
      <c r="J6" s="1" t="s">
        <v>258</v>
      </c>
      <c r="K6" s="1" t="s">
        <v>259</v>
      </c>
      <c r="L6" s="1" t="s">
        <v>260</v>
      </c>
      <c r="M6" s="1" t="s">
        <v>261</v>
      </c>
      <c r="N6" s="640" t="s">
        <v>307</v>
      </c>
      <c r="R6" s="40" t="s">
        <v>46</v>
      </c>
      <c r="AK6" s="64"/>
    </row>
    <row r="7" spans="1:43" s="63" customFormat="1" ht="15">
      <c r="A7" s="67" t="s">
        <v>76</v>
      </c>
      <c r="B7" s="53" t="s">
        <v>20</v>
      </c>
      <c r="C7" s="52" t="s">
        <v>21</v>
      </c>
      <c r="D7" s="52" t="s">
        <v>2</v>
      </c>
      <c r="E7" s="52" t="s">
        <v>22</v>
      </c>
      <c r="F7" s="52" t="s">
        <v>23</v>
      </c>
      <c r="G7" s="52" t="s">
        <v>3</v>
      </c>
      <c r="H7" s="52" t="s">
        <v>24</v>
      </c>
      <c r="I7" s="52" t="s">
        <v>25</v>
      </c>
      <c r="J7" s="52" t="s">
        <v>4</v>
      </c>
      <c r="K7" s="52" t="s">
        <v>26</v>
      </c>
      <c r="L7" s="52" t="s">
        <v>27</v>
      </c>
      <c r="M7" s="52" t="s">
        <v>5</v>
      </c>
      <c r="N7" s="641"/>
      <c r="O7" s="68"/>
      <c r="P7" s="68"/>
      <c r="Q7" s="68"/>
      <c r="R7" s="69"/>
      <c r="AK7" s="64"/>
    </row>
    <row r="8" spans="1:43" s="63" customFormat="1" ht="18.75" customHeight="1">
      <c r="A8" s="25" t="s">
        <v>55</v>
      </c>
      <c r="B8" s="27">
        <v>0.84869061714285543</v>
      </c>
      <c r="C8" s="27">
        <v>0.83483626913278819</v>
      </c>
      <c r="D8" s="27">
        <v>-0.29906816521668711</v>
      </c>
      <c r="E8" s="27">
        <v>-0.12901261157347577</v>
      </c>
      <c r="F8" s="27">
        <v>2.030703064184336</v>
      </c>
      <c r="G8" s="27">
        <v>-1.882636335401966</v>
      </c>
      <c r="H8" s="27">
        <v>-0.22461790118215585</v>
      </c>
      <c r="I8" s="27">
        <v>-1.4051388239330831</v>
      </c>
      <c r="J8" s="27">
        <v>1.3130229803694604</v>
      </c>
      <c r="K8" s="27">
        <v>-1.2124093503612987</v>
      </c>
      <c r="L8" s="27">
        <v>-0.85516133056158239</v>
      </c>
      <c r="M8" s="27">
        <v>2.8704543048023723</v>
      </c>
      <c r="N8" s="29">
        <v>5.5990541326304877</v>
      </c>
      <c r="O8" s="12"/>
      <c r="P8" s="70"/>
      <c r="Q8" s="70"/>
      <c r="R8" s="2" t="s">
        <v>57</v>
      </c>
      <c r="T8" s="4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K8" s="64"/>
    </row>
    <row r="9" spans="1:43" s="63" customFormat="1" ht="18.75" customHeight="1">
      <c r="A9" s="25" t="s">
        <v>56</v>
      </c>
      <c r="B9" s="27">
        <v>0.68432011112646851</v>
      </c>
      <c r="C9" s="27">
        <v>-0.13438578973041793</v>
      </c>
      <c r="D9" s="27">
        <v>-0.78299348774658606</v>
      </c>
      <c r="E9" s="27">
        <v>-8.4756657044937622E-2</v>
      </c>
      <c r="F9" s="27">
        <v>0.59802275166538355</v>
      </c>
      <c r="G9" s="27">
        <v>-1.0521545548605626</v>
      </c>
      <c r="H9" s="27">
        <v>-0.77402683589395949</v>
      </c>
      <c r="I9" s="27">
        <v>6.392320739208035E-2</v>
      </c>
      <c r="J9" s="27">
        <v>0.49927938322837928</v>
      </c>
      <c r="K9" s="27">
        <v>0.47223211004028265</v>
      </c>
      <c r="L9" s="27">
        <v>1.208443225437561</v>
      </c>
      <c r="M9" s="27">
        <v>0.97289918421590293</v>
      </c>
      <c r="N9" s="29">
        <v>6.6019557332858358</v>
      </c>
      <c r="R9" s="2" t="s">
        <v>58</v>
      </c>
      <c r="T9" s="4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K9" s="64"/>
    </row>
    <row r="10" spans="1:43" s="63" customFormat="1" ht="18.75" customHeight="1">
      <c r="A10" s="31" t="s">
        <v>9</v>
      </c>
      <c r="B10" s="27">
        <v>1.2705402909052754</v>
      </c>
      <c r="C10" s="27">
        <v>3.3079029711666319</v>
      </c>
      <c r="D10" s="27">
        <v>0.89457171344442532</v>
      </c>
      <c r="E10" s="27">
        <v>-0.23635839810960402</v>
      </c>
      <c r="F10" s="27">
        <v>5.5110460071242429</v>
      </c>
      <c r="G10" s="27">
        <v>-3.8061459993338542</v>
      </c>
      <c r="H10" s="27">
        <v>1.0843198645030139</v>
      </c>
      <c r="I10" s="27">
        <v>-4.8407577646280124</v>
      </c>
      <c r="J10" s="27">
        <v>3.3141699688684634</v>
      </c>
      <c r="K10" s="27">
        <v>-5.2423805914563086</v>
      </c>
      <c r="L10" s="27">
        <v>-6.0893918987761531</v>
      </c>
      <c r="M10" s="27">
        <v>8.0575333180417097</v>
      </c>
      <c r="N10" s="29">
        <v>3.2091870636881792</v>
      </c>
      <c r="R10" s="2" t="s">
        <v>10</v>
      </c>
      <c r="T10" s="4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K10" s="64"/>
    </row>
    <row r="11" spans="1:43" s="63" customFormat="1" ht="18.75" customHeight="1">
      <c r="A11" s="71" t="s">
        <v>51</v>
      </c>
      <c r="B11" s="27">
        <v>8.8156133950234583E-2</v>
      </c>
      <c r="C11" s="27">
        <v>0.47623254781177238</v>
      </c>
      <c r="D11" s="27">
        <v>29.344427194395251</v>
      </c>
      <c r="E11" s="27">
        <v>0.34981295005418467</v>
      </c>
      <c r="F11" s="27">
        <v>0.51621130843910734</v>
      </c>
      <c r="G11" s="27">
        <v>0.47338587767200568</v>
      </c>
      <c r="H11" s="27">
        <v>-0.12899039001046386</v>
      </c>
      <c r="I11" s="27">
        <v>-0.40017401070606695</v>
      </c>
      <c r="J11" s="27">
        <v>7.0736508388846708E-2</v>
      </c>
      <c r="K11" s="27">
        <v>6.089378459672723E-2</v>
      </c>
      <c r="L11" s="27">
        <v>3.5155027633582137E-2</v>
      </c>
      <c r="M11" s="27">
        <v>-0.35220292826763089</v>
      </c>
      <c r="N11" s="29">
        <v>26.377772265649302</v>
      </c>
      <c r="R11" s="2" t="s">
        <v>30</v>
      </c>
      <c r="T11" s="4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K11" s="64"/>
    </row>
    <row r="12" spans="1:43" s="63" customFormat="1" ht="18.75" customHeight="1">
      <c r="A12" s="31" t="s">
        <v>11</v>
      </c>
      <c r="B12" s="27">
        <v>-4.104417289884088E-2</v>
      </c>
      <c r="C12" s="27">
        <v>-0.15112770947171006</v>
      </c>
      <c r="D12" s="27">
        <v>3.8340568768724381E-2</v>
      </c>
      <c r="E12" s="27">
        <v>1.3924732305370391E-2</v>
      </c>
      <c r="F12" s="27">
        <v>2.8722513319179299E-2</v>
      </c>
      <c r="G12" s="27">
        <v>-0.23993143391847216</v>
      </c>
      <c r="H12" s="27">
        <v>-0.23146007315371087</v>
      </c>
      <c r="I12" s="27">
        <v>0.10407751076273453</v>
      </c>
      <c r="J12" s="27">
        <v>-2.5374925172516605E-3</v>
      </c>
      <c r="K12" s="27">
        <v>-0.19400170206836931</v>
      </c>
      <c r="L12" s="27">
        <v>-0.16420270488980426</v>
      </c>
      <c r="M12" s="27">
        <v>9.5842252219568991E-2</v>
      </c>
      <c r="N12" s="29">
        <v>-0.69805532129247894</v>
      </c>
      <c r="R12" s="2" t="s">
        <v>31</v>
      </c>
      <c r="T12" s="4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K12" s="64"/>
    </row>
    <row r="13" spans="1:43" s="63" customFormat="1" ht="18.75" customHeight="1">
      <c r="A13" s="31" t="s">
        <v>67</v>
      </c>
      <c r="B13" s="27">
        <v>0.48760390356963335</v>
      </c>
      <c r="C13" s="27">
        <v>0.18767899842047076</v>
      </c>
      <c r="D13" s="27">
        <v>5.4152889157532691E-2</v>
      </c>
      <c r="E13" s="27">
        <v>0.12441903372073515</v>
      </c>
      <c r="F13" s="27">
        <v>0.13837834753747114</v>
      </c>
      <c r="G13" s="27">
        <v>-1.6238649111123937</v>
      </c>
      <c r="H13" s="27">
        <v>-0.82468523931296112</v>
      </c>
      <c r="I13" s="27">
        <v>0.3018417899554704</v>
      </c>
      <c r="J13" s="27">
        <v>0.64015475939183109</v>
      </c>
      <c r="K13" s="27">
        <v>0.30201716509332677</v>
      </c>
      <c r="L13" s="27">
        <v>0.2821207498488798</v>
      </c>
      <c r="M13" s="27">
        <v>0.50232495331696825</v>
      </c>
      <c r="N13" s="29">
        <v>1.2675372379527428</v>
      </c>
      <c r="R13" s="2" t="s">
        <v>32</v>
      </c>
      <c r="T13" s="4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K13" s="64"/>
    </row>
    <row r="14" spans="1:43" s="63" customFormat="1" ht="18.75" customHeight="1">
      <c r="A14" s="31" t="s">
        <v>68</v>
      </c>
      <c r="B14" s="27">
        <v>6.0859483098485434E-2</v>
      </c>
      <c r="C14" s="27">
        <v>0.12967184431142975</v>
      </c>
      <c r="D14" s="27">
        <v>7.0918810155751189E-2</v>
      </c>
      <c r="E14" s="27">
        <v>0.30637993218864956</v>
      </c>
      <c r="F14" s="27">
        <v>0.72233659072771239</v>
      </c>
      <c r="G14" s="27">
        <v>0.65423627400660322</v>
      </c>
      <c r="H14" s="27">
        <v>1.0112453706504487</v>
      </c>
      <c r="I14" s="27">
        <v>0.52285727964844764</v>
      </c>
      <c r="J14" s="27">
        <v>1.085328828175891</v>
      </c>
      <c r="K14" s="27">
        <v>0.53826764946676153</v>
      </c>
      <c r="L14" s="27">
        <v>0.54403918524861261</v>
      </c>
      <c r="M14" s="27">
        <v>0.87599168361247592</v>
      </c>
      <c r="N14" s="29">
        <v>4.6371027773093099</v>
      </c>
      <c r="R14" s="72" t="s">
        <v>72</v>
      </c>
      <c r="T14" s="4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K14" s="64"/>
    </row>
    <row r="15" spans="1:43" s="63" customFormat="1" ht="25.5">
      <c r="A15" s="25" t="s">
        <v>50</v>
      </c>
      <c r="B15" s="27">
        <v>-0.18741299002192902</v>
      </c>
      <c r="C15" s="27">
        <v>0.99436582493439563</v>
      </c>
      <c r="D15" s="27">
        <v>-9.5747153482816927E-3</v>
      </c>
      <c r="E15" s="27">
        <v>-0.11014394179973408</v>
      </c>
      <c r="F15" s="27">
        <v>-3.4915921741007327</v>
      </c>
      <c r="G15" s="27">
        <v>-0.29126971057161777</v>
      </c>
      <c r="H15" s="27">
        <v>1.8346832036273408</v>
      </c>
      <c r="I15" s="27">
        <v>-6.4155791111897287E-2</v>
      </c>
      <c r="J15" s="27">
        <v>-0.16412158198474414</v>
      </c>
      <c r="K15" s="27">
        <v>0.1034261563745309</v>
      </c>
      <c r="L15" s="27">
        <v>-0.29751735334515583</v>
      </c>
      <c r="M15" s="27">
        <v>1.4034716093802579E-2</v>
      </c>
      <c r="N15" s="29">
        <v>1.1176151505352561</v>
      </c>
      <c r="R15" s="2" t="s">
        <v>53</v>
      </c>
      <c r="T15" s="4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K15" s="64"/>
    </row>
    <row r="16" spans="1:43" s="63" customFormat="1" ht="18.75" customHeight="1">
      <c r="A16" s="33" t="s">
        <v>33</v>
      </c>
      <c r="B16" s="27">
        <v>-0.38691798085934703</v>
      </c>
      <c r="C16" s="27">
        <v>-9.4620377202137007E-2</v>
      </c>
      <c r="D16" s="27">
        <v>-6.8742223422457727E-3</v>
      </c>
      <c r="E16" s="27">
        <v>7.3870863571467993E-3</v>
      </c>
      <c r="F16" s="27">
        <v>7.7545606802820188E-2</v>
      </c>
      <c r="G16" s="27">
        <v>-7.9672894543691974E-3</v>
      </c>
      <c r="H16" s="27">
        <v>1.0984899653609936E-2</v>
      </c>
      <c r="I16" s="27">
        <v>1.8306901851805613E-2</v>
      </c>
      <c r="J16" s="27">
        <v>-1.1564058473989558E-2</v>
      </c>
      <c r="K16" s="27">
        <v>0.14872223055717448</v>
      </c>
      <c r="L16" s="27">
        <v>2.3263354317482055E-2</v>
      </c>
      <c r="M16" s="27">
        <v>8.8371782847707081E-3</v>
      </c>
      <c r="N16" s="29">
        <v>-0.22951185944870556</v>
      </c>
      <c r="R16" s="2" t="s">
        <v>34</v>
      </c>
      <c r="T16" s="4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K16" s="64"/>
    </row>
    <row r="17" spans="1:37" s="63" customFormat="1" ht="18.75" customHeight="1">
      <c r="A17" s="33" t="s">
        <v>35</v>
      </c>
      <c r="B17" s="27">
        <v>0.38891597060997096</v>
      </c>
      <c r="C17" s="27">
        <v>-0.1475725758284363</v>
      </c>
      <c r="D17" s="27">
        <v>-7.9003600064186941E-4</v>
      </c>
      <c r="E17" s="27">
        <v>-0.24862092237486477</v>
      </c>
      <c r="F17" s="27">
        <v>-1.1040690725683033</v>
      </c>
      <c r="G17" s="27">
        <v>-0.75907470702296642</v>
      </c>
      <c r="H17" s="27">
        <v>-0.18812684651349221</v>
      </c>
      <c r="I17" s="27">
        <v>2.7684946110295705E-2</v>
      </c>
      <c r="J17" s="27">
        <v>0.23567129014083754</v>
      </c>
      <c r="K17" s="27">
        <v>0.41929941110794289</v>
      </c>
      <c r="L17" s="27">
        <v>-0.26837365192607932</v>
      </c>
      <c r="M17" s="27">
        <v>2.2684224400748576E-2</v>
      </c>
      <c r="N17" s="29">
        <v>0.48620398017833466</v>
      </c>
      <c r="R17" s="2" t="s">
        <v>36</v>
      </c>
      <c r="T17" s="4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K17" s="64"/>
    </row>
    <row r="18" spans="1:37" s="63" customFormat="1" ht="18.75" customHeight="1">
      <c r="A18" s="33" t="s">
        <v>37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0.95949289949446293</v>
      </c>
      <c r="I18" s="27">
        <v>0</v>
      </c>
      <c r="J18" s="27">
        <v>0</v>
      </c>
      <c r="K18" s="27">
        <v>-9.4233733912829631E-2</v>
      </c>
      <c r="L18" s="27">
        <v>0</v>
      </c>
      <c r="M18" s="27">
        <v>-0.59818244720598601</v>
      </c>
      <c r="N18" s="29">
        <v>-0.13457058901791275</v>
      </c>
      <c r="R18" s="2" t="s">
        <v>38</v>
      </c>
      <c r="T18" s="4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K18" s="64"/>
    </row>
    <row r="19" spans="1:37" s="63" customFormat="1" ht="18.75" customHeight="1">
      <c r="A19" s="34" t="s">
        <v>39</v>
      </c>
      <c r="B19" s="27">
        <v>0.34918767914826621</v>
      </c>
      <c r="C19" s="27">
        <v>-1.3109800843225106E-2</v>
      </c>
      <c r="D19" s="27">
        <v>1.4009197872777435E-2</v>
      </c>
      <c r="E19" s="27">
        <v>0</v>
      </c>
      <c r="F19" s="27">
        <v>-1.5951620353821361</v>
      </c>
      <c r="G19" s="27">
        <v>-0.30554218475047357</v>
      </c>
      <c r="H19" s="27">
        <v>0.42967209016420149</v>
      </c>
      <c r="I19" s="27">
        <v>2.6580862200153987E-2</v>
      </c>
      <c r="J19" s="27">
        <v>-2.3059845374762133E-3</v>
      </c>
      <c r="K19" s="27">
        <v>-0.3706854458923825</v>
      </c>
      <c r="L19" s="27">
        <v>-0.24579368690276215</v>
      </c>
      <c r="M19" s="27">
        <v>-5.2652880519710177E-2</v>
      </c>
      <c r="N19" s="29">
        <v>-0.1123156840968198</v>
      </c>
      <c r="R19" s="35" t="s">
        <v>40</v>
      </c>
      <c r="T19" s="4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K19" s="64"/>
    </row>
    <row r="20" spans="1:37" s="63" customFormat="1" ht="18.75" customHeight="1">
      <c r="A20" s="31" t="s">
        <v>12</v>
      </c>
      <c r="B20" s="27">
        <v>4.1630674841883097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1.045785071829286E-3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9">
        <v>4.2271968469034249</v>
      </c>
      <c r="R20" s="35" t="s">
        <v>13</v>
      </c>
      <c r="T20" s="4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K20" s="64"/>
    </row>
    <row r="21" spans="1:37" s="63" customFormat="1" ht="18.75" customHeight="1">
      <c r="A21" s="71" t="s">
        <v>41</v>
      </c>
      <c r="B21" s="27">
        <v>-1.2586551305537874E-3</v>
      </c>
      <c r="C21" s="27">
        <v>-3.9208866088702443E-2</v>
      </c>
      <c r="D21" s="27">
        <v>-9.1183240512382469E-3</v>
      </c>
      <c r="E21" s="27">
        <v>0</v>
      </c>
      <c r="F21" s="27">
        <v>0</v>
      </c>
      <c r="G21" s="27">
        <v>0</v>
      </c>
      <c r="H21" s="27">
        <v>0</v>
      </c>
      <c r="I21" s="27">
        <v>1.3822763042425912E-2</v>
      </c>
      <c r="J21" s="27">
        <v>1.8418457281565992E-4</v>
      </c>
      <c r="K21" s="27">
        <v>-6.388653515106979E-2</v>
      </c>
      <c r="L21" s="27">
        <v>1.5378145408093458</v>
      </c>
      <c r="M21" s="27">
        <v>0.39366572432701918</v>
      </c>
      <c r="N21" s="29">
        <v>2.0161808329306252</v>
      </c>
      <c r="R21" s="35" t="s">
        <v>42</v>
      </c>
      <c r="T21" s="4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K21" s="64"/>
    </row>
    <row r="22" spans="1:37" s="63" customFormat="1" ht="18.75" customHeight="1">
      <c r="A22" s="34" t="s">
        <v>43</v>
      </c>
      <c r="B22" s="27">
        <v>8.723035882736152E-2</v>
      </c>
      <c r="C22" s="27">
        <v>-9.261921389962513E-2</v>
      </c>
      <c r="D22" s="27">
        <v>-0.21939306812968074</v>
      </c>
      <c r="E22" s="27">
        <v>0.11847670882871864</v>
      </c>
      <c r="F22" s="27">
        <v>-6.7188628720005195E-2</v>
      </c>
      <c r="G22" s="27">
        <v>0.1113285954701615</v>
      </c>
      <c r="H22" s="27">
        <v>2.7854464964138792E-2</v>
      </c>
      <c r="I22" s="27">
        <v>-0.13016274968146169</v>
      </c>
      <c r="J22" s="27">
        <v>-0.19333340984112324</v>
      </c>
      <c r="K22" s="27">
        <v>9.2632281256799232E-2</v>
      </c>
      <c r="L22" s="27">
        <v>-1.2118705246144668E-2</v>
      </c>
      <c r="M22" s="27">
        <v>4.3546765927571229E-2</v>
      </c>
      <c r="N22" s="29">
        <v>-0.15359702375522533</v>
      </c>
      <c r="R22" s="35" t="s">
        <v>74</v>
      </c>
      <c r="T22" s="4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K22" s="64"/>
    </row>
    <row r="23" spans="1:37" s="60" customFormat="1" ht="18.75" customHeight="1">
      <c r="A23" s="36" t="s">
        <v>69</v>
      </c>
      <c r="B23" s="38">
        <v>0.48479237246648044</v>
      </c>
      <c r="C23" s="38">
        <v>0.35246837457076907</v>
      </c>
      <c r="D23" s="38">
        <v>0.65292356359123449</v>
      </c>
      <c r="E23" s="38">
        <v>-1.0200791735814896E-2</v>
      </c>
      <c r="F23" s="38">
        <v>0.23515733499572811</v>
      </c>
      <c r="G23" s="38">
        <v>-0.99592958884928695</v>
      </c>
      <c r="H23" s="38">
        <v>-7.3890722250669061E-2</v>
      </c>
      <c r="I23" s="38">
        <v>-0.36190468484330607</v>
      </c>
      <c r="J23" s="38">
        <v>0.51673997172640984</v>
      </c>
      <c r="K23" s="38">
        <v>-0.26933733711969055</v>
      </c>
      <c r="L23" s="38">
        <v>-0.18144419231107545</v>
      </c>
      <c r="M23" s="38">
        <v>0.92632738176345875</v>
      </c>
      <c r="N23" s="39">
        <v>2.8174733823451481</v>
      </c>
      <c r="R23" s="40" t="s">
        <v>14</v>
      </c>
      <c r="T23" s="255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K23" s="73"/>
    </row>
    <row r="24" spans="1:37" s="60" customFormat="1" ht="18.75" customHeight="1">
      <c r="A24" s="563" t="s">
        <v>70</v>
      </c>
      <c r="B24" s="74">
        <v>0.41473189578715708</v>
      </c>
      <c r="C24" s="74">
        <v>8.6703919383079864E-2</v>
      </c>
      <c r="D24" s="74">
        <v>0.63049424004315568</v>
      </c>
      <c r="E24" s="74">
        <v>1.0845815467908082E-2</v>
      </c>
      <c r="F24" s="74">
        <v>-0.25461213866571075</v>
      </c>
      <c r="G24" s="74">
        <v>-0.71997287745141358</v>
      </c>
      <c r="H24" s="74">
        <v>-0.18408883668162845</v>
      </c>
      <c r="I24" s="74">
        <v>6.9651621563027177E-2</v>
      </c>
      <c r="J24" s="74">
        <v>0.26042234946441756</v>
      </c>
      <c r="K24" s="74">
        <v>0.20020184150935094</v>
      </c>
      <c r="L24" s="74">
        <v>0.34606713153779722</v>
      </c>
      <c r="M24" s="74">
        <v>0.3304287071014933</v>
      </c>
      <c r="N24" s="43">
        <v>2.7814817409053338</v>
      </c>
      <c r="O24" s="254"/>
      <c r="P24" s="254"/>
      <c r="Q24" s="254"/>
      <c r="R24" s="44" t="s">
        <v>54</v>
      </c>
      <c r="T24" s="255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K24" s="73"/>
    </row>
    <row r="25" spans="1:37" s="63" customFormat="1" ht="18.75" customHeight="1">
      <c r="A25" s="113"/>
      <c r="B25" s="232"/>
      <c r="C25" s="232"/>
      <c r="D25" s="232"/>
      <c r="E25" s="232"/>
      <c r="F25" s="232"/>
      <c r="G25" s="232"/>
      <c r="H25" s="642"/>
      <c r="I25" s="642"/>
      <c r="J25" s="642"/>
      <c r="K25" s="642"/>
      <c r="L25" s="642"/>
      <c r="M25" s="642"/>
      <c r="N25" s="642"/>
      <c r="O25" s="70"/>
      <c r="P25" s="70"/>
      <c r="Q25" s="70"/>
      <c r="R25" s="76"/>
      <c r="AK25" s="64"/>
    </row>
    <row r="26" spans="1:37" s="63" customFormat="1" ht="7.5" customHeight="1">
      <c r="A26" s="77"/>
      <c r="C26" s="64"/>
      <c r="D26" s="64"/>
      <c r="R26" s="78"/>
      <c r="AK26" s="64"/>
    </row>
    <row r="27" spans="1:37" s="63" customFormat="1" ht="15">
      <c r="A27" s="107"/>
      <c r="B27" s="57" t="s">
        <v>305</v>
      </c>
      <c r="C27" s="62"/>
      <c r="D27" s="62"/>
      <c r="E27" s="62"/>
      <c r="F27" s="62"/>
      <c r="G27" s="61"/>
      <c r="H27" s="233"/>
      <c r="I27" s="233"/>
      <c r="J27" s="233"/>
      <c r="K27" s="233"/>
      <c r="L27" s="22"/>
      <c r="M27" s="233"/>
      <c r="N27" s="22" t="s">
        <v>306</v>
      </c>
      <c r="O27" s="107"/>
      <c r="P27" s="107"/>
      <c r="Q27" s="107"/>
      <c r="R27" s="108" t="s">
        <v>19</v>
      </c>
      <c r="AK27" s="64"/>
    </row>
    <row r="28" spans="1:37" s="63" customFormat="1" ht="19.5" customHeight="1">
      <c r="A28" s="65" t="s">
        <v>7</v>
      </c>
      <c r="B28" s="66" t="s">
        <v>61</v>
      </c>
      <c r="C28" s="66" t="s">
        <v>60</v>
      </c>
      <c r="D28" s="66" t="s">
        <v>0</v>
      </c>
      <c r="E28" s="66" t="s">
        <v>15</v>
      </c>
      <c r="F28" s="66" t="s">
        <v>16</v>
      </c>
      <c r="G28" s="1" t="s">
        <v>1</v>
      </c>
      <c r="H28" s="1" t="s">
        <v>17</v>
      </c>
      <c r="I28" s="1" t="s">
        <v>59</v>
      </c>
      <c r="J28" s="1" t="s">
        <v>258</v>
      </c>
      <c r="K28" s="1" t="s">
        <v>259</v>
      </c>
      <c r="L28" s="1" t="s">
        <v>260</v>
      </c>
      <c r="M28" s="1" t="s">
        <v>261</v>
      </c>
      <c r="N28" s="640" t="s">
        <v>307</v>
      </c>
      <c r="O28" s="70"/>
      <c r="P28" s="70"/>
      <c r="Q28" s="70"/>
      <c r="R28" s="40" t="s">
        <v>48</v>
      </c>
      <c r="AK28" s="64"/>
    </row>
    <row r="29" spans="1:37" s="63" customFormat="1" ht="15">
      <c r="A29" s="80" t="s">
        <v>47</v>
      </c>
      <c r="B29" s="53" t="s">
        <v>20</v>
      </c>
      <c r="C29" s="52" t="s">
        <v>21</v>
      </c>
      <c r="D29" s="52" t="s">
        <v>2</v>
      </c>
      <c r="E29" s="52" t="s">
        <v>22</v>
      </c>
      <c r="F29" s="52" t="s">
        <v>23</v>
      </c>
      <c r="G29" s="52" t="s">
        <v>3</v>
      </c>
      <c r="H29" s="52" t="s">
        <v>24</v>
      </c>
      <c r="I29" s="52" t="s">
        <v>25</v>
      </c>
      <c r="J29" s="52" t="s">
        <v>4</v>
      </c>
      <c r="K29" s="52" t="s">
        <v>26</v>
      </c>
      <c r="L29" s="52" t="s">
        <v>27</v>
      </c>
      <c r="M29" s="52" t="s">
        <v>5</v>
      </c>
      <c r="N29" s="641"/>
      <c r="O29" s="68"/>
      <c r="P29" s="68"/>
      <c r="Q29" s="68"/>
      <c r="R29" s="69"/>
      <c r="AK29" s="64"/>
    </row>
    <row r="30" spans="1:37" s="63" customFormat="1" ht="20.25" customHeight="1">
      <c r="A30" s="25" t="s">
        <v>55</v>
      </c>
      <c r="B30" s="494">
        <v>0.85627268262895573</v>
      </c>
      <c r="C30" s="494">
        <v>0.6054753797316792</v>
      </c>
      <c r="D30" s="494">
        <v>-0.92565435268214813</v>
      </c>
      <c r="E30" s="494">
        <v>-0.24784786389634439</v>
      </c>
      <c r="F30" s="494">
        <v>2.5958023905527039</v>
      </c>
      <c r="G30" s="494">
        <v>-0.85310932627702396</v>
      </c>
      <c r="H30" s="494">
        <v>-0.69465650683570024</v>
      </c>
      <c r="I30" s="494">
        <v>-1.6603250986952478</v>
      </c>
      <c r="J30" s="494">
        <v>1.4284990161389954</v>
      </c>
      <c r="K30" s="494">
        <v>-0.40068991283760402</v>
      </c>
      <c r="L30" s="494">
        <v>-0.80501350073258759</v>
      </c>
      <c r="M30" s="494">
        <v>2.4566475337016724</v>
      </c>
      <c r="N30" s="495">
        <v>3.4152386629297204</v>
      </c>
      <c r="O30" s="70"/>
      <c r="P30" s="70"/>
      <c r="Q30" s="70"/>
      <c r="R30" s="2" t="s">
        <v>57</v>
      </c>
      <c r="AK30" s="64"/>
    </row>
    <row r="31" spans="1:37" s="63" customFormat="1" ht="20.25" customHeight="1">
      <c r="A31" s="25" t="s">
        <v>56</v>
      </c>
      <c r="B31" s="494">
        <v>1.6605874346227845</v>
      </c>
      <c r="C31" s="494">
        <v>0.11580950664236145</v>
      </c>
      <c r="D31" s="494">
        <v>-1.2824655394713669</v>
      </c>
      <c r="E31" s="494">
        <v>-0.14029972227713738</v>
      </c>
      <c r="F31" s="494">
        <v>2.294409780540696</v>
      </c>
      <c r="G31" s="494">
        <v>-1.8773478810845456</v>
      </c>
      <c r="H31" s="494">
        <v>-1.8097426574719688</v>
      </c>
      <c r="I31" s="494">
        <v>0.439529174382014</v>
      </c>
      <c r="J31" s="494">
        <v>0.84362689336159313</v>
      </c>
      <c r="K31" s="494">
        <v>0.7799643539002199</v>
      </c>
      <c r="L31" s="494">
        <v>1.3142553652907063</v>
      </c>
      <c r="M31" s="494">
        <v>0.68536050766658807</v>
      </c>
      <c r="N31" s="494">
        <v>5.1158060400873229</v>
      </c>
      <c r="R31" s="2" t="s">
        <v>58</v>
      </c>
      <c r="AK31" s="64"/>
    </row>
    <row r="32" spans="1:37" s="63" customFormat="1" ht="20.25" customHeight="1">
      <c r="A32" s="31" t="s">
        <v>9</v>
      </c>
      <c r="B32" s="494">
        <v>-1.0684654225057488</v>
      </c>
      <c r="C32" s="494">
        <v>1.8095774874572701</v>
      </c>
      <c r="D32" s="494">
        <v>-6.2842764177761801E-2</v>
      </c>
      <c r="E32" s="494">
        <v>-0.50473817601158766</v>
      </c>
      <c r="F32" s="494">
        <v>3.3183480134239218</v>
      </c>
      <c r="G32" s="494">
        <v>1.578021007233521</v>
      </c>
      <c r="H32" s="494">
        <v>1.8620747152324091</v>
      </c>
      <c r="I32" s="494">
        <v>-6.301433262780975</v>
      </c>
      <c r="J32" s="494">
        <v>2.8141861224616704</v>
      </c>
      <c r="K32" s="494">
        <v>-3.1443001208439902</v>
      </c>
      <c r="L32" s="494">
        <v>-5.9293158183177148</v>
      </c>
      <c r="M32" s="494">
        <v>7.0693334247974526</v>
      </c>
      <c r="N32" s="494">
        <v>-0.43327032109189423</v>
      </c>
      <c r="R32" s="2" t="s">
        <v>10</v>
      </c>
      <c r="AK32" s="64"/>
    </row>
    <row r="33" spans="1:37" s="63" customFormat="1" ht="20.25" customHeight="1">
      <c r="A33" s="71" t="s">
        <v>51</v>
      </c>
      <c r="B33" s="494">
        <v>-9.232556868484787E-2</v>
      </c>
      <c r="C33" s="494">
        <v>-0.15785108255925717</v>
      </c>
      <c r="D33" s="494">
        <v>32.106852346180716</v>
      </c>
      <c r="E33" s="494">
        <v>1.1440002837973751</v>
      </c>
      <c r="F33" s="494">
        <v>0.27479870802897821</v>
      </c>
      <c r="G33" s="494">
        <v>-0.19203973920363104</v>
      </c>
      <c r="H33" s="494">
        <v>1.2142370306000849E-2</v>
      </c>
      <c r="I33" s="494">
        <v>2.5699835309844765E-2</v>
      </c>
      <c r="J33" s="494">
        <v>0.1192767456311028</v>
      </c>
      <c r="K33" s="494">
        <v>0</v>
      </c>
      <c r="L33" s="494">
        <v>5.5014714358092576E-3</v>
      </c>
      <c r="M33" s="494">
        <v>-1.2544029820379388</v>
      </c>
      <c r="N33" s="494">
        <v>28.491106166585102</v>
      </c>
      <c r="R33" s="2" t="s">
        <v>30</v>
      </c>
      <c r="AK33" s="64"/>
    </row>
    <row r="34" spans="1:37" s="63" customFormat="1" ht="20.25" customHeight="1">
      <c r="A34" s="31" t="s">
        <v>11</v>
      </c>
      <c r="B34" s="494">
        <v>-3.7728965647465529E-3</v>
      </c>
      <c r="C34" s="494">
        <v>-0.68618314569183214</v>
      </c>
      <c r="D34" s="494">
        <v>0.11133918313221969</v>
      </c>
      <c r="E34" s="494">
        <v>3.9112932574369985E-2</v>
      </c>
      <c r="F34" s="494">
        <v>7.0876549728393634E-2</v>
      </c>
      <c r="G34" s="494">
        <v>-0.113554342595934</v>
      </c>
      <c r="H34" s="494">
        <v>5.738574391500606E-2</v>
      </c>
      <c r="I34" s="494">
        <v>-0.16524922260134911</v>
      </c>
      <c r="J34" s="494">
        <v>1.4721076302204317E-2</v>
      </c>
      <c r="K34" s="494">
        <v>6.3428834501300102E-2</v>
      </c>
      <c r="L34" s="494">
        <v>2.3182532421772706E-2</v>
      </c>
      <c r="M34" s="494">
        <v>-9.9287287921545619E-2</v>
      </c>
      <c r="N34" s="494">
        <v>-0.37994693667634527</v>
      </c>
      <c r="R34" s="2" t="s">
        <v>31</v>
      </c>
      <c r="AK34" s="64"/>
    </row>
    <row r="35" spans="1:37" s="63" customFormat="1" ht="20.25" customHeight="1">
      <c r="A35" s="31" t="s">
        <v>67</v>
      </c>
      <c r="B35" s="494">
        <v>0.11748617047202536</v>
      </c>
      <c r="C35" s="494">
        <v>0.10338653411774423</v>
      </c>
      <c r="D35" s="494">
        <v>5.6557962033476628E-2</v>
      </c>
      <c r="E35" s="494">
        <v>0.2399941540912387</v>
      </c>
      <c r="F35" s="494">
        <v>0.12712702866406467</v>
      </c>
      <c r="G35" s="494">
        <v>-1.0031789469795105</v>
      </c>
      <c r="H35" s="494">
        <v>1.2422195497771016</v>
      </c>
      <c r="I35" s="494">
        <v>0.42581193447022159</v>
      </c>
      <c r="J35" s="494">
        <v>0.884821954649051</v>
      </c>
      <c r="K35" s="494">
        <v>0.43969864426600669</v>
      </c>
      <c r="L35" s="494">
        <v>0.44484941711351311</v>
      </c>
      <c r="M35" s="494">
        <v>0.71686339525873777</v>
      </c>
      <c r="N35" s="494">
        <v>2.7363151486924586</v>
      </c>
      <c r="R35" s="2" t="s">
        <v>32</v>
      </c>
      <c r="AK35" s="64"/>
    </row>
    <row r="36" spans="1:37" s="63" customFormat="1" ht="20.25" customHeight="1">
      <c r="A36" s="31" t="s">
        <v>68</v>
      </c>
      <c r="B36" s="494">
        <v>6.3856960408692487E-2</v>
      </c>
      <c r="C36" s="494">
        <v>0.13605442176871652</v>
      </c>
      <c r="D36" s="494">
        <v>7.4404761904767192E-2</v>
      </c>
      <c r="E36" s="494">
        <v>0.3214285714285614</v>
      </c>
      <c r="F36" s="494">
        <v>0.75770233664971265</v>
      </c>
      <c r="G36" s="494">
        <v>0.68602693602692888</v>
      </c>
      <c r="H36" s="494">
        <v>1.0600490196078338</v>
      </c>
      <c r="I36" s="494">
        <v>0.54782617922004562</v>
      </c>
      <c r="J36" s="494">
        <v>1.1368760064412342</v>
      </c>
      <c r="K36" s="494">
        <v>0.56354504371745051</v>
      </c>
      <c r="L36" s="494">
        <v>0.56944444444444464</v>
      </c>
      <c r="M36" s="494">
        <v>0.91666666666667673</v>
      </c>
      <c r="N36" s="494">
        <v>4.6174523819050739</v>
      </c>
      <c r="R36" s="72" t="s">
        <v>72</v>
      </c>
      <c r="AK36" s="64"/>
    </row>
    <row r="37" spans="1:37" s="63" customFormat="1" ht="25.5">
      <c r="A37" s="25" t="s">
        <v>50</v>
      </c>
      <c r="B37" s="494">
        <v>-0.28971624794013051</v>
      </c>
      <c r="C37" s="494">
        <v>1.0506792985230495</v>
      </c>
      <c r="D37" s="494">
        <v>-2.708560232463908E-2</v>
      </c>
      <c r="E37" s="494">
        <v>0</v>
      </c>
      <c r="F37" s="494">
        <v>-4.6044857653054212</v>
      </c>
      <c r="G37" s="494">
        <v>-0.12986896074926868</v>
      </c>
      <c r="H37" s="494">
        <v>3.1244886675516392</v>
      </c>
      <c r="I37" s="494">
        <v>0.1638553260527198</v>
      </c>
      <c r="J37" s="494">
        <v>-0.15356203673335678</v>
      </c>
      <c r="K37" s="494">
        <v>0.12494559624913748</v>
      </c>
      <c r="L37" s="494">
        <v>-4.775737832330984E-2</v>
      </c>
      <c r="M37" s="494">
        <v>8.0642600884806015E-3</v>
      </c>
      <c r="N37" s="494">
        <v>1.6921448773176362</v>
      </c>
      <c r="R37" s="2" t="s">
        <v>53</v>
      </c>
      <c r="AK37" s="64"/>
    </row>
    <row r="38" spans="1:37" s="63" customFormat="1" ht="20.25" customHeight="1">
      <c r="A38" s="33" t="s">
        <v>33</v>
      </c>
      <c r="B38" s="494">
        <v>9.3058481094088208E-2</v>
      </c>
      <c r="C38" s="494">
        <v>-0.1729459906256281</v>
      </c>
      <c r="D38" s="494">
        <v>3.8460443223242713E-2</v>
      </c>
      <c r="E38" s="494">
        <v>0</v>
      </c>
      <c r="F38" s="494">
        <v>0.10596981139994188</v>
      </c>
      <c r="G38" s="494">
        <v>0</v>
      </c>
      <c r="H38" s="494">
        <v>-1.9275428643106274E-3</v>
      </c>
      <c r="I38" s="494">
        <v>-1.0003082689624687E-2</v>
      </c>
      <c r="J38" s="494">
        <v>-3.9554049941270542E-2</v>
      </c>
      <c r="K38" s="494">
        <v>-1.3677176211213116E-2</v>
      </c>
      <c r="L38" s="494">
        <v>6.3334862324682106E-2</v>
      </c>
      <c r="M38" s="494">
        <v>-4.6753610167615811E-2</v>
      </c>
      <c r="N38" s="494">
        <v>0.2688484982598327</v>
      </c>
      <c r="R38" s="2" t="s">
        <v>34</v>
      </c>
      <c r="AK38" s="64"/>
    </row>
    <row r="39" spans="1:37" s="63" customFormat="1" ht="20.25" customHeight="1">
      <c r="A39" s="33" t="s">
        <v>35</v>
      </c>
      <c r="B39" s="494">
        <v>2.0826155636277655E-2</v>
      </c>
      <c r="C39" s="494">
        <v>-0.33002709817869791</v>
      </c>
      <c r="D39" s="494">
        <v>-1.2145972741461897E-3</v>
      </c>
      <c r="E39" s="494">
        <v>-0.25291713695470008</v>
      </c>
      <c r="F39" s="494">
        <v>-1.6499599524914532</v>
      </c>
      <c r="G39" s="494">
        <v>-0.28581140805475913</v>
      </c>
      <c r="H39" s="494">
        <v>-0.18722927762179209</v>
      </c>
      <c r="I39" s="494">
        <v>0</v>
      </c>
      <c r="J39" s="494">
        <v>-2.5592798405016381E-2</v>
      </c>
      <c r="K39" s="494">
        <v>4.5782559658968935E-2</v>
      </c>
      <c r="L39" s="494">
        <v>1.7529314268771579E-2</v>
      </c>
      <c r="M39" s="494">
        <v>0</v>
      </c>
      <c r="N39" s="494">
        <v>-1.8715349613295795</v>
      </c>
      <c r="R39" s="2" t="s">
        <v>36</v>
      </c>
      <c r="AK39" s="64"/>
    </row>
    <row r="40" spans="1:37" s="63" customFormat="1" ht="20.25" customHeight="1">
      <c r="A40" s="33" t="s">
        <v>37</v>
      </c>
      <c r="B40" s="494">
        <v>0</v>
      </c>
      <c r="C40" s="494">
        <v>0</v>
      </c>
      <c r="D40" s="494">
        <v>0</v>
      </c>
      <c r="E40" s="494">
        <v>0</v>
      </c>
      <c r="F40" s="494">
        <v>0</v>
      </c>
      <c r="G40" s="494">
        <v>0</v>
      </c>
      <c r="H40" s="494">
        <v>0</v>
      </c>
      <c r="I40" s="494">
        <v>0</v>
      </c>
      <c r="J40" s="494">
        <v>0</v>
      </c>
      <c r="K40" s="494">
        <v>0</v>
      </c>
      <c r="L40" s="494">
        <v>0</v>
      </c>
      <c r="M40" s="494">
        <v>0</v>
      </c>
      <c r="N40" s="494">
        <v>-5.474449797804315E-3</v>
      </c>
      <c r="R40" s="2" t="s">
        <v>38</v>
      </c>
      <c r="AK40" s="64"/>
    </row>
    <row r="41" spans="1:37" s="63" customFormat="1" ht="20.25" customHeight="1">
      <c r="A41" s="34" t="s">
        <v>39</v>
      </c>
      <c r="B41" s="494">
        <v>1.2145507641267539</v>
      </c>
      <c r="C41" s="494">
        <v>0</v>
      </c>
      <c r="D41" s="494">
        <v>0</v>
      </c>
      <c r="E41" s="494">
        <v>0</v>
      </c>
      <c r="F41" s="494">
        <v>-0.40855386259306403</v>
      </c>
      <c r="G41" s="494">
        <v>-0.28995966373315252</v>
      </c>
      <c r="H41" s="494">
        <v>0.61490520998475073</v>
      </c>
      <c r="I41" s="494">
        <v>2.7098085454047016E-2</v>
      </c>
      <c r="J41" s="494">
        <v>-3.1208579156805083E-2</v>
      </c>
      <c r="K41" s="494">
        <v>-0.99167798586543565</v>
      </c>
      <c r="L41" s="494">
        <v>-0.20488942465431981</v>
      </c>
      <c r="M41" s="494">
        <v>-3.1388402396803627E-3</v>
      </c>
      <c r="N41" s="494">
        <v>1.5863727167301001</v>
      </c>
      <c r="R41" s="35" t="s">
        <v>40</v>
      </c>
      <c r="AK41" s="64"/>
    </row>
    <row r="42" spans="1:37" s="63" customFormat="1" ht="20.25" customHeight="1">
      <c r="A42" s="31" t="s">
        <v>12</v>
      </c>
      <c r="B42" s="494">
        <v>1.8204752335479579</v>
      </c>
      <c r="C42" s="494">
        <v>0</v>
      </c>
      <c r="D42" s="494">
        <v>0</v>
      </c>
      <c r="E42" s="494">
        <v>0</v>
      </c>
      <c r="F42" s="494">
        <v>0</v>
      </c>
      <c r="G42" s="494">
        <v>0</v>
      </c>
      <c r="H42" s="494">
        <v>0</v>
      </c>
      <c r="I42" s="494">
        <v>0</v>
      </c>
      <c r="J42" s="494">
        <v>0</v>
      </c>
      <c r="K42" s="494">
        <v>0</v>
      </c>
      <c r="L42" s="494">
        <v>0</v>
      </c>
      <c r="M42" s="494">
        <v>0</v>
      </c>
      <c r="N42" s="494">
        <v>1.8204752335479579</v>
      </c>
      <c r="R42" s="35" t="s">
        <v>13</v>
      </c>
      <c r="AK42" s="64"/>
    </row>
    <row r="43" spans="1:37" s="63" customFormat="1" ht="20.25" customHeight="1">
      <c r="A43" s="71" t="s">
        <v>41</v>
      </c>
      <c r="B43" s="494">
        <v>-1.984153227896357E-3</v>
      </c>
      <c r="C43" s="494">
        <v>1.984192597315193E-3</v>
      </c>
      <c r="D43" s="494">
        <v>-5.9846357567283626E-3</v>
      </c>
      <c r="E43" s="494">
        <v>0</v>
      </c>
      <c r="F43" s="494">
        <v>0</v>
      </c>
      <c r="G43" s="494">
        <v>0</v>
      </c>
      <c r="H43" s="494">
        <v>0</v>
      </c>
      <c r="I43" s="494">
        <v>-7.3747125159950855E-4</v>
      </c>
      <c r="J43" s="494">
        <v>2.9026558461264784E-4</v>
      </c>
      <c r="K43" s="494">
        <v>0</v>
      </c>
      <c r="L43" s="494">
        <v>2.4219671786277708</v>
      </c>
      <c r="M43" s="494">
        <v>0.6146481692752781</v>
      </c>
      <c r="N43" s="494">
        <v>0.30735829888419719</v>
      </c>
      <c r="R43" s="35" t="s">
        <v>42</v>
      </c>
      <c r="AK43" s="64"/>
    </row>
    <row r="44" spans="1:37" s="63" customFormat="1" ht="20.25" customHeight="1">
      <c r="A44" s="34" t="s">
        <v>43</v>
      </c>
      <c r="B44" s="494">
        <v>0.28020554105228079</v>
      </c>
      <c r="C44" s="494">
        <v>-0.44613022644451883</v>
      </c>
      <c r="D44" s="494">
        <v>-0.42951179571856235</v>
      </c>
      <c r="E44" s="494">
        <v>0.11335402490697533</v>
      </c>
      <c r="F44" s="494">
        <v>-3.9990813756962673E-2</v>
      </c>
      <c r="G44" s="494">
        <v>0.22843942028778486</v>
      </c>
      <c r="H44" s="494">
        <v>-5.0370234994978613E-2</v>
      </c>
      <c r="I44" s="494">
        <v>-0.16171749149227477</v>
      </c>
      <c r="J44" s="494">
        <v>-0.38327717337303113</v>
      </c>
      <c r="K44" s="494">
        <v>-0.11595799789553274</v>
      </c>
      <c r="L44" s="494">
        <v>-0.17515959037516238</v>
      </c>
      <c r="M44" s="494">
        <v>0.15322841967204681</v>
      </c>
      <c r="N44" s="494">
        <v>-0.24244900258925117</v>
      </c>
      <c r="R44" s="35" t="s">
        <v>74</v>
      </c>
      <c r="AK44" s="64"/>
    </row>
    <row r="45" spans="1:37" s="60" customFormat="1" ht="20.25" customHeight="1">
      <c r="A45" s="81" t="s">
        <v>69</v>
      </c>
      <c r="B45" s="496">
        <v>0.35188437044950671</v>
      </c>
      <c r="C45" s="496">
        <v>0.17672790636551472</v>
      </c>
      <c r="D45" s="496">
        <v>0.21521043170693588</v>
      </c>
      <c r="E45" s="496">
        <v>3.9859078576021112E-2</v>
      </c>
      <c r="F45" s="496">
        <v>0.26077567612001751</v>
      </c>
      <c r="G45" s="496">
        <v>-0.57432052121555444</v>
      </c>
      <c r="H45" s="496">
        <v>0.4678665868336207</v>
      </c>
      <c r="I45" s="496">
        <v>-0.24914166258012127</v>
      </c>
      <c r="J45" s="496">
        <v>0.60591660832167715</v>
      </c>
      <c r="K45" s="496">
        <v>2.7822214281969515E-2</v>
      </c>
      <c r="L45" s="496">
        <v>6.3830523562802277E-2</v>
      </c>
      <c r="M45" s="496">
        <v>0.83243747424786019</v>
      </c>
      <c r="N45" s="496">
        <v>2.2719835137866129</v>
      </c>
      <c r="R45" s="40" t="s">
        <v>14</v>
      </c>
      <c r="AK45" s="73"/>
    </row>
    <row r="46" spans="1:37" s="60" customFormat="1" ht="20.25" customHeight="1">
      <c r="A46" s="563" t="s">
        <v>70</v>
      </c>
      <c r="B46" s="497">
        <v>0.45798440022390974</v>
      </c>
      <c r="C46" s="497">
        <v>5.6607537227360005E-2</v>
      </c>
      <c r="D46" s="497">
        <v>0.23602374547320171</v>
      </c>
      <c r="E46" s="497">
        <v>8.050265804133705E-2</v>
      </c>
      <c r="F46" s="497">
        <v>3.3921821379689909E-2</v>
      </c>
      <c r="G46" s="497">
        <v>-0.73925473928935226</v>
      </c>
      <c r="H46" s="497">
        <v>0.35853405460319898</v>
      </c>
      <c r="I46" s="497">
        <v>0.2325840738607754</v>
      </c>
      <c r="J46" s="497">
        <v>0.44160959444738968</v>
      </c>
      <c r="K46" s="497">
        <v>0.26942021273173022</v>
      </c>
      <c r="L46" s="497">
        <v>0.5047456177567522</v>
      </c>
      <c r="M46" s="497">
        <v>0.40296402823725153</v>
      </c>
      <c r="N46" s="498">
        <v>2.4803950369613581</v>
      </c>
      <c r="O46" s="254"/>
      <c r="P46" s="254"/>
      <c r="Q46" s="254"/>
      <c r="R46" s="44" t="s">
        <v>54</v>
      </c>
      <c r="AK46" s="73"/>
    </row>
    <row r="47" spans="1:37" s="63" customFormat="1" ht="15">
      <c r="A47" s="77"/>
      <c r="C47" s="64"/>
      <c r="D47" s="64"/>
      <c r="R47" s="78"/>
      <c r="AK47" s="64"/>
    </row>
    <row r="48" spans="1:37" s="63" customFormat="1" ht="15">
      <c r="A48" s="107"/>
      <c r="B48" s="57" t="s">
        <v>305</v>
      </c>
      <c r="C48" s="62"/>
      <c r="D48" s="62"/>
      <c r="E48" s="62"/>
      <c r="F48" s="62"/>
      <c r="G48" s="61"/>
      <c r="H48" s="233"/>
      <c r="I48" s="233"/>
      <c r="J48" s="233"/>
      <c r="K48" s="233"/>
      <c r="L48" s="22"/>
      <c r="M48" s="233"/>
      <c r="N48" s="22" t="s">
        <v>306</v>
      </c>
      <c r="O48" s="107"/>
      <c r="P48" s="107"/>
      <c r="Q48" s="107"/>
      <c r="R48" s="108" t="s">
        <v>19</v>
      </c>
      <c r="AE48" s="64"/>
    </row>
    <row r="49" spans="1:32" s="63" customFormat="1" ht="15.75" customHeight="1">
      <c r="A49" s="65" t="s">
        <v>7</v>
      </c>
      <c r="B49" s="66" t="s">
        <v>61</v>
      </c>
      <c r="C49" s="66" t="s">
        <v>60</v>
      </c>
      <c r="D49" s="66" t="s">
        <v>0</v>
      </c>
      <c r="E49" s="66" t="s">
        <v>15</v>
      </c>
      <c r="F49" s="66" t="s">
        <v>16</v>
      </c>
      <c r="G49" s="1" t="s">
        <v>1</v>
      </c>
      <c r="H49" s="1" t="s">
        <v>17</v>
      </c>
      <c r="I49" s="1" t="s">
        <v>59</v>
      </c>
      <c r="J49" s="1" t="s">
        <v>258</v>
      </c>
      <c r="K49" s="1" t="s">
        <v>259</v>
      </c>
      <c r="L49" s="1" t="s">
        <v>260</v>
      </c>
      <c r="M49" s="1" t="s">
        <v>261</v>
      </c>
      <c r="N49" s="640" t="s">
        <v>307</v>
      </c>
      <c r="O49" s="70"/>
      <c r="P49" s="70"/>
      <c r="Q49" s="70"/>
      <c r="R49" s="40" t="s">
        <v>106</v>
      </c>
      <c r="AE49" s="64"/>
    </row>
    <row r="50" spans="1:32" s="63" customFormat="1" ht="15">
      <c r="A50" s="80" t="s">
        <v>49</v>
      </c>
      <c r="B50" s="53" t="s">
        <v>20</v>
      </c>
      <c r="C50" s="52" t="s">
        <v>21</v>
      </c>
      <c r="D50" s="52" t="s">
        <v>2</v>
      </c>
      <c r="E50" s="52" t="s">
        <v>22</v>
      </c>
      <c r="F50" s="52" t="s">
        <v>23</v>
      </c>
      <c r="G50" s="52" t="s">
        <v>3</v>
      </c>
      <c r="H50" s="52" t="s">
        <v>24</v>
      </c>
      <c r="I50" s="52" t="s">
        <v>25</v>
      </c>
      <c r="J50" s="52" t="s">
        <v>4</v>
      </c>
      <c r="K50" s="52" t="s">
        <v>26</v>
      </c>
      <c r="L50" s="52" t="s">
        <v>27</v>
      </c>
      <c r="M50" s="52" t="s">
        <v>5</v>
      </c>
      <c r="N50" s="641"/>
      <c r="O50" s="68"/>
      <c r="P50" s="68"/>
      <c r="Q50" s="68"/>
      <c r="R50" s="69"/>
      <c r="AE50" s="64"/>
    </row>
    <row r="51" spans="1:32" s="63" customFormat="1" ht="18.75" customHeight="1">
      <c r="A51" s="25" t="s">
        <v>55</v>
      </c>
      <c r="B51" s="27">
        <v>0.84414939264136901</v>
      </c>
      <c r="C51" s="27">
        <v>0.97222686661539992</v>
      </c>
      <c r="D51" s="27">
        <v>7.4903026508854609E-2</v>
      </c>
      <c r="E51" s="27">
        <v>-5.8796195525923078E-2</v>
      </c>
      <c r="F51" s="27">
        <v>1.6974333464883307</v>
      </c>
      <c r="G51" s="27">
        <v>-2.4951678087825613</v>
      </c>
      <c r="H51" s="27">
        <v>5.9747760993311694E-2</v>
      </c>
      <c r="I51" s="27">
        <v>-1.2519192853493122</v>
      </c>
      <c r="J51" s="27">
        <v>1.2439753451350732</v>
      </c>
      <c r="K51" s="27">
        <v>-1.6986527262395579</v>
      </c>
      <c r="L51" s="27">
        <v>-0.88559797393359396</v>
      </c>
      <c r="M51" s="27">
        <v>3.1218137229876985</v>
      </c>
      <c r="N51" s="27">
        <v>6.9524895462569791</v>
      </c>
      <c r="R51" s="2" t="s">
        <v>57</v>
      </c>
      <c r="T51" s="4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s="63" customFormat="1" ht="18.75" customHeight="1">
      <c r="A52" s="25" t="s">
        <v>56</v>
      </c>
      <c r="B52" s="27">
        <v>0.11799376199137512</v>
      </c>
      <c r="C52" s="27">
        <v>-0.2817586906257552</v>
      </c>
      <c r="D52" s="27">
        <v>-0.48761576604203771</v>
      </c>
      <c r="E52" s="27">
        <v>-5.2171969867920165E-2</v>
      </c>
      <c r="F52" s="27">
        <v>-0.39629582437068489</v>
      </c>
      <c r="G52" s="27">
        <v>-0.55541044280569274</v>
      </c>
      <c r="H52" s="27">
        <v>-0.15884181803059727</v>
      </c>
      <c r="I52" s="27">
        <v>-0.15548678912739033</v>
      </c>
      <c r="J52" s="27">
        <v>0.29693025441297483</v>
      </c>
      <c r="K52" s="27">
        <v>0.29041355107903843</v>
      </c>
      <c r="L52" s="27">
        <v>1.1456206866217622</v>
      </c>
      <c r="M52" s="27">
        <v>1.1439006088467929</v>
      </c>
      <c r="N52" s="27">
        <v>7.5002250173912266</v>
      </c>
      <c r="R52" s="2" t="s">
        <v>58</v>
      </c>
      <c r="T52" s="4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s="63" customFormat="1" ht="18.75" customHeight="1">
      <c r="A53" s="31" t="s">
        <v>9</v>
      </c>
      <c r="B53" s="27">
        <v>2.7895895048953179</v>
      </c>
      <c r="C53" s="27">
        <v>4.2444559333065124</v>
      </c>
      <c r="D53" s="27">
        <v>1.4790411883269794</v>
      </c>
      <c r="E53" s="27">
        <v>-7.5010887464110887E-2</v>
      </c>
      <c r="F53" s="27">
        <v>6.8236072881238563</v>
      </c>
      <c r="G53" s="27">
        <v>-6.9233807294012406</v>
      </c>
      <c r="H53" s="27">
        <v>0.59289982874652924</v>
      </c>
      <c r="I53" s="27">
        <v>-3.9061937278560555</v>
      </c>
      <c r="J53" s="27">
        <v>3.6260940075981907</v>
      </c>
      <c r="K53" s="27">
        <v>-6.5410509461696247</v>
      </c>
      <c r="L53" s="27">
        <v>-6.1920770194930252</v>
      </c>
      <c r="M53" s="27">
        <v>8.6932164115909991</v>
      </c>
      <c r="N53" s="27">
        <v>5.6040892573935741</v>
      </c>
      <c r="R53" s="2" t="s">
        <v>10</v>
      </c>
      <c r="T53" s="4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s="63" customFormat="1" ht="18.75" customHeight="1">
      <c r="A54" s="71" t="s">
        <v>51</v>
      </c>
      <c r="B54" s="27">
        <v>0.14890442781523294</v>
      </c>
      <c r="C54" s="27">
        <v>0.68914452572130802</v>
      </c>
      <c r="D54" s="27">
        <v>28.424665451380449</v>
      </c>
      <c r="E54" s="27">
        <v>7.7803069332094132E-2</v>
      </c>
      <c r="F54" s="27">
        <v>0.59977623212139619</v>
      </c>
      <c r="G54" s="27">
        <v>0.70297874230242918</v>
      </c>
      <c r="H54" s="27">
        <v>-0.17725286280054764</v>
      </c>
      <c r="I54" s="27">
        <v>-0.54608429941224168</v>
      </c>
      <c r="J54" s="27">
        <v>5.4010336582477336E-2</v>
      </c>
      <c r="K54" s="27">
        <v>8.1890474220269738E-2</v>
      </c>
      <c r="L54" s="27">
        <v>4.5371457195764187E-2</v>
      </c>
      <c r="M54" s="27">
        <v>-4.1495167487026752E-2</v>
      </c>
      <c r="N54" s="27">
        <v>25.669988561664759</v>
      </c>
      <c r="R54" s="2" t="s">
        <v>30</v>
      </c>
      <c r="T54" s="4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s="63" customFormat="1" ht="18.75" customHeight="1">
      <c r="A55" s="31" t="s">
        <v>11</v>
      </c>
      <c r="B55" s="27">
        <v>-6.437004179981054E-2</v>
      </c>
      <c r="C55" s="27">
        <v>0.1839346218189819</v>
      </c>
      <c r="D55" s="27">
        <v>-6.9755838244422996E-3</v>
      </c>
      <c r="E55" s="27">
        <v>-1.7301251752921409E-3</v>
      </c>
      <c r="F55" s="27">
        <v>2.5124244889429548E-3</v>
      </c>
      <c r="G55" s="27">
        <v>-0.31856255628556207</v>
      </c>
      <c r="H55" s="27">
        <v>-0.41154794646051096</v>
      </c>
      <c r="I55" s="27">
        <v>0.27278642095203143</v>
      </c>
      <c r="J55" s="27">
        <v>-1.3301202552018498E-2</v>
      </c>
      <c r="K55" s="27">
        <v>-0.35459927267122993</v>
      </c>
      <c r="L55" s="27">
        <v>-0.28159305693873371</v>
      </c>
      <c r="M55" s="27">
        <v>0.21845775690723102</v>
      </c>
      <c r="N55" s="27">
        <v>-0.89560720365843283</v>
      </c>
      <c r="R55" s="2" t="s">
        <v>31</v>
      </c>
      <c r="T55" s="4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s="63" customFormat="1" ht="18.75" customHeight="1">
      <c r="A56" s="31" t="s">
        <v>67</v>
      </c>
      <c r="B56" s="27">
        <v>1.2809204212007375</v>
      </c>
      <c r="C56" s="27">
        <v>0.36627743423220949</v>
      </c>
      <c r="D56" s="27">
        <v>4.9070380884508324E-2</v>
      </c>
      <c r="E56" s="27">
        <v>-0.11983779219671975</v>
      </c>
      <c r="F56" s="27">
        <v>0.16224258608779074</v>
      </c>
      <c r="G56" s="27">
        <v>-2.9398888474046592</v>
      </c>
      <c r="H56" s="27">
        <v>-5.2945337031260138</v>
      </c>
      <c r="I56" s="27">
        <v>1.5241881796201895E-2</v>
      </c>
      <c r="J56" s="27">
        <v>7.2199866995448225E-2</v>
      </c>
      <c r="K56" s="27">
        <v>-2.0183186208833082E-2</v>
      </c>
      <c r="L56" s="27">
        <v>-0.10044634973135347</v>
      </c>
      <c r="M56" s="27">
        <v>-4.7974503671666113E-3</v>
      </c>
      <c r="N56" s="27">
        <v>-1.8619126091909299</v>
      </c>
      <c r="R56" s="2" t="s">
        <v>32</v>
      </c>
      <c r="T56" s="4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63" customFormat="1" ht="15">
      <c r="A57" s="31" t="s">
        <v>68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5.0493590305763059</v>
      </c>
      <c r="R57" s="72" t="s">
        <v>72</v>
      </c>
      <c r="T57" s="4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s="63" customFormat="1" ht="26.25" customHeight="1">
      <c r="A58" s="25" t="s">
        <v>50</v>
      </c>
      <c r="B58" s="27">
        <v>-0.12285757636519845</v>
      </c>
      <c r="C58" s="27">
        <v>0.95889025636579639</v>
      </c>
      <c r="D58" s="27">
        <v>1.4665757995802053E-3</v>
      </c>
      <c r="E58" s="27">
        <v>-0.17957412568109232</v>
      </c>
      <c r="F58" s="27">
        <v>-2.7888080800029358</v>
      </c>
      <c r="G58" s="27">
        <v>-0.39128940319300698</v>
      </c>
      <c r="H58" s="27">
        <v>1.0332958562976113</v>
      </c>
      <c r="I58" s="27">
        <v>-0.2087568852158439</v>
      </c>
      <c r="J58" s="27">
        <v>-0.17084328579805019</v>
      </c>
      <c r="K58" s="27">
        <v>8.9725534116635863E-2</v>
      </c>
      <c r="L58" s="27">
        <v>-0.45658613934452807</v>
      </c>
      <c r="M58" s="27">
        <v>1.7852836664933314E-2</v>
      </c>
      <c r="N58" s="27">
        <v>0.75772936151206061</v>
      </c>
      <c r="R58" s="2" t="s">
        <v>53</v>
      </c>
      <c r="T58" s="4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s="63" customFormat="1" ht="18.75" customHeight="1">
      <c r="A59" s="33" t="s">
        <v>33</v>
      </c>
      <c r="B59" s="27">
        <v>-0.58400502399251764</v>
      </c>
      <c r="C59" s="27">
        <v>-6.2239423538756888E-2</v>
      </c>
      <c r="D59" s="27">
        <v>-2.5595474291373321E-2</v>
      </c>
      <c r="E59" s="27">
        <v>1.0439587401767092E-2</v>
      </c>
      <c r="F59" s="27">
        <v>6.5801347554006462E-2</v>
      </c>
      <c r="G59" s="27">
        <v>-1.1260520525224749E-2</v>
      </c>
      <c r="H59" s="27">
        <v>1.6322781008204501E-2</v>
      </c>
      <c r="I59" s="27">
        <v>3.0007845641866204E-2</v>
      </c>
      <c r="J59" s="27">
        <v>0</v>
      </c>
      <c r="K59" s="27">
        <v>0.21579096884658533</v>
      </c>
      <c r="L59" s="27">
        <v>6.7522613566683987E-3</v>
      </c>
      <c r="M59" s="27">
        <v>3.175580646264109E-2</v>
      </c>
      <c r="N59" s="27">
        <v>-0.4338598219098988</v>
      </c>
      <c r="R59" s="2" t="s">
        <v>34</v>
      </c>
      <c r="T59" s="4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s="63" customFormat="1" ht="18.75" customHeight="1">
      <c r="A60" s="33" t="s">
        <v>35</v>
      </c>
      <c r="B60" s="27">
        <v>0.6833848229742312</v>
      </c>
      <c r="C60" s="27">
        <v>-2.5709654928096626E-3</v>
      </c>
      <c r="D60" s="27">
        <v>-4.537304182816726E-4</v>
      </c>
      <c r="E60" s="27">
        <v>-0.24521780946040739</v>
      </c>
      <c r="F60" s="27">
        <v>-0.67169194506435659</v>
      </c>
      <c r="G60" s="27">
        <v>-1.130234738828273</v>
      </c>
      <c r="H60" s="27">
        <v>-0.18883678320997799</v>
      </c>
      <c r="I60" s="27">
        <v>4.9582848221296771E-2</v>
      </c>
      <c r="J60" s="27">
        <v>0.44222036981884649</v>
      </c>
      <c r="K60" s="27">
        <v>0.71321747518187095</v>
      </c>
      <c r="L60" s="27">
        <v>-0.49185797027457845</v>
      </c>
      <c r="M60" s="27">
        <v>4.0506774044701821E-2</v>
      </c>
      <c r="N60" s="27">
        <v>2.4278690471704945</v>
      </c>
      <c r="R60" s="2" t="s">
        <v>36</v>
      </c>
      <c r="T60" s="4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s="63" customFormat="1" ht="18.75" customHeight="1">
      <c r="A61" s="33" t="s">
        <v>37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1.7878461229465348</v>
      </c>
      <c r="I61" s="27">
        <v>0</v>
      </c>
      <c r="J61" s="27">
        <v>0</v>
      </c>
      <c r="K61" s="27">
        <v>-0.17415903421932333</v>
      </c>
      <c r="L61" s="27">
        <v>0</v>
      </c>
      <c r="M61" s="27">
        <v>-1.1064221220006831</v>
      </c>
      <c r="N61" s="27">
        <v>-0.24492133732598731</v>
      </c>
      <c r="R61" s="2" t="s">
        <v>38</v>
      </c>
      <c r="T61" s="4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s="63" customFormat="1" ht="18.75" customHeight="1">
      <c r="A62" s="34" t="s">
        <v>39</v>
      </c>
      <c r="B62" s="27">
        <v>-0.11600609886459612</v>
      </c>
      <c r="C62" s="27">
        <v>-2.0251123884074129E-2</v>
      </c>
      <c r="D62" s="27">
        <v>2.1641996641386108E-2</v>
      </c>
      <c r="E62" s="27">
        <v>0</v>
      </c>
      <c r="F62" s="27">
        <v>-2.2415360648005644</v>
      </c>
      <c r="G62" s="27">
        <v>-0.31418951318989974</v>
      </c>
      <c r="H62" s="27">
        <v>0.32685426285288255</v>
      </c>
      <c r="I62" s="27">
        <v>2.6292941459926666E-2</v>
      </c>
      <c r="J62" s="27">
        <v>1.3783244549969709E-2</v>
      </c>
      <c r="K62" s="27">
        <v>-2.5152571626152476E-2</v>
      </c>
      <c r="L62" s="27">
        <v>-0.26833361384519527</v>
      </c>
      <c r="M62" s="27">
        <v>-7.9954505303359014E-2</v>
      </c>
      <c r="N62" s="27">
        <v>-1.024301629319524</v>
      </c>
      <c r="R62" s="35" t="s">
        <v>40</v>
      </c>
      <c r="T62" s="4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s="63" customFormat="1" ht="18.75" customHeight="1">
      <c r="A63" s="31" t="s">
        <v>12</v>
      </c>
      <c r="B63" s="27">
        <v>7.4483265463371584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2.4355803171394186E-3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7.6073451063671582</v>
      </c>
      <c r="R63" s="35" t="s">
        <v>13</v>
      </c>
      <c r="T63" s="4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s="60" customFormat="1" ht="18.75" customHeight="1">
      <c r="A64" s="71" t="s">
        <v>41</v>
      </c>
      <c r="B64" s="27">
        <v>0</v>
      </c>
      <c r="C64" s="27">
        <v>-0.1106726316135509</v>
      </c>
      <c r="D64" s="27">
        <v>-1.456093359990529E-2</v>
      </c>
      <c r="E64" s="27">
        <v>0</v>
      </c>
      <c r="F64" s="27">
        <v>0</v>
      </c>
      <c r="G64" s="27">
        <v>0</v>
      </c>
      <c r="H64" s="27">
        <v>0</v>
      </c>
      <c r="I64" s="27">
        <v>3.9113238701005137E-2</v>
      </c>
      <c r="J64" s="27">
        <v>0</v>
      </c>
      <c r="K64" s="27">
        <v>-0.1748107066345983</v>
      </c>
      <c r="L64" s="27">
        <v>0</v>
      </c>
      <c r="M64" s="27">
        <v>0</v>
      </c>
      <c r="N64" s="27">
        <v>5.1420944454313</v>
      </c>
      <c r="R64" s="35" t="s">
        <v>42</v>
      </c>
      <c r="T64" s="4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s="60" customFormat="1" ht="18.75" customHeight="1">
      <c r="A65" s="34" t="s">
        <v>43</v>
      </c>
      <c r="B65" s="27">
        <v>-5.2868437550912528E-2</v>
      </c>
      <c r="C65" s="27">
        <v>0.16488288468208268</v>
      </c>
      <c r="D65" s="27">
        <v>-6.7273443113957665E-2</v>
      </c>
      <c r="E65" s="27">
        <v>0.12217193430701379</v>
      </c>
      <c r="F65" s="27">
        <v>-8.6805924843436078E-2</v>
      </c>
      <c r="G65" s="27">
        <v>2.6819078931317186E-2</v>
      </c>
      <c r="H65" s="27">
        <v>8.4416756205629717E-2</v>
      </c>
      <c r="I65" s="27">
        <v>-0.10737704597527653</v>
      </c>
      <c r="J65" s="27">
        <v>-5.6249482525072558E-2</v>
      </c>
      <c r="K65" s="27">
        <v>0.24268095873722917</v>
      </c>
      <c r="L65" s="27">
        <v>0.10474457339080256</v>
      </c>
      <c r="M65" s="27">
        <v>-3.4850243238160328E-2</v>
      </c>
      <c r="N65" s="27">
        <v>-8.9447829091315878E-2</v>
      </c>
      <c r="R65" s="35" t="s">
        <v>74</v>
      </c>
      <c r="T65" s="4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s="60" customFormat="1" ht="20.25" customHeight="1">
      <c r="A66" s="81" t="s">
        <v>69</v>
      </c>
      <c r="B66" s="38">
        <v>0.59972311413485357</v>
      </c>
      <c r="C66" s="38">
        <v>0.50406362875212718</v>
      </c>
      <c r="D66" s="38">
        <v>1.0292689730255544</v>
      </c>
      <c r="E66" s="38">
        <v>-5.2895416328946343E-2</v>
      </c>
      <c r="F66" s="38">
        <v>0.21328791136914216</v>
      </c>
      <c r="G66" s="38">
        <v>-1.3560120968450495</v>
      </c>
      <c r="H66" s="38">
        <v>-0.54025449583258167</v>
      </c>
      <c r="I66" s="38">
        <v>-0.4599589687340977</v>
      </c>
      <c r="J66" s="38">
        <v>0.43903124744031352</v>
      </c>
      <c r="K66" s="38">
        <v>-0.52871310038543617</v>
      </c>
      <c r="L66" s="38">
        <v>-0.3967300770808313</v>
      </c>
      <c r="M66" s="38">
        <v>1.0091187793447753</v>
      </c>
      <c r="N66" s="38">
        <v>3.294795356832747</v>
      </c>
      <c r="R66" s="40" t="s">
        <v>14</v>
      </c>
      <c r="T66" s="255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</row>
    <row r="67" spans="1:32" s="60" customFormat="1" ht="20.25" customHeight="1">
      <c r="A67" s="563" t="s">
        <v>70</v>
      </c>
      <c r="B67" s="74">
        <v>0.3763800277167384</v>
      </c>
      <c r="C67" s="74">
        <v>0.11341198823271448</v>
      </c>
      <c r="D67" s="74">
        <v>0.98035580130066968</v>
      </c>
      <c r="E67" s="74">
        <v>-5.0478459706482237E-2</v>
      </c>
      <c r="F67" s="74">
        <v>-0.50896365662514986</v>
      </c>
      <c r="G67" s="74">
        <v>-0.70288257671452525</v>
      </c>
      <c r="H67" s="74">
        <v>-0.66486147139699359</v>
      </c>
      <c r="I67" s="74">
        <v>-7.6196429491870443E-2</v>
      </c>
      <c r="J67" s="74">
        <v>9.7732436292208291E-2</v>
      </c>
      <c r="K67" s="74">
        <v>0.13783642802602802</v>
      </c>
      <c r="L67" s="74">
        <v>0.20291072809297539</v>
      </c>
      <c r="M67" s="74">
        <v>0.26479174082552071</v>
      </c>
      <c r="N67" s="74">
        <v>3.0518337543641971</v>
      </c>
      <c r="O67" s="254"/>
      <c r="P67" s="254"/>
      <c r="Q67" s="254"/>
      <c r="R67" s="44" t="s">
        <v>54</v>
      </c>
      <c r="T67" s="255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</row>
    <row r="68" spans="1:32" s="63" customFormat="1" ht="17.25" customHeight="1">
      <c r="A68" s="381" t="s">
        <v>108</v>
      </c>
      <c r="B68" s="3"/>
      <c r="C68" s="111"/>
      <c r="D68" s="111"/>
      <c r="E68" s="111"/>
      <c r="F68" s="70"/>
      <c r="N68" s="112"/>
      <c r="Q68" s="112"/>
      <c r="R68" s="380" t="s">
        <v>109</v>
      </c>
    </row>
    <row r="69" spans="1:32" s="63" customFormat="1" ht="17.25" customHeight="1">
      <c r="A69" s="381"/>
      <c r="B69" s="3"/>
      <c r="C69" s="111"/>
      <c r="D69" s="111"/>
      <c r="E69" s="111"/>
      <c r="F69" s="70"/>
      <c r="N69" s="112"/>
      <c r="Q69" s="112"/>
      <c r="R69" s="380"/>
    </row>
    <row r="70" spans="1:32" s="63" customFormat="1" ht="17.25" customHeight="1">
      <c r="A70" s="381"/>
      <c r="B70" s="3"/>
      <c r="C70" s="111"/>
      <c r="D70" s="111"/>
      <c r="E70" s="111"/>
      <c r="F70" s="70"/>
      <c r="N70" s="112"/>
      <c r="Q70" s="112"/>
      <c r="R70" s="380"/>
    </row>
  </sheetData>
  <mergeCells count="8">
    <mergeCell ref="H25:N25"/>
    <mergeCell ref="N28:N29"/>
    <mergeCell ref="N49:N50"/>
    <mergeCell ref="A1:R1"/>
    <mergeCell ref="A2:R2"/>
    <mergeCell ref="A3:R3"/>
    <mergeCell ref="A4:R4"/>
    <mergeCell ref="N6:N7"/>
  </mergeCells>
  <pageMargins left="0.17" right="0.17" top="0.21" bottom="0.17" header="0.13" footer="0.1"/>
  <pageSetup paperSize="9" scale="67" orientation="landscape" horizontalDpi="4294967295" verticalDpi="4294967295" r:id="rId1"/>
  <rowBreaks count="1" manualBreakCount="1">
    <brk id="46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69"/>
  <sheetViews>
    <sheetView view="pageBreakPreview" topLeftCell="A54" zoomScaleNormal="100" zoomScaleSheetLayoutView="100" workbookViewId="0">
      <selection activeCell="A74" sqref="A74:XFD190"/>
    </sheetView>
  </sheetViews>
  <sheetFormatPr defaultColWidth="9.140625" defaultRowHeight="14.25" customHeight="1"/>
  <cols>
    <col min="1" max="1" width="36.5703125" style="84" customWidth="1"/>
    <col min="2" max="9" width="9.140625" style="83"/>
    <col min="10" max="13" width="11" style="83" customWidth="1"/>
    <col min="14" max="16384" width="9.140625" style="83"/>
  </cols>
  <sheetData>
    <row r="1" spans="1:42" s="98" customFormat="1" ht="14.25" customHeight="1">
      <c r="A1" s="643" t="s">
        <v>310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</row>
    <row r="2" spans="1:42" s="100" customFormat="1" ht="14.25" customHeight="1">
      <c r="A2" s="644" t="s">
        <v>311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</row>
    <row r="3" spans="1:42" s="98" customFormat="1" ht="14.25" customHeight="1">
      <c r="A3" s="645" t="s">
        <v>66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1"/>
    </row>
    <row r="4" spans="1:42" s="103" customFormat="1" ht="14.25" customHeight="1">
      <c r="A4" s="646" t="s">
        <v>65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2"/>
    </row>
    <row r="5" spans="1:42" s="63" customFormat="1" ht="14.25" customHeight="1">
      <c r="A5" s="57"/>
      <c r="B5" s="57" t="s">
        <v>312</v>
      </c>
      <c r="C5" s="58"/>
      <c r="D5" s="58"/>
      <c r="E5" s="59"/>
      <c r="F5" s="60"/>
      <c r="G5" s="61"/>
      <c r="H5" s="62"/>
      <c r="I5" s="62"/>
      <c r="J5" s="62"/>
      <c r="K5" s="62"/>
      <c r="L5" s="62"/>
      <c r="M5" s="61"/>
      <c r="Q5" s="40" t="s">
        <v>19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spans="1:42" s="63" customFormat="1" ht="14.25" customHeight="1">
      <c r="A6" s="65" t="s">
        <v>7</v>
      </c>
      <c r="B6" s="66" t="s">
        <v>61</v>
      </c>
      <c r="C6" s="66" t="s">
        <v>60</v>
      </c>
      <c r="D6" s="66" t="s">
        <v>0</v>
      </c>
      <c r="E6" s="66" t="s">
        <v>15</v>
      </c>
      <c r="F6" s="66" t="s">
        <v>16</v>
      </c>
      <c r="G6" s="1" t="s">
        <v>1</v>
      </c>
      <c r="H6" s="1" t="s">
        <v>17</v>
      </c>
      <c r="I6" s="1" t="s">
        <v>59</v>
      </c>
      <c r="J6" s="1" t="s">
        <v>258</v>
      </c>
      <c r="K6" s="1" t="s">
        <v>259</v>
      </c>
      <c r="L6" s="1" t="s">
        <v>260</v>
      </c>
      <c r="M6" s="1" t="s">
        <v>261</v>
      </c>
      <c r="Q6" s="40" t="s">
        <v>46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 spans="1:42" s="63" customFormat="1" ht="14.25" customHeight="1">
      <c r="A7" s="67" t="s">
        <v>76</v>
      </c>
      <c r="B7" s="53" t="s">
        <v>20</v>
      </c>
      <c r="C7" s="52" t="s">
        <v>21</v>
      </c>
      <c r="D7" s="52" t="s">
        <v>2</v>
      </c>
      <c r="E7" s="52" t="s">
        <v>22</v>
      </c>
      <c r="F7" s="52" t="s">
        <v>23</v>
      </c>
      <c r="G7" s="52" t="s">
        <v>3</v>
      </c>
      <c r="H7" s="52" t="s">
        <v>24</v>
      </c>
      <c r="I7" s="52" t="s">
        <v>25</v>
      </c>
      <c r="J7" s="52" t="s">
        <v>4</v>
      </c>
      <c r="K7" s="52" t="s">
        <v>26</v>
      </c>
      <c r="L7" s="52" t="s">
        <v>27</v>
      </c>
      <c r="M7" s="52" t="s">
        <v>5</v>
      </c>
      <c r="N7" s="68"/>
      <c r="O7" s="68"/>
      <c r="P7" s="68"/>
      <c r="Q7" s="69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 spans="1:42" s="63" customFormat="1" ht="14.25" customHeight="1">
      <c r="A8" s="25" t="s">
        <v>55</v>
      </c>
      <c r="B8" s="393">
        <v>6.975600924000136</v>
      </c>
      <c r="C8" s="393">
        <v>6.1499418504679104</v>
      </c>
      <c r="D8" s="393">
        <v>8.1156147839943849</v>
      </c>
      <c r="E8" s="393">
        <v>8.2833636179087335</v>
      </c>
      <c r="F8" s="393">
        <v>10.090050732885336</v>
      </c>
      <c r="G8" s="393">
        <v>7.5000084804107692</v>
      </c>
      <c r="H8" s="393">
        <v>7.3817417914005201</v>
      </c>
      <c r="I8" s="393">
        <v>6.5970267043744535</v>
      </c>
      <c r="J8" s="393">
        <v>6.3418749122240881</v>
      </c>
      <c r="K8" s="393">
        <v>-0.49056723221675425</v>
      </c>
      <c r="L8" s="393">
        <v>-0.53621150719256327</v>
      </c>
      <c r="M8" s="393">
        <v>1.7893373923882239</v>
      </c>
      <c r="N8" s="12"/>
      <c r="O8" s="70"/>
      <c r="P8" s="70"/>
      <c r="Q8" s="2" t="s">
        <v>57</v>
      </c>
      <c r="R8" s="56"/>
      <c r="S8" s="4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56"/>
      <c r="AG8" s="56"/>
      <c r="AH8" s="56"/>
      <c r="AI8" s="56"/>
      <c r="AJ8" s="56"/>
      <c r="AK8" s="56"/>
      <c r="AL8" s="56"/>
      <c r="AM8" s="56"/>
      <c r="AN8" s="56"/>
      <c r="AO8" s="56"/>
    </row>
    <row r="9" spans="1:42" s="63" customFormat="1" ht="14.25" customHeight="1">
      <c r="A9" s="25" t="s">
        <v>56</v>
      </c>
      <c r="B9" s="251">
        <v>9.4395295977063309</v>
      </c>
      <c r="C9" s="251">
        <v>9.7056931990707298</v>
      </c>
      <c r="D9" s="251">
        <v>9.7418180317931693</v>
      </c>
      <c r="E9" s="251">
        <v>9.8880565046449043</v>
      </c>
      <c r="F9" s="251">
        <v>10.593775607097466</v>
      </c>
      <c r="G9" s="251">
        <v>8.432719269110267</v>
      </c>
      <c r="H9" s="251">
        <v>7.6566197643054279</v>
      </c>
      <c r="I9" s="251">
        <v>7.0786932571307304</v>
      </c>
      <c r="J9" s="251">
        <v>6.9797523367805869</v>
      </c>
      <c r="K9" s="251">
        <v>-1.0041392989811215</v>
      </c>
      <c r="L9" s="251">
        <v>0.8452617073935853</v>
      </c>
      <c r="M9" s="251">
        <v>1.6541091204479663</v>
      </c>
      <c r="Q9" s="2" t="s">
        <v>58</v>
      </c>
      <c r="S9" s="4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J9" s="64"/>
    </row>
    <row r="10" spans="1:42" s="63" customFormat="1" ht="14.25" customHeight="1">
      <c r="A10" s="31" t="s">
        <v>9</v>
      </c>
      <c r="B10" s="251">
        <v>1.1640422293695218</v>
      </c>
      <c r="C10" s="251">
        <v>-1.7081097478948037</v>
      </c>
      <c r="D10" s="251">
        <v>4.3644299072864268</v>
      </c>
      <c r="E10" s="251">
        <v>4.5736824635375317</v>
      </c>
      <c r="F10" s="251">
        <v>8.9407928080927679</v>
      </c>
      <c r="G10" s="251">
        <v>5.3412288484601556</v>
      </c>
      <c r="H10" s="251">
        <v>6.7443463748653398</v>
      </c>
      <c r="I10" s="251">
        <v>5.4307485993608129</v>
      </c>
      <c r="J10" s="251">
        <v>4.8463847311767783</v>
      </c>
      <c r="K10" s="251">
        <v>0.83630050310168347</v>
      </c>
      <c r="L10" s="251">
        <v>-4.1263778426635422</v>
      </c>
      <c r="M10" s="251">
        <v>2.136394804231645</v>
      </c>
      <c r="Q10" s="2" t="s">
        <v>10</v>
      </c>
      <c r="S10" s="4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J10" s="64"/>
    </row>
    <row r="11" spans="1:42" s="63" customFormat="1" ht="14.25" customHeight="1">
      <c r="A11" s="71" t="s">
        <v>51</v>
      </c>
      <c r="B11" s="251">
        <v>0.6450359123915117</v>
      </c>
      <c r="C11" s="251">
        <v>1.1156521900367755</v>
      </c>
      <c r="D11" s="251">
        <v>30.744999344857082</v>
      </c>
      <c r="E11" s="251">
        <v>31.193363444314937</v>
      </c>
      <c r="F11" s="251">
        <v>31.433703417013746</v>
      </c>
      <c r="G11" s="251">
        <v>32.382424523499644</v>
      </c>
      <c r="H11" s="251">
        <v>32.248242759538861</v>
      </c>
      <c r="I11" s="251">
        <v>31.540661660058579</v>
      </c>
      <c r="J11" s="251">
        <v>31.366164977557798</v>
      </c>
      <c r="K11" s="251">
        <v>31.360829701091486</v>
      </c>
      <c r="L11" s="251">
        <v>31.474094198099166</v>
      </c>
      <c r="M11" s="251">
        <v>30.884227567443112</v>
      </c>
      <c r="Q11" s="2" t="s">
        <v>30</v>
      </c>
      <c r="S11" s="4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J11" s="64"/>
    </row>
    <row r="12" spans="1:42" s="63" customFormat="1" ht="14.25" customHeight="1">
      <c r="A12" s="31" t="s">
        <v>11</v>
      </c>
      <c r="B12" s="251">
        <v>-0.43489359250432624</v>
      </c>
      <c r="C12" s="251">
        <v>-0.56383469280827381</v>
      </c>
      <c r="D12" s="251">
        <v>-0.43841111459633764</v>
      </c>
      <c r="E12" s="251">
        <v>-0.3269311105775885</v>
      </c>
      <c r="F12" s="251">
        <v>-0.546815737185391</v>
      </c>
      <c r="G12" s="251">
        <v>-1.0567337342793692</v>
      </c>
      <c r="H12" s="251">
        <v>-1.4392218520975164</v>
      </c>
      <c r="I12" s="251">
        <v>-0.64835173591908379</v>
      </c>
      <c r="J12" s="251">
        <v>-0.49520416732161676</v>
      </c>
      <c r="K12" s="251">
        <v>-0.79032473434764716</v>
      </c>
      <c r="L12" s="251">
        <v>-0.88873497638980448</v>
      </c>
      <c r="M12" s="251">
        <v>-0.74174828127648862</v>
      </c>
      <c r="Q12" s="2" t="s">
        <v>31</v>
      </c>
      <c r="S12" s="4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J12" s="64"/>
    </row>
    <row r="13" spans="1:42" s="63" customFormat="1" ht="14.25" customHeight="1">
      <c r="A13" s="31" t="s">
        <v>67</v>
      </c>
      <c r="B13" s="251">
        <v>1.4985061975051339</v>
      </c>
      <c r="C13" s="251">
        <v>2.7121005932198683</v>
      </c>
      <c r="D13" s="251">
        <v>2.7529289848589045</v>
      </c>
      <c r="E13" s="251">
        <v>2.8547432006357676</v>
      </c>
      <c r="F13" s="251">
        <v>2.7309867292751644</v>
      </c>
      <c r="G13" s="251">
        <v>0.99631016358419089</v>
      </c>
      <c r="H13" s="251">
        <v>-0.12247621575242063</v>
      </c>
      <c r="I13" s="251">
        <v>-6.8041358017134623E-2</v>
      </c>
      <c r="J13" s="251">
        <v>0.49287160179727341</v>
      </c>
      <c r="K13" s="251">
        <v>0.4833874857222531</v>
      </c>
      <c r="L13" s="251">
        <v>0.38986276449350932</v>
      </c>
      <c r="M13" s="251">
        <v>0.55075179853028011</v>
      </c>
      <c r="Q13" s="2" t="s">
        <v>32</v>
      </c>
      <c r="S13" s="4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J13" s="64"/>
    </row>
    <row r="14" spans="1:42" s="63" customFormat="1" ht="14.25" customHeight="1">
      <c r="A14" s="31" t="s">
        <v>68</v>
      </c>
      <c r="B14" s="251">
        <v>4.2249742147878688</v>
      </c>
      <c r="C14" s="251">
        <v>3.8752368531081549</v>
      </c>
      <c r="D14" s="251">
        <v>3.5514662113367734</v>
      </c>
      <c r="E14" s="251">
        <v>3.4341027960582027</v>
      </c>
      <c r="F14" s="251">
        <v>3.5797891742955557</v>
      </c>
      <c r="G14" s="251">
        <v>3.9577312379075025</v>
      </c>
      <c r="H14" s="251">
        <v>4.5174812584828139</v>
      </c>
      <c r="I14" s="251">
        <v>4.4995520418653179</v>
      </c>
      <c r="J14" s="251">
        <v>5.4787790144604553</v>
      </c>
      <c r="K14" s="251">
        <v>5.8368457540790786</v>
      </c>
      <c r="L14" s="251">
        <v>5.8392647240020246</v>
      </c>
      <c r="M14" s="251">
        <v>6.7135426313886803</v>
      </c>
      <c r="Q14" s="72" t="s">
        <v>72</v>
      </c>
      <c r="S14" s="4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J14" s="64"/>
    </row>
    <row r="15" spans="1:42" s="63" customFormat="1" ht="14.25" customHeight="1">
      <c r="A15" s="25" t="s">
        <v>50</v>
      </c>
      <c r="B15" s="251">
        <v>3.1403123261337429</v>
      </c>
      <c r="C15" s="251">
        <v>3.9490873325473963</v>
      </c>
      <c r="D15" s="251">
        <v>3.6636386383533504</v>
      </c>
      <c r="E15" s="251">
        <v>4.728327722284198</v>
      </c>
      <c r="F15" s="251">
        <v>1.9003632332898812</v>
      </c>
      <c r="G15" s="251">
        <v>0.26007882373650926</v>
      </c>
      <c r="H15" s="251">
        <v>0.59082571802768769</v>
      </c>
      <c r="I15" s="251">
        <v>0.27923746007207928</v>
      </c>
      <c r="J15" s="251">
        <v>-0.3447176578365907</v>
      </c>
      <c r="K15" s="251">
        <v>-1.1986741267402845</v>
      </c>
      <c r="L15" s="251">
        <v>-1.5043363984136082</v>
      </c>
      <c r="M15" s="251">
        <v>-1.7392428943854066</v>
      </c>
      <c r="Q15" s="2" t="s">
        <v>53</v>
      </c>
      <c r="S15" s="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J15" s="64"/>
    </row>
    <row r="16" spans="1:42" s="63" customFormat="1" ht="14.25" customHeight="1">
      <c r="A16" s="33" t="s">
        <v>33</v>
      </c>
      <c r="B16" s="251">
        <v>0.33210120272177956</v>
      </c>
      <c r="C16" s="251">
        <v>0.16818859301204192</v>
      </c>
      <c r="D16" s="251">
        <v>-0.21194720559206681</v>
      </c>
      <c r="E16" s="251">
        <v>-0.36030662925871093</v>
      </c>
      <c r="F16" s="251">
        <v>-0.32819691976311294</v>
      </c>
      <c r="G16" s="251">
        <v>-0.35552540741229377</v>
      </c>
      <c r="H16" s="251">
        <v>-0.37730512808613614</v>
      </c>
      <c r="I16" s="251">
        <v>-0.58233424871616535</v>
      </c>
      <c r="J16" s="251">
        <v>-0.36502744467591386</v>
      </c>
      <c r="K16" s="251">
        <v>-0.23453965983184499</v>
      </c>
      <c r="L16" s="251">
        <v>-0.21865388732630331</v>
      </c>
      <c r="M16" s="251">
        <v>-0.2136108574868123</v>
      </c>
      <c r="Q16" s="2" t="s">
        <v>34</v>
      </c>
      <c r="S16" s="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J16" s="64"/>
    </row>
    <row r="17" spans="1:36" s="63" customFormat="1" ht="14.25" customHeight="1">
      <c r="A17" s="33" t="s">
        <v>35</v>
      </c>
      <c r="B17" s="251">
        <v>1.0576058991697668</v>
      </c>
      <c r="C17" s="251">
        <v>1.2165023295524158</v>
      </c>
      <c r="D17" s="251">
        <v>1.3739285103423704</v>
      </c>
      <c r="E17" s="251">
        <v>1.1581911123234256</v>
      </c>
      <c r="F17" s="251">
        <v>0.96129437831746767</v>
      </c>
      <c r="G17" s="251">
        <v>0.86227974832231435</v>
      </c>
      <c r="H17" s="251">
        <v>0.72438255151989761</v>
      </c>
      <c r="I17" s="251">
        <v>0.75226804254919788</v>
      </c>
      <c r="J17" s="251">
        <v>0.98971221249122276</v>
      </c>
      <c r="K17" s="251">
        <v>7.2151354107696797E-2</v>
      </c>
      <c r="L17" s="251">
        <v>-1.6427120855142197</v>
      </c>
      <c r="M17" s="251">
        <v>-1.6209969283402681</v>
      </c>
      <c r="Q17" s="2" t="s">
        <v>36</v>
      </c>
      <c r="S17" s="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J17" s="64"/>
    </row>
    <row r="18" spans="1:36" s="63" customFormat="1" ht="14.25" customHeight="1">
      <c r="A18" s="33" t="s">
        <v>37</v>
      </c>
      <c r="B18" s="251">
        <v>-1.1420674181394252</v>
      </c>
      <c r="C18" s="251">
        <v>-1.1228411555534334</v>
      </c>
      <c r="D18" s="251">
        <v>-1.1218872094487131</v>
      </c>
      <c r="E18" s="251">
        <v>-1.1218872094487131</v>
      </c>
      <c r="F18" s="251">
        <v>-0.77571407001766346</v>
      </c>
      <c r="G18" s="251">
        <v>-0.43698281122424021</v>
      </c>
      <c r="H18" s="251">
        <v>0.51831726922451082</v>
      </c>
      <c r="I18" s="251">
        <v>0.51831726922451082</v>
      </c>
      <c r="J18" s="251">
        <v>1.1281672956546585</v>
      </c>
      <c r="K18" s="251">
        <v>0.86435499959580664</v>
      </c>
      <c r="L18" s="251">
        <v>0.86435499959580664</v>
      </c>
      <c r="M18" s="251">
        <v>0.26100213250070947</v>
      </c>
      <c r="Q18" s="2" t="s">
        <v>38</v>
      </c>
      <c r="S18" s="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J18" s="64"/>
    </row>
    <row r="19" spans="1:36" s="63" customFormat="1" ht="14.25" customHeight="1">
      <c r="A19" s="34" t="s">
        <v>39</v>
      </c>
      <c r="B19" s="251">
        <v>1.581142472538799</v>
      </c>
      <c r="C19" s="251">
        <v>1.6404391850532996</v>
      </c>
      <c r="D19" s="251">
        <v>1.0863606864287778</v>
      </c>
      <c r="E19" s="251">
        <v>2.940748107157809</v>
      </c>
      <c r="F19" s="251">
        <v>1.0900056037722372</v>
      </c>
      <c r="G19" s="251">
        <v>0.68431749272725995</v>
      </c>
      <c r="H19" s="251">
        <v>-2.0200650670803788</v>
      </c>
      <c r="I19" s="251">
        <v>-2.0259011662997817</v>
      </c>
      <c r="J19" s="251">
        <v>-1.1309752424104147</v>
      </c>
      <c r="K19" s="251">
        <v>-1.4931033754684631</v>
      </c>
      <c r="L19" s="251">
        <v>-1.7246338910633319</v>
      </c>
      <c r="M19" s="251">
        <v>-1.765890967999062</v>
      </c>
      <c r="Q19" s="35" t="s">
        <v>40</v>
      </c>
      <c r="S19" s="4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J19" s="64"/>
    </row>
    <row r="20" spans="1:36" s="63" customFormat="1" ht="14.25" customHeight="1">
      <c r="A20" s="31" t="s">
        <v>12</v>
      </c>
      <c r="B20" s="251">
        <v>4.5611894329723013</v>
      </c>
      <c r="C20" s="251">
        <v>4.5611894329723013</v>
      </c>
      <c r="D20" s="251">
        <v>4.1324112997352502</v>
      </c>
      <c r="E20" s="251">
        <v>4.1630674841883097</v>
      </c>
      <c r="F20" s="251">
        <v>4.1630674841883097</v>
      </c>
      <c r="G20" s="251">
        <v>4.1630674841883097</v>
      </c>
      <c r="H20" s="251">
        <v>4.1641568059984202</v>
      </c>
      <c r="I20" s="251">
        <v>4.1641568059984202</v>
      </c>
      <c r="J20" s="251">
        <v>4.1641568059984202</v>
      </c>
      <c r="K20" s="251">
        <v>4.1641568059984202</v>
      </c>
      <c r="L20" s="251">
        <v>4.1641568059984202</v>
      </c>
      <c r="M20" s="251">
        <v>4.1641568059984202</v>
      </c>
      <c r="Q20" s="35" t="s">
        <v>13</v>
      </c>
      <c r="S20" s="4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J20" s="64"/>
    </row>
    <row r="21" spans="1:36" s="63" customFormat="1" ht="14.25" customHeight="1">
      <c r="A21" s="71" t="s">
        <v>41</v>
      </c>
      <c r="B21" s="251">
        <v>2.9519337220514696</v>
      </c>
      <c r="C21" s="251">
        <v>2.87490618505295</v>
      </c>
      <c r="D21" s="251">
        <v>2.8423719465631159</v>
      </c>
      <c r="E21" s="251">
        <v>1.3284805378992681</v>
      </c>
      <c r="F21" s="251">
        <v>1.3284805378992681</v>
      </c>
      <c r="G21" s="251">
        <v>1.2441881438309821</v>
      </c>
      <c r="H21" s="251">
        <v>2.8354196898844108</v>
      </c>
      <c r="I21" s="251">
        <v>2.8496340006840981</v>
      </c>
      <c r="J21" s="251">
        <v>2.7926919837025554</v>
      </c>
      <c r="K21" s="251">
        <v>-8.2776894540081969E-2</v>
      </c>
      <c r="L21" s="251">
        <v>1.505553060865239</v>
      </c>
      <c r="M21" s="251">
        <v>1.8361618876767904</v>
      </c>
      <c r="Q21" s="35" t="s">
        <v>42</v>
      </c>
      <c r="S21" s="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J21" s="64"/>
    </row>
    <row r="22" spans="1:36" s="63" customFormat="1" ht="14.25" customHeight="1">
      <c r="A22" s="34" t="s">
        <v>43</v>
      </c>
      <c r="B22" s="251">
        <v>8.4151578965641072E-2</v>
      </c>
      <c r="C22" s="251">
        <v>7.6180858548302588E-2</v>
      </c>
      <c r="D22" s="251">
        <v>-4.747312663757608E-2</v>
      </c>
      <c r="E22" s="251">
        <v>-0.11777383308595457</v>
      </c>
      <c r="F22" s="251">
        <v>-0.16786039673614139</v>
      </c>
      <c r="G22" s="251">
        <v>-3.8962802978370625E-2</v>
      </c>
      <c r="H22" s="251">
        <v>-0.11603288921734345</v>
      </c>
      <c r="I22" s="251">
        <v>-0.62795374061720421</v>
      </c>
      <c r="J22" s="251">
        <v>-0.42392445984240634</v>
      </c>
      <c r="K22" s="251">
        <v>-0.30558672242606555</v>
      </c>
      <c r="L22" s="251">
        <v>7.9994106666148035E-2</v>
      </c>
      <c r="M22" s="251">
        <v>-0.23427722153351871</v>
      </c>
      <c r="Q22" s="35" t="s">
        <v>74</v>
      </c>
      <c r="S22" s="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J22" s="64"/>
    </row>
    <row r="23" spans="1:36" s="60" customFormat="1" ht="14.25" customHeight="1">
      <c r="A23" s="36" t="s">
        <v>69</v>
      </c>
      <c r="B23" s="252">
        <v>2.9126607993475773</v>
      </c>
      <c r="C23" s="252">
        <v>3.0529529786107013</v>
      </c>
      <c r="D23" s="252">
        <v>4.281272277346404</v>
      </c>
      <c r="E23" s="252">
        <v>4.4611947411684172</v>
      </c>
      <c r="F23" s="252">
        <v>4.6405997959927614</v>
      </c>
      <c r="G23" s="252">
        <v>3.3732487782671905</v>
      </c>
      <c r="H23" s="252">
        <v>3.0255414905506539</v>
      </c>
      <c r="I23" s="252">
        <v>2.7490473515496161</v>
      </c>
      <c r="J23" s="252">
        <v>2.889261247112529</v>
      </c>
      <c r="K23" s="252">
        <v>0.69276243503217927</v>
      </c>
      <c r="L23" s="252">
        <v>0.61664475971381361</v>
      </c>
      <c r="M23" s="252">
        <v>1.267680419739059</v>
      </c>
      <c r="Q23" s="40" t="s">
        <v>14</v>
      </c>
      <c r="S23" s="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J23" s="73"/>
    </row>
    <row r="24" spans="1:36" s="63" customFormat="1" ht="14.25" customHeight="1">
      <c r="A24" s="563" t="s">
        <v>70</v>
      </c>
      <c r="B24" s="253">
        <v>3.07287050615348</v>
      </c>
      <c r="C24" s="253">
        <v>3.518363627374832</v>
      </c>
      <c r="D24" s="253">
        <v>4.2735402280631218</v>
      </c>
      <c r="E24" s="253">
        <v>4.4507645940236484</v>
      </c>
      <c r="F24" s="253">
        <v>4.2365650598819693</v>
      </c>
      <c r="G24" s="253">
        <v>3.1898291359413244</v>
      </c>
      <c r="H24" s="253">
        <v>2.6808594491084081</v>
      </c>
      <c r="I24" s="253">
        <v>2.5101401894641828</v>
      </c>
      <c r="J24" s="253">
        <v>2.7082441182458838</v>
      </c>
      <c r="K24" s="253">
        <v>0.67996601764079845</v>
      </c>
      <c r="L24" s="253">
        <v>1.0343158393277374</v>
      </c>
      <c r="M24" s="253">
        <v>1.1902223158771541</v>
      </c>
      <c r="N24" s="68"/>
      <c r="O24" s="68"/>
      <c r="P24" s="68"/>
      <c r="Q24" s="44" t="s">
        <v>54</v>
      </c>
      <c r="S24" s="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J24" s="64"/>
    </row>
    <row r="25" spans="1:36" s="63" customFormat="1" ht="14.25" customHeight="1">
      <c r="A25" s="113"/>
      <c r="B25" s="75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70"/>
      <c r="O25" s="70"/>
      <c r="P25" s="70"/>
      <c r="Q25" s="76"/>
      <c r="AJ25" s="64"/>
    </row>
    <row r="26" spans="1:36" s="63" customFormat="1" ht="14.25" customHeight="1">
      <c r="A26" s="77"/>
      <c r="C26" s="64"/>
      <c r="D26" s="64"/>
      <c r="Q26" s="78"/>
      <c r="AJ26" s="64"/>
    </row>
    <row r="27" spans="1:36" s="63" customFormat="1" ht="14.25" customHeight="1">
      <c r="A27" s="107"/>
      <c r="B27" s="57" t="s">
        <v>312</v>
      </c>
      <c r="C27" s="79"/>
      <c r="D27" s="79"/>
      <c r="E27" s="59"/>
      <c r="F27" s="59"/>
      <c r="G27" s="61"/>
      <c r="H27" s="62"/>
      <c r="I27" s="62"/>
      <c r="J27" s="62"/>
      <c r="K27" s="62"/>
      <c r="L27" s="62"/>
      <c r="M27" s="61"/>
      <c r="N27" s="107"/>
      <c r="O27" s="107"/>
      <c r="P27" s="107"/>
      <c r="Q27" s="108" t="s">
        <v>19</v>
      </c>
      <c r="AJ27" s="64"/>
    </row>
    <row r="28" spans="1:36" s="63" customFormat="1" ht="14.25" customHeight="1">
      <c r="A28" s="65" t="s">
        <v>7</v>
      </c>
      <c r="B28" s="66" t="s">
        <v>61</v>
      </c>
      <c r="C28" s="66" t="s">
        <v>60</v>
      </c>
      <c r="D28" s="66" t="s">
        <v>0</v>
      </c>
      <c r="E28" s="66" t="s">
        <v>15</v>
      </c>
      <c r="F28" s="66" t="s">
        <v>16</v>
      </c>
      <c r="G28" s="1" t="s">
        <v>1</v>
      </c>
      <c r="H28" s="1" t="s">
        <v>17</v>
      </c>
      <c r="I28" s="1" t="s">
        <v>59</v>
      </c>
      <c r="J28" s="1" t="s">
        <v>258</v>
      </c>
      <c r="K28" s="1" t="s">
        <v>259</v>
      </c>
      <c r="L28" s="1" t="s">
        <v>260</v>
      </c>
      <c r="M28" s="1" t="s">
        <v>261</v>
      </c>
      <c r="N28" s="70"/>
      <c r="O28" s="70"/>
      <c r="P28" s="70"/>
      <c r="Q28" s="40" t="s">
        <v>48</v>
      </c>
      <c r="AJ28" s="64"/>
    </row>
    <row r="29" spans="1:36" s="63" customFormat="1" ht="14.25" customHeight="1">
      <c r="A29" s="80" t="s">
        <v>47</v>
      </c>
      <c r="B29" s="53" t="s">
        <v>20</v>
      </c>
      <c r="C29" s="52" t="s">
        <v>21</v>
      </c>
      <c r="D29" s="52" t="s">
        <v>2</v>
      </c>
      <c r="E29" s="52" t="s">
        <v>22</v>
      </c>
      <c r="F29" s="52" t="s">
        <v>23</v>
      </c>
      <c r="G29" s="52" t="s">
        <v>3</v>
      </c>
      <c r="H29" s="52" t="s">
        <v>24</v>
      </c>
      <c r="I29" s="52" t="s">
        <v>25</v>
      </c>
      <c r="J29" s="52" t="s">
        <v>4</v>
      </c>
      <c r="K29" s="52" t="s">
        <v>26</v>
      </c>
      <c r="L29" s="52" t="s">
        <v>27</v>
      </c>
      <c r="M29" s="52" t="s">
        <v>5</v>
      </c>
      <c r="N29" s="68"/>
      <c r="O29" s="68"/>
      <c r="P29" s="68"/>
      <c r="Q29" s="69"/>
      <c r="AJ29" s="64"/>
    </row>
    <row r="30" spans="1:36" s="63" customFormat="1" ht="14.25" customHeight="1">
      <c r="A30" s="25" t="s">
        <v>55</v>
      </c>
      <c r="B30" s="393">
        <v>2.6396057381914417</v>
      </c>
      <c r="C30" s="393">
        <v>2.9923974173594381</v>
      </c>
      <c r="D30" s="393">
        <v>3.7882648297830057</v>
      </c>
      <c r="E30" s="393">
        <v>3.5317469994558426</v>
      </c>
      <c r="F30" s="393">
        <v>6.2816718219057988</v>
      </c>
      <c r="G30" s="393">
        <v>5.6669005453265919</v>
      </c>
      <c r="H30" s="393">
        <v>4.8287479648444709</v>
      </c>
      <c r="I30" s="393">
        <v>4.8351830210883628</v>
      </c>
      <c r="J30" s="393">
        <v>3.8002922743805456</v>
      </c>
      <c r="K30" s="393">
        <v>0.55148071091506434</v>
      </c>
      <c r="L30" s="393">
        <v>8.0470648316488536E-2</v>
      </c>
      <c r="M30" s="393">
        <v>2.2737755525781722</v>
      </c>
      <c r="N30" s="70"/>
      <c r="O30" s="70"/>
      <c r="P30" s="70"/>
      <c r="Q30" s="2" t="s">
        <v>57</v>
      </c>
      <c r="AJ30" s="64"/>
    </row>
    <row r="31" spans="1:36" s="63" customFormat="1" ht="14.25" customHeight="1">
      <c r="A31" s="25" t="s">
        <v>56</v>
      </c>
      <c r="B31" s="251">
        <v>6.3129606366768565</v>
      </c>
      <c r="C31" s="251">
        <v>6.905920720241121</v>
      </c>
      <c r="D31" s="251">
        <v>6.7485700105262669</v>
      </c>
      <c r="E31" s="251">
        <v>6.9089271402069441</v>
      </c>
      <c r="F31" s="251">
        <v>9.2443084690061461</v>
      </c>
      <c r="G31" s="251">
        <v>6.1661200717480824</v>
      </c>
      <c r="H31" s="251">
        <v>4.743725892918671</v>
      </c>
      <c r="I31" s="251">
        <v>4.5918274496317579</v>
      </c>
      <c r="J31" s="251">
        <v>5.2545611822969684</v>
      </c>
      <c r="K31" s="251">
        <v>0.22660472989761704</v>
      </c>
      <c r="L31" s="251">
        <v>1.9718174189566451</v>
      </c>
      <c r="M31" s="251">
        <v>2.9659487198548051</v>
      </c>
      <c r="Q31" s="2" t="s">
        <v>58</v>
      </c>
      <c r="AJ31" s="64"/>
    </row>
    <row r="32" spans="1:36" s="63" customFormat="1" ht="14.25" customHeight="1">
      <c r="A32" s="31" t="s">
        <v>9</v>
      </c>
      <c r="B32" s="251">
        <v>-5.3982349735952955</v>
      </c>
      <c r="C32" s="251">
        <v>-5.3831315238636046</v>
      </c>
      <c r="D32" s="251">
        <v>-2.6595503910964879</v>
      </c>
      <c r="E32" s="251">
        <v>-3.7568316128120727</v>
      </c>
      <c r="F32" s="251">
        <v>-0.14597865646002184</v>
      </c>
      <c r="G32" s="251">
        <v>4.5397967238289816</v>
      </c>
      <c r="H32" s="251">
        <v>5.0171547100622993</v>
      </c>
      <c r="I32" s="251">
        <v>5.4162892372110472</v>
      </c>
      <c r="J32" s="251">
        <v>0.57122420724606826</v>
      </c>
      <c r="K32" s="251">
        <v>1.345788787470692</v>
      </c>
      <c r="L32" s="251">
        <v>-4.5307859509626569</v>
      </c>
      <c r="M32" s="251">
        <v>0.61739405875818054</v>
      </c>
      <c r="Q32" s="2" t="s">
        <v>10</v>
      </c>
      <c r="AJ32" s="64"/>
    </row>
    <row r="33" spans="1:36" s="63" customFormat="1" ht="14.25" customHeight="1">
      <c r="A33" s="71" t="s">
        <v>51</v>
      </c>
      <c r="B33" s="251">
        <v>0.81285966883528626</v>
      </c>
      <c r="C33" s="251">
        <v>0.55231735472396348</v>
      </c>
      <c r="D33" s="251">
        <v>32.735622205950897</v>
      </c>
      <c r="E33" s="251">
        <v>34.394078643117389</v>
      </c>
      <c r="F33" s="251">
        <v>34.616778848682969</v>
      </c>
      <c r="G33" s="251">
        <v>34.471629164784389</v>
      </c>
      <c r="H33" s="251">
        <v>34.487957207954082</v>
      </c>
      <c r="I33" s="251">
        <v>34.486844884210363</v>
      </c>
      <c r="J33" s="251">
        <v>34.858516786496672</v>
      </c>
      <c r="K33" s="251">
        <v>34.178525263546163</v>
      </c>
      <c r="L33" s="251">
        <v>34.269956513929124</v>
      </c>
      <c r="M33" s="251">
        <v>31.934654588744337</v>
      </c>
      <c r="Q33" s="2" t="s">
        <v>30</v>
      </c>
      <c r="AJ33" s="64"/>
    </row>
    <row r="34" spans="1:36" s="63" customFormat="1" ht="14.25" customHeight="1">
      <c r="A34" s="31" t="s">
        <v>11</v>
      </c>
      <c r="B34" s="251">
        <v>4.7305143498843627E-2</v>
      </c>
      <c r="C34" s="251">
        <v>-0.52393080575624529</v>
      </c>
      <c r="D34" s="251">
        <v>-0.48836297920216154</v>
      </c>
      <c r="E34" s="251">
        <v>-0.3415295138885166</v>
      </c>
      <c r="F34" s="251">
        <v>2.2778516869137455E-2</v>
      </c>
      <c r="G34" s="251">
        <v>-0.17731756249874664</v>
      </c>
      <c r="H34" s="251">
        <v>-0.35285355669094631</v>
      </c>
      <c r="I34" s="251">
        <v>-0.51200320401233457</v>
      </c>
      <c r="J34" s="251">
        <v>-0.33482819682222331</v>
      </c>
      <c r="K34" s="251">
        <v>-0.61527564718764083</v>
      </c>
      <c r="L34" s="251">
        <v>-0.59223575124225381</v>
      </c>
      <c r="M34" s="251">
        <v>-0.68837053379047219</v>
      </c>
      <c r="Q34" s="2" t="s">
        <v>31</v>
      </c>
      <c r="AJ34" s="64"/>
    </row>
    <row r="35" spans="1:36" s="63" customFormat="1" ht="14.25" customHeight="1">
      <c r="A35" s="31" t="s">
        <v>67</v>
      </c>
      <c r="B35" s="251">
        <v>2.6663755802117883</v>
      </c>
      <c r="C35" s="251">
        <v>2.8949039164433588</v>
      </c>
      <c r="D35" s="251">
        <v>2.8481757660319129</v>
      </c>
      <c r="E35" s="251">
        <v>2.7105132873830984</v>
      </c>
      <c r="F35" s="251">
        <v>2.3699626936076079</v>
      </c>
      <c r="G35" s="251">
        <v>1.2453011465920483</v>
      </c>
      <c r="H35" s="251">
        <v>2.1211766830450118</v>
      </c>
      <c r="I35" s="251">
        <v>2.4357204182442693</v>
      </c>
      <c r="J35" s="251">
        <v>3.2199077411838362</v>
      </c>
      <c r="K35" s="251">
        <v>3.2404168973665382</v>
      </c>
      <c r="L35" s="251">
        <v>3.2102084932174479</v>
      </c>
      <c r="M35" s="251">
        <v>3.8451954912052999</v>
      </c>
      <c r="Q35" s="2" t="s">
        <v>32</v>
      </c>
      <c r="AJ35" s="64"/>
    </row>
    <row r="36" spans="1:36" s="63" customFormat="1" ht="14.25" customHeight="1">
      <c r="A36" s="31" t="s">
        <v>68</v>
      </c>
      <c r="B36" s="251">
        <v>4.0016222696745096</v>
      </c>
      <c r="C36" s="251">
        <v>3.6366230217601547</v>
      </c>
      <c r="D36" s="251">
        <v>3.298733364824491</v>
      </c>
      <c r="E36" s="251">
        <v>3.177036324483673</v>
      </c>
      <c r="F36" s="251">
        <v>3.3309874157506414</v>
      </c>
      <c r="G36" s="251">
        <v>3.7270382470196983</v>
      </c>
      <c r="H36" s="251">
        <v>4.3135035531449484</v>
      </c>
      <c r="I36" s="251">
        <v>4.7233501258518329</v>
      </c>
      <c r="J36" s="251">
        <v>5.7508622125954867</v>
      </c>
      <c r="K36" s="251">
        <v>6.1261094351874101</v>
      </c>
      <c r="L36" s="251">
        <v>6.1270121846310754</v>
      </c>
      <c r="M36" s="251">
        <v>7.0442009065524891</v>
      </c>
      <c r="Q36" s="72" t="s">
        <v>72</v>
      </c>
      <c r="AJ36" s="64"/>
    </row>
    <row r="37" spans="1:36" s="63" customFormat="1" ht="14.25" customHeight="1">
      <c r="A37" s="25" t="s">
        <v>50</v>
      </c>
      <c r="B37" s="251">
        <v>3.5070376022562133</v>
      </c>
      <c r="C37" s="251">
        <v>4.6156923502769676</v>
      </c>
      <c r="D37" s="251">
        <v>4.0523006809154438</v>
      </c>
      <c r="E37" s="251">
        <v>5.4333777417554296</v>
      </c>
      <c r="F37" s="251">
        <v>1.9549821925914923</v>
      </c>
      <c r="G37" s="251">
        <v>0.29971609613332895</v>
      </c>
      <c r="H37" s="251">
        <v>1.0746675383917159</v>
      </c>
      <c r="I37" s="251">
        <v>1.3361577025741367</v>
      </c>
      <c r="J37" s="251">
        <v>0.64291531223128473</v>
      </c>
      <c r="K37" s="251">
        <v>-0.68097414261042433</v>
      </c>
      <c r="L37" s="251">
        <v>-0.66890822981908737</v>
      </c>
      <c r="M37" s="251">
        <v>-0.93952891206386946</v>
      </c>
      <c r="Q37" s="2" t="s">
        <v>53</v>
      </c>
      <c r="AJ37" s="64"/>
    </row>
    <row r="38" spans="1:36" s="63" customFormat="1" ht="14.25" customHeight="1">
      <c r="A38" s="33" t="s">
        <v>33</v>
      </c>
      <c r="B38" s="251">
        <v>0.94304100404276614</v>
      </c>
      <c r="C38" s="251">
        <v>0.53034281476980194</v>
      </c>
      <c r="D38" s="251">
        <v>0.30595386768399457</v>
      </c>
      <c r="E38" s="251">
        <v>0.28754336472456288</v>
      </c>
      <c r="F38" s="251">
        <v>0.39381788528580763</v>
      </c>
      <c r="G38" s="251">
        <v>0.38429308701080078</v>
      </c>
      <c r="H38" s="251">
        <v>0.26890686536722441</v>
      </c>
      <c r="I38" s="251">
        <v>7.860233851328946E-2</v>
      </c>
      <c r="J38" s="251">
        <v>3.3462781683923914E-2</v>
      </c>
      <c r="K38" s="251">
        <v>-7.0117810906389355E-2</v>
      </c>
      <c r="L38" s="251">
        <v>6.3037215837247196E-2</v>
      </c>
      <c r="M38" s="251">
        <v>1.5666613358455983E-2</v>
      </c>
      <c r="Q38" s="2" t="s">
        <v>34</v>
      </c>
      <c r="AJ38" s="64"/>
    </row>
    <row r="39" spans="1:36" s="63" customFormat="1" ht="14.25" customHeight="1">
      <c r="A39" s="33" t="s">
        <v>35</v>
      </c>
      <c r="B39" s="251">
        <v>-0.22896541459505038</v>
      </c>
      <c r="C39" s="251">
        <v>-0.48220074322535833</v>
      </c>
      <c r="D39" s="251">
        <v>-0.43033660608596813</v>
      </c>
      <c r="E39" s="251">
        <v>-0.60771788910263247</v>
      </c>
      <c r="F39" s="251">
        <v>-2.2476527533336066</v>
      </c>
      <c r="G39" s="251">
        <v>-2.5270401134058873</v>
      </c>
      <c r="H39" s="251">
        <v>-2.6653843649603992</v>
      </c>
      <c r="I39" s="251">
        <v>-2.6653843649603992</v>
      </c>
      <c r="J39" s="251">
        <v>-2.690295016918165</v>
      </c>
      <c r="K39" s="251">
        <v>-2.6643007420849574</v>
      </c>
      <c r="L39" s="251">
        <v>-2.6286786097171611</v>
      </c>
      <c r="M39" s="251">
        <v>-2.6286786097171611</v>
      </c>
      <c r="Q39" s="2" t="s">
        <v>36</v>
      </c>
      <c r="AJ39" s="64"/>
    </row>
    <row r="40" spans="1:36" s="63" customFormat="1" ht="14.25" customHeight="1">
      <c r="A40" s="33" t="s">
        <v>37</v>
      </c>
      <c r="B40" s="251">
        <v>-6.5653861509074041E-2</v>
      </c>
      <c r="C40" s="251">
        <v>0</v>
      </c>
      <c r="D40" s="251">
        <v>0</v>
      </c>
      <c r="E40" s="251">
        <v>0</v>
      </c>
      <c r="F40" s="251">
        <v>0</v>
      </c>
      <c r="G40" s="251">
        <v>0</v>
      </c>
      <c r="H40" s="251">
        <v>0</v>
      </c>
      <c r="I40" s="251">
        <v>0</v>
      </c>
      <c r="J40" s="251">
        <v>0</v>
      </c>
      <c r="K40" s="251">
        <v>0</v>
      </c>
      <c r="L40" s="251">
        <v>0</v>
      </c>
      <c r="M40" s="251">
        <v>0</v>
      </c>
      <c r="Q40" s="2" t="s">
        <v>38</v>
      </c>
      <c r="AJ40" s="64"/>
    </row>
    <row r="41" spans="1:36" s="63" customFormat="1" ht="14.25" customHeight="1">
      <c r="A41" s="34" t="s">
        <v>39</v>
      </c>
      <c r="B41" s="251">
        <v>3.0573589388119604</v>
      </c>
      <c r="C41" s="251">
        <v>3.0995876667259559</v>
      </c>
      <c r="D41" s="251">
        <v>3.0974436272650729</v>
      </c>
      <c r="E41" s="251">
        <v>3.3285077991494161</v>
      </c>
      <c r="F41" s="251">
        <v>2.7014024413241744</v>
      </c>
      <c r="G41" s="251">
        <v>2.3557180545635603</v>
      </c>
      <c r="H41" s="251">
        <v>0.19411546537206892</v>
      </c>
      <c r="I41" s="251">
        <v>0.31647552215610109</v>
      </c>
      <c r="J41" s="251">
        <v>1.1151625676526944</v>
      </c>
      <c r="K41" s="251">
        <v>0.11980989111508578</v>
      </c>
      <c r="L41" s="251">
        <v>-8.532501133582393E-2</v>
      </c>
      <c r="M41" s="251">
        <v>-8.846117335971071E-2</v>
      </c>
      <c r="Q41" s="35" t="s">
        <v>40</v>
      </c>
      <c r="AJ41" s="64"/>
    </row>
    <row r="42" spans="1:36" s="63" customFormat="1" ht="14.25" customHeight="1">
      <c r="A42" s="31" t="s">
        <v>12</v>
      </c>
      <c r="B42" s="251">
        <v>1.8204752335479579</v>
      </c>
      <c r="C42" s="251">
        <v>1.8204752335479579</v>
      </c>
      <c r="D42" s="251">
        <v>1.8204752335479579</v>
      </c>
      <c r="E42" s="251">
        <v>1.8204752335479579</v>
      </c>
      <c r="F42" s="251">
        <v>1.8204752335479599</v>
      </c>
      <c r="G42" s="251">
        <v>1.8204752335479579</v>
      </c>
      <c r="H42" s="251">
        <v>1.8204752335479579</v>
      </c>
      <c r="I42" s="251">
        <v>1.8204752335479579</v>
      </c>
      <c r="J42" s="251">
        <v>1.8204752335479579</v>
      </c>
      <c r="K42" s="251">
        <v>1.8204752335479579</v>
      </c>
      <c r="L42" s="251">
        <v>1.8204752335479579</v>
      </c>
      <c r="M42" s="251">
        <v>1.8204752335479579</v>
      </c>
      <c r="Q42" s="35" t="s">
        <v>13</v>
      </c>
      <c r="AJ42" s="64"/>
    </row>
    <row r="43" spans="1:36" s="63" customFormat="1" ht="14.25" customHeight="1">
      <c r="A43" s="71" t="s">
        <v>41</v>
      </c>
      <c r="B43" s="251">
        <v>0.64055041511530408</v>
      </c>
      <c r="C43" s="251">
        <v>0.58730764213379416</v>
      </c>
      <c r="D43" s="251">
        <v>0.5812878581539227</v>
      </c>
      <c r="E43" s="251">
        <v>-1.6855371678324405</v>
      </c>
      <c r="F43" s="251">
        <v>-1.6855371678324405</v>
      </c>
      <c r="G43" s="251">
        <v>-1.8105193764924699</v>
      </c>
      <c r="H43" s="251">
        <v>0.53578721264191387</v>
      </c>
      <c r="I43" s="251">
        <v>0.526680623915321</v>
      </c>
      <c r="J43" s="251">
        <v>0.52697241827253105</v>
      </c>
      <c r="K43" s="251">
        <v>1.9871591029518854E-2</v>
      </c>
      <c r="L43" s="251">
        <v>2.5247873087280714</v>
      </c>
      <c r="M43" s="251">
        <v>3.0448738410128851</v>
      </c>
      <c r="Q43" s="35" t="s">
        <v>42</v>
      </c>
      <c r="AJ43" s="64"/>
    </row>
    <row r="44" spans="1:36" s="63" customFormat="1" ht="14.25" customHeight="1">
      <c r="A44" s="34" t="s">
        <v>43</v>
      </c>
      <c r="B44" s="251">
        <v>0.53158205834411554</v>
      </c>
      <c r="C44" s="251">
        <v>0.21844729975595278</v>
      </c>
      <c r="D44" s="251">
        <v>-6.5476539872166839E-2</v>
      </c>
      <c r="E44" s="251">
        <v>-0.34253393216312489</v>
      </c>
      <c r="F44" s="251">
        <v>-0.37965811786195847</v>
      </c>
      <c r="G44" s="251">
        <v>-0.15917845094370886</v>
      </c>
      <c r="H44" s="251">
        <v>0.16428377917272474</v>
      </c>
      <c r="I44" s="251">
        <v>-0.17867826372295337</v>
      </c>
      <c r="J44" s="251">
        <v>-0.56736020917603769</v>
      </c>
      <c r="K44" s="251">
        <v>-0.63034539163381309</v>
      </c>
      <c r="L44" s="251">
        <v>-0.47243885960520648</v>
      </c>
      <c r="M44" s="251">
        <v>-1.0254597296051604</v>
      </c>
      <c r="Q44" s="35" t="s">
        <v>74</v>
      </c>
      <c r="AJ44" s="64"/>
    </row>
    <row r="45" spans="1:36" s="63" customFormat="1" ht="14.25" customHeight="1">
      <c r="A45" s="81" t="s">
        <v>69</v>
      </c>
      <c r="B45" s="252">
        <v>2.0340500931323779</v>
      </c>
      <c r="C45" s="252">
        <v>2.2008258414724535</v>
      </c>
      <c r="D45" s="252">
        <v>2.7572449509840835</v>
      </c>
      <c r="E45" s="252">
        <v>2.6332458833117744</v>
      </c>
      <c r="F45" s="252">
        <v>2.8429538013361677</v>
      </c>
      <c r="G45" s="252">
        <v>2.1745825454904333</v>
      </c>
      <c r="H45" s="252">
        <v>2.3718082727913092</v>
      </c>
      <c r="I45" s="252">
        <v>2.4608836595772177</v>
      </c>
      <c r="J45" s="252">
        <v>2.4709687454310014</v>
      </c>
      <c r="K45" s="252">
        <v>1.5467360580873946</v>
      </c>
      <c r="L45" s="252">
        <v>1.5601817636088811</v>
      </c>
      <c r="M45" s="252">
        <v>2.2337433617388047</v>
      </c>
      <c r="Q45" s="40" t="s">
        <v>14</v>
      </c>
      <c r="AJ45" s="64"/>
    </row>
    <row r="46" spans="1:36" s="63" customFormat="1" ht="14.25" customHeight="1">
      <c r="A46" s="563" t="s">
        <v>70</v>
      </c>
      <c r="B46" s="253">
        <v>2.6271884773837906</v>
      </c>
      <c r="C46" s="253">
        <v>2.8177170907843552</v>
      </c>
      <c r="D46" s="253">
        <v>3.1857790929367358</v>
      </c>
      <c r="E46" s="253">
        <v>3.1413332270345151</v>
      </c>
      <c r="F46" s="253">
        <v>3.0793943619756625</v>
      </c>
      <c r="G46" s="253">
        <v>1.9936221094389861</v>
      </c>
      <c r="H46" s="253">
        <v>2.1669691895635612</v>
      </c>
      <c r="I46" s="253">
        <v>2.2475956240333606</v>
      </c>
      <c r="J46" s="253">
        <v>2.618604305426997</v>
      </c>
      <c r="K46" s="253">
        <v>1.5615511999379494</v>
      </c>
      <c r="L46" s="253">
        <v>2.0083348862705908</v>
      </c>
      <c r="M46" s="253">
        <v>2.3544845411458182</v>
      </c>
      <c r="N46" s="68"/>
      <c r="O46" s="68"/>
      <c r="P46" s="68"/>
      <c r="Q46" s="44" t="s">
        <v>54</v>
      </c>
      <c r="AJ46" s="64"/>
    </row>
    <row r="47" spans="1:36" s="63" customFormat="1" ht="14.25" customHeight="1">
      <c r="A47" s="113"/>
      <c r="B47" s="75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70"/>
      <c r="O47" s="70"/>
      <c r="P47" s="70"/>
      <c r="Q47" s="76"/>
      <c r="AJ47" s="64"/>
    </row>
    <row r="48" spans="1:36" s="63" customFormat="1" ht="14.25" customHeight="1">
      <c r="A48" s="77"/>
      <c r="C48" s="64"/>
      <c r="D48" s="64"/>
      <c r="Q48" s="78"/>
      <c r="AJ48" s="64"/>
    </row>
    <row r="49" spans="1:36" s="63" customFormat="1" ht="14.25" customHeight="1">
      <c r="A49" s="107"/>
      <c r="B49" s="57" t="s">
        <v>312</v>
      </c>
      <c r="C49" s="79"/>
      <c r="D49" s="79"/>
      <c r="E49" s="59"/>
      <c r="F49" s="59"/>
      <c r="G49" s="61"/>
      <c r="H49" s="62"/>
      <c r="I49" s="62"/>
      <c r="J49" s="62"/>
      <c r="K49" s="62"/>
      <c r="L49" s="62"/>
      <c r="M49" s="61"/>
      <c r="N49" s="107"/>
      <c r="O49" s="107"/>
      <c r="P49" s="107"/>
      <c r="Q49" s="108" t="s">
        <v>19</v>
      </c>
      <c r="AJ49" s="64"/>
    </row>
    <row r="50" spans="1:36" s="63" customFormat="1" ht="14.25" customHeight="1">
      <c r="A50" s="65" t="s">
        <v>7</v>
      </c>
      <c r="B50" s="66" t="s">
        <v>61</v>
      </c>
      <c r="C50" s="66" t="s">
        <v>60</v>
      </c>
      <c r="D50" s="66" t="s">
        <v>0</v>
      </c>
      <c r="E50" s="66" t="s">
        <v>15</v>
      </c>
      <c r="F50" s="66" t="s">
        <v>16</v>
      </c>
      <c r="G50" s="1" t="s">
        <v>1</v>
      </c>
      <c r="H50" s="1" t="s">
        <v>17</v>
      </c>
      <c r="I50" s="1" t="s">
        <v>59</v>
      </c>
      <c r="J50" s="1" t="s">
        <v>258</v>
      </c>
      <c r="K50" s="1" t="s">
        <v>259</v>
      </c>
      <c r="L50" s="1" t="s">
        <v>260</v>
      </c>
      <c r="M50" s="1" t="s">
        <v>261</v>
      </c>
      <c r="N50" s="70"/>
      <c r="O50" s="70"/>
      <c r="P50" s="70"/>
      <c r="Q50" s="40" t="s">
        <v>106</v>
      </c>
      <c r="AJ50" s="64"/>
    </row>
    <row r="51" spans="1:36" s="63" customFormat="1" ht="14.25" customHeight="1">
      <c r="A51" s="80" t="s">
        <v>49</v>
      </c>
      <c r="B51" s="53" t="s">
        <v>20</v>
      </c>
      <c r="C51" s="52" t="s">
        <v>21</v>
      </c>
      <c r="D51" s="52" t="s">
        <v>2</v>
      </c>
      <c r="E51" s="52" t="s">
        <v>22</v>
      </c>
      <c r="F51" s="52" t="s">
        <v>23</v>
      </c>
      <c r="G51" s="52" t="s">
        <v>3</v>
      </c>
      <c r="H51" s="52" t="s">
        <v>24</v>
      </c>
      <c r="I51" s="52" t="s">
        <v>25</v>
      </c>
      <c r="J51" s="52" t="s">
        <v>4</v>
      </c>
      <c r="K51" s="52" t="s">
        <v>26</v>
      </c>
      <c r="L51" s="52" t="s">
        <v>27</v>
      </c>
      <c r="M51" s="52" t="s">
        <v>5</v>
      </c>
      <c r="N51" s="68"/>
      <c r="O51" s="68"/>
      <c r="P51" s="68"/>
      <c r="Q51" s="69"/>
      <c r="AJ51" s="64"/>
    </row>
    <row r="52" spans="1:36" s="63" customFormat="1" ht="14.25" customHeight="1">
      <c r="A52" s="25" t="s">
        <v>55</v>
      </c>
      <c r="B52" s="393">
        <v>9.7529316183959214</v>
      </c>
      <c r="C52" s="393">
        <v>8.1284674877062599</v>
      </c>
      <c r="D52" s="393">
        <v>10.846407625000021</v>
      </c>
      <c r="E52" s="393">
        <v>11.295798614802589</v>
      </c>
      <c r="F52" s="393">
        <v>12.488218024580288</v>
      </c>
      <c r="G52" s="393">
        <v>8.6402144400648861</v>
      </c>
      <c r="H52" s="393">
        <v>8.9752491545044712</v>
      </c>
      <c r="I52" s="393">
        <v>7.679079856932125</v>
      </c>
      <c r="J52" s="393">
        <v>7.9248529018109082</v>
      </c>
      <c r="K52" s="393">
        <v>-1.1125594899000002</v>
      </c>
      <c r="L52" s="393">
        <v>-0.90710748023632437</v>
      </c>
      <c r="M52" s="393">
        <v>1.4991865823574591</v>
      </c>
      <c r="N52" s="70"/>
      <c r="O52" s="70"/>
      <c r="P52" s="70"/>
      <c r="Q52" s="2" t="s">
        <v>57</v>
      </c>
      <c r="AJ52" s="64"/>
    </row>
    <row r="53" spans="1:36" s="63" customFormat="1" ht="14.25" customHeight="1">
      <c r="A53" s="25" t="s">
        <v>56</v>
      </c>
      <c r="B53" s="251">
        <v>11.368758091699661</v>
      </c>
      <c r="C53" s="251">
        <v>11.431513428717398</v>
      </c>
      <c r="D53" s="251">
        <v>11.577257358259141</v>
      </c>
      <c r="E53" s="251">
        <v>11.712702247346506</v>
      </c>
      <c r="F53" s="251">
        <v>11.422314096899289</v>
      </c>
      <c r="G53" s="251">
        <v>9.8254167309593132</v>
      </c>
      <c r="H53" s="251">
        <v>9.4343848473677383</v>
      </c>
      <c r="I53" s="251">
        <v>8.5959979905999582</v>
      </c>
      <c r="J53" s="251">
        <v>8.0258912665524882</v>
      </c>
      <c r="K53" s="251">
        <v>-1.7206570422223399</v>
      </c>
      <c r="L53" s="251">
        <v>0.18701693486375959</v>
      </c>
      <c r="M53" s="251">
        <v>0.89311946822623334</v>
      </c>
      <c r="Q53" s="2" t="s">
        <v>58</v>
      </c>
      <c r="AJ53" s="64"/>
    </row>
    <row r="54" spans="1:36" s="63" customFormat="1" ht="14.25" customHeight="1">
      <c r="A54" s="31" t="s">
        <v>9</v>
      </c>
      <c r="B54" s="251">
        <v>5.7492476207957388</v>
      </c>
      <c r="C54" s="251">
        <v>0.67911089915735356</v>
      </c>
      <c r="D54" s="251">
        <v>9.097206989033646</v>
      </c>
      <c r="E54" s="251">
        <v>10.288090917513149</v>
      </c>
      <c r="F54" s="251">
        <v>14.999662254460787</v>
      </c>
      <c r="G54" s="251">
        <v>5.8539749857204004</v>
      </c>
      <c r="H54" s="251">
        <v>7.8795525448001946</v>
      </c>
      <c r="I54" s="251">
        <v>5.4397713454967578</v>
      </c>
      <c r="J54" s="251">
        <v>7.6796625463126267</v>
      </c>
      <c r="K54" s="251">
        <v>0.51216381274907796</v>
      </c>
      <c r="L54" s="251">
        <v>-3.8644169084092628</v>
      </c>
      <c r="M54" s="251">
        <v>3.1228981185379867</v>
      </c>
      <c r="Q54" s="2" t="s">
        <v>10</v>
      </c>
      <c r="AJ54" s="64"/>
    </row>
    <row r="55" spans="1:36" s="63" customFormat="1" ht="14.25" customHeight="1">
      <c r="A55" s="71" t="s">
        <v>51</v>
      </c>
      <c r="B55" s="251">
        <v>0.58880945456003531</v>
      </c>
      <c r="C55" s="251">
        <v>1.3046203346436913</v>
      </c>
      <c r="D55" s="251">
        <v>30.076865787296914</v>
      </c>
      <c r="E55" s="251">
        <v>30.120665960420865</v>
      </c>
      <c r="F55" s="251">
        <v>30.370088141070628</v>
      </c>
      <c r="G55" s="251">
        <v>31.682806284866349</v>
      </c>
      <c r="H55" s="251">
        <v>31.497945828042351</v>
      </c>
      <c r="I55" s="251">
        <v>30.555134578534691</v>
      </c>
      <c r="J55" s="251">
        <v>30.203538374055427</v>
      </c>
      <c r="K55" s="251">
        <v>30.41727186343055</v>
      </c>
      <c r="L55" s="251">
        <v>30.537992326364026</v>
      </c>
      <c r="M55" s="251">
        <v>30.530664583261924</v>
      </c>
      <c r="Q55" s="2" t="s">
        <v>30</v>
      </c>
      <c r="AJ55" s="64"/>
    </row>
    <row r="56" spans="1:36" s="63" customFormat="1" ht="14.25" customHeight="1">
      <c r="A56" s="31" t="s">
        <v>11</v>
      </c>
      <c r="B56" s="251">
        <v>-0.73449637873685969</v>
      </c>
      <c r="C56" s="251">
        <v>-0.58859016608805437</v>
      </c>
      <c r="D56" s="251">
        <v>-0.40733997757299578</v>
      </c>
      <c r="E56" s="251">
        <v>-0.31785211396440083</v>
      </c>
      <c r="F56" s="251">
        <v>-0.89795179956718707</v>
      </c>
      <c r="G56" s="251">
        <v>-1.5972278023483888</v>
      </c>
      <c r="H56" s="251">
        <v>-2.1077490606096205</v>
      </c>
      <c r="I56" s="251">
        <v>-0.7331996196301982</v>
      </c>
      <c r="J56" s="251">
        <v>-0.59499325366156874</v>
      </c>
      <c r="K56" s="251">
        <v>-0.899673108943011</v>
      </c>
      <c r="L56" s="251">
        <v>-1.0741459497013883</v>
      </c>
      <c r="M56" s="251">
        <v>-0.77515422983929216</v>
      </c>
      <c r="Q56" s="2" t="s">
        <v>31</v>
      </c>
      <c r="AJ56" s="64"/>
    </row>
    <row r="57" spans="1:36" s="63" customFormat="1" ht="14.25" customHeight="1">
      <c r="A57" s="31" t="s">
        <v>67</v>
      </c>
      <c r="B57" s="251">
        <v>-0.89024729645380551</v>
      </c>
      <c r="C57" s="251">
        <v>2.3279210592957122</v>
      </c>
      <c r="D57" s="251">
        <v>2.5522133941739078</v>
      </c>
      <c r="E57" s="251">
        <v>3.1620020167661078</v>
      </c>
      <c r="F57" s="251">
        <v>3.504943184339937</v>
      </c>
      <c r="G57" s="251">
        <v>0.46201290315099897</v>
      </c>
      <c r="H57" s="251">
        <v>-4.9502803282247214</v>
      </c>
      <c r="I57" s="251">
        <v>-5.4336186003766773</v>
      </c>
      <c r="J57" s="251">
        <v>-5.358523455823927</v>
      </c>
      <c r="K57" s="251">
        <v>-5.4524947243353434</v>
      </c>
      <c r="L57" s="251">
        <v>-5.7012060623435667</v>
      </c>
      <c r="M57" s="251">
        <v>-6.510613718683766</v>
      </c>
      <c r="Q57" s="2" t="s">
        <v>32</v>
      </c>
      <c r="AJ57" s="64"/>
    </row>
    <row r="58" spans="1:36" s="63" customFormat="1" ht="14.25" customHeight="1">
      <c r="A58" s="31" t="s">
        <v>68</v>
      </c>
      <c r="B58" s="251">
        <v>8.9799215374819283</v>
      </c>
      <c r="C58" s="251">
        <v>8.9799215374819283</v>
      </c>
      <c r="D58" s="251">
        <v>8.9799215374819283</v>
      </c>
      <c r="E58" s="251">
        <v>8.9799215374819283</v>
      </c>
      <c r="F58" s="251">
        <v>8.9799215374819283</v>
      </c>
      <c r="G58" s="251">
        <v>8.9799215374819283</v>
      </c>
      <c r="H58" s="251">
        <v>8.9799215374819283</v>
      </c>
      <c r="I58" s="251">
        <v>0</v>
      </c>
      <c r="J58" s="251">
        <v>0</v>
      </c>
      <c r="K58" s="251">
        <v>0</v>
      </c>
      <c r="L58" s="251">
        <v>0</v>
      </c>
      <c r="M58" s="251">
        <v>0</v>
      </c>
      <c r="Q58" s="72" t="s">
        <v>72</v>
      </c>
      <c r="AJ58" s="64"/>
    </row>
    <row r="59" spans="1:36" s="63" customFormat="1" ht="14.25" customHeight="1">
      <c r="A59" s="25" t="s">
        <v>50</v>
      </c>
      <c r="B59" s="251">
        <v>2.9106190914519825</v>
      </c>
      <c r="C59" s="251">
        <v>3.5331166244163326</v>
      </c>
      <c r="D59" s="251">
        <v>3.4201306437231294</v>
      </c>
      <c r="E59" s="251">
        <v>4.2879309349198369</v>
      </c>
      <c r="F59" s="251">
        <v>1.8665453428134082</v>
      </c>
      <c r="G59" s="251">
        <v>0.23546700292085276</v>
      </c>
      <c r="H59" s="251">
        <v>0.28637390327599377</v>
      </c>
      <c r="I59" s="251">
        <v>-0.38213963146427332</v>
      </c>
      <c r="J59" s="251">
        <v>-0.9634703681655199</v>
      </c>
      <c r="K59" s="251">
        <v>-1.5255864018434373</v>
      </c>
      <c r="L59" s="251">
        <v>-2.0312671354924206</v>
      </c>
      <c r="M59" s="251">
        <v>-2.2438785041048126</v>
      </c>
      <c r="Q59" s="2" t="s">
        <v>53</v>
      </c>
      <c r="AJ59" s="64"/>
    </row>
    <row r="60" spans="1:36" s="63" customFormat="1" ht="14.25" customHeight="1">
      <c r="A60" s="33" t="s">
        <v>33</v>
      </c>
      <c r="B60" s="251">
        <v>8.168497209835035E-2</v>
      </c>
      <c r="C60" s="251">
        <v>1.9394708303854813E-2</v>
      </c>
      <c r="D60" s="251">
        <v>-0.42439669435405669</v>
      </c>
      <c r="E60" s="251">
        <v>-0.62554693902485692</v>
      </c>
      <c r="F60" s="251">
        <v>-0.62361287324489423</v>
      </c>
      <c r="G60" s="251">
        <v>-0.65818331960764143</v>
      </c>
      <c r="H60" s="251">
        <v>-0.64196797242132009</v>
      </c>
      <c r="I60" s="251">
        <v>-0.85285854282349804</v>
      </c>
      <c r="J60" s="251">
        <v>-0.52867366464175447</v>
      </c>
      <c r="K60" s="251">
        <v>-0.30213086099568631</v>
      </c>
      <c r="L60" s="251">
        <v>-0.33432657866134807</v>
      </c>
      <c r="M60" s="251">
        <v>-0.30775634662605356</v>
      </c>
      <c r="Q60" s="2" t="s">
        <v>34</v>
      </c>
      <c r="AJ60" s="64"/>
    </row>
    <row r="61" spans="1:36" s="63" customFormat="1" ht="14.25" customHeight="1">
      <c r="A61" s="33" t="s">
        <v>35</v>
      </c>
      <c r="B61" s="251">
        <v>2.1039879617520407</v>
      </c>
      <c r="C61" s="251">
        <v>2.6038135884299374</v>
      </c>
      <c r="D61" s="251">
        <v>2.8502090223270882</v>
      </c>
      <c r="E61" s="251">
        <v>2.6020628772077004</v>
      </c>
      <c r="F61" s="251">
        <v>3.6292342218259055</v>
      </c>
      <c r="G61" s="251">
        <v>3.7147475452532053</v>
      </c>
      <c r="H61" s="251">
        <v>3.5775481057470637</v>
      </c>
      <c r="I61" s="251">
        <v>3.6289048042156713</v>
      </c>
      <c r="J61" s="251">
        <v>4.0871729302800919</v>
      </c>
      <c r="K61" s="251">
        <v>2.3207280840383149</v>
      </c>
      <c r="L61" s="251">
        <v>-0.85393829341048333</v>
      </c>
      <c r="M61" s="251">
        <v>-0.81485979497579741</v>
      </c>
      <c r="Q61" s="2" t="s">
        <v>36</v>
      </c>
      <c r="AJ61" s="64"/>
    </row>
    <row r="62" spans="1:36" s="63" customFormat="1" ht="14.25" customHeight="1">
      <c r="A62" s="33" t="s">
        <v>37</v>
      </c>
      <c r="B62" s="251">
        <v>-2.0528817335961347</v>
      </c>
      <c r="C62" s="251">
        <v>-2.0721301190262831</v>
      </c>
      <c r="D62" s="251">
        <v>-2.0703865609764671</v>
      </c>
      <c r="E62" s="251">
        <v>-2.0703865609764671</v>
      </c>
      <c r="F62" s="251">
        <v>-1.4357912369807324</v>
      </c>
      <c r="G62" s="251">
        <v>-0.81118030810228836</v>
      </c>
      <c r="H62" s="251">
        <v>0.9621631591557156</v>
      </c>
      <c r="I62" s="251">
        <v>0.9621631591557156</v>
      </c>
      <c r="J62" s="251">
        <v>2.1051776080909468</v>
      </c>
      <c r="K62" s="251">
        <v>1.6105733931861543</v>
      </c>
      <c r="L62" s="251">
        <v>1.6105733931861543</v>
      </c>
      <c r="M62" s="251">
        <v>0.48633153087220826</v>
      </c>
      <c r="Q62" s="2" t="s">
        <v>38</v>
      </c>
      <c r="AJ62" s="64"/>
    </row>
    <row r="63" spans="1:36" s="63" customFormat="1" ht="14.25" customHeight="1">
      <c r="A63" s="34" t="s">
        <v>39</v>
      </c>
      <c r="B63" s="251">
        <v>0.79465623115688722</v>
      </c>
      <c r="C63" s="251">
        <v>0.8626827416257532</v>
      </c>
      <c r="D63" s="251">
        <v>2.3537891300651204E-2</v>
      </c>
      <c r="E63" s="251">
        <v>2.7307479992859207</v>
      </c>
      <c r="F63" s="251">
        <v>0.21740896406310384</v>
      </c>
      <c r="G63" s="251">
        <v>-0.22008416279676313</v>
      </c>
      <c r="H63" s="251">
        <v>-3.210739131743634</v>
      </c>
      <c r="I63" s="251">
        <v>-3.2830464889686994</v>
      </c>
      <c r="J63" s="251">
        <v>-2.3380893359297383</v>
      </c>
      <c r="K63" s="251">
        <v>-2.3598721890784158</v>
      </c>
      <c r="L63" s="251">
        <v>-2.6057335444042318</v>
      </c>
      <c r="M63" s="251">
        <v>-2.6676279580152173</v>
      </c>
      <c r="Q63" s="35" t="s">
        <v>40</v>
      </c>
      <c r="AJ63" s="64"/>
    </row>
    <row r="64" spans="1:36" s="63" customFormat="1" ht="14.25" customHeight="1">
      <c r="A64" s="31" t="s">
        <v>12</v>
      </c>
      <c r="B64" s="251">
        <v>8.4402589206165057</v>
      </c>
      <c r="C64" s="251">
        <v>8.4402589206165057</v>
      </c>
      <c r="D64" s="251">
        <v>7.3723865286161594</v>
      </c>
      <c r="E64" s="251">
        <v>7.4483265463371584</v>
      </c>
      <c r="F64" s="251">
        <v>7.4483265463371584</v>
      </c>
      <c r="G64" s="251">
        <v>7.4483265463371584</v>
      </c>
      <c r="H64" s="251">
        <v>7.4509435366296062</v>
      </c>
      <c r="I64" s="251">
        <v>7.4509435366296062</v>
      </c>
      <c r="J64" s="251">
        <v>7.4509435366296062</v>
      </c>
      <c r="K64" s="251">
        <v>7.4509435366296062</v>
      </c>
      <c r="L64" s="251">
        <v>7.4509435366296062</v>
      </c>
      <c r="M64" s="251">
        <v>7.4509435366296062</v>
      </c>
      <c r="Q64" s="35" t="s">
        <v>13</v>
      </c>
      <c r="AJ64" s="64"/>
    </row>
    <row r="65" spans="1:36" s="63" customFormat="1" ht="14.25" customHeight="1">
      <c r="A65" s="71" t="s">
        <v>41</v>
      </c>
      <c r="B65" s="251">
        <v>7.2241521133876052</v>
      </c>
      <c r="C65" s="251">
        <v>7.1054843225184072</v>
      </c>
      <c r="D65" s="251">
        <v>7.0212347512765172</v>
      </c>
      <c r="E65" s="251">
        <v>7.0276699837781065</v>
      </c>
      <c r="F65" s="251">
        <v>7.0276699837781065</v>
      </c>
      <c r="G65" s="251">
        <v>7.0276699837781065</v>
      </c>
      <c r="H65" s="251">
        <v>7.0901895281933802</v>
      </c>
      <c r="I65" s="251">
        <v>7.1485715315041221</v>
      </c>
      <c r="J65" s="251">
        <v>6.9790778993222613</v>
      </c>
      <c r="K65" s="251">
        <v>-0.26081328978186935</v>
      </c>
      <c r="L65" s="251">
        <v>-0.26081328978186935</v>
      </c>
      <c r="M65" s="251">
        <v>-0.26081328978186935</v>
      </c>
      <c r="Q65" s="35" t="s">
        <v>42</v>
      </c>
      <c r="AJ65" s="64"/>
    </row>
    <row r="66" spans="1:36" s="63" customFormat="1" ht="14.25" customHeight="1">
      <c r="A66" s="34" t="s">
        <v>43</v>
      </c>
      <c r="B66" s="251">
        <v>-0.2392636897608269</v>
      </c>
      <c r="C66" s="251">
        <v>-2.6563953207725532E-2</v>
      </c>
      <c r="D66" s="251">
        <v>-3.4482416071313082E-2</v>
      </c>
      <c r="E66" s="251">
        <v>4.4971961225059864E-2</v>
      </c>
      <c r="F66" s="251">
        <v>-1.4462636830681053E-2</v>
      </c>
      <c r="G66" s="251">
        <v>4.8142575780363295E-2</v>
      </c>
      <c r="H66" s="251">
        <v>-0.31747621023576755</v>
      </c>
      <c r="I66" s="251">
        <v>-0.94969496804593323</v>
      </c>
      <c r="J66" s="251">
        <v>-0.32048828641320082</v>
      </c>
      <c r="K66" s="251">
        <v>-7.1499404454034021E-2</v>
      </c>
      <c r="L66" s="251">
        <v>0.47862911024505461</v>
      </c>
      <c r="M66" s="251">
        <v>0.34011641716342744</v>
      </c>
      <c r="Q66" s="35" t="s">
        <v>74</v>
      </c>
      <c r="AJ66" s="64"/>
    </row>
    <row r="67" spans="1:36" s="63" customFormat="1" ht="14.25" customHeight="1">
      <c r="A67" s="81" t="s">
        <v>69</v>
      </c>
      <c r="B67" s="252">
        <v>3.682804786100724</v>
      </c>
      <c r="C67" s="252">
        <v>3.7970542841463395</v>
      </c>
      <c r="D67" s="252">
        <v>5.617248194339064</v>
      </c>
      <c r="E67" s="252">
        <v>6.0739597460470751</v>
      </c>
      <c r="F67" s="252">
        <v>6.2264211507091716</v>
      </c>
      <c r="G67" s="252">
        <v>4.4278585714848218</v>
      </c>
      <c r="H67" s="252">
        <v>3.6008267745018196</v>
      </c>
      <c r="I67" s="252">
        <v>3.0014787151139588</v>
      </c>
      <c r="J67" s="252">
        <v>3.2571691781548173</v>
      </c>
      <c r="K67" s="252">
        <v>-4.5049323076440384E-2</v>
      </c>
      <c r="L67" s="252">
        <v>-0.20093147343562823</v>
      </c>
      <c r="M67" s="252">
        <v>0.43228805255768332</v>
      </c>
      <c r="Q67" s="40" t="s">
        <v>14</v>
      </c>
      <c r="AJ67" s="64"/>
    </row>
    <row r="68" spans="1:36" s="63" customFormat="1" ht="14.25" customHeight="1">
      <c r="A68" s="563" t="s">
        <v>70</v>
      </c>
      <c r="B68" s="253">
        <v>3.4716310506939019</v>
      </c>
      <c r="C68" s="253">
        <v>4.1478160295531419</v>
      </c>
      <c r="D68" s="253">
        <v>5.2503406516833051</v>
      </c>
      <c r="E68" s="253">
        <v>5.6329533349197991</v>
      </c>
      <c r="F68" s="253">
        <v>5.2841501383898315</v>
      </c>
      <c r="G68" s="253">
        <v>4.2733777593702005</v>
      </c>
      <c r="H68" s="253">
        <v>3.1452701622142643</v>
      </c>
      <c r="I68" s="253">
        <v>2.7470331880002252</v>
      </c>
      <c r="J68" s="253">
        <v>2.7891433718059577</v>
      </c>
      <c r="K68" s="253">
        <v>-0.10235131616604942</v>
      </c>
      <c r="L68" s="253">
        <v>0.16882330722931549</v>
      </c>
      <c r="M68" s="253">
        <v>0.1578744358095463</v>
      </c>
      <c r="N68" s="68"/>
      <c r="O68" s="68"/>
      <c r="P68" s="68"/>
      <c r="Q68" s="44" t="s">
        <v>54</v>
      </c>
      <c r="AJ68" s="64"/>
    </row>
    <row r="69" spans="1:36" s="63" customFormat="1" ht="14.25" customHeight="1">
      <c r="A69" s="381" t="s">
        <v>108</v>
      </c>
      <c r="B69" s="3"/>
      <c r="C69" s="111"/>
      <c r="D69" s="111"/>
      <c r="E69" s="111"/>
      <c r="F69" s="70"/>
      <c r="N69" s="112"/>
      <c r="Q69" s="380" t="s">
        <v>109</v>
      </c>
    </row>
  </sheetData>
  <mergeCells count="4">
    <mergeCell ref="A1:Q1"/>
    <mergeCell ref="A2:Q2"/>
    <mergeCell ref="A3:Q3"/>
    <mergeCell ref="A4:Q4"/>
  </mergeCells>
  <pageMargins left="0.56000000000000005" right="0.13" top="0.21" bottom="0.17" header="0.13" footer="0.12"/>
  <pageSetup paperSize="9" scale="74" orientation="landscape" horizontalDpi="4294967295" verticalDpi="4294967295" r:id="rId1"/>
  <rowBreaks count="1" manualBreakCount="1">
    <brk id="47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N58"/>
  <sheetViews>
    <sheetView topLeftCell="AM1" zoomScale="106" zoomScaleNormal="106" workbookViewId="0">
      <selection activeCell="BD20" sqref="BD20"/>
    </sheetView>
  </sheetViews>
  <sheetFormatPr defaultColWidth="9.140625" defaultRowHeight="12.75"/>
  <cols>
    <col min="1" max="1" width="19.140625" style="324" customWidth="1"/>
    <col min="2" max="3" width="9.140625" style="324" hidden="1" customWidth="1"/>
    <col min="4" max="4" width="2.28515625" style="324" hidden="1" customWidth="1"/>
    <col min="5" max="5" width="1.42578125" style="324" hidden="1" customWidth="1"/>
    <col min="6" max="6" width="4.85546875" style="324" hidden="1" customWidth="1"/>
    <col min="7" max="9" width="6.7109375" style="324" hidden="1" customWidth="1"/>
    <col min="10" max="10" width="0.5703125" style="324" hidden="1" customWidth="1"/>
    <col min="11" max="11" width="8" style="324" hidden="1" customWidth="1"/>
    <col min="12" max="14" width="6.7109375" style="324" hidden="1" customWidth="1"/>
    <col min="15" max="15" width="1.28515625" style="396" hidden="1" customWidth="1"/>
    <col min="16" max="19" width="6.7109375" style="324" hidden="1" customWidth="1"/>
    <col min="20" max="20" width="1.140625" style="324" hidden="1" customWidth="1"/>
    <col min="21" max="24" width="6.7109375" style="324" hidden="1" customWidth="1"/>
    <col min="25" max="25" width="1.42578125" style="324" hidden="1" customWidth="1"/>
    <col min="26" max="29" width="6.7109375" style="324" hidden="1" customWidth="1"/>
    <col min="30" max="30" width="1.42578125" style="324" hidden="1" customWidth="1"/>
    <col min="31" max="34" width="6.7109375" style="324" hidden="1" customWidth="1"/>
    <col min="35" max="35" width="5.42578125" style="324" hidden="1" customWidth="1"/>
    <col min="36" max="37" width="6.7109375" style="324" hidden="1" customWidth="1"/>
    <col min="38" max="38" width="7.140625" style="324" hidden="1" customWidth="1"/>
    <col min="39" max="54" width="8.140625" style="324" customWidth="1"/>
    <col min="55" max="55" width="23.5703125" style="324" customWidth="1"/>
    <col min="56" max="56" width="4.140625" style="324" customWidth="1"/>
    <col min="57" max="61" width="5.85546875" style="324" customWidth="1"/>
    <col min="62" max="74" width="9.140625" style="324"/>
    <col min="75" max="75" width="6.28515625" style="324" customWidth="1"/>
    <col min="76" max="76" width="8.7109375" style="324" customWidth="1"/>
    <col min="77" max="78" width="6.28515625" style="324" customWidth="1"/>
    <col min="79" max="79" width="8.28515625" style="324" customWidth="1"/>
    <col min="80" max="80" width="7.7109375" style="324" customWidth="1"/>
    <col min="81" max="82" width="6.28515625" style="324" customWidth="1"/>
    <col min="83" max="83" width="8.28515625" style="324" customWidth="1"/>
    <col min="84" max="84" width="7" style="324" customWidth="1"/>
    <col min="85" max="87" width="6.28515625" style="324" customWidth="1"/>
    <col min="88" max="88" width="9.140625" style="324"/>
    <col min="89" max="89" width="11.85546875" style="324" customWidth="1"/>
    <col min="90" max="16384" width="9.140625" style="324"/>
  </cols>
  <sheetData>
    <row r="1" spans="1:92" ht="19.5">
      <c r="A1" s="595" t="s">
        <v>313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</row>
    <row r="2" spans="1:92" ht="15">
      <c r="A2" s="652" t="s">
        <v>314</v>
      </c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2"/>
      <c r="AB2" s="652"/>
      <c r="AC2" s="652"/>
      <c r="AD2" s="652"/>
      <c r="AE2" s="652"/>
      <c r="AF2" s="652"/>
      <c r="AG2" s="652"/>
      <c r="AH2" s="652"/>
      <c r="AI2" s="652"/>
      <c r="AJ2" s="652"/>
      <c r="AK2" s="652"/>
      <c r="AL2" s="652"/>
      <c r="AM2" s="652"/>
      <c r="AN2" s="652"/>
      <c r="AO2" s="652"/>
      <c r="AP2" s="652"/>
      <c r="AQ2" s="652"/>
      <c r="AR2" s="652"/>
      <c r="AS2" s="652"/>
      <c r="AT2" s="652"/>
      <c r="AU2" s="652"/>
      <c r="AV2" s="652"/>
      <c r="AW2" s="652"/>
      <c r="AX2" s="652"/>
      <c r="AY2" s="652"/>
      <c r="AZ2" s="652"/>
      <c r="BA2" s="652"/>
      <c r="BB2" s="652"/>
      <c r="BC2" s="652"/>
    </row>
    <row r="3" spans="1:92" ht="15">
      <c r="A3" s="501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50"/>
      <c r="AZ3" s="550"/>
      <c r="BA3" s="550"/>
      <c r="BB3" s="550"/>
      <c r="BC3" s="501"/>
    </row>
    <row r="4" spans="1:92" s="396" customFormat="1">
      <c r="A4" s="653" t="s">
        <v>190</v>
      </c>
      <c r="B4" s="656">
        <v>2005</v>
      </c>
      <c r="C4" s="656"/>
      <c r="D4" s="656"/>
      <c r="E4" s="656"/>
      <c r="F4" s="500"/>
      <c r="G4" s="656">
        <v>2007</v>
      </c>
      <c r="H4" s="656"/>
      <c r="I4" s="656"/>
      <c r="J4" s="656"/>
      <c r="K4" s="656">
        <v>2008</v>
      </c>
      <c r="L4" s="656"/>
      <c r="M4" s="656"/>
      <c r="N4" s="656"/>
      <c r="O4" s="394"/>
      <c r="P4" s="656">
        <v>2009</v>
      </c>
      <c r="Q4" s="656"/>
      <c r="R4" s="656"/>
      <c r="S4" s="656"/>
      <c r="T4" s="394"/>
      <c r="U4" s="656">
        <v>2010</v>
      </c>
      <c r="V4" s="656"/>
      <c r="W4" s="656"/>
      <c r="X4" s="656"/>
      <c r="Y4" s="394"/>
      <c r="Z4" s="656">
        <v>2011</v>
      </c>
      <c r="AA4" s="656"/>
      <c r="AB4" s="656"/>
      <c r="AC4" s="656"/>
      <c r="AD4" s="394"/>
      <c r="AE4" s="651">
        <v>2012</v>
      </c>
      <c r="AF4" s="651"/>
      <c r="AG4" s="651"/>
      <c r="AH4" s="651"/>
      <c r="AI4" s="650">
        <v>2013</v>
      </c>
      <c r="AJ4" s="651"/>
      <c r="AK4" s="651"/>
      <c r="AL4" s="657"/>
      <c r="AM4" s="651">
        <v>2014</v>
      </c>
      <c r="AN4" s="651"/>
      <c r="AO4" s="651"/>
      <c r="AP4" s="651"/>
      <c r="AQ4" s="650">
        <v>2015</v>
      </c>
      <c r="AR4" s="651"/>
      <c r="AS4" s="651"/>
      <c r="AT4" s="651"/>
      <c r="AU4" s="650">
        <v>2016</v>
      </c>
      <c r="AV4" s="651"/>
      <c r="AW4" s="651"/>
      <c r="AX4" s="651"/>
      <c r="AY4" s="650">
        <v>2017</v>
      </c>
      <c r="AZ4" s="651"/>
      <c r="BA4" s="651"/>
      <c r="BB4" s="651"/>
      <c r="BC4" s="647" t="s">
        <v>191</v>
      </c>
      <c r="BD4" s="395"/>
    </row>
    <row r="5" spans="1:92" ht="19.5" customHeight="1">
      <c r="A5" s="654"/>
      <c r="B5" s="1" t="s">
        <v>0</v>
      </c>
      <c r="C5" s="1" t="s">
        <v>1</v>
      </c>
      <c r="D5" s="1" t="s">
        <v>192</v>
      </c>
      <c r="E5" s="1" t="s">
        <v>193</v>
      </c>
      <c r="F5" s="1"/>
      <c r="G5" s="1" t="s">
        <v>0</v>
      </c>
      <c r="H5" s="1" t="s">
        <v>1</v>
      </c>
      <c r="I5" s="1" t="s">
        <v>192</v>
      </c>
      <c r="J5" s="1" t="s">
        <v>193</v>
      </c>
      <c r="K5" s="1" t="s">
        <v>0</v>
      </c>
      <c r="L5" s="1" t="s">
        <v>1</v>
      </c>
      <c r="M5" s="1" t="s">
        <v>192</v>
      </c>
      <c r="N5" s="1" t="s">
        <v>193</v>
      </c>
      <c r="O5" s="1"/>
      <c r="P5" s="1" t="s">
        <v>0</v>
      </c>
      <c r="Q5" s="1" t="s">
        <v>1</v>
      </c>
      <c r="R5" s="1" t="s">
        <v>192</v>
      </c>
      <c r="S5" s="1" t="s">
        <v>193</v>
      </c>
      <c r="T5" s="1"/>
      <c r="U5" s="1" t="s">
        <v>0</v>
      </c>
      <c r="V5" s="1" t="s">
        <v>1</v>
      </c>
      <c r="W5" s="1" t="s">
        <v>192</v>
      </c>
      <c r="X5" s="1" t="s">
        <v>193</v>
      </c>
      <c r="Y5" s="1"/>
      <c r="Z5" s="1" t="s">
        <v>0</v>
      </c>
      <c r="AA5" s="1" t="s">
        <v>1</v>
      </c>
      <c r="AB5" s="1" t="s">
        <v>192</v>
      </c>
      <c r="AC5" s="1" t="s">
        <v>193</v>
      </c>
      <c r="AD5" s="1"/>
      <c r="AE5" s="1" t="s">
        <v>0</v>
      </c>
      <c r="AF5" s="1" t="s">
        <v>1</v>
      </c>
      <c r="AG5" s="1" t="s">
        <v>192</v>
      </c>
      <c r="AH5" s="1" t="s">
        <v>193</v>
      </c>
      <c r="AI5" s="397" t="s">
        <v>0</v>
      </c>
      <c r="AJ5" s="1" t="s">
        <v>1</v>
      </c>
      <c r="AK5" s="1" t="s">
        <v>192</v>
      </c>
      <c r="AL5" s="398" t="s">
        <v>193</v>
      </c>
      <c r="AM5" s="1" t="s">
        <v>0</v>
      </c>
      <c r="AN5" s="1" t="s">
        <v>1</v>
      </c>
      <c r="AO5" s="1" t="s">
        <v>192</v>
      </c>
      <c r="AP5" s="1" t="s">
        <v>193</v>
      </c>
      <c r="AQ5" s="397" t="s">
        <v>0</v>
      </c>
      <c r="AR5" s="1" t="s">
        <v>1</v>
      </c>
      <c r="AS5" s="1" t="s">
        <v>192</v>
      </c>
      <c r="AT5" s="1" t="s">
        <v>193</v>
      </c>
      <c r="AU5" s="397" t="s">
        <v>0</v>
      </c>
      <c r="AV5" s="1" t="s">
        <v>1</v>
      </c>
      <c r="AW5" s="1" t="s">
        <v>192</v>
      </c>
      <c r="AX5" s="1" t="s">
        <v>193</v>
      </c>
      <c r="AY5" s="397" t="s">
        <v>0</v>
      </c>
      <c r="AZ5" s="1" t="s">
        <v>1</v>
      </c>
      <c r="BA5" s="1" t="s">
        <v>192</v>
      </c>
      <c r="BB5" s="1" t="s">
        <v>193</v>
      </c>
      <c r="BC5" s="648"/>
      <c r="BD5" s="396"/>
    </row>
    <row r="6" spans="1:92">
      <c r="A6" s="655"/>
      <c r="B6" s="399" t="s">
        <v>2</v>
      </c>
      <c r="C6" s="399" t="s">
        <v>3</v>
      </c>
      <c r="D6" s="399" t="s">
        <v>4</v>
      </c>
      <c r="E6" s="399" t="s">
        <v>5</v>
      </c>
      <c r="F6" s="400"/>
      <c r="G6" s="399" t="s">
        <v>2</v>
      </c>
      <c r="H6" s="399" t="s">
        <v>3</v>
      </c>
      <c r="I6" s="399" t="s">
        <v>4</v>
      </c>
      <c r="J6" s="399" t="s">
        <v>5</v>
      </c>
      <c r="K6" s="399" t="s">
        <v>2</v>
      </c>
      <c r="L6" s="399" t="s">
        <v>3</v>
      </c>
      <c r="M6" s="399" t="s">
        <v>4</v>
      </c>
      <c r="N6" s="399" t="s">
        <v>5</v>
      </c>
      <c r="O6" s="400"/>
      <c r="P6" s="399" t="s">
        <v>2</v>
      </c>
      <c r="Q6" s="399" t="s">
        <v>3</v>
      </c>
      <c r="R6" s="399" t="s">
        <v>4</v>
      </c>
      <c r="S6" s="399" t="s">
        <v>5</v>
      </c>
      <c r="T6" s="400"/>
      <c r="U6" s="399" t="s">
        <v>2</v>
      </c>
      <c r="V6" s="399" t="s">
        <v>3</v>
      </c>
      <c r="W6" s="399" t="s">
        <v>4</v>
      </c>
      <c r="X6" s="399" t="s">
        <v>5</v>
      </c>
      <c r="Y6" s="400"/>
      <c r="Z6" s="399" t="s">
        <v>2</v>
      </c>
      <c r="AA6" s="399" t="s">
        <v>3</v>
      </c>
      <c r="AB6" s="399" t="s">
        <v>4</v>
      </c>
      <c r="AC6" s="399" t="s">
        <v>5</v>
      </c>
      <c r="AD6" s="399"/>
      <c r="AE6" s="399" t="s">
        <v>2</v>
      </c>
      <c r="AF6" s="399" t="s">
        <v>3</v>
      </c>
      <c r="AG6" s="399" t="s">
        <v>4</v>
      </c>
      <c r="AH6" s="399" t="s">
        <v>5</v>
      </c>
      <c r="AI6" s="401" t="s">
        <v>2</v>
      </c>
      <c r="AJ6" s="399" t="s">
        <v>3</v>
      </c>
      <c r="AK6" s="399" t="s">
        <v>4</v>
      </c>
      <c r="AL6" s="402" t="s">
        <v>5</v>
      </c>
      <c r="AM6" s="399" t="s">
        <v>2</v>
      </c>
      <c r="AN6" s="399" t="s">
        <v>3</v>
      </c>
      <c r="AO6" s="399" t="s">
        <v>4</v>
      </c>
      <c r="AP6" s="399" t="s">
        <v>5</v>
      </c>
      <c r="AQ6" s="401" t="s">
        <v>2</v>
      </c>
      <c r="AR6" s="399" t="s">
        <v>3</v>
      </c>
      <c r="AS6" s="399" t="s">
        <v>4</v>
      </c>
      <c r="AT6" s="399" t="s">
        <v>5</v>
      </c>
      <c r="AU6" s="401" t="s">
        <v>2</v>
      </c>
      <c r="AV6" s="399" t="s">
        <v>3</v>
      </c>
      <c r="AW6" s="399" t="s">
        <v>4</v>
      </c>
      <c r="AX6" s="399" t="s">
        <v>5</v>
      </c>
      <c r="AY6" s="401" t="s">
        <v>2</v>
      </c>
      <c r="AZ6" s="399" t="s">
        <v>3</v>
      </c>
      <c r="BA6" s="399" t="s">
        <v>4</v>
      </c>
      <c r="BB6" s="399" t="s">
        <v>5</v>
      </c>
      <c r="BC6" s="649"/>
      <c r="BD6" s="396"/>
    </row>
    <row r="7" spans="1:92" s="122" customFormat="1" ht="27.6" customHeight="1">
      <c r="A7" s="502" t="s">
        <v>194</v>
      </c>
      <c r="B7" s="403">
        <v>6.38</v>
      </c>
      <c r="C7" s="403">
        <v>6.38</v>
      </c>
      <c r="D7" s="403">
        <v>7.8</v>
      </c>
      <c r="E7" s="403">
        <v>7.8</v>
      </c>
      <c r="F7" s="403"/>
      <c r="G7" s="404">
        <v>8.5</v>
      </c>
      <c r="H7" s="404">
        <v>9.0500000000000007</v>
      </c>
      <c r="I7" s="404">
        <v>9.0500000000000007</v>
      </c>
      <c r="J7" s="404">
        <v>10.3</v>
      </c>
      <c r="K7" s="405">
        <v>11.25</v>
      </c>
      <c r="L7" s="405">
        <v>15.25</v>
      </c>
      <c r="M7" s="405">
        <v>14.25</v>
      </c>
      <c r="N7" s="405">
        <v>7</v>
      </c>
      <c r="O7" s="404"/>
      <c r="P7" s="405">
        <v>7.5</v>
      </c>
      <c r="Q7" s="405">
        <v>8.9</v>
      </c>
      <c r="R7" s="405">
        <v>9.75</v>
      </c>
      <c r="S7" s="405">
        <v>9.75</v>
      </c>
      <c r="T7" s="405"/>
      <c r="U7" s="405">
        <v>10.050000000000001</v>
      </c>
      <c r="V7" s="405">
        <v>10.65</v>
      </c>
      <c r="W7" s="405">
        <v>10.25</v>
      </c>
      <c r="X7" s="405">
        <v>10.6</v>
      </c>
      <c r="Y7" s="405"/>
      <c r="Z7" s="406">
        <v>13.53</v>
      </c>
      <c r="AA7" s="406">
        <v>16.190000000000001</v>
      </c>
      <c r="AB7" s="406">
        <v>16.190000000000001</v>
      </c>
      <c r="AC7" s="406">
        <v>16.190000000000001</v>
      </c>
      <c r="AD7" s="406"/>
      <c r="AE7" s="406">
        <v>15.67</v>
      </c>
      <c r="AF7" s="406">
        <v>16.21</v>
      </c>
      <c r="AG7" s="406">
        <v>16.68</v>
      </c>
      <c r="AH7" s="406">
        <v>16.420000000000002</v>
      </c>
      <c r="AI7" s="407">
        <v>16.8</v>
      </c>
      <c r="AJ7" s="406">
        <v>16.37</v>
      </c>
      <c r="AK7" s="406">
        <v>16.37</v>
      </c>
      <c r="AL7" s="408">
        <v>16.37</v>
      </c>
      <c r="AM7" s="406">
        <v>16.37</v>
      </c>
      <c r="AN7" s="406">
        <v>16.37</v>
      </c>
      <c r="AO7" s="406">
        <v>16.37</v>
      </c>
      <c r="AP7" s="406">
        <v>15.12</v>
      </c>
      <c r="AQ7" s="407">
        <v>11</v>
      </c>
      <c r="AR7" s="406">
        <v>11</v>
      </c>
      <c r="AS7" s="406">
        <v>11</v>
      </c>
      <c r="AT7" s="406">
        <v>11</v>
      </c>
      <c r="AU7" s="407">
        <v>9.0500000000000007</v>
      </c>
      <c r="AV7" s="406">
        <v>9.0500000000000007</v>
      </c>
      <c r="AW7" s="406">
        <v>9.0500000000000007</v>
      </c>
      <c r="AX7" s="406">
        <v>9.0500000000000007</v>
      </c>
      <c r="AY7" s="407">
        <v>9.35</v>
      </c>
      <c r="AZ7" s="406">
        <v>8.75</v>
      </c>
      <c r="BA7" s="406">
        <v>8.9499999999999993</v>
      </c>
      <c r="BB7" s="406">
        <v>9.8699999999999992</v>
      </c>
      <c r="BC7" s="409" t="s">
        <v>195</v>
      </c>
      <c r="BD7" s="2"/>
    </row>
    <row r="8" spans="1:92" s="122" customFormat="1" ht="27.6" customHeight="1">
      <c r="A8" s="503" t="s">
        <v>196</v>
      </c>
      <c r="B8" s="410">
        <v>6.2</v>
      </c>
      <c r="C8" s="410">
        <v>6.4</v>
      </c>
      <c r="D8" s="410">
        <v>7.2</v>
      </c>
      <c r="E8" s="410">
        <v>7.55</v>
      </c>
      <c r="F8" s="410"/>
      <c r="G8" s="410">
        <v>8.0500000000000007</v>
      </c>
      <c r="H8" s="410">
        <v>8.3000000000000007</v>
      </c>
      <c r="I8" s="410">
        <v>8.65</v>
      </c>
      <c r="J8" s="410">
        <v>10.3</v>
      </c>
      <c r="K8" s="411">
        <v>11.3</v>
      </c>
      <c r="L8" s="411">
        <v>17.5</v>
      </c>
      <c r="M8" s="411">
        <v>15.75</v>
      </c>
      <c r="N8" s="411">
        <v>7</v>
      </c>
      <c r="O8" s="410"/>
      <c r="P8" s="411">
        <v>6.7</v>
      </c>
      <c r="Q8" s="411">
        <v>7.6</v>
      </c>
      <c r="R8" s="411">
        <v>7.65</v>
      </c>
      <c r="S8" s="411">
        <v>7.65</v>
      </c>
      <c r="T8" s="411"/>
      <c r="U8" s="411">
        <v>9.32</v>
      </c>
      <c r="V8" s="411">
        <v>10.65</v>
      </c>
      <c r="W8" s="411">
        <v>9.8000000000000007</v>
      </c>
      <c r="X8" s="411">
        <v>10.45</v>
      </c>
      <c r="Y8" s="411"/>
      <c r="Z8" s="412">
        <v>13.5</v>
      </c>
      <c r="AA8" s="412">
        <v>15.65</v>
      </c>
      <c r="AB8" s="412">
        <v>15.65</v>
      </c>
      <c r="AC8" s="412">
        <v>15.65</v>
      </c>
      <c r="AD8" s="412"/>
      <c r="AE8" s="412">
        <v>15.68</v>
      </c>
      <c r="AF8" s="412">
        <v>15.96</v>
      </c>
      <c r="AG8" s="412">
        <v>16.45</v>
      </c>
      <c r="AH8" s="412">
        <v>16.23</v>
      </c>
      <c r="AI8" s="413">
        <v>16.489999999999998</v>
      </c>
      <c r="AJ8" s="412">
        <v>16.079999999999998</v>
      </c>
      <c r="AK8" s="412">
        <v>16.079999999999998</v>
      </c>
      <c r="AL8" s="414">
        <v>16.079999999999998</v>
      </c>
      <c r="AM8" s="412">
        <v>16.079999999999998</v>
      </c>
      <c r="AN8" s="412">
        <v>16.079999999999998</v>
      </c>
      <c r="AO8" s="412">
        <v>16.079999999999998</v>
      </c>
      <c r="AP8" s="412">
        <v>14.83</v>
      </c>
      <c r="AQ8" s="413">
        <v>11</v>
      </c>
      <c r="AR8" s="412">
        <v>11</v>
      </c>
      <c r="AS8" s="412">
        <v>11</v>
      </c>
      <c r="AT8" s="412">
        <v>11</v>
      </c>
      <c r="AU8" s="413">
        <v>9.25</v>
      </c>
      <c r="AV8" s="412">
        <v>9.25</v>
      </c>
      <c r="AW8" s="412">
        <v>9.25</v>
      </c>
      <c r="AX8" s="412">
        <v>9.25</v>
      </c>
      <c r="AY8" s="413">
        <v>9.25</v>
      </c>
      <c r="AZ8" s="412">
        <v>8.44</v>
      </c>
      <c r="BA8" s="412">
        <v>8.64</v>
      </c>
      <c r="BB8" s="412">
        <v>9.61</v>
      </c>
      <c r="BC8" s="415" t="s">
        <v>197</v>
      </c>
      <c r="BD8" s="2"/>
    </row>
    <row r="9" spans="1:92" s="122" customFormat="1" ht="27.6" customHeight="1">
      <c r="A9" s="502" t="s">
        <v>198</v>
      </c>
      <c r="B9" s="403">
        <v>3.98</v>
      </c>
      <c r="C9" s="403">
        <v>3.98</v>
      </c>
      <c r="D9" s="403">
        <v>3.98</v>
      </c>
      <c r="E9" s="403">
        <v>3.98</v>
      </c>
      <c r="F9" s="403"/>
      <c r="G9" s="404">
        <v>3.98</v>
      </c>
      <c r="H9" s="404">
        <v>3.98</v>
      </c>
      <c r="I9" s="404">
        <v>3.98</v>
      </c>
      <c r="J9" s="404">
        <v>3.98</v>
      </c>
      <c r="K9" s="405">
        <v>3.98</v>
      </c>
      <c r="L9" s="405">
        <v>3.98</v>
      </c>
      <c r="M9" s="405">
        <v>3.98</v>
      </c>
      <c r="N9" s="405">
        <v>3.98</v>
      </c>
      <c r="O9" s="404"/>
      <c r="P9" s="405">
        <v>3.98</v>
      </c>
      <c r="Q9" s="405">
        <v>3.98</v>
      </c>
      <c r="R9" s="405">
        <v>3.98</v>
      </c>
      <c r="S9" s="405">
        <v>3.98</v>
      </c>
      <c r="T9" s="405"/>
      <c r="U9" s="405">
        <v>3.98</v>
      </c>
      <c r="V9" s="405">
        <v>3.98</v>
      </c>
      <c r="W9" s="405">
        <v>3.98</v>
      </c>
      <c r="X9" s="405">
        <v>3.98</v>
      </c>
      <c r="Y9" s="405"/>
      <c r="Z9" s="405">
        <v>3.98</v>
      </c>
      <c r="AA9" s="405">
        <v>3.98</v>
      </c>
      <c r="AB9" s="405">
        <v>3.98</v>
      </c>
      <c r="AC9" s="405">
        <v>3.98</v>
      </c>
      <c r="AD9" s="405"/>
      <c r="AE9" s="416">
        <v>3.98</v>
      </c>
      <c r="AF9" s="416" t="s">
        <v>199</v>
      </c>
      <c r="AG9" s="416" t="s">
        <v>199</v>
      </c>
      <c r="AH9" s="416" t="s">
        <v>200</v>
      </c>
      <c r="AI9" s="417">
        <v>3.98</v>
      </c>
      <c r="AJ9" s="416" t="s">
        <v>199</v>
      </c>
      <c r="AK9" s="416" t="s">
        <v>199</v>
      </c>
      <c r="AL9" s="418" t="s">
        <v>200</v>
      </c>
      <c r="AM9" s="416">
        <v>3.98</v>
      </c>
      <c r="AN9" s="416" t="s">
        <v>199</v>
      </c>
      <c r="AO9" s="416" t="s">
        <v>199</v>
      </c>
      <c r="AP9" s="416" t="s">
        <v>200</v>
      </c>
      <c r="AQ9" s="417">
        <v>3.98</v>
      </c>
      <c r="AR9" s="416">
        <v>3.98</v>
      </c>
      <c r="AS9" s="416">
        <v>3.98</v>
      </c>
      <c r="AT9" s="416">
        <v>3.98</v>
      </c>
      <c r="AU9" s="417">
        <v>3.98</v>
      </c>
      <c r="AV9" s="416">
        <v>3.98</v>
      </c>
      <c r="AW9" s="416">
        <v>3.98</v>
      </c>
      <c r="AX9" s="416">
        <v>7.96</v>
      </c>
      <c r="AY9" s="417">
        <v>7.96</v>
      </c>
      <c r="AZ9" s="416">
        <v>7.96</v>
      </c>
      <c r="BA9" s="416">
        <v>7.96</v>
      </c>
      <c r="BB9" s="416">
        <v>7.96</v>
      </c>
      <c r="BC9" s="409" t="s">
        <v>201</v>
      </c>
      <c r="BD9" s="2"/>
    </row>
    <row r="10" spans="1:92" s="122" customFormat="1" ht="27.6" customHeight="1">
      <c r="A10" s="502" t="s">
        <v>202</v>
      </c>
      <c r="B10" s="404">
        <v>4</v>
      </c>
      <c r="C10" s="404">
        <v>4</v>
      </c>
      <c r="D10" s="404">
        <v>4</v>
      </c>
      <c r="E10" s="404">
        <v>4</v>
      </c>
      <c r="F10" s="404"/>
      <c r="G10" s="404">
        <v>4</v>
      </c>
      <c r="H10" s="404">
        <v>4</v>
      </c>
      <c r="I10" s="404">
        <v>4</v>
      </c>
      <c r="J10" s="404">
        <v>4</v>
      </c>
      <c r="K10" s="405">
        <v>4</v>
      </c>
      <c r="L10" s="405">
        <v>4</v>
      </c>
      <c r="M10" s="405">
        <v>4</v>
      </c>
      <c r="N10" s="405">
        <v>4</v>
      </c>
      <c r="O10" s="404"/>
      <c r="P10" s="405">
        <v>4</v>
      </c>
      <c r="Q10" s="405">
        <v>4</v>
      </c>
      <c r="R10" s="405">
        <v>4</v>
      </c>
      <c r="S10" s="405">
        <v>4</v>
      </c>
      <c r="T10" s="405"/>
      <c r="U10" s="405">
        <v>4</v>
      </c>
      <c r="V10" s="405">
        <v>4</v>
      </c>
      <c r="W10" s="405">
        <v>4</v>
      </c>
      <c r="X10" s="405">
        <v>4</v>
      </c>
      <c r="Y10" s="405"/>
      <c r="Z10" s="405">
        <v>4</v>
      </c>
      <c r="AA10" s="405">
        <v>4</v>
      </c>
      <c r="AB10" s="405">
        <v>4</v>
      </c>
      <c r="AC10" s="405">
        <v>4</v>
      </c>
      <c r="AD10" s="405"/>
      <c r="AE10" s="416" t="s">
        <v>203</v>
      </c>
      <c r="AF10" s="416" t="s">
        <v>203</v>
      </c>
      <c r="AG10" s="416" t="s">
        <v>203</v>
      </c>
      <c r="AH10" s="416" t="s">
        <v>203</v>
      </c>
      <c r="AI10" s="417" t="s">
        <v>203</v>
      </c>
      <c r="AJ10" s="416" t="s">
        <v>203</v>
      </c>
      <c r="AK10" s="416" t="s">
        <v>203</v>
      </c>
      <c r="AL10" s="418" t="s">
        <v>203</v>
      </c>
      <c r="AM10" s="416" t="s">
        <v>203</v>
      </c>
      <c r="AN10" s="416" t="s">
        <v>203</v>
      </c>
      <c r="AO10" s="416" t="s">
        <v>203</v>
      </c>
      <c r="AP10" s="416" t="s">
        <v>203</v>
      </c>
      <c r="AQ10" s="417">
        <v>4</v>
      </c>
      <c r="AR10" s="416">
        <v>4</v>
      </c>
      <c r="AS10" s="416">
        <v>4</v>
      </c>
      <c r="AT10" s="416">
        <v>4</v>
      </c>
      <c r="AU10" s="417">
        <v>4</v>
      </c>
      <c r="AV10" s="416">
        <v>4</v>
      </c>
      <c r="AW10" s="416">
        <v>4</v>
      </c>
      <c r="AX10" s="416">
        <v>8</v>
      </c>
      <c r="AY10" s="417">
        <v>8</v>
      </c>
      <c r="AZ10" s="416">
        <v>8</v>
      </c>
      <c r="BA10" s="416">
        <v>8</v>
      </c>
      <c r="BB10" s="416">
        <v>8</v>
      </c>
      <c r="BC10" s="409" t="s">
        <v>204</v>
      </c>
      <c r="BD10" s="2"/>
    </row>
    <row r="11" spans="1:92" s="122" customFormat="1" ht="27.6" customHeight="1">
      <c r="A11" s="503" t="s">
        <v>205</v>
      </c>
      <c r="B11" s="410">
        <v>2.98</v>
      </c>
      <c r="C11" s="410">
        <v>2.98</v>
      </c>
      <c r="D11" s="410">
        <v>2.98</v>
      </c>
      <c r="E11" s="410">
        <v>2.98</v>
      </c>
      <c r="F11" s="410"/>
      <c r="G11" s="410">
        <v>2.98</v>
      </c>
      <c r="H11" s="410">
        <v>2.98</v>
      </c>
      <c r="I11" s="410">
        <v>2.98</v>
      </c>
      <c r="J11" s="410">
        <v>2.98</v>
      </c>
      <c r="K11" s="411">
        <v>2.98</v>
      </c>
      <c r="L11" s="411">
        <v>2.98</v>
      </c>
      <c r="M11" s="411">
        <v>2.98</v>
      </c>
      <c r="N11" s="411">
        <v>2.98</v>
      </c>
      <c r="O11" s="411"/>
      <c r="P11" s="411">
        <v>2.98</v>
      </c>
      <c r="Q11" s="411">
        <v>2.98</v>
      </c>
      <c r="R11" s="411">
        <v>2.98</v>
      </c>
      <c r="S11" s="411">
        <v>2.98</v>
      </c>
      <c r="T11" s="411"/>
      <c r="U11" s="411">
        <v>2.98</v>
      </c>
      <c r="V11" s="411">
        <v>2.98</v>
      </c>
      <c r="W11" s="411">
        <v>2.98</v>
      </c>
      <c r="X11" s="411">
        <v>2.98</v>
      </c>
      <c r="Y11" s="411"/>
      <c r="Z11" s="411">
        <v>2.98</v>
      </c>
      <c r="AA11" s="411">
        <v>2.98</v>
      </c>
      <c r="AB11" s="411">
        <v>2.98</v>
      </c>
      <c r="AC11" s="411">
        <v>2.98</v>
      </c>
      <c r="AD11" s="411"/>
      <c r="AE11" s="419" t="s">
        <v>206</v>
      </c>
      <c r="AF11" s="419" t="s">
        <v>207</v>
      </c>
      <c r="AG11" s="419" t="s">
        <v>207</v>
      </c>
      <c r="AH11" s="419" t="s">
        <v>207</v>
      </c>
      <c r="AI11" s="420" t="s">
        <v>206</v>
      </c>
      <c r="AJ11" s="419" t="s">
        <v>207</v>
      </c>
      <c r="AK11" s="419" t="s">
        <v>207</v>
      </c>
      <c r="AL11" s="421" t="s">
        <v>207</v>
      </c>
      <c r="AM11" s="419" t="s">
        <v>206</v>
      </c>
      <c r="AN11" s="419" t="s">
        <v>207</v>
      </c>
      <c r="AO11" s="419" t="s">
        <v>207</v>
      </c>
      <c r="AP11" s="419" t="s">
        <v>207</v>
      </c>
      <c r="AQ11" s="420">
        <v>2.98</v>
      </c>
      <c r="AR11" s="419">
        <v>2.98</v>
      </c>
      <c r="AS11" s="419">
        <v>2.98</v>
      </c>
      <c r="AT11" s="419">
        <v>2.98</v>
      </c>
      <c r="AU11" s="420">
        <v>2.98</v>
      </c>
      <c r="AV11" s="419">
        <v>2.98</v>
      </c>
      <c r="AW11" s="419">
        <v>2.98</v>
      </c>
      <c r="AX11" s="419">
        <v>5.96</v>
      </c>
      <c r="AY11" s="420">
        <v>5.96</v>
      </c>
      <c r="AZ11" s="419">
        <v>5.96</v>
      </c>
      <c r="BA11" s="419">
        <v>5.96</v>
      </c>
      <c r="BB11" s="419">
        <v>5.96</v>
      </c>
      <c r="BC11" s="415" t="s">
        <v>208</v>
      </c>
      <c r="BD11" s="422"/>
      <c r="BU11" s="423"/>
    </row>
    <row r="12" spans="1:92" s="426" customFormat="1" ht="15.75">
      <c r="A12" s="381" t="s">
        <v>209</v>
      </c>
      <c r="B12" s="3"/>
      <c r="C12" s="3"/>
      <c r="D12" s="3"/>
      <c r="E12" s="3"/>
      <c r="F12" s="3"/>
      <c r="G12" s="3"/>
      <c r="H12" s="3"/>
      <c r="I12" s="3"/>
      <c r="J12" s="3"/>
      <c r="K12" s="424"/>
      <c r="L12" s="425"/>
      <c r="M12" s="379"/>
      <c r="N12" s="379"/>
      <c r="O12" s="379"/>
      <c r="V12" s="427"/>
      <c r="W12" s="146"/>
      <c r="X12" s="428"/>
      <c r="Y12" s="428"/>
      <c r="AA12" s="427"/>
      <c r="AB12" s="146"/>
      <c r="AC12" s="428"/>
      <c r="AD12" s="428"/>
      <c r="AF12" s="427"/>
      <c r="AG12" s="146"/>
      <c r="AH12" s="428"/>
      <c r="AJ12" s="427"/>
      <c r="AK12" s="146"/>
      <c r="AL12" s="428"/>
      <c r="AN12" s="427"/>
      <c r="AO12" s="146"/>
      <c r="AP12" s="428"/>
      <c r="AR12" s="427"/>
      <c r="AS12" s="146"/>
      <c r="AT12" s="428"/>
      <c r="AV12" s="427"/>
      <c r="AW12" s="146"/>
      <c r="AX12" s="428"/>
      <c r="AZ12" s="427"/>
      <c r="BA12" s="146"/>
      <c r="BB12" s="428"/>
      <c r="BC12" s="35" t="s">
        <v>210</v>
      </c>
      <c r="BD12" s="146"/>
      <c r="CJ12" s="324"/>
      <c r="CK12" s="324"/>
    </row>
    <row r="13" spans="1:92">
      <c r="CL13" s="426"/>
      <c r="CM13" s="426"/>
      <c r="CN13" s="426"/>
    </row>
    <row r="14" spans="1:92">
      <c r="CL14" s="426"/>
      <c r="CM14" s="426"/>
      <c r="CN14" s="426"/>
    </row>
    <row r="15" spans="1:92">
      <c r="BW15" s="122"/>
      <c r="BX15" s="429" t="s">
        <v>211</v>
      </c>
      <c r="BY15" s="9"/>
      <c r="BZ15" s="260"/>
      <c r="CA15" s="260"/>
      <c r="CB15" s="260"/>
      <c r="CC15" s="122"/>
      <c r="CD15" s="122"/>
      <c r="CE15" s="122"/>
      <c r="CF15" s="122"/>
      <c r="CG15" s="122"/>
      <c r="CL15" s="426"/>
      <c r="CM15" s="426"/>
      <c r="CN15" s="426"/>
    </row>
    <row r="16" spans="1:92">
      <c r="V16" s="430"/>
      <c r="AA16" s="430"/>
      <c r="AF16" s="430"/>
      <c r="AJ16" s="430"/>
      <c r="AN16" s="430"/>
      <c r="AR16" s="430"/>
      <c r="AV16" s="430"/>
      <c r="AZ16" s="430"/>
      <c r="BW16" s="122"/>
      <c r="BX16" s="431" t="s">
        <v>212</v>
      </c>
      <c r="BY16" s="431">
        <v>2011</v>
      </c>
      <c r="BZ16" s="431">
        <v>2012</v>
      </c>
      <c r="CA16" s="431">
        <v>2013</v>
      </c>
      <c r="CB16" s="431">
        <v>2014</v>
      </c>
      <c r="CC16" s="431">
        <v>2015</v>
      </c>
      <c r="CD16" s="431">
        <v>2016</v>
      </c>
      <c r="CE16" s="431">
        <v>2017</v>
      </c>
      <c r="CF16" s="122"/>
      <c r="CG16" s="122"/>
      <c r="CH16" s="122"/>
      <c r="CI16" s="122"/>
      <c r="CJ16" s="122"/>
      <c r="CK16" s="122"/>
      <c r="CL16" s="396"/>
      <c r="CM16" s="396"/>
      <c r="CN16" s="396"/>
    </row>
    <row r="17" spans="15:92">
      <c r="O17" s="324"/>
      <c r="BW17" s="426"/>
      <c r="BX17" s="432" t="s">
        <v>20</v>
      </c>
      <c r="BY17" s="432">
        <v>10.6</v>
      </c>
      <c r="BZ17" s="432">
        <v>15.02</v>
      </c>
      <c r="CA17" s="432">
        <v>16.420000000000002</v>
      </c>
      <c r="CB17" s="432">
        <v>16.37</v>
      </c>
      <c r="CC17" s="432">
        <v>10</v>
      </c>
      <c r="CD17" s="553">
        <v>9.0500000000000007</v>
      </c>
      <c r="CE17" s="554">
        <v>9.35</v>
      </c>
      <c r="CF17" s="553">
        <v>10</v>
      </c>
      <c r="CI17" s="122"/>
      <c r="CJ17" s="122"/>
      <c r="CK17" s="122"/>
      <c r="CL17" s="396"/>
      <c r="CM17" s="396"/>
      <c r="CN17" s="396"/>
    </row>
    <row r="18" spans="15:92">
      <c r="O18" s="324"/>
      <c r="BX18" s="432" t="s">
        <v>21</v>
      </c>
      <c r="BY18" s="432">
        <v>11.8</v>
      </c>
      <c r="BZ18" s="432">
        <v>15.02</v>
      </c>
      <c r="CA18" s="432">
        <v>16.420000000000002</v>
      </c>
      <c r="CB18" s="432">
        <v>16.37</v>
      </c>
      <c r="CC18" s="432">
        <v>10</v>
      </c>
      <c r="CD18" s="553">
        <v>9.0500000000000007</v>
      </c>
      <c r="CE18" s="554">
        <v>9.35</v>
      </c>
      <c r="CF18" s="553">
        <v>10</v>
      </c>
      <c r="CI18" s="122"/>
      <c r="CJ18" s="122"/>
      <c r="CK18" s="122"/>
      <c r="CL18" s="396"/>
      <c r="CM18" s="396"/>
      <c r="CN18" s="396"/>
    </row>
    <row r="19" spans="15:92">
      <c r="O19" s="324"/>
      <c r="BX19" s="432" t="s">
        <v>2</v>
      </c>
      <c r="BY19" s="432">
        <v>13.53</v>
      </c>
      <c r="BZ19" s="432">
        <v>15.67</v>
      </c>
      <c r="CA19" s="432">
        <v>16.8</v>
      </c>
      <c r="CB19" s="432">
        <v>16.37</v>
      </c>
      <c r="CC19" s="432">
        <v>11</v>
      </c>
      <c r="CD19" s="553">
        <v>9.0500000000000007</v>
      </c>
      <c r="CE19" s="554">
        <v>9.35</v>
      </c>
      <c r="CF19" s="553">
        <v>11</v>
      </c>
      <c r="CI19" s="122"/>
      <c r="CJ19" s="122"/>
      <c r="CK19" s="122"/>
      <c r="CL19" s="396"/>
      <c r="CM19" s="396"/>
      <c r="CN19" s="396"/>
    </row>
    <row r="20" spans="15:92">
      <c r="O20" s="324"/>
      <c r="BX20" s="432" t="s">
        <v>22</v>
      </c>
      <c r="BY20" s="432">
        <v>15.02</v>
      </c>
      <c r="BZ20" s="432">
        <v>16.52</v>
      </c>
      <c r="CA20" s="432">
        <v>16.37</v>
      </c>
      <c r="CB20" s="432">
        <v>16.37</v>
      </c>
      <c r="CC20" s="432">
        <v>11</v>
      </c>
      <c r="CD20" s="553">
        <v>9.0500000000000007</v>
      </c>
      <c r="CE20" s="554">
        <v>9.15</v>
      </c>
      <c r="CF20" s="553">
        <v>11</v>
      </c>
      <c r="CI20" s="122"/>
      <c r="CJ20" s="122"/>
      <c r="CK20" s="122"/>
      <c r="CL20" s="396"/>
      <c r="CM20" s="396"/>
      <c r="CN20" s="396"/>
    </row>
    <row r="21" spans="15:92">
      <c r="O21" s="324"/>
      <c r="BX21" s="432" t="s">
        <v>23</v>
      </c>
      <c r="BY21" s="432">
        <v>16.190000000000001</v>
      </c>
      <c r="BZ21" s="432">
        <v>16.52</v>
      </c>
      <c r="CA21" s="432">
        <v>16.37</v>
      </c>
      <c r="CB21" s="432">
        <v>16.37</v>
      </c>
      <c r="CC21" s="432">
        <v>11</v>
      </c>
      <c r="CD21" s="553">
        <v>9.0500000000000007</v>
      </c>
      <c r="CE21" s="554">
        <v>9.15</v>
      </c>
      <c r="CF21" s="553">
        <v>11</v>
      </c>
      <c r="CI21" s="122"/>
      <c r="CJ21" s="122"/>
      <c r="CK21" s="122"/>
      <c r="CL21" s="396"/>
      <c r="CM21" s="396"/>
      <c r="CN21" s="396"/>
    </row>
    <row r="22" spans="15:92">
      <c r="O22" s="324"/>
      <c r="BX22" s="432" t="s">
        <v>3</v>
      </c>
      <c r="BY22" s="432">
        <v>16.190000000000001</v>
      </c>
      <c r="BZ22" s="432">
        <v>16.21</v>
      </c>
      <c r="CA22" s="432">
        <v>16.37</v>
      </c>
      <c r="CB22" s="432">
        <v>16.37</v>
      </c>
      <c r="CC22" s="432">
        <v>11</v>
      </c>
      <c r="CD22" s="553">
        <v>9.0500000000000007</v>
      </c>
      <c r="CE22" s="554">
        <v>8.75</v>
      </c>
      <c r="CF22" s="553">
        <v>11</v>
      </c>
      <c r="CI22" s="122"/>
      <c r="CJ22" s="122"/>
      <c r="CK22" s="122"/>
      <c r="CL22" s="396"/>
      <c r="CM22" s="396"/>
      <c r="CN22" s="396"/>
    </row>
    <row r="23" spans="15:92">
      <c r="O23" s="324"/>
      <c r="BX23" s="432" t="s">
        <v>24</v>
      </c>
      <c r="BY23" s="432">
        <v>16.190000000000001</v>
      </c>
      <c r="BZ23" s="432">
        <v>16.52</v>
      </c>
      <c r="CA23" s="432">
        <v>16.37</v>
      </c>
      <c r="CB23" s="432">
        <v>16.37</v>
      </c>
      <c r="CC23" s="432">
        <v>11</v>
      </c>
      <c r="CD23" s="553">
        <v>9.0500000000000007</v>
      </c>
      <c r="CE23" s="554">
        <v>8.65</v>
      </c>
      <c r="CF23" s="553">
        <v>11</v>
      </c>
      <c r="CI23" s="122"/>
      <c r="CJ23" s="122"/>
      <c r="CK23" s="122"/>
      <c r="CL23" s="396"/>
      <c r="CM23" s="396"/>
      <c r="CN23" s="396"/>
    </row>
    <row r="24" spans="15:92">
      <c r="O24" s="324"/>
      <c r="BX24" s="432" t="s">
        <v>25</v>
      </c>
      <c r="BY24" s="432">
        <v>16.190000000000001</v>
      </c>
      <c r="BZ24" s="432">
        <v>16.52</v>
      </c>
      <c r="CA24" s="432">
        <v>16.37</v>
      </c>
      <c r="CB24" s="432">
        <v>16.37</v>
      </c>
      <c r="CC24" s="432">
        <v>11</v>
      </c>
      <c r="CD24" s="553">
        <v>9.0500000000000007</v>
      </c>
      <c r="CE24" s="554">
        <v>8.65</v>
      </c>
      <c r="CF24" s="553">
        <v>11</v>
      </c>
      <c r="CI24" s="122"/>
      <c r="CJ24" s="122"/>
      <c r="CK24" s="122"/>
      <c r="CL24" s="396"/>
      <c r="CM24" s="396"/>
      <c r="CN24" s="396"/>
    </row>
    <row r="25" spans="15:92">
      <c r="O25" s="324"/>
      <c r="BX25" s="432" t="s">
        <v>4</v>
      </c>
      <c r="BY25" s="432">
        <v>16.190000000000001</v>
      </c>
      <c r="BZ25" s="432">
        <v>16.68</v>
      </c>
      <c r="CA25" s="432">
        <v>16.37</v>
      </c>
      <c r="CB25" s="432">
        <v>16.37</v>
      </c>
      <c r="CC25" s="432">
        <v>11</v>
      </c>
      <c r="CD25" s="553">
        <v>9.0500000000000007</v>
      </c>
      <c r="CE25" s="554">
        <v>8.9499999999999993</v>
      </c>
      <c r="CF25" s="553">
        <v>11</v>
      </c>
      <c r="CI25" s="122"/>
      <c r="CJ25" s="122"/>
      <c r="CK25" s="122"/>
      <c r="CL25" s="396"/>
      <c r="CM25" s="396"/>
      <c r="CN25" s="396"/>
    </row>
    <row r="26" spans="15:92">
      <c r="O26" s="324"/>
      <c r="BW26" s="396"/>
      <c r="BX26" s="432" t="s">
        <v>26</v>
      </c>
      <c r="BY26" s="432">
        <v>16.190000000000001</v>
      </c>
      <c r="BZ26" s="432">
        <v>16.52</v>
      </c>
      <c r="CA26" s="432">
        <v>16.37</v>
      </c>
      <c r="CB26" s="432">
        <v>15.12</v>
      </c>
      <c r="CC26" s="432">
        <v>11</v>
      </c>
      <c r="CD26" s="553">
        <v>9.0500000000000007</v>
      </c>
      <c r="CE26" s="554">
        <v>9.52</v>
      </c>
      <c r="CF26" s="553">
        <v>11</v>
      </c>
      <c r="CI26" s="122"/>
      <c r="CJ26" s="122"/>
      <c r="CK26" s="122"/>
      <c r="CL26" s="396"/>
      <c r="CM26" s="396"/>
      <c r="CN26" s="396"/>
    </row>
    <row r="27" spans="15:92">
      <c r="O27" s="324"/>
      <c r="BW27" s="396"/>
      <c r="BX27" s="432" t="s">
        <v>27</v>
      </c>
      <c r="BY27" s="432">
        <v>16.190000000000001</v>
      </c>
      <c r="BZ27" s="432">
        <v>16.52</v>
      </c>
      <c r="CA27" s="432">
        <v>16.37</v>
      </c>
      <c r="CB27" s="432">
        <v>15.12</v>
      </c>
      <c r="CC27" s="432">
        <v>11</v>
      </c>
      <c r="CD27" s="553">
        <v>9.0500000000000007</v>
      </c>
      <c r="CE27" s="554">
        <v>9.8699999999999992</v>
      </c>
      <c r="CF27" s="553">
        <v>11</v>
      </c>
      <c r="CI27" s="122"/>
      <c r="CJ27" s="122"/>
      <c r="CK27" s="122"/>
      <c r="CL27" s="396"/>
      <c r="CM27" s="396"/>
      <c r="CN27" s="396"/>
    </row>
    <row r="28" spans="15:92">
      <c r="O28" s="324"/>
      <c r="BW28" s="396"/>
      <c r="BX28" s="434" t="s">
        <v>5</v>
      </c>
      <c r="BY28" s="434">
        <v>16.190000000000001</v>
      </c>
      <c r="BZ28" s="434">
        <v>16.420000000000002</v>
      </c>
      <c r="CA28" s="434">
        <v>16.37</v>
      </c>
      <c r="CB28" s="434">
        <v>12</v>
      </c>
      <c r="CC28" s="434">
        <v>11</v>
      </c>
      <c r="CD28" s="590">
        <v>9.0500000000000007</v>
      </c>
      <c r="CE28" s="591">
        <v>9.8699999999999992</v>
      </c>
      <c r="CF28" s="590">
        <v>11</v>
      </c>
      <c r="CI28" s="122"/>
      <c r="CJ28" s="122"/>
      <c r="CK28" s="122"/>
      <c r="CL28" s="396"/>
      <c r="CM28" s="396"/>
      <c r="CN28" s="396"/>
    </row>
    <row r="29" spans="15:92">
      <c r="O29" s="324"/>
      <c r="BW29" s="396"/>
      <c r="BX29" s="396"/>
      <c r="BY29" s="396"/>
      <c r="BZ29" s="396"/>
      <c r="CA29" s="396"/>
      <c r="CB29" s="396"/>
      <c r="CC29" s="500"/>
      <c r="CD29" s="500"/>
      <c r="CE29" s="500"/>
      <c r="CF29" s="500"/>
      <c r="CG29" s="500"/>
      <c r="CH29" s="396"/>
      <c r="CI29" s="396"/>
      <c r="CJ29" s="396"/>
      <c r="CK29" s="396"/>
      <c r="CL29" s="396"/>
      <c r="CM29" s="396"/>
      <c r="CN29" s="396"/>
    </row>
    <row r="30" spans="15:92">
      <c r="O30" s="324"/>
      <c r="BW30" s="396"/>
      <c r="BX30" s="9"/>
      <c r="BY30" s="9"/>
      <c r="BZ30" s="9"/>
      <c r="CA30" s="9"/>
      <c r="CB30" s="9"/>
      <c r="CC30" s="400"/>
      <c r="CD30" s="400"/>
      <c r="CE30" s="400"/>
      <c r="CF30" s="400"/>
      <c r="CG30" s="400"/>
      <c r="CH30" s="396"/>
      <c r="CI30" s="396"/>
      <c r="CJ30" s="396"/>
      <c r="CK30" s="396"/>
      <c r="CL30" s="396"/>
      <c r="CM30" s="396"/>
      <c r="CN30" s="396"/>
    </row>
    <row r="31" spans="15:92">
      <c r="O31" s="324"/>
      <c r="BW31" s="396"/>
      <c r="BX31" s="429" t="s">
        <v>213</v>
      </c>
      <c r="BY31" s="260"/>
      <c r="BZ31" s="260"/>
      <c r="CA31" s="260"/>
      <c r="CB31" s="260"/>
      <c r="CC31" s="433"/>
      <c r="CD31" s="433"/>
      <c r="CE31" s="433"/>
      <c r="CF31" s="433"/>
      <c r="CG31" s="433"/>
      <c r="CH31" s="396"/>
      <c r="CI31" s="396"/>
      <c r="CJ31" s="396"/>
      <c r="CK31" s="396"/>
      <c r="CL31" s="396"/>
      <c r="CM31" s="396"/>
      <c r="CN31" s="396"/>
    </row>
    <row r="32" spans="15:92">
      <c r="O32" s="324"/>
      <c r="BW32" s="396"/>
      <c r="BX32" s="431" t="s">
        <v>212</v>
      </c>
      <c r="BY32" s="431">
        <v>2011</v>
      </c>
      <c r="BZ32" s="431">
        <v>2012</v>
      </c>
      <c r="CA32" s="431">
        <v>2013</v>
      </c>
      <c r="CB32" s="431">
        <v>2014</v>
      </c>
      <c r="CC32" s="431">
        <v>2015</v>
      </c>
      <c r="CD32" s="431">
        <v>2016</v>
      </c>
      <c r="CE32" s="431">
        <v>2017</v>
      </c>
      <c r="CF32" s="433"/>
      <c r="CG32" s="433"/>
      <c r="CH32" s="396"/>
      <c r="CI32" s="396"/>
      <c r="CJ32" s="396"/>
      <c r="CK32" s="396"/>
      <c r="CL32" s="396"/>
      <c r="CM32" s="396"/>
      <c r="CN32" s="396"/>
    </row>
    <row r="33" spans="15:92">
      <c r="O33" s="324"/>
      <c r="AE33" s="396"/>
      <c r="AF33" s="396"/>
      <c r="AG33" s="396"/>
      <c r="AH33" s="396"/>
      <c r="AI33" s="396"/>
      <c r="AJ33" s="396"/>
      <c r="AK33" s="396"/>
      <c r="AL33" s="396"/>
      <c r="AM33" s="396"/>
      <c r="AN33" s="396"/>
      <c r="AO33" s="396"/>
      <c r="AP33" s="396"/>
      <c r="AQ33" s="396"/>
      <c r="AR33" s="396"/>
      <c r="AS33" s="396"/>
      <c r="AT33" s="396"/>
      <c r="AU33" s="396"/>
      <c r="AV33" s="396"/>
      <c r="AW33" s="396"/>
      <c r="AX33" s="396"/>
      <c r="AY33" s="396"/>
      <c r="AZ33" s="396"/>
      <c r="BA33" s="396"/>
      <c r="BB33" s="396"/>
      <c r="BW33" s="396"/>
      <c r="BX33" s="432" t="s">
        <v>20</v>
      </c>
      <c r="BY33" s="432">
        <v>10.45</v>
      </c>
      <c r="BZ33" s="432">
        <v>15.03</v>
      </c>
      <c r="CA33" s="432">
        <v>16.23</v>
      </c>
      <c r="CB33" s="432">
        <v>16.079999999999998</v>
      </c>
      <c r="CC33" s="432">
        <v>11</v>
      </c>
      <c r="CD33" s="553">
        <v>9.25</v>
      </c>
      <c r="CE33" s="554">
        <v>9.25</v>
      </c>
      <c r="CF33" s="553"/>
      <c r="CI33" s="396"/>
      <c r="CJ33" s="396"/>
      <c r="CK33" s="396"/>
      <c r="CL33" s="396"/>
      <c r="CM33" s="396"/>
      <c r="CN33" s="396"/>
    </row>
    <row r="34" spans="15:92">
      <c r="O34" s="324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  <c r="AO34" s="396"/>
      <c r="AP34" s="396"/>
      <c r="AQ34" s="396"/>
      <c r="AR34" s="396"/>
      <c r="AS34" s="396"/>
      <c r="AT34" s="396"/>
      <c r="AU34" s="396"/>
      <c r="AV34" s="396"/>
      <c r="AW34" s="396"/>
      <c r="AX34" s="396"/>
      <c r="AY34" s="396"/>
      <c r="AZ34" s="396"/>
      <c r="BA34" s="396"/>
      <c r="BB34" s="396"/>
      <c r="BW34" s="396"/>
      <c r="BX34" s="432" t="s">
        <v>21</v>
      </c>
      <c r="BY34" s="432">
        <v>11.65</v>
      </c>
      <c r="BZ34" s="432">
        <v>15.03</v>
      </c>
      <c r="CA34" s="432">
        <v>16.23</v>
      </c>
      <c r="CB34" s="432">
        <v>16.079999999999998</v>
      </c>
      <c r="CC34" s="432">
        <v>11</v>
      </c>
      <c r="CD34" s="553">
        <v>9.25</v>
      </c>
      <c r="CE34" s="554">
        <v>9.25</v>
      </c>
      <c r="CF34" s="553"/>
      <c r="CI34" s="396"/>
      <c r="CJ34" s="396"/>
      <c r="CK34" s="396"/>
      <c r="CL34" s="396"/>
      <c r="CM34" s="396"/>
      <c r="CN34" s="396"/>
    </row>
    <row r="35" spans="15:92" ht="15.75">
      <c r="O35" s="324"/>
      <c r="AE35" s="435"/>
      <c r="AF35" s="396"/>
      <c r="AG35" s="43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396"/>
      <c r="BB35" s="396"/>
      <c r="BW35" s="396"/>
      <c r="BX35" s="432" t="s">
        <v>2</v>
      </c>
      <c r="BY35" s="432">
        <v>13.5</v>
      </c>
      <c r="BZ35" s="432">
        <v>15.68</v>
      </c>
      <c r="CA35" s="432">
        <v>16.489999999999998</v>
      </c>
      <c r="CB35" s="432">
        <v>16.079999999999998</v>
      </c>
      <c r="CC35" s="432">
        <v>11</v>
      </c>
      <c r="CD35" s="553">
        <v>9.25</v>
      </c>
      <c r="CE35" s="554">
        <v>9.25</v>
      </c>
      <c r="CF35" s="553"/>
      <c r="CI35" s="396"/>
      <c r="CJ35" s="396"/>
      <c r="CK35" s="396"/>
      <c r="CL35" s="396"/>
      <c r="CM35" s="396"/>
      <c r="CN35" s="396"/>
    </row>
    <row r="36" spans="15:92">
      <c r="O36" s="324"/>
      <c r="AE36" s="396"/>
      <c r="AF36" s="396"/>
      <c r="AG36" s="396"/>
      <c r="AH36" s="396"/>
      <c r="AI36" s="396"/>
      <c r="AJ36" s="396"/>
      <c r="AK36" s="396"/>
      <c r="AL36" s="396"/>
      <c r="AM36" s="396"/>
      <c r="AN36" s="396"/>
      <c r="AO36" s="396"/>
      <c r="AP36" s="396"/>
      <c r="AQ36" s="396"/>
      <c r="AR36" s="396"/>
      <c r="AS36" s="396"/>
      <c r="AT36" s="396"/>
      <c r="AU36" s="396"/>
      <c r="AV36" s="396"/>
      <c r="AW36" s="396"/>
      <c r="AX36" s="396"/>
      <c r="AY36" s="396"/>
      <c r="AZ36" s="396"/>
      <c r="BA36" s="396"/>
      <c r="BB36" s="396"/>
      <c r="BW36" s="396"/>
      <c r="BX36" s="432" t="s">
        <v>22</v>
      </c>
      <c r="BY36" s="432">
        <v>15.09</v>
      </c>
      <c r="BZ36" s="432">
        <v>16.5</v>
      </c>
      <c r="CA36" s="432">
        <v>16.079999999999998</v>
      </c>
      <c r="CB36" s="432">
        <v>16.079999999999998</v>
      </c>
      <c r="CC36" s="432">
        <v>11</v>
      </c>
      <c r="CD36" s="553">
        <v>9.25</v>
      </c>
      <c r="CE36" s="554">
        <v>9.15</v>
      </c>
      <c r="CF36" s="553"/>
      <c r="CI36" s="396"/>
      <c r="CJ36" s="396"/>
      <c r="CK36" s="396"/>
      <c r="CL36" s="396"/>
      <c r="CM36" s="396"/>
      <c r="CN36" s="396"/>
    </row>
    <row r="37" spans="15:92">
      <c r="O37" s="324"/>
      <c r="AE37" s="396"/>
      <c r="AF37" s="396"/>
      <c r="AG37" s="396"/>
      <c r="AH37" s="396"/>
      <c r="AI37" s="396"/>
      <c r="AJ37" s="396"/>
      <c r="AK37" s="396"/>
      <c r="AL37" s="396"/>
      <c r="AM37" s="396"/>
      <c r="AN37" s="396"/>
      <c r="AO37" s="396"/>
      <c r="AP37" s="396"/>
      <c r="AQ37" s="396"/>
      <c r="AR37" s="396"/>
      <c r="AS37" s="396"/>
      <c r="AT37" s="396"/>
      <c r="AU37" s="396"/>
      <c r="AV37" s="396"/>
      <c r="AW37" s="396"/>
      <c r="AX37" s="396"/>
      <c r="AY37" s="396"/>
      <c r="AZ37" s="396"/>
      <c r="BA37" s="396"/>
      <c r="BB37" s="396"/>
      <c r="BW37" s="396"/>
      <c r="BX37" s="432" t="s">
        <v>23</v>
      </c>
      <c r="BY37" s="432">
        <v>15.65</v>
      </c>
      <c r="BZ37" s="432">
        <v>16.5</v>
      </c>
      <c r="CA37" s="432">
        <v>16.079999999999998</v>
      </c>
      <c r="CB37" s="432">
        <v>16.079999999999998</v>
      </c>
      <c r="CC37" s="432">
        <v>11</v>
      </c>
      <c r="CD37" s="553">
        <v>9.25</v>
      </c>
      <c r="CE37" s="554">
        <v>9.15</v>
      </c>
      <c r="CF37" s="553"/>
      <c r="CI37" s="396"/>
      <c r="CJ37" s="396"/>
      <c r="CK37" s="396"/>
      <c r="CL37" s="396"/>
      <c r="CM37" s="396"/>
      <c r="CN37" s="396"/>
    </row>
    <row r="38" spans="15:92">
      <c r="O38" s="324"/>
      <c r="AE38" s="396"/>
      <c r="AF38" s="429"/>
      <c r="AG38" s="260"/>
      <c r="AH38" s="260"/>
      <c r="AI38" s="260"/>
      <c r="AJ38" s="260"/>
      <c r="AK38" s="396"/>
      <c r="AL38" s="429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W38" s="396"/>
      <c r="BX38" s="432" t="s">
        <v>3</v>
      </c>
      <c r="BY38" s="432">
        <v>15.65</v>
      </c>
      <c r="BZ38" s="432">
        <v>15.96</v>
      </c>
      <c r="CA38" s="432">
        <v>16.079999999999998</v>
      </c>
      <c r="CB38" s="432">
        <v>16.079999999999998</v>
      </c>
      <c r="CC38" s="432">
        <v>11</v>
      </c>
      <c r="CD38" s="553">
        <v>9.25</v>
      </c>
      <c r="CE38" s="554">
        <v>8.44</v>
      </c>
      <c r="CF38" s="553"/>
      <c r="CI38" s="396"/>
      <c r="CJ38" s="396"/>
      <c r="CK38" s="396"/>
      <c r="CL38" s="396"/>
      <c r="CM38" s="396"/>
      <c r="CN38" s="396"/>
    </row>
    <row r="39" spans="15:92">
      <c r="O39" s="324"/>
      <c r="AE39" s="396"/>
      <c r="AF39" s="437"/>
      <c r="AG39" s="437"/>
      <c r="AH39" s="437"/>
      <c r="AI39" s="396"/>
      <c r="AJ39" s="396"/>
      <c r="AK39" s="396"/>
      <c r="AL39" s="260"/>
      <c r="AM39" s="437"/>
      <c r="AN39" s="437"/>
      <c r="AO39" s="437"/>
      <c r="AP39" s="437"/>
      <c r="AQ39" s="437"/>
      <c r="AR39" s="437"/>
      <c r="AS39" s="437"/>
      <c r="AT39" s="437"/>
      <c r="AU39" s="437"/>
      <c r="AV39" s="437"/>
      <c r="AW39" s="437"/>
      <c r="AX39" s="437"/>
      <c r="AY39" s="437"/>
      <c r="AZ39" s="437"/>
      <c r="BA39" s="437"/>
      <c r="BB39" s="437"/>
      <c r="BW39" s="396"/>
      <c r="BX39" s="432" t="s">
        <v>24</v>
      </c>
      <c r="BY39" s="432">
        <v>15.65</v>
      </c>
      <c r="BZ39" s="432">
        <v>16.5</v>
      </c>
      <c r="CA39" s="432">
        <v>16.079999999999998</v>
      </c>
      <c r="CB39" s="432">
        <v>16.079999999999998</v>
      </c>
      <c r="CC39" s="432">
        <v>11</v>
      </c>
      <c r="CD39" s="553">
        <v>9.25</v>
      </c>
      <c r="CE39" s="554">
        <v>8.44</v>
      </c>
      <c r="CF39" s="553"/>
      <c r="CI39" s="396"/>
      <c r="CJ39" s="396"/>
      <c r="CK39" s="396"/>
      <c r="CL39" s="396"/>
      <c r="CM39" s="396"/>
      <c r="CN39" s="396"/>
    </row>
    <row r="40" spans="15:92">
      <c r="O40" s="324"/>
      <c r="AE40" s="396"/>
      <c r="AF40" s="438"/>
      <c r="AG40" s="438"/>
      <c r="AH40" s="396"/>
      <c r="AI40" s="396"/>
      <c r="AJ40" s="396"/>
      <c r="AK40" s="396"/>
      <c r="AL40" s="396"/>
      <c r="AM40" s="438"/>
      <c r="AN40" s="438"/>
      <c r="AO40" s="396"/>
      <c r="AP40" s="396"/>
      <c r="AQ40" s="438"/>
      <c r="AR40" s="438"/>
      <c r="AS40" s="396"/>
      <c r="AT40" s="396"/>
      <c r="AU40" s="438"/>
      <c r="AV40" s="438"/>
      <c r="AW40" s="396"/>
      <c r="AX40" s="396"/>
      <c r="AY40" s="438"/>
      <c r="AZ40" s="438"/>
      <c r="BA40" s="396"/>
      <c r="BB40" s="396"/>
      <c r="BW40" s="396"/>
      <c r="BX40" s="432" t="s">
        <v>25</v>
      </c>
      <c r="BY40" s="432">
        <v>15.65</v>
      </c>
      <c r="BZ40" s="432">
        <v>16.5</v>
      </c>
      <c r="CA40" s="432">
        <v>16.079999999999998</v>
      </c>
      <c r="CB40" s="432">
        <v>16.079999999999998</v>
      </c>
      <c r="CC40" s="432">
        <v>11</v>
      </c>
      <c r="CD40" s="553">
        <v>9.25</v>
      </c>
      <c r="CE40" s="554">
        <v>8.44</v>
      </c>
      <c r="CF40" s="553"/>
      <c r="CI40" s="396"/>
      <c r="CJ40" s="396"/>
      <c r="CK40" s="396"/>
      <c r="CL40" s="396"/>
      <c r="CM40" s="396"/>
      <c r="CN40" s="396"/>
    </row>
    <row r="41" spans="15:92">
      <c r="O41" s="324"/>
      <c r="AE41" s="432"/>
      <c r="AF41" s="432"/>
      <c r="AG41" s="432"/>
      <c r="AH41" s="396"/>
      <c r="AI41" s="396"/>
      <c r="AJ41" s="396"/>
      <c r="AK41" s="396"/>
      <c r="AL41" s="432"/>
      <c r="AM41" s="432"/>
      <c r="AN41" s="432"/>
      <c r="AO41" s="432"/>
      <c r="AP41" s="432"/>
      <c r="AQ41" s="432"/>
      <c r="AR41" s="432"/>
      <c r="AS41" s="432"/>
      <c r="AT41" s="432"/>
      <c r="AU41" s="432"/>
      <c r="AV41" s="432"/>
      <c r="AW41" s="432"/>
      <c r="AX41" s="432"/>
      <c r="AY41" s="432"/>
      <c r="AZ41" s="432"/>
      <c r="BA41" s="432"/>
      <c r="BB41" s="432"/>
      <c r="BW41" s="396"/>
      <c r="BX41" s="432" t="s">
        <v>4</v>
      </c>
      <c r="BY41" s="432">
        <v>15.65</v>
      </c>
      <c r="BZ41" s="432">
        <v>16.45</v>
      </c>
      <c r="CA41" s="432">
        <v>16.079999999999998</v>
      </c>
      <c r="CB41" s="432">
        <v>16.079999999999998</v>
      </c>
      <c r="CC41" s="432">
        <v>11</v>
      </c>
      <c r="CD41" s="553">
        <v>9.25</v>
      </c>
      <c r="CE41" s="554">
        <v>8.64</v>
      </c>
      <c r="CF41" s="553"/>
      <c r="CI41" s="396"/>
      <c r="CJ41" s="396"/>
      <c r="CK41" s="396"/>
      <c r="CL41" s="396"/>
      <c r="CM41" s="396"/>
      <c r="CN41" s="396"/>
    </row>
    <row r="42" spans="15:92">
      <c r="O42" s="324"/>
      <c r="AE42" s="432"/>
      <c r="AF42" s="432"/>
      <c r="AG42" s="432"/>
      <c r="AH42" s="396"/>
      <c r="AI42" s="396"/>
      <c r="AJ42" s="396"/>
      <c r="AK42" s="396"/>
      <c r="AL42" s="432"/>
      <c r="AM42" s="432"/>
      <c r="AN42" s="432"/>
      <c r="AO42" s="432"/>
      <c r="AP42" s="432"/>
      <c r="AQ42" s="432"/>
      <c r="AR42" s="432"/>
      <c r="AS42" s="432"/>
      <c r="AT42" s="432"/>
      <c r="AU42" s="432"/>
      <c r="AV42" s="432"/>
      <c r="AW42" s="432"/>
      <c r="AX42" s="432"/>
      <c r="AY42" s="432"/>
      <c r="AZ42" s="432"/>
      <c r="BA42" s="432"/>
      <c r="BB42" s="432"/>
      <c r="BW42" s="396"/>
      <c r="BX42" s="432" t="s">
        <v>26</v>
      </c>
      <c r="BY42" s="432">
        <v>15.65</v>
      </c>
      <c r="BZ42" s="432">
        <v>16.5</v>
      </c>
      <c r="CA42" s="432">
        <v>16.079999999999998</v>
      </c>
      <c r="CB42" s="432">
        <v>14.83</v>
      </c>
      <c r="CC42" s="432">
        <v>11</v>
      </c>
      <c r="CD42" s="553">
        <v>9.25</v>
      </c>
      <c r="CE42" s="554">
        <v>9.17</v>
      </c>
      <c r="CF42" s="553"/>
      <c r="CI42" s="396"/>
      <c r="CJ42" s="396"/>
      <c r="CK42" s="396"/>
      <c r="CL42" s="396"/>
      <c r="CM42" s="396"/>
      <c r="CN42" s="396"/>
    </row>
    <row r="43" spans="15:92">
      <c r="O43" s="324"/>
      <c r="AE43" s="432"/>
      <c r="AF43" s="432"/>
      <c r="AG43" s="432"/>
      <c r="AH43" s="439"/>
      <c r="AI43" s="396"/>
      <c r="AJ43" s="396"/>
      <c r="AK43" s="396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32"/>
      <c r="AX43" s="432"/>
      <c r="AY43" s="432"/>
      <c r="AZ43" s="432"/>
      <c r="BA43" s="432"/>
      <c r="BB43" s="432"/>
      <c r="BW43" s="396"/>
      <c r="BX43" s="432" t="s">
        <v>27</v>
      </c>
      <c r="BY43" s="432">
        <v>15.65</v>
      </c>
      <c r="BZ43" s="432">
        <v>16.5</v>
      </c>
      <c r="CA43" s="432">
        <v>16.079999999999998</v>
      </c>
      <c r="CB43" s="432">
        <v>14.83</v>
      </c>
      <c r="CC43" s="432">
        <v>11</v>
      </c>
      <c r="CD43" s="553">
        <v>9.25</v>
      </c>
      <c r="CE43" s="554">
        <v>9.61</v>
      </c>
      <c r="CF43" s="553"/>
      <c r="CI43" s="396"/>
      <c r="CJ43" s="396"/>
      <c r="CK43" s="396"/>
      <c r="CL43" s="396"/>
      <c r="CM43" s="396"/>
      <c r="CN43" s="396"/>
    </row>
    <row r="44" spans="15:92">
      <c r="O44" s="324"/>
      <c r="AE44" s="432"/>
      <c r="AF44" s="432"/>
      <c r="AG44" s="432"/>
      <c r="AH44" s="423"/>
      <c r="AI44" s="396"/>
      <c r="AJ44" s="396"/>
      <c r="AK44" s="396"/>
      <c r="AL44" s="432"/>
      <c r="AM44" s="432"/>
      <c r="AN44" s="432"/>
      <c r="AO44" s="432"/>
      <c r="AP44" s="432"/>
      <c r="AQ44" s="432"/>
      <c r="AR44" s="432"/>
      <c r="AS44" s="432"/>
      <c r="AT44" s="432"/>
      <c r="AU44" s="432"/>
      <c r="AV44" s="432"/>
      <c r="AW44" s="432"/>
      <c r="AX44" s="432"/>
      <c r="AY44" s="432"/>
      <c r="AZ44" s="432"/>
      <c r="BA44" s="432"/>
      <c r="BB44" s="432"/>
      <c r="BW44" s="396"/>
      <c r="BX44" s="434" t="s">
        <v>5</v>
      </c>
      <c r="BY44" s="434">
        <v>15.65</v>
      </c>
      <c r="BZ44" s="434">
        <v>16.23</v>
      </c>
      <c r="CA44" s="434">
        <v>16.079999999999998</v>
      </c>
      <c r="CB44" s="434">
        <v>12</v>
      </c>
      <c r="CC44" s="434">
        <v>11</v>
      </c>
      <c r="CD44" s="590">
        <v>9.25</v>
      </c>
      <c r="CE44" s="591">
        <v>9.61</v>
      </c>
      <c r="CF44" s="590"/>
      <c r="CI44" s="396"/>
      <c r="CJ44" s="396"/>
      <c r="CK44" s="396"/>
      <c r="CL44" s="396"/>
      <c r="CM44" s="396"/>
      <c r="CN44" s="396"/>
    </row>
    <row r="45" spans="15:92">
      <c r="O45" s="324"/>
      <c r="AE45" s="432"/>
      <c r="AF45" s="432"/>
      <c r="AG45" s="432"/>
      <c r="AH45" s="423"/>
      <c r="AI45" s="396"/>
      <c r="AJ45" s="396"/>
      <c r="AK45" s="396"/>
      <c r="AL45" s="432"/>
      <c r="AM45" s="432"/>
      <c r="AN45" s="432"/>
      <c r="AO45" s="432"/>
      <c r="AP45" s="432"/>
      <c r="AQ45" s="432"/>
      <c r="AR45" s="432"/>
      <c r="AS45" s="432"/>
      <c r="AT45" s="432"/>
      <c r="AU45" s="432"/>
      <c r="AV45" s="432"/>
      <c r="AW45" s="432"/>
      <c r="AX45" s="432"/>
      <c r="AY45" s="432"/>
      <c r="AZ45" s="432"/>
      <c r="BA45" s="432"/>
      <c r="BB45" s="432"/>
      <c r="BW45" s="396"/>
      <c r="BX45" s="396"/>
      <c r="BY45" s="396"/>
      <c r="BZ45" s="396"/>
      <c r="CA45" s="396"/>
      <c r="CB45" s="396"/>
      <c r="CC45" s="396"/>
      <c r="CD45" s="396"/>
      <c r="CE45" s="396"/>
      <c r="CF45" s="396"/>
      <c r="CG45" s="396"/>
      <c r="CH45" s="396"/>
      <c r="CI45" s="396"/>
      <c r="CJ45" s="396"/>
      <c r="CK45" s="396"/>
      <c r="CL45" s="396"/>
      <c r="CM45" s="396"/>
      <c r="CN45" s="396"/>
    </row>
    <row r="46" spans="15:92">
      <c r="O46" s="324"/>
      <c r="AE46" s="432"/>
      <c r="AF46" s="432"/>
      <c r="AG46" s="432"/>
      <c r="AH46" s="440"/>
      <c r="AI46" s="396"/>
      <c r="AJ46" s="396"/>
      <c r="AK46" s="396"/>
      <c r="AL46" s="432"/>
      <c r="AM46" s="432"/>
      <c r="AN46" s="432"/>
      <c r="AO46" s="432"/>
      <c r="AP46" s="432"/>
      <c r="AQ46" s="432"/>
      <c r="AR46" s="432"/>
      <c r="AS46" s="432"/>
      <c r="AT46" s="432"/>
      <c r="AU46" s="432"/>
      <c r="AV46" s="432"/>
      <c r="AW46" s="432"/>
      <c r="AX46" s="432"/>
      <c r="AY46" s="432"/>
      <c r="AZ46" s="432"/>
      <c r="BA46" s="432"/>
      <c r="BB46" s="432"/>
      <c r="BW46" s="396"/>
      <c r="BX46" s="396"/>
      <c r="BY46" s="396"/>
      <c r="BZ46" s="396"/>
      <c r="CA46" s="396"/>
      <c r="CB46" s="396"/>
      <c r="CC46" s="396"/>
      <c r="CD46" s="396"/>
      <c r="CE46" s="396"/>
      <c r="CF46" s="396"/>
      <c r="CG46" s="396"/>
      <c r="CH46" s="396"/>
      <c r="CI46" s="396"/>
      <c r="CJ46" s="396"/>
      <c r="CK46" s="396"/>
      <c r="CL46" s="396"/>
      <c r="CM46" s="396"/>
      <c r="CN46" s="396"/>
    </row>
    <row r="47" spans="15:92">
      <c r="O47" s="324"/>
      <c r="AE47" s="432"/>
      <c r="AF47" s="432"/>
      <c r="AG47" s="432"/>
      <c r="AH47" s="423"/>
      <c r="AI47" s="396"/>
      <c r="AJ47" s="396"/>
      <c r="AK47" s="396"/>
      <c r="AL47" s="432"/>
      <c r="AM47" s="432"/>
      <c r="AN47" s="432"/>
      <c r="AO47" s="432"/>
      <c r="AP47" s="432"/>
      <c r="AQ47" s="432"/>
      <c r="AR47" s="432"/>
      <c r="AS47" s="432"/>
      <c r="AT47" s="432"/>
      <c r="AU47" s="432"/>
      <c r="AV47" s="432"/>
      <c r="AW47" s="432"/>
      <c r="AX47" s="432"/>
      <c r="AY47" s="432"/>
      <c r="AZ47" s="432"/>
      <c r="BA47" s="432"/>
      <c r="BB47" s="432"/>
      <c r="BW47" s="396"/>
      <c r="BX47" s="396"/>
      <c r="BY47" s="396"/>
      <c r="BZ47" s="396"/>
      <c r="CA47" s="396"/>
      <c r="CB47" s="396"/>
      <c r="CC47" s="396"/>
      <c r="CD47" s="396"/>
      <c r="CE47" s="396"/>
      <c r="CF47" s="396"/>
      <c r="CG47" s="396"/>
      <c r="CH47" s="396"/>
      <c r="CI47" s="396"/>
      <c r="CJ47" s="396"/>
      <c r="CK47" s="396"/>
      <c r="CL47" s="396"/>
      <c r="CM47" s="396"/>
      <c r="CN47" s="396"/>
    </row>
    <row r="48" spans="15:92">
      <c r="O48" s="324"/>
      <c r="AE48" s="432"/>
      <c r="AF48" s="432"/>
      <c r="AG48" s="432"/>
      <c r="AH48" s="423"/>
      <c r="AI48" s="396"/>
      <c r="AJ48" s="396"/>
      <c r="AK48" s="396"/>
      <c r="AL48" s="432"/>
      <c r="AM48" s="432"/>
      <c r="AN48" s="432"/>
      <c r="AO48" s="432"/>
      <c r="AP48" s="432"/>
      <c r="AQ48" s="432"/>
      <c r="AR48" s="432"/>
      <c r="AS48" s="432"/>
      <c r="AT48" s="432"/>
      <c r="AU48" s="432"/>
      <c r="AV48" s="432"/>
      <c r="AW48" s="432"/>
      <c r="AX48" s="432"/>
      <c r="AY48" s="432"/>
      <c r="AZ48" s="432"/>
      <c r="BA48" s="432"/>
      <c r="BB48" s="432"/>
      <c r="BW48" s="396"/>
      <c r="BX48" s="396"/>
      <c r="BY48" s="396"/>
      <c r="BZ48" s="396"/>
      <c r="CA48" s="396"/>
      <c r="CB48" s="396"/>
      <c r="CC48" s="396"/>
      <c r="CD48" s="396"/>
      <c r="CE48" s="396"/>
      <c r="CF48" s="396"/>
      <c r="CG48" s="396"/>
      <c r="CH48" s="396"/>
      <c r="CI48" s="396"/>
      <c r="CJ48" s="396"/>
      <c r="CK48" s="396"/>
      <c r="CL48" s="396"/>
      <c r="CM48" s="396"/>
      <c r="CN48" s="396"/>
    </row>
    <row r="49" spans="1:92">
      <c r="AE49" s="432"/>
      <c r="AF49" s="432"/>
      <c r="AG49" s="432"/>
      <c r="AH49" s="439"/>
      <c r="AI49" s="396"/>
      <c r="AJ49" s="396"/>
      <c r="AK49" s="396"/>
      <c r="AL49" s="432"/>
      <c r="AM49" s="432"/>
      <c r="AN49" s="432"/>
      <c r="AO49" s="432"/>
      <c r="AP49" s="432"/>
      <c r="AQ49" s="432"/>
      <c r="AR49" s="432"/>
      <c r="AS49" s="432"/>
      <c r="AT49" s="432"/>
      <c r="AU49" s="432"/>
      <c r="AV49" s="432"/>
      <c r="AW49" s="432"/>
      <c r="AX49" s="432"/>
      <c r="AY49" s="432"/>
      <c r="AZ49" s="432"/>
      <c r="BA49" s="432"/>
      <c r="BB49" s="432"/>
      <c r="BW49" s="396"/>
      <c r="BX49" s="396"/>
      <c r="BY49" s="396"/>
      <c r="BZ49" s="396"/>
      <c r="CA49" s="396"/>
      <c r="CB49" s="396"/>
      <c r="CC49" s="396"/>
      <c r="CD49" s="396"/>
      <c r="CE49" s="396"/>
      <c r="CF49" s="396"/>
      <c r="CG49" s="396"/>
      <c r="CH49" s="396"/>
      <c r="CI49" s="396"/>
      <c r="CJ49" s="396"/>
      <c r="CK49" s="396"/>
      <c r="CL49" s="396"/>
      <c r="CM49" s="396"/>
      <c r="CN49" s="396"/>
    </row>
    <row r="50" spans="1:92">
      <c r="AE50" s="432"/>
      <c r="AF50" s="432"/>
      <c r="AG50" s="432"/>
      <c r="AH50" s="396"/>
      <c r="AI50" s="396"/>
      <c r="AJ50" s="396"/>
      <c r="AK50" s="396"/>
      <c r="AL50" s="432"/>
      <c r="AM50" s="432"/>
      <c r="AN50" s="432"/>
      <c r="AO50" s="432"/>
      <c r="AP50" s="432"/>
      <c r="AQ50" s="432"/>
      <c r="AR50" s="432"/>
      <c r="AS50" s="432"/>
      <c r="AT50" s="432"/>
      <c r="AU50" s="432"/>
      <c r="AV50" s="432"/>
      <c r="AW50" s="432"/>
      <c r="AX50" s="432"/>
      <c r="AY50" s="432"/>
      <c r="AZ50" s="432"/>
      <c r="BA50" s="432"/>
      <c r="BB50" s="432"/>
      <c r="BW50" s="396"/>
      <c r="BX50" s="396"/>
      <c r="BY50" s="396"/>
      <c r="BZ50" s="396"/>
      <c r="CA50" s="396"/>
      <c r="CB50" s="396"/>
      <c r="CC50" s="396"/>
      <c r="CD50" s="396"/>
      <c r="CE50" s="396"/>
      <c r="CF50" s="396"/>
      <c r="CG50" s="396"/>
      <c r="CH50" s="396"/>
      <c r="CI50" s="396"/>
      <c r="CJ50" s="396"/>
      <c r="CK50" s="396"/>
      <c r="CL50" s="396"/>
      <c r="CM50" s="396"/>
      <c r="CN50" s="396"/>
    </row>
    <row r="51" spans="1:92">
      <c r="A51" s="44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AE51" s="432"/>
      <c r="AF51" s="432"/>
      <c r="AG51" s="432"/>
      <c r="AH51" s="396"/>
      <c r="AI51" s="396"/>
      <c r="AJ51" s="396"/>
      <c r="AK51" s="396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32"/>
      <c r="AX51" s="432"/>
      <c r="AY51" s="432"/>
      <c r="AZ51" s="432"/>
      <c r="BA51" s="432"/>
      <c r="BB51" s="432"/>
    </row>
    <row r="52" spans="1:92">
      <c r="AE52" s="432"/>
      <c r="AF52" s="432"/>
      <c r="AG52" s="432"/>
      <c r="AH52" s="439"/>
      <c r="AI52" s="396"/>
      <c r="AJ52" s="396"/>
      <c r="AK52" s="396"/>
      <c r="AL52" s="432"/>
      <c r="AM52" s="432"/>
      <c r="AN52" s="432"/>
      <c r="AO52" s="432"/>
      <c r="AP52" s="432"/>
      <c r="AQ52" s="432"/>
      <c r="AR52" s="432"/>
      <c r="AS52" s="432"/>
      <c r="AT52" s="432"/>
      <c r="AU52" s="432"/>
      <c r="AV52" s="432"/>
      <c r="AW52" s="432"/>
      <c r="AX52" s="432"/>
      <c r="AY52" s="432"/>
      <c r="AZ52" s="432"/>
      <c r="BA52" s="432"/>
      <c r="BB52" s="432"/>
    </row>
    <row r="53" spans="1:92">
      <c r="AE53" s="396"/>
      <c r="AF53" s="396"/>
      <c r="AG53" s="396"/>
      <c r="AH53" s="396"/>
      <c r="AI53" s="396"/>
      <c r="AJ53" s="396"/>
      <c r="AK53" s="396"/>
      <c r="AL53" s="396"/>
      <c r="AM53" s="396"/>
      <c r="AN53" s="396"/>
      <c r="AO53" s="396"/>
      <c r="AP53" s="396"/>
      <c r="AQ53" s="396"/>
      <c r="AR53" s="396"/>
      <c r="AS53" s="396"/>
      <c r="AT53" s="396"/>
      <c r="AU53" s="396"/>
      <c r="AV53" s="396"/>
      <c r="AW53" s="396"/>
      <c r="AX53" s="396"/>
      <c r="AY53" s="396"/>
      <c r="AZ53" s="396"/>
      <c r="BA53" s="396"/>
      <c r="BB53" s="396"/>
    </row>
    <row r="54" spans="1:92">
      <c r="AE54" s="396"/>
      <c r="AF54" s="396"/>
      <c r="AG54" s="396"/>
      <c r="AH54" s="396"/>
      <c r="AI54" s="396"/>
      <c r="AJ54" s="396"/>
      <c r="AK54" s="396"/>
      <c r="AL54" s="396"/>
      <c r="AM54" s="396"/>
      <c r="AN54" s="396"/>
      <c r="AO54" s="396"/>
      <c r="AP54" s="396"/>
      <c r="AQ54" s="396"/>
      <c r="AR54" s="396"/>
      <c r="AS54" s="396"/>
      <c r="AT54" s="396"/>
      <c r="AU54" s="396"/>
      <c r="AV54" s="396"/>
      <c r="AW54" s="396"/>
      <c r="AX54" s="396"/>
      <c r="AY54" s="396"/>
      <c r="AZ54" s="396"/>
      <c r="BA54" s="396"/>
      <c r="BB54" s="396"/>
    </row>
    <row r="55" spans="1:92">
      <c r="AE55" s="396"/>
      <c r="AF55" s="396"/>
      <c r="AG55" s="396"/>
      <c r="AH55" s="396"/>
      <c r="AI55" s="396"/>
      <c r="AJ55" s="396"/>
      <c r="AK55" s="396"/>
      <c r="AL55" s="396"/>
      <c r="AM55" s="396"/>
      <c r="AN55" s="396"/>
      <c r="AO55" s="396"/>
      <c r="AP55" s="396"/>
      <c r="AQ55" s="396"/>
      <c r="AR55" s="396"/>
      <c r="AS55" s="396"/>
      <c r="AT55" s="396"/>
      <c r="AU55" s="396"/>
      <c r="AV55" s="396"/>
      <c r="AW55" s="396"/>
      <c r="AX55" s="396"/>
      <c r="AY55" s="396"/>
      <c r="AZ55" s="396"/>
      <c r="BA55" s="396"/>
      <c r="BB55" s="396"/>
    </row>
    <row r="56" spans="1:92">
      <c r="AE56" s="396"/>
      <c r="AG56" s="396"/>
      <c r="AH56" s="396"/>
      <c r="AI56" s="396"/>
      <c r="AJ56" s="396"/>
      <c r="AK56" s="396"/>
      <c r="AL56" s="396"/>
      <c r="AM56" s="396"/>
      <c r="AQ56" s="396"/>
      <c r="AU56" s="396"/>
      <c r="AY56" s="396"/>
    </row>
    <row r="57" spans="1:92">
      <c r="AE57" s="396"/>
      <c r="AG57" s="396"/>
      <c r="AH57" s="396"/>
      <c r="AI57" s="396"/>
      <c r="AJ57" s="396"/>
      <c r="AK57" s="396"/>
      <c r="AL57" s="396"/>
      <c r="AM57" s="396"/>
      <c r="AN57" s="396"/>
      <c r="AO57" s="396"/>
      <c r="AQ57" s="396"/>
      <c r="AR57" s="396"/>
      <c r="AS57" s="396"/>
      <c r="AU57" s="396"/>
      <c r="AV57" s="396"/>
      <c r="AW57" s="396"/>
      <c r="AY57" s="396"/>
      <c r="AZ57" s="396"/>
      <c r="BA57" s="396"/>
    </row>
    <row r="58" spans="1:92">
      <c r="AE58" s="396"/>
      <c r="AF58" s="396"/>
    </row>
  </sheetData>
  <mergeCells count="16">
    <mergeCell ref="BC4:BC6"/>
    <mergeCell ref="AY4:BB4"/>
    <mergeCell ref="A1:BC1"/>
    <mergeCell ref="A2:BC2"/>
    <mergeCell ref="A4:A6"/>
    <mergeCell ref="B4:E4"/>
    <mergeCell ref="G4:J4"/>
    <mergeCell ref="K4:N4"/>
    <mergeCell ref="P4:S4"/>
    <mergeCell ref="U4:X4"/>
    <mergeCell ref="Z4:AC4"/>
    <mergeCell ref="AE4:AH4"/>
    <mergeCell ref="AI4:AL4"/>
    <mergeCell ref="AM4:AP4"/>
    <mergeCell ref="AQ4:AT4"/>
    <mergeCell ref="AU4:AX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06"/>
  <sheetViews>
    <sheetView topLeftCell="A49" zoomScaleNormal="100" zoomScaleSheetLayoutView="83" workbookViewId="0">
      <selection activeCell="G39" sqref="G39"/>
    </sheetView>
  </sheetViews>
  <sheetFormatPr defaultColWidth="9.140625" defaultRowHeight="21.75" customHeight="1"/>
  <cols>
    <col min="1" max="1" width="18" style="485" customWidth="1"/>
    <col min="2" max="2" width="20.42578125" style="442" customWidth="1"/>
    <col min="3" max="3" width="21.85546875" style="442" customWidth="1"/>
    <col min="4" max="4" width="9.28515625" style="442" customWidth="1"/>
    <col min="5" max="5" width="13.7109375" style="442" customWidth="1"/>
    <col min="6" max="11" width="21.85546875" style="442" customWidth="1"/>
    <col min="12" max="12" width="35.42578125" style="442" customWidth="1"/>
    <col min="13" max="13" width="11.5703125" style="442" customWidth="1"/>
    <col min="14" max="14" width="9.85546875" style="443" bestFit="1" customWidth="1"/>
    <col min="15" max="15" width="15.42578125" style="443" customWidth="1"/>
    <col min="16" max="17" width="9.140625" style="443"/>
    <col min="18" max="16384" width="9.140625" style="442"/>
  </cols>
  <sheetData>
    <row r="1" spans="1:31" ht="18.75">
      <c r="A1" s="658" t="s">
        <v>316</v>
      </c>
      <c r="B1" s="658"/>
      <c r="C1" s="658"/>
    </row>
    <row r="2" spans="1:31" s="594" customFormat="1" ht="15">
      <c r="A2" s="659" t="s">
        <v>315</v>
      </c>
      <c r="B2" s="659"/>
      <c r="C2" s="659"/>
      <c r="D2" s="444"/>
      <c r="E2" s="444"/>
      <c r="F2" s="444"/>
      <c r="G2" s="444"/>
      <c r="H2" s="444"/>
      <c r="I2" s="444"/>
      <c r="J2" s="444"/>
      <c r="K2" s="444"/>
      <c r="L2" s="445"/>
      <c r="M2" s="445"/>
      <c r="N2" s="446"/>
      <c r="O2" s="593"/>
      <c r="P2" s="593"/>
      <c r="Q2" s="593"/>
      <c r="S2" s="459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</row>
    <row r="3" spans="1:31" s="448" customFormat="1" ht="15">
      <c r="A3" s="592"/>
      <c r="B3" s="592"/>
      <c r="C3" s="592"/>
      <c r="D3" s="444"/>
      <c r="E3" s="444"/>
      <c r="F3" s="444"/>
      <c r="G3" s="444"/>
      <c r="H3" s="444"/>
      <c r="I3" s="444"/>
      <c r="J3" s="444"/>
      <c r="K3" s="444"/>
      <c r="L3" s="445"/>
      <c r="M3" s="445"/>
      <c r="N3" s="446"/>
      <c r="O3" s="447"/>
      <c r="P3" s="447"/>
      <c r="Q3" s="447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</row>
    <row r="4" spans="1:31" s="448" customFormat="1" ht="12.75">
      <c r="A4" s="470"/>
      <c r="B4" s="660" t="s">
        <v>214</v>
      </c>
      <c r="C4" s="660"/>
      <c r="D4" s="450"/>
      <c r="E4" s="450"/>
      <c r="F4" s="450"/>
      <c r="G4" s="450"/>
      <c r="H4" s="450"/>
      <c r="I4" s="450"/>
      <c r="J4" s="450"/>
      <c r="K4" s="450"/>
      <c r="N4" s="447"/>
      <c r="O4" s="447"/>
      <c r="P4" s="447"/>
      <c r="Q4" s="447"/>
    </row>
    <row r="5" spans="1:31" s="448" customFormat="1" ht="12.75">
      <c r="A5" s="451" t="s">
        <v>215</v>
      </c>
      <c r="B5" s="452" t="s">
        <v>216</v>
      </c>
      <c r="C5" s="452" t="s">
        <v>217</v>
      </c>
      <c r="D5" s="453"/>
      <c r="E5" s="453"/>
      <c r="F5" s="453"/>
      <c r="G5" s="453"/>
      <c r="H5" s="453"/>
      <c r="I5" s="453"/>
      <c r="J5" s="453"/>
      <c r="K5" s="453"/>
      <c r="N5" s="447"/>
      <c r="O5" s="447"/>
      <c r="P5" s="447"/>
      <c r="Q5" s="447"/>
    </row>
    <row r="6" spans="1:31" s="448" customFormat="1" ht="12.75">
      <c r="A6" s="454"/>
      <c r="B6" s="455" t="s">
        <v>218</v>
      </c>
      <c r="C6" s="455" t="s">
        <v>219</v>
      </c>
      <c r="D6" s="453"/>
      <c r="E6" s="453"/>
      <c r="F6" s="453"/>
      <c r="G6" s="453"/>
      <c r="H6" s="453"/>
      <c r="I6" s="453"/>
      <c r="J6" s="453"/>
      <c r="K6" s="453"/>
      <c r="P6" s="447"/>
      <c r="Q6" s="447"/>
    </row>
    <row r="7" spans="1:31" s="459" customFormat="1" ht="12.75" hidden="1">
      <c r="A7" s="451">
        <v>2007</v>
      </c>
      <c r="B7" s="456" t="s">
        <v>220</v>
      </c>
      <c r="C7" s="457">
        <v>8.35</v>
      </c>
      <c r="D7" s="458"/>
      <c r="E7" s="458"/>
      <c r="F7" s="458"/>
      <c r="G7" s="458"/>
      <c r="H7" s="458"/>
      <c r="I7" s="458"/>
      <c r="J7" s="458"/>
      <c r="K7" s="458"/>
      <c r="N7" s="460"/>
      <c r="O7" s="458"/>
      <c r="P7" s="461"/>
      <c r="Q7" s="461"/>
    </row>
    <row r="8" spans="1:31" s="459" customFormat="1" ht="12.75" hidden="1">
      <c r="A8" s="451"/>
      <c r="B8" s="456" t="s">
        <v>221</v>
      </c>
      <c r="C8" s="457">
        <v>8.3000000000000007</v>
      </c>
      <c r="D8" s="458"/>
      <c r="E8" s="458"/>
      <c r="F8" s="458"/>
      <c r="G8" s="458"/>
      <c r="H8" s="458"/>
      <c r="I8" s="458"/>
      <c r="J8" s="458"/>
      <c r="K8" s="458"/>
      <c r="N8" s="460"/>
      <c r="O8" s="458"/>
      <c r="P8" s="461"/>
      <c r="Q8" s="461"/>
    </row>
    <row r="9" spans="1:31" s="459" customFormat="1" ht="12.75" hidden="1">
      <c r="A9" s="451"/>
      <c r="B9" s="456" t="s">
        <v>222</v>
      </c>
      <c r="C9" s="457">
        <v>8.1999999999999993</v>
      </c>
      <c r="D9" s="458"/>
      <c r="E9" s="458"/>
      <c r="F9" s="458"/>
      <c r="G9" s="458"/>
      <c r="H9" s="458"/>
      <c r="I9" s="458"/>
      <c r="J9" s="458"/>
      <c r="K9" s="458"/>
      <c r="N9" s="460"/>
      <c r="O9" s="458"/>
      <c r="P9" s="461"/>
      <c r="Q9" s="461"/>
    </row>
    <row r="10" spans="1:31" s="459" customFormat="1" ht="12.75" hidden="1">
      <c r="A10" s="451"/>
      <c r="B10" s="456" t="s">
        <v>223</v>
      </c>
      <c r="C10" s="457">
        <v>8.0500000000000007</v>
      </c>
      <c r="D10" s="458"/>
      <c r="E10" s="458"/>
      <c r="F10" s="458"/>
      <c r="G10" s="458"/>
      <c r="H10" s="458"/>
      <c r="I10" s="458"/>
      <c r="J10" s="458"/>
      <c r="K10" s="458"/>
      <c r="N10" s="460"/>
      <c r="O10" s="458"/>
      <c r="P10" s="461"/>
      <c r="Q10" s="461"/>
    </row>
    <row r="11" spans="1:31" s="459" customFormat="1" ht="12.75" hidden="1">
      <c r="A11" s="451"/>
      <c r="B11" s="456" t="s">
        <v>224</v>
      </c>
      <c r="C11" s="457">
        <v>8.15</v>
      </c>
      <c r="D11" s="458"/>
      <c r="E11" s="458"/>
      <c r="F11" s="458"/>
      <c r="G11" s="458"/>
      <c r="H11" s="458"/>
      <c r="I11" s="458"/>
      <c r="J11" s="458"/>
      <c r="K11" s="458"/>
      <c r="N11" s="460"/>
      <c r="O11" s="458"/>
      <c r="P11" s="461"/>
      <c r="Q11" s="461"/>
    </row>
    <row r="12" spans="1:31" s="459" customFormat="1" ht="12.75" hidden="1">
      <c r="A12" s="451"/>
      <c r="B12" s="456" t="s">
        <v>225</v>
      </c>
      <c r="C12" s="457">
        <v>8.3000000000000007</v>
      </c>
      <c r="D12" s="458"/>
      <c r="E12" s="458"/>
      <c r="F12" s="458"/>
      <c r="G12" s="458"/>
      <c r="H12" s="458"/>
      <c r="I12" s="458"/>
      <c r="J12" s="458"/>
      <c r="K12" s="458"/>
      <c r="N12" s="460"/>
      <c r="O12" s="458"/>
      <c r="P12" s="461"/>
      <c r="Q12" s="461"/>
    </row>
    <row r="13" spans="1:31" s="459" customFormat="1" ht="12.75" hidden="1">
      <c r="A13" s="451"/>
      <c r="B13" s="456" t="s">
        <v>226</v>
      </c>
      <c r="C13" s="457">
        <v>8.65</v>
      </c>
      <c r="D13" s="458"/>
      <c r="E13" s="458"/>
      <c r="F13" s="458"/>
      <c r="G13" s="458"/>
      <c r="H13" s="458"/>
      <c r="I13" s="458"/>
      <c r="J13" s="458"/>
      <c r="K13" s="458"/>
      <c r="N13" s="460"/>
      <c r="O13" s="458"/>
      <c r="P13" s="461"/>
      <c r="Q13" s="461"/>
    </row>
    <row r="14" spans="1:31" s="459" customFormat="1" ht="12.75" hidden="1">
      <c r="A14" s="451"/>
      <c r="B14" s="456" t="s">
        <v>227</v>
      </c>
      <c r="C14" s="457">
        <v>9.1</v>
      </c>
      <c r="D14" s="458"/>
      <c r="E14" s="458"/>
      <c r="F14" s="458"/>
      <c r="G14" s="458"/>
      <c r="H14" s="458"/>
      <c r="I14" s="458"/>
      <c r="J14" s="458"/>
      <c r="K14" s="458"/>
      <c r="N14" s="460"/>
      <c r="O14" s="458"/>
      <c r="P14" s="461"/>
      <c r="Q14" s="461"/>
    </row>
    <row r="15" spans="1:31" s="459" customFormat="1" ht="12.75" hidden="1">
      <c r="A15" s="451"/>
      <c r="B15" s="456" t="s">
        <v>228</v>
      </c>
      <c r="C15" s="457">
        <v>10</v>
      </c>
      <c r="D15" s="458"/>
      <c r="E15" s="458"/>
      <c r="F15" s="458"/>
      <c r="G15" s="458"/>
      <c r="H15" s="458"/>
      <c r="I15" s="458"/>
      <c r="J15" s="458"/>
      <c r="K15" s="458"/>
      <c r="N15" s="460"/>
      <c r="O15" s="458"/>
      <c r="P15" s="461"/>
      <c r="Q15" s="461"/>
    </row>
    <row r="16" spans="1:31" s="459" customFormat="1" ht="12.75" hidden="1">
      <c r="A16" s="462"/>
      <c r="B16" s="463" t="s">
        <v>229</v>
      </c>
      <c r="C16" s="464">
        <v>10.3</v>
      </c>
      <c r="D16" s="458"/>
      <c r="E16" s="458"/>
      <c r="F16" s="458"/>
      <c r="G16" s="458"/>
      <c r="H16" s="458"/>
      <c r="I16" s="458"/>
      <c r="J16" s="458"/>
      <c r="K16" s="458"/>
      <c r="N16" s="460"/>
      <c r="O16" s="458"/>
      <c r="P16" s="461"/>
      <c r="Q16" s="461"/>
    </row>
    <row r="17" spans="1:17" s="459" customFormat="1" ht="12.75" hidden="1">
      <c r="A17" s="451">
        <v>2008</v>
      </c>
      <c r="B17" s="465" t="s">
        <v>230</v>
      </c>
      <c r="C17" s="457">
        <v>11.3</v>
      </c>
      <c r="D17" s="458"/>
      <c r="E17" s="458"/>
      <c r="F17" s="458"/>
      <c r="G17" s="458"/>
      <c r="H17" s="458"/>
      <c r="I17" s="458"/>
      <c r="J17" s="458"/>
      <c r="K17" s="458"/>
      <c r="N17" s="460"/>
      <c r="O17" s="458"/>
      <c r="P17" s="461"/>
      <c r="Q17" s="461"/>
    </row>
    <row r="18" spans="1:17" s="459" customFormat="1" ht="12.75" hidden="1">
      <c r="A18" s="451"/>
      <c r="B18" s="466" t="s">
        <v>231</v>
      </c>
      <c r="C18" s="457">
        <v>12.55</v>
      </c>
      <c r="D18" s="458"/>
      <c r="E18" s="458"/>
      <c r="F18" s="458"/>
      <c r="G18" s="458"/>
      <c r="H18" s="458"/>
      <c r="I18" s="458"/>
      <c r="J18" s="458"/>
      <c r="K18" s="458"/>
      <c r="N18" s="460"/>
      <c r="O18" s="458"/>
      <c r="P18" s="461"/>
      <c r="Q18" s="461"/>
    </row>
    <row r="19" spans="1:17" s="459" customFormat="1" ht="12.75" hidden="1">
      <c r="A19" s="451"/>
      <c r="B19" s="466" t="s">
        <v>232</v>
      </c>
      <c r="C19" s="457">
        <v>15.5</v>
      </c>
      <c r="D19" s="458"/>
      <c r="E19" s="458"/>
      <c r="F19" s="458"/>
      <c r="G19" s="458"/>
      <c r="H19" s="458"/>
      <c r="I19" s="458"/>
      <c r="J19" s="458"/>
      <c r="K19" s="458"/>
      <c r="N19" s="460"/>
      <c r="O19" s="458"/>
      <c r="P19" s="461"/>
      <c r="Q19" s="461"/>
    </row>
    <row r="20" spans="1:17" s="459" customFormat="1" ht="12.75" hidden="1">
      <c r="A20" s="451"/>
      <c r="B20" s="466" t="s">
        <v>233</v>
      </c>
      <c r="C20" s="457">
        <v>17.5</v>
      </c>
      <c r="D20" s="458"/>
      <c r="E20" s="458"/>
      <c r="F20" s="458"/>
      <c r="G20" s="458"/>
      <c r="H20" s="458"/>
      <c r="I20" s="458"/>
      <c r="J20" s="458"/>
      <c r="K20" s="458"/>
      <c r="N20" s="460"/>
      <c r="O20" s="458"/>
      <c r="P20" s="461"/>
      <c r="Q20" s="461"/>
    </row>
    <row r="21" spans="1:17" s="459" customFormat="1" ht="12.75" hidden="1">
      <c r="A21" s="451"/>
      <c r="B21" s="466" t="s">
        <v>234</v>
      </c>
      <c r="C21" s="457">
        <v>17.25</v>
      </c>
      <c r="D21" s="458"/>
      <c r="E21" s="458"/>
      <c r="F21" s="458"/>
      <c r="G21" s="458"/>
      <c r="H21" s="458"/>
      <c r="I21" s="458"/>
      <c r="J21" s="458"/>
      <c r="K21" s="458"/>
      <c r="N21" s="460"/>
      <c r="O21" s="458"/>
      <c r="P21" s="461"/>
      <c r="Q21" s="461"/>
    </row>
    <row r="22" spans="1:17" s="459" customFormat="1" ht="12.75" hidden="1">
      <c r="A22" s="451"/>
      <c r="B22" s="466" t="s">
        <v>235</v>
      </c>
      <c r="C22" s="457">
        <v>16.5</v>
      </c>
      <c r="D22" s="458"/>
      <c r="E22" s="458"/>
      <c r="F22" s="458"/>
      <c r="G22" s="458"/>
      <c r="H22" s="458"/>
      <c r="I22" s="458"/>
      <c r="J22" s="458"/>
      <c r="K22" s="458"/>
      <c r="N22" s="460"/>
      <c r="O22" s="458"/>
      <c r="P22" s="461"/>
      <c r="Q22" s="461"/>
    </row>
    <row r="23" spans="1:17" s="459" customFormat="1" ht="12.75" hidden="1">
      <c r="A23" s="451"/>
      <c r="B23" s="466" t="s">
        <v>236</v>
      </c>
      <c r="C23" s="457">
        <v>15.75</v>
      </c>
      <c r="D23" s="458"/>
      <c r="E23" s="458"/>
      <c r="F23" s="458"/>
      <c r="G23" s="458"/>
      <c r="H23" s="458"/>
      <c r="I23" s="458"/>
      <c r="J23" s="458"/>
      <c r="K23" s="458"/>
      <c r="N23" s="460"/>
      <c r="O23" s="458"/>
      <c r="P23" s="461"/>
      <c r="Q23" s="461"/>
    </row>
    <row r="24" spans="1:17" s="459" customFormat="1" ht="12.75" hidden="1">
      <c r="A24" s="451"/>
      <c r="B24" s="466" t="s">
        <v>237</v>
      </c>
      <c r="C24" s="457">
        <v>14.75</v>
      </c>
      <c r="D24" s="458"/>
      <c r="E24" s="458"/>
      <c r="F24" s="458"/>
      <c r="G24" s="458"/>
      <c r="H24" s="458"/>
      <c r="I24" s="458"/>
      <c r="J24" s="458"/>
      <c r="K24" s="458"/>
      <c r="N24" s="460"/>
      <c r="O24" s="458"/>
      <c r="P24" s="461"/>
      <c r="Q24" s="461"/>
    </row>
    <row r="25" spans="1:17" s="459" customFormat="1" ht="12.75" hidden="1">
      <c r="A25" s="451"/>
      <c r="B25" s="466" t="s">
        <v>238</v>
      </c>
      <c r="C25" s="457">
        <v>14.25</v>
      </c>
      <c r="D25" s="458"/>
      <c r="E25" s="458"/>
      <c r="F25" s="458"/>
      <c r="G25" s="458"/>
      <c r="H25" s="458"/>
      <c r="I25" s="458"/>
      <c r="J25" s="458"/>
      <c r="K25" s="458"/>
      <c r="N25" s="460"/>
      <c r="O25" s="458"/>
      <c r="P25" s="461"/>
      <c r="Q25" s="461"/>
    </row>
    <row r="26" spans="1:17" s="459" customFormat="1" ht="12.75" hidden="1">
      <c r="A26" s="451"/>
      <c r="B26" s="466" t="s">
        <v>239</v>
      </c>
      <c r="C26" s="457">
        <v>13.5</v>
      </c>
      <c r="D26" s="458"/>
      <c r="E26" s="458"/>
      <c r="F26" s="458"/>
      <c r="G26" s="458"/>
      <c r="H26" s="458"/>
      <c r="I26" s="458"/>
      <c r="J26" s="458"/>
      <c r="K26" s="458"/>
      <c r="N26" s="460"/>
      <c r="O26" s="458"/>
      <c r="P26" s="461"/>
      <c r="Q26" s="461"/>
    </row>
    <row r="27" spans="1:17" s="459" customFormat="1" ht="12.75" hidden="1">
      <c r="A27" s="451"/>
      <c r="B27" s="466" t="s">
        <v>240</v>
      </c>
      <c r="C27" s="457">
        <v>12.5</v>
      </c>
      <c r="D27" s="458"/>
      <c r="E27" s="458"/>
      <c r="F27" s="458"/>
      <c r="G27" s="458"/>
      <c r="H27" s="458"/>
      <c r="I27" s="458"/>
      <c r="J27" s="458"/>
      <c r="K27" s="458"/>
      <c r="N27" s="460"/>
      <c r="O27" s="458"/>
      <c r="P27" s="461"/>
      <c r="Q27" s="461"/>
    </row>
    <row r="28" spans="1:17" s="459" customFormat="1" ht="12.75" hidden="1">
      <c r="A28" s="451"/>
      <c r="B28" s="466" t="s">
        <v>241</v>
      </c>
      <c r="C28" s="457">
        <v>10.75</v>
      </c>
      <c r="D28" s="458"/>
      <c r="E28" s="458"/>
      <c r="F28" s="458"/>
      <c r="G28" s="458"/>
      <c r="H28" s="458"/>
      <c r="I28" s="458"/>
      <c r="J28" s="458"/>
      <c r="K28" s="458"/>
      <c r="N28" s="460"/>
      <c r="O28" s="458"/>
      <c r="P28" s="461"/>
      <c r="Q28" s="461"/>
    </row>
    <row r="29" spans="1:17" s="459" customFormat="1" ht="12.75" hidden="1">
      <c r="A29" s="451"/>
      <c r="B29" s="466" t="s">
        <v>242</v>
      </c>
      <c r="C29" s="457">
        <v>8.75</v>
      </c>
      <c r="D29" s="458"/>
      <c r="E29" s="458"/>
      <c r="F29" s="458"/>
      <c r="G29" s="458"/>
      <c r="H29" s="458"/>
      <c r="I29" s="458"/>
      <c r="J29" s="458"/>
      <c r="K29" s="458"/>
      <c r="N29" s="460"/>
      <c r="O29" s="458"/>
      <c r="P29" s="461"/>
      <c r="Q29" s="461"/>
    </row>
    <row r="30" spans="1:17" s="459" customFormat="1" ht="12.75" hidden="1">
      <c r="A30" s="462"/>
      <c r="B30" s="467" t="s">
        <v>243</v>
      </c>
      <c r="C30" s="464">
        <v>7</v>
      </c>
      <c r="D30" s="458"/>
      <c r="E30" s="458"/>
      <c r="F30" s="458"/>
      <c r="G30" s="458"/>
      <c r="H30" s="458"/>
      <c r="I30" s="458"/>
      <c r="J30" s="458"/>
      <c r="K30" s="458"/>
      <c r="N30" s="460"/>
      <c r="O30" s="458"/>
      <c r="P30" s="461"/>
      <c r="Q30" s="461"/>
    </row>
    <row r="31" spans="1:17" s="459" customFormat="1" ht="12.75" hidden="1">
      <c r="A31" s="451">
        <v>2009</v>
      </c>
      <c r="B31" s="468">
        <v>39820</v>
      </c>
      <c r="C31" s="457">
        <v>7.4</v>
      </c>
      <c r="D31" s="458"/>
      <c r="E31" s="458"/>
      <c r="F31" s="458"/>
      <c r="G31" s="458"/>
      <c r="H31" s="458"/>
      <c r="I31" s="458"/>
      <c r="J31" s="458"/>
      <c r="K31" s="458"/>
      <c r="N31" s="460"/>
      <c r="O31" s="458"/>
      <c r="P31" s="461"/>
      <c r="Q31" s="461"/>
    </row>
    <row r="32" spans="1:17" s="459" customFormat="1" ht="12.75" hidden="1">
      <c r="A32" s="451"/>
      <c r="B32" s="468">
        <v>39864</v>
      </c>
      <c r="C32" s="457">
        <v>6.7</v>
      </c>
      <c r="E32" s="458"/>
      <c r="F32" s="458"/>
      <c r="G32" s="458"/>
      <c r="H32" s="458"/>
      <c r="I32" s="458"/>
      <c r="J32" s="458"/>
      <c r="K32" s="458"/>
      <c r="N32" s="460"/>
      <c r="O32" s="458"/>
      <c r="P32" s="461"/>
      <c r="Q32" s="461"/>
    </row>
    <row r="33" spans="1:34" s="459" customFormat="1" ht="12.75" hidden="1">
      <c r="A33" s="451"/>
      <c r="B33" s="468">
        <v>39927</v>
      </c>
      <c r="C33" s="457">
        <v>7.3</v>
      </c>
      <c r="D33" s="458"/>
      <c r="E33" s="458"/>
      <c r="F33" s="458"/>
      <c r="G33" s="458"/>
      <c r="H33" s="458"/>
      <c r="I33" s="458"/>
      <c r="J33" s="458"/>
      <c r="K33" s="458"/>
      <c r="N33" s="460"/>
      <c r="O33" s="458"/>
      <c r="P33" s="461"/>
      <c r="Q33" s="461"/>
    </row>
    <row r="34" spans="1:34" s="459" customFormat="1" ht="14.25" hidden="1" customHeight="1">
      <c r="A34" s="451"/>
      <c r="B34" s="468">
        <v>39982</v>
      </c>
      <c r="C34" s="457">
        <v>7.6</v>
      </c>
      <c r="D34" s="458"/>
      <c r="E34" s="458"/>
      <c r="F34" s="458"/>
      <c r="G34" s="458"/>
      <c r="H34" s="458"/>
      <c r="I34" s="458"/>
      <c r="J34" s="458"/>
      <c r="K34" s="458"/>
      <c r="N34" s="460"/>
      <c r="O34" s="458"/>
      <c r="P34" s="461"/>
      <c r="Q34" s="461"/>
    </row>
    <row r="35" spans="1:34" s="459" customFormat="1" ht="14.25" hidden="1" customHeight="1">
      <c r="A35" s="451"/>
      <c r="B35" s="468">
        <v>40025</v>
      </c>
      <c r="C35" s="457">
        <v>8.0500000000000007</v>
      </c>
      <c r="D35" s="458"/>
      <c r="E35" s="458"/>
      <c r="F35" s="458"/>
      <c r="G35" s="458"/>
      <c r="H35" s="458"/>
      <c r="I35" s="458"/>
      <c r="J35" s="458"/>
      <c r="K35" s="458"/>
      <c r="N35" s="460"/>
      <c r="O35" s="458"/>
      <c r="P35" s="461"/>
      <c r="Q35" s="461"/>
    </row>
    <row r="36" spans="1:34" s="459" customFormat="1" ht="14.25" hidden="1" customHeight="1">
      <c r="A36" s="462"/>
      <c r="B36" s="469">
        <v>40052</v>
      </c>
      <c r="C36" s="464">
        <v>7.65</v>
      </c>
      <c r="D36" s="458"/>
      <c r="E36" s="458"/>
      <c r="F36" s="458"/>
      <c r="G36" s="458"/>
      <c r="H36" s="458"/>
      <c r="I36" s="458"/>
      <c r="J36" s="458"/>
      <c r="K36" s="458"/>
      <c r="N36" s="460"/>
      <c r="O36" s="458"/>
      <c r="P36" s="461"/>
      <c r="Q36" s="461"/>
    </row>
    <row r="37" spans="1:34" s="459" customFormat="1" ht="14.25" customHeight="1">
      <c r="A37" s="451">
        <v>2010</v>
      </c>
      <c r="B37" s="468">
        <v>40240</v>
      </c>
      <c r="C37" s="457">
        <v>8.6199999999999992</v>
      </c>
      <c r="D37" s="458"/>
      <c r="E37" s="458"/>
      <c r="F37" s="458"/>
      <c r="G37" s="458"/>
      <c r="H37" s="458"/>
      <c r="I37" s="458"/>
      <c r="J37" s="458"/>
      <c r="K37" s="458"/>
      <c r="N37" s="460"/>
      <c r="O37" s="458"/>
      <c r="P37" s="461"/>
      <c r="Q37" s="461"/>
    </row>
    <row r="38" spans="1:34" s="459" customFormat="1" ht="14.25" customHeight="1">
      <c r="A38" s="451"/>
      <c r="B38" s="468">
        <v>40259</v>
      </c>
      <c r="C38" s="457">
        <v>9.32</v>
      </c>
      <c r="D38" s="458"/>
      <c r="E38" s="458"/>
      <c r="F38" s="458"/>
      <c r="G38" s="458"/>
      <c r="H38" s="458"/>
      <c r="I38" s="458"/>
      <c r="J38" s="458"/>
      <c r="K38" s="458"/>
      <c r="N38" s="460"/>
      <c r="O38" s="458"/>
      <c r="P38" s="461"/>
      <c r="Q38" s="461"/>
    </row>
    <row r="39" spans="1:34" s="459" customFormat="1" ht="14.25" customHeight="1">
      <c r="A39" s="451"/>
      <c r="B39" s="468">
        <v>40276</v>
      </c>
      <c r="C39" s="457">
        <v>10.1</v>
      </c>
      <c r="D39" s="458"/>
      <c r="E39" s="458"/>
      <c r="F39" s="458"/>
      <c r="G39" s="458"/>
      <c r="H39" s="458"/>
      <c r="I39" s="458"/>
      <c r="J39" s="458"/>
      <c r="K39" s="458"/>
      <c r="N39" s="460"/>
      <c r="O39" s="458"/>
      <c r="P39" s="461"/>
      <c r="Q39" s="461"/>
    </row>
    <row r="40" spans="1:34" s="459" customFormat="1" ht="14.25" customHeight="1">
      <c r="A40" s="451"/>
      <c r="B40" s="468">
        <v>40395</v>
      </c>
      <c r="C40" s="457">
        <v>9.8000000000000007</v>
      </c>
      <c r="D40" s="458"/>
      <c r="E40" s="458"/>
      <c r="F40" s="458"/>
      <c r="G40" s="458"/>
      <c r="H40" s="458"/>
      <c r="I40" s="458"/>
      <c r="J40" s="458"/>
      <c r="K40" s="458"/>
      <c r="N40" s="460"/>
      <c r="O40" s="458"/>
      <c r="P40" s="461"/>
      <c r="Q40" s="461"/>
    </row>
    <row r="41" spans="1:34" s="459" customFormat="1" ht="14.25" customHeight="1">
      <c r="A41" s="451"/>
      <c r="B41" s="468">
        <v>40487</v>
      </c>
      <c r="C41" s="457">
        <v>10.1</v>
      </c>
      <c r="D41" s="458"/>
      <c r="E41" s="458"/>
      <c r="F41" s="458"/>
      <c r="G41" s="458"/>
      <c r="H41" s="458"/>
      <c r="I41" s="458"/>
      <c r="J41" s="458"/>
      <c r="K41" s="458"/>
      <c r="N41" s="460"/>
      <c r="O41" s="458"/>
      <c r="P41" s="461"/>
      <c r="Q41" s="461"/>
    </row>
    <row r="42" spans="1:34" s="459" customFormat="1" ht="14.25" customHeight="1">
      <c r="A42" s="451"/>
      <c r="B42" s="468">
        <v>40527</v>
      </c>
      <c r="C42" s="457">
        <v>10.45</v>
      </c>
      <c r="D42" s="458"/>
      <c r="E42" s="458"/>
      <c r="F42" s="458"/>
      <c r="G42" s="458"/>
      <c r="H42" s="458"/>
      <c r="I42" s="458"/>
      <c r="J42" s="458"/>
      <c r="K42" s="458"/>
      <c r="N42" s="460"/>
      <c r="O42" s="458"/>
      <c r="P42" s="461"/>
      <c r="Q42" s="461"/>
    </row>
    <row r="43" spans="1:34" s="459" customFormat="1" ht="14.25" customHeight="1">
      <c r="A43" s="462"/>
      <c r="B43" s="469" t="s">
        <v>244</v>
      </c>
      <c r="C43" s="464">
        <v>8.1999999999999993</v>
      </c>
      <c r="D43" s="458"/>
      <c r="E43" s="458"/>
      <c r="F43" s="458"/>
      <c r="G43" s="458"/>
      <c r="H43" s="458"/>
      <c r="I43" s="458"/>
      <c r="J43" s="458"/>
      <c r="K43" s="458"/>
      <c r="N43" s="460"/>
      <c r="O43" s="458"/>
      <c r="P43" s="461"/>
      <c r="Q43" s="461"/>
      <c r="T43" s="459" t="s">
        <v>245</v>
      </c>
    </row>
    <row r="44" spans="1:34" ht="14.25" customHeight="1">
      <c r="A44" s="470">
        <v>2011</v>
      </c>
      <c r="B44" s="468">
        <v>40583</v>
      </c>
      <c r="C44" s="471">
        <v>11</v>
      </c>
      <c r="D44" s="472"/>
      <c r="E44" s="472"/>
      <c r="F44" s="472"/>
      <c r="G44" s="472"/>
      <c r="H44" s="472"/>
      <c r="I44" s="472"/>
      <c r="J44" s="472"/>
      <c r="K44" s="472"/>
      <c r="L44" s="459"/>
      <c r="M44" s="459"/>
      <c r="N44" s="460"/>
      <c r="O44" s="458"/>
      <c r="P44" s="461"/>
      <c r="Q44" s="461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</row>
    <row r="45" spans="1:34" ht="14.25" customHeight="1">
      <c r="A45" s="473"/>
      <c r="B45" s="468">
        <v>40596</v>
      </c>
      <c r="C45" s="474">
        <v>11.65</v>
      </c>
      <c r="D45" s="474"/>
      <c r="E45" s="474"/>
      <c r="F45" s="474"/>
      <c r="G45" s="474"/>
      <c r="H45" s="474"/>
      <c r="I45" s="474"/>
      <c r="J45" s="474"/>
      <c r="K45" s="474"/>
      <c r="M45" s="459"/>
      <c r="N45" s="460"/>
      <c r="O45" s="458"/>
      <c r="P45" s="461"/>
    </row>
    <row r="46" spans="1:34" ht="14.25" customHeight="1">
      <c r="A46" s="473"/>
      <c r="B46" s="468">
        <v>40617</v>
      </c>
      <c r="C46" s="475">
        <v>12.61</v>
      </c>
      <c r="D46" s="476"/>
      <c r="E46" s="476"/>
      <c r="F46" s="476"/>
      <c r="G46" s="476"/>
      <c r="H46" s="476"/>
      <c r="I46" s="476"/>
      <c r="J46" s="476"/>
      <c r="K46" s="476"/>
      <c r="M46" s="459"/>
      <c r="N46" s="460"/>
      <c r="O46" s="458"/>
      <c r="P46" s="461"/>
    </row>
    <row r="47" spans="1:34" ht="14.25" customHeight="1">
      <c r="A47" s="473"/>
      <c r="B47" s="468">
        <v>40630</v>
      </c>
      <c r="C47" s="475">
        <v>13.5</v>
      </c>
      <c r="D47" s="476"/>
      <c r="E47" s="476"/>
      <c r="F47" s="476"/>
      <c r="G47" s="476"/>
      <c r="H47" s="476"/>
      <c r="I47" s="476"/>
      <c r="J47" s="476"/>
      <c r="K47" s="476"/>
      <c r="M47" s="459"/>
      <c r="N47" s="460"/>
      <c r="O47" s="458"/>
      <c r="P47" s="461"/>
    </row>
    <row r="48" spans="1:34" ht="14.25" customHeight="1">
      <c r="A48" s="473"/>
      <c r="B48" s="468">
        <v>40662</v>
      </c>
      <c r="C48" s="475">
        <v>15.09</v>
      </c>
      <c r="D48" s="476"/>
      <c r="E48" s="476"/>
      <c r="F48" s="476"/>
      <c r="G48" s="476"/>
      <c r="H48" s="476"/>
      <c r="I48" s="476"/>
      <c r="J48" s="476"/>
      <c r="K48" s="476"/>
      <c r="M48" s="459"/>
      <c r="N48" s="460"/>
      <c r="O48" s="458"/>
      <c r="P48" s="461"/>
    </row>
    <row r="49" spans="1:34" ht="14.25" customHeight="1">
      <c r="A49" s="477"/>
      <c r="B49" s="469">
        <v>40683</v>
      </c>
      <c r="C49" s="478">
        <v>15.65</v>
      </c>
      <c r="D49" s="476"/>
      <c r="E49" s="476"/>
      <c r="F49" s="476"/>
      <c r="G49" s="476"/>
      <c r="H49" s="476"/>
      <c r="I49" s="476"/>
      <c r="J49" s="476"/>
      <c r="K49" s="476"/>
      <c r="M49" s="459"/>
      <c r="N49" s="460"/>
      <c r="O49" s="458"/>
      <c r="P49" s="461"/>
    </row>
    <row r="50" spans="1:34" ht="14.25" customHeight="1">
      <c r="A50" s="470">
        <v>2012</v>
      </c>
      <c r="B50" s="468" t="s">
        <v>246</v>
      </c>
      <c r="C50" s="471">
        <v>15.03</v>
      </c>
      <c r="D50" s="472"/>
      <c r="E50" s="472"/>
      <c r="F50" s="472"/>
      <c r="G50" s="472"/>
      <c r="H50" s="472"/>
      <c r="I50" s="472"/>
      <c r="J50" s="472"/>
      <c r="K50" s="472"/>
      <c r="L50" s="459"/>
      <c r="M50" s="459"/>
      <c r="N50" s="460"/>
      <c r="O50" s="458"/>
      <c r="P50" s="461"/>
      <c r="Q50" s="461"/>
      <c r="R50" s="459"/>
      <c r="S50" s="459"/>
      <c r="T50" s="459"/>
      <c r="U50" s="459"/>
      <c r="V50" s="459"/>
      <c r="W50" s="459"/>
      <c r="X50" s="459"/>
      <c r="Y50" s="459"/>
      <c r="Z50" s="459"/>
      <c r="AA50" s="459"/>
      <c r="AB50" s="459"/>
      <c r="AC50" s="459"/>
      <c r="AD50" s="459"/>
      <c r="AE50" s="459"/>
      <c r="AF50" s="459"/>
      <c r="AG50" s="459"/>
      <c r="AH50" s="459"/>
    </row>
    <row r="51" spans="1:34" ht="14.25" customHeight="1">
      <c r="A51" s="473"/>
      <c r="B51" s="468" t="s">
        <v>247</v>
      </c>
      <c r="C51" s="474">
        <v>15.68</v>
      </c>
      <c r="D51" s="474"/>
      <c r="E51" s="474"/>
      <c r="F51" s="474"/>
      <c r="G51" s="474"/>
      <c r="H51" s="474"/>
      <c r="I51" s="474"/>
      <c r="J51" s="474"/>
      <c r="K51" s="474"/>
      <c r="M51" s="459"/>
      <c r="N51" s="460"/>
      <c r="O51" s="458"/>
      <c r="P51" s="461"/>
    </row>
    <row r="52" spans="1:34" ht="14.25" customHeight="1">
      <c r="A52" s="473"/>
      <c r="B52" s="468" t="s">
        <v>248</v>
      </c>
      <c r="C52" s="475">
        <v>16.5</v>
      </c>
      <c r="D52" s="476"/>
      <c r="E52" s="476"/>
      <c r="F52" s="476"/>
      <c r="G52" s="476"/>
      <c r="H52" s="476"/>
      <c r="I52" s="476"/>
      <c r="J52" s="476"/>
      <c r="K52" s="476"/>
      <c r="M52" s="459"/>
      <c r="N52" s="460"/>
      <c r="O52" s="458"/>
      <c r="P52" s="461"/>
    </row>
    <row r="53" spans="1:34" ht="14.25" customHeight="1">
      <c r="A53" s="473"/>
      <c r="B53" s="468" t="s">
        <v>249</v>
      </c>
      <c r="C53" s="475">
        <v>15.96</v>
      </c>
      <c r="D53" s="476"/>
      <c r="E53" s="476"/>
      <c r="F53" s="476"/>
      <c r="G53" s="476"/>
      <c r="H53" s="476"/>
      <c r="I53" s="476"/>
      <c r="J53" s="476"/>
      <c r="K53" s="476"/>
      <c r="M53" s="459"/>
      <c r="N53" s="460"/>
      <c r="O53" s="458"/>
      <c r="P53" s="461"/>
    </row>
    <row r="54" spans="1:34" ht="14.25" customHeight="1">
      <c r="A54" s="473"/>
      <c r="B54" s="468" t="s">
        <v>250</v>
      </c>
      <c r="C54" s="475">
        <v>16.45</v>
      </c>
      <c r="D54" s="476"/>
      <c r="E54" s="476"/>
      <c r="F54" s="476"/>
      <c r="G54" s="476"/>
      <c r="H54" s="476"/>
      <c r="I54" s="476"/>
      <c r="J54" s="476"/>
      <c r="K54" s="476"/>
      <c r="M54" s="459"/>
      <c r="N54" s="460"/>
      <c r="O54" s="458"/>
      <c r="P54" s="461"/>
    </row>
    <row r="55" spans="1:34" ht="14.25" customHeight="1">
      <c r="A55" s="477"/>
      <c r="B55" s="469" t="s">
        <v>251</v>
      </c>
      <c r="C55" s="478">
        <v>16.23</v>
      </c>
      <c r="D55" s="476"/>
      <c r="E55" s="476"/>
      <c r="F55" s="476"/>
      <c r="G55" s="476"/>
      <c r="H55" s="476"/>
      <c r="I55" s="476"/>
      <c r="J55" s="476"/>
      <c r="K55" s="476"/>
      <c r="M55" s="459"/>
      <c r="N55" s="460"/>
      <c r="O55" s="458"/>
      <c r="P55" s="461"/>
    </row>
    <row r="56" spans="1:34" ht="14.25" customHeight="1">
      <c r="A56" s="470">
        <v>2013</v>
      </c>
      <c r="B56" s="468" t="s">
        <v>252</v>
      </c>
      <c r="C56" s="475">
        <v>16.489999999999998</v>
      </c>
      <c r="D56" s="472"/>
      <c r="E56" s="472"/>
      <c r="F56" s="472"/>
      <c r="G56" s="472"/>
      <c r="H56" s="472"/>
      <c r="I56" s="472"/>
      <c r="J56" s="472"/>
      <c r="K56" s="472"/>
      <c r="L56" s="459"/>
      <c r="M56" s="459"/>
      <c r="N56" s="460"/>
      <c r="O56" s="458"/>
      <c r="P56" s="461"/>
      <c r="Q56" s="461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</row>
    <row r="57" spans="1:34" ht="14.25" customHeight="1">
      <c r="A57" s="477"/>
      <c r="B57" s="469" t="s">
        <v>253</v>
      </c>
      <c r="C57" s="478">
        <v>16.079999999999998</v>
      </c>
      <c r="D57" s="476"/>
      <c r="E57" s="476"/>
      <c r="F57" s="476"/>
      <c r="G57" s="476"/>
      <c r="H57" s="476"/>
      <c r="I57" s="476"/>
      <c r="J57" s="476"/>
      <c r="K57" s="476"/>
      <c r="M57" s="459"/>
      <c r="N57" s="460"/>
      <c r="O57" s="458"/>
      <c r="P57" s="461"/>
    </row>
    <row r="58" spans="1:34" ht="14.25" customHeight="1">
      <c r="A58" s="449">
        <v>2014</v>
      </c>
      <c r="B58" s="468">
        <v>41927</v>
      </c>
      <c r="C58" s="474">
        <v>14.83</v>
      </c>
      <c r="D58" s="474"/>
      <c r="E58" s="474"/>
      <c r="F58" s="474"/>
      <c r="G58" s="474"/>
      <c r="H58" s="474"/>
      <c r="I58" s="474"/>
      <c r="J58" s="474"/>
      <c r="K58" s="474"/>
      <c r="M58" s="459"/>
      <c r="N58" s="460"/>
      <c r="O58" s="458"/>
      <c r="P58" s="461"/>
    </row>
    <row r="59" spans="1:34" ht="14.25" customHeight="1">
      <c r="A59" s="454"/>
      <c r="B59" s="469">
        <v>41989</v>
      </c>
      <c r="C59" s="479">
        <v>12</v>
      </c>
      <c r="D59" s="474"/>
      <c r="E59" s="474"/>
      <c r="F59" s="474"/>
      <c r="G59" s="474"/>
      <c r="H59" s="474"/>
      <c r="I59" s="474"/>
      <c r="J59" s="474"/>
      <c r="K59" s="474"/>
      <c r="M59" s="459"/>
      <c r="N59" s="460"/>
      <c r="O59" s="458"/>
      <c r="P59" s="461"/>
    </row>
    <row r="60" spans="1:34" ht="14.25" customHeight="1">
      <c r="A60" s="470">
        <v>2015</v>
      </c>
      <c r="B60" s="480">
        <v>42013</v>
      </c>
      <c r="C60" s="471">
        <v>12.33</v>
      </c>
      <c r="D60" s="474"/>
      <c r="E60" s="474"/>
      <c r="F60" s="474"/>
      <c r="G60" s="474"/>
      <c r="H60" s="474"/>
      <c r="I60" s="474"/>
      <c r="J60" s="474"/>
      <c r="K60" s="474"/>
      <c r="M60" s="459"/>
      <c r="N60" s="460"/>
      <c r="O60" s="458"/>
      <c r="P60" s="461"/>
    </row>
    <row r="61" spans="1:34" ht="14.25" customHeight="1">
      <c r="A61" s="449"/>
      <c r="B61" s="468">
        <v>42023</v>
      </c>
      <c r="C61" s="474">
        <v>10</v>
      </c>
      <c r="D61" s="474"/>
      <c r="E61" s="474"/>
      <c r="F61" s="474"/>
      <c r="G61" s="474"/>
      <c r="H61" s="474"/>
      <c r="I61" s="474"/>
      <c r="J61" s="474"/>
      <c r="K61" s="474"/>
      <c r="M61" s="459"/>
      <c r="N61" s="460"/>
      <c r="O61" s="458"/>
      <c r="P61" s="461"/>
    </row>
    <row r="62" spans="1:34" ht="14.25" customHeight="1">
      <c r="A62" s="454"/>
      <c r="B62" s="469">
        <v>42074</v>
      </c>
      <c r="C62" s="479">
        <v>11</v>
      </c>
      <c r="D62" s="474"/>
      <c r="E62" s="474"/>
      <c r="F62" s="474"/>
      <c r="G62" s="474"/>
      <c r="H62" s="474"/>
      <c r="I62" s="474"/>
      <c r="J62" s="474"/>
      <c r="K62" s="474"/>
      <c r="M62" s="459"/>
      <c r="N62" s="460"/>
      <c r="O62" s="458"/>
      <c r="P62" s="461"/>
    </row>
    <row r="63" spans="1:34" ht="14.25" customHeight="1">
      <c r="A63" s="470">
        <v>2016</v>
      </c>
      <c r="B63" s="480">
        <v>42370</v>
      </c>
      <c r="C63" s="471">
        <v>10</v>
      </c>
      <c r="D63" s="474"/>
      <c r="E63" s="474"/>
      <c r="F63" s="474"/>
      <c r="G63" s="474"/>
      <c r="H63" s="474"/>
      <c r="I63" s="474"/>
      <c r="J63" s="474"/>
      <c r="K63" s="474"/>
      <c r="M63" s="459"/>
      <c r="N63" s="460"/>
      <c r="O63" s="458"/>
      <c r="P63" s="461"/>
    </row>
    <row r="64" spans="1:34" ht="14.25" customHeight="1">
      <c r="A64" s="454"/>
      <c r="B64" s="469">
        <v>42394</v>
      </c>
      <c r="C64" s="479">
        <v>9.25</v>
      </c>
      <c r="D64" s="474"/>
      <c r="E64" s="474"/>
      <c r="F64" s="474"/>
      <c r="G64" s="474"/>
      <c r="H64" s="474"/>
      <c r="I64" s="474"/>
      <c r="J64" s="474"/>
      <c r="K64" s="474"/>
      <c r="M64" s="459"/>
      <c r="N64" s="460"/>
      <c r="O64" s="458"/>
      <c r="P64" s="461"/>
    </row>
    <row r="65" spans="1:17" ht="14.25" customHeight="1">
      <c r="A65" s="470">
        <v>2017</v>
      </c>
      <c r="B65" s="480">
        <v>42772</v>
      </c>
      <c r="C65" s="471">
        <v>9.25</v>
      </c>
      <c r="D65" s="474"/>
      <c r="E65" s="474"/>
      <c r="F65" s="474"/>
      <c r="G65" s="474"/>
      <c r="H65" s="474"/>
      <c r="I65" s="474"/>
      <c r="J65" s="474"/>
      <c r="K65" s="474"/>
      <c r="M65" s="459"/>
      <c r="N65" s="460"/>
      <c r="O65" s="458"/>
      <c r="P65" s="461"/>
    </row>
    <row r="66" spans="1:17" ht="14.25" customHeight="1">
      <c r="A66" s="449"/>
      <c r="B66" s="468">
        <v>42848</v>
      </c>
      <c r="C66" s="474">
        <v>9.15</v>
      </c>
      <c r="D66" s="474"/>
      <c r="E66" s="474"/>
      <c r="F66" s="474"/>
      <c r="G66" s="474"/>
      <c r="H66" s="474"/>
      <c r="I66" s="474"/>
      <c r="J66" s="474"/>
      <c r="K66" s="474"/>
      <c r="M66" s="459"/>
      <c r="N66" s="460"/>
      <c r="O66" s="458"/>
      <c r="P66" s="461"/>
    </row>
    <row r="67" spans="1:17" ht="12.75">
      <c r="A67" s="449"/>
      <c r="B67" s="468">
        <v>42892</v>
      </c>
      <c r="C67" s="474">
        <v>8.85</v>
      </c>
      <c r="D67" s="474"/>
      <c r="E67" s="474"/>
      <c r="F67" s="474"/>
      <c r="G67" s="474"/>
      <c r="H67" s="474"/>
      <c r="I67" s="474"/>
      <c r="J67" s="474"/>
      <c r="K67" s="474"/>
      <c r="M67" s="459"/>
      <c r="N67" s="460"/>
      <c r="O67" s="458"/>
      <c r="P67" s="461"/>
    </row>
    <row r="68" spans="1:17" ht="12.75">
      <c r="A68" s="449"/>
      <c r="B68" s="468">
        <v>42904</v>
      </c>
      <c r="C68" s="474">
        <v>8.44</v>
      </c>
      <c r="D68" s="474"/>
      <c r="E68" s="474"/>
      <c r="F68" s="474"/>
      <c r="G68" s="474"/>
      <c r="H68" s="474"/>
      <c r="I68" s="474"/>
      <c r="J68" s="474"/>
      <c r="K68" s="474"/>
      <c r="M68" s="459"/>
      <c r="N68" s="460"/>
      <c r="O68" s="458"/>
      <c r="P68" s="461"/>
    </row>
    <row r="69" spans="1:17" ht="12.75">
      <c r="A69" s="449"/>
      <c r="B69" s="468">
        <v>43349</v>
      </c>
      <c r="C69" s="474">
        <v>8.64</v>
      </c>
      <c r="D69" s="474"/>
      <c r="E69" s="474"/>
      <c r="F69" s="474"/>
      <c r="G69" s="474"/>
      <c r="H69" s="474"/>
      <c r="I69" s="474"/>
      <c r="J69" s="474"/>
      <c r="K69" s="474"/>
      <c r="M69" s="459"/>
      <c r="N69" s="460"/>
      <c r="O69" s="458"/>
      <c r="P69" s="461"/>
    </row>
    <row r="70" spans="1:17" ht="12.75">
      <c r="A70" s="449"/>
      <c r="B70" s="468">
        <v>43375</v>
      </c>
      <c r="C70" s="474">
        <v>9.17</v>
      </c>
      <c r="D70" s="474"/>
      <c r="E70" s="474"/>
      <c r="F70" s="474"/>
      <c r="G70" s="474"/>
      <c r="H70" s="474"/>
      <c r="I70" s="474"/>
      <c r="J70" s="474"/>
      <c r="K70" s="474"/>
      <c r="M70" s="459"/>
      <c r="N70" s="460"/>
      <c r="O70" s="458"/>
      <c r="P70" s="461"/>
    </row>
    <row r="71" spans="1:17" ht="12.75">
      <c r="A71" s="454"/>
      <c r="B71" s="469">
        <v>43065</v>
      </c>
      <c r="C71" s="479">
        <v>9.61</v>
      </c>
      <c r="D71" s="474"/>
      <c r="E71" s="474"/>
      <c r="F71" s="474"/>
      <c r="G71" s="474"/>
      <c r="H71" s="474"/>
      <c r="I71" s="474"/>
      <c r="J71" s="474"/>
      <c r="K71" s="474"/>
      <c r="M71" s="459"/>
      <c r="N71" s="460"/>
      <c r="O71" s="458"/>
      <c r="P71" s="461"/>
    </row>
    <row r="72" spans="1:17" ht="13.5">
      <c r="A72" s="481" t="s">
        <v>209</v>
      </c>
      <c r="B72" s="482"/>
      <c r="C72" s="483" t="s">
        <v>210</v>
      </c>
      <c r="D72" s="474"/>
      <c r="E72" s="474"/>
      <c r="F72" s="474"/>
      <c r="G72" s="474"/>
      <c r="H72" s="474"/>
      <c r="I72" s="474"/>
      <c r="J72" s="474"/>
      <c r="K72" s="474"/>
      <c r="M72" s="459"/>
      <c r="N72" s="460"/>
      <c r="O72" s="458"/>
      <c r="P72" s="461"/>
    </row>
    <row r="73" spans="1:17" ht="12.75">
      <c r="A73" s="449"/>
      <c r="B73" s="468"/>
      <c r="C73" s="474"/>
      <c r="D73" s="474"/>
      <c r="E73" s="474"/>
      <c r="F73" s="474"/>
      <c r="G73" s="474"/>
      <c r="H73" s="474"/>
      <c r="I73" s="474"/>
      <c r="J73" s="474"/>
      <c r="K73" s="474"/>
      <c r="M73" s="459"/>
      <c r="N73" s="460"/>
      <c r="O73" s="458"/>
      <c r="P73" s="461"/>
    </row>
    <row r="74" spans="1:17" ht="13.5">
      <c r="A74" s="442"/>
      <c r="D74" s="483"/>
      <c r="E74" s="483"/>
      <c r="F74" s="483"/>
      <c r="G74" s="483"/>
      <c r="H74" s="483"/>
      <c r="I74" s="483"/>
      <c r="J74" s="483"/>
      <c r="K74" s="483"/>
      <c r="M74" s="459"/>
      <c r="N74" s="461"/>
      <c r="O74" s="461"/>
      <c r="P74" s="461"/>
    </row>
    <row r="75" spans="1:17" ht="12.75">
      <c r="A75" s="484"/>
      <c r="B75" s="482"/>
      <c r="C75" s="482"/>
      <c r="D75" s="482"/>
      <c r="E75" s="482"/>
      <c r="F75" s="482"/>
      <c r="G75" s="482"/>
      <c r="H75" s="482"/>
      <c r="I75" s="482"/>
      <c r="J75" s="482"/>
      <c r="K75" s="482"/>
      <c r="M75" s="459"/>
      <c r="N75" s="461"/>
      <c r="O75" s="461"/>
      <c r="P75" s="461"/>
    </row>
    <row r="76" spans="1:17" ht="12.75">
      <c r="B76" s="482"/>
      <c r="C76" s="482"/>
      <c r="D76" s="482"/>
      <c r="E76" s="482"/>
      <c r="F76" s="482"/>
      <c r="G76" s="482"/>
      <c r="H76" s="482"/>
      <c r="I76" s="482"/>
      <c r="J76" s="482"/>
      <c r="K76" s="482"/>
      <c r="M76" s="459"/>
      <c r="N76" s="460"/>
      <c r="O76" s="458"/>
      <c r="P76" s="461"/>
    </row>
    <row r="77" spans="1:17" ht="12.75">
      <c r="A77" s="484"/>
      <c r="B77" s="482"/>
      <c r="C77" s="482"/>
      <c r="D77" s="482"/>
      <c r="E77" s="482"/>
      <c r="F77" s="482"/>
      <c r="G77" s="482"/>
      <c r="H77" s="482"/>
      <c r="I77" s="482"/>
      <c r="J77" s="482"/>
      <c r="K77" s="482"/>
      <c r="M77" s="459"/>
      <c r="N77" s="460"/>
      <c r="O77" s="458"/>
      <c r="P77" s="461"/>
    </row>
    <row r="78" spans="1:17" ht="12.75">
      <c r="A78" s="484"/>
      <c r="B78" s="482"/>
      <c r="C78" s="482"/>
      <c r="D78" s="482"/>
      <c r="E78" s="482"/>
      <c r="F78" s="482"/>
      <c r="G78" s="482"/>
      <c r="H78" s="482"/>
      <c r="I78" s="482"/>
      <c r="J78" s="482"/>
      <c r="K78" s="482"/>
      <c r="M78" s="459"/>
      <c r="N78" s="460"/>
      <c r="O78" s="458"/>
      <c r="P78" s="461"/>
    </row>
    <row r="79" spans="1:17" ht="12.75">
      <c r="A79" s="484"/>
      <c r="B79" s="482"/>
      <c r="C79" s="482"/>
      <c r="D79" s="482"/>
      <c r="E79" s="482"/>
      <c r="F79" s="482"/>
      <c r="G79" s="482"/>
      <c r="H79" s="482"/>
      <c r="I79" s="482"/>
      <c r="J79" s="482"/>
      <c r="K79" s="482"/>
      <c r="M79" s="459"/>
      <c r="N79" s="460"/>
      <c r="O79" s="458"/>
      <c r="P79" s="461"/>
    </row>
    <row r="80" spans="1:17" ht="12.75">
      <c r="A80" s="484"/>
      <c r="B80" s="482"/>
      <c r="C80" s="482"/>
      <c r="D80" s="482"/>
      <c r="E80" s="482"/>
      <c r="F80" s="482"/>
      <c r="G80" s="482"/>
      <c r="H80" s="482"/>
      <c r="I80" s="482"/>
      <c r="J80" s="482"/>
      <c r="K80" s="482"/>
      <c r="M80" s="459"/>
      <c r="N80" s="460"/>
      <c r="O80" s="458"/>
      <c r="P80" s="459"/>
      <c r="Q80" s="442"/>
    </row>
    <row r="81" spans="1:17" ht="12.75">
      <c r="M81" s="459"/>
      <c r="N81" s="460"/>
      <c r="O81" s="472"/>
      <c r="P81" s="459"/>
      <c r="Q81" s="442"/>
    </row>
    <row r="82" spans="1:17" ht="12.75">
      <c r="M82" s="459"/>
      <c r="N82" s="460"/>
      <c r="O82" s="476"/>
      <c r="P82" s="459"/>
      <c r="Q82" s="442"/>
    </row>
    <row r="83" spans="1:17" ht="12.75">
      <c r="M83" s="459"/>
      <c r="N83" s="460"/>
      <c r="O83" s="476"/>
      <c r="P83" s="459"/>
      <c r="Q83" s="442"/>
    </row>
    <row r="84" spans="1:17" ht="12.75">
      <c r="M84" s="459"/>
      <c r="N84" s="460"/>
      <c r="O84" s="476"/>
      <c r="P84" s="459"/>
      <c r="Q84" s="442"/>
    </row>
    <row r="85" spans="1:17" ht="12.75">
      <c r="M85" s="459">
        <v>2012</v>
      </c>
      <c r="N85" s="460">
        <v>39814</v>
      </c>
      <c r="O85" s="472">
        <v>15.03</v>
      </c>
      <c r="P85" s="474"/>
      <c r="Q85" s="442"/>
    </row>
    <row r="86" spans="1:17" ht="12.75">
      <c r="M86" s="459"/>
      <c r="N86" s="460">
        <v>40603</v>
      </c>
      <c r="O86" s="476">
        <v>15.68</v>
      </c>
      <c r="P86" s="474"/>
      <c r="Q86" s="442"/>
    </row>
    <row r="87" spans="1:17" ht="12.75">
      <c r="M87" s="459"/>
      <c r="N87" s="460">
        <v>40634</v>
      </c>
      <c r="O87" s="476">
        <v>16.5</v>
      </c>
      <c r="P87" s="475"/>
      <c r="Q87" s="442"/>
    </row>
    <row r="88" spans="1:17" ht="12.75">
      <c r="A88" s="442"/>
      <c r="M88" s="459"/>
      <c r="N88" s="486" t="s">
        <v>3</v>
      </c>
      <c r="O88" s="476">
        <v>15.96</v>
      </c>
      <c r="P88" s="475"/>
      <c r="Q88" s="442"/>
    </row>
    <row r="89" spans="1:17" ht="12.75">
      <c r="A89" s="442"/>
      <c r="M89" s="459"/>
      <c r="N89" s="487" t="s">
        <v>254</v>
      </c>
      <c r="O89" s="476">
        <v>16.45</v>
      </c>
      <c r="P89" s="475"/>
      <c r="Q89" s="442"/>
    </row>
    <row r="90" spans="1:17" ht="12.75">
      <c r="A90" s="442"/>
      <c r="M90" s="459"/>
      <c r="N90" s="487" t="s">
        <v>27</v>
      </c>
      <c r="O90" s="476">
        <v>16.23</v>
      </c>
      <c r="P90" s="475"/>
      <c r="Q90" s="442"/>
    </row>
    <row r="91" spans="1:17" ht="12.75">
      <c r="A91" s="442"/>
      <c r="M91" s="459">
        <v>2013</v>
      </c>
      <c r="N91" s="460">
        <v>40603</v>
      </c>
      <c r="O91" s="475">
        <v>16.489999999999998</v>
      </c>
      <c r="P91" s="475"/>
      <c r="Q91" s="442"/>
    </row>
    <row r="92" spans="1:17" ht="12.75">
      <c r="A92" s="442"/>
      <c r="M92" s="459"/>
      <c r="N92" s="460">
        <v>40634</v>
      </c>
      <c r="O92" s="474">
        <v>16.079999999999998</v>
      </c>
      <c r="P92" s="475"/>
      <c r="Q92" s="442"/>
    </row>
    <row r="93" spans="1:17" ht="12.75">
      <c r="A93" s="442"/>
      <c r="M93" s="459">
        <v>2014</v>
      </c>
      <c r="N93" s="468" t="s">
        <v>26</v>
      </c>
      <c r="O93" s="474">
        <v>14.83</v>
      </c>
      <c r="P93" s="474"/>
      <c r="Q93" s="442"/>
    </row>
    <row r="94" spans="1:17" ht="12.75">
      <c r="A94" s="442"/>
      <c r="M94" s="459"/>
      <c r="N94" s="468" t="s">
        <v>5</v>
      </c>
      <c r="O94" s="474">
        <v>12</v>
      </c>
      <c r="P94" s="474"/>
      <c r="Q94" s="442"/>
    </row>
    <row r="95" spans="1:17" ht="12.75">
      <c r="A95" s="442"/>
      <c r="M95" s="459">
        <v>2015</v>
      </c>
      <c r="N95" s="460">
        <v>39814</v>
      </c>
      <c r="O95" s="474">
        <v>12.33</v>
      </c>
      <c r="P95" s="474"/>
    </row>
    <row r="96" spans="1:17" ht="21.75" customHeight="1">
      <c r="A96" s="442"/>
      <c r="M96" s="468"/>
      <c r="N96" s="460">
        <v>39814</v>
      </c>
      <c r="O96" s="474">
        <v>10</v>
      </c>
      <c r="P96" s="474"/>
    </row>
    <row r="97" spans="1:16" ht="21.75" customHeight="1">
      <c r="A97" s="442"/>
      <c r="M97" s="459"/>
      <c r="N97" s="460">
        <v>40603</v>
      </c>
      <c r="O97" s="474">
        <v>11</v>
      </c>
      <c r="P97" s="474"/>
    </row>
    <row r="98" spans="1:16" ht="21.75" customHeight="1">
      <c r="A98" s="442"/>
      <c r="M98" s="459">
        <v>2016</v>
      </c>
      <c r="N98" s="460">
        <v>39814</v>
      </c>
      <c r="O98" s="471">
        <v>10</v>
      </c>
      <c r="P98" s="474"/>
    </row>
    <row r="99" spans="1:16" ht="21.75" customHeight="1">
      <c r="A99" s="442"/>
      <c r="M99" s="459"/>
      <c r="N99" s="460">
        <v>39814</v>
      </c>
      <c r="O99" s="479">
        <v>9.25</v>
      </c>
      <c r="P99" s="474"/>
    </row>
    <row r="100" spans="1:16" ht="21.75" customHeight="1">
      <c r="M100" s="459">
        <v>2017</v>
      </c>
      <c r="N100" s="486" t="s">
        <v>21</v>
      </c>
      <c r="O100" s="471">
        <v>9.25</v>
      </c>
      <c r="P100" s="459"/>
    </row>
    <row r="101" spans="1:16" ht="21.75" customHeight="1">
      <c r="N101" s="486" t="s">
        <v>22</v>
      </c>
      <c r="O101" s="474">
        <v>9.15</v>
      </c>
      <c r="P101" s="461"/>
    </row>
    <row r="102" spans="1:16" ht="21.75" customHeight="1">
      <c r="N102" s="486" t="s">
        <v>3</v>
      </c>
      <c r="O102" s="474">
        <v>8.85</v>
      </c>
      <c r="P102" s="461"/>
    </row>
    <row r="103" spans="1:16" ht="21.75" customHeight="1">
      <c r="N103" s="486" t="s">
        <v>24</v>
      </c>
      <c r="O103" s="474">
        <v>8.44</v>
      </c>
      <c r="P103" s="461"/>
    </row>
    <row r="104" spans="1:16" ht="21.75" customHeight="1">
      <c r="N104" s="486" t="s">
        <v>254</v>
      </c>
      <c r="O104" s="474">
        <v>8.64</v>
      </c>
    </row>
    <row r="105" spans="1:16" ht="21.75" customHeight="1">
      <c r="N105" s="486" t="s">
        <v>26</v>
      </c>
      <c r="O105" s="474">
        <v>9.17</v>
      </c>
    </row>
    <row r="106" spans="1:16" ht="21.75" customHeight="1">
      <c r="N106" s="486" t="s">
        <v>27</v>
      </c>
      <c r="O106" s="479">
        <v>9.61</v>
      </c>
    </row>
  </sheetData>
  <mergeCells count="3">
    <mergeCell ref="A1:C1"/>
    <mergeCell ref="A2:C2"/>
    <mergeCell ref="B4:C4"/>
  </mergeCells>
  <pageMargins left="0.7" right="0.7" top="0.75" bottom="0.75" header="0.3" footer="0.3"/>
  <pageSetup paperSize="9" scale="85" orientation="portrait" horizontalDpi="4294967295" verticalDpi="4294967295" r:id="rId1"/>
  <colBreaks count="1" manualBreakCount="1">
    <brk id="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43"/>
  <sheetViews>
    <sheetView zoomScaleNormal="100" workbookViewId="0">
      <selection activeCell="L51" sqref="L51"/>
    </sheetView>
  </sheetViews>
  <sheetFormatPr defaultRowHeight="15"/>
  <cols>
    <col min="1" max="1" width="27" style="272" customWidth="1"/>
    <col min="2" max="2" width="0.42578125" style="272" customWidth="1"/>
    <col min="3" max="3" width="7.42578125" style="272" bestFit="1" customWidth="1"/>
    <col min="4" max="5" width="7.28515625" style="272" customWidth="1"/>
    <col min="6" max="6" width="8.85546875" style="272" customWidth="1"/>
    <col min="7" max="7" width="6.85546875" style="272" customWidth="1"/>
    <col min="8" max="8" width="8.85546875" style="272" customWidth="1"/>
    <col min="9" max="10" width="8.42578125" style="272" customWidth="1"/>
    <col min="11" max="11" width="7" style="272" customWidth="1"/>
    <col min="12" max="14" width="8.42578125" style="272" customWidth="1"/>
    <col min="15" max="17" width="8" style="272" customWidth="1"/>
    <col min="18" max="19" width="8.42578125" style="272" customWidth="1"/>
    <col min="20" max="20" width="7.42578125" style="272" customWidth="1"/>
    <col min="21" max="21" width="7.28515625" style="272" customWidth="1"/>
    <col min="22" max="32" width="7.7109375" style="272" customWidth="1"/>
    <col min="33" max="35" width="8" style="272" customWidth="1"/>
    <col min="36" max="16384" width="9.140625" style="272"/>
  </cols>
  <sheetData>
    <row r="1" spans="1:38" ht="21">
      <c r="A1" s="664" t="s">
        <v>131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64"/>
    </row>
    <row r="2" spans="1:38" ht="15.75">
      <c r="A2" s="662" t="s">
        <v>132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2"/>
      <c r="AC2" s="662"/>
      <c r="AD2" s="662"/>
      <c r="AE2" s="662"/>
      <c r="AF2" s="662"/>
      <c r="AG2" s="662"/>
      <c r="AH2" s="662"/>
      <c r="AI2" s="662"/>
      <c r="AJ2" s="662"/>
      <c r="AK2" s="662"/>
      <c r="AL2" s="662"/>
    </row>
    <row r="3" spans="1:38">
      <c r="A3" s="663" t="s">
        <v>130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</row>
    <row r="4" spans="1:38" ht="18.75">
      <c r="A4" s="271" t="s">
        <v>116</v>
      </c>
    </row>
    <row r="5" spans="1:38">
      <c r="A5" s="286"/>
      <c r="B5" s="286"/>
      <c r="C5" s="287">
        <v>41183</v>
      </c>
      <c r="D5" s="287">
        <v>41214</v>
      </c>
      <c r="E5" s="287">
        <v>41244</v>
      </c>
      <c r="F5" s="287">
        <v>41275</v>
      </c>
      <c r="G5" s="287">
        <v>41306</v>
      </c>
      <c r="H5" s="287">
        <v>41334</v>
      </c>
      <c r="I5" s="287">
        <v>41365</v>
      </c>
      <c r="J5" s="287">
        <v>41395</v>
      </c>
      <c r="K5" s="287">
        <v>41426</v>
      </c>
      <c r="L5" s="287">
        <v>41456</v>
      </c>
      <c r="M5" s="287">
        <v>41487</v>
      </c>
      <c r="N5" s="287">
        <v>41518</v>
      </c>
      <c r="O5" s="287">
        <v>41548</v>
      </c>
      <c r="P5" s="287">
        <v>41579</v>
      </c>
      <c r="Q5" s="287">
        <v>41609</v>
      </c>
      <c r="R5" s="287">
        <v>41640</v>
      </c>
      <c r="S5" s="287">
        <v>41671</v>
      </c>
      <c r="T5" s="287">
        <v>41699</v>
      </c>
      <c r="U5" s="287">
        <v>41730</v>
      </c>
      <c r="V5" s="287">
        <v>41760</v>
      </c>
      <c r="W5" s="287">
        <v>41791</v>
      </c>
      <c r="X5" s="287">
        <v>41821</v>
      </c>
      <c r="Y5" s="287">
        <v>41852</v>
      </c>
      <c r="Z5" s="287">
        <v>41883</v>
      </c>
      <c r="AA5" s="287">
        <v>41913</v>
      </c>
      <c r="AB5" s="287">
        <v>41944</v>
      </c>
      <c r="AC5" s="287">
        <v>41974</v>
      </c>
      <c r="AD5" s="287">
        <v>42005</v>
      </c>
      <c r="AE5" s="287">
        <v>42036</v>
      </c>
      <c r="AF5" s="287">
        <v>42064</v>
      </c>
      <c r="AG5" s="287">
        <v>42095</v>
      </c>
      <c r="AH5" s="287">
        <v>42125</v>
      </c>
      <c r="AI5" s="287">
        <v>42156</v>
      </c>
      <c r="AJ5" s="287">
        <v>42186</v>
      </c>
      <c r="AK5" s="287">
        <v>42217</v>
      </c>
      <c r="AL5" s="287">
        <v>42248</v>
      </c>
    </row>
    <row r="6" spans="1:38" s="273" customFormat="1">
      <c r="A6" s="273" t="s">
        <v>117</v>
      </c>
      <c r="C6" s="273">
        <v>100</v>
      </c>
      <c r="D6" s="274">
        <v>102.649452205901</v>
      </c>
      <c r="E6" s="274">
        <v>106.627724958035</v>
      </c>
      <c r="F6" s="274">
        <v>115.13897434635599</v>
      </c>
      <c r="G6" s="274">
        <v>115.535204709814</v>
      </c>
      <c r="H6" s="274">
        <v>115.381249582024</v>
      </c>
      <c r="I6" s="274">
        <v>108.55082322939801</v>
      </c>
      <c r="J6" s="274">
        <v>98.8843198113657</v>
      </c>
      <c r="K6" s="274">
        <v>96.471350571227703</v>
      </c>
      <c r="L6" s="274">
        <v>91.899973636695606</v>
      </c>
      <c r="M6" s="274">
        <v>94.838543936579796</v>
      </c>
      <c r="N6" s="274">
        <v>92.488760087557296</v>
      </c>
      <c r="O6" s="274">
        <v>102.916567355602</v>
      </c>
      <c r="P6" s="274">
        <v>105.253045267346</v>
      </c>
      <c r="Q6" s="274">
        <v>106.948414154584</v>
      </c>
      <c r="R6" s="274">
        <v>112.851420117518</v>
      </c>
      <c r="S6" s="274">
        <v>111.238683968445</v>
      </c>
      <c r="T6" s="274">
        <v>112.51745233746701</v>
      </c>
      <c r="U6" s="274">
        <v>111.41082077416399</v>
      </c>
      <c r="V6" s="274">
        <v>97.868960281630393</v>
      </c>
      <c r="W6" s="274">
        <v>99.786747036803902</v>
      </c>
      <c r="X6" s="274">
        <v>96.614862061683297</v>
      </c>
      <c r="Y6" s="274">
        <v>101.847917161194</v>
      </c>
      <c r="Z6" s="274">
        <v>97.975521558750501</v>
      </c>
      <c r="AA6" s="274">
        <v>103.301240281319</v>
      </c>
      <c r="AB6" s="274">
        <v>105.011888970884</v>
      </c>
      <c r="AC6" s="274">
        <v>109.202544127648</v>
      </c>
      <c r="AD6" s="274">
        <f>'[5]Index calculation_Final'!CJ4</f>
        <v>116.18965792429491</v>
      </c>
      <c r="AE6" s="274">
        <f>'[5]Index calculation_Final'!CK4</f>
        <v>116.66044097112987</v>
      </c>
      <c r="AF6" s="274">
        <f>'[5]Index calculation_Final'!CL4</f>
        <v>116.94643735595976</v>
      </c>
      <c r="AG6" s="274">
        <f>'[5]Index calculation_Final'!CM4</f>
        <v>109.10436788471713</v>
      </c>
      <c r="AH6" s="274">
        <f>'[5]Index calculation_Final'!CN4</f>
        <v>99.046719012829016</v>
      </c>
      <c r="AI6" s="274">
        <f>'[5]Index calculation_Final'!CO4</f>
        <v>97.44917277169138</v>
      </c>
      <c r="AJ6" s="274">
        <f>'[5]Index calculation_Final'!CP4</f>
        <v>100.69491904412115</v>
      </c>
      <c r="AK6" s="274">
        <f>'[5]Index calculation_Final'!CQ4</f>
        <v>103.43799997802988</v>
      </c>
      <c r="AL6" s="274">
        <f>'[5]Index calculation_Final'!CR4</f>
        <v>100.36299829344136</v>
      </c>
    </row>
    <row r="7" spans="1:38">
      <c r="A7" s="275" t="s">
        <v>118</v>
      </c>
      <c r="B7" s="275"/>
      <c r="C7" s="275">
        <v>100</v>
      </c>
      <c r="D7" s="276">
        <v>100.991828989686</v>
      </c>
      <c r="E7" s="276">
        <v>108.685698184751</v>
      </c>
      <c r="F7" s="276">
        <v>105.022415081107</v>
      </c>
      <c r="G7" s="276">
        <v>108.06356041574701</v>
      </c>
      <c r="H7" s="276">
        <v>109.876878726153</v>
      </c>
      <c r="I7" s="276">
        <v>108.03224159157701</v>
      </c>
      <c r="J7" s="276">
        <v>116.005489185058</v>
      </c>
      <c r="K7" s="276">
        <v>112.66178586638399</v>
      </c>
      <c r="L7" s="276">
        <v>110.375008735039</v>
      </c>
      <c r="M7" s="276">
        <v>103.69144599960001</v>
      </c>
      <c r="N7" s="276">
        <v>113.36751269695399</v>
      </c>
      <c r="O7" s="276">
        <v>97.761121513626605</v>
      </c>
      <c r="P7" s="276">
        <v>102.349881995318</v>
      </c>
      <c r="Q7" s="276">
        <v>90.486835109718797</v>
      </c>
      <c r="R7" s="276">
        <v>90.488923674400198</v>
      </c>
      <c r="S7" s="276">
        <v>89.050330702290395</v>
      </c>
      <c r="T7" s="276">
        <v>90.820623654705003</v>
      </c>
      <c r="U7" s="276">
        <v>93.202880318489207</v>
      </c>
      <c r="V7" s="276">
        <v>99.0450467020829</v>
      </c>
      <c r="W7" s="276">
        <v>97.2829890370665</v>
      </c>
      <c r="X7" s="276">
        <v>93.057203797351903</v>
      </c>
      <c r="Y7" s="276">
        <v>90.661927898165203</v>
      </c>
      <c r="Z7" s="276">
        <v>92.624104050139195</v>
      </c>
      <c r="AA7" s="276">
        <v>97.504360967833193</v>
      </c>
      <c r="AB7" s="276">
        <v>88.749513701477895</v>
      </c>
      <c r="AC7" s="276">
        <v>95.106309805466594</v>
      </c>
      <c r="AD7" s="276">
        <f>'[5]Index calculation_Final'!CJ7</f>
        <v>96.38869825121526</v>
      </c>
      <c r="AE7" s="276">
        <f>'[5]Index calculation_Final'!CK7</f>
        <v>99.693507729456286</v>
      </c>
      <c r="AF7" s="276">
        <f>'[5]Index calculation_Final'!CL7</f>
        <v>93.305734737357895</v>
      </c>
      <c r="AG7" s="276">
        <f>'[5]Index calculation_Final'!CM7</f>
        <v>88.411809292000825</v>
      </c>
      <c r="AH7" s="276">
        <f>'[5]Index calculation_Final'!CN7</f>
        <v>100.562496236187</v>
      </c>
      <c r="AI7" s="276">
        <f>'[5]Index calculation_Final'!CO7</f>
        <v>92.548946150918965</v>
      </c>
      <c r="AJ7" s="276">
        <f>'[5]Index calculation_Final'!CP7</f>
        <v>102.97529021023747</v>
      </c>
      <c r="AK7" s="276">
        <f>'[5]Index calculation_Final'!CQ7</f>
        <v>99.968802087121546</v>
      </c>
      <c r="AL7" s="276">
        <f>'[5]Index calculation_Final'!CR7</f>
        <v>93.759588020452966</v>
      </c>
    </row>
    <row r="8" spans="1:38">
      <c r="A8" s="272" t="s">
        <v>119</v>
      </c>
      <c r="C8" s="272">
        <v>100</v>
      </c>
      <c r="D8" s="277">
        <v>101.58771440520999</v>
      </c>
      <c r="E8" s="277">
        <v>103.09071523613601</v>
      </c>
      <c r="F8" s="277">
        <v>103.220431821462</v>
      </c>
      <c r="G8" s="277">
        <v>103.41087178622</v>
      </c>
      <c r="H8" s="277">
        <v>108.63885903419499</v>
      </c>
      <c r="I8" s="277">
        <v>106.706007573637</v>
      </c>
      <c r="J8" s="277">
        <v>108.740774862338</v>
      </c>
      <c r="K8" s="277">
        <v>107.680436284473</v>
      </c>
      <c r="L8" s="277">
        <v>105.263957650279</v>
      </c>
      <c r="M8" s="277">
        <v>102.822009017174</v>
      </c>
      <c r="N8" s="277">
        <v>103.38533888351</v>
      </c>
      <c r="O8" s="277">
        <v>97.325662775816198</v>
      </c>
      <c r="P8" s="277">
        <v>97.419190257814705</v>
      </c>
      <c r="Q8" s="277">
        <v>98.634874967316094</v>
      </c>
      <c r="R8" s="277">
        <v>91.563159649885193</v>
      </c>
      <c r="S8" s="277">
        <v>85.199787413042799</v>
      </c>
      <c r="T8" s="277">
        <v>88.776988918647902</v>
      </c>
      <c r="U8" s="277">
        <v>83.315300089195404</v>
      </c>
      <c r="V8" s="277">
        <v>91.170207118431094</v>
      </c>
      <c r="W8" s="277">
        <v>99.791093973604603</v>
      </c>
      <c r="X8" s="277">
        <v>87.770295574697599</v>
      </c>
      <c r="Y8" s="277">
        <v>89.498796050951995</v>
      </c>
      <c r="Z8" s="277">
        <v>86.648770114035997</v>
      </c>
      <c r="AA8" s="277">
        <v>95.854671314732997</v>
      </c>
      <c r="AB8" s="277">
        <v>89.404071306203804</v>
      </c>
      <c r="AC8" s="277">
        <v>91.736232566601601</v>
      </c>
      <c r="AD8" s="277">
        <f>'[5]Index calculation_Final'!CJ26</f>
        <v>91.809937074618972</v>
      </c>
      <c r="AE8" s="277">
        <f>'[5]Index calculation_Final'!CK26</f>
        <v>92.711041084297449</v>
      </c>
      <c r="AF8" s="277">
        <f>'[5]Index calculation_Final'!CL26</f>
        <v>87.614044356309435</v>
      </c>
      <c r="AG8" s="277">
        <f>'[5]Index calculation_Final'!CM26</f>
        <v>83.27233294703332</v>
      </c>
      <c r="AH8" s="277">
        <f>'[5]Index calculation_Final'!CN26</f>
        <v>89.842962997348039</v>
      </c>
      <c r="AI8" s="277">
        <f>'[5]Index calculation_Final'!CO26</f>
        <v>86.972701358762137</v>
      </c>
      <c r="AJ8" s="277">
        <f>'[5]Index calculation_Final'!CP26</f>
        <v>94.114392648731396</v>
      </c>
      <c r="AK8" s="277">
        <f>'[5]Index calculation_Final'!CQ26</f>
        <v>90.194137144160848</v>
      </c>
      <c r="AL8" s="277">
        <f>'[5]Index calculation_Final'!CR26</f>
        <v>92.526648723501069</v>
      </c>
    </row>
    <row r="9" spans="1:38">
      <c r="A9" s="661" t="s">
        <v>120</v>
      </c>
      <c r="B9" s="661"/>
      <c r="C9" s="275">
        <v>100</v>
      </c>
      <c r="D9" s="275">
        <v>102.64626349429599</v>
      </c>
      <c r="E9" s="275">
        <v>105.176543390711</v>
      </c>
      <c r="F9" s="276">
        <v>105.344063753315</v>
      </c>
      <c r="G9" s="276">
        <v>105.66651782469999</v>
      </c>
      <c r="H9" s="276">
        <v>114.670448204305</v>
      </c>
      <c r="I9" s="275">
        <v>111.178209205165</v>
      </c>
      <c r="J9" s="276">
        <v>114.715395660166</v>
      </c>
      <c r="K9" s="276">
        <v>112.866644261926</v>
      </c>
      <c r="L9" s="276">
        <v>109.176214420459</v>
      </c>
      <c r="M9" s="276">
        <v>105.00895887861</v>
      </c>
      <c r="N9" s="276">
        <v>105.96131242424801</v>
      </c>
      <c r="O9" s="276">
        <v>94.814281960905902</v>
      </c>
      <c r="P9" s="276">
        <v>94.965402949240101</v>
      </c>
      <c r="Q9" s="276">
        <v>96.938374203525399</v>
      </c>
      <c r="R9" s="276">
        <v>85.427243723663196</v>
      </c>
      <c r="S9" s="276">
        <v>75.809276973699198</v>
      </c>
      <c r="T9" s="276">
        <v>81.159351262543197</v>
      </c>
      <c r="U9" s="276">
        <v>73.719492357811305</v>
      </c>
      <c r="V9" s="276">
        <v>84.6017204568751</v>
      </c>
      <c r="W9" s="276">
        <v>97.949736786340395</v>
      </c>
      <c r="X9" s="276">
        <v>80.140656374346094</v>
      </c>
      <c r="Y9" s="276">
        <v>82.575140176143904</v>
      </c>
      <c r="Z9" s="276">
        <v>78.706374894603499</v>
      </c>
      <c r="AA9" s="276">
        <v>90.657204738297693</v>
      </c>
      <c r="AB9" s="276">
        <v>82.515501971493194</v>
      </c>
      <c r="AC9" s="276">
        <v>85.530941337847807</v>
      </c>
      <c r="AD9" s="276">
        <f>'[5]Index calculation_Final'!CJ29</f>
        <v>85.190452603295242</v>
      </c>
      <c r="AE9" s="276">
        <f>'[5]Index calculation_Final'!CK29</f>
        <v>86.59760722844257</v>
      </c>
      <c r="AF9" s="276">
        <f>'[5]Index calculation_Final'!CL29</f>
        <v>78.761462487158695</v>
      </c>
      <c r="AG9" s="276">
        <f>'[5]Index calculation_Final'!CM29</f>
        <v>71.821928550667664</v>
      </c>
      <c r="AH9" s="276">
        <f>'[5]Index calculation_Final'!CN29</f>
        <v>81.671646693997687</v>
      </c>
      <c r="AI9" s="276">
        <f>'[5]Index calculation_Final'!CO29</f>
        <v>77.342587650112577</v>
      </c>
      <c r="AJ9" s="276">
        <f>'[5]Index calculation_Final'!CP29</f>
        <v>87.895492113370764</v>
      </c>
      <c r="AK9" s="276">
        <f>'[5]Index calculation_Final'!CQ29</f>
        <v>81.841355160409663</v>
      </c>
      <c r="AL9" s="276">
        <f>'[5]Index calculation_Final'!CR29</f>
        <v>85.424721297057985</v>
      </c>
    </row>
    <row r="10" spans="1:38">
      <c r="A10" s="272" t="s">
        <v>121</v>
      </c>
      <c r="C10" s="272">
        <v>100</v>
      </c>
      <c r="D10" s="277">
        <v>99.269317602267506</v>
      </c>
      <c r="E10" s="277">
        <v>99.269317602267506</v>
      </c>
      <c r="F10" s="277">
        <v>99.269317602267506</v>
      </c>
      <c r="G10" s="277">
        <v>102.53557761058001</v>
      </c>
      <c r="H10" s="277">
        <v>100.121506466841</v>
      </c>
      <c r="I10" s="277">
        <v>100.121506466841</v>
      </c>
      <c r="J10" s="277">
        <v>98.658240454929995</v>
      </c>
      <c r="K10" s="277">
        <v>98.658240454929995</v>
      </c>
      <c r="L10" s="277">
        <v>98.975106804096299</v>
      </c>
      <c r="M10" s="277">
        <v>98.975106804096299</v>
      </c>
      <c r="N10" s="277">
        <v>98.975106804096299</v>
      </c>
      <c r="O10" s="277">
        <v>99.028076031677699</v>
      </c>
      <c r="P10" s="277">
        <v>99.028076031677699</v>
      </c>
      <c r="Q10" s="277">
        <v>99.028076031677699</v>
      </c>
      <c r="R10" s="277">
        <v>98.682024418421506</v>
      </c>
      <c r="S10" s="277">
        <v>98.682024418421705</v>
      </c>
      <c r="T10" s="277">
        <v>98.682024418421705</v>
      </c>
      <c r="U10" s="277">
        <v>98.682024418421705</v>
      </c>
      <c r="V10" s="277">
        <v>98.682024418421705</v>
      </c>
      <c r="W10" s="277">
        <v>98.682024418421705</v>
      </c>
      <c r="X10" s="277">
        <v>98.682024418421705</v>
      </c>
      <c r="Y10" s="277">
        <v>98.682024418421705</v>
      </c>
      <c r="Z10" s="277">
        <v>98.682024418421705</v>
      </c>
      <c r="AA10" s="277">
        <v>94.094752108842599</v>
      </c>
      <c r="AB10" s="277">
        <v>94.094752108842599</v>
      </c>
      <c r="AC10" s="277">
        <v>94.094752108842599</v>
      </c>
      <c r="AD10" s="277">
        <f>'[5]Index calculation_Final'!CJ198</f>
        <v>83.760669689655174</v>
      </c>
      <c r="AE10" s="277">
        <f>'[5]Index calculation_Final'!CK198</f>
        <v>77.613686713121808</v>
      </c>
      <c r="AF10" s="277">
        <f>'[5]Index calculation_Final'!CL198</f>
        <v>81.92918589024859</v>
      </c>
      <c r="AG10" s="277">
        <f>'[5]Index calculation_Final'!CM198</f>
        <v>81.92918589024859</v>
      </c>
      <c r="AH10" s="277">
        <f>'[5]Index calculation_Final'!CN198</f>
        <v>81.92918589024859</v>
      </c>
      <c r="AI10" s="277">
        <f>'[5]Index calculation_Final'!CO198</f>
        <v>81.92918589024859</v>
      </c>
      <c r="AJ10" s="277">
        <f>'[5]Index calculation_Final'!CP198</f>
        <v>81.92918589024859</v>
      </c>
      <c r="AK10" s="277">
        <f>'[5]Index calculation_Final'!CQ198</f>
        <v>81.92918589024859</v>
      </c>
      <c r="AL10" s="277">
        <f>'[5]Index calculation_Final'!CR198</f>
        <v>81.92918589024859</v>
      </c>
    </row>
    <row r="11" spans="1:38">
      <c r="A11" s="275" t="s">
        <v>122</v>
      </c>
      <c r="B11" s="275"/>
      <c r="C11" s="275">
        <v>100</v>
      </c>
      <c r="D11" s="275">
        <v>104.076362772967</v>
      </c>
      <c r="E11" s="275">
        <v>109.33469356391601</v>
      </c>
      <c r="F11" s="276">
        <v>123.894108881644</v>
      </c>
      <c r="G11" s="276">
        <v>125.510746714834</v>
      </c>
      <c r="H11" s="276">
        <v>123.06519622304</v>
      </c>
      <c r="I11" s="275">
        <v>112.88278011254501</v>
      </c>
      <c r="J11" s="276">
        <v>96.571194909508606</v>
      </c>
      <c r="K11" s="276">
        <v>93.066301070800407</v>
      </c>
      <c r="L11" s="278">
        <v>84.547711584314996</v>
      </c>
      <c r="M11" s="278">
        <v>89.865967953757803</v>
      </c>
      <c r="N11" s="278">
        <v>86.662185797057106</v>
      </c>
      <c r="O11" s="278">
        <v>104.357238354647</v>
      </c>
      <c r="P11" s="278">
        <v>107.749159266657</v>
      </c>
      <c r="Q11" s="278">
        <v>110.070919001039</v>
      </c>
      <c r="R11" s="278">
        <v>121.002573178052</v>
      </c>
      <c r="S11" s="278">
        <v>121.436207038481</v>
      </c>
      <c r="T11" s="276">
        <v>121.013272029853</v>
      </c>
      <c r="U11" s="276">
        <v>121.255207612269</v>
      </c>
      <c r="V11" s="276">
        <v>96.581296980767306</v>
      </c>
      <c r="W11" s="276">
        <v>98.943155537214295</v>
      </c>
      <c r="X11" s="276">
        <v>95.878002701989999</v>
      </c>
      <c r="Y11" s="276">
        <v>103.768277830901</v>
      </c>
      <c r="Z11" s="276">
        <v>98.434964064071494</v>
      </c>
      <c r="AA11" s="276">
        <v>105.980093326317</v>
      </c>
      <c r="AB11" s="276">
        <v>111.164732793065</v>
      </c>
      <c r="AC11" s="276">
        <v>115.99754861016901</v>
      </c>
      <c r="AD11" s="276">
        <f>'[5]Index calculation_Final'!CJ241</f>
        <v>129.35229305632632</v>
      </c>
      <c r="AE11" s="276">
        <f>'[5]Index calculation_Final'!CK241</f>
        <v>132.964752896661</v>
      </c>
      <c r="AF11" s="276">
        <f>'[5]Index calculation_Final'!CL241</f>
        <v>132.57379177346218</v>
      </c>
      <c r="AG11" s="276">
        <f>'[5]Index calculation_Final'!CM241</f>
        <v>119.00848880772918</v>
      </c>
      <c r="AH11" s="276">
        <f>'[5]Index calculation_Final'!CN241</f>
        <v>100.8203172249484</v>
      </c>
      <c r="AI11" s="276">
        <f>'[5]Index calculation_Final'!CO241</f>
        <v>97.956988768941429</v>
      </c>
      <c r="AJ11" s="276">
        <f>'[5]Index calculation_Final'!CP241</f>
        <v>101.45302707624354</v>
      </c>
      <c r="AK11" s="276">
        <f>'[5]Index calculation_Final'!CQ241</f>
        <v>106.75508865554905</v>
      </c>
      <c r="AL11" s="276">
        <f>'[5]Index calculation_Final'!CR241</f>
        <v>101.38269140760889</v>
      </c>
    </row>
    <row r="12" spans="1:38">
      <c r="A12" s="272" t="s">
        <v>123</v>
      </c>
      <c r="C12" s="272">
        <v>100</v>
      </c>
      <c r="D12" s="277">
        <v>100.332544448343</v>
      </c>
      <c r="E12" s="277">
        <v>103.367938313384</v>
      </c>
      <c r="F12" s="277">
        <v>103.87600385747</v>
      </c>
      <c r="G12" s="277">
        <v>98.764119655265802</v>
      </c>
      <c r="H12" s="277">
        <v>103.36607856710999</v>
      </c>
      <c r="I12" s="277">
        <v>99.178160808369199</v>
      </c>
      <c r="J12" s="277">
        <v>98.345068495283002</v>
      </c>
      <c r="K12" s="277">
        <v>97.997261186056406</v>
      </c>
      <c r="L12" s="277">
        <v>106.412307747676</v>
      </c>
      <c r="M12" s="277">
        <v>105.34837866688</v>
      </c>
      <c r="N12" s="277">
        <v>101.172699386126</v>
      </c>
      <c r="O12" s="277">
        <v>103.857190884068</v>
      </c>
      <c r="P12" s="277">
        <v>104.957827289131</v>
      </c>
      <c r="Q12" s="277">
        <v>108.715425788874</v>
      </c>
      <c r="R12" s="277">
        <v>111.55061246162801</v>
      </c>
      <c r="S12" s="277">
        <v>105.20933025793001</v>
      </c>
      <c r="T12" s="277">
        <v>111.61606059625301</v>
      </c>
      <c r="U12" s="277">
        <v>106.812040896114</v>
      </c>
      <c r="V12" s="277">
        <v>105.538675329908</v>
      </c>
      <c r="W12" s="277">
        <v>102.930497323845</v>
      </c>
      <c r="X12" s="277">
        <v>103.523525867486</v>
      </c>
      <c r="Y12" s="277">
        <v>105.889171055695</v>
      </c>
      <c r="Z12" s="277">
        <v>103.06185207514</v>
      </c>
      <c r="AA12" s="277">
        <v>102.885978528002</v>
      </c>
      <c r="AB12" s="277">
        <v>100.834452577032</v>
      </c>
      <c r="AC12" s="277">
        <v>106.837275478012</v>
      </c>
      <c r="AD12" s="277">
        <f>'[5]Index calculation_Final'!CJ523</f>
        <v>108.57604065913021</v>
      </c>
      <c r="AE12" s="277">
        <f>'[5]Index calculation_Final'!CK523</f>
        <v>102.30651377608179</v>
      </c>
      <c r="AF12" s="277">
        <f>'[5]Index calculation_Final'!CL523</f>
        <v>108.66741917385079</v>
      </c>
      <c r="AG12" s="277">
        <f>'[5]Index calculation_Final'!CM523</f>
        <v>109.35416737640166</v>
      </c>
      <c r="AH12" s="277">
        <f>'[5]Index calculation_Final'!CN523</f>
        <v>99.782673801662398</v>
      </c>
      <c r="AI12" s="277">
        <f>'[5]Index calculation_Final'!CO523</f>
        <v>104.24365280134242</v>
      </c>
      <c r="AJ12" s="277">
        <f>'[5]Index calculation_Final'!CP523</f>
        <v>103.84904910123116</v>
      </c>
      <c r="AK12" s="277">
        <f>'[5]Index calculation_Final'!CQ523</f>
        <v>106.00829500976238</v>
      </c>
      <c r="AL12" s="277">
        <f>'[5]Index calculation_Final'!CR523</f>
        <v>105.10871357680223</v>
      </c>
    </row>
    <row r="13" spans="1:38">
      <c r="A13" s="275" t="s">
        <v>12</v>
      </c>
      <c r="B13" s="275"/>
      <c r="C13" s="275">
        <v>100</v>
      </c>
      <c r="D13" s="276">
        <v>100</v>
      </c>
      <c r="E13" s="276">
        <v>100</v>
      </c>
      <c r="F13" s="276">
        <v>101.625589420285</v>
      </c>
      <c r="G13" s="276">
        <v>101.625589420285</v>
      </c>
      <c r="H13" s="276">
        <v>101.625589420285</v>
      </c>
      <c r="I13" s="276">
        <v>101.625589420285</v>
      </c>
      <c r="J13" s="276">
        <v>101.625589420285</v>
      </c>
      <c r="K13" s="276">
        <v>101.922458559961</v>
      </c>
      <c r="L13" s="276">
        <v>101.922458559961</v>
      </c>
      <c r="M13" s="276">
        <v>101.922458559961</v>
      </c>
      <c r="N13" s="276">
        <v>101.922458559961</v>
      </c>
      <c r="O13" s="276">
        <v>101.922458559961</v>
      </c>
      <c r="P13" s="276">
        <v>101.922458559961</v>
      </c>
      <c r="Q13" s="276">
        <v>101.922458559961</v>
      </c>
      <c r="R13" s="276">
        <v>101.308116518932</v>
      </c>
      <c r="S13" s="276">
        <v>101.013036770876</v>
      </c>
      <c r="T13" s="276">
        <v>101.013036770876</v>
      </c>
      <c r="U13" s="276">
        <v>103.756437059018</v>
      </c>
      <c r="V13" s="276">
        <v>103.55791331496</v>
      </c>
      <c r="W13" s="276">
        <v>103.709856647154</v>
      </c>
      <c r="X13" s="276">
        <v>103.55791331496</v>
      </c>
      <c r="Y13" s="276">
        <v>103.70985664472801</v>
      </c>
      <c r="Z13" s="276">
        <v>103.70985664617901</v>
      </c>
      <c r="AA13" s="276">
        <v>103.70985664617901</v>
      </c>
      <c r="AB13" s="276">
        <v>103.70985664617901</v>
      </c>
      <c r="AC13" s="276">
        <v>103.70985664617901</v>
      </c>
      <c r="AD13" s="276">
        <f>'[5]Index calculation_Final'!CJ581</f>
        <v>111.8370588779286</v>
      </c>
      <c r="AE13" s="276">
        <f>'[5]Index calculation_Final'!CK581</f>
        <v>111.8370588779286</v>
      </c>
      <c r="AF13" s="276">
        <f>'[5]Index calculation_Final'!CL581</f>
        <v>111.8370588779286</v>
      </c>
      <c r="AG13" s="276">
        <f>'[5]Index calculation_Final'!CM581</f>
        <v>111.8370588779286</v>
      </c>
      <c r="AH13" s="276">
        <f>'[5]Index calculation_Final'!CN581</f>
        <v>114.90207747966163</v>
      </c>
      <c r="AI13" s="276">
        <f>'[5]Index calculation_Final'!CO581</f>
        <v>114.90207747966163</v>
      </c>
      <c r="AJ13" s="276">
        <f>'[5]Index calculation_Final'!CP581</f>
        <v>116.18073399612994</v>
      </c>
      <c r="AK13" s="276">
        <f>'[5]Index calculation_Final'!CQ581</f>
        <v>116.18073399612994</v>
      </c>
      <c r="AL13" s="276">
        <f>'[5]Index calculation_Final'!CR581</f>
        <v>116.18073399612994</v>
      </c>
    </row>
    <row r="14" spans="1:38">
      <c r="A14" s="279" t="s">
        <v>124</v>
      </c>
      <c r="B14" s="279"/>
      <c r="C14" s="279">
        <v>100</v>
      </c>
      <c r="D14" s="280">
        <v>100</v>
      </c>
      <c r="E14" s="280">
        <v>100</v>
      </c>
      <c r="F14" s="280">
        <v>103.91802450302499</v>
      </c>
      <c r="G14" s="280">
        <v>103.91802450302499</v>
      </c>
      <c r="H14" s="280">
        <v>103.91802450302499</v>
      </c>
      <c r="I14" s="280">
        <v>103.91802450302499</v>
      </c>
      <c r="J14" s="280">
        <v>103.91802450302499</v>
      </c>
      <c r="K14" s="280">
        <v>103.91802450302499</v>
      </c>
      <c r="L14" s="280">
        <v>104.31301902217299</v>
      </c>
      <c r="M14" s="280">
        <v>104.31301902217299</v>
      </c>
      <c r="N14" s="280">
        <v>104.31301902217299</v>
      </c>
      <c r="O14" s="280">
        <v>105.32909589791301</v>
      </c>
      <c r="P14" s="280">
        <v>105.32909589791301</v>
      </c>
      <c r="Q14" s="280">
        <v>105.32909589791301</v>
      </c>
      <c r="R14" s="280">
        <v>107.049162749692</v>
      </c>
      <c r="S14" s="280">
        <v>106.443812615336</v>
      </c>
      <c r="T14" s="280">
        <v>106.443812615336</v>
      </c>
      <c r="U14" s="280">
        <v>106.443812615336</v>
      </c>
      <c r="V14" s="280">
        <v>106.443812615336</v>
      </c>
      <c r="W14" s="280">
        <v>106.443812615336</v>
      </c>
      <c r="X14" s="280">
        <v>106.443812615336</v>
      </c>
      <c r="Y14" s="280">
        <v>106.443812615336</v>
      </c>
      <c r="Z14" s="280">
        <v>106.443812615336</v>
      </c>
      <c r="AA14" s="280">
        <v>106.443812615336</v>
      </c>
      <c r="AB14" s="280">
        <v>106.443812615336</v>
      </c>
      <c r="AC14" s="280">
        <v>106.443812615336</v>
      </c>
      <c r="AD14" s="280">
        <f>'[5]Index calculation_Final'!CJ644</f>
        <v>106.65669463017321</v>
      </c>
      <c r="AE14" s="280">
        <f>'[5]Index calculation_Final'!CK644</f>
        <v>106.65669463017321</v>
      </c>
      <c r="AF14" s="280">
        <f>'[5]Index calculation_Final'!CL644</f>
        <v>106.65669463017321</v>
      </c>
      <c r="AG14" s="280">
        <f>'[5]Index calculation_Final'!CM644</f>
        <v>106.65669463017321</v>
      </c>
      <c r="AH14" s="280">
        <f>'[5]Index calculation_Final'!CN644</f>
        <v>106.65669463017321</v>
      </c>
      <c r="AI14" s="280">
        <f>'[5]Index calculation_Final'!CO644</f>
        <v>106.65669463017321</v>
      </c>
      <c r="AJ14" s="280">
        <f>'[5]Index calculation_Final'!CP644</f>
        <v>106.49672521161263</v>
      </c>
      <c r="AK14" s="280">
        <f>'[5]Index calculation_Final'!CQ644</f>
        <v>106.49672521161263</v>
      </c>
      <c r="AL14" s="280">
        <f>'[5]Index calculation_Final'!CR644</f>
        <v>106.49672521161263</v>
      </c>
    </row>
    <row r="15" spans="1:38">
      <c r="A15" s="281"/>
    </row>
    <row r="16" spans="1:38" ht="18.75">
      <c r="A16" s="271" t="s">
        <v>125</v>
      </c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</row>
    <row r="17" spans="1:38" ht="15.75" thickBot="1">
      <c r="A17" s="286"/>
      <c r="B17" s="285"/>
      <c r="C17" s="287"/>
      <c r="D17" s="287">
        <v>41214</v>
      </c>
      <c r="E17" s="287">
        <v>41244</v>
      </c>
      <c r="F17" s="287">
        <v>41275</v>
      </c>
      <c r="G17" s="287">
        <v>41306</v>
      </c>
      <c r="H17" s="287">
        <v>41334</v>
      </c>
      <c r="I17" s="287">
        <v>41365</v>
      </c>
      <c r="J17" s="287">
        <v>41395</v>
      </c>
      <c r="K17" s="287">
        <v>41426</v>
      </c>
      <c r="L17" s="287">
        <v>41456</v>
      </c>
      <c r="M17" s="287">
        <v>41487</v>
      </c>
      <c r="N17" s="287">
        <v>41518</v>
      </c>
      <c r="O17" s="287">
        <v>41548</v>
      </c>
      <c r="P17" s="287">
        <v>41579</v>
      </c>
      <c r="Q17" s="287">
        <v>41609</v>
      </c>
      <c r="R17" s="287">
        <v>41640</v>
      </c>
      <c r="S17" s="287">
        <v>41671</v>
      </c>
      <c r="T17" s="287">
        <v>41699</v>
      </c>
      <c r="U17" s="287">
        <v>41730</v>
      </c>
      <c r="V17" s="287">
        <v>41760</v>
      </c>
      <c r="W17" s="287">
        <v>41791</v>
      </c>
      <c r="X17" s="287">
        <v>41821</v>
      </c>
      <c r="Y17" s="287">
        <v>41852</v>
      </c>
      <c r="Z17" s="287">
        <v>41883</v>
      </c>
      <c r="AA17" s="287">
        <v>41913</v>
      </c>
      <c r="AB17" s="287">
        <v>41944</v>
      </c>
      <c r="AC17" s="287">
        <v>41974</v>
      </c>
      <c r="AD17" s="287">
        <v>42005</v>
      </c>
      <c r="AE17" s="287">
        <v>42036</v>
      </c>
      <c r="AF17" s="287">
        <v>42064</v>
      </c>
      <c r="AG17" s="287">
        <v>42095</v>
      </c>
      <c r="AH17" s="287">
        <v>42125</v>
      </c>
      <c r="AI17" s="287">
        <v>42156</v>
      </c>
      <c r="AJ17" s="287">
        <v>42186</v>
      </c>
      <c r="AK17" s="287">
        <v>42217</v>
      </c>
      <c r="AL17" s="287">
        <v>42248</v>
      </c>
    </row>
    <row r="18" spans="1:38" s="273" customFormat="1" ht="15.75" thickTop="1">
      <c r="A18" s="273" t="s">
        <v>117</v>
      </c>
      <c r="D18" s="274">
        <f>(D6-C6)/C6*100</f>
        <v>2.6494522059009995</v>
      </c>
      <c r="E18" s="274">
        <f t="shared" ref="E18:AL26" si="0">(E6-D6)/D6*100</f>
        <v>3.8755908255156819</v>
      </c>
      <c r="F18" s="274">
        <f t="shared" si="0"/>
        <v>7.9822104351103107</v>
      </c>
      <c r="G18" s="274">
        <f t="shared" si="0"/>
        <v>0.34413226772897915</v>
      </c>
      <c r="H18" s="274">
        <f t="shared" si="0"/>
        <v>-0.13325386679902715</v>
      </c>
      <c r="I18" s="274">
        <f t="shared" si="0"/>
        <v>-5.9198755234231308</v>
      </c>
      <c r="J18" s="274">
        <f t="shared" si="0"/>
        <v>-8.9050484652744668</v>
      </c>
      <c r="K18" s="274">
        <f t="shared" si="0"/>
        <v>-2.4401940011733307</v>
      </c>
      <c r="L18" s="274">
        <f t="shared" si="0"/>
        <v>-4.7385849865934153</v>
      </c>
      <c r="M18" s="274">
        <f t="shared" si="0"/>
        <v>3.1975746930038524</v>
      </c>
      <c r="N18" s="274">
        <f t="shared" si="0"/>
        <v>-2.4776675721569941</v>
      </c>
      <c r="O18" s="274">
        <f t="shared" si="0"/>
        <v>11.274675169364258</v>
      </c>
      <c r="P18" s="274">
        <f t="shared" si="0"/>
        <v>2.2702641292639441</v>
      </c>
      <c r="Q18" s="274">
        <f t="shared" si="0"/>
        <v>1.6107551880629341</v>
      </c>
      <c r="R18" s="274">
        <f t="shared" ref="R18:R26" si="1">(R6-Q6)/Q6*100</f>
        <v>5.5194890074777136</v>
      </c>
      <c r="S18" s="274">
        <f t="shared" si="0"/>
        <v>-1.4290791798575291</v>
      </c>
      <c r="T18" s="274">
        <f t="shared" si="0"/>
        <v>1.1495716448647944</v>
      </c>
      <c r="U18" s="274">
        <f t="shared" si="0"/>
        <v>-0.98351992541028765</v>
      </c>
      <c r="V18" s="274">
        <f t="shared" si="0"/>
        <v>-12.154888006779624</v>
      </c>
      <c r="W18" s="274">
        <f t="shared" si="0"/>
        <v>1.9595454469474627</v>
      </c>
      <c r="X18" s="274">
        <f t="shared" si="0"/>
        <v>-3.1786635693723269</v>
      </c>
      <c r="Y18" s="274">
        <f t="shared" si="0"/>
        <v>5.4164079809684846</v>
      </c>
      <c r="Z18" s="274">
        <f t="shared" si="0"/>
        <v>-3.8021352918928031</v>
      </c>
      <c r="AA18" s="274">
        <f t="shared" si="0"/>
        <v>5.4357646051161428</v>
      </c>
      <c r="AB18" s="274">
        <f t="shared" si="0"/>
        <v>1.6559807848448058</v>
      </c>
      <c r="AC18" s="274">
        <f t="shared" si="0"/>
        <v>3.9906482950001139</v>
      </c>
      <c r="AD18" s="274">
        <f t="shared" si="0"/>
        <v>6.3983067908011364</v>
      </c>
      <c r="AE18" s="274">
        <f t="shared" si="0"/>
        <v>0.40518498396966851</v>
      </c>
      <c r="AF18" s="274">
        <f t="shared" si="0"/>
        <v>0.24515284054228975</v>
      </c>
      <c r="AG18" s="274">
        <f t="shared" si="0"/>
        <v>-6.7056933486336607</v>
      </c>
      <c r="AH18" s="274">
        <f t="shared" si="0"/>
        <v>-9.2183741740892771</v>
      </c>
      <c r="AI18" s="274">
        <f t="shared" si="0"/>
        <v>-1.612921919130621</v>
      </c>
      <c r="AJ18" s="274">
        <f t="shared" si="0"/>
        <v>3.3307068496456718</v>
      </c>
      <c r="AK18" s="274">
        <f t="shared" si="0"/>
        <v>2.7241502947202356</v>
      </c>
      <c r="AL18" s="274">
        <f t="shared" si="0"/>
        <v>-2.9727969268949916</v>
      </c>
    </row>
    <row r="19" spans="1:38">
      <c r="A19" s="275" t="s">
        <v>118</v>
      </c>
      <c r="B19" s="275"/>
      <c r="C19" s="275"/>
      <c r="D19" s="276">
        <f t="shared" ref="D19:Q26" si="2">(D7-C7)/C7*100</f>
        <v>0.99182898968599897</v>
      </c>
      <c r="E19" s="276">
        <f t="shared" si="2"/>
        <v>7.6183086018283301</v>
      </c>
      <c r="F19" s="276">
        <f t="shared" si="2"/>
        <v>-3.3705291172872798</v>
      </c>
      <c r="G19" s="276">
        <f t="shared" si="2"/>
        <v>2.8957107226027725</v>
      </c>
      <c r="H19" s="276">
        <f t="shared" si="2"/>
        <v>1.6780108886193548</v>
      </c>
      <c r="I19" s="276">
        <f t="shared" si="2"/>
        <v>-1.6788219286547021</v>
      </c>
      <c r="J19" s="276">
        <f t="shared" si="2"/>
        <v>7.3804333558349908</v>
      </c>
      <c r="K19" s="276">
        <f t="shared" si="2"/>
        <v>-2.8823664657281456</v>
      </c>
      <c r="L19" s="276">
        <f t="shared" si="2"/>
        <v>-2.0297717755487126</v>
      </c>
      <c r="M19" s="276">
        <f t="shared" si="2"/>
        <v>-6.0553224973990627</v>
      </c>
      <c r="N19" s="276">
        <f t="shared" si="2"/>
        <v>9.3315958747371646</v>
      </c>
      <c r="O19" s="276">
        <f t="shared" si="2"/>
        <v>-13.766193517048652</v>
      </c>
      <c r="P19" s="276">
        <f t="shared" si="2"/>
        <v>4.6938500813452544</v>
      </c>
      <c r="Q19" s="276">
        <f t="shared" si="2"/>
        <v>-11.590679592714997</v>
      </c>
      <c r="R19" s="276">
        <f t="shared" si="1"/>
        <v>2.3081420395225159E-3</v>
      </c>
      <c r="S19" s="276">
        <f t="shared" si="0"/>
        <v>-1.5898000702121158</v>
      </c>
      <c r="T19" s="276">
        <f t="shared" si="0"/>
        <v>1.9879689816458761</v>
      </c>
      <c r="U19" s="276">
        <f t="shared" si="0"/>
        <v>2.6230349098255621</v>
      </c>
      <c r="V19" s="276">
        <f t="shared" si="0"/>
        <v>6.2682251488688685</v>
      </c>
      <c r="W19" s="276">
        <f t="shared" si="0"/>
        <v>-1.7790467304402251</v>
      </c>
      <c r="X19" s="276">
        <f t="shared" si="0"/>
        <v>-4.3438069507758437</v>
      </c>
      <c r="Y19" s="276">
        <f t="shared" si="0"/>
        <v>-2.5739822404322679</v>
      </c>
      <c r="Z19" s="276">
        <f t="shared" si="0"/>
        <v>2.1642779912842576</v>
      </c>
      <c r="AA19" s="276">
        <f t="shared" si="0"/>
        <v>5.26888434467579</v>
      </c>
      <c r="AB19" s="276">
        <f t="shared" si="0"/>
        <v>-8.9789289211828525</v>
      </c>
      <c r="AC19" s="276">
        <f t="shared" si="0"/>
        <v>7.1626264064620377</v>
      </c>
      <c r="AD19" s="276">
        <f t="shared" si="0"/>
        <v>1.3483736761227545</v>
      </c>
      <c r="AE19" s="276">
        <f t="shared" si="0"/>
        <v>3.4286275654722407</v>
      </c>
      <c r="AF19" s="276">
        <f t="shared" si="0"/>
        <v>-6.4074112122057532</v>
      </c>
      <c r="AG19" s="276">
        <f t="shared" si="0"/>
        <v>-5.2450425036925754</v>
      </c>
      <c r="AH19" s="276">
        <f t="shared" si="0"/>
        <v>13.743285022089832</v>
      </c>
      <c r="AI19" s="276">
        <f t="shared" si="0"/>
        <v>-7.9687262997598447</v>
      </c>
      <c r="AJ19" s="276">
        <f t="shared" si="0"/>
        <v>11.265762056670358</v>
      </c>
      <c r="AK19" s="276">
        <f t="shared" si="0"/>
        <v>-2.9196209274844396</v>
      </c>
      <c r="AL19" s="276">
        <f t="shared" si="0"/>
        <v>-6.2111518164010091</v>
      </c>
    </row>
    <row r="20" spans="1:38">
      <c r="A20" s="272" t="s">
        <v>119</v>
      </c>
      <c r="D20" s="277">
        <f t="shared" si="2"/>
        <v>1.5877144052099934</v>
      </c>
      <c r="E20" s="277">
        <f t="shared" si="2"/>
        <v>1.4795104306913416</v>
      </c>
      <c r="F20" s="277">
        <f t="shared" si="2"/>
        <v>0.12582761214612756</v>
      </c>
      <c r="G20" s="277">
        <f t="shared" si="2"/>
        <v>0.18449832208355699</v>
      </c>
      <c r="H20" s="277">
        <f t="shared" si="2"/>
        <v>5.0555489550293577</v>
      </c>
      <c r="I20" s="277">
        <f t="shared" si="2"/>
        <v>-1.7791529455860882</v>
      </c>
      <c r="J20" s="277">
        <f t="shared" si="2"/>
        <v>1.9068910316945626</v>
      </c>
      <c r="K20" s="277">
        <f t="shared" si="2"/>
        <v>-0.97510669682770601</v>
      </c>
      <c r="L20" s="277">
        <f t="shared" si="2"/>
        <v>-2.2441203969587291</v>
      </c>
      <c r="M20" s="277">
        <f t="shared" si="2"/>
        <v>-2.3198335761020354</v>
      </c>
      <c r="N20" s="277">
        <f t="shared" si="2"/>
        <v>0.54786895502296029</v>
      </c>
      <c r="O20" s="277">
        <f t="shared" si="2"/>
        <v>-5.8612528363635557</v>
      </c>
      <c r="P20" s="277">
        <f t="shared" si="2"/>
        <v>9.6097451926879476E-2</v>
      </c>
      <c r="Q20" s="277">
        <f t="shared" si="2"/>
        <v>1.2478903861591786</v>
      </c>
      <c r="R20" s="277">
        <f t="shared" si="1"/>
        <v>-7.1695891739855728</v>
      </c>
      <c r="S20" s="277">
        <f t="shared" si="0"/>
        <v>-6.9497080061176915</v>
      </c>
      <c r="T20" s="277">
        <f t="shared" si="0"/>
        <v>4.1986037925929001</v>
      </c>
      <c r="U20" s="277">
        <f t="shared" si="0"/>
        <v>-6.1521447122490232</v>
      </c>
      <c r="V20" s="277">
        <f t="shared" si="0"/>
        <v>9.4279286287469546</v>
      </c>
      <c r="W20" s="277">
        <f t="shared" si="0"/>
        <v>9.4558158061162274</v>
      </c>
      <c r="X20" s="277">
        <f t="shared" si="0"/>
        <v>-12.045963141847693</v>
      </c>
      <c r="Y20" s="277">
        <f t="shared" si="0"/>
        <v>1.9693456253469517</v>
      </c>
      <c r="Z20" s="277">
        <f t="shared" si="0"/>
        <v>-3.1844293584613896</v>
      </c>
      <c r="AA20" s="277">
        <f t="shared" si="0"/>
        <v>10.624387615174886</v>
      </c>
      <c r="AB20" s="277">
        <f t="shared" si="0"/>
        <v>-6.7295624929420912</v>
      </c>
      <c r="AC20" s="277">
        <f t="shared" si="0"/>
        <v>2.6085627044995285</v>
      </c>
      <c r="AD20" s="277">
        <f t="shared" si="0"/>
        <v>8.0343944759079952E-2</v>
      </c>
      <c r="AE20" s="277">
        <f t="shared" si="0"/>
        <v>0.98148853859479301</v>
      </c>
      <c r="AF20" s="277">
        <f t="shared" si="0"/>
        <v>-5.4977235379695202</v>
      </c>
      <c r="AG20" s="277">
        <f t="shared" si="0"/>
        <v>-4.9554970794627531</v>
      </c>
      <c r="AH20" s="277">
        <f t="shared" si="0"/>
        <v>7.890531966354386</v>
      </c>
      <c r="AI20" s="277">
        <f t="shared" si="0"/>
        <v>-3.1947539827583658</v>
      </c>
      <c r="AJ20" s="277">
        <f t="shared" si="0"/>
        <v>8.2114171209996147</v>
      </c>
      <c r="AK20" s="277">
        <f t="shared" si="0"/>
        <v>-4.1654155057902198</v>
      </c>
      <c r="AL20" s="277">
        <f t="shared" si="0"/>
        <v>2.5861011072283722</v>
      </c>
    </row>
    <row r="21" spans="1:38">
      <c r="A21" s="275" t="s">
        <v>126</v>
      </c>
      <c r="B21" s="275"/>
      <c r="C21" s="275"/>
      <c r="D21" s="276">
        <f t="shared" si="2"/>
        <v>2.6462634942959937</v>
      </c>
      <c r="E21" s="276">
        <f t="shared" si="2"/>
        <v>2.465048225116949</v>
      </c>
      <c r="F21" s="276">
        <f t="shared" si="2"/>
        <v>0.1592754022935399</v>
      </c>
      <c r="G21" s="276">
        <f t="shared" si="2"/>
        <v>0.30609610062137849</v>
      </c>
      <c r="H21" s="276">
        <f t="shared" si="2"/>
        <v>8.5210817626662649</v>
      </c>
      <c r="I21" s="276">
        <f t="shared" si="2"/>
        <v>-3.0454568320148003</v>
      </c>
      <c r="J21" s="276">
        <f t="shared" si="2"/>
        <v>3.1815465281272624</v>
      </c>
      <c r="K21" s="276">
        <f t="shared" si="2"/>
        <v>-1.6115983278449881</v>
      </c>
      <c r="L21" s="276">
        <f t="shared" si="2"/>
        <v>-3.2697258482344274</v>
      </c>
      <c r="M21" s="276">
        <f t="shared" si="2"/>
        <v>-3.8169994847046849</v>
      </c>
      <c r="N21" s="276">
        <f t="shared" si="2"/>
        <v>0.90692599546570296</v>
      </c>
      <c r="O21" s="276">
        <f t="shared" si="2"/>
        <v>-10.519905999947994</v>
      </c>
      <c r="P21" s="276">
        <f t="shared" si="2"/>
        <v>0.15938631312581128</v>
      </c>
      <c r="Q21" s="276">
        <f t="shared" si="2"/>
        <v>2.0775684544189947</v>
      </c>
      <c r="R21" s="276">
        <f t="shared" si="1"/>
        <v>-11.874689022217554</v>
      </c>
      <c r="S21" s="276">
        <f t="shared" si="0"/>
        <v>-11.258664485390435</v>
      </c>
      <c r="T21" s="276">
        <f t="shared" si="0"/>
        <v>7.0572817766091092</v>
      </c>
      <c r="U21" s="276">
        <f t="shared" si="0"/>
        <v>-9.1669768042682076</v>
      </c>
      <c r="V21" s="276">
        <f t="shared" si="0"/>
        <v>14.761669879988961</v>
      </c>
      <c r="W21" s="276">
        <f t="shared" si="0"/>
        <v>15.777476223157089</v>
      </c>
      <c r="X21" s="276">
        <f t="shared" si="0"/>
        <v>-18.181856323760812</v>
      </c>
      <c r="Y21" s="276">
        <f t="shared" si="0"/>
        <v>3.0377637418217049</v>
      </c>
      <c r="Z21" s="276">
        <f t="shared" si="0"/>
        <v>-4.6851452789396504</v>
      </c>
      <c r="AA21" s="276">
        <f t="shared" si="0"/>
        <v>15.184068456586486</v>
      </c>
      <c r="AB21" s="276">
        <f t="shared" si="0"/>
        <v>-8.9807564553830517</v>
      </c>
      <c r="AC21" s="276">
        <f t="shared" si="0"/>
        <v>3.6543913498779461</v>
      </c>
      <c r="AD21" s="276">
        <f t="shared" si="0"/>
        <v>-0.39808837506842382</v>
      </c>
      <c r="AE21" s="276">
        <f t="shared" si="0"/>
        <v>1.6517750312937038</v>
      </c>
      <c r="AF21" s="276">
        <f t="shared" si="0"/>
        <v>-9.0489160059726572</v>
      </c>
      <c r="AG21" s="276">
        <f t="shared" si="0"/>
        <v>-8.8108241230569533</v>
      </c>
      <c r="AH21" s="276">
        <f t="shared" si="0"/>
        <v>13.714081955320118</v>
      </c>
      <c r="AI21" s="276">
        <f t="shared" si="0"/>
        <v>-5.3005653970771061</v>
      </c>
      <c r="AJ21" s="276">
        <f t="shared" si="0"/>
        <v>13.644364358480093</v>
      </c>
      <c r="AK21" s="276">
        <f t="shared" si="0"/>
        <v>-6.887881058965184</v>
      </c>
      <c r="AL21" s="276">
        <f t="shared" si="0"/>
        <v>4.3784296210942477</v>
      </c>
    </row>
    <row r="22" spans="1:38">
      <c r="A22" s="272" t="s">
        <v>121</v>
      </c>
      <c r="D22" s="277">
        <f t="shared" si="2"/>
        <v>-0.73068239773249388</v>
      </c>
      <c r="E22" s="277">
        <f t="shared" si="2"/>
        <v>0</v>
      </c>
      <c r="F22" s="277">
        <f t="shared" si="2"/>
        <v>0</v>
      </c>
      <c r="G22" s="277">
        <f t="shared" si="2"/>
        <v>3.2903016633992581</v>
      </c>
      <c r="H22" s="277">
        <f t="shared" si="2"/>
        <v>-2.3543741596769583</v>
      </c>
      <c r="I22" s="277">
        <f t="shared" si="2"/>
        <v>0</v>
      </c>
      <c r="J22" s="277">
        <f t="shared" si="2"/>
        <v>-1.461490206797496</v>
      </c>
      <c r="K22" s="277">
        <f t="shared" si="2"/>
        <v>0</v>
      </c>
      <c r="L22" s="277">
        <f t="shared" si="2"/>
        <v>0.32117575552247751</v>
      </c>
      <c r="M22" s="277">
        <f t="shared" si="2"/>
        <v>0</v>
      </c>
      <c r="N22" s="277">
        <f t="shared" si="2"/>
        <v>0</v>
      </c>
      <c r="O22" s="277">
        <f t="shared" si="2"/>
        <v>5.3517727125309604E-2</v>
      </c>
      <c r="P22" s="277">
        <f t="shared" si="2"/>
        <v>0</v>
      </c>
      <c r="Q22" s="277">
        <f t="shared" si="2"/>
        <v>0</v>
      </c>
      <c r="R22" s="277">
        <f t="shared" si="1"/>
        <v>-0.34944798194958004</v>
      </c>
      <c r="S22" s="277">
        <f t="shared" si="0"/>
        <v>2.016091250512374E-13</v>
      </c>
      <c r="T22" s="277">
        <f t="shared" si="0"/>
        <v>0</v>
      </c>
      <c r="U22" s="277">
        <f t="shared" si="0"/>
        <v>0</v>
      </c>
      <c r="V22" s="277">
        <f t="shared" si="0"/>
        <v>0</v>
      </c>
      <c r="W22" s="277">
        <f t="shared" si="0"/>
        <v>0</v>
      </c>
      <c r="X22" s="277">
        <f t="shared" si="0"/>
        <v>0</v>
      </c>
      <c r="Y22" s="277">
        <f t="shared" si="0"/>
        <v>0</v>
      </c>
      <c r="Z22" s="277">
        <f t="shared" si="0"/>
        <v>0</v>
      </c>
      <c r="AA22" s="277">
        <f t="shared" si="0"/>
        <v>-4.6485389174107441</v>
      </c>
      <c r="AB22" s="277">
        <f t="shared" si="0"/>
        <v>0</v>
      </c>
      <c r="AC22" s="277">
        <f t="shared" si="0"/>
        <v>0</v>
      </c>
      <c r="AD22" s="277">
        <f t="shared" si="0"/>
        <v>-10.982634193279599</v>
      </c>
      <c r="AE22" s="277">
        <f t="shared" si="0"/>
        <v>-7.3387462150300191</v>
      </c>
      <c r="AF22" s="277">
        <f t="shared" si="0"/>
        <v>5.5602295933678141</v>
      </c>
      <c r="AG22" s="277">
        <f t="shared" si="0"/>
        <v>0</v>
      </c>
      <c r="AH22" s="277">
        <f t="shared" si="0"/>
        <v>0</v>
      </c>
      <c r="AI22" s="277">
        <f t="shared" si="0"/>
        <v>0</v>
      </c>
      <c r="AJ22" s="277">
        <f t="shared" si="0"/>
        <v>0</v>
      </c>
      <c r="AK22" s="277">
        <f t="shared" si="0"/>
        <v>0</v>
      </c>
      <c r="AL22" s="277">
        <f t="shared" si="0"/>
        <v>0</v>
      </c>
    </row>
    <row r="23" spans="1:38">
      <c r="A23" s="275" t="s">
        <v>122</v>
      </c>
      <c r="B23" s="275"/>
      <c r="C23" s="275"/>
      <c r="D23" s="276">
        <f t="shared" si="2"/>
        <v>4.076362772967002</v>
      </c>
      <c r="E23" s="276">
        <f t="shared" si="2"/>
        <v>5.0523775532198094</v>
      </c>
      <c r="F23" s="276">
        <f t="shared" si="2"/>
        <v>13.31637272959173</v>
      </c>
      <c r="G23" s="276">
        <f t="shared" si="2"/>
        <v>1.3048544824147945</v>
      </c>
      <c r="H23" s="276">
        <f t="shared" si="2"/>
        <v>-1.9484789596148244</v>
      </c>
      <c r="I23" s="276">
        <f t="shared" si="2"/>
        <v>-8.2740014423254689</v>
      </c>
      <c r="J23" s="276">
        <f t="shared" si="2"/>
        <v>-14.450020797480025</v>
      </c>
      <c r="K23" s="276">
        <f t="shared" si="2"/>
        <v>-3.6293367209471064</v>
      </c>
      <c r="L23" s="276">
        <f t="shared" si="2"/>
        <v>-9.1532481558549037</v>
      </c>
      <c r="M23" s="276">
        <f t="shared" si="2"/>
        <v>6.2902428342358956</v>
      </c>
      <c r="N23" s="276">
        <f t="shared" si="2"/>
        <v>-3.5650672102583512</v>
      </c>
      <c r="O23" s="276">
        <f t="shared" si="2"/>
        <v>20.418424016015045</v>
      </c>
      <c r="P23" s="276">
        <f t="shared" si="2"/>
        <v>3.2502976942365271</v>
      </c>
      <c r="Q23" s="276">
        <f t="shared" si="2"/>
        <v>2.1547822277073374</v>
      </c>
      <c r="R23" s="276">
        <f t="shared" si="1"/>
        <v>9.9314644378592067</v>
      </c>
      <c r="S23" s="276">
        <f t="shared" si="0"/>
        <v>0.35836747024455201</v>
      </c>
      <c r="T23" s="276">
        <f t="shared" si="0"/>
        <v>-0.34827751865963785</v>
      </c>
      <c r="U23" s="276">
        <f t="shared" si="0"/>
        <v>0.19992483333259631</v>
      </c>
      <c r="V23" s="276">
        <f t="shared" si="0"/>
        <v>-20.348743049783131</v>
      </c>
      <c r="W23" s="276">
        <f t="shared" si="0"/>
        <v>2.4454616269207046</v>
      </c>
      <c r="X23" s="276">
        <f t="shared" si="0"/>
        <v>-3.0978927431432459</v>
      </c>
      <c r="Y23" s="276">
        <f t="shared" si="0"/>
        <v>8.2294946771426982</v>
      </c>
      <c r="Z23" s="276">
        <f t="shared" si="0"/>
        <v>-5.1396379301202062</v>
      </c>
      <c r="AA23" s="276">
        <f t="shared" si="0"/>
        <v>7.6650906860029648</v>
      </c>
      <c r="AB23" s="276">
        <f t="shared" si="0"/>
        <v>4.8920880365563377</v>
      </c>
      <c r="AC23" s="276">
        <f t="shared" si="0"/>
        <v>4.3474361838303279</v>
      </c>
      <c r="AD23" s="276">
        <f t="shared" si="0"/>
        <v>11.512954028915193</v>
      </c>
      <c r="AE23" s="276">
        <f t="shared" si="0"/>
        <v>2.7927296493782583</v>
      </c>
      <c r="AF23" s="276">
        <f t="shared" si="0"/>
        <v>-0.2940336552971089</v>
      </c>
      <c r="AG23" s="276">
        <f t="shared" si="0"/>
        <v>-10.232265958654143</v>
      </c>
      <c r="AH23" s="276">
        <f t="shared" si="0"/>
        <v>-15.283087588958214</v>
      </c>
      <c r="AI23" s="276">
        <f t="shared" si="0"/>
        <v>-2.8400311909536682</v>
      </c>
      <c r="AJ23" s="276">
        <f t="shared" si="0"/>
        <v>3.568952405783405</v>
      </c>
      <c r="AK23" s="276">
        <f t="shared" si="0"/>
        <v>5.226124574204098</v>
      </c>
      <c r="AL23" s="276">
        <f t="shared" si="0"/>
        <v>-5.0324507389755269</v>
      </c>
    </row>
    <row r="24" spans="1:38">
      <c r="A24" s="272" t="s">
        <v>123</v>
      </c>
      <c r="D24" s="277">
        <f t="shared" si="2"/>
        <v>0.33254444834300045</v>
      </c>
      <c r="E24" s="277">
        <f t="shared" si="2"/>
        <v>3.0253332871507088</v>
      </c>
      <c r="F24" s="277">
        <f t="shared" si="2"/>
        <v>0.49151173214432808</v>
      </c>
      <c r="G24" s="277">
        <f t="shared" si="2"/>
        <v>-4.9211406026153028</v>
      </c>
      <c r="H24" s="277">
        <f t="shared" si="2"/>
        <v>4.6595453165656098</v>
      </c>
      <c r="I24" s="277">
        <f t="shared" si="2"/>
        <v>-4.0515397476569719</v>
      </c>
      <c r="J24" s="277">
        <f t="shared" si="2"/>
        <v>-0.83999572718018845</v>
      </c>
      <c r="K24" s="277">
        <f t="shared" si="2"/>
        <v>-0.3536601423418379</v>
      </c>
      <c r="L24" s="277">
        <f t="shared" si="2"/>
        <v>8.587022187939402</v>
      </c>
      <c r="M24" s="277">
        <f t="shared" si="2"/>
        <v>-0.99981769338071402</v>
      </c>
      <c r="N24" s="277">
        <f t="shared" si="2"/>
        <v>-3.9636863268278941</v>
      </c>
      <c r="O24" s="277">
        <f t="shared" si="2"/>
        <v>2.6533753811358074</v>
      </c>
      <c r="P24" s="277">
        <f t="shared" si="2"/>
        <v>1.0597594597870454</v>
      </c>
      <c r="Q24" s="277">
        <f t="shared" si="2"/>
        <v>3.5801031679055328</v>
      </c>
      <c r="R24" s="277">
        <f t="shared" si="1"/>
        <v>2.6078973174054938</v>
      </c>
      <c r="S24" s="277">
        <f t="shared" si="0"/>
        <v>-5.6846682091318153</v>
      </c>
      <c r="T24" s="277">
        <f t="shared" si="0"/>
        <v>6.0895077676251086</v>
      </c>
      <c r="U24" s="277">
        <f t="shared" si="0"/>
        <v>-4.3040577444463946</v>
      </c>
      <c r="V24" s="277">
        <f t="shared" si="0"/>
        <v>-1.1921554494445796</v>
      </c>
      <c r="W24" s="277">
        <f t="shared" si="0"/>
        <v>-2.4713006847110606</v>
      </c>
      <c r="X24" s="277">
        <f t="shared" si="0"/>
        <v>0.57614464037337909</v>
      </c>
      <c r="Y24" s="277">
        <f t="shared" si="0"/>
        <v>2.2851281082109933</v>
      </c>
      <c r="Z24" s="277">
        <f t="shared" si="0"/>
        <v>-2.670073768986168</v>
      </c>
      <c r="AA24" s="277">
        <f t="shared" si="0"/>
        <v>-0.17064854123693712</v>
      </c>
      <c r="AB24" s="277">
        <f t="shared" si="0"/>
        <v>-1.9939801130546169</v>
      </c>
      <c r="AC24" s="277">
        <f t="shared" si="0"/>
        <v>5.9531467148038306</v>
      </c>
      <c r="AD24" s="277">
        <f t="shared" si="0"/>
        <v>1.6274892572265787</v>
      </c>
      <c r="AE24" s="277">
        <f t="shared" si="0"/>
        <v>-5.7743189427318837</v>
      </c>
      <c r="AF24" s="277">
        <f t="shared" si="0"/>
        <v>6.2174979510015485</v>
      </c>
      <c r="AG24" s="277">
        <f t="shared" si="0"/>
        <v>0.63197249715867865</v>
      </c>
      <c r="AH24" s="277">
        <f t="shared" si="0"/>
        <v>-8.7527469728645819</v>
      </c>
      <c r="AI24" s="277">
        <f t="shared" si="0"/>
        <v>4.470694991143545</v>
      </c>
      <c r="AJ24" s="277">
        <f t="shared" si="0"/>
        <v>-0.37853978588342391</v>
      </c>
      <c r="AK24" s="277">
        <f t="shared" si="0"/>
        <v>2.0792158688197562</v>
      </c>
      <c r="AL24" s="277">
        <f t="shared" si="0"/>
        <v>-0.84859532254273518</v>
      </c>
    </row>
    <row r="25" spans="1:38">
      <c r="A25" s="275" t="s">
        <v>12</v>
      </c>
      <c r="B25" s="275"/>
      <c r="C25" s="275"/>
      <c r="D25" s="276">
        <f t="shared" si="2"/>
        <v>0</v>
      </c>
      <c r="E25" s="276">
        <f t="shared" si="2"/>
        <v>0</v>
      </c>
      <c r="F25" s="276">
        <f t="shared" si="2"/>
        <v>1.6255894202849959</v>
      </c>
      <c r="G25" s="276">
        <f t="shared" si="2"/>
        <v>0</v>
      </c>
      <c r="H25" s="276">
        <f t="shared" si="2"/>
        <v>0</v>
      </c>
      <c r="I25" s="276">
        <f t="shared" si="2"/>
        <v>0</v>
      </c>
      <c r="J25" s="276">
        <f t="shared" si="2"/>
        <v>0</v>
      </c>
      <c r="K25" s="276">
        <f t="shared" si="2"/>
        <v>0.29212046037761863</v>
      </c>
      <c r="L25" s="276">
        <f t="shared" si="2"/>
        <v>0</v>
      </c>
      <c r="M25" s="276">
        <f t="shared" si="2"/>
        <v>0</v>
      </c>
      <c r="N25" s="276">
        <f t="shared" si="2"/>
        <v>0</v>
      </c>
      <c r="O25" s="276">
        <f t="shared" si="2"/>
        <v>0</v>
      </c>
      <c r="P25" s="276">
        <f t="shared" si="2"/>
        <v>0</v>
      </c>
      <c r="Q25" s="276">
        <f t="shared" si="2"/>
        <v>0</v>
      </c>
      <c r="R25" s="276">
        <f t="shared" si="1"/>
        <v>-0.60275433865008976</v>
      </c>
      <c r="S25" s="276">
        <f t="shared" si="0"/>
        <v>-0.29126960227402299</v>
      </c>
      <c r="T25" s="276">
        <f t="shared" si="0"/>
        <v>0</v>
      </c>
      <c r="U25" s="276">
        <f t="shared" si="0"/>
        <v>2.7158873506246013</v>
      </c>
      <c r="V25" s="276">
        <f t="shared" si="0"/>
        <v>-0.19133631578450483</v>
      </c>
      <c r="W25" s="276">
        <f t="shared" si="0"/>
        <v>0.14672305314985956</v>
      </c>
      <c r="X25" s="276">
        <f t="shared" si="0"/>
        <v>-0.14650809200415946</v>
      </c>
      <c r="Y25" s="276">
        <f t="shared" si="0"/>
        <v>0.1467230508072169</v>
      </c>
      <c r="Z25" s="276">
        <f>(Z13-Y13)/Y13*100</f>
        <v>1.3990949053823233E-9</v>
      </c>
      <c r="AA25" s="276">
        <f t="shared" si="0"/>
        <v>0</v>
      </c>
      <c r="AB25" s="276">
        <f t="shared" si="0"/>
        <v>0</v>
      </c>
      <c r="AC25" s="276">
        <f t="shared" si="0"/>
        <v>0</v>
      </c>
      <c r="AD25" s="276">
        <f t="shared" si="0"/>
        <v>7.8364800555811245</v>
      </c>
      <c r="AE25" s="276">
        <f t="shared" si="0"/>
        <v>0</v>
      </c>
      <c r="AF25" s="276">
        <f t="shared" si="0"/>
        <v>0</v>
      </c>
      <c r="AG25" s="276">
        <f t="shared" si="0"/>
        <v>0</v>
      </c>
      <c r="AH25" s="276">
        <f t="shared" si="0"/>
        <v>2.7406108784374701</v>
      </c>
      <c r="AI25" s="276">
        <f t="shared" si="0"/>
        <v>0</v>
      </c>
      <c r="AJ25" s="276">
        <f t="shared" si="0"/>
        <v>1.1128228005230338</v>
      </c>
      <c r="AK25" s="276">
        <f t="shared" si="0"/>
        <v>0</v>
      </c>
      <c r="AL25" s="276">
        <f t="shared" si="0"/>
        <v>0</v>
      </c>
    </row>
    <row r="26" spans="1:38">
      <c r="A26" s="279" t="s">
        <v>124</v>
      </c>
      <c r="B26" s="279"/>
      <c r="C26" s="279"/>
      <c r="D26" s="280">
        <f t="shared" si="2"/>
        <v>0</v>
      </c>
      <c r="E26" s="280">
        <f t="shared" si="2"/>
        <v>0</v>
      </c>
      <c r="F26" s="280">
        <f t="shared" si="2"/>
        <v>3.9180245030249949</v>
      </c>
      <c r="G26" s="280">
        <f t="shared" si="2"/>
        <v>0</v>
      </c>
      <c r="H26" s="280">
        <f t="shared" si="2"/>
        <v>0</v>
      </c>
      <c r="I26" s="280">
        <f t="shared" si="2"/>
        <v>0</v>
      </c>
      <c r="J26" s="280">
        <f t="shared" si="2"/>
        <v>0</v>
      </c>
      <c r="K26" s="280">
        <f t="shared" si="2"/>
        <v>0</v>
      </c>
      <c r="L26" s="280">
        <f t="shared" si="2"/>
        <v>0.38010202853355984</v>
      </c>
      <c r="M26" s="280">
        <f t="shared" si="2"/>
        <v>0</v>
      </c>
      <c r="N26" s="280">
        <f t="shared" si="2"/>
        <v>0</v>
      </c>
      <c r="O26" s="280">
        <f t="shared" si="2"/>
        <v>0.97406525596199323</v>
      </c>
      <c r="P26" s="280">
        <f t="shared" si="2"/>
        <v>0</v>
      </c>
      <c r="Q26" s="280">
        <f t="shared" si="2"/>
        <v>0</v>
      </c>
      <c r="R26" s="280">
        <f t="shared" si="1"/>
        <v>1.6330405545739395</v>
      </c>
      <c r="S26" s="280">
        <f t="shared" si="0"/>
        <v>-0.56548796721695349</v>
      </c>
      <c r="T26" s="280">
        <f t="shared" si="0"/>
        <v>0</v>
      </c>
      <c r="U26" s="280">
        <f t="shared" si="0"/>
        <v>0</v>
      </c>
      <c r="V26" s="280">
        <f t="shared" si="0"/>
        <v>0</v>
      </c>
      <c r="W26" s="280">
        <f t="shared" si="0"/>
        <v>0</v>
      </c>
      <c r="X26" s="280">
        <f t="shared" si="0"/>
        <v>0</v>
      </c>
      <c r="Y26" s="280">
        <f t="shared" si="0"/>
        <v>0</v>
      </c>
      <c r="Z26" s="280">
        <f t="shared" si="0"/>
        <v>0</v>
      </c>
      <c r="AA26" s="280">
        <f t="shared" si="0"/>
        <v>0</v>
      </c>
      <c r="AB26" s="280">
        <f t="shared" si="0"/>
        <v>0</v>
      </c>
      <c r="AC26" s="280">
        <f t="shared" si="0"/>
        <v>0</v>
      </c>
      <c r="AD26" s="280">
        <f t="shared" si="0"/>
        <v>0.19999472924416323</v>
      </c>
      <c r="AE26" s="280">
        <f t="shared" si="0"/>
        <v>0</v>
      </c>
      <c r="AF26" s="280">
        <f t="shared" si="0"/>
        <v>0</v>
      </c>
      <c r="AG26" s="280">
        <f t="shared" si="0"/>
        <v>0</v>
      </c>
      <c r="AH26" s="280">
        <f t="shared" si="0"/>
        <v>0</v>
      </c>
      <c r="AI26" s="280">
        <f t="shared" si="0"/>
        <v>0</v>
      </c>
      <c r="AJ26" s="280">
        <f t="shared" si="0"/>
        <v>-0.14998535170742394</v>
      </c>
      <c r="AK26" s="280">
        <f t="shared" si="0"/>
        <v>0</v>
      </c>
      <c r="AL26" s="280">
        <f t="shared" si="0"/>
        <v>0</v>
      </c>
    </row>
    <row r="28" spans="1:38" ht="18.75">
      <c r="A28" s="271" t="s">
        <v>127</v>
      </c>
    </row>
    <row r="29" spans="1:38">
      <c r="A29" s="286"/>
      <c r="B29" s="286"/>
      <c r="C29" s="287"/>
      <c r="D29" s="287">
        <v>41214</v>
      </c>
      <c r="E29" s="287">
        <v>41244</v>
      </c>
      <c r="F29" s="287">
        <v>41275</v>
      </c>
      <c r="G29" s="287">
        <v>41306</v>
      </c>
      <c r="H29" s="287">
        <v>41334</v>
      </c>
      <c r="I29" s="287">
        <v>41365</v>
      </c>
      <c r="J29" s="287">
        <v>41395</v>
      </c>
      <c r="K29" s="287">
        <v>41426</v>
      </c>
      <c r="L29" s="287">
        <v>41456</v>
      </c>
      <c r="M29" s="287">
        <v>41487</v>
      </c>
      <c r="N29" s="287">
        <v>41518</v>
      </c>
      <c r="O29" s="287">
        <v>41548</v>
      </c>
      <c r="P29" s="287">
        <v>41579</v>
      </c>
      <c r="Q29" s="287">
        <v>41609</v>
      </c>
      <c r="R29" s="287">
        <v>41640</v>
      </c>
      <c r="S29" s="287">
        <v>41671</v>
      </c>
      <c r="T29" s="287">
        <v>41699</v>
      </c>
      <c r="U29" s="287">
        <v>41730</v>
      </c>
      <c r="V29" s="287">
        <v>41760</v>
      </c>
      <c r="W29" s="287">
        <v>41791</v>
      </c>
      <c r="X29" s="287">
        <v>41821</v>
      </c>
      <c r="Y29" s="287">
        <v>41852</v>
      </c>
      <c r="Z29" s="287">
        <v>41883</v>
      </c>
      <c r="AA29" s="287">
        <v>41913</v>
      </c>
      <c r="AB29" s="287">
        <v>41944</v>
      </c>
      <c r="AC29" s="287">
        <v>41974</v>
      </c>
      <c r="AD29" s="287">
        <v>42005</v>
      </c>
      <c r="AE29" s="287">
        <v>42036</v>
      </c>
      <c r="AF29" s="287">
        <v>42064</v>
      </c>
      <c r="AG29" s="287">
        <v>42095</v>
      </c>
      <c r="AH29" s="287">
        <v>42125</v>
      </c>
      <c r="AI29" s="287">
        <v>42156</v>
      </c>
      <c r="AJ29" s="287">
        <v>42186</v>
      </c>
      <c r="AK29" s="287">
        <v>42217</v>
      </c>
      <c r="AL29" s="287">
        <v>42248</v>
      </c>
    </row>
    <row r="30" spans="1:38">
      <c r="A30" s="273" t="s">
        <v>117</v>
      </c>
      <c r="B30" s="273"/>
      <c r="C30" s="273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>
        <f>(O6-C6)/C6*100</f>
        <v>2.9165673556019982</v>
      </c>
      <c r="P30" s="274">
        <f>(P6-D6)/D6*100</f>
        <v>2.5363925529992493</v>
      </c>
      <c r="Q30" s="274">
        <f>(Q6-E6)/E6*100</f>
        <v>0.30075592129083645</v>
      </c>
      <c r="R30" s="274">
        <f t="shared" ref="R30:R38" si="3">(R6-F6)/F6*100</f>
        <v>-1.9867766252256776</v>
      </c>
      <c r="S30" s="274">
        <f t="shared" ref="S30:S38" si="4">(S6-G6)/G6*100</f>
        <v>-3.7187978782401645</v>
      </c>
      <c r="T30" s="274">
        <f t="shared" ref="T30:T38" si="5">(T6-H6)/H6*100</f>
        <v>-2.4820300134825035</v>
      </c>
      <c r="U30" s="274">
        <f t="shared" ref="U30:U38" si="6">(U6-I6)/I6*100</f>
        <v>2.6347082957832759</v>
      </c>
      <c r="V30" s="274">
        <f t="shared" ref="V30:V38" si="7">(V6-J6)/J6*100</f>
        <v>-1.0268155069198359</v>
      </c>
      <c r="W30" s="274">
        <f t="shared" ref="W30:W38" si="8">(W6-K6)/K6*100</f>
        <v>3.4366643007950248</v>
      </c>
      <c r="X30" s="274">
        <f t="shared" ref="X30:X38" si="9">(X6-L6)/L6*100</f>
        <v>5.1304567764370281</v>
      </c>
      <c r="Y30" s="274">
        <f t="shared" ref="Y30:Y38" si="10">(Y6-M6)/M6*100</f>
        <v>7.3908486293310229</v>
      </c>
      <c r="Z30" s="274">
        <f t="shared" ref="Z30:Z38" si="11">(Z6-N6)/N6*100</f>
        <v>5.9323548785809166</v>
      </c>
      <c r="AA30" s="274">
        <f t="shared" ref="AA30:AA38" si="12">(AA6-O6)/O6*100</f>
        <v>0.37377162453141188</v>
      </c>
      <c r="AB30" s="274">
        <f t="shared" ref="AB30:AB38" si="13">(AB6-P6)/P6*100</f>
        <v>-0.22912049323556405</v>
      </c>
      <c r="AC30" s="274">
        <f t="shared" ref="AC30:AC38" si="14">(AC6-Q6)/Q6*100</f>
        <v>2.107679661155013</v>
      </c>
      <c r="AD30" s="274">
        <f t="shared" ref="AD30:AI30" si="15">(AD6-R6)/R6*100</f>
        <v>2.9580822317527096</v>
      </c>
      <c r="AE30" s="274">
        <f t="shared" si="15"/>
        <v>4.8739852084395894</v>
      </c>
      <c r="AF30" s="274">
        <f t="shared" si="15"/>
        <v>3.9362649317806788</v>
      </c>
      <c r="AG30" s="274">
        <f t="shared" si="15"/>
        <v>-2.0702234068647329</v>
      </c>
      <c r="AH30" s="274">
        <f t="shared" si="15"/>
        <v>1.2034037429328683</v>
      </c>
      <c r="AI30" s="274">
        <f t="shared" si="15"/>
        <v>-2.3425698647640703</v>
      </c>
      <c r="AJ30" s="274">
        <f t="shared" ref="AJ30:AL38" si="16">(AJ6-X6)/X6*100</f>
        <v>4.2230117555133084</v>
      </c>
      <c r="AK30" s="274">
        <f t="shared" si="16"/>
        <v>1.5612325329336496</v>
      </c>
      <c r="AL30" s="274">
        <f t="shared" si="16"/>
        <v>2.4368094159715459</v>
      </c>
    </row>
    <row r="31" spans="1:38">
      <c r="A31" s="275" t="s">
        <v>118</v>
      </c>
      <c r="B31" s="275"/>
      <c r="C31" s="275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>
        <f t="shared" ref="O31:O38" si="17">(O7-C7)/C7*100</f>
        <v>-2.2388784863733946</v>
      </c>
      <c r="P31" s="276">
        <f t="shared" ref="P31:Q38" si="18">(P7-D7)/D7*100</f>
        <v>1.3447157252402027</v>
      </c>
      <c r="Q31" s="276">
        <f t="shared" si="18"/>
        <v>-16.744487433936893</v>
      </c>
      <c r="R31" s="276">
        <f t="shared" si="3"/>
        <v>-13.838466193605276</v>
      </c>
      <c r="S31" s="276">
        <f t="shared" si="4"/>
        <v>-17.594487577781127</v>
      </c>
      <c r="T31" s="276">
        <f t="shared" si="5"/>
        <v>-17.343280308263985</v>
      </c>
      <c r="U31" s="276">
        <f t="shared" si="6"/>
        <v>-13.726792163723839</v>
      </c>
      <c r="V31" s="276">
        <f t="shared" si="7"/>
        <v>-14.620379261466599</v>
      </c>
      <c r="W31" s="276">
        <f t="shared" si="8"/>
        <v>-13.650411016523941</v>
      </c>
      <c r="X31" s="276">
        <f t="shared" si="9"/>
        <v>-15.689969256772066</v>
      </c>
      <c r="Y31" s="276">
        <f t="shared" si="10"/>
        <v>-12.565663421730145</v>
      </c>
      <c r="Z31" s="276">
        <f t="shared" si="11"/>
        <v>-18.297489424738998</v>
      </c>
      <c r="AA31" s="276">
        <f t="shared" si="12"/>
        <v>-0.26264075311126939</v>
      </c>
      <c r="AB31" s="276">
        <f t="shared" si="13"/>
        <v>-13.288113311613056</v>
      </c>
      <c r="AC31" s="276">
        <f t="shared" si="14"/>
        <v>5.1051345647645929</v>
      </c>
      <c r="AD31" s="276">
        <f t="shared" ref="AD31:AH38" si="19">(AD7-R7)/R7*100</f>
        <v>6.5198859012223398</v>
      </c>
      <c r="AE31" s="276">
        <f t="shared" si="19"/>
        <v>11.951866931014267</v>
      </c>
      <c r="AF31" s="276">
        <f t="shared" si="19"/>
        <v>2.7362849787303243</v>
      </c>
      <c r="AG31" s="276">
        <f t="shared" si="19"/>
        <v>-5.1404752837214076</v>
      </c>
      <c r="AH31" s="276">
        <f t="shared" si="19"/>
        <v>1.5320801843512994</v>
      </c>
      <c r="AI31" s="276">
        <f t="shared" ref="AI31:AI38" si="20">(AI7-W7)/W7*100</f>
        <v>-4.8662596955607338</v>
      </c>
      <c r="AJ31" s="276">
        <f t="shared" si="16"/>
        <v>10.658053335111932</v>
      </c>
      <c r="AK31" s="276">
        <f t="shared" si="16"/>
        <v>10.265471300599481</v>
      </c>
      <c r="AL31" s="276">
        <f t="shared" si="16"/>
        <v>1.2259054831981018</v>
      </c>
    </row>
    <row r="32" spans="1:38">
      <c r="A32" s="272" t="s">
        <v>119</v>
      </c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>
        <f t="shared" si="17"/>
        <v>-2.6743372241838017</v>
      </c>
      <c r="P32" s="277">
        <f t="shared" si="18"/>
        <v>-4.1033742828074722</v>
      </c>
      <c r="Q32" s="277">
        <f t="shared" si="18"/>
        <v>-4.3222517746758466</v>
      </c>
      <c r="R32" s="277">
        <f t="shared" si="3"/>
        <v>-11.293570435492967</v>
      </c>
      <c r="S32" s="277">
        <f t="shared" si="4"/>
        <v>-17.610415673532611</v>
      </c>
      <c r="T32" s="277">
        <f t="shared" si="5"/>
        <v>-18.282473041525041</v>
      </c>
      <c r="U32" s="277">
        <f t="shared" si="6"/>
        <v>-21.920703450834147</v>
      </c>
      <c r="V32" s="277">
        <f t="shared" si="7"/>
        <v>-16.158214585237808</v>
      </c>
      <c r="W32" s="277">
        <f t="shared" si="8"/>
        <v>-7.3266255070012249</v>
      </c>
      <c r="X32" s="277">
        <f t="shared" si="9"/>
        <v>-16.618852707116538</v>
      </c>
      <c r="Y32" s="277">
        <f t="shared" si="10"/>
        <v>-12.957549744040374</v>
      </c>
      <c r="Z32" s="277">
        <f t="shared" si="11"/>
        <v>-16.188532097701032</v>
      </c>
      <c r="AA32" s="277">
        <f t="shared" si="12"/>
        <v>-1.5114117069734647</v>
      </c>
      <c r="AB32" s="277">
        <f t="shared" si="13"/>
        <v>-8.2274538829560324</v>
      </c>
      <c r="AC32" s="277">
        <f t="shared" si="14"/>
        <v>-6.9941208958803323</v>
      </c>
      <c r="AD32" s="277">
        <f t="shared" si="19"/>
        <v>0.26951606484244783</v>
      </c>
      <c r="AE32" s="277">
        <f t="shared" si="19"/>
        <v>8.8160474331239822</v>
      </c>
      <c r="AF32" s="277">
        <f t="shared" si="19"/>
        <v>-1.3099617102401933</v>
      </c>
      <c r="AG32" s="277">
        <f t="shared" si="19"/>
        <v>-5.1571730661816313E-2</v>
      </c>
      <c r="AH32" s="277">
        <f t="shared" si="19"/>
        <v>-1.4557871074691653</v>
      </c>
      <c r="AI32" s="277">
        <f t="shared" si="20"/>
        <v>-12.845227068292301</v>
      </c>
      <c r="AJ32" s="277">
        <f t="shared" si="16"/>
        <v>7.2280684854645418</v>
      </c>
      <c r="AK32" s="277">
        <f t="shared" si="16"/>
        <v>0.77692787377049499</v>
      </c>
      <c r="AL32" s="277">
        <f t="shared" si="16"/>
        <v>6.7835684242596423</v>
      </c>
    </row>
    <row r="33" spans="1:38">
      <c r="A33" s="275" t="s">
        <v>128</v>
      </c>
      <c r="B33" s="275"/>
      <c r="C33" s="275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>
        <f t="shared" si="17"/>
        <v>-5.1857180390940982</v>
      </c>
      <c r="P33" s="276">
        <f t="shared" si="18"/>
        <v>-7.4828447559444911</v>
      </c>
      <c r="Q33" s="276">
        <f t="shared" si="18"/>
        <v>-7.8327057741214805</v>
      </c>
      <c r="R33" s="276">
        <f t="shared" si="3"/>
        <v>-18.906447425733617</v>
      </c>
      <c r="S33" s="276">
        <f t="shared" si="4"/>
        <v>-28.256103698367106</v>
      </c>
      <c r="T33" s="276">
        <f t="shared" si="5"/>
        <v>-29.223830085721875</v>
      </c>
      <c r="U33" s="276">
        <f t="shared" si="6"/>
        <v>-33.692498840513323</v>
      </c>
      <c r="V33" s="276">
        <f t="shared" si="7"/>
        <v>-26.250770465456913</v>
      </c>
      <c r="W33" s="276">
        <f t="shared" si="8"/>
        <v>-13.21640026877065</v>
      </c>
      <c r="X33" s="276">
        <f t="shared" si="9"/>
        <v>-26.595131732898601</v>
      </c>
      <c r="Y33" s="276">
        <f t="shared" si="10"/>
        <v>-21.363718812220121</v>
      </c>
      <c r="Z33" s="276">
        <f t="shared" si="11"/>
        <v>-25.721593009834727</v>
      </c>
      <c r="AA33" s="276">
        <f t="shared" si="12"/>
        <v>-4.3844420235363559</v>
      </c>
      <c r="AB33" s="276">
        <f t="shared" si="13"/>
        <v>-13.109933292655532</v>
      </c>
      <c r="AC33" s="276">
        <f t="shared" si="14"/>
        <v>-11.767716303687227</v>
      </c>
      <c r="AD33" s="276">
        <f t="shared" si="19"/>
        <v>-0.27718454915145913</v>
      </c>
      <c r="AE33" s="276">
        <f t="shared" si="19"/>
        <v>14.230883983349701</v>
      </c>
      <c r="AF33" s="276">
        <f t="shared" si="19"/>
        <v>-2.9545440396973448</v>
      </c>
      <c r="AG33" s="276">
        <f t="shared" si="19"/>
        <v>-2.5740326560219118</v>
      </c>
      <c r="AH33" s="276">
        <f t="shared" si="19"/>
        <v>-3.4633737317091433</v>
      </c>
      <c r="AI33" s="276">
        <f t="shared" si="20"/>
        <v>-21.038493631870171</v>
      </c>
      <c r="AJ33" s="276">
        <f t="shared" si="16"/>
        <v>9.6765313510797224</v>
      </c>
      <c r="AK33" s="276">
        <f t="shared" si="16"/>
        <v>-0.88862703008312094</v>
      </c>
      <c r="AL33" s="276">
        <f t="shared" si="16"/>
        <v>8.5359621904211593</v>
      </c>
    </row>
    <row r="34" spans="1:38">
      <c r="A34" s="272" t="s">
        <v>121</v>
      </c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>
        <f t="shared" si="17"/>
        <v>-0.97192396832230088</v>
      </c>
      <c r="P34" s="277">
        <f t="shared" si="18"/>
        <v>-0.24301725489477582</v>
      </c>
      <c r="Q34" s="277">
        <f t="shared" si="18"/>
        <v>-0.24301725489477582</v>
      </c>
      <c r="R34" s="277">
        <f t="shared" si="3"/>
        <v>-0.59161601795133678</v>
      </c>
      <c r="S34" s="277">
        <f t="shared" si="4"/>
        <v>-3.7582596031142632</v>
      </c>
      <c r="T34" s="277">
        <f t="shared" si="5"/>
        <v>-1.4377351072878952</v>
      </c>
      <c r="U34" s="277">
        <f t="shared" si="6"/>
        <v>-1.4377351072878952</v>
      </c>
      <c r="V34" s="277">
        <f t="shared" si="7"/>
        <v>2.410742719719863E-2</v>
      </c>
      <c r="W34" s="277">
        <f t="shared" si="8"/>
        <v>2.410742719719863E-2</v>
      </c>
      <c r="X34" s="277">
        <f t="shared" si="9"/>
        <v>-0.29611727144149408</v>
      </c>
      <c r="Y34" s="277">
        <f t="shared" si="10"/>
        <v>-0.29611727144149408</v>
      </c>
      <c r="Z34" s="277">
        <f t="shared" si="11"/>
        <v>-0.29611727144149408</v>
      </c>
      <c r="AA34" s="277">
        <f t="shared" si="12"/>
        <v>-4.9817426739230992</v>
      </c>
      <c r="AB34" s="277">
        <f t="shared" si="13"/>
        <v>-4.9817426739230992</v>
      </c>
      <c r="AC34" s="277">
        <f t="shared" si="14"/>
        <v>-4.9817426739230992</v>
      </c>
      <c r="AD34" s="277">
        <f t="shared" si="19"/>
        <v>-15.120641086058711</v>
      </c>
      <c r="AE34" s="277">
        <f t="shared" si="19"/>
        <v>-21.349721825697483</v>
      </c>
      <c r="AF34" s="277">
        <f t="shared" si="19"/>
        <v>-16.976585783383804</v>
      </c>
      <c r="AG34" s="277">
        <f t="shared" si="19"/>
        <v>-16.976585783383804</v>
      </c>
      <c r="AH34" s="277">
        <f t="shared" si="19"/>
        <v>-16.976585783383804</v>
      </c>
      <c r="AI34" s="277">
        <f t="shared" si="20"/>
        <v>-16.976585783383804</v>
      </c>
      <c r="AJ34" s="277">
        <f t="shared" si="16"/>
        <v>-16.976585783383804</v>
      </c>
      <c r="AK34" s="277">
        <f t="shared" si="16"/>
        <v>-16.976585783383804</v>
      </c>
      <c r="AL34" s="277">
        <f t="shared" si="16"/>
        <v>-16.976585783383804</v>
      </c>
    </row>
    <row r="35" spans="1:38">
      <c r="A35" s="275" t="s">
        <v>122</v>
      </c>
      <c r="B35" s="275"/>
      <c r="C35" s="275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>
        <f t="shared" si="17"/>
        <v>4.357238354646995</v>
      </c>
      <c r="P35" s="276">
        <f t="shared" si="18"/>
        <v>3.5289439367725293</v>
      </c>
      <c r="Q35" s="276">
        <f t="shared" si="18"/>
        <v>0.67336854672996027</v>
      </c>
      <c r="R35" s="276">
        <f t="shared" si="3"/>
        <v>-2.3338766707255476</v>
      </c>
      <c r="S35" s="276">
        <f t="shared" si="4"/>
        <v>-3.2463671701440306</v>
      </c>
      <c r="T35" s="276">
        <f t="shared" si="5"/>
        <v>-1.667347272959411</v>
      </c>
      <c r="U35" s="276">
        <f t="shared" si="6"/>
        <v>7.4169217761793442</v>
      </c>
      <c r="V35" s="276">
        <f t="shared" si="7"/>
        <v>1.0460749986749346E-2</v>
      </c>
      <c r="W35" s="276">
        <f t="shared" si="8"/>
        <v>6.3146965107628574</v>
      </c>
      <c r="X35" s="276">
        <f t="shared" si="9"/>
        <v>13.401061844679141</v>
      </c>
      <c r="Y35" s="276">
        <f t="shared" si="10"/>
        <v>15.470049668075559</v>
      </c>
      <c r="Z35" s="276">
        <f t="shared" si="11"/>
        <v>13.584677283104218</v>
      </c>
      <c r="AA35" s="276">
        <f t="shared" si="12"/>
        <v>1.5550957434834642</v>
      </c>
      <c r="AB35" s="276">
        <f t="shared" si="13"/>
        <v>3.1699305587667324</v>
      </c>
      <c r="AC35" s="276">
        <f t="shared" si="14"/>
        <v>5.3843736955390185</v>
      </c>
      <c r="AD35" s="276">
        <f t="shared" si="19"/>
        <v>6.9004481962444952</v>
      </c>
      <c r="AE35" s="276">
        <f t="shared" si="19"/>
        <v>9.4934996236557385</v>
      </c>
      <c r="AF35" s="276">
        <f t="shared" si="19"/>
        <v>9.5531007051501682</v>
      </c>
      <c r="AG35" s="276">
        <f t="shared" si="19"/>
        <v>-1.8528843822724972</v>
      </c>
      <c r="AH35" s="276">
        <f t="shared" si="19"/>
        <v>4.3890694955413858</v>
      </c>
      <c r="AI35" s="276">
        <f t="shared" si="20"/>
        <v>-0.99670034063341695</v>
      </c>
      <c r="AJ35" s="276">
        <f t="shared" si="16"/>
        <v>5.8147064155914379</v>
      </c>
      <c r="AK35" s="276">
        <f t="shared" si="16"/>
        <v>2.8783467231819166</v>
      </c>
      <c r="AL35" s="276">
        <f t="shared" si="16"/>
        <v>2.9945938128434868</v>
      </c>
    </row>
    <row r="36" spans="1:38">
      <c r="A36" s="272" t="s">
        <v>123</v>
      </c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>
        <f t="shared" si="17"/>
        <v>3.8571908840680043</v>
      </c>
      <c r="P36" s="277">
        <f t="shared" si="18"/>
        <v>4.6099526990161861</v>
      </c>
      <c r="Q36" s="277">
        <f t="shared" si="18"/>
        <v>5.1732554240153688</v>
      </c>
      <c r="R36" s="277">
        <f t="shared" si="3"/>
        <v>7.3882401316558823</v>
      </c>
      <c r="S36" s="277">
        <f t="shared" si="4"/>
        <v>6.5258624540582995</v>
      </c>
      <c r="T36" s="277">
        <f t="shared" si="5"/>
        <v>7.9813243798222899</v>
      </c>
      <c r="U36" s="277">
        <f t="shared" si="6"/>
        <v>7.697138185991256</v>
      </c>
      <c r="V36" s="277">
        <f t="shared" si="7"/>
        <v>7.3146594381293593</v>
      </c>
      <c r="W36" s="277">
        <f t="shared" si="8"/>
        <v>5.0340551134611973</v>
      </c>
      <c r="X36" s="277">
        <f t="shared" si="9"/>
        <v>-2.7147065422543522</v>
      </c>
      <c r="Y36" s="277">
        <f t="shared" si="10"/>
        <v>0.51333717296688108</v>
      </c>
      <c r="Z36" s="277">
        <f t="shared" si="11"/>
        <v>1.8672553964425112</v>
      </c>
      <c r="AA36" s="277">
        <f t="shared" si="12"/>
        <v>-0.93514213873754171</v>
      </c>
      <c r="AB36" s="277">
        <f t="shared" si="13"/>
        <v>-3.9286014379282093</v>
      </c>
      <c r="AC36" s="277">
        <f t="shared" si="14"/>
        <v>-1.7275840086478402</v>
      </c>
      <c r="AD36" s="277">
        <f t="shared" si="19"/>
        <v>-2.6665669841310882</v>
      </c>
      <c r="AE36" s="277">
        <f t="shared" si="19"/>
        <v>-2.7590865512894225</v>
      </c>
      <c r="AF36" s="277">
        <f t="shared" si="19"/>
        <v>-2.6417716291459987</v>
      </c>
      <c r="AG36" s="277">
        <f t="shared" si="19"/>
        <v>2.3799999128938563</v>
      </c>
      <c r="AH36" s="277">
        <f t="shared" si="19"/>
        <v>-5.4539262599731009</v>
      </c>
      <c r="AI36" s="277">
        <f t="shared" si="20"/>
        <v>1.2757690982157632</v>
      </c>
      <c r="AJ36" s="277">
        <f t="shared" si="16"/>
        <v>0.31444372766229073</v>
      </c>
      <c r="AK36" s="277">
        <f t="shared" si="16"/>
        <v>0.11249871245542205</v>
      </c>
      <c r="AL36" s="277">
        <f t="shared" si="16"/>
        <v>1.9860515413306528</v>
      </c>
    </row>
    <row r="37" spans="1:38">
      <c r="A37" s="275" t="s">
        <v>12</v>
      </c>
      <c r="B37" s="275"/>
      <c r="C37" s="275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>
        <f t="shared" si="17"/>
        <v>1.9224585599610009</v>
      </c>
      <c r="P37" s="276">
        <f t="shared" si="18"/>
        <v>1.9224585599610009</v>
      </c>
      <c r="Q37" s="276">
        <f t="shared" si="18"/>
        <v>1.9224585599610009</v>
      </c>
      <c r="R37" s="276">
        <f t="shared" si="3"/>
        <v>-0.3123946470214819</v>
      </c>
      <c r="S37" s="276">
        <f t="shared" si="4"/>
        <v>-0.60275433864960004</v>
      </c>
      <c r="T37" s="276">
        <f t="shared" si="5"/>
        <v>-0.60275433864960004</v>
      </c>
      <c r="U37" s="276">
        <f t="shared" si="6"/>
        <v>2.0967628831362757</v>
      </c>
      <c r="V37" s="276">
        <f t="shared" si="7"/>
        <v>1.901414698500441</v>
      </c>
      <c r="W37" s="276">
        <f t="shared" si="8"/>
        <v>1.7536842345119361</v>
      </c>
      <c r="X37" s="276">
        <f t="shared" si="9"/>
        <v>1.6046068531960154</v>
      </c>
      <c r="Y37" s="276">
        <f t="shared" si="10"/>
        <v>1.7536842321317032</v>
      </c>
      <c r="Z37" s="276">
        <f t="shared" si="11"/>
        <v>1.753684233555334</v>
      </c>
      <c r="AA37" s="276">
        <f t="shared" si="12"/>
        <v>1.753684233555334</v>
      </c>
      <c r="AB37" s="276">
        <f t="shared" si="13"/>
        <v>1.753684233555334</v>
      </c>
      <c r="AC37" s="276">
        <f t="shared" si="14"/>
        <v>1.753684233555334</v>
      </c>
      <c r="AD37" s="276">
        <f t="shared" si="19"/>
        <v>10.392989940770443</v>
      </c>
      <c r="AE37" s="276">
        <f t="shared" si="19"/>
        <v>10.715470451209494</v>
      </c>
      <c r="AF37" s="276">
        <f t="shared" si="19"/>
        <v>10.715470451209494</v>
      </c>
      <c r="AG37" s="276">
        <f t="shared" si="19"/>
        <v>7.7880679483184627</v>
      </c>
      <c r="AH37" s="276">
        <f t="shared" si="19"/>
        <v>10.954415555090993</v>
      </c>
      <c r="AI37" s="276">
        <f t="shared" si="20"/>
        <v>10.791858357866861</v>
      </c>
      <c r="AJ37" s="276">
        <f t="shared" si="16"/>
        <v>12.189141589575121</v>
      </c>
      <c r="AK37" s="276">
        <f t="shared" si="16"/>
        <v>12.024775421416884</v>
      </c>
      <c r="AL37" s="276">
        <f t="shared" si="16"/>
        <v>12.024775419849551</v>
      </c>
    </row>
    <row r="38" spans="1:38">
      <c r="A38" s="279" t="s">
        <v>124</v>
      </c>
      <c r="B38" s="279"/>
      <c r="C38" s="279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>
        <f t="shared" si="17"/>
        <v>5.3290958979130068</v>
      </c>
      <c r="P38" s="280">
        <f t="shared" si="18"/>
        <v>5.3290958979130068</v>
      </c>
      <c r="Q38" s="280">
        <f t="shared" si="18"/>
        <v>5.3290958979130068</v>
      </c>
      <c r="R38" s="280">
        <f t="shared" si="3"/>
        <v>3.0130848441752867</v>
      </c>
      <c r="S38" s="280">
        <f t="shared" si="4"/>
        <v>2.4305582447224845</v>
      </c>
      <c r="T38" s="280">
        <f t="shared" si="5"/>
        <v>2.4305582447224845</v>
      </c>
      <c r="U38" s="280">
        <f t="shared" si="6"/>
        <v>2.4305582447224845</v>
      </c>
      <c r="V38" s="280">
        <f t="shared" si="7"/>
        <v>2.4305582447224845</v>
      </c>
      <c r="W38" s="280">
        <f t="shared" si="8"/>
        <v>2.4305582447224845</v>
      </c>
      <c r="X38" s="280">
        <f t="shared" si="9"/>
        <v>2.0426919028295782</v>
      </c>
      <c r="Y38" s="280">
        <f t="shared" si="10"/>
        <v>2.0426919028295782</v>
      </c>
      <c r="Z38" s="280">
        <f t="shared" si="11"/>
        <v>2.0426919028295782</v>
      </c>
      <c r="AA38" s="280">
        <f t="shared" si="12"/>
        <v>1.0583179395210973</v>
      </c>
      <c r="AB38" s="280">
        <f t="shared" si="13"/>
        <v>1.0583179395210973</v>
      </c>
      <c r="AC38" s="280">
        <f t="shared" si="14"/>
        <v>1.0583179395210973</v>
      </c>
      <c r="AD38" s="280">
        <f t="shared" si="19"/>
        <v>-0.36662418410173409</v>
      </c>
      <c r="AE38" s="280">
        <f t="shared" si="19"/>
        <v>0.19999472924416323</v>
      </c>
      <c r="AF38" s="280">
        <f t="shared" si="19"/>
        <v>0.19999472924416323</v>
      </c>
      <c r="AG38" s="280">
        <f t="shared" si="19"/>
        <v>0.19999472924416323</v>
      </c>
      <c r="AH38" s="280">
        <f t="shared" si="19"/>
        <v>0.19999472924416323</v>
      </c>
      <c r="AI38" s="280">
        <f t="shared" si="20"/>
        <v>0.19999472924416323</v>
      </c>
      <c r="AJ38" s="280">
        <f t="shared" si="16"/>
        <v>4.9709414738686106E-2</v>
      </c>
      <c r="AK38" s="280">
        <f t="shared" si="16"/>
        <v>4.9709414738686106E-2</v>
      </c>
      <c r="AL38" s="280">
        <f t="shared" si="16"/>
        <v>4.9709414738686106E-2</v>
      </c>
    </row>
    <row r="39" spans="1:38">
      <c r="A39" s="283" t="s">
        <v>129</v>
      </c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</row>
    <row r="40" spans="1:38"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</row>
    <row r="41" spans="1:38"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</row>
    <row r="42" spans="1:38"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</row>
    <row r="43" spans="1:38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</row>
  </sheetData>
  <mergeCells count="4">
    <mergeCell ref="A9:B9"/>
    <mergeCell ref="A2:AL2"/>
    <mergeCell ref="A3:AL3"/>
    <mergeCell ref="A1:AL1"/>
  </mergeCells>
  <pageMargins left="0.7" right="0.7" top="0.75" bottom="0.75" header="0.3" footer="0.3"/>
  <pageSetup paperSize="9" scale="42" orientation="landscape" r:id="rId1"/>
  <colBreaks count="1" manualBreakCount="1">
    <brk id="38" max="38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53"/>
  <sheetViews>
    <sheetView topLeftCell="F10" workbookViewId="0">
      <selection activeCell="Z42" sqref="Z42"/>
    </sheetView>
  </sheetViews>
  <sheetFormatPr defaultRowHeight="12.75"/>
  <cols>
    <col min="1" max="1" width="20" style="4" customWidth="1"/>
    <col min="2" max="2" width="11" style="4" customWidth="1"/>
    <col min="3" max="13" width="9.140625" style="4"/>
    <col min="14" max="16" width="10.140625" style="4" customWidth="1"/>
    <col min="17" max="17" width="13.140625" style="4" customWidth="1"/>
    <col min="18" max="18" width="22.42578125" style="4" customWidth="1"/>
    <col min="19" max="16384" width="9.140625" style="4"/>
  </cols>
  <sheetData>
    <row r="1" spans="1:21" ht="21.75">
      <c r="A1" s="665" t="s">
        <v>319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298"/>
      <c r="T1" s="298"/>
      <c r="U1" s="298"/>
    </row>
    <row r="2" spans="1:21">
      <c r="A2" s="666" t="s">
        <v>318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300"/>
      <c r="T2" s="300"/>
      <c r="U2" s="300"/>
    </row>
    <row r="3" spans="1:21" ht="15">
      <c r="A3" s="667" t="s">
        <v>133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300"/>
      <c r="T3" s="300"/>
      <c r="U3" s="300"/>
    </row>
    <row r="4" spans="1:21">
      <c r="A4" s="668" t="s">
        <v>134</v>
      </c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301"/>
      <c r="T4" s="301"/>
      <c r="U4" s="301"/>
    </row>
    <row r="5" spans="1:21" ht="15">
      <c r="A5" s="371" t="s">
        <v>135</v>
      </c>
      <c r="B5" s="371" t="s">
        <v>136</v>
      </c>
      <c r="C5" s="388">
        <v>2004</v>
      </c>
      <c r="D5" s="389">
        <v>2005</v>
      </c>
      <c r="E5" s="389">
        <v>2006</v>
      </c>
      <c r="F5" s="389">
        <v>2007</v>
      </c>
      <c r="G5" s="389">
        <v>2008</v>
      </c>
      <c r="H5" s="389">
        <v>2009</v>
      </c>
      <c r="I5" s="389">
        <v>2010</v>
      </c>
      <c r="J5" s="388">
        <v>2011</v>
      </c>
      <c r="K5" s="389">
        <v>2012</v>
      </c>
      <c r="L5" s="389">
        <v>2013</v>
      </c>
      <c r="M5" s="389">
        <v>2014</v>
      </c>
      <c r="N5" s="389">
        <v>2015</v>
      </c>
      <c r="O5" s="389">
        <v>2016</v>
      </c>
      <c r="P5" s="389">
        <v>2017</v>
      </c>
      <c r="Q5" s="302" t="s">
        <v>137</v>
      </c>
      <c r="R5" s="302" t="s">
        <v>138</v>
      </c>
      <c r="S5" s="301"/>
      <c r="T5" s="301"/>
      <c r="U5" s="301"/>
    </row>
    <row r="6" spans="1:21" ht="15.75">
      <c r="A6" s="372" t="s">
        <v>139</v>
      </c>
      <c r="B6" s="303" t="s">
        <v>140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90"/>
      <c r="P6" s="290"/>
      <c r="Q6" s="295" t="s">
        <v>141</v>
      </c>
      <c r="R6" s="304" t="s">
        <v>142</v>
      </c>
      <c r="S6" s="301"/>
      <c r="T6" s="301"/>
      <c r="U6" s="301"/>
    </row>
    <row r="7" spans="1:21" ht="15.75">
      <c r="A7" s="373" t="s">
        <v>143</v>
      </c>
      <c r="B7" s="306"/>
      <c r="C7" s="288">
        <v>100</v>
      </c>
      <c r="D7" s="288">
        <v>87.22</v>
      </c>
      <c r="E7" s="288">
        <v>83.77</v>
      </c>
      <c r="F7" s="288">
        <v>63.03</v>
      </c>
      <c r="G7" s="288">
        <v>87.26</v>
      </c>
      <c r="H7" s="288">
        <v>72.27</v>
      </c>
      <c r="I7" s="288">
        <v>75.39</v>
      </c>
      <c r="J7" s="290">
        <v>68.126911532268906</v>
      </c>
      <c r="K7" s="290">
        <v>73.63596848632109</v>
      </c>
      <c r="L7" s="290">
        <v>63.987782657633034</v>
      </c>
      <c r="M7" s="290">
        <v>57.319731315803878</v>
      </c>
      <c r="N7" s="290">
        <v>53.590578725618045</v>
      </c>
      <c r="O7" s="290">
        <v>51.462370596667796</v>
      </c>
      <c r="P7" s="555"/>
      <c r="Q7" s="296"/>
      <c r="R7" s="307" t="s">
        <v>144</v>
      </c>
      <c r="S7" s="301"/>
      <c r="T7" s="301"/>
      <c r="U7" s="301"/>
    </row>
    <row r="8" spans="1:21" ht="15.75">
      <c r="A8" s="373" t="s">
        <v>145</v>
      </c>
      <c r="B8" s="306"/>
      <c r="C8" s="288">
        <v>100</v>
      </c>
      <c r="D8" s="288">
        <v>109.53</v>
      </c>
      <c r="E8" s="288">
        <v>128.26</v>
      </c>
      <c r="F8" s="288">
        <v>125.39</v>
      </c>
      <c r="G8" s="288">
        <v>120.01</v>
      </c>
      <c r="H8" s="288">
        <v>133.13999999999999</v>
      </c>
      <c r="I8" s="288">
        <v>136.76</v>
      </c>
      <c r="J8" s="290">
        <v>134.01679892665368</v>
      </c>
      <c r="K8" s="290">
        <v>120.60143797872685</v>
      </c>
      <c r="L8" s="290">
        <v>113.60422116335943</v>
      </c>
      <c r="M8" s="290">
        <v>140.3688453600378</v>
      </c>
      <c r="N8" s="290">
        <v>170.74514777594777</v>
      </c>
      <c r="O8" s="290">
        <v>151.6951590789655</v>
      </c>
      <c r="P8" s="555"/>
      <c r="Q8" s="296"/>
      <c r="R8" s="307" t="s">
        <v>146</v>
      </c>
      <c r="S8" s="301"/>
      <c r="T8" s="301"/>
      <c r="U8" s="301"/>
    </row>
    <row r="9" spans="1:21" ht="15.75">
      <c r="A9" s="373" t="s">
        <v>147</v>
      </c>
      <c r="B9" s="306"/>
      <c r="C9" s="288">
        <v>100</v>
      </c>
      <c r="D9" s="288">
        <v>95.53</v>
      </c>
      <c r="E9" s="288">
        <v>107.44</v>
      </c>
      <c r="F9" s="288">
        <v>79.03</v>
      </c>
      <c r="G9" s="288">
        <v>104.72</v>
      </c>
      <c r="H9" s="288">
        <v>96.22</v>
      </c>
      <c r="I9" s="288">
        <v>103.11</v>
      </c>
      <c r="J9" s="290">
        <v>91.301506043140051</v>
      </c>
      <c r="K9" s="290">
        <v>88.806036864065376</v>
      </c>
      <c r="L9" s="290">
        <v>72.692822127907178</v>
      </c>
      <c r="M9" s="290">
        <v>80.459045011469911</v>
      </c>
      <c r="N9" s="290">
        <v>91.503312839042167</v>
      </c>
      <c r="O9" s="290">
        <v>78.065924942421987</v>
      </c>
      <c r="P9" s="555"/>
      <c r="Q9" s="296"/>
      <c r="R9" s="307" t="s">
        <v>148</v>
      </c>
      <c r="S9" s="301"/>
      <c r="T9" s="301"/>
      <c r="U9" s="301"/>
    </row>
    <row r="10" spans="1:21" ht="15.75">
      <c r="A10" s="372" t="s">
        <v>149</v>
      </c>
      <c r="B10" s="303" t="s">
        <v>150</v>
      </c>
      <c r="C10" s="288"/>
      <c r="D10" s="288"/>
      <c r="E10" s="288"/>
      <c r="F10" s="288"/>
      <c r="G10" s="288"/>
      <c r="H10" s="288"/>
      <c r="I10" s="288"/>
      <c r="J10" s="290"/>
      <c r="K10" s="290"/>
      <c r="L10" s="290"/>
      <c r="M10" s="290"/>
      <c r="N10" s="290"/>
      <c r="O10" s="290"/>
      <c r="P10" s="555"/>
      <c r="Q10" s="295" t="s">
        <v>151</v>
      </c>
      <c r="R10" s="304" t="s">
        <v>152</v>
      </c>
      <c r="S10" s="301"/>
      <c r="T10" s="301"/>
      <c r="U10" s="301"/>
    </row>
    <row r="11" spans="1:21" ht="15.75">
      <c r="A11" s="373" t="s">
        <v>143</v>
      </c>
      <c r="B11" s="306"/>
      <c r="C11" s="288">
        <v>100</v>
      </c>
      <c r="D11" s="288">
        <v>98.01</v>
      </c>
      <c r="E11" s="288">
        <v>120.69</v>
      </c>
      <c r="F11" s="288">
        <v>128.71</v>
      </c>
      <c r="G11" s="288">
        <v>148.94999999999999</v>
      </c>
      <c r="H11" s="288">
        <v>181.66</v>
      </c>
      <c r="I11" s="288">
        <v>235.12</v>
      </c>
      <c r="J11" s="290">
        <v>198.10298200162714</v>
      </c>
      <c r="K11" s="290">
        <v>207.96574007381844</v>
      </c>
      <c r="L11" s="290">
        <v>219.84393551715735</v>
      </c>
      <c r="M11" s="290">
        <v>196.6387455621888</v>
      </c>
      <c r="N11" s="290">
        <v>198.15440919124808</v>
      </c>
      <c r="O11" s="290">
        <v>170.22122427113587</v>
      </c>
      <c r="P11" s="555"/>
      <c r="Q11" s="296"/>
      <c r="R11" s="307" t="s">
        <v>144</v>
      </c>
      <c r="S11" s="301"/>
      <c r="T11" s="301"/>
      <c r="U11" s="301"/>
    </row>
    <row r="12" spans="1:21" ht="15.75">
      <c r="A12" s="373" t="s">
        <v>145</v>
      </c>
      <c r="B12" s="306"/>
      <c r="C12" s="288">
        <v>100</v>
      </c>
      <c r="D12" s="288">
        <v>125.14</v>
      </c>
      <c r="E12" s="288">
        <v>134.33000000000001</v>
      </c>
      <c r="F12" s="288">
        <v>112.86</v>
      </c>
      <c r="G12" s="288">
        <v>103.46</v>
      </c>
      <c r="H12" s="288">
        <v>65.91</v>
      </c>
      <c r="I12" s="288">
        <v>42.07</v>
      </c>
      <c r="J12" s="290">
        <v>127.30716725621897</v>
      </c>
      <c r="K12" s="290">
        <v>121.89631615094309</v>
      </c>
      <c r="L12" s="290">
        <v>127.72168310158327</v>
      </c>
      <c r="M12" s="290">
        <v>146.39398477167239</v>
      </c>
      <c r="N12" s="290">
        <v>102.76531628697643</v>
      </c>
      <c r="O12" s="290">
        <v>163.92189561675497</v>
      </c>
      <c r="P12" s="555"/>
      <c r="Q12" s="296"/>
      <c r="R12" s="307" t="s">
        <v>146</v>
      </c>
      <c r="S12" s="301"/>
      <c r="T12" s="301"/>
      <c r="U12" s="301"/>
    </row>
    <row r="13" spans="1:21" ht="15.75">
      <c r="A13" s="373" t="s">
        <v>147</v>
      </c>
      <c r="B13" s="306"/>
      <c r="C13" s="288">
        <v>100</v>
      </c>
      <c r="D13" s="288">
        <v>122.65</v>
      </c>
      <c r="E13" s="288">
        <v>162.12</v>
      </c>
      <c r="F13" s="288">
        <v>145.26</v>
      </c>
      <c r="G13" s="288">
        <v>154.11000000000001</v>
      </c>
      <c r="H13" s="288">
        <v>119.74</v>
      </c>
      <c r="I13" s="288">
        <v>98.92</v>
      </c>
      <c r="J13" s="290">
        <v>252.19929463636882</v>
      </c>
      <c r="K13" s="290">
        <v>325.69058180740552</v>
      </c>
      <c r="L13" s="290">
        <v>280.78837463927277</v>
      </c>
      <c r="M13" s="290">
        <v>287.86729523351835</v>
      </c>
      <c r="N13" s="290">
        <v>223.08873429275039</v>
      </c>
      <c r="O13" s="290">
        <v>279.02985756729367</v>
      </c>
      <c r="P13" s="555"/>
      <c r="Q13" s="296"/>
      <c r="R13" s="307" t="s">
        <v>148</v>
      </c>
      <c r="S13" s="301"/>
      <c r="T13" s="301"/>
      <c r="U13" s="301"/>
    </row>
    <row r="14" spans="1:21" ht="15.75">
      <c r="A14" s="372" t="s">
        <v>153</v>
      </c>
      <c r="B14" s="303" t="s">
        <v>150</v>
      </c>
      <c r="C14" s="288"/>
      <c r="D14" s="288"/>
      <c r="E14" s="288"/>
      <c r="F14" s="288"/>
      <c r="G14" s="288"/>
      <c r="H14" s="288"/>
      <c r="I14" s="288"/>
      <c r="J14" s="290"/>
      <c r="K14" s="290"/>
      <c r="L14" s="290"/>
      <c r="M14" s="290"/>
      <c r="N14" s="290"/>
      <c r="O14" s="290"/>
      <c r="P14" s="555"/>
      <c r="Q14" s="295" t="s">
        <v>151</v>
      </c>
      <c r="R14" s="304" t="s">
        <v>154</v>
      </c>
      <c r="S14" s="301"/>
      <c r="T14" s="301"/>
      <c r="U14" s="301"/>
    </row>
    <row r="15" spans="1:21" ht="15.75">
      <c r="A15" s="373" t="s">
        <v>143</v>
      </c>
      <c r="B15" s="306"/>
      <c r="C15" s="288">
        <v>100</v>
      </c>
      <c r="D15" s="288">
        <v>112.08</v>
      </c>
      <c r="E15" s="288">
        <v>99.08</v>
      </c>
      <c r="F15" s="288">
        <v>113.07</v>
      </c>
      <c r="G15" s="288">
        <v>113.51</v>
      </c>
      <c r="H15" s="288">
        <v>114.22</v>
      </c>
      <c r="I15" s="288">
        <v>110.22</v>
      </c>
      <c r="J15" s="290">
        <v>127.76925631716713</v>
      </c>
      <c r="K15" s="290">
        <v>121.89631615094309</v>
      </c>
      <c r="L15" s="290">
        <v>116.06338042585007</v>
      </c>
      <c r="M15" s="290">
        <v>109.64158172063357</v>
      </c>
      <c r="N15" s="290">
        <v>102.76531628697643</v>
      </c>
      <c r="O15" s="290">
        <v>95.459176660775213</v>
      </c>
      <c r="P15" s="555"/>
      <c r="Q15" s="296"/>
      <c r="R15" s="307" t="s">
        <v>144</v>
      </c>
      <c r="S15" s="301"/>
      <c r="T15" s="301"/>
      <c r="U15" s="301"/>
    </row>
    <row r="16" spans="1:21" ht="15.75">
      <c r="A16" s="373" t="s">
        <v>145</v>
      </c>
      <c r="B16" s="306"/>
      <c r="C16" s="288">
        <v>100</v>
      </c>
      <c r="D16" s="288">
        <v>80.900000000000006</v>
      </c>
      <c r="E16" s="288">
        <v>105.92</v>
      </c>
      <c r="F16" s="288">
        <v>106.24</v>
      </c>
      <c r="G16" s="288">
        <v>113.85</v>
      </c>
      <c r="H16" s="288">
        <v>157.34</v>
      </c>
      <c r="I16" s="288">
        <v>184.19</v>
      </c>
      <c r="J16" s="290">
        <v>239.92506487429202</v>
      </c>
      <c r="K16" s="290">
        <v>289.05217804855272</v>
      </c>
      <c r="L16" s="290">
        <v>222.99001502137079</v>
      </c>
      <c r="M16" s="290">
        <v>303.62297802082185</v>
      </c>
      <c r="N16" s="290">
        <v>303.90784611793487</v>
      </c>
      <c r="O16" s="290">
        <v>333.79708003672761</v>
      </c>
      <c r="P16" s="555"/>
      <c r="Q16" s="296"/>
      <c r="R16" s="307" t="s">
        <v>146</v>
      </c>
      <c r="S16" s="301"/>
      <c r="T16" s="301"/>
      <c r="U16" s="301"/>
    </row>
    <row r="17" spans="1:18" ht="15.75">
      <c r="A17" s="373" t="s">
        <v>147</v>
      </c>
      <c r="B17" s="306"/>
      <c r="C17" s="288">
        <v>100</v>
      </c>
      <c r="D17" s="288">
        <v>90.67</v>
      </c>
      <c r="E17" s="288">
        <v>104.94</v>
      </c>
      <c r="F17" s="288">
        <v>120.13</v>
      </c>
      <c r="G17" s="288">
        <v>129.22999999999999</v>
      </c>
      <c r="H17" s="288">
        <v>179.72</v>
      </c>
      <c r="I17" s="288">
        <v>203.02</v>
      </c>
      <c r="J17" s="290">
        <v>306.55047110836369</v>
      </c>
      <c r="K17" s="290">
        <v>352.34395679525073</v>
      </c>
      <c r="L17" s="290">
        <v>258.80974944591378</v>
      </c>
      <c r="M17" s="290">
        <v>332.89703556932068</v>
      </c>
      <c r="N17" s="290">
        <v>312.3118592840334</v>
      </c>
      <c r="O17" s="290">
        <v>318.63994432076902</v>
      </c>
      <c r="P17" s="555"/>
      <c r="Q17" s="296"/>
      <c r="R17" s="307" t="s">
        <v>148</v>
      </c>
    </row>
    <row r="18" spans="1:18" ht="15.75">
      <c r="A18" s="372" t="s">
        <v>155</v>
      </c>
      <c r="B18" s="303" t="s">
        <v>150</v>
      </c>
      <c r="C18" s="288"/>
      <c r="D18" s="288"/>
      <c r="E18" s="288"/>
      <c r="F18" s="288"/>
      <c r="G18" s="288"/>
      <c r="H18" s="288"/>
      <c r="I18" s="288"/>
      <c r="J18" s="290"/>
      <c r="K18" s="290"/>
      <c r="L18" s="290"/>
      <c r="M18" s="290"/>
      <c r="N18" s="290"/>
      <c r="O18" s="290"/>
      <c r="P18" s="555"/>
      <c r="Q18" s="295" t="s">
        <v>151</v>
      </c>
      <c r="R18" s="304" t="s">
        <v>156</v>
      </c>
    </row>
    <row r="19" spans="1:18" ht="15.75">
      <c r="A19" s="373" t="s">
        <v>143</v>
      </c>
      <c r="B19" s="306"/>
      <c r="C19" s="288">
        <v>100</v>
      </c>
      <c r="D19" s="288">
        <v>109.11</v>
      </c>
      <c r="E19" s="288">
        <v>114.05</v>
      </c>
      <c r="F19" s="288">
        <v>155.16</v>
      </c>
      <c r="G19" s="288">
        <v>203.21</v>
      </c>
      <c r="H19" s="288">
        <v>142.71</v>
      </c>
      <c r="I19" s="288">
        <v>170.89</v>
      </c>
      <c r="J19" s="290">
        <v>242.92058655433314</v>
      </c>
      <c r="K19" s="290">
        <v>325.69058180740552</v>
      </c>
      <c r="L19" s="290">
        <v>297.80132224393827</v>
      </c>
      <c r="M19" s="290">
        <v>225.86767008815735</v>
      </c>
      <c r="N19" s="290">
        <v>223.08873429275039</v>
      </c>
      <c r="O19" s="290">
        <v>243.88997138961832</v>
      </c>
      <c r="P19" s="555"/>
      <c r="Q19" s="296"/>
      <c r="R19" s="307" t="s">
        <v>144</v>
      </c>
    </row>
    <row r="20" spans="1:18" ht="15.75">
      <c r="A20" s="373" t="s">
        <v>145</v>
      </c>
      <c r="B20" s="306"/>
      <c r="C20" s="288">
        <v>100</v>
      </c>
      <c r="D20" s="288">
        <v>107.76</v>
      </c>
      <c r="E20" s="288">
        <v>167.94</v>
      </c>
      <c r="F20" s="288">
        <v>90.39</v>
      </c>
      <c r="G20" s="288">
        <v>96.32</v>
      </c>
      <c r="H20" s="288">
        <v>51.23</v>
      </c>
      <c r="I20" s="288">
        <v>43.68</v>
      </c>
      <c r="J20" s="290">
        <v>45.657696679303754</v>
      </c>
      <c r="K20" s="290">
        <v>47.28160914709634</v>
      </c>
      <c r="L20" s="290">
        <v>70.490307527508691</v>
      </c>
      <c r="M20" s="290">
        <v>64.285430009028715</v>
      </c>
      <c r="N20" s="290">
        <v>49.636067043100716</v>
      </c>
      <c r="O20" s="290">
        <v>55.21035793634961</v>
      </c>
      <c r="P20" s="555"/>
      <c r="Q20" s="296"/>
      <c r="R20" s="307" t="s">
        <v>146</v>
      </c>
    </row>
    <row r="21" spans="1:18" ht="15.75">
      <c r="A21" s="373" t="s">
        <v>147</v>
      </c>
      <c r="B21" s="306"/>
      <c r="C21" s="288">
        <v>100</v>
      </c>
      <c r="D21" s="288">
        <v>117.57</v>
      </c>
      <c r="E21" s="288">
        <v>191.54</v>
      </c>
      <c r="F21" s="288">
        <v>140.26</v>
      </c>
      <c r="G21" s="288">
        <v>195.73</v>
      </c>
      <c r="H21" s="288">
        <v>73.11</v>
      </c>
      <c r="I21" s="288">
        <v>74.650000000000006</v>
      </c>
      <c r="J21" s="290">
        <v>110.91194458056297</v>
      </c>
      <c r="K21" s="290">
        <v>153.99174791908152</v>
      </c>
      <c r="L21" s="290">
        <v>209.92106787073922</v>
      </c>
      <c r="M21" s="290">
        <v>145.20000296754628</v>
      </c>
      <c r="N21" s="290">
        <v>110.7324737191544</v>
      </c>
      <c r="O21" s="290">
        <v>134.65252617506894</v>
      </c>
      <c r="P21" s="555"/>
      <c r="Q21" s="296"/>
      <c r="R21" s="307" t="s">
        <v>148</v>
      </c>
    </row>
    <row r="22" spans="1:18" ht="15.75">
      <c r="A22" s="374" t="s">
        <v>157</v>
      </c>
      <c r="B22" s="303" t="s">
        <v>150</v>
      </c>
      <c r="C22" s="288"/>
      <c r="D22" s="288"/>
      <c r="E22" s="288"/>
      <c r="F22" s="288"/>
      <c r="G22" s="288"/>
      <c r="H22" s="288"/>
      <c r="I22" s="288"/>
      <c r="J22" s="290"/>
      <c r="K22" s="290"/>
      <c r="L22" s="290"/>
      <c r="M22" s="290"/>
      <c r="N22" s="290"/>
      <c r="O22" s="290"/>
      <c r="P22" s="555"/>
      <c r="Q22" s="295" t="s">
        <v>151</v>
      </c>
      <c r="R22" s="304" t="s">
        <v>158</v>
      </c>
    </row>
    <row r="23" spans="1:18" ht="15.75">
      <c r="A23" s="375" t="s">
        <v>143</v>
      </c>
      <c r="B23" s="306"/>
      <c r="C23" s="293">
        <v>100</v>
      </c>
      <c r="D23" s="290">
        <v>83.91675886995273</v>
      </c>
      <c r="E23" s="290">
        <v>134.59147397491847</v>
      </c>
      <c r="F23" s="290">
        <v>177.86858997374739</v>
      </c>
      <c r="G23" s="290">
        <v>138.59670771822132</v>
      </c>
      <c r="H23" s="290">
        <v>142.50953961604296</v>
      </c>
      <c r="I23" s="290">
        <v>258.78492999506983</v>
      </c>
      <c r="J23" s="290">
        <v>48.419859539180123</v>
      </c>
      <c r="K23" s="290">
        <v>147.35700831752197</v>
      </c>
      <c r="L23" s="290">
        <v>375.1593390850162</v>
      </c>
      <c r="M23" s="290">
        <v>347.78651917746413</v>
      </c>
      <c r="N23" s="290">
        <v>295.20603041235796</v>
      </c>
      <c r="O23" s="290">
        <v>158.54973319166581</v>
      </c>
      <c r="P23" s="555"/>
      <c r="Q23" s="296"/>
      <c r="R23" s="307" t="s">
        <v>144</v>
      </c>
    </row>
    <row r="24" spans="1:18" ht="15.75">
      <c r="A24" s="375" t="s">
        <v>145</v>
      </c>
      <c r="B24" s="306"/>
      <c r="C24" s="293">
        <v>100</v>
      </c>
      <c r="D24" s="290">
        <v>91.012992157173414</v>
      </c>
      <c r="E24" s="290">
        <v>28.368509862948581</v>
      </c>
      <c r="F24" s="290">
        <v>6.7373049195912218</v>
      </c>
      <c r="G24" s="290">
        <v>1.9460508595421058</v>
      </c>
      <c r="H24" s="290">
        <v>2.5821674720747843</v>
      </c>
      <c r="I24" s="290">
        <v>11.035249148379942</v>
      </c>
      <c r="J24" s="290">
        <v>20.166022340172699</v>
      </c>
      <c r="K24" s="290">
        <v>21.786892973144258</v>
      </c>
      <c r="L24" s="290">
        <v>0.79220470569595181</v>
      </c>
      <c r="M24" s="290">
        <v>21.098316565000395</v>
      </c>
      <c r="N24" s="290">
        <v>86.303731284163817</v>
      </c>
      <c r="O24" s="290">
        <v>138.29557157569516</v>
      </c>
      <c r="P24" s="555"/>
      <c r="Q24" s="296"/>
      <c r="R24" s="307" t="s">
        <v>146</v>
      </c>
    </row>
    <row r="25" spans="1:18" ht="15.75">
      <c r="A25" s="375" t="s">
        <v>147</v>
      </c>
      <c r="B25" s="306"/>
      <c r="C25" s="293">
        <v>100</v>
      </c>
      <c r="D25" s="290">
        <v>76.375153168864202</v>
      </c>
      <c r="E25" s="290">
        <v>38.181595569262619</v>
      </c>
      <c r="F25" s="290">
        <v>11.983549262708824</v>
      </c>
      <c r="G25" s="290">
        <v>2.6971624218475059</v>
      </c>
      <c r="H25" s="290">
        <v>3.6798349765689893</v>
      </c>
      <c r="I25" s="290">
        <v>28.557561783416574</v>
      </c>
      <c r="J25" s="290">
        <v>9.7643596917513094</v>
      </c>
      <c r="K25" s="290">
        <v>32.104513690565796</v>
      </c>
      <c r="L25" s="290">
        <v>2.9720299380893307</v>
      </c>
      <c r="M25" s="290">
        <v>73.377100786457206</v>
      </c>
      <c r="N25" s="290">
        <v>254.77381922172833</v>
      </c>
      <c r="O25" s="290">
        <v>219.26725974915388</v>
      </c>
      <c r="P25" s="555"/>
      <c r="Q25" s="296"/>
      <c r="R25" s="307" t="s">
        <v>148</v>
      </c>
    </row>
    <row r="26" spans="1:18" ht="15.75">
      <c r="A26" s="372" t="s">
        <v>159</v>
      </c>
      <c r="B26" s="303" t="s">
        <v>150</v>
      </c>
      <c r="C26" s="288"/>
      <c r="D26" s="288"/>
      <c r="E26" s="288"/>
      <c r="F26" s="288"/>
      <c r="G26" s="288"/>
      <c r="H26" s="288"/>
      <c r="I26" s="288"/>
      <c r="J26" s="290"/>
      <c r="K26" s="290"/>
      <c r="L26" s="290"/>
      <c r="M26" s="290"/>
      <c r="N26" s="290"/>
      <c r="O26" s="290"/>
      <c r="P26" s="555"/>
      <c r="Q26" s="295" t="s">
        <v>151</v>
      </c>
      <c r="R26" s="304" t="s">
        <v>160</v>
      </c>
    </row>
    <row r="27" spans="1:18" ht="15.75">
      <c r="A27" s="373" t="s">
        <v>143</v>
      </c>
      <c r="B27" s="306"/>
      <c r="C27" s="288">
        <v>100</v>
      </c>
      <c r="D27" s="288">
        <v>99.62</v>
      </c>
      <c r="E27" s="288">
        <v>99.42</v>
      </c>
      <c r="F27" s="288">
        <v>97.01</v>
      </c>
      <c r="G27" s="288">
        <v>125.54</v>
      </c>
      <c r="H27" s="288">
        <v>164.62</v>
      </c>
      <c r="I27" s="288">
        <v>187.92</v>
      </c>
      <c r="J27" s="290">
        <v>229.23542197695613</v>
      </c>
      <c r="K27" s="290">
        <v>355.36603202086042</v>
      </c>
      <c r="L27" s="290">
        <v>336.75779579188065</v>
      </c>
      <c r="M27" s="290">
        <v>283.41438586135592</v>
      </c>
      <c r="N27" s="290">
        <v>250.37893589977256</v>
      </c>
      <c r="O27" s="290">
        <v>206.93559344588982</v>
      </c>
      <c r="P27" s="555"/>
      <c r="Q27" s="296"/>
      <c r="R27" s="307" t="s">
        <v>144</v>
      </c>
    </row>
    <row r="28" spans="1:18" ht="15.75">
      <c r="A28" s="373" t="s">
        <v>145</v>
      </c>
      <c r="B28" s="306"/>
      <c r="C28" s="288">
        <v>100</v>
      </c>
      <c r="D28" s="288">
        <v>105.59</v>
      </c>
      <c r="E28" s="288">
        <v>93.47</v>
      </c>
      <c r="F28" s="288">
        <v>83.57</v>
      </c>
      <c r="G28" s="288">
        <v>60.83</v>
      </c>
      <c r="H28" s="288">
        <v>61.95</v>
      </c>
      <c r="I28" s="288">
        <v>63.16</v>
      </c>
      <c r="J28" s="290">
        <v>42.33884268737097</v>
      </c>
      <c r="K28" s="290">
        <v>24.184150153139196</v>
      </c>
      <c r="L28" s="290">
        <v>21.958972476861309</v>
      </c>
      <c r="M28" s="290">
        <v>21.515517113251057</v>
      </c>
      <c r="N28" s="290">
        <v>34.923705763326069</v>
      </c>
      <c r="O28" s="290">
        <v>33.229242253285335</v>
      </c>
      <c r="P28" s="555"/>
      <c r="Q28" s="296"/>
      <c r="R28" s="307" t="s">
        <v>146</v>
      </c>
    </row>
    <row r="29" spans="1:18" ht="15.75">
      <c r="A29" s="373" t="s">
        <v>147</v>
      </c>
      <c r="B29" s="306"/>
      <c r="C29" s="288">
        <v>100</v>
      </c>
      <c r="D29" s="288">
        <v>105.2</v>
      </c>
      <c r="E29" s="288">
        <v>92.93</v>
      </c>
      <c r="F29" s="288">
        <v>81.069999999999993</v>
      </c>
      <c r="G29" s="288">
        <v>76.37</v>
      </c>
      <c r="H29" s="288">
        <v>101.97</v>
      </c>
      <c r="I29" s="288">
        <v>118.7</v>
      </c>
      <c r="J29" s="290">
        <v>97.055624694554481</v>
      </c>
      <c r="K29" s="290">
        <v>85.94225477717761</v>
      </c>
      <c r="L29" s="290">
        <v>73.948551691623877</v>
      </c>
      <c r="M29" s="290">
        <v>60.978070691415418</v>
      </c>
      <c r="N29" s="290">
        <v>87.441602866983345</v>
      </c>
      <c r="O29" s="290">
        <v>68.763129654408374</v>
      </c>
      <c r="P29" s="555"/>
      <c r="Q29" s="296"/>
      <c r="R29" s="307" t="s">
        <v>148</v>
      </c>
    </row>
    <row r="30" spans="1:18" ht="15.75">
      <c r="A30" s="372" t="s">
        <v>161</v>
      </c>
      <c r="B30" s="303" t="s">
        <v>150</v>
      </c>
      <c r="C30" s="288"/>
      <c r="D30" s="288"/>
      <c r="E30" s="288"/>
      <c r="F30" s="288"/>
      <c r="G30" s="288"/>
      <c r="H30" s="288"/>
      <c r="I30" s="288"/>
      <c r="J30" s="290"/>
      <c r="K30" s="290"/>
      <c r="L30" s="290"/>
      <c r="M30" s="290"/>
      <c r="N30" s="290"/>
      <c r="O30" s="290"/>
      <c r="P30" s="555"/>
      <c r="Q30" s="295" t="s">
        <v>151</v>
      </c>
      <c r="R30" s="304" t="s">
        <v>162</v>
      </c>
    </row>
    <row r="31" spans="1:18" ht="15.75">
      <c r="A31" s="373" t="s">
        <v>143</v>
      </c>
      <c r="B31" s="306"/>
      <c r="C31" s="288">
        <v>100</v>
      </c>
      <c r="D31" s="288">
        <v>99.46</v>
      </c>
      <c r="E31" s="288">
        <v>115.65</v>
      </c>
      <c r="F31" s="288">
        <v>92.29</v>
      </c>
      <c r="G31" s="288">
        <v>84.74</v>
      </c>
      <c r="H31" s="288">
        <v>87.86</v>
      </c>
      <c r="I31" s="288">
        <v>102.12</v>
      </c>
      <c r="J31" s="290">
        <v>119.91852327848139</v>
      </c>
      <c r="K31" s="290">
        <v>269.12512245806738</v>
      </c>
      <c r="L31" s="290">
        <v>295.71569668465372</v>
      </c>
      <c r="M31" s="290">
        <v>280.35016362608866</v>
      </c>
      <c r="N31" s="290">
        <v>344.16273543610828</v>
      </c>
      <c r="O31" s="290">
        <v>360.60789640994278</v>
      </c>
      <c r="P31" s="555"/>
      <c r="Q31" s="296"/>
      <c r="R31" s="307" t="s">
        <v>144</v>
      </c>
    </row>
    <row r="32" spans="1:18" ht="15.75">
      <c r="A32" s="373" t="s">
        <v>145</v>
      </c>
      <c r="B32" s="306"/>
      <c r="C32" s="288">
        <v>100</v>
      </c>
      <c r="D32" s="288">
        <v>101.36</v>
      </c>
      <c r="E32" s="288">
        <v>108.05</v>
      </c>
      <c r="F32" s="288">
        <v>88.48</v>
      </c>
      <c r="G32" s="288">
        <v>84.2</v>
      </c>
      <c r="H32" s="288">
        <v>101.86</v>
      </c>
      <c r="I32" s="288">
        <v>91.64</v>
      </c>
      <c r="J32" s="290">
        <v>54.687601913911855</v>
      </c>
      <c r="K32" s="290">
        <v>26.994191649375921</v>
      </c>
      <c r="L32" s="290">
        <v>20.973207542550377</v>
      </c>
      <c r="M32" s="290">
        <v>19.514007969779986</v>
      </c>
      <c r="N32" s="290">
        <v>21.304784486719125</v>
      </c>
      <c r="O32" s="290">
        <v>24.109072910329441</v>
      </c>
      <c r="P32" s="555"/>
      <c r="Q32" s="296"/>
      <c r="R32" s="307" t="s">
        <v>146</v>
      </c>
    </row>
    <row r="33" spans="1:19" ht="15.75">
      <c r="A33" s="373" t="s">
        <v>147</v>
      </c>
      <c r="B33" s="306"/>
      <c r="C33" s="288">
        <v>100</v>
      </c>
      <c r="D33" s="288">
        <v>100.81</v>
      </c>
      <c r="E33" s="288">
        <v>124.95</v>
      </c>
      <c r="F33" s="288">
        <v>81.66</v>
      </c>
      <c r="G33" s="288">
        <v>71.349999999999994</v>
      </c>
      <c r="H33" s="288">
        <v>89.5</v>
      </c>
      <c r="I33" s="288">
        <v>93.58</v>
      </c>
      <c r="J33" s="290">
        <v>65.580564631577616</v>
      </c>
      <c r="K33" s="290">
        <v>72.648151332948345</v>
      </c>
      <c r="L33" s="290">
        <v>62.021066801571187</v>
      </c>
      <c r="M33" s="290">
        <v>54.707553273286166</v>
      </c>
      <c r="N33" s="290">
        <v>73.323129068260187</v>
      </c>
      <c r="O33" s="290">
        <v>86.939220665878366</v>
      </c>
      <c r="P33" s="555"/>
      <c r="Q33" s="296"/>
      <c r="R33" s="307" t="s">
        <v>148</v>
      </c>
    </row>
    <row r="34" spans="1:19" ht="15.75">
      <c r="A34" s="372" t="s">
        <v>163</v>
      </c>
      <c r="B34" s="303" t="s">
        <v>150</v>
      </c>
      <c r="C34" s="288"/>
      <c r="D34" s="288"/>
      <c r="E34" s="288"/>
      <c r="F34" s="288"/>
      <c r="G34" s="288"/>
      <c r="H34" s="288"/>
      <c r="I34" s="288"/>
      <c r="J34" s="290"/>
      <c r="K34" s="290"/>
      <c r="L34" s="290"/>
      <c r="M34" s="290"/>
      <c r="N34" s="290"/>
      <c r="O34" s="290"/>
      <c r="P34" s="555"/>
      <c r="Q34" s="295" t="s">
        <v>151</v>
      </c>
      <c r="R34" s="304" t="s">
        <v>164</v>
      </c>
      <c r="S34" s="557" t="s">
        <v>317</v>
      </c>
    </row>
    <row r="35" spans="1:19" ht="15.75">
      <c r="A35" s="373" t="s">
        <v>143</v>
      </c>
      <c r="B35" s="306"/>
      <c r="C35" s="288">
        <v>100</v>
      </c>
      <c r="D35" s="288">
        <v>115.99</v>
      </c>
      <c r="E35" s="288">
        <v>84.79</v>
      </c>
      <c r="F35" s="288">
        <v>56.8</v>
      </c>
      <c r="G35" s="288">
        <v>55.07</v>
      </c>
      <c r="H35" s="288">
        <v>36.159999999999997</v>
      </c>
      <c r="I35" s="288">
        <v>21.3</v>
      </c>
      <c r="J35" s="290">
        <v>21.360538314953502</v>
      </c>
      <c r="K35" s="290">
        <v>21.084774055973092</v>
      </c>
      <c r="L35" s="290">
        <v>36.600229979402989</v>
      </c>
      <c r="M35" s="290">
        <v>31.547101285301132</v>
      </c>
      <c r="N35" s="290">
        <v>35.89080670167175</v>
      </c>
      <c r="O35" s="290">
        <v>22.703599252412374</v>
      </c>
      <c r="P35" s="555"/>
      <c r="Q35" s="296"/>
      <c r="R35" s="307" t="s">
        <v>144</v>
      </c>
    </row>
    <row r="36" spans="1:19" ht="15.75">
      <c r="A36" s="373" t="s">
        <v>145</v>
      </c>
      <c r="B36" s="306"/>
      <c r="C36" s="288">
        <v>100</v>
      </c>
      <c r="D36" s="288">
        <v>64.48</v>
      </c>
      <c r="E36" s="288">
        <v>48.27</v>
      </c>
      <c r="F36" s="288">
        <v>62.07</v>
      </c>
      <c r="G36" s="288">
        <v>46.15</v>
      </c>
      <c r="H36" s="288">
        <v>34.479999999999997</v>
      </c>
      <c r="I36" s="288">
        <v>114.85</v>
      </c>
      <c r="J36" s="290">
        <v>176.65482602663127</v>
      </c>
      <c r="K36" s="290">
        <v>128.04945275260553</v>
      </c>
      <c r="L36" s="290">
        <v>66.163204190345198</v>
      </c>
      <c r="M36" s="290">
        <v>45.320949638738718</v>
      </c>
      <c r="N36" s="290">
        <v>63.130202365637935</v>
      </c>
      <c r="O36" s="290">
        <v>65.147915538354553</v>
      </c>
      <c r="P36" s="555"/>
      <c r="Q36" s="296"/>
      <c r="R36" s="307" t="s">
        <v>146</v>
      </c>
    </row>
    <row r="37" spans="1:19" ht="15.75">
      <c r="A37" s="373" t="s">
        <v>147</v>
      </c>
      <c r="B37" s="306"/>
      <c r="C37" s="288">
        <v>100</v>
      </c>
      <c r="D37" s="288">
        <v>74.8</v>
      </c>
      <c r="E37" s="288">
        <v>40.93</v>
      </c>
      <c r="F37" s="288">
        <v>35.25</v>
      </c>
      <c r="G37" s="288">
        <v>25.42</v>
      </c>
      <c r="H37" s="288">
        <v>12.47</v>
      </c>
      <c r="I37" s="288">
        <v>24.47</v>
      </c>
      <c r="J37" s="290">
        <v>37.734421798633022</v>
      </c>
      <c r="K37" s="290">
        <v>26.998937792796895</v>
      </c>
      <c r="L37" s="290">
        <v>24.215884895408337</v>
      </c>
      <c r="M37" s="290">
        <v>14.29744588599322</v>
      </c>
      <c r="N37" s="290">
        <v>22.657938901425318</v>
      </c>
      <c r="O37" s="290">
        <v>14.79092166512811</v>
      </c>
      <c r="P37" s="555"/>
      <c r="Q37" s="296"/>
      <c r="R37" s="307" t="s">
        <v>148</v>
      </c>
    </row>
    <row r="38" spans="1:19" ht="15.75">
      <c r="A38" s="372" t="s">
        <v>165</v>
      </c>
      <c r="B38" s="303" t="s">
        <v>150</v>
      </c>
      <c r="C38" s="288"/>
      <c r="D38" s="288"/>
      <c r="E38" s="288"/>
      <c r="F38" s="288"/>
      <c r="G38" s="288"/>
      <c r="H38" s="288"/>
      <c r="I38" s="288"/>
      <c r="J38" s="290"/>
      <c r="K38" s="290"/>
      <c r="L38" s="290"/>
      <c r="M38" s="290"/>
      <c r="N38" s="290"/>
      <c r="O38" s="290"/>
      <c r="P38" s="555"/>
      <c r="Q38" s="295" t="s">
        <v>151</v>
      </c>
      <c r="R38" s="304" t="s">
        <v>166</v>
      </c>
    </row>
    <row r="39" spans="1:19" ht="15.75">
      <c r="A39" s="373" t="s">
        <v>143</v>
      </c>
      <c r="B39" s="306"/>
      <c r="C39" s="288">
        <v>100</v>
      </c>
      <c r="D39" s="288">
        <v>112.52</v>
      </c>
      <c r="E39" s="288">
        <v>129.24</v>
      </c>
      <c r="F39" s="288">
        <v>156.35</v>
      </c>
      <c r="G39" s="288">
        <v>191.01</v>
      </c>
      <c r="H39" s="288">
        <v>189.14</v>
      </c>
      <c r="I39" s="288">
        <v>229.73</v>
      </c>
      <c r="J39" s="290">
        <v>313.38697934660706</v>
      </c>
      <c r="K39" s="290">
        <v>355.90662566259073</v>
      </c>
      <c r="L39" s="290">
        <v>374.28209444114225</v>
      </c>
      <c r="M39" s="290">
        <v>327.35248912037594</v>
      </c>
      <c r="N39" s="290">
        <v>253.06079151779585</v>
      </c>
      <c r="O39" s="290">
        <v>270.1048867885616</v>
      </c>
      <c r="P39" s="555"/>
      <c r="Q39" s="296"/>
      <c r="R39" s="307" t="s">
        <v>144</v>
      </c>
    </row>
    <row r="40" spans="1:19" ht="15.75">
      <c r="A40" s="373" t="s">
        <v>145</v>
      </c>
      <c r="B40" s="306"/>
      <c r="C40" s="288">
        <v>100</v>
      </c>
      <c r="D40" s="288">
        <v>98.12</v>
      </c>
      <c r="E40" s="288">
        <v>64.27</v>
      </c>
      <c r="F40" s="288">
        <v>50.1</v>
      </c>
      <c r="G40" s="288">
        <v>26.38</v>
      </c>
      <c r="H40" s="288">
        <v>25.08</v>
      </c>
      <c r="I40" s="288">
        <v>18.41</v>
      </c>
      <c r="J40" s="290">
        <v>19.897529999109718</v>
      </c>
      <c r="K40" s="290">
        <v>28.039624197076119</v>
      </c>
      <c r="L40" s="290">
        <v>32.01013706086723</v>
      </c>
      <c r="M40" s="290">
        <v>35.076020607371255</v>
      </c>
      <c r="N40" s="290">
        <v>39.623067988240287</v>
      </c>
      <c r="O40" s="290">
        <v>41.266859908661701</v>
      </c>
      <c r="P40" s="555"/>
      <c r="Q40" s="296"/>
      <c r="R40" s="307" t="s">
        <v>146</v>
      </c>
    </row>
    <row r="41" spans="1:19" ht="15.75">
      <c r="A41" s="373" t="s">
        <v>147</v>
      </c>
      <c r="B41" s="306"/>
      <c r="C41" s="288">
        <v>100</v>
      </c>
      <c r="D41" s="288">
        <v>110.4</v>
      </c>
      <c r="E41" s="288">
        <v>83.07</v>
      </c>
      <c r="F41" s="288">
        <v>78.33</v>
      </c>
      <c r="G41" s="288">
        <v>50.39</v>
      </c>
      <c r="H41" s="288">
        <v>47.43</v>
      </c>
      <c r="I41" s="288">
        <v>42.3</v>
      </c>
      <c r="J41" s="290">
        <v>62.35626822879491</v>
      </c>
      <c r="K41" s="290">
        <v>99.794880328284904</v>
      </c>
      <c r="L41" s="290">
        <v>119.80821142489415</v>
      </c>
      <c r="M41" s="290">
        <v>114.8222265426058</v>
      </c>
      <c r="N41" s="290">
        <v>100.27044947467525</v>
      </c>
      <c r="O41" s="290">
        <v>111.463805237485</v>
      </c>
      <c r="P41" s="555"/>
      <c r="Q41" s="296"/>
      <c r="R41" s="307" t="s">
        <v>148</v>
      </c>
    </row>
    <row r="42" spans="1:19" ht="15.75">
      <c r="A42" s="372" t="s">
        <v>167</v>
      </c>
      <c r="B42" s="303" t="s">
        <v>150</v>
      </c>
      <c r="C42" s="288"/>
      <c r="D42" s="288"/>
      <c r="E42" s="288"/>
      <c r="F42" s="288"/>
      <c r="G42" s="288"/>
      <c r="H42" s="288"/>
      <c r="I42" s="288"/>
      <c r="J42" s="290"/>
      <c r="K42" s="290"/>
      <c r="L42" s="290"/>
      <c r="M42" s="290"/>
      <c r="N42" s="290"/>
      <c r="O42" s="290"/>
      <c r="P42" s="555"/>
      <c r="Q42" s="295" t="s">
        <v>151</v>
      </c>
      <c r="R42" s="304" t="s">
        <v>168</v>
      </c>
    </row>
    <row r="43" spans="1:19" ht="15.75">
      <c r="A43" s="373" t="s">
        <v>143</v>
      </c>
      <c r="B43" s="306"/>
      <c r="C43" s="288">
        <v>100</v>
      </c>
      <c r="D43" s="288">
        <v>104.5</v>
      </c>
      <c r="E43" s="288">
        <v>110.16</v>
      </c>
      <c r="F43" s="288">
        <v>95.78</v>
      </c>
      <c r="G43" s="288">
        <v>142.09</v>
      </c>
      <c r="H43" s="288">
        <v>131.44</v>
      </c>
      <c r="I43" s="288">
        <v>204.48</v>
      </c>
      <c r="J43" s="290">
        <v>158.16861740291546</v>
      </c>
      <c r="K43" s="290">
        <v>166.21566659876092</v>
      </c>
      <c r="L43" s="290">
        <v>152.75162482306195</v>
      </c>
      <c r="M43" s="290">
        <v>168.0764394661314</v>
      </c>
      <c r="N43" s="290">
        <v>272.44084056503641</v>
      </c>
      <c r="O43" s="290">
        <v>148.02372628554127</v>
      </c>
      <c r="P43" s="555"/>
      <c r="Q43" s="296"/>
      <c r="R43" s="307" t="s">
        <v>144</v>
      </c>
    </row>
    <row r="44" spans="1:19" ht="15.75">
      <c r="A44" s="373" t="s">
        <v>145</v>
      </c>
      <c r="B44" s="306"/>
      <c r="C44" s="288">
        <v>100</v>
      </c>
      <c r="D44" s="288">
        <v>125.74</v>
      </c>
      <c r="E44" s="288">
        <v>122.79</v>
      </c>
      <c r="F44" s="288">
        <v>93.7</v>
      </c>
      <c r="G44" s="288">
        <v>62.09</v>
      </c>
      <c r="H44" s="288">
        <v>58.42</v>
      </c>
      <c r="I44" s="288">
        <v>33.65</v>
      </c>
      <c r="J44" s="290">
        <v>34.848666666666666</v>
      </c>
      <c r="K44" s="290">
        <v>34.378125000000004</v>
      </c>
      <c r="L44" s="290">
        <v>51.366266666666661</v>
      </c>
      <c r="M44" s="290">
        <v>58.36095000000001</v>
      </c>
      <c r="N44" s="290">
        <v>60.891999999999989</v>
      </c>
      <c r="O44" s="290">
        <v>89.895250000000004</v>
      </c>
      <c r="P44" s="555"/>
      <c r="Q44" s="296"/>
      <c r="R44" s="307" t="s">
        <v>146</v>
      </c>
    </row>
    <row r="45" spans="1:19" ht="15.75">
      <c r="A45" s="376" t="s">
        <v>147</v>
      </c>
      <c r="B45" s="310"/>
      <c r="C45" s="291">
        <v>100</v>
      </c>
      <c r="D45" s="291">
        <v>131.4</v>
      </c>
      <c r="E45" s="291">
        <v>135.27000000000001</v>
      </c>
      <c r="F45" s="291">
        <v>89.75</v>
      </c>
      <c r="G45" s="291">
        <v>88.23</v>
      </c>
      <c r="H45" s="291">
        <v>76.78</v>
      </c>
      <c r="I45" s="291">
        <v>68.8</v>
      </c>
      <c r="J45" s="292">
        <v>55.119654250017334</v>
      </c>
      <c r="K45" s="292">
        <v>57.141829632905285</v>
      </c>
      <c r="L45" s="292">
        <v>78.462806944280189</v>
      </c>
      <c r="M45" s="292">
        <v>98.091006798609243</v>
      </c>
      <c r="N45" s="292">
        <v>165.89467663686193</v>
      </c>
      <c r="O45" s="292">
        <v>133.06629880370301</v>
      </c>
      <c r="P45" s="556"/>
      <c r="Q45" s="294"/>
      <c r="R45" s="311" t="s">
        <v>148</v>
      </c>
    </row>
    <row r="46" spans="1:19">
      <c r="A46" s="312" t="s">
        <v>169</v>
      </c>
      <c r="B46" s="321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15"/>
      <c r="P46" s="315"/>
      <c r="Q46" s="377"/>
      <c r="R46" s="377"/>
    </row>
    <row r="47" spans="1:19" ht="17.25">
      <c r="A47" s="381" t="s">
        <v>108</v>
      </c>
      <c r="B47" s="314"/>
      <c r="C47" s="378"/>
      <c r="D47" s="378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6"/>
      <c r="P47" s="316"/>
      <c r="Q47" s="379"/>
      <c r="R47" s="380" t="s">
        <v>109</v>
      </c>
    </row>
    <row r="48" spans="1:19" ht="15">
      <c r="A48" s="316" t="s">
        <v>170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20"/>
      <c r="P48" s="320"/>
      <c r="Q48" s="317"/>
      <c r="R48" s="318" t="s">
        <v>171</v>
      </c>
    </row>
    <row r="49" spans="1:19">
      <c r="A49" s="300"/>
      <c r="B49" s="319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3"/>
      <c r="P49" s="323"/>
      <c r="Q49" s="317"/>
      <c r="R49" s="317"/>
      <c r="S49" s="301"/>
    </row>
    <row r="50" spans="1:19">
      <c r="A50" s="313"/>
      <c r="B50" s="322"/>
      <c r="C50" s="323"/>
      <c r="D50" s="323"/>
      <c r="E50" s="323"/>
      <c r="F50" s="323"/>
      <c r="G50" s="323"/>
      <c r="H50" s="323"/>
      <c r="I50" s="323"/>
      <c r="J50" s="323"/>
      <c r="K50" s="323"/>
      <c r="L50" s="323"/>
      <c r="M50" s="323"/>
      <c r="N50" s="323"/>
      <c r="Q50" s="299"/>
      <c r="R50" s="299"/>
      <c r="S50" s="321"/>
    </row>
    <row r="51" spans="1:19">
      <c r="A51" s="322"/>
      <c r="B51" s="322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299"/>
      <c r="R51" s="299"/>
      <c r="S51" s="324"/>
    </row>
    <row r="52" spans="1:19">
      <c r="A52" s="300"/>
      <c r="B52" s="300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325"/>
    </row>
    <row r="53" spans="1:19">
      <c r="A53" s="300"/>
      <c r="B53" s="300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317"/>
    </row>
  </sheetData>
  <mergeCells count="4">
    <mergeCell ref="A1:R1"/>
    <mergeCell ref="A2:R2"/>
    <mergeCell ref="A3:R3"/>
    <mergeCell ref="A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70"/>
  <sheetViews>
    <sheetView topLeftCell="G10" workbookViewId="0">
      <selection activeCell="V13" sqref="V13"/>
    </sheetView>
  </sheetViews>
  <sheetFormatPr defaultRowHeight="12.75"/>
  <cols>
    <col min="1" max="1" width="34.28515625" style="4" customWidth="1"/>
    <col min="2" max="2" width="18.140625" style="4" customWidth="1"/>
    <col min="3" max="14" width="9.140625" style="4"/>
    <col min="15" max="15" width="13.42578125" style="4" customWidth="1"/>
    <col min="16" max="16" width="24.85546875" style="4" customWidth="1"/>
    <col min="17" max="16384" width="9.140625" style="4"/>
  </cols>
  <sheetData>
    <row r="1" spans="1:22" ht="18">
      <c r="A1" s="669" t="s">
        <v>320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297"/>
      <c r="R1" s="297"/>
      <c r="S1" s="297"/>
      <c r="T1" s="326"/>
      <c r="U1" s="326"/>
      <c r="V1" s="326"/>
    </row>
    <row r="2" spans="1:22" ht="15">
      <c r="A2" s="670" t="s">
        <v>321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327" t="s">
        <v>172</v>
      </c>
      <c r="R2" s="328"/>
      <c r="S2" s="328"/>
      <c r="T2" s="329"/>
      <c r="U2" s="329"/>
      <c r="V2" s="329"/>
    </row>
    <row r="3" spans="1:22" ht="15.75">
      <c r="A3" s="382" t="s">
        <v>173</v>
      </c>
      <c r="B3" s="382" t="s">
        <v>136</v>
      </c>
      <c r="C3" s="383">
        <v>2006</v>
      </c>
      <c r="D3" s="384">
        <v>2007</v>
      </c>
      <c r="E3" s="383">
        <v>2008</v>
      </c>
      <c r="F3" s="384">
        <v>2009</v>
      </c>
      <c r="G3" s="383">
        <v>2010</v>
      </c>
      <c r="H3" s="383">
        <v>2011</v>
      </c>
      <c r="I3" s="383">
        <v>2012</v>
      </c>
      <c r="J3" s="383">
        <v>2013</v>
      </c>
      <c r="K3" s="383">
        <v>2014</v>
      </c>
      <c r="L3" s="383">
        <v>2015</v>
      </c>
      <c r="M3" s="383">
        <v>2016</v>
      </c>
      <c r="N3" s="383">
        <v>2017</v>
      </c>
      <c r="O3" s="385" t="s">
        <v>137</v>
      </c>
      <c r="P3" s="385" t="s">
        <v>138</v>
      </c>
      <c r="Q3" s="386"/>
      <c r="R3" s="387"/>
      <c r="S3" s="387"/>
      <c r="T3" s="387"/>
      <c r="U3" s="387"/>
      <c r="V3" s="387"/>
    </row>
    <row r="4" spans="1:22" ht="16.5" customHeight="1">
      <c r="A4" s="331" t="s">
        <v>174</v>
      </c>
      <c r="B4" s="332"/>
      <c r="C4" s="332"/>
      <c r="D4" s="333"/>
      <c r="E4" s="333"/>
      <c r="F4" s="334"/>
      <c r="G4" s="335"/>
      <c r="H4" s="335"/>
      <c r="I4" s="335"/>
      <c r="J4" s="335"/>
      <c r="K4" s="335"/>
      <c r="L4" s="335"/>
      <c r="M4" s="335"/>
      <c r="N4" s="335"/>
      <c r="O4" s="328"/>
      <c r="P4" s="336" t="s">
        <v>175</v>
      </c>
      <c r="Q4" s="337"/>
      <c r="R4" s="328"/>
      <c r="S4" s="328"/>
      <c r="T4" s="328"/>
      <c r="U4" s="328"/>
      <c r="V4" s="328"/>
    </row>
    <row r="5" spans="1:22" ht="16.5" customHeight="1">
      <c r="A5" s="305" t="s">
        <v>139</v>
      </c>
      <c r="B5" s="338" t="s">
        <v>176</v>
      </c>
      <c r="C5" s="339">
        <v>436.87900000000002</v>
      </c>
      <c r="D5" s="339">
        <v>427.09812000000005</v>
      </c>
      <c r="E5" s="339">
        <v>408.767</v>
      </c>
      <c r="F5" s="339">
        <v>453.50799999999998</v>
      </c>
      <c r="G5" s="339">
        <v>465.822</v>
      </c>
      <c r="H5" s="339">
        <v>456.48399999999998</v>
      </c>
      <c r="I5" s="339">
        <v>410.78899999999999</v>
      </c>
      <c r="J5" s="339">
        <v>386.95528999999999</v>
      </c>
      <c r="K5" s="339">
        <v>478.12015000000002</v>
      </c>
      <c r="L5" s="339">
        <v>581.58699999999999</v>
      </c>
      <c r="M5" s="339">
        <v>516.69949999999994</v>
      </c>
      <c r="N5" s="558"/>
      <c r="O5" s="340" t="s">
        <v>189</v>
      </c>
      <c r="P5" s="341" t="s">
        <v>142</v>
      </c>
      <c r="Q5" s="342"/>
      <c r="R5" s="328"/>
      <c r="S5" s="328"/>
      <c r="T5" s="328"/>
      <c r="U5" s="328"/>
      <c r="V5" s="328"/>
    </row>
    <row r="6" spans="1:22" ht="16.5" customHeight="1">
      <c r="A6" s="305" t="s">
        <v>149</v>
      </c>
      <c r="B6" s="343" t="s">
        <v>178</v>
      </c>
      <c r="C6" s="339">
        <v>8983.9120299999995</v>
      </c>
      <c r="D6" s="339">
        <v>7547.9196700000011</v>
      </c>
      <c r="E6" s="339">
        <v>6919.5571900000004</v>
      </c>
      <c r="F6" s="339">
        <v>4408.2638200000001</v>
      </c>
      <c r="G6" s="339">
        <v>2813.9205000000002</v>
      </c>
      <c r="H6" s="339">
        <v>8514.1867200000015</v>
      </c>
      <c r="I6" s="339">
        <v>11247.830820000001</v>
      </c>
      <c r="J6" s="339">
        <v>8541.9091599999992</v>
      </c>
      <c r="K6" s="339">
        <v>9790.6955899999994</v>
      </c>
      <c r="L6" s="339">
        <v>11100.305450000002</v>
      </c>
      <c r="M6" s="339">
        <v>10962.946209999996</v>
      </c>
      <c r="N6" s="558"/>
      <c r="O6" s="340" t="s">
        <v>151</v>
      </c>
      <c r="P6" s="341" t="s">
        <v>152</v>
      </c>
      <c r="Q6" s="342"/>
      <c r="R6" s="328"/>
      <c r="S6" s="328"/>
      <c r="T6" s="328"/>
      <c r="U6" s="328"/>
      <c r="V6" s="328"/>
    </row>
    <row r="7" spans="1:22" ht="16.5" customHeight="1">
      <c r="A7" s="305" t="s">
        <v>153</v>
      </c>
      <c r="B7" s="343" t="s">
        <v>178</v>
      </c>
      <c r="C7" s="339">
        <v>316.40130999999997</v>
      </c>
      <c r="D7" s="339">
        <v>317.36549000000002</v>
      </c>
      <c r="E7" s="339">
        <v>340.10084000000001</v>
      </c>
      <c r="F7" s="339">
        <v>470.02715999999998</v>
      </c>
      <c r="G7" s="339">
        <v>550.22301999999991</v>
      </c>
      <c r="H7" s="339">
        <v>716.72269999999992</v>
      </c>
      <c r="I7" s="339">
        <v>863.4790099999999</v>
      </c>
      <c r="J7" s="339">
        <v>666.13301000000001</v>
      </c>
      <c r="K7" s="339">
        <v>907.0060299999999</v>
      </c>
      <c r="L7" s="339">
        <v>907.85700999999995</v>
      </c>
      <c r="M7" s="339">
        <v>997.14443999999969</v>
      </c>
      <c r="N7" s="558"/>
      <c r="O7" s="340" t="s">
        <v>151</v>
      </c>
      <c r="P7" s="341" t="s">
        <v>154</v>
      </c>
      <c r="Q7" s="342"/>
      <c r="R7" s="328"/>
      <c r="S7" s="328"/>
      <c r="T7" s="328"/>
      <c r="U7" s="328"/>
      <c r="V7" s="328"/>
    </row>
    <row r="8" spans="1:22" ht="16.5" customHeight="1">
      <c r="A8" s="305" t="s">
        <v>179</v>
      </c>
      <c r="B8" s="343" t="s">
        <v>178</v>
      </c>
      <c r="C8" s="339">
        <v>86039.291489999989</v>
      </c>
      <c r="D8" s="339">
        <v>46312.365239999999</v>
      </c>
      <c r="E8" s="339">
        <v>49346.838830000001</v>
      </c>
      <c r="F8" s="339">
        <v>26246.350129999995</v>
      </c>
      <c r="G8" s="339">
        <v>22380.567569999999</v>
      </c>
      <c r="H8" s="339">
        <v>23392.052780000002</v>
      </c>
      <c r="I8" s="339">
        <v>24169.037379999998</v>
      </c>
      <c r="J8" s="339">
        <v>36114.67757</v>
      </c>
      <c r="K8" s="339">
        <v>32935.699370000002</v>
      </c>
      <c r="L8" s="339">
        <v>25430.312620000004</v>
      </c>
      <c r="M8" s="339">
        <v>28286.218990000001</v>
      </c>
      <c r="N8" s="558"/>
      <c r="O8" s="340" t="s">
        <v>151</v>
      </c>
      <c r="P8" s="341" t="s">
        <v>156</v>
      </c>
      <c r="Q8" s="342"/>
      <c r="R8" s="344"/>
      <c r="S8" s="344"/>
      <c r="T8" s="344"/>
      <c r="U8" s="344"/>
      <c r="V8" s="344"/>
    </row>
    <row r="9" spans="1:22" ht="16.5" customHeight="1">
      <c r="A9" s="338" t="s">
        <v>180</v>
      </c>
      <c r="B9" s="343" t="s">
        <v>178</v>
      </c>
      <c r="C9" s="339">
        <v>71.619140000000002</v>
      </c>
      <c r="D9" s="339">
        <v>17.009</v>
      </c>
      <c r="E9" s="339">
        <v>4.9130000000000003</v>
      </c>
      <c r="F9" s="339">
        <v>6.5189400000000006</v>
      </c>
      <c r="G9" s="339">
        <v>27.859590000000001</v>
      </c>
      <c r="H9" s="339">
        <v>50.911139999999996</v>
      </c>
      <c r="I9" s="339">
        <v>55.003190000000004</v>
      </c>
      <c r="J9" s="339">
        <v>2</v>
      </c>
      <c r="K9" s="339">
        <v>53.264809999999997</v>
      </c>
      <c r="L9" s="339">
        <v>217.88239999999999</v>
      </c>
      <c r="M9" s="339">
        <v>349.14100000000002</v>
      </c>
      <c r="N9" s="558"/>
      <c r="O9" s="340" t="s">
        <v>151</v>
      </c>
      <c r="P9" s="341" t="s">
        <v>158</v>
      </c>
      <c r="Q9" s="342"/>
      <c r="R9" s="344"/>
      <c r="S9" s="344"/>
      <c r="T9" s="344"/>
      <c r="U9" s="344"/>
      <c r="V9" s="344"/>
    </row>
    <row r="10" spans="1:22" ht="16.5" customHeight="1">
      <c r="A10" s="305" t="s">
        <v>159</v>
      </c>
      <c r="B10" s="343" t="s">
        <v>178</v>
      </c>
      <c r="C10" s="339">
        <v>5706.9743699999999</v>
      </c>
      <c r="D10" s="339">
        <v>5102.0521900000003</v>
      </c>
      <c r="E10" s="339">
        <v>3714.04385</v>
      </c>
      <c r="F10" s="339">
        <v>3782.0158300000003</v>
      </c>
      <c r="G10" s="339">
        <v>3856.4823899999997</v>
      </c>
      <c r="H10" s="339">
        <v>2584.9610699999998</v>
      </c>
      <c r="I10" s="339">
        <v>1476.5421699999999</v>
      </c>
      <c r="J10" s="339">
        <v>1340.6858900000002</v>
      </c>
      <c r="K10" s="339">
        <v>1313.6111100000001</v>
      </c>
      <c r="L10" s="339">
        <v>2132.2363600000003</v>
      </c>
      <c r="M10" s="339">
        <v>2028.7823700000001</v>
      </c>
      <c r="N10" s="558"/>
      <c r="O10" s="340" t="s">
        <v>151</v>
      </c>
      <c r="P10" s="341" t="s">
        <v>160</v>
      </c>
      <c r="Q10" s="342"/>
      <c r="R10" s="328"/>
      <c r="S10" s="328"/>
      <c r="T10" s="328"/>
      <c r="U10" s="328"/>
      <c r="V10" s="328"/>
    </row>
    <row r="11" spans="1:22" ht="16.5" customHeight="1">
      <c r="A11" s="305" t="s">
        <v>161</v>
      </c>
      <c r="B11" s="343" t="s">
        <v>178</v>
      </c>
      <c r="C11" s="339">
        <v>2910.0416700000001</v>
      </c>
      <c r="D11" s="339">
        <v>2383.1471000000001</v>
      </c>
      <c r="E11" s="339">
        <v>2267.7565099999997</v>
      </c>
      <c r="F11" s="339">
        <v>2743.36717</v>
      </c>
      <c r="G11" s="339">
        <v>2468.0761400000001</v>
      </c>
      <c r="H11" s="339">
        <v>1472.89923</v>
      </c>
      <c r="I11" s="339">
        <v>727.03359999999998</v>
      </c>
      <c r="J11" s="339">
        <v>564.87065000000007</v>
      </c>
      <c r="K11" s="339">
        <v>525.57007999999985</v>
      </c>
      <c r="L11" s="339">
        <v>573.80100000000004</v>
      </c>
      <c r="M11" s="339">
        <v>649.3288</v>
      </c>
      <c r="N11" s="558"/>
      <c r="O11" s="340" t="s">
        <v>151</v>
      </c>
      <c r="P11" s="341" t="s">
        <v>162</v>
      </c>
      <c r="Q11" s="342"/>
      <c r="R11" s="328"/>
      <c r="S11" s="328"/>
      <c r="T11" s="328"/>
      <c r="U11" s="328"/>
      <c r="V11" s="328"/>
    </row>
    <row r="12" spans="1:22" ht="16.5" customHeight="1">
      <c r="A12" s="305" t="s">
        <v>181</v>
      </c>
      <c r="B12" s="343" t="s">
        <v>178</v>
      </c>
      <c r="C12" s="339">
        <v>87.873750000000015</v>
      </c>
      <c r="D12" s="339">
        <v>113.00209999999998</v>
      </c>
      <c r="E12" s="339">
        <v>84.01491</v>
      </c>
      <c r="F12" s="339">
        <v>62.775010000000002</v>
      </c>
      <c r="G12" s="339">
        <v>209.09308000000001</v>
      </c>
      <c r="H12" s="339">
        <v>321.61177000000004</v>
      </c>
      <c r="I12" s="339">
        <v>233.12248000000002</v>
      </c>
      <c r="J12" s="339">
        <v>120.45448</v>
      </c>
      <c r="K12" s="339">
        <v>82.509779999999992</v>
      </c>
      <c r="L12" s="339">
        <v>114.9327</v>
      </c>
      <c r="M12" s="339">
        <v>118.60607999999999</v>
      </c>
      <c r="N12" s="558"/>
      <c r="O12" s="340" t="s">
        <v>151</v>
      </c>
      <c r="P12" s="341" t="s">
        <v>182</v>
      </c>
      <c r="Q12" s="342"/>
      <c r="R12" s="328"/>
      <c r="S12" s="328"/>
      <c r="T12" s="328"/>
      <c r="U12" s="328"/>
      <c r="V12" s="328"/>
    </row>
    <row r="13" spans="1:22" ht="16.5" customHeight="1">
      <c r="A13" s="305" t="s">
        <v>165</v>
      </c>
      <c r="B13" s="343" t="s">
        <v>178</v>
      </c>
      <c r="C13" s="339">
        <v>4727.1360000000004</v>
      </c>
      <c r="D13" s="339">
        <v>3684.5147999999999</v>
      </c>
      <c r="E13" s="339">
        <v>1940.2053500000002</v>
      </c>
      <c r="F13" s="339">
        <v>1844.23631</v>
      </c>
      <c r="G13" s="339">
        <v>1354.0988</v>
      </c>
      <c r="H13" s="339">
        <v>1463.3855500000002</v>
      </c>
      <c r="I13" s="339">
        <v>2062.2047499999999</v>
      </c>
      <c r="J13" s="339">
        <v>2354.2204499999998</v>
      </c>
      <c r="K13" s="339">
        <v>2579.7041999999997</v>
      </c>
      <c r="L13" s="339">
        <v>2914.12176</v>
      </c>
      <c r="M13" s="339">
        <v>3035.0162299999997</v>
      </c>
      <c r="N13" s="558"/>
      <c r="O13" s="340" t="s">
        <v>151</v>
      </c>
      <c r="P13" s="341" t="s">
        <v>166</v>
      </c>
      <c r="Q13" s="342"/>
      <c r="R13" s="328"/>
      <c r="S13" s="328"/>
      <c r="T13" s="328"/>
      <c r="U13" s="328"/>
      <c r="V13" s="328"/>
    </row>
    <row r="14" spans="1:22" ht="16.5" customHeight="1">
      <c r="A14" s="305" t="s">
        <v>167</v>
      </c>
      <c r="B14" s="343" t="s">
        <v>178</v>
      </c>
      <c r="C14" s="339">
        <v>2946.9270000000001</v>
      </c>
      <c r="D14" s="339">
        <v>2248.73641</v>
      </c>
      <c r="E14" s="339">
        <v>1490.2750000000001</v>
      </c>
      <c r="F14" s="339">
        <v>1402</v>
      </c>
      <c r="G14" s="339">
        <v>807.52565000000004</v>
      </c>
      <c r="H14" s="339">
        <v>836.36800000000005</v>
      </c>
      <c r="I14" s="339">
        <v>825.07500000000005</v>
      </c>
      <c r="J14" s="339">
        <v>1232.7903999999999</v>
      </c>
      <c r="K14" s="339">
        <v>1400.6628000000001</v>
      </c>
      <c r="L14" s="339">
        <v>1461.4079999999999</v>
      </c>
      <c r="M14" s="339">
        <v>2157.4859999999999</v>
      </c>
      <c r="N14" s="558"/>
      <c r="O14" s="340" t="s">
        <v>151</v>
      </c>
      <c r="P14" s="341" t="s">
        <v>168</v>
      </c>
      <c r="Q14" s="342"/>
      <c r="R14" s="328"/>
      <c r="S14" s="328"/>
      <c r="T14" s="328"/>
      <c r="U14" s="328"/>
      <c r="V14" s="328"/>
    </row>
    <row r="15" spans="1:22" ht="16.5" customHeight="1">
      <c r="A15" s="331" t="s">
        <v>183</v>
      </c>
      <c r="B15" s="343"/>
      <c r="C15" s="339"/>
      <c r="D15" s="339"/>
      <c r="E15" s="339"/>
      <c r="F15" s="339"/>
      <c r="G15" s="339"/>
      <c r="H15" s="339"/>
      <c r="I15" s="339"/>
      <c r="J15" s="339"/>
      <c r="K15" s="339"/>
      <c r="L15" s="339"/>
      <c r="M15" s="339"/>
      <c r="N15" s="558"/>
      <c r="O15" s="345"/>
      <c r="P15" s="336" t="s">
        <v>184</v>
      </c>
      <c r="Q15" s="330"/>
      <c r="R15" s="328"/>
      <c r="S15" s="328"/>
      <c r="T15" s="328"/>
      <c r="U15" s="328"/>
      <c r="V15" s="328"/>
    </row>
    <row r="16" spans="1:22" ht="16.5" customHeight="1">
      <c r="A16" s="305" t="s">
        <v>139</v>
      </c>
      <c r="B16" s="346"/>
      <c r="C16" s="339">
        <v>1478.2465804687497</v>
      </c>
      <c r="D16" s="339">
        <v>1087.3224968749998</v>
      </c>
      <c r="E16" s="339">
        <v>1440.8251984375001</v>
      </c>
      <c r="F16" s="339">
        <v>1323.8582421874999</v>
      </c>
      <c r="G16" s="339">
        <v>1418.6059578124996</v>
      </c>
      <c r="H16" s="339">
        <v>1256.1843919011669</v>
      </c>
      <c r="I16" s="339">
        <v>1221.8501342412453</v>
      </c>
      <c r="J16" s="339">
        <v>1000.1542418936446</v>
      </c>
      <c r="K16" s="339">
        <v>1107.0068929961089</v>
      </c>
      <c r="L16" s="339">
        <v>1258.960978599222</v>
      </c>
      <c r="M16" s="339">
        <v>1074.0808197146562</v>
      </c>
      <c r="N16" s="558"/>
      <c r="O16" s="328"/>
      <c r="P16" s="341" t="s">
        <v>142</v>
      </c>
      <c r="Q16" s="347"/>
      <c r="R16" s="328"/>
      <c r="S16" s="328"/>
      <c r="T16" s="328"/>
      <c r="U16" s="328"/>
      <c r="V16" s="328"/>
    </row>
    <row r="17" spans="1:18" ht="16.5" customHeight="1">
      <c r="A17" s="305" t="s">
        <v>149</v>
      </c>
      <c r="B17" s="338"/>
      <c r="C17" s="339">
        <v>34339.832071874996</v>
      </c>
      <c r="D17" s="339">
        <v>30768.785630468745</v>
      </c>
      <c r="E17" s="339">
        <v>32642.899294531253</v>
      </c>
      <c r="F17" s="339">
        <v>25361.960815624996</v>
      </c>
      <c r="G17" s="339">
        <v>20953.458407031252</v>
      </c>
      <c r="H17" s="339">
        <v>53419.191272477685</v>
      </c>
      <c r="I17" s="339">
        <v>74083.87615175097</v>
      </c>
      <c r="J17" s="339">
        <v>59474.741646562907</v>
      </c>
      <c r="K17" s="339">
        <v>60974.151919584954</v>
      </c>
      <c r="L17" s="339">
        <v>69662.939436446162</v>
      </c>
      <c r="M17" s="339">
        <v>59102.264158236023</v>
      </c>
      <c r="N17" s="558"/>
      <c r="O17" s="328"/>
      <c r="P17" s="341" t="s">
        <v>152</v>
      </c>
      <c r="Q17" s="347"/>
      <c r="R17" s="328"/>
    </row>
    <row r="18" spans="1:18" ht="16.5" customHeight="1">
      <c r="A18" s="305" t="s">
        <v>153</v>
      </c>
      <c r="B18" s="328"/>
      <c r="C18" s="339">
        <v>1280.1425828124998</v>
      </c>
      <c r="D18" s="339">
        <v>1465.4440343749998</v>
      </c>
      <c r="E18" s="339">
        <v>1576.47347421875</v>
      </c>
      <c r="F18" s="339">
        <v>2192.4829804687497</v>
      </c>
      <c r="G18" s="339">
        <v>2476.6043828124998</v>
      </c>
      <c r="H18" s="339">
        <v>3739.6446012354199</v>
      </c>
      <c r="I18" s="339">
        <v>4298.2846219195853</v>
      </c>
      <c r="J18" s="339">
        <v>3157.2500239948117</v>
      </c>
      <c r="K18" s="339">
        <v>4061.0493839169908</v>
      </c>
      <c r="L18" s="339">
        <v>3809.9284409857332</v>
      </c>
      <c r="M18" s="339">
        <v>3887.1254811932554</v>
      </c>
      <c r="N18" s="558"/>
      <c r="O18" s="328"/>
      <c r="P18" s="341" t="s">
        <v>154</v>
      </c>
      <c r="Q18" s="347"/>
      <c r="R18" s="328"/>
    </row>
    <row r="19" spans="1:18" ht="16.5" customHeight="1">
      <c r="A19" s="305" t="s">
        <v>180</v>
      </c>
      <c r="B19" s="343"/>
      <c r="C19" s="339">
        <v>66927.181714062506</v>
      </c>
      <c r="D19" s="339">
        <v>49009.843388281261</v>
      </c>
      <c r="E19" s="339">
        <v>68390.76361484373</v>
      </c>
      <c r="F19" s="339">
        <v>25545.789191406249</v>
      </c>
      <c r="G19" s="339">
        <v>26084.491959374998</v>
      </c>
      <c r="H19" s="339">
        <v>38755.032003431697</v>
      </c>
      <c r="I19" s="339">
        <v>53747.760536964983</v>
      </c>
      <c r="J19" s="339">
        <v>73350.960839169915</v>
      </c>
      <c r="K19" s="339">
        <v>50736.021112840477</v>
      </c>
      <c r="L19" s="339">
        <v>38692.321003242534</v>
      </c>
      <c r="M19" s="339">
        <v>47050.504623216599</v>
      </c>
      <c r="N19" s="558"/>
      <c r="O19" s="344"/>
      <c r="P19" s="341" t="s">
        <v>158</v>
      </c>
      <c r="Q19" s="348"/>
      <c r="R19" s="328"/>
    </row>
    <row r="20" spans="1:18" ht="16.5" customHeight="1">
      <c r="A20" s="305" t="s">
        <v>179</v>
      </c>
      <c r="B20" s="343"/>
      <c r="C20" s="339">
        <v>71.698036718749989</v>
      </c>
      <c r="D20" s="339">
        <v>22.502908593749996</v>
      </c>
      <c r="E20" s="339">
        <v>5.0647765624999996</v>
      </c>
      <c r="F20" s="339">
        <v>6.9100554687500004</v>
      </c>
      <c r="G20" s="339">
        <v>53.625865625000003</v>
      </c>
      <c r="H20" s="339">
        <v>18.335677419354838</v>
      </c>
      <c r="I20" s="339">
        <v>60.28639105058366</v>
      </c>
      <c r="J20" s="339">
        <v>5.5809273670557706</v>
      </c>
      <c r="K20" s="339">
        <v>137.78874319066151</v>
      </c>
      <c r="L20" s="339">
        <v>478.41852529182881</v>
      </c>
      <c r="M20" s="339">
        <v>411.7437159533074</v>
      </c>
      <c r="N20" s="558"/>
      <c r="O20" s="344"/>
      <c r="P20" s="341" t="s">
        <v>156</v>
      </c>
      <c r="Q20" s="348"/>
      <c r="R20" s="328"/>
    </row>
    <row r="21" spans="1:18" ht="16.5" customHeight="1">
      <c r="A21" s="305" t="s">
        <v>159</v>
      </c>
      <c r="B21" s="338"/>
      <c r="C21" s="339">
        <v>8829.3306414062499</v>
      </c>
      <c r="D21" s="339">
        <v>7702.2054078124993</v>
      </c>
      <c r="E21" s="339">
        <v>7255.2775820312509</v>
      </c>
      <c r="F21" s="339">
        <v>9688.1999179687482</v>
      </c>
      <c r="G21" s="339">
        <v>11277.386687499999</v>
      </c>
      <c r="H21" s="339">
        <v>9220.9010336307492</v>
      </c>
      <c r="I21" s="339">
        <v>8165.0602775616089</v>
      </c>
      <c r="J21" s="339">
        <v>7025.5822769131028</v>
      </c>
      <c r="K21" s="339">
        <v>5793.3041679636835</v>
      </c>
      <c r="L21" s="339">
        <v>8307.5078728923472</v>
      </c>
      <c r="M21" s="339">
        <v>6532.9342354085602</v>
      </c>
      <c r="N21" s="558"/>
      <c r="O21" s="328"/>
      <c r="P21" s="341" t="s">
        <v>160</v>
      </c>
      <c r="Q21" s="349"/>
      <c r="R21" s="328"/>
    </row>
    <row r="22" spans="1:18" ht="16.5" customHeight="1">
      <c r="A22" s="305" t="s">
        <v>161</v>
      </c>
      <c r="B22" s="338"/>
      <c r="C22" s="339">
        <v>2488.0305539062497</v>
      </c>
      <c r="D22" s="339">
        <v>1625.99899375</v>
      </c>
      <c r="E22" s="339">
        <v>1420.6796632812498</v>
      </c>
      <c r="F22" s="339">
        <v>1782.0095890624998</v>
      </c>
      <c r="G22" s="339">
        <v>1863.25729140625</v>
      </c>
      <c r="H22" s="339">
        <v>1305.8204447494854</v>
      </c>
      <c r="I22" s="339">
        <v>1446.5481018158237</v>
      </c>
      <c r="J22" s="339">
        <v>1234.9447963683529</v>
      </c>
      <c r="K22" s="339">
        <v>1089.3203184176393</v>
      </c>
      <c r="L22" s="339">
        <v>1459.988055123217</v>
      </c>
      <c r="M22" s="339">
        <v>1731.1075687418936</v>
      </c>
      <c r="N22" s="558"/>
      <c r="O22" s="328"/>
      <c r="P22" s="341" t="s">
        <v>162</v>
      </c>
      <c r="Q22" s="347"/>
      <c r="R22" s="328"/>
    </row>
    <row r="23" spans="1:18" ht="16.5" customHeight="1">
      <c r="A23" s="305" t="s">
        <v>181</v>
      </c>
      <c r="B23" s="338"/>
      <c r="C23" s="339">
        <v>992.77020468750004</v>
      </c>
      <c r="D23" s="339">
        <v>855.17890390625007</v>
      </c>
      <c r="E23" s="339">
        <v>616.50993203124995</v>
      </c>
      <c r="F23" s="339">
        <v>302.4077890625</v>
      </c>
      <c r="G23" s="339">
        <v>593.47608281249995</v>
      </c>
      <c r="H23" s="339">
        <v>915.32525188743989</v>
      </c>
      <c r="I23" s="339">
        <v>654.91422308690017</v>
      </c>
      <c r="J23" s="339">
        <v>587.40560700389096</v>
      </c>
      <c r="K23" s="339">
        <v>346.81366861219192</v>
      </c>
      <c r="L23" s="339">
        <v>549.61445395590135</v>
      </c>
      <c r="M23" s="339">
        <v>358.78392866407262</v>
      </c>
      <c r="N23" s="558"/>
      <c r="O23" s="328"/>
      <c r="P23" s="341" t="s">
        <v>182</v>
      </c>
      <c r="Q23" s="349"/>
      <c r="R23" s="328"/>
    </row>
    <row r="24" spans="1:18" ht="16.5" customHeight="1">
      <c r="A24" s="305" t="s">
        <v>165</v>
      </c>
      <c r="B24" s="338"/>
      <c r="C24" s="339">
        <v>11426.827285156251</v>
      </c>
      <c r="D24" s="339">
        <v>10775.062836718749</v>
      </c>
      <c r="E24" s="339">
        <v>6931.7460976562506</v>
      </c>
      <c r="F24" s="339">
        <v>6524.42322421875</v>
      </c>
      <c r="G24" s="339">
        <v>5818.5911359375004</v>
      </c>
      <c r="H24" s="339">
        <v>8577.9729011667823</v>
      </c>
      <c r="I24" s="339">
        <v>13728.175265239948</v>
      </c>
      <c r="J24" s="339">
        <v>16481.287609597926</v>
      </c>
      <c r="K24" s="339">
        <v>15795.395967574575</v>
      </c>
      <c r="L24" s="339">
        <v>13793.596422827495</v>
      </c>
      <c r="M24" s="339">
        <v>15333.398356679634</v>
      </c>
      <c r="N24" s="558"/>
      <c r="O24" s="328"/>
      <c r="P24" s="341" t="s">
        <v>166</v>
      </c>
      <c r="Q24" s="347"/>
      <c r="R24" s="328"/>
    </row>
    <row r="25" spans="1:18" ht="16.5" customHeight="1">
      <c r="A25" s="305" t="s">
        <v>167</v>
      </c>
      <c r="B25" s="338"/>
      <c r="C25" s="339">
        <v>1581.5956710937496</v>
      </c>
      <c r="D25" s="339">
        <v>1049.3417187499999</v>
      </c>
      <c r="E25" s="339">
        <v>1031.62460234375</v>
      </c>
      <c r="F25" s="339">
        <v>897.79611640624989</v>
      </c>
      <c r="G25" s="339">
        <v>804.44894999999997</v>
      </c>
      <c r="H25" s="339">
        <v>644.48080851063821</v>
      </c>
      <c r="I25" s="339">
        <v>668.12488326848245</v>
      </c>
      <c r="J25" s="339">
        <v>917.41818677042795</v>
      </c>
      <c r="K25" s="339">
        <v>1146.9188664072633</v>
      </c>
      <c r="L25" s="339">
        <v>1939.7062042801558</v>
      </c>
      <c r="M25" s="339">
        <v>1555.8638203631647</v>
      </c>
      <c r="N25" s="558"/>
      <c r="O25" s="328"/>
      <c r="P25" s="341" t="s">
        <v>168</v>
      </c>
      <c r="Q25" s="349"/>
      <c r="R25" s="328"/>
    </row>
    <row r="26" spans="1:18" ht="16.5" customHeight="1">
      <c r="A26" s="331" t="s">
        <v>185</v>
      </c>
      <c r="B26" s="331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558"/>
      <c r="O26" s="345"/>
      <c r="P26" s="350" t="s">
        <v>186</v>
      </c>
      <c r="Q26" s="351"/>
      <c r="R26" s="344"/>
    </row>
    <row r="27" spans="1:18" ht="16.5" customHeight="1">
      <c r="A27" s="305" t="s">
        <v>139</v>
      </c>
      <c r="B27" s="338" t="s">
        <v>176</v>
      </c>
      <c r="C27" s="339">
        <v>3.3836521793648804</v>
      </c>
      <c r="D27" s="339">
        <v>2.5458377032308168</v>
      </c>
      <c r="E27" s="339">
        <v>3.5248080163944255</v>
      </c>
      <c r="F27" s="339">
        <v>2.919150802604364</v>
      </c>
      <c r="G27" s="339">
        <v>3.0453820511107237</v>
      </c>
      <c r="H27" s="339">
        <v>2.7518694891850908</v>
      </c>
      <c r="I27" s="339">
        <v>2.9743983754220422</v>
      </c>
      <c r="J27" s="339">
        <v>2.5846764929706598</v>
      </c>
      <c r="K27" s="339">
        <v>2.3153320206147101</v>
      </c>
      <c r="L27" s="339">
        <v>2.1646993117095499</v>
      </c>
      <c r="M27" s="339">
        <v>2.0787340024804672</v>
      </c>
      <c r="N27" s="558"/>
      <c r="O27" s="340" t="s">
        <v>177</v>
      </c>
      <c r="P27" s="341" t="s">
        <v>142</v>
      </c>
      <c r="Q27" s="352"/>
      <c r="R27" s="328"/>
    </row>
    <row r="28" spans="1:18" ht="16.5" customHeight="1">
      <c r="A28" s="305" t="s">
        <v>149</v>
      </c>
      <c r="B28" s="343" t="s">
        <v>178</v>
      </c>
      <c r="C28" s="339">
        <v>3.8223695821156651</v>
      </c>
      <c r="D28" s="339">
        <v>4.0764590742483007</v>
      </c>
      <c r="E28" s="339">
        <v>4.7174838502247063</v>
      </c>
      <c r="F28" s="339">
        <v>5.7532765395209484</v>
      </c>
      <c r="G28" s="339">
        <v>7.4463576376913458</v>
      </c>
      <c r="H28" s="339">
        <v>6.2741390374954893</v>
      </c>
      <c r="I28" s="339">
        <v>6.5865034189544263</v>
      </c>
      <c r="J28" s="339">
        <v>6.9626989157261079</v>
      </c>
      <c r="K28" s="339">
        <v>6.2277650611323887</v>
      </c>
      <c r="L28" s="339">
        <v>6.2757677930787166</v>
      </c>
      <c r="M28" s="339">
        <v>5.3910931446808625</v>
      </c>
      <c r="N28" s="558"/>
      <c r="O28" s="340" t="s">
        <v>151</v>
      </c>
      <c r="P28" s="341" t="s">
        <v>152</v>
      </c>
      <c r="Q28" s="352"/>
      <c r="R28" s="328"/>
    </row>
    <row r="29" spans="1:18" ht="16.5" customHeight="1">
      <c r="A29" s="305" t="s">
        <v>153</v>
      </c>
      <c r="B29" s="343" t="s">
        <v>178</v>
      </c>
      <c r="C29" s="339">
        <v>4.0459458995681779</v>
      </c>
      <c r="D29" s="339">
        <v>4.6175279939069611</v>
      </c>
      <c r="E29" s="339">
        <v>4.6353119098992819</v>
      </c>
      <c r="F29" s="339">
        <v>4.6645878516227652</v>
      </c>
      <c r="G29" s="339">
        <v>4.5010919078094922</v>
      </c>
      <c r="H29" s="339">
        <v>5.2177007945128793</v>
      </c>
      <c r="I29" s="339">
        <v>4.9778681034986434</v>
      </c>
      <c r="J29" s="339">
        <v>4.7396690699877064</v>
      </c>
      <c r="K29" s="339">
        <v>4.4774226957642069</v>
      </c>
      <c r="L29" s="339">
        <v>4.1966173075931126</v>
      </c>
      <c r="M29" s="339">
        <v>3.8982571884904225</v>
      </c>
      <c r="N29" s="558"/>
      <c r="O29" s="340" t="s">
        <v>151</v>
      </c>
      <c r="P29" s="341" t="s">
        <v>154</v>
      </c>
      <c r="Q29" s="352"/>
      <c r="R29" s="328"/>
    </row>
    <row r="30" spans="1:18" ht="16.5" customHeight="1">
      <c r="A30" s="305" t="s">
        <v>180</v>
      </c>
      <c r="B30" s="343" t="s">
        <v>178</v>
      </c>
      <c r="C30" s="339">
        <v>0.77786765273213798</v>
      </c>
      <c r="D30" s="339">
        <v>1.0582453116851707</v>
      </c>
      <c r="E30" s="339">
        <v>1.3859198529504617</v>
      </c>
      <c r="F30" s="339">
        <v>0.97330825295236023</v>
      </c>
      <c r="G30" s="339">
        <v>1.165497339501788</v>
      </c>
      <c r="H30" s="339">
        <v>1.656760625838144</v>
      </c>
      <c r="I30" s="339">
        <v>2.2238271095331883</v>
      </c>
      <c r="J30" s="339">
        <v>2.0310567828550026</v>
      </c>
      <c r="K30" s="339">
        <v>1.5404567713249828</v>
      </c>
      <c r="L30" s="339">
        <v>1.5215039461533182</v>
      </c>
      <c r="M30" s="339">
        <v>1.6633719989175759</v>
      </c>
      <c r="N30" s="558"/>
      <c r="O30" s="340" t="s">
        <v>151</v>
      </c>
      <c r="P30" s="341" t="s">
        <v>158</v>
      </c>
      <c r="Q30" s="352"/>
      <c r="R30" s="344"/>
    </row>
    <row r="31" spans="1:18" ht="16.5" customHeight="1">
      <c r="A31" s="305" t="s">
        <v>179</v>
      </c>
      <c r="B31" s="343" t="s">
        <v>178</v>
      </c>
      <c r="C31" s="339">
        <v>1.0011016149977505</v>
      </c>
      <c r="D31" s="339">
        <v>1.3230000937003936</v>
      </c>
      <c r="E31" s="339">
        <v>1.0308928480561774</v>
      </c>
      <c r="F31" s="339">
        <v>1.0599967891635755</v>
      </c>
      <c r="G31" s="339">
        <v>1.9248619819961457</v>
      </c>
      <c r="H31" s="339">
        <v>0.36015059610440497</v>
      </c>
      <c r="I31" s="339">
        <v>1.0960526298671704</v>
      </c>
      <c r="J31" s="339">
        <v>2.7904636835278853</v>
      </c>
      <c r="K31" s="339">
        <v>2.5868625681882937</v>
      </c>
      <c r="L31" s="339">
        <v>2.1957648956126281</v>
      </c>
      <c r="M31" s="339">
        <v>1.1793049683460475</v>
      </c>
      <c r="N31" s="558"/>
      <c r="O31" s="340" t="s">
        <v>151</v>
      </c>
      <c r="P31" s="341" t="s">
        <v>156</v>
      </c>
      <c r="Q31" s="352"/>
      <c r="R31" s="344"/>
    </row>
    <row r="32" spans="1:18" ht="16.5" customHeight="1">
      <c r="A32" s="305" t="s">
        <v>159</v>
      </c>
      <c r="B32" s="343" t="s">
        <v>178</v>
      </c>
      <c r="C32" s="339">
        <v>1.5471123697032216</v>
      </c>
      <c r="D32" s="339">
        <v>1.5096288946061327</v>
      </c>
      <c r="E32" s="339">
        <v>1.9534711691762203</v>
      </c>
      <c r="F32" s="339">
        <v>2.5616497533191835</v>
      </c>
      <c r="G32" s="339">
        <v>2.9242676478291916</v>
      </c>
      <c r="H32" s="339">
        <v>3.5671334244235831</v>
      </c>
      <c r="I32" s="339">
        <v>5.529852410217047</v>
      </c>
      <c r="J32" s="339">
        <v>5.2402895632123805</v>
      </c>
      <c r="K32" s="339">
        <v>4.4102125232205776</v>
      </c>
      <c r="L32" s="339">
        <v>3.8961477389365715</v>
      </c>
      <c r="M32" s="339">
        <v>3.2201256931311759</v>
      </c>
      <c r="N32" s="558"/>
      <c r="O32" s="340" t="s">
        <v>151</v>
      </c>
      <c r="P32" s="341" t="s">
        <v>160</v>
      </c>
      <c r="Q32" s="352"/>
      <c r="R32" s="328"/>
    </row>
    <row r="33" spans="1:17" ht="16.5" customHeight="1">
      <c r="A33" s="305" t="s">
        <v>161</v>
      </c>
      <c r="B33" s="343" t="s">
        <v>178</v>
      </c>
      <c r="C33" s="339">
        <v>0.85498107451713901</v>
      </c>
      <c r="D33" s="339">
        <v>0.68229065413125356</v>
      </c>
      <c r="E33" s="339">
        <v>0.62646922498802571</v>
      </c>
      <c r="F33" s="339">
        <v>0.64957021012338634</v>
      </c>
      <c r="G33" s="339">
        <v>0.75494319693323964</v>
      </c>
      <c r="H33" s="339">
        <v>0.88656468694703949</v>
      </c>
      <c r="I33" s="339">
        <v>1.9896578394943834</v>
      </c>
      <c r="J33" s="339">
        <v>2.186243516756186</v>
      </c>
      <c r="K33" s="339">
        <v>2.0726452282398564</v>
      </c>
      <c r="L33" s="339">
        <v>2.5444153201601547</v>
      </c>
      <c r="M33" s="339">
        <v>2.6659953612744323</v>
      </c>
      <c r="N33" s="558"/>
      <c r="O33" s="340" t="s">
        <v>151</v>
      </c>
      <c r="P33" s="341" t="s">
        <v>162</v>
      </c>
      <c r="Q33" s="352"/>
    </row>
    <row r="34" spans="1:17" ht="16.5" customHeight="1">
      <c r="A34" s="305" t="s">
        <v>181</v>
      </c>
      <c r="B34" s="343" t="s">
        <v>178</v>
      </c>
      <c r="C34" s="339">
        <v>11.29768792941578</v>
      </c>
      <c r="D34" s="339">
        <v>7.5678142610292216</v>
      </c>
      <c r="E34" s="339">
        <v>7.3381014397474207</v>
      </c>
      <c r="F34" s="339">
        <v>4.817327612731563</v>
      </c>
      <c r="G34" s="339">
        <v>2.8383344050051771</v>
      </c>
      <c r="H34" s="339">
        <v>2.8460564483925443</v>
      </c>
      <c r="I34" s="339">
        <v>2.809313898371792</v>
      </c>
      <c r="J34" s="339">
        <v>4.8765775005121519</v>
      </c>
      <c r="K34" s="339">
        <v>4.2033037612291775</v>
      </c>
      <c r="L34" s="339">
        <v>4.7820546629105678</v>
      </c>
      <c r="M34" s="339">
        <v>3.0250045247602202</v>
      </c>
      <c r="N34" s="558"/>
      <c r="O34" s="340" t="s">
        <v>151</v>
      </c>
      <c r="P34" s="341" t="s">
        <v>182</v>
      </c>
      <c r="Q34" s="352"/>
    </row>
    <row r="35" spans="1:17" ht="16.5" customHeight="1">
      <c r="A35" s="308" t="s">
        <v>165</v>
      </c>
      <c r="B35" s="343" t="s">
        <v>178</v>
      </c>
      <c r="C35" s="339">
        <v>2.4172833794407964</v>
      </c>
      <c r="D35" s="339">
        <v>2.9244183892866298</v>
      </c>
      <c r="E35" s="339">
        <v>3.5726868280495414</v>
      </c>
      <c r="F35" s="339">
        <v>3.5377371049693465</v>
      </c>
      <c r="G35" s="339">
        <v>4.2970211153997777</v>
      </c>
      <c r="H35" s="339">
        <v>5.8617313128223669</v>
      </c>
      <c r="I35" s="339">
        <v>6.6570379421538766</v>
      </c>
      <c r="J35" s="339">
        <v>7.0007409924580033</v>
      </c>
      <c r="K35" s="339">
        <v>6.1229485022254018</v>
      </c>
      <c r="L35" s="339">
        <v>4.7333631051941687</v>
      </c>
      <c r="M35" s="339">
        <v>5.0521635453262919</v>
      </c>
      <c r="N35" s="558"/>
      <c r="O35" s="340" t="s">
        <v>151</v>
      </c>
      <c r="P35" s="341" t="s">
        <v>166</v>
      </c>
      <c r="Q35" s="330"/>
    </row>
    <row r="36" spans="1:17" ht="16.5" customHeight="1">
      <c r="A36" s="309" t="s">
        <v>167</v>
      </c>
      <c r="B36" s="353" t="s">
        <v>178</v>
      </c>
      <c r="C36" s="354">
        <v>0.53669319636819968</v>
      </c>
      <c r="D36" s="354">
        <v>0.46663615801462471</v>
      </c>
      <c r="E36" s="354">
        <v>0.6922377429291573</v>
      </c>
      <c r="F36" s="354">
        <v>0.6403681286777817</v>
      </c>
      <c r="G36" s="354">
        <v>0.99618996622584055</v>
      </c>
      <c r="H36" s="354">
        <v>0.77057085937127934</v>
      </c>
      <c r="I36" s="354">
        <v>0.80977472747142065</v>
      </c>
      <c r="J36" s="354">
        <v>0.74418018405272146</v>
      </c>
      <c r="K36" s="354">
        <v>0.81884009942097646</v>
      </c>
      <c r="L36" s="354">
        <v>1.3272858806576644</v>
      </c>
      <c r="M36" s="354">
        <v>0.72114665882567242</v>
      </c>
      <c r="N36" s="559"/>
      <c r="O36" s="355" t="s">
        <v>151</v>
      </c>
      <c r="P36" s="356" t="s">
        <v>168</v>
      </c>
      <c r="Q36" s="357"/>
    </row>
    <row r="37" spans="1:17" ht="15.75">
      <c r="A37" s="312" t="s">
        <v>169</v>
      </c>
      <c r="B37" s="358"/>
      <c r="C37" s="359"/>
      <c r="D37" s="359"/>
      <c r="E37" s="359"/>
      <c r="F37" s="359"/>
      <c r="G37" s="360"/>
      <c r="H37" s="360"/>
      <c r="I37" s="360"/>
      <c r="J37" s="360"/>
      <c r="K37" s="360"/>
      <c r="L37" s="360"/>
      <c r="M37" s="360"/>
      <c r="N37" s="360"/>
      <c r="O37" s="361"/>
      <c r="P37" s="362"/>
      <c r="Q37" s="363"/>
    </row>
    <row r="38" spans="1:17" ht="17.25">
      <c r="A38" s="381" t="s">
        <v>108</v>
      </c>
      <c r="B38" s="358"/>
      <c r="C38" s="364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6"/>
      <c r="P38" s="380" t="s">
        <v>109</v>
      </c>
      <c r="Q38" s="363"/>
    </row>
    <row r="39" spans="1:17" ht="15">
      <c r="A39" s="358" t="s">
        <v>187</v>
      </c>
      <c r="B39" s="358"/>
      <c r="C39" s="359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1"/>
      <c r="P39" s="318" t="s">
        <v>188</v>
      </c>
      <c r="Q39" s="363"/>
    </row>
    <row r="41" spans="1:17" ht="15.75">
      <c r="A41" s="367"/>
      <c r="B41" s="368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1"/>
      <c r="P41" s="362"/>
      <c r="Q41" s="363"/>
    </row>
    <row r="42" spans="1:17" ht="15.75">
      <c r="A42" s="367"/>
      <c r="B42" s="368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1"/>
      <c r="P42" s="362"/>
      <c r="Q42" s="363"/>
    </row>
    <row r="43" spans="1:17" ht="15.75">
      <c r="A43" s="367"/>
      <c r="B43" s="368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1"/>
      <c r="P43" s="362"/>
      <c r="Q43" s="363"/>
    </row>
    <row r="44" spans="1:17" ht="15.75">
      <c r="A44" s="367"/>
      <c r="B44" s="368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1"/>
      <c r="P44" s="362"/>
      <c r="Q44" s="363"/>
    </row>
    <row r="45" spans="1:17" ht="15.75">
      <c r="A45" s="36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362"/>
      <c r="Q45" s="363"/>
    </row>
    <row r="46" spans="1:17">
      <c r="A46" s="36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370"/>
      <c r="Q46" s="363"/>
    </row>
    <row r="47" spans="1:17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370"/>
      <c r="Q47" s="297"/>
    </row>
    <row r="48" spans="1:17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370"/>
      <c r="Q48" s="297"/>
    </row>
    <row r="49" spans="2:16"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370"/>
    </row>
    <row r="50" spans="2:16"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370"/>
    </row>
    <row r="51" spans="2:16"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370"/>
    </row>
    <row r="52" spans="2:16"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370"/>
    </row>
    <row r="53" spans="2:16"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370"/>
    </row>
    <row r="54" spans="2:16"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370"/>
    </row>
    <row r="55" spans="2:16"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370"/>
    </row>
    <row r="56" spans="2:16"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370"/>
    </row>
    <row r="57" spans="2:16"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370"/>
    </row>
    <row r="58" spans="2:16"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370"/>
    </row>
    <row r="59" spans="2:16"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370"/>
    </row>
    <row r="60" spans="2:16"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370"/>
    </row>
    <row r="61" spans="2:16"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370"/>
    </row>
    <row r="62" spans="2:16"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370"/>
    </row>
    <row r="63" spans="2:16"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370"/>
    </row>
    <row r="64" spans="2:16"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370"/>
    </row>
    <row r="65" spans="2:3">
      <c r="B65" s="297"/>
      <c r="C65" s="305"/>
    </row>
    <row r="66" spans="2:3">
      <c r="B66" s="297"/>
      <c r="C66" s="305"/>
    </row>
    <row r="67" spans="2:3">
      <c r="B67" s="297"/>
      <c r="C67" s="305"/>
    </row>
    <row r="68" spans="2:3">
      <c r="B68" s="297"/>
      <c r="C68" s="305"/>
    </row>
    <row r="69" spans="2:3">
      <c r="B69" s="297"/>
      <c r="C69" s="305"/>
    </row>
    <row r="70" spans="2:3">
      <c r="B70" s="297"/>
      <c r="C70" s="305"/>
    </row>
  </sheetData>
  <mergeCells count="2">
    <mergeCell ref="A1:P1"/>
    <mergeCell ref="A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4"/>
  <sheetViews>
    <sheetView tabSelected="1" zoomScaleNormal="100" workbookViewId="0">
      <selection activeCell="U35" sqref="U35"/>
    </sheetView>
  </sheetViews>
  <sheetFormatPr defaultRowHeight="12.75"/>
  <cols>
    <col min="1" max="1" width="23" style="4" customWidth="1"/>
    <col min="2" max="2" width="1.5703125" style="4" customWidth="1"/>
    <col min="3" max="6" width="8.42578125" style="4" hidden="1" customWidth="1"/>
    <col min="7" max="7" width="1.5703125" style="4" customWidth="1"/>
    <col min="8" max="11" width="8.42578125" style="4" customWidth="1"/>
    <col min="12" max="12" width="1.5703125" style="4" customWidth="1"/>
    <col min="13" max="16" width="8.42578125" style="4" customWidth="1"/>
    <col min="17" max="17" width="1.5703125" style="4" customWidth="1"/>
    <col min="18" max="21" width="8.42578125" style="4" customWidth="1"/>
    <col min="22" max="22" width="9.140625" style="4"/>
    <col min="23" max="23" width="34.140625" style="4" customWidth="1"/>
    <col min="24" max="24" width="9.140625" style="9"/>
    <col min="25" max="16384" width="9.140625" style="4"/>
  </cols>
  <sheetData>
    <row r="1" spans="1:28" ht="19.5">
      <c r="A1" s="673" t="s">
        <v>322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</row>
    <row r="2" spans="1:28" ht="15.75">
      <c r="A2" s="685" t="s">
        <v>323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</row>
    <row r="3" spans="1:28" ht="19.5">
      <c r="A3" s="674" t="s">
        <v>264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  <c r="T3" s="674"/>
      <c r="U3" s="674"/>
      <c r="V3" s="674"/>
      <c r="W3" s="674"/>
    </row>
    <row r="4" spans="1:28" s="9" customFormat="1" ht="15.75">
      <c r="A4" s="684" t="s">
        <v>265</v>
      </c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684"/>
      <c r="O4" s="684"/>
      <c r="P4" s="684"/>
      <c r="Q4" s="684"/>
      <c r="R4" s="684"/>
      <c r="S4" s="684"/>
      <c r="T4" s="684"/>
      <c r="U4" s="684"/>
      <c r="V4" s="684"/>
      <c r="W4" s="684"/>
    </row>
    <row r="5" spans="1:28" ht="8.25" customHeight="1"/>
    <row r="6" spans="1:28">
      <c r="A6" s="504"/>
      <c r="B6" s="506"/>
      <c r="C6" s="675">
        <v>2014</v>
      </c>
      <c r="D6" s="675"/>
      <c r="E6" s="675"/>
      <c r="F6" s="675"/>
      <c r="G6" s="506"/>
      <c r="H6" s="687">
        <v>2015</v>
      </c>
      <c r="I6" s="687"/>
      <c r="J6" s="687"/>
      <c r="K6" s="687"/>
      <c r="L6" s="686"/>
      <c r="M6" s="687">
        <v>2016</v>
      </c>
      <c r="N6" s="687"/>
      <c r="O6" s="687"/>
      <c r="P6" s="687"/>
      <c r="Q6" s="686"/>
      <c r="R6" s="687">
        <v>2017</v>
      </c>
      <c r="S6" s="687"/>
      <c r="T6" s="687"/>
      <c r="U6" s="687"/>
      <c r="V6" s="505"/>
      <c r="W6" s="504"/>
      <c r="X6" s="507"/>
      <c r="Y6" s="508"/>
      <c r="Z6" s="508"/>
      <c r="AA6" s="508"/>
      <c r="AB6" s="509"/>
    </row>
    <row r="7" spans="1:28" ht="15.75">
      <c r="A7" s="510" t="s">
        <v>266</v>
      </c>
      <c r="B7" s="511"/>
      <c r="C7" s="511" t="s">
        <v>0</v>
      </c>
      <c r="D7" s="511" t="s">
        <v>1</v>
      </c>
      <c r="E7" s="511" t="s">
        <v>267</v>
      </c>
      <c r="F7" s="511" t="s">
        <v>193</v>
      </c>
      <c r="G7" s="511"/>
      <c r="H7" s="511" t="s">
        <v>0</v>
      </c>
      <c r="I7" s="511" t="s">
        <v>1</v>
      </c>
      <c r="J7" s="511" t="s">
        <v>267</v>
      </c>
      <c r="K7" s="511" t="s">
        <v>193</v>
      </c>
      <c r="L7" s="511"/>
      <c r="M7" s="511" t="s">
        <v>0</v>
      </c>
      <c r="N7" s="511" t="s">
        <v>1</v>
      </c>
      <c r="O7" s="511" t="s">
        <v>267</v>
      </c>
      <c r="P7" s="511" t="s">
        <v>193</v>
      </c>
      <c r="Q7" s="511"/>
      <c r="R7" s="511" t="s">
        <v>0</v>
      </c>
      <c r="S7" s="511" t="s">
        <v>1</v>
      </c>
      <c r="T7" s="511" t="s">
        <v>267</v>
      </c>
      <c r="U7" s="511" t="s">
        <v>193</v>
      </c>
      <c r="V7" s="511"/>
      <c r="W7" s="511" t="s">
        <v>268</v>
      </c>
      <c r="X7" s="507"/>
      <c r="Y7" s="508"/>
      <c r="Z7" s="508"/>
      <c r="AA7" s="508"/>
      <c r="AB7" s="509"/>
    </row>
    <row r="8" spans="1:28">
      <c r="A8" s="512"/>
      <c r="B8" s="513"/>
      <c r="C8" s="513" t="s">
        <v>2</v>
      </c>
      <c r="D8" s="513" t="s">
        <v>3</v>
      </c>
      <c r="E8" s="513" t="s">
        <v>4</v>
      </c>
      <c r="F8" s="513" t="s">
        <v>5</v>
      </c>
      <c r="G8" s="513"/>
      <c r="H8" s="513" t="s">
        <v>2</v>
      </c>
      <c r="I8" s="513" t="s">
        <v>3</v>
      </c>
      <c r="J8" s="513" t="s">
        <v>4</v>
      </c>
      <c r="K8" s="513" t="s">
        <v>5</v>
      </c>
      <c r="L8" s="513"/>
      <c r="M8" s="513" t="s">
        <v>2</v>
      </c>
      <c r="N8" s="513" t="s">
        <v>3</v>
      </c>
      <c r="O8" s="513" t="s">
        <v>4</v>
      </c>
      <c r="P8" s="513" t="s">
        <v>5</v>
      </c>
      <c r="Q8" s="513"/>
      <c r="R8" s="513" t="s">
        <v>2</v>
      </c>
      <c r="S8" s="513" t="s">
        <v>3</v>
      </c>
      <c r="T8" s="513" t="s">
        <v>4</v>
      </c>
      <c r="U8" s="513" t="s">
        <v>5</v>
      </c>
      <c r="V8" s="514"/>
      <c r="W8" s="515"/>
      <c r="X8" s="516"/>
      <c r="Y8" s="517"/>
      <c r="Z8" s="517"/>
      <c r="AA8" s="517"/>
      <c r="AB8" s="518"/>
    </row>
    <row r="9" spans="1:28" ht="15.75">
      <c r="A9" s="519" t="s">
        <v>269</v>
      </c>
      <c r="B9" s="521"/>
      <c r="C9" s="521">
        <v>15.4</v>
      </c>
      <c r="D9" s="521">
        <v>15.41</v>
      </c>
      <c r="E9" s="521">
        <v>15.39</v>
      </c>
      <c r="F9" s="521">
        <v>15.4</v>
      </c>
      <c r="G9" s="521"/>
      <c r="H9" s="521">
        <v>15.39</v>
      </c>
      <c r="I9" s="521">
        <v>15.41</v>
      </c>
      <c r="J9" s="521">
        <v>15.39</v>
      </c>
      <c r="K9" s="521">
        <v>15.41</v>
      </c>
      <c r="L9" s="521"/>
      <c r="M9" s="521">
        <v>15.35</v>
      </c>
      <c r="N9" s="521">
        <v>15.38</v>
      </c>
      <c r="O9" s="521">
        <v>15.370000000000001</v>
      </c>
      <c r="P9" s="521">
        <v>15.35</v>
      </c>
      <c r="Q9" s="521"/>
      <c r="R9" s="521">
        <v>15.39</v>
      </c>
      <c r="S9" s="521">
        <v>15.38</v>
      </c>
      <c r="T9" s="521">
        <v>15.41</v>
      </c>
      <c r="U9" s="521">
        <v>15.41</v>
      </c>
      <c r="V9" s="523"/>
      <c r="W9" s="524" t="s">
        <v>270</v>
      </c>
      <c r="X9" s="525"/>
      <c r="Y9" s="509"/>
      <c r="Z9" s="509"/>
      <c r="AA9" s="509"/>
      <c r="AB9" s="509"/>
    </row>
    <row r="10" spans="1:28" ht="15.75">
      <c r="A10" s="519" t="s">
        <v>271</v>
      </c>
      <c r="B10" s="521"/>
      <c r="C10" s="521">
        <v>0.14979999999999999</v>
      </c>
      <c r="D10" s="521">
        <v>0.15215000000000001</v>
      </c>
      <c r="E10" s="521">
        <v>0.1409</v>
      </c>
      <c r="F10" s="521">
        <v>0.12775</v>
      </c>
      <c r="G10" s="521"/>
      <c r="H10" s="521">
        <v>0.12784999999999999</v>
      </c>
      <c r="I10" s="521">
        <v>0.12540000000000001</v>
      </c>
      <c r="J10" s="521">
        <v>0.1285</v>
      </c>
      <c r="K10" s="521">
        <v>0.1288</v>
      </c>
      <c r="L10" s="521"/>
      <c r="M10" s="521">
        <v>0.13689999999999999</v>
      </c>
      <c r="N10" s="521">
        <v>0.15055000000000002</v>
      </c>
      <c r="O10" s="521">
        <v>0.15134999999999998</v>
      </c>
      <c r="P10" s="521">
        <v>0.13125000000000001</v>
      </c>
      <c r="Q10" s="521"/>
      <c r="R10" s="521">
        <v>0.1391</v>
      </c>
      <c r="S10" s="521">
        <v>0.13629999999999998</v>
      </c>
      <c r="T10" s="521">
        <v>0.13614999999999999</v>
      </c>
      <c r="U10" s="521">
        <v>0.13580445962722928</v>
      </c>
      <c r="V10" s="523"/>
      <c r="W10" s="524" t="s">
        <v>272</v>
      </c>
      <c r="X10" s="525"/>
      <c r="Y10" s="509"/>
      <c r="Z10" s="509"/>
      <c r="AA10" s="509"/>
      <c r="AB10" s="509"/>
    </row>
    <row r="11" spans="1:28" ht="15.75">
      <c r="A11" s="519" t="s">
        <v>273</v>
      </c>
      <c r="B11" s="521"/>
      <c r="C11" s="521">
        <v>12.132750000000001</v>
      </c>
      <c r="D11" s="521">
        <v>12.243599999999999</v>
      </c>
      <c r="E11" s="521">
        <v>12.01465</v>
      </c>
      <c r="F11" s="521">
        <v>11.566050000000001</v>
      </c>
      <c r="G11" s="521"/>
      <c r="H11" s="521">
        <v>11.117750000000001</v>
      </c>
      <c r="I11" s="521">
        <v>11.359750000000002</v>
      </c>
      <c r="J11" s="521">
        <v>10.72935</v>
      </c>
      <c r="K11" s="521">
        <v>10.8079</v>
      </c>
      <c r="L11" s="521"/>
      <c r="M11" s="521">
        <v>11.301</v>
      </c>
      <c r="N11" s="521">
        <v>11.338900000000001</v>
      </c>
      <c r="O11" s="521">
        <v>11.245100000000001</v>
      </c>
      <c r="P11" s="521">
        <v>10.451799999999999</v>
      </c>
      <c r="Q11" s="521"/>
      <c r="R11" s="521">
        <v>10.95875</v>
      </c>
      <c r="S11" s="521">
        <v>11.04285</v>
      </c>
      <c r="T11" s="521">
        <v>11.246499999999999</v>
      </c>
      <c r="U11" s="521">
        <v>11.420330748142826</v>
      </c>
      <c r="V11" s="523"/>
      <c r="W11" s="524" t="s">
        <v>274</v>
      </c>
      <c r="X11" s="525"/>
      <c r="Y11" s="509"/>
      <c r="Z11" s="509"/>
      <c r="AA11" s="509"/>
      <c r="AB11" s="509"/>
    </row>
    <row r="12" spans="1:28" ht="15.75">
      <c r="A12" s="519" t="s">
        <v>275</v>
      </c>
      <c r="B12" s="521"/>
      <c r="C12" s="521">
        <v>0.25764999999999999</v>
      </c>
      <c r="D12" s="521">
        <v>0.25685000000000002</v>
      </c>
      <c r="E12" s="521">
        <v>0.25064999999999998</v>
      </c>
      <c r="F12" s="521">
        <v>0.24245</v>
      </c>
      <c r="G12" s="521"/>
      <c r="H12" s="521">
        <v>0.2472</v>
      </c>
      <c r="I12" s="521">
        <v>0.24159999999999998</v>
      </c>
      <c r="J12" s="521">
        <v>0.2341</v>
      </c>
      <c r="K12" s="521">
        <v>0.23150000000000001</v>
      </c>
      <c r="L12" s="521"/>
      <c r="M12" s="521">
        <v>0.23119999999999999</v>
      </c>
      <c r="N12" s="521">
        <v>0.22674999999999998</v>
      </c>
      <c r="O12" s="521">
        <v>0.23144999999999999</v>
      </c>
      <c r="P12" s="521">
        <v>0.22595000000000001</v>
      </c>
      <c r="Q12" s="521"/>
      <c r="R12" s="521">
        <v>0.23760000000000001</v>
      </c>
      <c r="S12" s="521">
        <v>0.23845</v>
      </c>
      <c r="T12" s="521">
        <v>0.23335</v>
      </c>
      <c r="U12" s="521">
        <v>0.23916862809883571</v>
      </c>
      <c r="V12" s="523"/>
      <c r="W12" s="524" t="s">
        <v>276</v>
      </c>
      <c r="X12" s="525"/>
      <c r="Y12" s="509"/>
      <c r="Z12" s="509"/>
      <c r="AA12" s="509"/>
      <c r="AB12" s="509"/>
    </row>
    <row r="13" spans="1:28" ht="15.75">
      <c r="A13" s="519" t="s">
        <v>277</v>
      </c>
      <c r="B13" s="521"/>
      <c r="C13" s="521">
        <v>0.11760000000000001</v>
      </c>
      <c r="D13" s="521">
        <v>0.11789999999999998</v>
      </c>
      <c r="E13" s="521">
        <v>0.11785000000000001</v>
      </c>
      <c r="F13" s="521">
        <v>0.1172</v>
      </c>
      <c r="G13" s="521"/>
      <c r="H13" s="521">
        <v>0.11555</v>
      </c>
      <c r="I13" s="521">
        <v>0.11459999999999999</v>
      </c>
      <c r="J13" s="521">
        <v>0.10920000000000001</v>
      </c>
      <c r="K13" s="521">
        <v>0.107</v>
      </c>
      <c r="L13" s="521"/>
      <c r="M13" s="521">
        <v>0.10355</v>
      </c>
      <c r="N13" s="521">
        <v>0.10555</v>
      </c>
      <c r="O13" s="521">
        <v>0.10539999999999999</v>
      </c>
      <c r="P13" s="521">
        <v>0.10289999999999999</v>
      </c>
      <c r="Q13" s="521"/>
      <c r="R13" s="521">
        <v>0.10085</v>
      </c>
      <c r="S13" s="521">
        <v>9.9500000000000005E-2</v>
      </c>
      <c r="T13" s="521">
        <v>0.1038</v>
      </c>
      <c r="U13" s="521">
        <v>0.10428440456885837</v>
      </c>
      <c r="V13" s="523"/>
      <c r="W13" s="524" t="s">
        <v>278</v>
      </c>
      <c r="X13" s="525"/>
      <c r="Y13" s="509"/>
      <c r="Z13" s="509"/>
      <c r="AA13" s="509"/>
      <c r="AB13" s="509"/>
    </row>
    <row r="14" spans="1:28" ht="15.75">
      <c r="A14" s="519" t="s">
        <v>279</v>
      </c>
      <c r="B14" s="521"/>
      <c r="C14" s="521">
        <v>25.436700000000002</v>
      </c>
      <c r="D14" s="521">
        <v>26.058100000000003</v>
      </c>
      <c r="E14" s="521">
        <v>24.885899999999999</v>
      </c>
      <c r="F14" s="521">
        <v>23.8169</v>
      </c>
      <c r="G14" s="521"/>
      <c r="H14" s="521">
        <v>22.620449999999998</v>
      </c>
      <c r="I14" s="521">
        <v>24.077649999999998</v>
      </c>
      <c r="J14" s="521">
        <v>23.19605</v>
      </c>
      <c r="K14" s="521">
        <v>22.689299999999999</v>
      </c>
      <c r="L14" s="521"/>
      <c r="M14" s="521">
        <v>21.920850000000002</v>
      </c>
      <c r="N14" s="521">
        <v>20.494149999999998</v>
      </c>
      <c r="O14" s="521">
        <v>19.925049999999999</v>
      </c>
      <c r="P14" s="521">
        <v>18.784700000000001</v>
      </c>
      <c r="Q14" s="521"/>
      <c r="R14" s="521">
        <v>19.019849999999998</v>
      </c>
      <c r="S14" s="521">
        <v>19.487949999999998</v>
      </c>
      <c r="T14" s="521">
        <v>20.436199999999999</v>
      </c>
      <c r="U14" s="521">
        <v>20.490311518050454</v>
      </c>
      <c r="V14" s="523"/>
      <c r="W14" s="524" t="s">
        <v>280</v>
      </c>
      <c r="X14" s="525"/>
      <c r="Y14" s="509"/>
      <c r="Z14" s="509"/>
      <c r="AA14" s="509"/>
      <c r="AB14" s="509"/>
    </row>
    <row r="15" spans="1:28" ht="15.75">
      <c r="A15" s="519" t="s">
        <v>281</v>
      </c>
      <c r="B15" s="521"/>
      <c r="C15" s="521">
        <v>21.0154</v>
      </c>
      <c r="D15" s="521">
        <v>20.863</v>
      </c>
      <c r="E15" s="521">
        <v>19.414949999999997</v>
      </c>
      <c r="F15" s="521">
        <v>18.630749999999999</v>
      </c>
      <c r="G15" s="521"/>
      <c r="H15" s="521">
        <v>16.517949999999999</v>
      </c>
      <c r="I15" s="521">
        <v>17.1311</v>
      </c>
      <c r="J15" s="521">
        <v>17.193350000000002</v>
      </c>
      <c r="K15" s="521">
        <v>16.701499999999999</v>
      </c>
      <c r="L15" s="521"/>
      <c r="M15" s="521">
        <v>17.285150000000002</v>
      </c>
      <c r="N15" s="521">
        <v>16.970700000000001</v>
      </c>
      <c r="O15" s="521">
        <v>17.161900000000003</v>
      </c>
      <c r="P15" s="521">
        <v>15.989850000000001</v>
      </c>
      <c r="Q15" s="521"/>
      <c r="R15" s="521">
        <v>16.426450000000003</v>
      </c>
      <c r="S15" s="521">
        <v>17.081099999999999</v>
      </c>
      <c r="T15" s="521">
        <v>17.842100000000002</v>
      </c>
      <c r="U15" s="521">
        <v>18.113977716058216</v>
      </c>
      <c r="V15" s="523"/>
      <c r="W15" s="524" t="s">
        <v>282</v>
      </c>
      <c r="X15" s="525"/>
      <c r="Y15" s="509"/>
      <c r="Z15" s="509"/>
      <c r="AA15" s="509"/>
      <c r="AB15" s="509"/>
    </row>
    <row r="16" spans="1:28" ht="15.75">
      <c r="A16" s="526" t="s">
        <v>283</v>
      </c>
      <c r="B16" s="520"/>
      <c r="C16" s="520"/>
      <c r="D16" s="520"/>
      <c r="E16" s="520"/>
      <c r="F16" s="520"/>
      <c r="G16" s="520"/>
      <c r="H16" s="520"/>
      <c r="I16" s="520"/>
      <c r="J16" s="520"/>
      <c r="K16" s="520"/>
      <c r="L16" s="520"/>
      <c r="M16" s="521"/>
      <c r="N16" s="521"/>
      <c r="O16" s="521"/>
      <c r="P16" s="521"/>
      <c r="Q16" s="520"/>
      <c r="R16" s="521"/>
      <c r="S16" s="521"/>
      <c r="T16" s="521"/>
      <c r="U16" s="521"/>
      <c r="V16" s="527"/>
      <c r="W16" s="528" t="s">
        <v>284</v>
      </c>
      <c r="X16" s="525"/>
      <c r="Y16" s="509"/>
      <c r="Z16" s="509"/>
      <c r="AA16" s="509"/>
      <c r="AB16" s="509"/>
    </row>
    <row r="17" spans="1:28" ht="15.75">
      <c r="A17" s="519" t="s">
        <v>269</v>
      </c>
      <c r="B17" s="521"/>
      <c r="C17" s="521">
        <v>-6.489292667098967E-2</v>
      </c>
      <c r="D17" s="521">
        <v>0.12995451591941709</v>
      </c>
      <c r="E17" s="521">
        <v>0.1953125</v>
      </c>
      <c r="F17" s="521">
        <v>-6.489292667098967E-2</v>
      </c>
      <c r="G17" s="521"/>
      <c r="H17" s="521">
        <v>-6.4935064935067732E-2</v>
      </c>
      <c r="I17" s="521">
        <v>0</v>
      </c>
      <c r="J17" s="521">
        <v>0</v>
      </c>
      <c r="K17" s="521">
        <v>6.493506493505663E-2</v>
      </c>
      <c r="L17" s="521"/>
      <c r="M17" s="521">
        <v>-0.25990903183886749</v>
      </c>
      <c r="N17" s="521">
        <v>-0.19467878001296901</v>
      </c>
      <c r="O17" s="521">
        <v>-0.1299545159194393</v>
      </c>
      <c r="P17" s="521">
        <v>-0.38935756002596023</v>
      </c>
      <c r="Q17" s="521"/>
      <c r="R17" s="521">
        <v>0.26058631921823672</v>
      </c>
      <c r="S17" s="521">
        <v>0</v>
      </c>
      <c r="T17" s="521">
        <v>0.26024723487314549</v>
      </c>
      <c r="U17" s="521">
        <v>0.39087947882736618</v>
      </c>
      <c r="V17" s="523"/>
      <c r="W17" s="524" t="s">
        <v>270</v>
      </c>
      <c r="X17" s="525"/>
      <c r="Y17" s="509"/>
      <c r="Z17" s="509"/>
      <c r="AA17" s="509"/>
      <c r="AB17" s="509"/>
    </row>
    <row r="18" spans="1:28" ht="15.75">
      <c r="A18" s="519" t="s">
        <v>271</v>
      </c>
      <c r="B18" s="521"/>
      <c r="C18" s="521">
        <v>-8.8489159195021099</v>
      </c>
      <c r="D18" s="521">
        <v>-2.4366784225713367</v>
      </c>
      <c r="E18" s="521">
        <v>-10.624801776086279</v>
      </c>
      <c r="F18" s="521">
        <v>-12.589804994868281</v>
      </c>
      <c r="G18" s="521"/>
      <c r="H18" s="521">
        <v>-14.652870493991987</v>
      </c>
      <c r="I18" s="521">
        <v>-17.581334209661513</v>
      </c>
      <c r="J18" s="521">
        <v>-8.800567778566359</v>
      </c>
      <c r="K18" s="521">
        <v>0.8219178082191636</v>
      </c>
      <c r="L18" s="521"/>
      <c r="M18" s="521">
        <v>7.07860774344935</v>
      </c>
      <c r="N18" s="521">
        <v>20.05582137161084</v>
      </c>
      <c r="O18" s="521">
        <v>17.782101167315155</v>
      </c>
      <c r="P18" s="521">
        <v>1.9021739130434812</v>
      </c>
      <c r="Q18" s="521"/>
      <c r="R18" s="521">
        <v>1.6070124178232392</v>
      </c>
      <c r="S18" s="521">
        <v>-9.4652939222849781</v>
      </c>
      <c r="T18" s="521">
        <v>-10.0429468120251</v>
      </c>
      <c r="U18" s="521">
        <v>3.4700644778889789</v>
      </c>
      <c r="V18" s="523"/>
      <c r="W18" s="524" t="s">
        <v>272</v>
      </c>
      <c r="X18" s="525"/>
      <c r="Y18" s="509"/>
      <c r="Z18" s="509"/>
      <c r="AA18" s="509"/>
      <c r="AB18" s="509"/>
    </row>
    <row r="19" spans="1:28" ht="15.75">
      <c r="A19" s="519" t="s">
        <v>273</v>
      </c>
      <c r="B19" s="521"/>
      <c r="C19" s="521">
        <v>-1.4118555235038244</v>
      </c>
      <c r="D19" s="521">
        <v>1.4202109814738906</v>
      </c>
      <c r="E19" s="521">
        <v>-1.2614900375159777</v>
      </c>
      <c r="F19" s="521">
        <v>-3.9886938584075882</v>
      </c>
      <c r="G19" s="521"/>
      <c r="H19" s="521">
        <v>-8.3657868166738822</v>
      </c>
      <c r="I19" s="521">
        <v>-7.2188735339279049</v>
      </c>
      <c r="J19" s="521">
        <v>-10.697773135297318</v>
      </c>
      <c r="K19" s="521">
        <v>-6.5549604229620311</v>
      </c>
      <c r="L19" s="521"/>
      <c r="M19" s="521">
        <v>1.6482651615659538</v>
      </c>
      <c r="N19" s="521">
        <v>-0.18354277162790922</v>
      </c>
      <c r="O19" s="521">
        <v>4.806908153802425</v>
      </c>
      <c r="P19" s="521">
        <v>-3.2948121281655252</v>
      </c>
      <c r="Q19" s="521"/>
      <c r="R19" s="521">
        <v>-3.0284930537120558</v>
      </c>
      <c r="S19" s="521">
        <v>-2.6109234581837781</v>
      </c>
      <c r="T19" s="521">
        <v>1.2449867053199171E-2</v>
      </c>
      <c r="U19" s="521">
        <v>9.2666406565646842</v>
      </c>
      <c r="V19" s="523"/>
      <c r="W19" s="524" t="s">
        <v>274</v>
      </c>
      <c r="X19" s="525"/>
      <c r="Y19" s="509"/>
      <c r="Z19" s="509"/>
      <c r="AA19" s="509"/>
      <c r="AB19" s="509"/>
    </row>
    <row r="20" spans="1:28" ht="15.75">
      <c r="A20" s="519" t="s">
        <v>275</v>
      </c>
      <c r="B20" s="521"/>
      <c r="C20" s="521">
        <v>-9.6500467375044696</v>
      </c>
      <c r="D20" s="521">
        <v>-0.94485152333202427</v>
      </c>
      <c r="E20" s="521">
        <v>1.2931905435441537</v>
      </c>
      <c r="F20" s="521">
        <v>-2.6605784642872998</v>
      </c>
      <c r="G20" s="521"/>
      <c r="H20" s="521">
        <v>-4.0558897729477961</v>
      </c>
      <c r="I20" s="521">
        <v>-5.9373175004866834</v>
      </c>
      <c r="J20" s="521">
        <v>-6.6028326351486033</v>
      </c>
      <c r="K20" s="521">
        <v>-4.5163951330171148</v>
      </c>
      <c r="L20" s="521"/>
      <c r="M20" s="521">
        <v>-6.472491909385103</v>
      </c>
      <c r="N20" s="521">
        <v>-6.14652317880795</v>
      </c>
      <c r="O20" s="521">
        <v>-1.1319948739854868</v>
      </c>
      <c r="P20" s="521">
        <v>-2.39740820734341</v>
      </c>
      <c r="Q20" s="521"/>
      <c r="R20" s="521">
        <v>2.7681660899653959</v>
      </c>
      <c r="S20" s="521">
        <v>5.1598676957001155</v>
      </c>
      <c r="T20" s="521">
        <v>0.82091164398359062</v>
      </c>
      <c r="U20" s="521">
        <v>5.8502447881547681</v>
      </c>
      <c r="V20" s="523"/>
      <c r="W20" s="524" t="s">
        <v>276</v>
      </c>
      <c r="X20" s="525"/>
      <c r="Y20" s="509"/>
      <c r="Z20" s="509"/>
      <c r="AA20" s="509"/>
      <c r="AB20" s="509"/>
    </row>
    <row r="21" spans="1:28" ht="15.75">
      <c r="A21" s="519" t="s">
        <v>277</v>
      </c>
      <c r="B21" s="521"/>
      <c r="C21" s="521">
        <v>-3.5937334948451416</v>
      </c>
      <c r="D21" s="521">
        <v>-0.4222972972973249</v>
      </c>
      <c r="E21" s="521">
        <v>1.1934457535011322</v>
      </c>
      <c r="F21" s="521">
        <v>-0.37672712084166893</v>
      </c>
      <c r="G21" s="521"/>
      <c r="H21" s="521">
        <v>-1.7431972789115679</v>
      </c>
      <c r="I21" s="521">
        <v>-2.7989821882951516</v>
      </c>
      <c r="J21" s="521">
        <v>-7.3398387781077652</v>
      </c>
      <c r="K21" s="521">
        <v>-8.7030716723549446</v>
      </c>
      <c r="L21" s="521"/>
      <c r="M21" s="521">
        <v>-10.38511466897447</v>
      </c>
      <c r="N21" s="521">
        <v>-7.8970331588132492</v>
      </c>
      <c r="O21" s="521">
        <v>-3.4798534798534897</v>
      </c>
      <c r="P21" s="521">
        <v>-3.831775700934581</v>
      </c>
      <c r="Q21" s="521"/>
      <c r="R21" s="521">
        <v>-2.6074360212457792</v>
      </c>
      <c r="S21" s="521">
        <v>-5.7318806252960712</v>
      </c>
      <c r="T21" s="521">
        <v>-1.5180265654648917</v>
      </c>
      <c r="U21" s="521">
        <v>1.3453883079284523</v>
      </c>
      <c r="V21" s="523"/>
      <c r="W21" s="524" t="s">
        <v>278</v>
      </c>
      <c r="X21" s="525"/>
      <c r="Y21" s="509"/>
      <c r="Z21" s="509"/>
      <c r="AA21" s="509"/>
      <c r="AB21" s="509"/>
    </row>
    <row r="22" spans="1:28" ht="15.75">
      <c r="A22" s="519" t="s">
        <v>279</v>
      </c>
      <c r="B22" s="521"/>
      <c r="C22" s="521">
        <v>9.7256072573235421</v>
      </c>
      <c r="D22" s="521">
        <v>11.500206457299722</v>
      </c>
      <c r="E22" s="521">
        <v>0.60945658304072392</v>
      </c>
      <c r="F22" s="521">
        <v>-5.6001236632870715</v>
      </c>
      <c r="G22" s="521"/>
      <c r="H22" s="521">
        <v>-11.071601269032548</v>
      </c>
      <c r="I22" s="521">
        <v>-7.6001320126947274</v>
      </c>
      <c r="J22" s="521">
        <v>-6.7903913461036192</v>
      </c>
      <c r="K22" s="521">
        <v>-4.7344532663780807</v>
      </c>
      <c r="L22" s="521"/>
      <c r="M22" s="521">
        <v>-3.0927766688991443</v>
      </c>
      <c r="N22" s="521">
        <v>-14.88309697997936</v>
      </c>
      <c r="O22" s="521">
        <v>-14.101538839586913</v>
      </c>
      <c r="P22" s="521">
        <v>-17.208992785145416</v>
      </c>
      <c r="Q22" s="521"/>
      <c r="R22" s="521">
        <v>-13.233975872285985</v>
      </c>
      <c r="S22" s="521">
        <v>-4.9096937418726778</v>
      </c>
      <c r="T22" s="521">
        <v>2.5653637004675156</v>
      </c>
      <c r="U22" s="521">
        <v>9.0797910962136861</v>
      </c>
      <c r="V22" s="523"/>
      <c r="W22" s="524" t="s">
        <v>280</v>
      </c>
      <c r="X22" s="525"/>
      <c r="Y22" s="509"/>
      <c r="Z22" s="509"/>
      <c r="AA22" s="509"/>
      <c r="AB22" s="509"/>
    </row>
    <row r="23" spans="1:28" ht="15.75">
      <c r="A23" s="519" t="s">
        <v>281</v>
      </c>
      <c r="B23" s="521"/>
      <c r="C23" s="521">
        <v>7.6889966128445675</v>
      </c>
      <c r="D23" s="521">
        <v>4.7836448515987673</v>
      </c>
      <c r="E23" s="521">
        <v>-5.9346361528790474</v>
      </c>
      <c r="F23" s="521">
        <v>-11.349685953559185</v>
      </c>
      <c r="G23" s="521"/>
      <c r="H23" s="521">
        <v>-21.400734699315738</v>
      </c>
      <c r="I23" s="521">
        <v>-17.887647989263289</v>
      </c>
      <c r="J23" s="521">
        <v>-11.442728412898283</v>
      </c>
      <c r="K23" s="521">
        <v>-10.355192356722087</v>
      </c>
      <c r="L23" s="521"/>
      <c r="M23" s="521">
        <v>4.6446441598382515</v>
      </c>
      <c r="N23" s="521">
        <v>-0.93630881846465952</v>
      </c>
      <c r="O23" s="521">
        <v>-0.18291955901554857</v>
      </c>
      <c r="P23" s="521">
        <v>-4.2609945214501561</v>
      </c>
      <c r="Q23" s="521"/>
      <c r="R23" s="521">
        <v>-4.9678481239676771</v>
      </c>
      <c r="S23" s="521">
        <v>0.65053297742578842</v>
      </c>
      <c r="T23" s="521">
        <v>3.9634306224835214</v>
      </c>
      <c r="U23" s="521">
        <v>13.284225405855675</v>
      </c>
      <c r="V23" s="523"/>
      <c r="W23" s="524" t="s">
        <v>282</v>
      </c>
      <c r="X23" s="525"/>
      <c r="Y23" s="509"/>
      <c r="Z23" s="509"/>
      <c r="AA23" s="509"/>
      <c r="AB23" s="509"/>
    </row>
    <row r="24" spans="1:28" ht="4.5" customHeight="1">
      <c r="A24" s="512"/>
      <c r="B24" s="529"/>
      <c r="C24" s="529"/>
      <c r="D24" s="529"/>
      <c r="E24" s="529"/>
      <c r="F24" s="529"/>
      <c r="G24" s="529"/>
      <c r="H24" s="529"/>
      <c r="I24" s="529"/>
      <c r="J24" s="529"/>
      <c r="K24" s="529"/>
      <c r="L24" s="529"/>
      <c r="M24" s="533"/>
      <c r="N24" s="533"/>
      <c r="O24" s="533"/>
      <c r="P24" s="533"/>
      <c r="Q24" s="529"/>
      <c r="R24" s="533"/>
      <c r="S24" s="533"/>
      <c r="T24" s="533"/>
      <c r="U24" s="533"/>
      <c r="V24" s="530"/>
      <c r="W24" s="531"/>
      <c r="X24" s="525"/>
      <c r="Y24" s="509"/>
      <c r="Z24" s="509"/>
    </row>
    <row r="25" spans="1:28" ht="15.75">
      <c r="A25" s="519" t="s">
        <v>285</v>
      </c>
      <c r="B25" s="522"/>
      <c r="C25" s="521">
        <v>23.802702</v>
      </c>
      <c r="D25" s="521">
        <v>23.822164900000001</v>
      </c>
      <c r="E25" s="521">
        <v>22.816906200000002</v>
      </c>
      <c r="F25" s="676">
        <v>22.311674</v>
      </c>
      <c r="G25" s="677"/>
      <c r="H25" s="676">
        <v>21.230351100000004</v>
      </c>
      <c r="I25" s="521">
        <v>21.672469899999999</v>
      </c>
      <c r="J25" s="521">
        <v>21.6035586</v>
      </c>
      <c r="K25" s="521">
        <v>21.354099299999998</v>
      </c>
      <c r="M25" s="521">
        <v>21.625387</v>
      </c>
      <c r="N25" s="532">
        <v>21.514159200000002</v>
      </c>
      <c r="O25" s="521">
        <v>21.453599699999998</v>
      </c>
      <c r="P25" s="521">
        <v>20.635465499999999</v>
      </c>
      <c r="R25" s="521">
        <v>20.881890720000001</v>
      </c>
      <c r="S25" s="521">
        <v>21.399578200000001</v>
      </c>
      <c r="T25" s="521">
        <v>21.778953000000001</v>
      </c>
      <c r="U25" s="521">
        <v>21.9458433</v>
      </c>
      <c r="V25" s="671" t="s">
        <v>286</v>
      </c>
      <c r="W25" s="671"/>
      <c r="X25" s="525"/>
      <c r="Y25" s="509"/>
      <c r="Z25" s="509"/>
    </row>
    <row r="26" spans="1:28" ht="15.75">
      <c r="A26" s="512" t="s">
        <v>287</v>
      </c>
      <c r="B26" s="533"/>
      <c r="C26" s="533">
        <v>1.5456300000000001</v>
      </c>
      <c r="D26" s="533">
        <v>1.54589</v>
      </c>
      <c r="E26" s="533">
        <v>1.48258</v>
      </c>
      <c r="F26" s="533">
        <v>1.4488099999999999</v>
      </c>
      <c r="G26" s="678"/>
      <c r="H26" s="533">
        <v>1.3794900000000001</v>
      </c>
      <c r="I26" s="533">
        <v>1.40639</v>
      </c>
      <c r="J26" s="533">
        <v>1.40374</v>
      </c>
      <c r="K26" s="533">
        <v>1.3857299999999999</v>
      </c>
      <c r="L26" s="678"/>
      <c r="M26" s="533">
        <v>1.40882</v>
      </c>
      <c r="N26" s="529">
        <v>1.3988400000000001</v>
      </c>
      <c r="O26" s="533">
        <v>1.39581</v>
      </c>
      <c r="P26" s="533">
        <v>1.34433</v>
      </c>
      <c r="Q26" s="678"/>
      <c r="R26" s="533">
        <v>1.3568480000000001</v>
      </c>
      <c r="S26" s="533">
        <v>1.3913899999999999</v>
      </c>
      <c r="T26" s="533">
        <v>1.4133</v>
      </c>
      <c r="U26" s="533">
        <v>1.4241299999999999</v>
      </c>
      <c r="V26" s="672" t="s">
        <v>288</v>
      </c>
      <c r="W26" s="672"/>
      <c r="X26" s="525"/>
      <c r="Y26" s="509"/>
      <c r="Z26" s="509"/>
    </row>
    <row r="27" spans="1:28" ht="17.25">
      <c r="A27" s="534" t="s">
        <v>289</v>
      </c>
      <c r="B27" s="536"/>
      <c r="C27" s="536"/>
      <c r="D27" s="536"/>
      <c r="E27" s="536"/>
      <c r="F27" s="536"/>
      <c r="G27" s="536"/>
      <c r="H27" s="536"/>
      <c r="I27" s="536"/>
      <c r="J27" s="536"/>
      <c r="K27" s="536"/>
      <c r="L27" s="536"/>
      <c r="M27" s="536"/>
      <c r="N27" s="536"/>
      <c r="O27" s="536"/>
      <c r="P27" s="536"/>
      <c r="Q27" s="536"/>
      <c r="R27" s="536"/>
      <c r="S27" s="536"/>
      <c r="T27" s="536"/>
      <c r="U27" s="536"/>
      <c r="V27" s="536"/>
      <c r="W27" s="679"/>
      <c r="X27" s="537"/>
      <c r="Y27" s="536"/>
      <c r="Z27" s="537"/>
    </row>
    <row r="28" spans="1:28" ht="17.25">
      <c r="A28" s="538" t="s">
        <v>290</v>
      </c>
      <c r="B28" s="536"/>
      <c r="C28" s="536"/>
      <c r="D28" s="680"/>
      <c r="E28" s="680"/>
      <c r="F28" s="536"/>
      <c r="G28" s="536"/>
      <c r="H28" s="536"/>
      <c r="I28" s="681"/>
      <c r="J28" s="681"/>
      <c r="K28" s="536"/>
      <c r="L28" s="536"/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9"/>
      <c r="X28" s="537"/>
      <c r="Y28" s="536"/>
      <c r="Z28" s="540"/>
    </row>
    <row r="29" spans="1:28" ht="17.25">
      <c r="A29" s="541"/>
      <c r="B29" s="541"/>
      <c r="C29" s="521"/>
      <c r="D29" s="521"/>
      <c r="E29" s="521"/>
      <c r="F29" s="521"/>
      <c r="I29" s="521"/>
      <c r="J29" s="521"/>
      <c r="K29" s="521"/>
      <c r="M29" s="521"/>
      <c r="O29" s="521"/>
      <c r="R29" s="521"/>
      <c r="S29" s="521"/>
      <c r="T29" s="521"/>
      <c r="U29" s="521"/>
      <c r="V29" s="521"/>
      <c r="W29" s="543"/>
      <c r="X29" s="542"/>
      <c r="Y29" s="541"/>
      <c r="Z29" s="541"/>
    </row>
    <row r="30" spans="1:28">
      <c r="A30" s="544"/>
      <c r="B30" s="544"/>
      <c r="C30" s="544"/>
      <c r="D30" s="544"/>
      <c r="E30" s="544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5"/>
      <c r="Y30" s="544"/>
      <c r="Z30" s="544"/>
    </row>
    <row r="31" spans="1:28">
      <c r="A31" s="544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36"/>
      <c r="X31" s="535"/>
      <c r="Y31" s="536"/>
      <c r="Z31" s="536"/>
    </row>
    <row r="32" spans="1:28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6"/>
      <c r="X32" s="535"/>
      <c r="Y32" s="536"/>
      <c r="Z32" s="536"/>
    </row>
    <row r="33" spans="1:26">
      <c r="A33" s="544"/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36"/>
      <c r="X33" s="535"/>
      <c r="Y33" s="536"/>
      <c r="Z33" s="536"/>
    </row>
    <row r="34" spans="1:26">
      <c r="A34" s="544"/>
      <c r="B34" s="544"/>
      <c r="C34" s="544"/>
      <c r="D34" s="544"/>
      <c r="E34" s="54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36"/>
    </row>
    <row r="35" spans="1:26">
      <c r="A35" s="544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09"/>
    </row>
    <row r="36" spans="1:26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09"/>
    </row>
    <row r="37" spans="1:26">
      <c r="A37" s="544"/>
      <c r="B37" s="544"/>
      <c r="C37" s="544"/>
      <c r="D37" s="544"/>
      <c r="E37" s="54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09"/>
    </row>
    <row r="38" spans="1:26">
      <c r="A38" s="544"/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09"/>
    </row>
    <row r="39" spans="1:26">
      <c r="A39" s="544"/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09"/>
    </row>
    <row r="40" spans="1:26">
      <c r="A40" s="544"/>
      <c r="B40" s="544"/>
      <c r="C40" s="544"/>
      <c r="D40" s="544"/>
      <c r="E40" s="54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09"/>
    </row>
    <row r="41" spans="1:26">
      <c r="A41" s="544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09"/>
    </row>
    <row r="42" spans="1:26">
      <c r="A42" s="544"/>
      <c r="B42" s="544"/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09"/>
    </row>
    <row r="43" spans="1:26">
      <c r="A43" s="544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09"/>
    </row>
    <row r="44" spans="1:26">
      <c r="A44" s="547"/>
      <c r="B44" s="509"/>
      <c r="C44" s="509"/>
      <c r="D44" s="509"/>
      <c r="E44" s="509"/>
      <c r="H44" s="509"/>
      <c r="I44" s="509"/>
      <c r="J44" s="509"/>
      <c r="K44" s="509"/>
      <c r="N44" s="509"/>
      <c r="O44" s="509"/>
      <c r="P44" s="509"/>
      <c r="R44" s="509"/>
      <c r="S44" s="509"/>
      <c r="T44" s="509"/>
      <c r="U44" s="509"/>
      <c r="V44" s="509"/>
      <c r="W44" s="509"/>
    </row>
    <row r="45" spans="1:26">
      <c r="A45" s="547"/>
      <c r="B45" s="509"/>
      <c r="C45" s="509"/>
      <c r="T45" s="509"/>
      <c r="U45" s="509"/>
      <c r="V45" s="509"/>
      <c r="W45" s="509"/>
    </row>
    <row r="46" spans="1:26">
      <c r="A46" s="547"/>
      <c r="B46" s="509"/>
      <c r="C46" s="682"/>
      <c r="D46" s="682"/>
      <c r="E46" s="682"/>
      <c r="F46" s="682"/>
      <c r="G46" s="682"/>
      <c r="H46" s="682"/>
      <c r="I46" s="682"/>
      <c r="J46" s="682"/>
      <c r="K46" s="682"/>
      <c r="L46" s="682"/>
      <c r="M46" s="682"/>
      <c r="N46" s="682"/>
      <c r="O46" s="682"/>
      <c r="P46" s="682"/>
      <c r="Q46" s="682"/>
      <c r="R46" s="682"/>
      <c r="S46" s="682"/>
      <c r="T46" s="682"/>
      <c r="U46" s="682"/>
      <c r="V46" s="509"/>
      <c r="W46" s="509"/>
    </row>
    <row r="47" spans="1:26">
      <c r="A47" s="547"/>
      <c r="B47" s="509"/>
      <c r="C47" s="682"/>
      <c r="D47" s="682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2"/>
      <c r="P47" s="682"/>
      <c r="Q47" s="682"/>
      <c r="R47" s="682"/>
      <c r="S47" s="682"/>
      <c r="T47" s="682"/>
      <c r="U47" s="682"/>
      <c r="V47" s="509"/>
      <c r="W47" s="509"/>
    </row>
    <row r="48" spans="1:26">
      <c r="A48" s="547"/>
      <c r="B48" s="548"/>
      <c r="C48" s="682"/>
      <c r="D48" s="682"/>
      <c r="E48" s="682"/>
      <c r="F48" s="682"/>
      <c r="G48" s="682"/>
      <c r="H48" s="682"/>
      <c r="I48" s="682"/>
      <c r="J48" s="682"/>
      <c r="K48" s="682"/>
      <c r="L48" s="682"/>
      <c r="M48" s="682"/>
      <c r="N48" s="682"/>
      <c r="O48" s="682"/>
      <c r="P48" s="682"/>
      <c r="Q48" s="682"/>
      <c r="R48" s="682"/>
      <c r="S48" s="682"/>
      <c r="T48" s="682"/>
      <c r="U48" s="682"/>
      <c r="V48" s="548"/>
      <c r="W48" s="548"/>
    </row>
    <row r="49" spans="3:23">
      <c r="C49" s="682"/>
      <c r="D49" s="682"/>
      <c r="E49" s="682"/>
      <c r="F49" s="682"/>
      <c r="G49" s="682"/>
      <c r="H49" s="682"/>
      <c r="I49" s="682"/>
      <c r="J49" s="682"/>
      <c r="K49" s="682"/>
      <c r="L49" s="682"/>
      <c r="M49" s="682"/>
      <c r="N49" s="682"/>
      <c r="O49" s="682"/>
      <c r="P49" s="682"/>
      <c r="Q49" s="682"/>
      <c r="R49" s="682"/>
      <c r="S49" s="682"/>
      <c r="T49" s="682"/>
      <c r="U49" s="682"/>
    </row>
    <row r="57" spans="3:23">
      <c r="H57" s="683"/>
      <c r="I57" s="683"/>
      <c r="J57" s="683"/>
      <c r="K57" s="683"/>
      <c r="L57" s="683"/>
      <c r="M57" s="683"/>
      <c r="N57" s="683"/>
      <c r="O57" s="683"/>
      <c r="P57" s="683"/>
      <c r="Q57" s="683"/>
      <c r="R57" s="683"/>
      <c r="S57" s="683"/>
      <c r="T57" s="683"/>
      <c r="U57" s="683"/>
      <c r="V57" s="683"/>
      <c r="W57" s="683"/>
    </row>
    <row r="58" spans="3:23">
      <c r="H58" s="683"/>
      <c r="I58" s="683"/>
      <c r="J58" s="683"/>
      <c r="K58" s="683"/>
      <c r="L58" s="683"/>
      <c r="M58" s="683"/>
      <c r="N58" s="683"/>
      <c r="O58" s="683"/>
      <c r="P58" s="683"/>
      <c r="Q58" s="683"/>
      <c r="R58" s="683"/>
      <c r="S58" s="683"/>
      <c r="T58" s="683"/>
      <c r="U58" s="683"/>
      <c r="V58" s="683"/>
      <c r="W58" s="683"/>
    </row>
    <row r="59" spans="3:23">
      <c r="H59" s="683"/>
      <c r="I59" s="683"/>
      <c r="J59" s="683"/>
      <c r="K59" s="683"/>
      <c r="L59" s="683"/>
      <c r="M59" s="683"/>
      <c r="N59" s="683"/>
      <c r="O59" s="683"/>
      <c r="P59" s="683"/>
      <c r="Q59" s="683"/>
      <c r="R59" s="683"/>
      <c r="S59" s="683"/>
      <c r="T59" s="683"/>
      <c r="U59" s="683"/>
      <c r="V59" s="683"/>
      <c r="W59" s="683"/>
    </row>
    <row r="60" spans="3:23">
      <c r="H60" s="683"/>
      <c r="I60" s="683"/>
      <c r="J60" s="683"/>
      <c r="K60" s="683"/>
      <c r="L60" s="683"/>
      <c r="M60" s="683"/>
      <c r="N60" s="683"/>
      <c r="O60" s="683"/>
      <c r="P60" s="683"/>
      <c r="Q60" s="683"/>
      <c r="R60" s="683"/>
      <c r="S60" s="683"/>
      <c r="T60" s="683"/>
      <c r="U60" s="683"/>
      <c r="V60" s="683"/>
      <c r="W60" s="683"/>
    </row>
    <row r="61" spans="3:23">
      <c r="H61" s="683"/>
      <c r="I61" s="683"/>
      <c r="J61" s="683"/>
      <c r="K61" s="683"/>
      <c r="L61" s="683"/>
      <c r="M61" s="683"/>
      <c r="N61" s="683"/>
      <c r="O61" s="683"/>
      <c r="P61" s="683"/>
      <c r="Q61" s="683"/>
      <c r="R61" s="683"/>
      <c r="S61" s="683"/>
      <c r="T61" s="683"/>
      <c r="U61" s="683"/>
      <c r="V61" s="683"/>
      <c r="W61" s="683"/>
    </row>
    <row r="62" spans="3:23">
      <c r="H62" s="683"/>
      <c r="I62" s="683"/>
      <c r="J62" s="683"/>
      <c r="K62" s="683"/>
      <c r="L62" s="683"/>
      <c r="M62" s="683"/>
      <c r="N62" s="683"/>
      <c r="O62" s="683"/>
      <c r="P62" s="683"/>
      <c r="Q62" s="683"/>
      <c r="R62" s="683"/>
      <c r="S62" s="683"/>
      <c r="T62" s="683"/>
      <c r="U62" s="683"/>
      <c r="V62" s="683"/>
      <c r="W62" s="683"/>
    </row>
    <row r="63" spans="3:23"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</row>
    <row r="64" spans="3:23">
      <c r="H64" s="683"/>
      <c r="I64" s="683"/>
      <c r="J64" s="683"/>
      <c r="K64" s="683"/>
      <c r="L64" s="683"/>
      <c r="M64" s="683"/>
      <c r="N64" s="683"/>
      <c r="O64" s="683"/>
      <c r="P64" s="683"/>
      <c r="Q64" s="683"/>
      <c r="R64" s="683"/>
      <c r="S64" s="683"/>
      <c r="T64" s="683"/>
      <c r="U64" s="683"/>
      <c r="V64" s="683"/>
      <c r="W64" s="683"/>
    </row>
  </sheetData>
  <mergeCells count="10">
    <mergeCell ref="M6:P6"/>
    <mergeCell ref="V25:W25"/>
    <mergeCell ref="V26:W26"/>
    <mergeCell ref="A1:W1"/>
    <mergeCell ref="A2:W2"/>
    <mergeCell ref="A3:W3"/>
    <mergeCell ref="A4:W4"/>
    <mergeCell ref="C6:F6"/>
    <mergeCell ref="H6:K6"/>
    <mergeCell ref="R6:U6"/>
  </mergeCells>
  <pageMargins left="0.7" right="0.7" top="0.75" bottom="0.75" header="0.3" footer="0.3"/>
  <pageSetup paperSize="9" scale="7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17.1</vt:lpstr>
      <vt:lpstr>17.2</vt:lpstr>
      <vt:lpstr>17.3</vt:lpstr>
      <vt:lpstr>17.4</vt:lpstr>
      <vt:lpstr>17.5</vt:lpstr>
      <vt:lpstr>17.6</vt:lpstr>
      <vt:lpstr>17.7</vt:lpstr>
      <vt:lpstr>17.8</vt:lpstr>
      <vt:lpstr>17.9</vt:lpstr>
      <vt:lpstr>17.10</vt:lpstr>
      <vt:lpstr>17.9 new</vt:lpstr>
      <vt:lpstr>17.12</vt:lpstr>
      <vt:lpstr>17.13</vt:lpstr>
      <vt:lpstr>17.14</vt:lpstr>
      <vt:lpstr>'17.1'!Print_Area</vt:lpstr>
      <vt:lpstr>'17.10'!Print_Area</vt:lpstr>
      <vt:lpstr>'17.14'!Print_Area</vt:lpstr>
      <vt:lpstr>'17.2'!Print_Area</vt:lpstr>
      <vt:lpstr>'17.3'!Print_Area</vt:lpstr>
      <vt:lpstr>'17.4'!Print_Area</vt:lpstr>
      <vt:lpstr>'17.5'!Print_Area</vt:lpstr>
      <vt:lpstr>'17.6'!Print_Area</vt:lpstr>
      <vt:lpstr>'17.7'!Print_Area</vt:lpstr>
      <vt:lpstr>'17.8'!Print_Area</vt:lpstr>
      <vt:lpstr>'17.9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2017-06-07T07:01:37Z</cp:lastPrinted>
  <dcterms:created xsi:type="dcterms:W3CDTF">2007-02-08T08:33:33Z</dcterms:created>
  <dcterms:modified xsi:type="dcterms:W3CDTF">2018-04-10T05:20:21Z</dcterms:modified>
</cp:coreProperties>
</file>