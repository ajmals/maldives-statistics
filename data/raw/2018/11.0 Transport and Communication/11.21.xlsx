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21" sheetId="13" r:id="rId1"/>
  </sheets>
  <definedNames>
    <definedName name="_xlnm.Print_Area" localSheetId="0">'11.21'!$A$1:$I$20</definedName>
  </definedNames>
  <calcPr calcId="162913"/>
</workbook>
</file>

<file path=xl/calcChain.xml><?xml version="1.0" encoding="utf-8"?>
<calcChain xmlns="http://schemas.openxmlformats.org/spreadsheetml/2006/main">
  <c r="B18" i="13" l="1"/>
  <c r="B17" i="13"/>
  <c r="B16" i="13"/>
  <c r="B15" i="13"/>
  <c r="B14" i="13"/>
  <c r="B13" i="13"/>
  <c r="B12" i="13"/>
  <c r="B11" i="13"/>
  <c r="B10" i="13"/>
  <c r="B9" i="13"/>
  <c r="B8" i="13"/>
  <c r="B7" i="13"/>
  <c r="H6" i="13"/>
  <c r="G6" i="13"/>
  <c r="F6" i="13"/>
  <c r="E6" i="13"/>
  <c r="D6" i="13"/>
  <c r="C6" i="13"/>
  <c r="B6" i="13" l="1"/>
</calcChain>
</file>

<file path=xl/sharedStrings.xml><?xml version="1.0" encoding="utf-8"?>
<sst xmlns="http://schemas.openxmlformats.org/spreadsheetml/2006/main" count="42" uniqueCount="39">
  <si>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</si>
  <si>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</si>
  <si>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</si>
  <si>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</si>
  <si>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</si>
  <si>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</si>
  <si>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</si>
  <si>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</si>
  <si>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</si>
  <si>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</si>
  <si>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</si>
  <si>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</si>
  <si>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</si>
  <si>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</si>
  <si>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</si>
  <si>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</si>
  <si>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</si>
  <si>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</si>
  <si>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</si>
  <si>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</si>
  <si>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</si>
  <si>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</si>
  <si>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</si>
  <si>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</si>
  <si>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</si>
  <si>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</si>
  <si>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</si>
  <si>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</si>
  <si>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</si>
  <si>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</si>
  <si>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</si>
  <si>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</si>
  <si>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</si>
  <si>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</si>
  <si>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(in Kg)</t>
  </si>
  <si>
    <t>Inward</t>
  </si>
  <si>
    <t>Outward</t>
  </si>
  <si>
    <t>ތާވަލު 11.20: މަސްމަހުގެ ގޮތުން އިބްރާހީމް ނާސިރު އިންޓަރނޭޝަނަލް އެއަރޕޯޓުގައި ފަސިންޖަރުންގެ ދަތުރުފަތުރު ހުރި ގޮތް، 2017</t>
  </si>
  <si>
    <t>Table  11.21 :  CARGO HANDLED AT IBRAHIM NASIR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</si>
</sst>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9"/>
      <name val="Faruma"/>
      <charset val="1"/>
    </font>
    <font>
      <sz val="10"/>
      <name val="Courier"/>
      <family val="3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5" fillId="0" borderId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164" fontId="15" fillId="2" borderId="0" xfId="5" applyNumberFormat="1" applyFont="1" applyFill="1" applyBorder="1" applyAlignment="1">
      <alignment horizontal="right" vertical="center"/>
    </xf>
    <xf numFmtId="164" fontId="15" fillId="2" borderId="3" xfId="5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top"/>
    </xf>
    <xf numFmtId="164" fontId="7" fillId="2" borderId="0" xfId="5" applyNumberFormat="1" applyFont="1" applyFill="1" applyAlignment="1" applyProtection="1">
      <alignment horizontal="left" vertical="top"/>
    </xf>
    <xf numFmtId="0" fontId="8" fillId="2" borderId="1" xfId="0" applyNumberFormat="1" applyFont="1" applyFill="1" applyBorder="1" applyAlignment="1">
      <alignment horizontal="right" vertical="top"/>
    </xf>
    <xf numFmtId="0" fontId="9" fillId="2" borderId="1" xfId="0" applyNumberFormat="1" applyFont="1" applyFill="1" applyBorder="1" applyAlignment="1">
      <alignment horizontal="right" vertical="center"/>
    </xf>
    <xf numFmtId="0" fontId="6" fillId="2" borderId="0" xfId="13" applyFont="1" applyFill="1" applyAlignment="1">
      <alignment vertical="center"/>
    </xf>
    <xf numFmtId="164" fontId="6" fillId="2" borderId="3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38" fontId="2" fillId="2" borderId="0" xfId="6" applyNumberFormat="1" applyFont="1" applyFill="1" applyAlignment="1" applyProtection="1">
      <alignment horizontal="right" vertical="center"/>
    </xf>
    <xf numFmtId="38" fontId="2" fillId="2" borderId="0" xfId="6" applyNumberFormat="1" applyFont="1" applyFill="1" applyBorder="1" applyAlignment="1" applyProtection="1">
      <alignment horizontal="right" vertical="center" wrapText="1"/>
    </xf>
    <xf numFmtId="38" fontId="2" fillId="2" borderId="4" xfId="6" applyNumberFormat="1" applyFont="1" applyFill="1" applyBorder="1" applyAlignment="1" applyProtection="1">
      <alignment horizontal="right" vertical="center" wrapText="1"/>
    </xf>
    <xf numFmtId="38" fontId="2" fillId="2" borderId="2" xfId="6" applyNumberFormat="1" applyFont="1" applyFill="1" applyBorder="1" applyAlignment="1" applyProtection="1">
      <alignment horizontal="right" vertical="center" wrapText="1"/>
    </xf>
    <xf numFmtId="38" fontId="2" fillId="2" borderId="3" xfId="6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37" fontId="3" fillId="2" borderId="0" xfId="5" applyNumberFormat="1" applyFont="1" applyFill="1" applyAlignment="1" applyProtection="1">
      <alignment vertical="top"/>
    </xf>
    <xf numFmtId="38" fontId="3" fillId="2" borderId="0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6" applyNumberFormat="1" applyFont="1" applyFill="1" applyAlignment="1" applyProtection="1">
      <alignment horizontal="right" vertical="center" wrapText="1"/>
      <protection locked="0"/>
    </xf>
    <xf numFmtId="38" fontId="3" fillId="2" borderId="4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5" applyNumberFormat="1" applyFont="1" applyFill="1" applyBorder="1" applyAlignment="1" applyProtection="1">
      <alignment horizontal="right" vertical="center" wrapText="1"/>
      <protection locked="0"/>
    </xf>
    <xf numFmtId="38" fontId="3" fillId="2" borderId="3" xfId="6" applyNumberFormat="1" applyFont="1" applyFill="1" applyBorder="1" applyAlignment="1" applyProtection="1">
      <alignment horizontal="right" vertical="center" wrapText="1"/>
    </xf>
    <xf numFmtId="38" fontId="3" fillId="2" borderId="5" xfId="6" applyNumberFormat="1" applyFont="1" applyFill="1" applyBorder="1" applyAlignment="1" applyProtection="1">
      <alignment horizontal="right" vertical="center" wrapText="1"/>
    </xf>
    <xf numFmtId="38" fontId="3" fillId="2" borderId="3" xfId="5" applyNumberFormat="1" applyFont="1" applyFill="1" applyBorder="1" applyAlignment="1" applyProtection="1">
      <alignment horizontal="right" vertical="center" wrapText="1"/>
    </xf>
    <xf numFmtId="164" fontId="6" fillId="2" borderId="2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6" fillId="2" borderId="0" xfId="5" applyNumberFormat="1" applyFont="1" applyFill="1" applyBorder="1" applyAlignment="1" applyProtection="1">
      <alignment horizontal="center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14" fillId="2" borderId="2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7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0"/>
  <sheetViews>
    <sheetView tabSelected="1" zoomScaleNormal="100" zoomScaleSheetLayoutView="100" workbookViewId="0">
      <selection activeCell="L29" sqref="L29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1" spans="1:9" ht="21" x14ac:dyDescent="0.25">
      <c r="A1" s="42" t="s">
        <v>37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37" t="s">
        <v>38</v>
      </c>
      <c r="B2" s="37"/>
      <c r="C2" s="37"/>
      <c r="D2" s="37"/>
      <c r="E2" s="37"/>
      <c r="F2" s="37"/>
      <c r="G2" s="37"/>
      <c r="H2" s="37"/>
    </row>
    <row r="3" spans="1:9" x14ac:dyDescent="0.25">
      <c r="A3" s="38" t="s">
        <v>34</v>
      </c>
      <c r="B3" s="38"/>
      <c r="C3" s="38"/>
      <c r="D3" s="38"/>
      <c r="E3" s="38"/>
      <c r="F3" s="38"/>
      <c r="G3" s="38"/>
      <c r="H3" s="13"/>
    </row>
    <row r="4" spans="1:9" x14ac:dyDescent="0.25">
      <c r="A4" s="32"/>
      <c r="B4" s="32"/>
      <c r="C4" s="39" t="s">
        <v>2</v>
      </c>
      <c r="D4" s="39"/>
      <c r="E4" s="39"/>
      <c r="F4" s="39" t="s">
        <v>6</v>
      </c>
      <c r="G4" s="39"/>
      <c r="H4" s="39"/>
      <c r="I4" s="40" t="s">
        <v>7</v>
      </c>
    </row>
    <row r="5" spans="1:9" x14ac:dyDescent="0.25">
      <c r="A5" s="33" t="s">
        <v>5</v>
      </c>
      <c r="B5" s="14" t="s">
        <v>32</v>
      </c>
      <c r="C5" s="35" t="s">
        <v>35</v>
      </c>
      <c r="D5" s="35" t="s">
        <v>36</v>
      </c>
      <c r="E5" s="3" t="s">
        <v>33</v>
      </c>
      <c r="F5" s="15" t="s">
        <v>35</v>
      </c>
      <c r="G5" s="36" t="s">
        <v>36</v>
      </c>
      <c r="H5" s="4" t="s">
        <v>33</v>
      </c>
      <c r="I5" s="41"/>
    </row>
    <row r="6" spans="1:9" ht="15.75" x14ac:dyDescent="0.25">
      <c r="A6" s="2" t="s">
        <v>1</v>
      </c>
      <c r="B6" s="16">
        <f>SUM(C6:H6)</f>
        <v>67292432.340000004</v>
      </c>
      <c r="C6" s="17">
        <f t="shared" ref="C6:H6" si="0">SUM(C7:C18)</f>
        <v>39108667.759999998</v>
      </c>
      <c r="D6" s="17">
        <f t="shared" si="0"/>
        <v>14373881.49</v>
      </c>
      <c r="E6" s="17">
        <f t="shared" si="0"/>
        <v>12831613.949999999</v>
      </c>
      <c r="F6" s="18">
        <f t="shared" si="0"/>
        <v>234631.25</v>
      </c>
      <c r="G6" s="19">
        <f t="shared" si="0"/>
        <v>603622.53999999992</v>
      </c>
      <c r="H6" s="19">
        <f t="shared" si="0"/>
        <v>140015.35</v>
      </c>
      <c r="I6" s="34" t="s">
        <v>0</v>
      </c>
    </row>
    <row r="7" spans="1:9" ht="15.75" x14ac:dyDescent="0.25">
      <c r="A7" s="5" t="s">
        <v>8</v>
      </c>
      <c r="B7" s="16">
        <f t="shared" ref="B7:B18" si="1">SUM(C7:H7)</f>
        <v>5194247.8199999994</v>
      </c>
      <c r="C7" s="25">
        <v>3217742.0199999996</v>
      </c>
      <c r="D7" s="26">
        <v>1212788.46</v>
      </c>
      <c r="E7" s="25">
        <v>678905.15</v>
      </c>
      <c r="F7" s="27">
        <v>24475.560000000005</v>
      </c>
      <c r="G7" s="25">
        <v>54817.799999999996</v>
      </c>
      <c r="H7" s="28">
        <v>5518.829999999999</v>
      </c>
      <c r="I7" s="7" t="s">
        <v>9</v>
      </c>
    </row>
    <row r="8" spans="1:9" ht="15.75" x14ac:dyDescent="0.25">
      <c r="A8" s="5" t="s">
        <v>10</v>
      </c>
      <c r="B8" s="16">
        <f t="shared" si="1"/>
        <v>4794251.4600000009</v>
      </c>
      <c r="C8" s="25">
        <v>3015227.3900000006</v>
      </c>
      <c r="D8" s="26">
        <v>1136607.5200000003</v>
      </c>
      <c r="E8" s="25">
        <v>577253.65</v>
      </c>
      <c r="F8" s="27">
        <v>14901.81</v>
      </c>
      <c r="G8" s="25">
        <v>45791.45</v>
      </c>
      <c r="H8" s="28">
        <v>4469.6399999999994</v>
      </c>
      <c r="I8" s="7" t="s">
        <v>11</v>
      </c>
    </row>
    <row r="9" spans="1:9" ht="15.75" x14ac:dyDescent="0.25">
      <c r="A9" s="5" t="s">
        <v>12</v>
      </c>
      <c r="B9" s="16">
        <f t="shared" si="1"/>
        <v>6325061.2200000007</v>
      </c>
      <c r="C9" s="25">
        <v>3354759.83</v>
      </c>
      <c r="D9" s="26">
        <v>1760274.9500000002</v>
      </c>
      <c r="E9" s="25">
        <v>1127614.57</v>
      </c>
      <c r="F9" s="27">
        <v>18837.980000000003</v>
      </c>
      <c r="G9" s="25">
        <v>50626.1</v>
      </c>
      <c r="H9" s="28">
        <v>12947.79</v>
      </c>
      <c r="I9" s="7" t="s">
        <v>13</v>
      </c>
    </row>
    <row r="10" spans="1:9" ht="15.75" x14ac:dyDescent="0.25">
      <c r="A10" s="5" t="s">
        <v>14</v>
      </c>
      <c r="B10" s="16">
        <f t="shared" si="1"/>
        <v>5571411.1999999993</v>
      </c>
      <c r="C10" s="25">
        <v>3240726.0399999996</v>
      </c>
      <c r="D10" s="26">
        <v>1355103.7799999998</v>
      </c>
      <c r="E10" s="25">
        <v>901796.65999999992</v>
      </c>
      <c r="F10" s="27">
        <v>11436.089999999998</v>
      </c>
      <c r="G10" s="25">
        <v>46359.92</v>
      </c>
      <c r="H10" s="28">
        <v>15988.71</v>
      </c>
      <c r="I10" s="7" t="s">
        <v>29</v>
      </c>
    </row>
    <row r="11" spans="1:9" ht="15.75" x14ac:dyDescent="0.25">
      <c r="A11" s="5" t="s">
        <v>15</v>
      </c>
      <c r="B11" s="16">
        <f t="shared" si="1"/>
        <v>5614608.870000001</v>
      </c>
      <c r="C11" s="25">
        <v>3575274.3500000006</v>
      </c>
      <c r="D11" s="26">
        <v>1142891.7400000002</v>
      </c>
      <c r="E11" s="25">
        <v>810062.17999999993</v>
      </c>
      <c r="F11" s="27">
        <v>12661.419999999998</v>
      </c>
      <c r="G11" s="25">
        <v>62134.820000000007</v>
      </c>
      <c r="H11" s="28">
        <v>11584.359999999999</v>
      </c>
      <c r="I11" s="7" t="s">
        <v>16</v>
      </c>
    </row>
    <row r="12" spans="1:9" ht="15.75" x14ac:dyDescent="0.25">
      <c r="A12" s="5" t="s">
        <v>17</v>
      </c>
      <c r="B12" s="16">
        <f t="shared" si="1"/>
        <v>4267789.93</v>
      </c>
      <c r="C12" s="25">
        <v>2959418.0399999996</v>
      </c>
      <c r="D12" s="26">
        <v>558333.34</v>
      </c>
      <c r="E12" s="25">
        <v>661457.25</v>
      </c>
      <c r="F12" s="27">
        <v>14694.51</v>
      </c>
      <c r="G12" s="25">
        <v>54096.92</v>
      </c>
      <c r="H12" s="28">
        <v>19789.869999999995</v>
      </c>
      <c r="I12" s="7" t="s">
        <v>18</v>
      </c>
    </row>
    <row r="13" spans="1:9" ht="15.75" x14ac:dyDescent="0.25">
      <c r="A13" s="5" t="s">
        <v>19</v>
      </c>
      <c r="B13" s="16">
        <f t="shared" si="1"/>
        <v>4948212.58</v>
      </c>
      <c r="C13" s="25">
        <v>2887312.78</v>
      </c>
      <c r="D13" s="26">
        <v>891969.72</v>
      </c>
      <c r="E13" s="25">
        <v>1091873.81</v>
      </c>
      <c r="F13" s="27">
        <v>24653.020000000008</v>
      </c>
      <c r="G13" s="25">
        <v>40373.499999999993</v>
      </c>
      <c r="H13" s="28">
        <v>12029.75</v>
      </c>
      <c r="I13" s="7" t="s">
        <v>20</v>
      </c>
    </row>
    <row r="14" spans="1:9" ht="15.75" x14ac:dyDescent="0.25">
      <c r="A14" s="5" t="s">
        <v>21</v>
      </c>
      <c r="B14" s="16">
        <f t="shared" si="1"/>
        <v>5303794.2799999993</v>
      </c>
      <c r="C14" s="25">
        <v>3109759.8299999996</v>
      </c>
      <c r="D14" s="26">
        <v>934918.1100000001</v>
      </c>
      <c r="E14" s="25">
        <v>1170056.1099999999</v>
      </c>
      <c r="F14" s="27">
        <v>27205.73</v>
      </c>
      <c r="G14" s="25">
        <v>48776.25</v>
      </c>
      <c r="H14" s="28">
        <v>13078.25</v>
      </c>
      <c r="I14" s="7" t="s">
        <v>30</v>
      </c>
    </row>
    <row r="15" spans="1:9" ht="15.75" x14ac:dyDescent="0.25">
      <c r="A15" s="5" t="s">
        <v>22</v>
      </c>
      <c r="B15" s="16">
        <f t="shared" si="1"/>
        <v>4838964.5700000012</v>
      </c>
      <c r="C15" s="25">
        <v>2705527.8400000008</v>
      </c>
      <c r="D15" s="26">
        <v>641108.86999999988</v>
      </c>
      <c r="E15" s="25">
        <v>1389991.26</v>
      </c>
      <c r="F15" s="27">
        <v>33121.67</v>
      </c>
      <c r="G15" s="25">
        <v>50178.73</v>
      </c>
      <c r="H15" s="28">
        <v>19036.2</v>
      </c>
      <c r="I15" s="7" t="s">
        <v>23</v>
      </c>
    </row>
    <row r="16" spans="1:9" ht="15.75" x14ac:dyDescent="0.25">
      <c r="A16" s="5" t="s">
        <v>24</v>
      </c>
      <c r="B16" s="16">
        <f t="shared" si="1"/>
        <v>6053978.1899999995</v>
      </c>
      <c r="C16" s="25">
        <v>3285194.6</v>
      </c>
      <c r="D16" s="26">
        <v>1394949.3499999999</v>
      </c>
      <c r="E16" s="25">
        <v>1295943.51</v>
      </c>
      <c r="F16" s="27">
        <v>24555.460000000006</v>
      </c>
      <c r="G16" s="25">
        <v>46340</v>
      </c>
      <c r="H16" s="28">
        <v>6995.27</v>
      </c>
      <c r="I16" s="7" t="s">
        <v>31</v>
      </c>
    </row>
    <row r="17" spans="1:9" ht="15.75" x14ac:dyDescent="0.25">
      <c r="A17" s="5" t="s">
        <v>25</v>
      </c>
      <c r="B17" s="16">
        <f t="shared" si="1"/>
        <v>7324563.9099999992</v>
      </c>
      <c r="C17" s="25">
        <v>3550646.7199999997</v>
      </c>
      <c r="D17" s="26">
        <v>1972690.0500000003</v>
      </c>
      <c r="E17" s="25">
        <v>1730386.0599999998</v>
      </c>
      <c r="F17" s="27">
        <v>15303.100000000002</v>
      </c>
      <c r="G17" s="25">
        <v>48974.700000000004</v>
      </c>
      <c r="H17" s="28">
        <v>6563.28</v>
      </c>
      <c r="I17" s="7" t="s">
        <v>26</v>
      </c>
    </row>
    <row r="18" spans="1:9" ht="15.75" x14ac:dyDescent="0.25">
      <c r="A18" s="6" t="s">
        <v>27</v>
      </c>
      <c r="B18" s="20">
        <f t="shared" si="1"/>
        <v>7055548.3100000005</v>
      </c>
      <c r="C18" s="29">
        <v>4207078.32</v>
      </c>
      <c r="D18" s="29">
        <v>1372245.6</v>
      </c>
      <c r="E18" s="29">
        <v>1396273.74</v>
      </c>
      <c r="F18" s="30">
        <v>12784.9</v>
      </c>
      <c r="G18" s="29">
        <v>55152.349999999991</v>
      </c>
      <c r="H18" s="31">
        <v>12013.4</v>
      </c>
      <c r="I18" s="8" t="s">
        <v>28</v>
      </c>
    </row>
    <row r="19" spans="1:9" s="9" customFormat="1" ht="17.25" x14ac:dyDescent="0.25">
      <c r="A19" s="10" t="s">
        <v>3</v>
      </c>
      <c r="B19" s="21"/>
      <c r="C19" s="21"/>
      <c r="D19" s="22"/>
      <c r="E19" s="23"/>
      <c r="F19" s="22"/>
      <c r="G19" s="22"/>
      <c r="H19" s="23"/>
      <c r="I19" s="12" t="s">
        <v>4</v>
      </c>
    </row>
    <row r="20" spans="1:9" ht="18.75" x14ac:dyDescent="0.25">
      <c r="A20" s="9"/>
      <c r="B20" s="10"/>
      <c r="C20" s="24"/>
      <c r="D20" s="24"/>
      <c r="E20" s="24"/>
      <c r="F20" s="24"/>
      <c r="G20" s="24"/>
      <c r="H20" s="11"/>
      <c r="I20" s="9"/>
    </row>
  </sheetData>
  <mergeCells count="6">
    <mergeCell ref="A1:I1"/>
    <mergeCell ref="A2:H2"/>
    <mergeCell ref="A3:G3"/>
    <mergeCell ref="C4:E4"/>
    <mergeCell ref="F4:H4"/>
    <mergeCell ref="I4:I5"/>
  </mergeCells>
  <pageMargins left="0.7" right="0.7" top="0.75" bottom="0.75" header="0.3" footer="0.3"/>
  <pageSetup paperSize="9" scale="77" orientation="portrait" horizontalDpi="4294967295" verticalDpi="4294967295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11.21</vt:lpstr>
      <vt:lpstr>'11.21'!Print_Area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2018-06-26T04:22:14Z</cp:lastPrinted>
  <dcterms:created xsi:type="dcterms:W3CDTF">2014-05-22T03:57:11Z</dcterms:created>
  <dcterms:modified xsi:type="dcterms:W3CDTF">2018-06-26T04:22:25Z</dcterms:modified>
</cp:coreProperties>
</file>