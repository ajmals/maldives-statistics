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909"/>
  </bookViews>
  <sheets>
    <sheet name="11.3" sheetId="20" r:id="rId1"/>
  </sheets>
  <externalReferences>
    <externalReference r:id="rId2"/>
  </externalReferences>
  <definedNames>
    <definedName name="_xlnm.Print_Area" localSheetId="0">'11.3'!$A$1:$S$118</definedName>
  </definedNames>
  <calcPr calcId="162913"/>
</workbook>
</file>

<file path=xl/calcChain.xml><?xml version="1.0" encoding="utf-8"?>
<calcChain xmlns="http://schemas.openxmlformats.org/spreadsheetml/2006/main">
  <c r="AL33" i="20" l="1"/>
  <c r="AL32" i="20"/>
  <c r="AL31" i="20"/>
  <c r="AL30" i="20"/>
  <c r="AM33" i="20"/>
  <c r="AM32" i="20"/>
  <c r="AM31" i="20"/>
  <c r="AM30" i="20"/>
  <c r="AS26" i="20"/>
  <c r="AS25" i="20"/>
  <c r="AS24" i="20"/>
  <c r="AR24" i="20"/>
  <c r="AR25" i="20"/>
  <c r="AR26" i="20"/>
  <c r="AQ24" i="20"/>
  <c r="AS39" i="20"/>
  <c r="AR39" i="20"/>
  <c r="AS40" i="20"/>
  <c r="AR40" i="20"/>
  <c r="AP40" i="20"/>
  <c r="AL40" i="20"/>
  <c r="AP39" i="20"/>
  <c r="AN39" i="20"/>
  <c r="AQ26" i="20"/>
  <c r="AP26" i="20"/>
  <c r="AO26" i="20"/>
  <c r="AN26" i="20"/>
  <c r="AM26" i="20"/>
  <c r="AQ25" i="20"/>
  <c r="AP25" i="20"/>
  <c r="AO25" i="20"/>
  <c r="AN25" i="20"/>
  <c r="AM25" i="20"/>
  <c r="Q7" i="20"/>
  <c r="P7" i="20"/>
  <c r="O7" i="20"/>
  <c r="AQ40" i="20" s="1"/>
  <c r="N7" i="20"/>
  <c r="M7" i="20"/>
  <c r="AO40" i="20" s="1"/>
  <c r="L7" i="20"/>
  <c r="AN40" i="20" s="1"/>
  <c r="K7" i="20"/>
  <c r="AM40" i="20" s="1"/>
  <c r="J7" i="20"/>
  <c r="I7" i="20"/>
  <c r="H7" i="20"/>
  <c r="G7" i="20"/>
  <c r="F7" i="20"/>
  <c r="E7" i="20"/>
  <c r="AO39" i="20" s="1"/>
  <c r="D7" i="20"/>
  <c r="C7" i="20"/>
  <c r="AN24" i="20" s="1"/>
  <c r="B7" i="20"/>
  <c r="AP24" i="20" l="1"/>
  <c r="AQ39" i="20"/>
  <c r="AL39" i="20"/>
  <c r="AM24" i="20"/>
  <c r="AM39" i="20"/>
  <c r="AO24" i="20"/>
</calcChain>
</file>

<file path=xl/comments1.xml><?xml version="1.0" encoding="utf-8"?>
<comments xmlns="http://schemas.openxmlformats.org/spreadsheetml/2006/main">
  <authors>
    <author>Fathimath Shifaza</author>
  </authors>
  <commentList>
    <comment ref="G8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66578  in table 11.6
corrected</t>
        </r>
      </text>
    </comment>
  </commentList>
</comments>
</file>

<file path=xl/sharedStrings.xml><?xml version="1.0" encoding="utf-8"?>
<sst xmlns="http://schemas.openxmlformats.org/spreadsheetml/2006/main" count="63" uniqueCount="60">
  <si>
    <t>Total</t>
  </si>
  <si>
    <t>Others</t>
  </si>
  <si>
    <t>Type of Vehicles</t>
  </si>
  <si>
    <t>Motor cycle</t>
  </si>
  <si>
    <t>Car</t>
  </si>
  <si>
    <t>Bus</t>
  </si>
  <si>
    <t>Pick-Up</t>
  </si>
  <si>
    <t>Lorry</t>
  </si>
  <si>
    <t>Van</t>
  </si>
  <si>
    <t>Jeep</t>
  </si>
  <si>
    <t>Ambulance</t>
  </si>
  <si>
    <t>Bouser</t>
  </si>
  <si>
    <t>Crane</t>
  </si>
  <si>
    <t>Truck</t>
  </si>
  <si>
    <t>Fork-Lift</t>
  </si>
  <si>
    <t>Excavator</t>
  </si>
  <si>
    <t>Dumper</t>
  </si>
  <si>
    <t>Tractor</t>
  </si>
  <si>
    <t>Reach Stacker</t>
  </si>
  <si>
    <t>Land Cruiser</t>
  </si>
  <si>
    <t>% increase all vehicles</t>
  </si>
  <si>
    <t>Fire Vehicles</t>
  </si>
  <si>
    <t>% increase in motor cycle</t>
  </si>
  <si>
    <t>Backhoe Loader</t>
  </si>
  <si>
    <t>% increase in car</t>
  </si>
  <si>
    <t>Loader</t>
  </si>
  <si>
    <t>T-Type Tractor</t>
  </si>
  <si>
    <t>Ditch Witch</t>
  </si>
  <si>
    <t>Dozer Crawler</t>
  </si>
  <si>
    <t>Grader</t>
  </si>
  <si>
    <t>Roller</t>
  </si>
  <si>
    <t>Microbin</t>
  </si>
  <si>
    <t>Road Sweeper</t>
  </si>
  <si>
    <t>Wheel Paver</t>
  </si>
  <si>
    <t>Compactor</t>
  </si>
  <si>
    <t>Tow Truck</t>
  </si>
  <si>
    <t>Battery Scooter</t>
  </si>
  <si>
    <t>Mini Truck</t>
  </si>
  <si>
    <t>Registered</t>
  </si>
  <si>
    <t>Pile Driver</t>
  </si>
  <si>
    <t>Newly registered</t>
  </si>
  <si>
    <t>G.Compactor Truck</t>
  </si>
  <si>
    <t>Concrete Mobile Truck</t>
  </si>
  <si>
    <t>Fuel Tank Truck</t>
  </si>
  <si>
    <t>Double Cab</t>
  </si>
  <si>
    <t>Battery Car</t>
  </si>
  <si>
    <t>QUAD BIKE</t>
  </si>
  <si>
    <t>CARMIX</t>
  </si>
  <si>
    <t>Prime Mover</t>
  </si>
  <si>
    <t>WATER TRUCK</t>
  </si>
  <si>
    <t>BATTERY TRICYCLE</t>
  </si>
  <si>
    <t>Tricycle</t>
  </si>
  <si>
    <t>Source:Transport Authority</t>
  </si>
  <si>
    <t>މައުލޫމާތު ދެއްވީ : ޓްރާންސްޕޯޓް އޮތޯރިޓީ</t>
  </si>
  <si>
    <t>Table 11.3 :   REGISTERED  AND NEWLY REGISTERED VEHICLES ACCORDING TO TYPE, 2016 - 2017</t>
  </si>
  <si>
    <t xml:space="preserve"> 2017 - 2016 ,urwhwfudnwLua Wvcaud iawgumwgcaea unuverukIrcTcsijwr cSwlwa idwa WviawfcSokIrcTcsijwr :11.3 ulwvWt</t>
  </si>
  <si>
    <t>%share 2017</t>
  </si>
  <si>
    <t>Motor cycles account for 83 percent of all registered vehicles in 2017</t>
  </si>
  <si>
    <r>
      <rPr>
        <b/>
        <sz val="11"/>
        <rFont val="Calibri"/>
        <family val="2"/>
        <scheme val="minor"/>
      </rPr>
      <t xml:space="preserve">       Registered </t>
    </r>
    <r>
      <rPr>
        <b/>
        <sz val="9"/>
        <rFont val="Calibri"/>
        <family val="2"/>
        <scheme val="minor"/>
      </rPr>
      <t xml:space="preserve"> </t>
    </r>
    <r>
      <rPr>
        <b/>
        <sz val="9"/>
        <rFont val="A_Faseyha"/>
      </rPr>
      <t xml:space="preserve"> iawfcSokIrcTcsijwr</t>
    </r>
  </si>
  <si>
    <r>
      <rPr>
        <b/>
        <sz val="11"/>
        <rFont val="Calibri"/>
        <family val="2"/>
        <scheme val="minor"/>
      </rPr>
      <t>Newly Registered</t>
    </r>
    <r>
      <rPr>
        <b/>
        <sz val="10"/>
        <rFont val="Calibri"/>
        <family val="2"/>
        <scheme val="minor"/>
      </rPr>
      <t xml:space="preserve">  </t>
    </r>
    <r>
      <rPr>
        <b/>
        <sz val="9"/>
        <rFont val="Calibri"/>
        <family val="2"/>
        <scheme val="minor"/>
      </rPr>
      <t xml:space="preserve">   </t>
    </r>
    <r>
      <rPr>
        <b/>
        <sz val="9"/>
        <rFont val="A_Faseyha"/>
      </rPr>
      <t>unuverukIrcTcsijwr cSwlwa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</si>
</sst>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i/>
      <sz val="10"/>
      <name val="Arial"/>
      <family val="2"/>
    </font>
    <font>
      <i/>
      <sz val="10"/>
      <name val="Calibri"/>
      <family val="2"/>
      <scheme val="minor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0"/>
      <color theme="1"/>
      <name val="Calibri"/>
      <family val="2"/>
      <scheme val="minor"/>
    </font>
    <font>
      <sz val="19"/>
      <color theme="1"/>
      <name val="Courier"/>
      <family val="3"/>
    </font>
    <font>
      <sz val="9"/>
      <name val="Farum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_Faseyha"/>
    </font>
    <font>
      <b/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0"/>
      <color theme="6" tint="-0.249977111117893"/>
      <name val="Arial"/>
      <family val="2"/>
    </font>
    <font>
      <b/>
      <sz val="10"/>
      <color rgb="FF7030A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0.39997558519241921"/>
      <name val="Arial"/>
      <family val="2"/>
    </font>
    <font>
      <b/>
      <sz val="10"/>
      <color rgb="FFFF7C80"/>
      <name val="Arial"/>
      <family val="2"/>
    </font>
    <font>
      <b/>
      <sz val="10.5"/>
      <name val="A_Faseyha"/>
    </font>
    <font>
      <sz val="10.5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 style="thin">
        <color theme="0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1" tint="4.9989318521683403E-2"/>
      </bottom>
      <diagonal/>
    </border>
    <border>
      <left style="thin">
        <color indexed="64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1" fillId="0" borderId="0"/>
    <xf numFmtId="40" fontId="16" fillId="0" borderId="0" applyFont="0" applyFill="0" applyBorder="0" applyAlignment="0" applyProtection="0"/>
    <xf numFmtId="166" fontId="11" fillId="0" borderId="0"/>
    <xf numFmtId="166" fontId="11" fillId="0" borderId="0"/>
    <xf numFmtId="165" fontId="11" fillId="0" borderId="0" applyFont="0" applyFill="0" applyBorder="0" applyAlignment="0" applyProtection="0"/>
    <xf numFmtId="0" fontId="17" fillId="0" borderId="0"/>
    <xf numFmtId="164" fontId="11" fillId="0" borderId="0"/>
    <xf numFmtId="167" fontId="11" fillId="0" borderId="0" applyFont="0" applyFill="0" applyBorder="0" applyAlignment="0" applyProtection="0"/>
    <xf numFmtId="0" fontId="11" fillId="0" borderId="0"/>
  </cellStyleXfs>
  <cellXfs count="87">
    <xf numFmtId="0" fontId="0" fillId="0" borderId="0" xfId="0"/>
    <xf numFmtId="164" fontId="19" fillId="2" borderId="0" xfId="0" applyNumberFormat="1" applyFont="1" applyFill="1" applyBorder="1" applyAlignment="1">
      <alignment vertical="center"/>
    </xf>
    <xf numFmtId="164" fontId="20" fillId="2" borderId="0" xfId="0" applyNumberFormat="1" applyFont="1" applyFill="1" applyBorder="1" applyAlignment="1">
      <alignment vertical="center"/>
    </xf>
    <xf numFmtId="164" fontId="19" fillId="2" borderId="15" xfId="0" applyNumberFormat="1" applyFont="1" applyFill="1" applyBorder="1" applyAlignment="1">
      <alignment vertical="center"/>
    </xf>
    <xf numFmtId="164" fontId="20" fillId="2" borderId="18" xfId="0" applyNumberFormat="1" applyFont="1" applyFill="1" applyBorder="1" applyAlignment="1">
      <alignment vertical="center"/>
    </xf>
    <xf numFmtId="164" fontId="20" fillId="2" borderId="13" xfId="0" applyNumberFormat="1" applyFont="1" applyFill="1" applyBorder="1" applyAlignment="1">
      <alignment vertical="center"/>
    </xf>
    <xf numFmtId="164" fontId="20" fillId="2" borderId="16" xfId="0" applyNumberFormat="1" applyFont="1" applyFill="1" applyBorder="1" applyAlignment="1">
      <alignment vertical="center"/>
    </xf>
    <xf numFmtId="37" fontId="9" fillId="2" borderId="1" xfId="1" applyNumberFormat="1" applyFont="1" applyFill="1" applyBorder="1" applyAlignment="1">
      <alignment horizontal="right" vertical="center"/>
    </xf>
    <xf numFmtId="0" fontId="6" fillId="2" borderId="3" xfId="0" applyNumberFormat="1" applyFont="1" applyFill="1" applyBorder="1" applyAlignment="1">
      <alignment vertical="center"/>
    </xf>
    <xf numFmtId="0" fontId="6" fillId="2" borderId="3" xfId="0" applyNumberFormat="1" applyFont="1" applyFill="1" applyBorder="1" applyAlignment="1">
      <alignment horizontal="left" vertical="center"/>
    </xf>
    <xf numFmtId="0" fontId="6" fillId="2" borderId="3" xfId="0" applyNumberFormat="1" applyFont="1" applyFill="1" applyBorder="1" applyAlignment="1">
      <alignment horizontal="right" vertical="center"/>
    </xf>
    <xf numFmtId="37" fontId="6" fillId="2" borderId="1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right" vertical="center"/>
    </xf>
    <xf numFmtId="0" fontId="6" fillId="2" borderId="1" xfId="0" applyNumberFormat="1" applyFont="1" applyFill="1" applyBorder="1" applyAlignment="1">
      <alignment vertical="center"/>
    </xf>
    <xf numFmtId="0" fontId="7" fillId="2" borderId="1" xfId="0" applyNumberFormat="1" applyFont="1" applyFill="1" applyBorder="1" applyAlignment="1" applyProtection="1">
      <alignment horizontal="center" vertical="center"/>
    </xf>
    <xf numFmtId="0" fontId="7" fillId="2" borderId="1" xfId="0" applyNumberFormat="1" applyFont="1" applyFill="1" applyBorder="1" applyAlignment="1" applyProtection="1">
      <alignment vertical="center"/>
    </xf>
    <xf numFmtId="0" fontId="7" fillId="2" borderId="1" xfId="0" applyNumberFormat="1" applyFont="1" applyFill="1" applyBorder="1" applyAlignment="1">
      <alignment vertical="center"/>
    </xf>
    <xf numFmtId="0" fontId="12" fillId="2" borderId="1" xfId="0" applyNumberFormat="1" applyFont="1" applyFill="1" applyBorder="1" applyAlignment="1">
      <alignment horizontal="right" vertical="center"/>
    </xf>
    <xf numFmtId="1" fontId="3" fillId="2" borderId="22" xfId="0" applyNumberFormat="1" applyFont="1" applyFill="1" applyBorder="1" applyAlignment="1" applyProtection="1">
      <alignment horizontal="right" vertical="center"/>
    </xf>
    <xf numFmtId="1" fontId="3" fillId="2" borderId="23" xfId="0" applyNumberFormat="1" applyFont="1" applyFill="1" applyBorder="1" applyAlignment="1" applyProtection="1">
      <alignment horizontal="right" vertical="center"/>
    </xf>
    <xf numFmtId="164" fontId="3" fillId="2" borderId="3" xfId="0" applyNumberFormat="1" applyFont="1" applyFill="1" applyBorder="1" applyAlignment="1" applyProtection="1">
      <alignment horizontal="left" vertical="center"/>
    </xf>
    <xf numFmtId="37" fontId="3" fillId="2" borderId="3" xfId="1" applyNumberFormat="1" applyFont="1" applyFill="1" applyBorder="1" applyAlignment="1" applyProtection="1">
      <alignment horizontal="right" vertical="center"/>
    </xf>
    <xf numFmtId="37" fontId="3" fillId="2" borderId="3" xfId="1" applyNumberFormat="1" applyFont="1" applyFill="1" applyBorder="1" applyAlignment="1">
      <alignment horizontal="right" vertical="center"/>
    </xf>
    <xf numFmtId="37" fontId="3" fillId="2" borderId="7" xfId="1" applyNumberFormat="1" applyFont="1" applyFill="1" applyBorder="1" applyAlignment="1">
      <alignment horizontal="right" vertical="center"/>
    </xf>
    <xf numFmtId="0" fontId="4" fillId="2" borderId="1" xfId="0" applyNumberFormat="1" applyFont="1" applyFill="1" applyBorder="1" applyAlignment="1">
      <alignment horizontal="left" vertical="center"/>
    </xf>
    <xf numFmtId="37" fontId="0" fillId="2" borderId="1" xfId="1" applyNumberFormat="1" applyFont="1" applyFill="1" applyBorder="1" applyAlignment="1">
      <alignment horizontal="right" vertical="center" wrapText="1" readingOrder="1"/>
    </xf>
    <xf numFmtId="37" fontId="4" fillId="2" borderId="1" xfId="1" applyNumberFormat="1" applyFont="1" applyFill="1" applyBorder="1" applyAlignment="1">
      <alignment horizontal="right" vertical="center" readingOrder="1"/>
    </xf>
    <xf numFmtId="37" fontId="4" fillId="2" borderId="1" xfId="1" applyNumberFormat="1" applyFont="1" applyFill="1" applyBorder="1" applyAlignment="1">
      <alignment horizontal="right" vertical="center"/>
    </xf>
    <xf numFmtId="37" fontId="4" fillId="2" borderId="6" xfId="1" applyNumberFormat="1" applyFont="1" applyFill="1" applyBorder="1" applyAlignment="1">
      <alignment horizontal="right" vertical="center"/>
    </xf>
    <xf numFmtId="37" fontId="4" fillId="2" borderId="8" xfId="1" applyNumberFormat="1" applyFont="1" applyFill="1" applyBorder="1" applyAlignment="1">
      <alignment horizontal="right" vertical="center"/>
    </xf>
    <xf numFmtId="37" fontId="4" fillId="2" borderId="1" xfId="1" applyNumberFormat="1" applyFont="1" applyFill="1" applyBorder="1" applyAlignment="1">
      <alignment horizontal="right" vertical="center" wrapText="1"/>
    </xf>
    <xf numFmtId="3" fontId="4" fillId="2" borderId="8" xfId="1" applyNumberFormat="1" applyFont="1" applyFill="1" applyBorder="1" applyAlignment="1">
      <alignment horizontal="right" vertical="center"/>
    </xf>
    <xf numFmtId="0" fontId="13" fillId="2" borderId="1" xfId="0" applyNumberFormat="1" applyFont="1" applyFill="1" applyBorder="1" applyAlignment="1">
      <alignment horizontal="right" vertical="center"/>
    </xf>
    <xf numFmtId="165" fontId="6" fillId="2" borderId="1" xfId="0" applyNumberFormat="1" applyFont="1" applyFill="1" applyBorder="1" applyAlignment="1">
      <alignment vertical="center"/>
    </xf>
    <xf numFmtId="0" fontId="6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 applyProtection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1" fontId="6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" fontId="3" fillId="2" borderId="1" xfId="0" applyNumberFormat="1" applyFont="1" applyFill="1" applyBorder="1" applyAlignment="1" applyProtection="1">
      <alignment horizontal="right" vertical="center"/>
    </xf>
    <xf numFmtId="0" fontId="6" fillId="2" borderId="1" xfId="0" applyNumberFormat="1" applyFont="1" applyFill="1" applyBorder="1"/>
    <xf numFmtId="0" fontId="14" fillId="2" borderId="1" xfId="0" applyNumberFormat="1" applyFont="1" applyFill="1" applyBorder="1" applyAlignment="1" applyProtection="1">
      <alignment horizontal="center" vertical="center"/>
    </xf>
    <xf numFmtId="0" fontId="11" fillId="2" borderId="1" xfId="0" applyNumberFormat="1" applyFont="1" applyFill="1" applyBorder="1" applyAlignment="1">
      <alignment vertical="center"/>
    </xf>
    <xf numFmtId="0" fontId="7" fillId="2" borderId="1" xfId="0" applyNumberFormat="1" applyFont="1" applyFill="1" applyBorder="1"/>
    <xf numFmtId="37" fontId="4" fillId="2" borderId="4" xfId="1" applyNumberFormat="1" applyFont="1" applyFill="1" applyBorder="1" applyAlignment="1">
      <alignment horizontal="right" vertical="center" wrapText="1"/>
    </xf>
    <xf numFmtId="37" fontId="4" fillId="2" borderId="14" xfId="1" applyNumberFormat="1" applyFont="1" applyFill="1" applyBorder="1" applyAlignment="1">
      <alignment horizontal="right" vertical="center"/>
    </xf>
    <xf numFmtId="0" fontId="25" fillId="2" borderId="1" xfId="0" applyNumberFormat="1" applyFont="1" applyFill="1" applyBorder="1" applyAlignment="1">
      <alignment horizontal="right" wrapText="1"/>
    </xf>
    <xf numFmtId="0" fontId="26" fillId="2" borderId="1" xfId="0" applyNumberFormat="1" applyFont="1" applyFill="1" applyBorder="1" applyAlignment="1">
      <alignment horizontal="right" wrapText="1"/>
    </xf>
    <xf numFmtId="0" fontId="27" fillId="2" borderId="1" xfId="0" applyNumberFormat="1" applyFont="1" applyFill="1" applyBorder="1" applyAlignment="1">
      <alignment horizontal="right" wrapText="1"/>
    </xf>
    <xf numFmtId="0" fontId="28" fillId="2" borderId="1" xfId="0" applyNumberFormat="1" applyFont="1" applyFill="1" applyBorder="1" applyAlignment="1">
      <alignment horizontal="right" wrapText="1"/>
    </xf>
    <xf numFmtId="0" fontId="29" fillId="2" borderId="1" xfId="0" applyNumberFormat="1" applyFont="1" applyFill="1" applyBorder="1" applyAlignment="1">
      <alignment horizontal="right" wrapText="1"/>
    </xf>
    <xf numFmtId="0" fontId="30" fillId="2" borderId="1" xfId="0" applyNumberFormat="1" applyFont="1" applyFill="1" applyBorder="1" applyAlignment="1">
      <alignment horizontal="right" wrapText="1"/>
    </xf>
    <xf numFmtId="0" fontId="31" fillId="2" borderId="1" xfId="0" applyNumberFormat="1" applyFont="1" applyFill="1" applyBorder="1" applyAlignment="1">
      <alignment horizontal="right" wrapText="1"/>
    </xf>
    <xf numFmtId="0" fontId="32" fillId="2" borderId="1" xfId="0" applyNumberFormat="1" applyFont="1" applyFill="1" applyBorder="1" applyAlignment="1">
      <alignment horizontal="right" wrapText="1"/>
    </xf>
    <xf numFmtId="164" fontId="10" fillId="2" borderId="3" xfId="0" applyNumberFormat="1" applyFont="1" applyFill="1" applyBorder="1" applyAlignment="1" applyProtection="1">
      <alignment horizontal="left" vertical="center"/>
    </xf>
    <xf numFmtId="37" fontId="4" fillId="2" borderId="13" xfId="1" applyNumberFormat="1" applyFont="1" applyFill="1" applyBorder="1" applyAlignment="1">
      <alignment horizontal="right" vertical="center"/>
    </xf>
    <xf numFmtId="164" fontId="21" fillId="2" borderId="3" xfId="0" applyNumberFormat="1" applyFont="1" applyFill="1" applyBorder="1" applyAlignment="1">
      <alignment horizontal="right" vertical="center"/>
    </xf>
    <xf numFmtId="0" fontId="15" fillId="2" borderId="1" xfId="0" applyNumberFormat="1" applyFont="1" applyFill="1" applyBorder="1" applyAlignment="1" applyProtection="1">
      <alignment horizontal="left" vertical="center"/>
    </xf>
    <xf numFmtId="37" fontId="3" fillId="2" borderId="17" xfId="1" applyNumberFormat="1" applyFont="1" applyFill="1" applyBorder="1" applyAlignment="1">
      <alignment horizontal="right" vertical="center"/>
    </xf>
    <xf numFmtId="1" fontId="3" fillId="2" borderId="25" xfId="0" applyNumberFormat="1" applyFont="1" applyFill="1" applyBorder="1" applyAlignment="1" applyProtection="1">
      <alignment horizontal="right" vertical="center"/>
    </xf>
    <xf numFmtId="37" fontId="3" fillId="2" borderId="11" xfId="1" applyNumberFormat="1" applyFont="1" applyFill="1" applyBorder="1" applyAlignment="1" applyProtection="1">
      <alignment horizontal="right" vertical="center"/>
    </xf>
    <xf numFmtId="37" fontId="4" fillId="2" borderId="12" xfId="1" applyNumberFormat="1" applyFont="1" applyFill="1" applyBorder="1" applyAlignment="1">
      <alignment horizontal="right" vertical="center"/>
    </xf>
    <xf numFmtId="1" fontId="3" fillId="2" borderId="27" xfId="0" applyNumberFormat="1" applyFont="1" applyFill="1" applyBorder="1" applyAlignment="1" applyProtection="1">
      <alignment horizontal="right" vertical="center"/>
    </xf>
    <xf numFmtId="37" fontId="4" fillId="2" borderId="28" xfId="1" applyNumberFormat="1" applyFont="1" applyFill="1" applyBorder="1" applyAlignment="1">
      <alignment horizontal="right" vertical="center"/>
    </xf>
    <xf numFmtId="37" fontId="4" fillId="2" borderId="4" xfId="1" applyNumberFormat="1" applyFont="1" applyFill="1" applyBorder="1" applyAlignment="1">
      <alignment horizontal="right" vertical="center" readingOrder="1"/>
    </xf>
    <xf numFmtId="37" fontId="4" fillId="2" borderId="4" xfId="1" applyNumberFormat="1" applyFont="1" applyFill="1" applyBorder="1" applyAlignment="1">
      <alignment horizontal="right" vertical="center"/>
    </xf>
    <xf numFmtId="37" fontId="4" fillId="2" borderId="9" xfId="1" applyNumberFormat="1" applyFont="1" applyFill="1" applyBorder="1" applyAlignment="1">
      <alignment horizontal="right" vertical="center"/>
    </xf>
    <xf numFmtId="37" fontId="4" fillId="2" borderId="29" xfId="1" applyNumberFormat="1" applyFont="1" applyFill="1" applyBorder="1" applyAlignment="1">
      <alignment horizontal="right" vertical="center"/>
    </xf>
    <xf numFmtId="37" fontId="4" fillId="2" borderId="10" xfId="1" applyNumberFormat="1" applyFont="1" applyFill="1" applyBorder="1" applyAlignment="1">
      <alignment horizontal="right" vertical="center"/>
    </xf>
    <xf numFmtId="37" fontId="6" fillId="2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>
      <alignment horizontal="left" vertical="center" indent="2"/>
    </xf>
    <xf numFmtId="164" fontId="4" fillId="2" borderId="1" xfId="0" applyNumberFormat="1" applyFont="1" applyFill="1" applyBorder="1" applyAlignment="1">
      <alignment horizontal="left" vertical="center" indent="2" readingOrder="1"/>
    </xf>
    <xf numFmtId="164" fontId="4" fillId="2" borderId="4" xfId="0" applyNumberFormat="1" applyFont="1" applyFill="1" applyBorder="1" applyAlignment="1">
      <alignment horizontal="left" vertical="center" indent="2" readingOrder="1"/>
    </xf>
    <xf numFmtId="164" fontId="33" fillId="2" borderId="1" xfId="0" applyNumberFormat="1" applyFont="1" applyFill="1" applyBorder="1" applyAlignment="1">
      <alignment horizontal="center" vertical="center"/>
    </xf>
    <xf numFmtId="164" fontId="34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 applyProtection="1">
      <alignment horizontal="left" vertical="center"/>
    </xf>
    <xf numFmtId="164" fontId="3" fillId="2" borderId="4" xfId="0" applyNumberFormat="1" applyFont="1" applyFill="1" applyBorder="1" applyAlignment="1" applyProtection="1">
      <alignment horizontal="left" vertical="center"/>
    </xf>
    <xf numFmtId="164" fontId="24" fillId="2" borderId="19" xfId="14" applyNumberFormat="1" applyFont="1" applyFill="1" applyBorder="1" applyAlignment="1" applyProtection="1">
      <alignment horizontal="center" vertical="center"/>
    </xf>
    <xf numFmtId="164" fontId="24" fillId="2" borderId="20" xfId="14" applyNumberFormat="1" applyFont="1" applyFill="1" applyBorder="1" applyAlignment="1" applyProtection="1">
      <alignment horizontal="center" vertical="center"/>
    </xf>
    <xf numFmtId="164" fontId="24" fillId="2" borderId="26" xfId="14" applyNumberFormat="1" applyFont="1" applyFill="1" applyBorder="1" applyAlignment="1" applyProtection="1">
      <alignment horizontal="center" vertical="center"/>
    </xf>
    <xf numFmtId="164" fontId="24" fillId="2" borderId="24" xfId="0" applyNumberFormat="1" applyFont="1" applyFill="1" applyBorder="1" applyAlignment="1" applyProtection="1">
      <alignment horizontal="center" vertical="center"/>
    </xf>
    <xf numFmtId="164" fontId="24" fillId="2" borderId="20" xfId="0" applyNumberFormat="1" applyFont="1" applyFill="1" applyBorder="1" applyAlignment="1" applyProtection="1">
      <alignment horizontal="center" vertical="center"/>
    </xf>
    <xf numFmtId="164" fontId="24" fillId="2" borderId="21" xfId="0" applyNumberFormat="1" applyFont="1" applyFill="1" applyBorder="1" applyAlignment="1" applyProtection="1">
      <alignment horizontal="center" vertic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11.1-11.8,11.10-11.13,11.18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11.2: Number of registered vehicles, 2010- 2017</a:t>
            </a:r>
          </a:p>
        </c:rich>
      </c:tx>
      <c:layout>
        <c:manualLayout>
          <c:xMode val="edge"/>
          <c:yMode val="edge"/>
          <c:x val="0.2128807715603597"/>
          <c:y val="5.41613498312710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308101189365927E-2"/>
          <c:y val="0.17674837016340711"/>
          <c:w val="0.88718224902407783"/>
          <c:h val="0.70140165946998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'11.3'!$AK$39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'11.3'!$AL$38:$AS$38</c:f>
              <c:numCache>
                <c:formatCode>0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'11.3'!$AL$39:$AS$39</c:f>
              <c:numCache>
                <c:formatCode>#,##0_);\(#,##0\)</c:formatCode>
                <c:ptCount val="8"/>
                <c:pt idx="0">
                  <c:v>47917</c:v>
                </c:pt>
                <c:pt idx="1">
                  <c:v>52199</c:v>
                </c:pt>
                <c:pt idx="2">
                  <c:v>56467</c:v>
                </c:pt>
                <c:pt idx="3">
                  <c:v>61418</c:v>
                </c:pt>
                <c:pt idx="4">
                  <c:v>68210</c:v>
                </c:pt>
                <c:pt idx="5">
                  <c:v>78997</c:v>
                </c:pt>
                <c:pt idx="6">
                  <c:v>89237</c:v>
                </c:pt>
                <c:pt idx="7">
                  <c:v>99411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4-441B-9057-D6A79E577535}"/>
            </c:ext>
          </c:extLst>
        </c:ser>
        <c:ser>
          <c:idx val="1"/>
          <c:order val="1"/>
          <c:tx>
            <c:strRef>
              <c:f>'11.3'!$AK$40</c:f>
              <c:strCache>
                <c:ptCount val="1"/>
                <c:pt idx="0">
                  <c:v>Newly registered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numRef>
              <c:f>'11.3'!$AL$38:$AS$38</c:f>
              <c:numCache>
                <c:formatCode>0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'11.3'!$AL$40:$AS$40</c:f>
              <c:numCache>
                <c:formatCode>#,##0_);\(#,##0\)</c:formatCode>
                <c:ptCount val="8"/>
                <c:pt idx="0">
                  <c:v>3427</c:v>
                </c:pt>
                <c:pt idx="1">
                  <c:v>8574</c:v>
                </c:pt>
                <c:pt idx="2">
                  <c:v>4306</c:v>
                </c:pt>
                <c:pt idx="3">
                  <c:v>4878</c:v>
                </c:pt>
                <c:pt idx="4">
                  <c:v>6777</c:v>
                </c:pt>
                <c:pt idx="5">
                  <c:v>11686</c:v>
                </c:pt>
                <c:pt idx="6">
                  <c:v>9250</c:v>
                </c:pt>
                <c:pt idx="7">
                  <c:v>9361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4-441B-9057-D6A79E57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08317392"/>
        <c:axId val="-908321744"/>
      </c:barChart>
      <c:catAx>
        <c:axId val="-9083173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-908321744"/>
        <c:crosses val="autoZero"/>
        <c:auto val="1"/>
        <c:lblAlgn val="ctr"/>
        <c:lblOffset val="100"/>
        <c:noMultiLvlLbl val="0"/>
      </c:catAx>
      <c:valAx>
        <c:axId val="-9083217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4743912678421524E-3"/>
              <c:y val="6.6374265200321039E-2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-9083173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819938188199849"/>
          <c:y val="0.25345619797525309"/>
          <c:w val="0.44460060273944452"/>
          <c:h val="8.371719160105002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11.3: Growth rates of selected vehicles, 2011 - 2017</a:t>
            </a:r>
          </a:p>
        </c:rich>
      </c:tx>
      <c:layout>
        <c:manualLayout>
          <c:xMode val="edge"/>
          <c:yMode val="edge"/>
          <c:x val="0.18305093929820179"/>
          <c:y val="4.8126676706487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975334298304504E-2"/>
          <c:y val="0.17008481377844298"/>
          <c:w val="0.90741818306567901"/>
          <c:h val="0.69598821168610647"/>
        </c:manualLayout>
      </c:layout>
      <c:lineChart>
        <c:grouping val="standard"/>
        <c:varyColors val="0"/>
        <c:ser>
          <c:idx val="0"/>
          <c:order val="0"/>
          <c:tx>
            <c:strRef>
              <c:f>'11.3'!$AK$24:$AL$24</c:f>
              <c:strCache>
                <c:ptCount val="2"/>
                <c:pt idx="0">
                  <c:v>% increase all vehicles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rgbClr val="1C706E"/>
              </a:solidFill>
              <a:ln>
                <a:solidFill>
                  <a:srgbClr val="1C706E"/>
                </a:solidFill>
              </a:ln>
            </c:spPr>
          </c:marker>
          <c:cat>
            <c:numRef>
              <c:f>'11.3'!$AM$23:$AS$23</c:f>
              <c:numCache>
                <c:formatCode>0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 formatCode="General">
                  <c:v>2015</c:v>
                </c:pt>
                <c:pt idx="5">
                  <c:v>2016</c:v>
                </c:pt>
                <c:pt idx="6" formatCode="General">
                  <c:v>2017</c:v>
                </c:pt>
              </c:numCache>
            </c:numRef>
          </c:cat>
          <c:val>
            <c:numRef>
              <c:f>'11.3'!$AM$24:$AS$24</c:f>
              <c:numCache>
                <c:formatCode>0.0</c:formatCode>
                <c:ptCount val="7"/>
                <c:pt idx="0">
                  <c:v>8.9362856606215004</c:v>
                </c:pt>
                <c:pt idx="1">
                  <c:v>8.1764018467786812</c:v>
                </c:pt>
                <c:pt idx="2">
                  <c:v>8.7679529636778941</c:v>
                </c:pt>
                <c:pt idx="3">
                  <c:v>11.058647302093849</c:v>
                </c:pt>
                <c:pt idx="4">
                  <c:v>15.814396716024049</c:v>
                </c:pt>
                <c:pt idx="5">
                  <c:v>12.962517563958119</c:v>
                </c:pt>
                <c:pt idx="6">
                  <c:v>11.401100440400281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A-438E-B415-DB8E4DD4359C}"/>
            </c:ext>
          </c:extLst>
        </c:ser>
        <c:ser>
          <c:idx val="1"/>
          <c:order val="1"/>
          <c:tx>
            <c:strRef>
              <c:f>'11.3'!$AK$25:$AL$25</c:f>
              <c:strCache>
                <c:ptCount val="2"/>
                <c:pt idx="0">
                  <c:v>% increase in motor cycle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pPr>
              <a:solidFill>
                <a:srgbClr val="33CCCC"/>
              </a:solidFill>
            </c:spPr>
          </c:marker>
          <c:cat>
            <c:numRef>
              <c:f>'11.3'!$AM$23:$AS$23</c:f>
              <c:numCache>
                <c:formatCode>0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 formatCode="General">
                  <c:v>2015</c:v>
                </c:pt>
                <c:pt idx="5">
                  <c:v>2016</c:v>
                </c:pt>
                <c:pt idx="6" formatCode="General">
                  <c:v>2017</c:v>
                </c:pt>
              </c:numCache>
            </c:numRef>
          </c:cat>
          <c:val>
            <c:numRef>
              <c:f>'11.3'!$AM$25:$AS$25</c:f>
              <c:numCache>
                <c:formatCode>0.0</c:formatCode>
                <c:ptCount val="7"/>
                <c:pt idx="0">
                  <c:v>9.5470921255790042</c:v>
                </c:pt>
                <c:pt idx="1">
                  <c:v>9.0180878552971642</c:v>
                </c:pt>
                <c:pt idx="2">
                  <c:v>9.4141222607683872</c:v>
                </c:pt>
                <c:pt idx="3">
                  <c:v>11.274567726180628</c:v>
                </c:pt>
                <c:pt idx="4">
                  <c:v>16.048705378475468</c:v>
                </c:pt>
                <c:pt idx="5">
                  <c:v>13.394640923579026</c:v>
                </c:pt>
                <c:pt idx="6">
                  <c:v>10.166231809990055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A-438E-B415-DB8E4DD4359C}"/>
            </c:ext>
          </c:extLst>
        </c:ser>
        <c:ser>
          <c:idx val="2"/>
          <c:order val="2"/>
          <c:tx>
            <c:strRef>
              <c:f>'11.3'!$AK$26:$AL$26</c:f>
              <c:strCache>
                <c:ptCount val="2"/>
                <c:pt idx="0">
                  <c:v>% increase in car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pPr>
              <a:solidFill>
                <a:schemeClr val="tx1">
                  <a:lumMod val="50000"/>
                  <a:lumOff val="50000"/>
                </a:schemeClr>
              </a:solidFill>
            </c:spPr>
          </c:marker>
          <c:cat>
            <c:numRef>
              <c:f>'11.3'!$AM$23:$AS$23</c:f>
              <c:numCache>
                <c:formatCode>0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 formatCode="General">
                  <c:v>2015</c:v>
                </c:pt>
                <c:pt idx="5">
                  <c:v>2016</c:v>
                </c:pt>
                <c:pt idx="6" formatCode="General">
                  <c:v>2017</c:v>
                </c:pt>
              </c:numCache>
            </c:numRef>
          </c:cat>
          <c:val>
            <c:numRef>
              <c:f>'11.3'!$AM$26:$AS$26</c:f>
              <c:numCache>
                <c:formatCode>0.0</c:formatCode>
                <c:ptCount val="7"/>
                <c:pt idx="0">
                  <c:v>4.8387096774193505</c:v>
                </c:pt>
                <c:pt idx="1">
                  <c:v>5.6410256410256432</c:v>
                </c:pt>
                <c:pt idx="2">
                  <c:v>7.7130528586839331</c:v>
                </c:pt>
                <c:pt idx="3">
                  <c:v>12.543815723585382</c:v>
                </c:pt>
                <c:pt idx="4">
                  <c:v>17.219132369299217</c:v>
                </c:pt>
                <c:pt idx="5">
                  <c:v>9.204782691212742</c:v>
                </c:pt>
                <c:pt idx="6">
                  <c:v>7.1428571428571397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1A-438E-B415-DB8E4DD43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8320112"/>
        <c:axId val="-908316848"/>
      </c:lineChart>
      <c:catAx>
        <c:axId val="-9083201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-908316848"/>
        <c:crosses val="autoZero"/>
        <c:auto val="1"/>
        <c:lblAlgn val="ctr"/>
        <c:lblOffset val="100"/>
        <c:noMultiLvlLbl val="0"/>
      </c:catAx>
      <c:valAx>
        <c:axId val="-9083168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5911688862323591E-2"/>
              <c:y val="7.288171623175202E-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-9083201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8.7027771970981507E-2"/>
          <c:y val="0.69581998917980847"/>
          <c:w val="0.87381487405074254"/>
          <c:h val="7.4211682785961394E-2"/>
        </c:manualLayout>
      </c:layout>
      <c:overlay val="0"/>
      <c:txPr>
        <a:bodyPr/>
        <a:lstStyle/>
        <a:p>
          <a:pPr>
            <a:defRPr sz="1000">
              <a:latin typeface="+mn-lt"/>
              <a:cs typeface="Consolas" pitchFamily="49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558586702774638"/>
          <c:y val="0.14673630426681442"/>
          <c:w val="0.35322776080481472"/>
          <c:h val="0.82650549344361413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explosion val="2"/>
          <c:dPt>
            <c:idx val="0"/>
            <c:bubble3D val="0"/>
            <c:explosion val="4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119-4DE2-B508-60A8D5FDC786}"/>
              </c:ext>
            </c:extLst>
          </c:dPt>
          <c:dPt>
            <c:idx val="1"/>
            <c:bubble3D val="0"/>
            <c:explosion val="6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119-4DE2-B508-60A8D5FDC786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7119-4DE2-B508-60A8D5FDC786}"/>
              </c:ext>
            </c:extLst>
          </c:dPt>
          <c:dPt>
            <c:idx val="3"/>
            <c:bubble3D val="0"/>
            <c:explosion val="4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7119-4DE2-B508-60A8D5FDC786}"/>
              </c:ext>
            </c:extLst>
          </c:dPt>
          <c:dLbls>
            <c:dLbl>
              <c:idx val="0"/>
              <c:layout>
                <c:manualLayout>
                  <c:x val="6.5650127067449895E-2"/>
                  <c:y val="7.4539398891690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119-4DE2-B508-60A8D5FDC786}"/>
                </c:ext>
              </c:extLst>
            </c:dLbl>
            <c:dLbl>
              <c:idx val="1"/>
              <c:layout>
                <c:manualLayout>
                  <c:x val="3.5918540550618282E-3"/>
                  <c:y val="-1.805076144264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119-4DE2-B508-60A8D5FDC786}"/>
                </c:ext>
              </c:extLst>
            </c:dLbl>
            <c:dLbl>
              <c:idx val="2"/>
              <c:layout>
                <c:manualLayout>
                  <c:x val="5.1486283920613815E-2"/>
                  <c:y val="-9.46575249901705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119-4DE2-B508-60A8D5FDC786}"/>
                </c:ext>
              </c:extLst>
            </c:dLbl>
            <c:dLbl>
              <c:idx val="3"/>
              <c:layout>
                <c:manualLayout>
                  <c:x val="6.4304736459212166E-3"/>
                  <c:y val="4.629190367838966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119-4DE2-B508-60A8D5FDC7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'11.3'!$AK$30:$AK$33</c:f>
              <c:strCache>
                <c:ptCount val="4"/>
                <c:pt idx="0">
                  <c:v>Motor cycle</c:v>
                </c:pt>
                <c:pt idx="1">
                  <c:v>Car</c:v>
                </c:pt>
                <c:pt idx="2">
                  <c:v>Pick-Up</c:v>
                </c:pt>
                <c:pt idx="3">
                  <c:v>Others</c:v>
                </c:pt>
              </c:strCache>
            </c:strRef>
          </c:cat>
          <c:val>
            <c:numRef>
              <c:f>'11.3'!$AL$30:$AL$33</c:f>
              <c:numCache>
                <c:formatCode>0.0</c:formatCode>
                <c:ptCount val="4"/>
                <c:pt idx="0">
                  <c:v>82.398326140970312</c:v>
                </c:pt>
                <c:pt idx="1">
                  <c:v>6.2015269939946283</c:v>
                </c:pt>
                <c:pt idx="2">
                  <c:v>2.8296667370814097</c:v>
                </c:pt>
                <c:pt idx="3">
                  <c:v>8.5704801279536476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19-4DE2-B508-60A8D5FDC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0"/>
        <c:holeSize val="50"/>
      </c:doughnut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206374</xdr:colOff>
      <xdr:row>53</xdr:row>
      <xdr:rowOff>252640</xdr:rowOff>
    </xdr:from>
    <xdr:to>
      <xdr:col>18</xdr:col>
      <xdr:colOff>349249</xdr:colOff>
      <xdr:row>72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74</xdr:row>
      <xdr:rowOff>71394</xdr:rowOff>
    </xdr:from>
    <xdr:to>
      <xdr:col>18</xdr:col>
      <xdr:colOff>371475</xdr:colOff>
      <xdr:row>95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228601</xdr:colOff>
      <xdr:row>97</xdr:row>
      <xdr:rowOff>144151</xdr:rowOff>
    </xdr:from>
    <xdr:to>
      <xdr:col>18</xdr:col>
      <xdr:colOff>358776</xdr:colOff>
      <xdr:row>116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638176</xdr:colOff>
      <xdr:row>100</xdr:row>
      <xdr:rowOff>19050</xdr:rowOff>
    </xdr:from>
    <xdr:to>
      <xdr:col>16</xdr:col>
      <xdr:colOff>466725</xdr:colOff>
      <xdr:row>100</xdr:row>
      <xdr:rowOff>31750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981201" y="18792825"/>
          <a:ext cx="4143374" cy="12700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7</xdr:col>
      <xdr:colOff>304800</xdr:colOff>
      <xdr:row>55</xdr:row>
      <xdr:rowOff>0</xdr:rowOff>
    </xdr:from>
    <xdr:to>
      <xdr:col>16</xdr:col>
      <xdr:colOff>539750</xdr:colOff>
      <xdr:row>55</xdr:row>
      <xdr:rowOff>3174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654175" y="11239500"/>
          <a:ext cx="4568825" cy="3174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7</xdr:col>
      <xdr:colOff>339725</xdr:colOff>
      <xdr:row>76</xdr:row>
      <xdr:rowOff>142874</xdr:rowOff>
    </xdr:from>
    <xdr:to>
      <xdr:col>16</xdr:col>
      <xdr:colOff>657225</xdr:colOff>
      <xdr:row>76</xdr:row>
      <xdr:rowOff>158747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682750" y="15030449"/>
          <a:ext cx="4632325" cy="15873"/>
        </a:xfrm>
        <a:prstGeom prst="line">
          <a:avLst/>
        </a:prstGeom>
        <a:ln w="28575">
          <a:solidFill>
            <a:schemeClr val="accent1">
              <a:lumMod val="75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0.0625</cdr:x>
      <cdr:y>0.05903</cdr:y>
    </cdr:from>
    <cdr:to>
      <cdr:x>0.975</cdr:x>
      <cdr:y>0.14871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85" y="150916"/>
          <a:ext cx="4917068" cy="229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0.22109</cdr:x>
      <cdr:y>0.03185</cdr:y>
    </cdr:from>
    <cdr:to>
      <cdr:x>0.75748</cdr:x>
      <cdr:y>0.1256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759811" y="96425"/>
          <a:ext cx="4269513" cy="2838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11.4: Percentage share of selected vehicles, 2017</a:t>
          </a:r>
          <a:endParaRPr lang="en-US" sz="8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Checking/revised.%20%2011.%20TRANSPORT%20%20%20COMMUNICATION%20-%20Transport%20Authority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2 new table"/>
      <sheetName val="11.3"/>
      <sheetName val="11.4"/>
      <sheetName val="11.5"/>
      <sheetName val="11.6"/>
      <sheetName val="11.7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S21">
            <v>2015</v>
          </cell>
          <cell r="T21">
            <v>2016</v>
          </cell>
          <cell r="U21">
            <v>2017</v>
          </cell>
        </row>
        <row r="23">
          <cell r="P23" t="str">
            <v>Car</v>
          </cell>
          <cell r="S23">
            <v>5269</v>
          </cell>
          <cell r="T23">
            <v>5754</v>
          </cell>
          <cell r="U23">
            <v>413</v>
          </cell>
        </row>
        <row r="24">
          <cell r="P24" t="str">
            <v>Bus</v>
          </cell>
          <cell r="S24">
            <v>163</v>
          </cell>
          <cell r="T24">
            <v>178</v>
          </cell>
          <cell r="U24">
            <v>18</v>
          </cell>
        </row>
        <row r="25">
          <cell r="P25" t="str">
            <v>Pick-Up</v>
          </cell>
          <cell r="S25">
            <v>2251</v>
          </cell>
          <cell r="T25">
            <v>2550</v>
          </cell>
          <cell r="U25">
            <v>262</v>
          </cell>
        </row>
        <row r="26">
          <cell r="P26" t="str">
            <v>Lorry</v>
          </cell>
          <cell r="S26">
            <v>802</v>
          </cell>
          <cell r="T26">
            <v>820</v>
          </cell>
          <cell r="U26">
            <v>33</v>
          </cell>
        </row>
        <row r="27">
          <cell r="P27" t="str">
            <v>Van</v>
          </cell>
          <cell r="S27">
            <v>1371</v>
          </cell>
          <cell r="T27">
            <v>1485</v>
          </cell>
          <cell r="U27">
            <v>112</v>
          </cell>
        </row>
        <row r="28">
          <cell r="P28" t="str">
            <v>Jeep</v>
          </cell>
          <cell r="S28">
            <v>552</v>
          </cell>
          <cell r="T28">
            <v>574</v>
          </cell>
          <cell r="U28">
            <v>25</v>
          </cell>
        </row>
        <row r="29">
          <cell r="P29" t="str">
            <v xml:space="preserve">Battery Scooter      </v>
          </cell>
          <cell r="S29">
            <v>482</v>
          </cell>
          <cell r="T29">
            <v>589</v>
          </cell>
          <cell r="U29">
            <v>437</v>
          </cell>
        </row>
        <row r="30">
          <cell r="P30" t="str">
            <v>Other vehicles</v>
          </cell>
          <cell r="S30">
            <v>2485</v>
          </cell>
          <cell r="T30">
            <v>3065</v>
          </cell>
          <cell r="U30">
            <v>1223</v>
          </cell>
        </row>
        <row r="37">
          <cell r="Q37" t="str">
            <v>Male'</v>
          </cell>
          <cell r="R37" t="str">
            <v xml:space="preserve">Hulhumale' </v>
          </cell>
          <cell r="S37" t="str">
            <v>Addu</v>
          </cell>
          <cell r="T37" t="str">
            <v>Other atolls</v>
          </cell>
        </row>
        <row r="40">
          <cell r="P40">
            <v>2015</v>
          </cell>
          <cell r="Q40">
            <v>57407</v>
          </cell>
          <cell r="R40">
            <v>714</v>
          </cell>
          <cell r="S40">
            <v>6706</v>
          </cell>
          <cell r="T40">
            <v>15126</v>
          </cell>
        </row>
        <row r="41">
          <cell r="P41">
            <v>2016</v>
          </cell>
          <cell r="Q41">
            <v>61723</v>
          </cell>
          <cell r="R41">
            <v>1454</v>
          </cell>
          <cell r="S41">
            <v>7459</v>
          </cell>
          <cell r="T41">
            <v>18733</v>
          </cell>
        </row>
        <row r="42">
          <cell r="P42">
            <v>2017</v>
          </cell>
          <cell r="Q42">
            <v>5379</v>
          </cell>
          <cell r="R42">
            <v>829</v>
          </cell>
          <cell r="S42">
            <v>877</v>
          </cell>
          <cell r="T42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BM69"/>
  <sheetViews>
    <sheetView tabSelected="1" topLeftCell="Q43" zoomScaleNormal="100" workbookViewId="0">
      <selection activeCell="AL77" sqref="AL77"/>
    </sheetView>
  </sheetViews>
  <sheetFormatPr defaultRowHeight="12.75" x14ac:dyDescent="0.25"/>
  <cols>
    <col min="1" max="1" width="20.140625" style="13" customWidth="1"/>
    <col min="2" max="7" width="8.7109375" style="34" hidden="1" customWidth="1"/>
    <col min="8" max="9" width="21.5703125" style="34" customWidth="1"/>
    <col min="10" max="13" width="8.7109375" style="34" hidden="1" customWidth="1"/>
    <col min="14" max="14" width="10.140625" style="34" hidden="1" customWidth="1"/>
    <col min="15" max="15" width="14.7109375" style="34" hidden="1" customWidth="1"/>
    <col min="16" max="17" width="21.5703125" style="34" customWidth="1"/>
    <col min="18" max="18" width="11" style="12" customWidth="1"/>
    <col min="19" max="19" width="8.42578125" style="12" customWidth="1"/>
    <col min="20" max="38" width="11" style="12" customWidth="1"/>
    <col min="39" max="39" width="9.140625" style="12"/>
    <col min="40" max="16384" width="9.140625" style="13"/>
  </cols>
  <sheetData>
    <row r="1" spans="1:40" s="8" customFormat="1" x14ac:dyDescent="0.2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40" ht="16.5" x14ac:dyDescent="0.25">
      <c r="A2" s="76" t="s">
        <v>55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11"/>
    </row>
    <row r="3" spans="1:40" s="16" customFormat="1" ht="15" x14ac:dyDescent="0.25">
      <c r="A3" s="78" t="s">
        <v>54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4"/>
      <c r="AK3" s="14"/>
      <c r="AL3" s="15"/>
      <c r="AM3" s="15"/>
      <c r="AN3" s="15"/>
    </row>
    <row r="4" spans="1:40" s="16" customFormat="1" ht="16.899999999999999" customHeight="1" x14ac:dyDescent="0.25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3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7"/>
      <c r="AK4" s="17"/>
    </row>
    <row r="5" spans="1:40" ht="26.25" customHeight="1" x14ac:dyDescent="0.25">
      <c r="A5" s="79" t="s">
        <v>2</v>
      </c>
      <c r="B5" s="81" t="s">
        <v>58</v>
      </c>
      <c r="C5" s="82"/>
      <c r="D5" s="82"/>
      <c r="E5" s="82"/>
      <c r="F5" s="82"/>
      <c r="G5" s="82"/>
      <c r="H5" s="82"/>
      <c r="I5" s="83"/>
      <c r="J5" s="84" t="s">
        <v>59</v>
      </c>
      <c r="K5" s="85"/>
      <c r="L5" s="85"/>
      <c r="M5" s="85"/>
      <c r="N5" s="85"/>
      <c r="O5" s="85"/>
      <c r="P5" s="85"/>
      <c r="Q5" s="86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7"/>
      <c r="AK5" s="17"/>
    </row>
    <row r="6" spans="1:40" ht="16.5" customHeight="1" x14ac:dyDescent="0.25">
      <c r="A6" s="80"/>
      <c r="B6" s="18">
        <v>2010</v>
      </c>
      <c r="C6" s="18">
        <v>2011</v>
      </c>
      <c r="D6" s="18">
        <v>2012</v>
      </c>
      <c r="E6" s="18">
        <v>2013</v>
      </c>
      <c r="F6" s="19">
        <v>2014</v>
      </c>
      <c r="G6" s="19">
        <v>2015</v>
      </c>
      <c r="H6" s="19">
        <v>2016</v>
      </c>
      <c r="I6" s="65">
        <v>2017</v>
      </c>
      <c r="J6" s="62">
        <v>2010</v>
      </c>
      <c r="K6" s="18">
        <v>2011</v>
      </c>
      <c r="L6" s="18">
        <v>2012</v>
      </c>
      <c r="M6" s="18">
        <v>2013</v>
      </c>
      <c r="N6" s="18">
        <v>2014</v>
      </c>
      <c r="O6" s="18">
        <v>2015</v>
      </c>
      <c r="P6" s="18">
        <v>2016</v>
      </c>
      <c r="Q6" s="18">
        <v>2017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21" customHeight="1" x14ac:dyDescent="0.25">
      <c r="A7" s="20" t="s">
        <v>0</v>
      </c>
      <c r="B7" s="21">
        <f>SUM(B8:B48)</f>
        <v>47917</v>
      </c>
      <c r="C7" s="21">
        <f t="shared" ref="C7:H7" si="0">SUM(C8:C48)</f>
        <v>52199</v>
      </c>
      <c r="D7" s="21">
        <f t="shared" si="0"/>
        <v>56467</v>
      </c>
      <c r="E7" s="22">
        <f t="shared" si="0"/>
        <v>61418</v>
      </c>
      <c r="F7" s="23">
        <f t="shared" si="0"/>
        <v>68210</v>
      </c>
      <c r="G7" s="23">
        <f t="shared" si="0"/>
        <v>78997</v>
      </c>
      <c r="H7" s="23">
        <f t="shared" si="0"/>
        <v>89237</v>
      </c>
      <c r="I7" s="61">
        <f>SUM(I8:I51)</f>
        <v>99411</v>
      </c>
      <c r="J7" s="63">
        <f t="shared" ref="J7:Q7" si="1">SUM(J8:J48)</f>
        <v>3427</v>
      </c>
      <c r="K7" s="21">
        <f t="shared" si="1"/>
        <v>8574</v>
      </c>
      <c r="L7" s="21">
        <f t="shared" si="1"/>
        <v>4306</v>
      </c>
      <c r="M7" s="21">
        <f t="shared" si="1"/>
        <v>4878</v>
      </c>
      <c r="N7" s="21">
        <f t="shared" si="1"/>
        <v>6777</v>
      </c>
      <c r="O7" s="21">
        <f t="shared" si="1"/>
        <v>11686</v>
      </c>
      <c r="P7" s="21">
        <f t="shared" si="1"/>
        <v>9250</v>
      </c>
      <c r="Q7" s="21">
        <f t="shared" si="1"/>
        <v>9361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7.25" customHeight="1" x14ac:dyDescent="0.25">
      <c r="A8" s="73" t="s">
        <v>3</v>
      </c>
      <c r="B8" s="25">
        <v>38860</v>
      </c>
      <c r="C8" s="26">
        <v>42570</v>
      </c>
      <c r="D8" s="27">
        <v>46409</v>
      </c>
      <c r="E8" s="27">
        <v>50778</v>
      </c>
      <c r="F8" s="28">
        <v>56503</v>
      </c>
      <c r="G8" s="29">
        <v>65571</v>
      </c>
      <c r="H8" s="29">
        <v>74354</v>
      </c>
      <c r="I8" s="66">
        <v>81913</v>
      </c>
      <c r="J8" s="64">
        <v>2983</v>
      </c>
      <c r="K8" s="30">
        <v>7546</v>
      </c>
      <c r="L8" s="30">
        <v>3838</v>
      </c>
      <c r="M8" s="30">
        <v>4341</v>
      </c>
      <c r="N8" s="30">
        <v>5710</v>
      </c>
      <c r="O8" s="30">
        <v>9976</v>
      </c>
      <c r="P8" s="30">
        <v>7794</v>
      </c>
      <c r="Q8" s="30">
        <v>7559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17.25" customHeight="1" x14ac:dyDescent="0.25">
      <c r="A9" s="73" t="s">
        <v>4</v>
      </c>
      <c r="B9" s="25">
        <v>3348</v>
      </c>
      <c r="C9" s="26">
        <v>3510</v>
      </c>
      <c r="D9" s="27">
        <v>3708</v>
      </c>
      <c r="E9" s="27">
        <v>3994</v>
      </c>
      <c r="F9" s="28">
        <v>4495</v>
      </c>
      <c r="G9" s="29">
        <v>5269</v>
      </c>
      <c r="H9" s="29">
        <v>5754</v>
      </c>
      <c r="I9" s="66">
        <v>6165</v>
      </c>
      <c r="J9" s="64">
        <v>122</v>
      </c>
      <c r="K9" s="30">
        <v>359</v>
      </c>
      <c r="L9" s="30">
        <v>203</v>
      </c>
      <c r="M9" s="30">
        <v>278</v>
      </c>
      <c r="N9" s="30">
        <v>500</v>
      </c>
      <c r="O9" s="30">
        <v>769</v>
      </c>
      <c r="P9" s="30">
        <v>480</v>
      </c>
      <c r="Q9" s="30">
        <v>412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"/>
      <c r="AK9" s="4"/>
      <c r="AL9" s="13"/>
      <c r="AM9" s="13"/>
    </row>
    <row r="10" spans="1:40" ht="17.25" customHeight="1" x14ac:dyDescent="0.25">
      <c r="A10" s="73" t="s">
        <v>5</v>
      </c>
      <c r="B10" s="25">
        <v>99</v>
      </c>
      <c r="C10" s="26">
        <v>128</v>
      </c>
      <c r="D10" s="27">
        <v>132</v>
      </c>
      <c r="E10" s="27">
        <v>140</v>
      </c>
      <c r="F10" s="28">
        <v>151</v>
      </c>
      <c r="G10" s="29">
        <v>163</v>
      </c>
      <c r="H10" s="29">
        <v>178</v>
      </c>
      <c r="I10" s="66">
        <v>196</v>
      </c>
      <c r="J10" s="64">
        <v>12</v>
      </c>
      <c r="K10" s="30">
        <v>33</v>
      </c>
      <c r="L10" s="30">
        <v>4</v>
      </c>
      <c r="M10" s="30">
        <v>8</v>
      </c>
      <c r="N10" s="30">
        <v>11</v>
      </c>
      <c r="O10" s="30">
        <v>12</v>
      </c>
      <c r="P10" s="30">
        <v>15</v>
      </c>
      <c r="Q10" s="30">
        <v>18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2"/>
      <c r="AK10" s="4"/>
      <c r="AL10" s="13"/>
      <c r="AM10" s="13"/>
    </row>
    <row r="11" spans="1:40" ht="17.25" customHeight="1" x14ac:dyDescent="0.25">
      <c r="A11" s="73" t="s">
        <v>6</v>
      </c>
      <c r="B11" s="25">
        <v>1681</v>
      </c>
      <c r="C11" s="26">
        <v>1755</v>
      </c>
      <c r="D11" s="27">
        <v>1806</v>
      </c>
      <c r="E11" s="27">
        <v>1860</v>
      </c>
      <c r="F11" s="28">
        <v>1990</v>
      </c>
      <c r="G11" s="29">
        <v>2251</v>
      </c>
      <c r="H11" s="29">
        <v>2550</v>
      </c>
      <c r="I11" s="66">
        <v>2813</v>
      </c>
      <c r="J11" s="64">
        <v>54</v>
      </c>
      <c r="K11" s="30">
        <v>122</v>
      </c>
      <c r="L11" s="30">
        <v>52</v>
      </c>
      <c r="M11" s="30">
        <v>54</v>
      </c>
      <c r="N11" s="30">
        <v>130</v>
      </c>
      <c r="O11" s="30">
        <v>257</v>
      </c>
      <c r="P11" s="30">
        <v>296</v>
      </c>
      <c r="Q11" s="30">
        <v>164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K11" s="4"/>
      <c r="AL11" s="13"/>
      <c r="AM11" s="13"/>
    </row>
    <row r="12" spans="1:40" ht="17.25" customHeight="1" x14ac:dyDescent="0.25">
      <c r="A12" s="73" t="s">
        <v>7</v>
      </c>
      <c r="B12" s="25">
        <v>750</v>
      </c>
      <c r="C12" s="26">
        <v>756</v>
      </c>
      <c r="D12" s="27">
        <v>768</v>
      </c>
      <c r="E12" s="27">
        <v>772</v>
      </c>
      <c r="F12" s="28">
        <v>783</v>
      </c>
      <c r="G12" s="29">
        <v>802</v>
      </c>
      <c r="H12" s="29">
        <v>820</v>
      </c>
      <c r="I12" s="66">
        <v>852</v>
      </c>
      <c r="J12" s="64">
        <v>9</v>
      </c>
      <c r="K12" s="30">
        <v>19</v>
      </c>
      <c r="L12" s="30">
        <v>12</v>
      </c>
      <c r="M12" s="30">
        <v>4</v>
      </c>
      <c r="N12" s="30">
        <v>11</v>
      </c>
      <c r="O12" s="30">
        <v>19</v>
      </c>
      <c r="P12" s="30">
        <v>19</v>
      </c>
      <c r="Q12" s="30">
        <v>31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"/>
      <c r="AK12" s="4"/>
      <c r="AL12" s="13"/>
      <c r="AM12" s="13"/>
    </row>
    <row r="13" spans="1:40" ht="17.25" customHeight="1" x14ac:dyDescent="0.25">
      <c r="A13" s="73" t="s">
        <v>8</v>
      </c>
      <c r="B13" s="25">
        <v>986</v>
      </c>
      <c r="C13" s="26">
        <v>1038</v>
      </c>
      <c r="D13" s="27">
        <v>1077</v>
      </c>
      <c r="E13" s="27">
        <v>1154</v>
      </c>
      <c r="F13" s="28">
        <v>1248</v>
      </c>
      <c r="G13" s="29">
        <v>1371</v>
      </c>
      <c r="H13" s="31">
        <v>1485</v>
      </c>
      <c r="I13" s="66">
        <v>1596</v>
      </c>
      <c r="J13" s="64">
        <v>31</v>
      </c>
      <c r="K13" s="30">
        <v>91</v>
      </c>
      <c r="L13" s="30">
        <v>43</v>
      </c>
      <c r="M13" s="30">
        <v>71</v>
      </c>
      <c r="N13" s="30">
        <v>95</v>
      </c>
      <c r="O13" s="30">
        <v>122</v>
      </c>
      <c r="P13" s="30">
        <v>115</v>
      </c>
      <c r="Q13" s="30">
        <v>110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5"/>
      <c r="AK13" s="6"/>
      <c r="AL13" s="13"/>
      <c r="AM13" s="13"/>
    </row>
    <row r="14" spans="1:40" ht="15" x14ac:dyDescent="0.25">
      <c r="A14" s="73" t="s">
        <v>9</v>
      </c>
      <c r="B14" s="25">
        <v>391</v>
      </c>
      <c r="C14" s="26">
        <v>474</v>
      </c>
      <c r="D14" s="27">
        <v>484</v>
      </c>
      <c r="E14" s="27">
        <v>491</v>
      </c>
      <c r="F14" s="28">
        <v>506</v>
      </c>
      <c r="G14" s="29">
        <v>552</v>
      </c>
      <c r="H14" s="29">
        <v>574</v>
      </c>
      <c r="I14" s="66">
        <v>599</v>
      </c>
      <c r="J14" s="64">
        <v>18</v>
      </c>
      <c r="K14" s="30">
        <v>93</v>
      </c>
      <c r="L14" s="30">
        <v>10</v>
      </c>
      <c r="M14" s="30">
        <v>6</v>
      </c>
      <c r="N14" s="30">
        <v>15</v>
      </c>
      <c r="O14" s="30">
        <v>46</v>
      </c>
      <c r="P14" s="30">
        <v>22</v>
      </c>
      <c r="Q14" s="30">
        <v>25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32"/>
      <c r="AM14" s="13"/>
    </row>
    <row r="15" spans="1:40" ht="15" x14ac:dyDescent="0.25">
      <c r="A15" s="73" t="s">
        <v>10</v>
      </c>
      <c r="B15" s="25">
        <v>18</v>
      </c>
      <c r="C15" s="26">
        <v>19</v>
      </c>
      <c r="D15" s="27">
        <v>21</v>
      </c>
      <c r="E15" s="27">
        <v>23</v>
      </c>
      <c r="F15" s="28">
        <v>25</v>
      </c>
      <c r="G15" s="29">
        <v>79</v>
      </c>
      <c r="H15" s="29">
        <v>89</v>
      </c>
      <c r="I15" s="66">
        <v>113</v>
      </c>
      <c r="J15" s="64">
        <v>1</v>
      </c>
      <c r="K15" s="30">
        <v>3</v>
      </c>
      <c r="L15" s="30">
        <v>1</v>
      </c>
      <c r="M15" s="30">
        <v>2</v>
      </c>
      <c r="N15" s="30">
        <v>2</v>
      </c>
      <c r="O15" s="30">
        <v>55</v>
      </c>
      <c r="P15" s="30">
        <v>10</v>
      </c>
      <c r="Q15" s="30">
        <v>24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32"/>
      <c r="AM15" s="13"/>
    </row>
    <row r="16" spans="1:40" ht="15" x14ac:dyDescent="0.25">
      <c r="A16" s="73" t="s">
        <v>11</v>
      </c>
      <c r="B16" s="25">
        <v>32</v>
      </c>
      <c r="C16" s="26">
        <v>34</v>
      </c>
      <c r="D16" s="27">
        <v>36</v>
      </c>
      <c r="E16" s="27">
        <v>36</v>
      </c>
      <c r="F16" s="28">
        <v>39</v>
      </c>
      <c r="G16" s="29">
        <v>42</v>
      </c>
      <c r="H16" s="29">
        <v>45</v>
      </c>
      <c r="I16" s="66">
        <v>53</v>
      </c>
      <c r="J16" s="64">
        <v>0</v>
      </c>
      <c r="K16" s="30">
        <v>4</v>
      </c>
      <c r="L16" s="30">
        <v>2</v>
      </c>
      <c r="M16" s="30">
        <v>0</v>
      </c>
      <c r="N16" s="30">
        <v>3</v>
      </c>
      <c r="O16" s="30">
        <v>3</v>
      </c>
      <c r="P16" s="30">
        <v>3</v>
      </c>
      <c r="Q16" s="30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32"/>
      <c r="AM16" s="33"/>
    </row>
    <row r="17" spans="1:50" ht="15" x14ac:dyDescent="0.25">
      <c r="A17" s="73" t="s">
        <v>12</v>
      </c>
      <c r="B17" s="25">
        <v>125</v>
      </c>
      <c r="C17" s="26">
        <v>130</v>
      </c>
      <c r="D17" s="27">
        <v>134</v>
      </c>
      <c r="E17" s="27">
        <v>139</v>
      </c>
      <c r="F17" s="28">
        <v>145</v>
      </c>
      <c r="G17" s="29">
        <v>153</v>
      </c>
      <c r="H17" s="29">
        <v>175</v>
      </c>
      <c r="I17" s="66">
        <v>218</v>
      </c>
      <c r="J17" s="64">
        <v>4</v>
      </c>
      <c r="K17" s="30">
        <v>9</v>
      </c>
      <c r="L17" s="30">
        <v>4</v>
      </c>
      <c r="M17" s="30">
        <v>5</v>
      </c>
      <c r="N17" s="30">
        <v>6</v>
      </c>
      <c r="O17" s="30">
        <v>8</v>
      </c>
      <c r="P17" s="30">
        <v>22</v>
      </c>
      <c r="Q17" s="30">
        <v>43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32"/>
      <c r="AM17" s="13"/>
    </row>
    <row r="18" spans="1:50" ht="15" x14ac:dyDescent="0.25">
      <c r="A18" s="73" t="s">
        <v>13</v>
      </c>
      <c r="B18" s="25">
        <v>402</v>
      </c>
      <c r="C18" s="26">
        <v>440</v>
      </c>
      <c r="D18" s="27">
        <v>474</v>
      </c>
      <c r="E18" s="27">
        <v>499</v>
      </c>
      <c r="F18" s="28">
        <v>549</v>
      </c>
      <c r="G18" s="29">
        <v>684</v>
      </c>
      <c r="H18" s="29">
        <v>799</v>
      </c>
      <c r="I18" s="66">
        <v>1014</v>
      </c>
      <c r="J18" s="64">
        <v>43</v>
      </c>
      <c r="K18" s="30">
        <v>72</v>
      </c>
      <c r="L18" s="30">
        <v>34</v>
      </c>
      <c r="M18" s="30">
        <v>25</v>
      </c>
      <c r="N18" s="30">
        <v>50</v>
      </c>
      <c r="O18" s="30">
        <v>135</v>
      </c>
      <c r="P18" s="30">
        <v>114</v>
      </c>
      <c r="Q18" s="30">
        <v>215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32"/>
      <c r="AM18" s="13"/>
    </row>
    <row r="19" spans="1:50" ht="15" x14ac:dyDescent="0.25">
      <c r="A19" s="73" t="s">
        <v>14</v>
      </c>
      <c r="B19" s="25">
        <v>214</v>
      </c>
      <c r="C19" s="26">
        <v>221</v>
      </c>
      <c r="D19" s="27">
        <v>237</v>
      </c>
      <c r="E19" s="27">
        <v>247</v>
      </c>
      <c r="F19" s="28">
        <v>257</v>
      </c>
      <c r="G19" s="29">
        <v>287</v>
      </c>
      <c r="H19" s="29">
        <v>313</v>
      </c>
      <c r="I19" s="66">
        <v>375</v>
      </c>
      <c r="J19" s="64">
        <v>11</v>
      </c>
      <c r="K19" s="30">
        <v>23</v>
      </c>
      <c r="L19" s="30">
        <v>16</v>
      </c>
      <c r="M19" s="30">
        <v>10</v>
      </c>
      <c r="N19" s="30">
        <v>10</v>
      </c>
      <c r="O19" s="30">
        <v>30</v>
      </c>
      <c r="P19" s="30">
        <v>26</v>
      </c>
      <c r="Q19" s="30">
        <v>62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32"/>
      <c r="AK19" s="13"/>
      <c r="AL19" s="13"/>
      <c r="AM19" s="13"/>
    </row>
    <row r="20" spans="1:50" ht="15" x14ac:dyDescent="0.25">
      <c r="A20" s="73" t="s">
        <v>15</v>
      </c>
      <c r="B20" s="25">
        <v>304</v>
      </c>
      <c r="C20" s="26">
        <v>333</v>
      </c>
      <c r="D20" s="27">
        <v>345</v>
      </c>
      <c r="E20" s="27">
        <v>369</v>
      </c>
      <c r="F20" s="28">
        <v>415</v>
      </c>
      <c r="G20" s="29">
        <v>461</v>
      </c>
      <c r="H20" s="29">
        <v>544</v>
      </c>
      <c r="I20" s="66">
        <v>655</v>
      </c>
      <c r="J20" s="64">
        <v>16</v>
      </c>
      <c r="K20" s="30">
        <v>41</v>
      </c>
      <c r="L20" s="30">
        <v>12</v>
      </c>
      <c r="M20" s="30">
        <v>24</v>
      </c>
      <c r="N20" s="30">
        <v>46</v>
      </c>
      <c r="O20" s="30">
        <v>46</v>
      </c>
      <c r="P20" s="30">
        <v>81</v>
      </c>
      <c r="Q20" s="30">
        <v>111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32"/>
      <c r="AK20" s="13"/>
      <c r="AL20" s="13"/>
      <c r="AM20" s="13"/>
    </row>
    <row r="21" spans="1:50" ht="15" x14ac:dyDescent="0.25">
      <c r="A21" s="73" t="s">
        <v>16</v>
      </c>
      <c r="B21" s="25">
        <v>111</v>
      </c>
      <c r="C21" s="26">
        <v>113</v>
      </c>
      <c r="D21" s="27">
        <v>113</v>
      </c>
      <c r="E21" s="27">
        <v>132</v>
      </c>
      <c r="F21" s="28">
        <v>147</v>
      </c>
      <c r="G21" s="29">
        <v>150</v>
      </c>
      <c r="H21" s="29">
        <v>155</v>
      </c>
      <c r="I21" s="66">
        <v>166</v>
      </c>
      <c r="J21" s="64">
        <v>2</v>
      </c>
      <c r="K21" s="30">
        <v>2</v>
      </c>
      <c r="L21" s="30">
        <v>0</v>
      </c>
      <c r="M21" s="30">
        <v>19</v>
      </c>
      <c r="N21" s="30">
        <v>15</v>
      </c>
      <c r="O21" s="30">
        <v>3</v>
      </c>
      <c r="P21" s="30">
        <v>5</v>
      </c>
      <c r="Q21" s="30">
        <v>11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32"/>
      <c r="AK21" s="13"/>
      <c r="AL21" s="13"/>
      <c r="AM21" s="13"/>
    </row>
    <row r="22" spans="1:50" ht="15" x14ac:dyDescent="0.25">
      <c r="A22" s="73" t="s">
        <v>17</v>
      </c>
      <c r="B22" s="25">
        <v>130</v>
      </c>
      <c r="C22" s="26">
        <v>135</v>
      </c>
      <c r="D22" s="27">
        <v>141</v>
      </c>
      <c r="E22" s="27">
        <v>142</v>
      </c>
      <c r="F22" s="28">
        <v>151</v>
      </c>
      <c r="G22" s="29">
        <v>175</v>
      </c>
      <c r="H22" s="29">
        <v>194</v>
      </c>
      <c r="I22" s="66">
        <v>207</v>
      </c>
      <c r="J22" s="64">
        <v>0</v>
      </c>
      <c r="K22" s="30">
        <v>11</v>
      </c>
      <c r="L22" s="30">
        <v>6</v>
      </c>
      <c r="M22" s="30">
        <v>1</v>
      </c>
      <c r="N22" s="30">
        <v>9</v>
      </c>
      <c r="O22" s="30">
        <v>24</v>
      </c>
      <c r="P22" s="30">
        <v>19</v>
      </c>
      <c r="Q22" s="30">
        <v>13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32"/>
      <c r="AK22" s="13"/>
      <c r="AL22" s="13"/>
      <c r="AM22" s="13"/>
    </row>
    <row r="23" spans="1:50" ht="15" x14ac:dyDescent="0.25">
      <c r="A23" s="73" t="s">
        <v>18</v>
      </c>
      <c r="B23" s="25">
        <v>7</v>
      </c>
      <c r="C23" s="26">
        <v>7</v>
      </c>
      <c r="D23" s="27">
        <v>8</v>
      </c>
      <c r="E23" s="27">
        <v>8</v>
      </c>
      <c r="F23" s="28">
        <v>8</v>
      </c>
      <c r="G23" s="29">
        <v>8</v>
      </c>
      <c r="H23" s="29">
        <v>8</v>
      </c>
      <c r="I23" s="66">
        <v>8</v>
      </c>
      <c r="J23" s="64">
        <v>0</v>
      </c>
      <c r="K23" s="30">
        <v>1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10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32"/>
      <c r="AK23" s="13"/>
      <c r="AL23" s="34"/>
      <c r="AM23" s="35">
        <v>2011</v>
      </c>
      <c r="AN23" s="35">
        <v>2012</v>
      </c>
      <c r="AO23" s="35">
        <v>2013</v>
      </c>
      <c r="AP23" s="35">
        <v>2014</v>
      </c>
      <c r="AQ23" s="13">
        <v>2015</v>
      </c>
      <c r="AR23" s="35">
        <v>2016</v>
      </c>
      <c r="AS23" s="13">
        <v>2017</v>
      </c>
    </row>
    <row r="24" spans="1:50" ht="15" x14ac:dyDescent="0.25">
      <c r="A24" s="73" t="s">
        <v>19</v>
      </c>
      <c r="B24" s="25">
        <v>1</v>
      </c>
      <c r="C24" s="26">
        <v>1</v>
      </c>
      <c r="D24" s="27">
        <v>1</v>
      </c>
      <c r="E24" s="27">
        <v>1</v>
      </c>
      <c r="F24" s="28">
        <v>1</v>
      </c>
      <c r="G24" s="29">
        <v>1</v>
      </c>
      <c r="H24" s="29">
        <v>1</v>
      </c>
      <c r="I24" s="66">
        <v>1</v>
      </c>
      <c r="J24" s="64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3"/>
      <c r="AK24" s="13" t="s">
        <v>20</v>
      </c>
      <c r="AL24" s="34"/>
      <c r="AM24" s="36">
        <f t="shared" ref="AM24:AQ26" si="2">((C7/B7)-1)*100</f>
        <v>8.9362856606215004</v>
      </c>
      <c r="AN24" s="36">
        <f t="shared" si="2"/>
        <v>8.1764018467786812</v>
      </c>
      <c r="AO24" s="36">
        <f t="shared" si="2"/>
        <v>8.7679529636778941</v>
      </c>
      <c r="AP24" s="36">
        <f t="shared" si="2"/>
        <v>11.058647302093849</v>
      </c>
      <c r="AQ24" s="36">
        <f>((G7/F7)-1)*100</f>
        <v>15.814396716024049</v>
      </c>
      <c r="AR24" s="36">
        <f>((H7/G7)-1)*100</f>
        <v>12.962517563958119</v>
      </c>
      <c r="AS24" s="36">
        <f>((I7/H7)-1)*100</f>
        <v>11.401100440400281</v>
      </c>
    </row>
    <row r="25" spans="1:50" ht="15" x14ac:dyDescent="0.25">
      <c r="A25" s="73" t="s">
        <v>21</v>
      </c>
      <c r="B25" s="25">
        <v>11</v>
      </c>
      <c r="C25" s="26">
        <v>11</v>
      </c>
      <c r="D25" s="27">
        <v>15</v>
      </c>
      <c r="E25" s="27">
        <v>15</v>
      </c>
      <c r="F25" s="28">
        <v>16</v>
      </c>
      <c r="G25" s="29">
        <v>18</v>
      </c>
      <c r="H25" s="29">
        <v>18</v>
      </c>
      <c r="I25" s="66">
        <v>21</v>
      </c>
      <c r="J25" s="64">
        <v>0</v>
      </c>
      <c r="K25" s="30">
        <v>4</v>
      </c>
      <c r="L25" s="30">
        <v>4</v>
      </c>
      <c r="M25" s="30">
        <v>0</v>
      </c>
      <c r="N25" s="30">
        <v>1</v>
      </c>
      <c r="O25" s="30">
        <v>2</v>
      </c>
      <c r="P25" s="30">
        <v>0</v>
      </c>
      <c r="Q25" s="30">
        <v>3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K25" s="13" t="s">
        <v>22</v>
      </c>
      <c r="AL25" s="34"/>
      <c r="AM25" s="36">
        <f t="shared" si="2"/>
        <v>9.5470921255790042</v>
      </c>
      <c r="AN25" s="36">
        <f t="shared" si="2"/>
        <v>9.0180878552971642</v>
      </c>
      <c r="AO25" s="36">
        <f t="shared" si="2"/>
        <v>9.4141222607683872</v>
      </c>
      <c r="AP25" s="36">
        <f t="shared" si="2"/>
        <v>11.274567726180628</v>
      </c>
      <c r="AQ25" s="36">
        <f t="shared" si="2"/>
        <v>16.048705378475468</v>
      </c>
      <c r="AR25" s="36">
        <f t="shared" ref="AR25:AR26" si="3">((H8/G8)-1)*100</f>
        <v>13.394640923579026</v>
      </c>
      <c r="AS25" s="36">
        <f>((I8/H8)-1)*100</f>
        <v>10.166231809990055</v>
      </c>
      <c r="AT25" s="12"/>
      <c r="AU25" s="12"/>
      <c r="AV25" s="12"/>
      <c r="AW25" s="12"/>
      <c r="AX25" s="12"/>
    </row>
    <row r="26" spans="1:50" ht="15" x14ac:dyDescent="0.25">
      <c r="A26" s="73" t="s">
        <v>23</v>
      </c>
      <c r="B26" s="25">
        <v>28</v>
      </c>
      <c r="C26" s="26">
        <v>30</v>
      </c>
      <c r="D26" s="27">
        <v>32</v>
      </c>
      <c r="E26" s="27">
        <v>34</v>
      </c>
      <c r="F26" s="28">
        <v>36</v>
      </c>
      <c r="G26" s="29">
        <v>39</v>
      </c>
      <c r="H26" s="29">
        <v>43</v>
      </c>
      <c r="I26" s="66">
        <v>49</v>
      </c>
      <c r="J26" s="64">
        <v>0</v>
      </c>
      <c r="K26" s="30">
        <v>4</v>
      </c>
      <c r="L26" s="30">
        <v>2</v>
      </c>
      <c r="M26" s="30">
        <v>2</v>
      </c>
      <c r="N26" s="30">
        <v>2</v>
      </c>
      <c r="O26" s="30">
        <v>3</v>
      </c>
      <c r="P26" s="30">
        <v>4</v>
      </c>
      <c r="Q26" s="30">
        <v>6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K26" s="13" t="s">
        <v>24</v>
      </c>
      <c r="AL26" s="34"/>
      <c r="AM26" s="36">
        <f t="shared" si="2"/>
        <v>4.8387096774193505</v>
      </c>
      <c r="AN26" s="36">
        <f t="shared" si="2"/>
        <v>5.6410256410256432</v>
      </c>
      <c r="AO26" s="36">
        <f t="shared" si="2"/>
        <v>7.7130528586839331</v>
      </c>
      <c r="AP26" s="36">
        <f t="shared" si="2"/>
        <v>12.543815723585382</v>
      </c>
      <c r="AQ26" s="36">
        <f t="shared" si="2"/>
        <v>17.219132369299217</v>
      </c>
      <c r="AR26" s="36">
        <f t="shared" si="3"/>
        <v>9.204782691212742</v>
      </c>
      <c r="AS26" s="36">
        <f>((I9/H9)-1)*100</f>
        <v>7.1428571428571397</v>
      </c>
      <c r="AT26" s="12"/>
      <c r="AU26" s="12"/>
      <c r="AV26" s="12"/>
      <c r="AW26" s="12"/>
      <c r="AX26" s="12"/>
    </row>
    <row r="27" spans="1:50" ht="15" x14ac:dyDescent="0.25">
      <c r="A27" s="73" t="s">
        <v>25</v>
      </c>
      <c r="B27" s="25">
        <v>98</v>
      </c>
      <c r="C27" s="26">
        <v>101</v>
      </c>
      <c r="D27" s="27">
        <v>109</v>
      </c>
      <c r="E27" s="27">
        <v>116</v>
      </c>
      <c r="F27" s="28">
        <v>129</v>
      </c>
      <c r="G27" s="29">
        <v>147</v>
      </c>
      <c r="H27" s="29">
        <v>185</v>
      </c>
      <c r="I27" s="66">
        <v>214</v>
      </c>
      <c r="J27" s="64">
        <v>0</v>
      </c>
      <c r="K27" s="30">
        <v>11</v>
      </c>
      <c r="L27" s="30">
        <v>8</v>
      </c>
      <c r="M27" s="30">
        <v>7</v>
      </c>
      <c r="N27" s="30">
        <v>13</v>
      </c>
      <c r="O27" s="30">
        <v>18</v>
      </c>
      <c r="P27" s="30">
        <v>38</v>
      </c>
      <c r="Q27" s="30">
        <v>29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K27" s="13"/>
      <c r="AL27" s="34"/>
      <c r="AM27" s="37"/>
      <c r="AN27" s="37"/>
      <c r="AO27" s="37"/>
      <c r="AP27" s="37"/>
      <c r="AQ27" s="12"/>
      <c r="AR27" s="12"/>
      <c r="AS27" s="12"/>
      <c r="AT27" s="12"/>
      <c r="AU27" s="12"/>
      <c r="AV27" s="12"/>
      <c r="AW27" s="12"/>
      <c r="AX27" s="12"/>
    </row>
    <row r="28" spans="1:50" ht="15" x14ac:dyDescent="0.25">
      <c r="A28" s="73" t="s">
        <v>26</v>
      </c>
      <c r="B28" s="25">
        <v>4</v>
      </c>
      <c r="C28" s="26">
        <v>4</v>
      </c>
      <c r="D28" s="27">
        <v>4</v>
      </c>
      <c r="E28" s="27">
        <v>4</v>
      </c>
      <c r="F28" s="28">
        <v>4</v>
      </c>
      <c r="G28" s="29">
        <v>4</v>
      </c>
      <c r="H28" s="29">
        <v>4</v>
      </c>
      <c r="I28" s="66">
        <v>4</v>
      </c>
      <c r="J28" s="64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ht="15" x14ac:dyDescent="0.25">
      <c r="A29" s="73" t="s">
        <v>27</v>
      </c>
      <c r="B29" s="25">
        <v>1</v>
      </c>
      <c r="C29" s="26">
        <v>1</v>
      </c>
      <c r="D29" s="27">
        <v>1</v>
      </c>
      <c r="E29" s="27">
        <v>1</v>
      </c>
      <c r="F29" s="28">
        <v>1</v>
      </c>
      <c r="G29" s="29">
        <v>1</v>
      </c>
      <c r="H29" s="29">
        <v>1</v>
      </c>
      <c r="I29" s="66">
        <v>1</v>
      </c>
      <c r="J29" s="64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K29" s="13"/>
      <c r="AL29" s="13" t="s">
        <v>56</v>
      </c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ht="15" x14ac:dyDescent="0.25">
      <c r="A30" s="73" t="s">
        <v>28</v>
      </c>
      <c r="B30" s="25">
        <v>1</v>
      </c>
      <c r="C30" s="26">
        <v>2</v>
      </c>
      <c r="D30" s="27">
        <v>2</v>
      </c>
      <c r="E30" s="27">
        <v>2</v>
      </c>
      <c r="F30" s="28">
        <v>5</v>
      </c>
      <c r="G30" s="29">
        <v>10</v>
      </c>
      <c r="H30" s="29">
        <v>11</v>
      </c>
      <c r="I30" s="66">
        <v>13</v>
      </c>
      <c r="J30" s="64">
        <v>0</v>
      </c>
      <c r="K30" s="30">
        <v>1</v>
      </c>
      <c r="L30" s="30">
        <v>0</v>
      </c>
      <c r="M30" s="30">
        <v>0</v>
      </c>
      <c r="N30" s="30">
        <v>3</v>
      </c>
      <c r="O30" s="30">
        <v>5</v>
      </c>
      <c r="P30" s="30">
        <v>1</v>
      </c>
      <c r="Q30" s="30">
        <v>2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K30" s="38" t="s">
        <v>3</v>
      </c>
      <c r="AL30" s="39">
        <f>AM30/$I$7*100</f>
        <v>82.398326140970312</v>
      </c>
      <c r="AM30" s="11">
        <f>I8</f>
        <v>81913</v>
      </c>
      <c r="AO30" s="12"/>
      <c r="AP30" s="40"/>
      <c r="AQ30" s="12"/>
      <c r="AR30" s="12"/>
      <c r="AS30" s="12"/>
      <c r="AT30" s="12"/>
      <c r="AU30" s="12"/>
      <c r="AV30" s="12"/>
      <c r="AW30" s="12"/>
      <c r="AX30" s="12"/>
    </row>
    <row r="31" spans="1:50" ht="15" x14ac:dyDescent="0.25">
      <c r="A31" s="73" t="s">
        <v>29</v>
      </c>
      <c r="B31" s="25">
        <v>7</v>
      </c>
      <c r="C31" s="26">
        <v>7</v>
      </c>
      <c r="D31" s="27">
        <v>9</v>
      </c>
      <c r="E31" s="27">
        <v>9</v>
      </c>
      <c r="F31" s="28">
        <v>10</v>
      </c>
      <c r="G31" s="29">
        <v>10</v>
      </c>
      <c r="H31" s="29">
        <v>12</v>
      </c>
      <c r="I31" s="66">
        <v>14</v>
      </c>
      <c r="J31" s="64">
        <v>0</v>
      </c>
      <c r="K31" s="30">
        <v>2</v>
      </c>
      <c r="L31" s="30">
        <v>2</v>
      </c>
      <c r="M31" s="30">
        <v>0</v>
      </c>
      <c r="N31" s="30">
        <v>1</v>
      </c>
      <c r="O31" s="30">
        <v>0</v>
      </c>
      <c r="P31" s="30">
        <v>2</v>
      </c>
      <c r="Q31" s="30">
        <v>2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K31" s="38" t="s">
        <v>4</v>
      </c>
      <c r="AL31" s="39">
        <f>AM31/$I$7*100</f>
        <v>6.2015269939946283</v>
      </c>
      <c r="AM31" s="11">
        <f>I9</f>
        <v>6165</v>
      </c>
      <c r="AO31" s="12"/>
      <c r="AP31" s="40"/>
      <c r="AQ31" s="12"/>
      <c r="AR31" s="12"/>
      <c r="AS31" s="12"/>
      <c r="AT31" s="12"/>
      <c r="AU31" s="12"/>
      <c r="AV31" s="12"/>
      <c r="AW31" s="12"/>
      <c r="AX31" s="12"/>
    </row>
    <row r="32" spans="1:50" ht="15" x14ac:dyDescent="0.25">
      <c r="A32" s="73" t="s">
        <v>30</v>
      </c>
      <c r="B32" s="25">
        <v>10</v>
      </c>
      <c r="C32" s="26">
        <v>10</v>
      </c>
      <c r="D32" s="27">
        <v>12</v>
      </c>
      <c r="E32" s="27">
        <v>12</v>
      </c>
      <c r="F32" s="28">
        <v>18</v>
      </c>
      <c r="G32" s="29">
        <v>21</v>
      </c>
      <c r="H32" s="29">
        <v>35</v>
      </c>
      <c r="I32" s="66">
        <v>36</v>
      </c>
      <c r="J32" s="64">
        <v>0</v>
      </c>
      <c r="K32" s="30">
        <v>2</v>
      </c>
      <c r="L32" s="30">
        <v>2</v>
      </c>
      <c r="M32" s="30">
        <v>0</v>
      </c>
      <c r="N32" s="30">
        <v>6</v>
      </c>
      <c r="O32" s="30">
        <v>3</v>
      </c>
      <c r="P32" s="30">
        <v>14</v>
      </c>
      <c r="Q32" s="30">
        <v>1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32"/>
      <c r="AK32" s="38" t="s">
        <v>6</v>
      </c>
      <c r="AL32" s="39">
        <f>AM32/$I$7*100</f>
        <v>2.8296667370814097</v>
      </c>
      <c r="AM32" s="11">
        <f>I11</f>
        <v>2813</v>
      </c>
      <c r="AP32" s="40"/>
    </row>
    <row r="33" spans="1:65" ht="15" x14ac:dyDescent="0.25">
      <c r="A33" s="73" t="s">
        <v>31</v>
      </c>
      <c r="B33" s="25">
        <v>2</v>
      </c>
      <c r="C33" s="26">
        <v>2</v>
      </c>
      <c r="D33" s="27">
        <v>2</v>
      </c>
      <c r="E33" s="27">
        <v>2</v>
      </c>
      <c r="F33" s="28">
        <v>2</v>
      </c>
      <c r="G33" s="29">
        <v>2</v>
      </c>
      <c r="H33" s="29">
        <v>2</v>
      </c>
      <c r="I33" s="66">
        <v>2</v>
      </c>
      <c r="J33" s="64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32"/>
      <c r="AK33" s="33" t="s">
        <v>1</v>
      </c>
      <c r="AL33" s="39">
        <f>AM33/$I$7*100</f>
        <v>8.5704801279536476</v>
      </c>
      <c r="AM33" s="11">
        <f>I7-AM30-AM31-AM32</f>
        <v>8520</v>
      </c>
      <c r="AP33" s="40"/>
    </row>
    <row r="34" spans="1:65" ht="15" x14ac:dyDescent="0.25">
      <c r="A34" s="73" t="s">
        <v>32</v>
      </c>
      <c r="B34" s="25">
        <v>1</v>
      </c>
      <c r="C34" s="26">
        <v>2</v>
      </c>
      <c r="D34" s="27">
        <v>3</v>
      </c>
      <c r="E34" s="27">
        <v>3</v>
      </c>
      <c r="F34" s="28">
        <v>3</v>
      </c>
      <c r="G34" s="29">
        <v>3</v>
      </c>
      <c r="H34" s="29">
        <v>3</v>
      </c>
      <c r="I34" s="66">
        <v>7</v>
      </c>
      <c r="J34" s="64">
        <v>0</v>
      </c>
      <c r="K34" s="30">
        <v>2</v>
      </c>
      <c r="L34" s="30">
        <v>1</v>
      </c>
      <c r="M34" s="30">
        <v>0</v>
      </c>
      <c r="N34" s="30">
        <v>0</v>
      </c>
      <c r="O34" s="30">
        <v>0</v>
      </c>
      <c r="P34" s="30">
        <v>0</v>
      </c>
      <c r="Q34" s="30">
        <v>4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2"/>
      <c r="AK34" s="13" t="s">
        <v>57</v>
      </c>
      <c r="AL34" s="13"/>
      <c r="AM34" s="13"/>
    </row>
    <row r="35" spans="1:65" ht="15" x14ac:dyDescent="0.25">
      <c r="A35" s="73" t="s">
        <v>33</v>
      </c>
      <c r="B35" s="25">
        <v>1</v>
      </c>
      <c r="C35" s="26">
        <v>1</v>
      </c>
      <c r="D35" s="27">
        <v>3</v>
      </c>
      <c r="E35" s="27">
        <v>3</v>
      </c>
      <c r="F35" s="28">
        <v>5</v>
      </c>
      <c r="G35" s="29">
        <v>5</v>
      </c>
      <c r="H35" s="29">
        <v>5</v>
      </c>
      <c r="I35" s="66">
        <v>5</v>
      </c>
      <c r="J35" s="64">
        <v>0</v>
      </c>
      <c r="K35" s="30">
        <v>2</v>
      </c>
      <c r="L35" s="30">
        <v>2</v>
      </c>
      <c r="M35" s="30">
        <v>0</v>
      </c>
      <c r="N35" s="30">
        <v>2</v>
      </c>
      <c r="O35" s="30">
        <v>0</v>
      </c>
      <c r="P35" s="30">
        <v>0</v>
      </c>
      <c r="Q35" s="30">
        <v>0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32"/>
      <c r="AK35" s="13"/>
      <c r="AL35" s="13"/>
      <c r="AM35" s="13"/>
    </row>
    <row r="36" spans="1:65" ht="15" x14ac:dyDescent="0.25">
      <c r="A36" s="73" t="s">
        <v>34</v>
      </c>
      <c r="B36" s="25">
        <v>1</v>
      </c>
      <c r="C36" s="26">
        <v>1</v>
      </c>
      <c r="D36" s="27">
        <v>5</v>
      </c>
      <c r="E36" s="27">
        <v>5</v>
      </c>
      <c r="F36" s="28">
        <v>6</v>
      </c>
      <c r="G36" s="29">
        <v>6</v>
      </c>
      <c r="H36" s="29">
        <v>6</v>
      </c>
      <c r="I36" s="66">
        <v>7</v>
      </c>
      <c r="J36" s="64">
        <v>0</v>
      </c>
      <c r="K36" s="30">
        <v>4</v>
      </c>
      <c r="L36" s="30">
        <v>4</v>
      </c>
      <c r="M36" s="30">
        <v>0</v>
      </c>
      <c r="N36" s="30">
        <v>1</v>
      </c>
      <c r="O36" s="30">
        <v>0</v>
      </c>
      <c r="P36" s="30">
        <v>0</v>
      </c>
      <c r="Q36" s="30">
        <v>1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32"/>
      <c r="AK36" s="13"/>
      <c r="AL36" s="13"/>
      <c r="AM36" s="13"/>
    </row>
    <row r="37" spans="1:65" ht="15" x14ac:dyDescent="0.25">
      <c r="A37" s="73" t="s">
        <v>35</v>
      </c>
      <c r="B37" s="25">
        <v>1</v>
      </c>
      <c r="C37" s="26">
        <v>1</v>
      </c>
      <c r="D37" s="27">
        <v>1</v>
      </c>
      <c r="E37" s="27">
        <v>1</v>
      </c>
      <c r="F37" s="28">
        <v>1</v>
      </c>
      <c r="G37" s="29">
        <v>1</v>
      </c>
      <c r="H37" s="29">
        <v>1</v>
      </c>
      <c r="I37" s="66">
        <v>1</v>
      </c>
      <c r="J37" s="64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2"/>
      <c r="AK37" s="24"/>
      <c r="AN37" s="12"/>
      <c r="AO37" s="12"/>
    </row>
    <row r="38" spans="1:65" ht="15" x14ac:dyDescent="0.25">
      <c r="A38" s="73" t="s">
        <v>36</v>
      </c>
      <c r="B38" s="25">
        <v>286</v>
      </c>
      <c r="C38" s="26">
        <v>333</v>
      </c>
      <c r="D38" s="27">
        <v>333</v>
      </c>
      <c r="E38" s="27">
        <v>381</v>
      </c>
      <c r="F38" s="28">
        <v>431</v>
      </c>
      <c r="G38" s="29">
        <v>482</v>
      </c>
      <c r="H38" s="29">
        <v>589</v>
      </c>
      <c r="I38" s="66">
        <v>1025</v>
      </c>
      <c r="J38" s="64">
        <v>115</v>
      </c>
      <c r="K38" s="30">
        <v>77</v>
      </c>
      <c r="L38" s="30">
        <v>30</v>
      </c>
      <c r="M38" s="30">
        <v>18</v>
      </c>
      <c r="N38" s="30">
        <v>50</v>
      </c>
      <c r="O38" s="30">
        <v>51</v>
      </c>
      <c r="P38" s="30">
        <v>107</v>
      </c>
      <c r="Q38" s="30">
        <v>436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32"/>
      <c r="AK38" s="41"/>
      <c r="AL38" s="42">
        <v>2010</v>
      </c>
      <c r="AM38" s="42">
        <v>2011</v>
      </c>
      <c r="AN38" s="42">
        <v>2012</v>
      </c>
      <c r="AO38" s="42">
        <v>2013</v>
      </c>
      <c r="AP38" s="42">
        <v>2014</v>
      </c>
      <c r="AQ38" s="42">
        <v>2015</v>
      </c>
      <c r="AR38" s="42">
        <v>2016</v>
      </c>
      <c r="AS38" s="42">
        <v>2017</v>
      </c>
    </row>
    <row r="39" spans="1:65" ht="15" x14ac:dyDescent="0.25">
      <c r="A39" s="73" t="s">
        <v>37</v>
      </c>
      <c r="B39" s="25">
        <v>1</v>
      </c>
      <c r="C39" s="26">
        <v>1</v>
      </c>
      <c r="D39" s="27">
        <v>1</v>
      </c>
      <c r="E39" s="27">
        <v>1</v>
      </c>
      <c r="F39" s="28">
        <v>1</v>
      </c>
      <c r="G39" s="29">
        <v>1</v>
      </c>
      <c r="H39" s="29">
        <v>1</v>
      </c>
      <c r="I39" s="66">
        <v>1</v>
      </c>
      <c r="J39" s="64">
        <v>1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32"/>
      <c r="AK39" s="13" t="s">
        <v>38</v>
      </c>
      <c r="AL39" s="27">
        <f t="shared" ref="AL39:AQ39" si="4">B7</f>
        <v>47917</v>
      </c>
      <c r="AM39" s="27">
        <f t="shared" si="4"/>
        <v>52199</v>
      </c>
      <c r="AN39" s="27">
        <f t="shared" si="4"/>
        <v>56467</v>
      </c>
      <c r="AO39" s="27">
        <f t="shared" si="4"/>
        <v>61418</v>
      </c>
      <c r="AP39" s="27">
        <f t="shared" si="4"/>
        <v>68210</v>
      </c>
      <c r="AQ39" s="27">
        <f t="shared" si="4"/>
        <v>78997</v>
      </c>
      <c r="AR39" s="72">
        <f>H7</f>
        <v>89237</v>
      </c>
      <c r="AS39" s="72">
        <f>I7</f>
        <v>99411</v>
      </c>
    </row>
    <row r="40" spans="1:65" ht="15" x14ac:dyDescent="0.25">
      <c r="A40" s="73" t="s">
        <v>39</v>
      </c>
      <c r="B40" s="25">
        <v>1</v>
      </c>
      <c r="C40" s="26">
        <v>1</v>
      </c>
      <c r="D40" s="27">
        <v>1</v>
      </c>
      <c r="E40" s="27">
        <v>1</v>
      </c>
      <c r="F40" s="28">
        <v>1</v>
      </c>
      <c r="G40" s="29">
        <v>1</v>
      </c>
      <c r="H40" s="29">
        <v>1</v>
      </c>
      <c r="I40" s="66">
        <v>1</v>
      </c>
      <c r="J40" s="64">
        <v>1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32"/>
      <c r="AK40" s="13" t="s">
        <v>40</v>
      </c>
      <c r="AL40" s="21">
        <f>J7</f>
        <v>3427</v>
      </c>
      <c r="AM40" s="21">
        <f t="shared" ref="AM40:AQ40" si="5">K7</f>
        <v>8574</v>
      </c>
      <c r="AN40" s="21">
        <f t="shared" si="5"/>
        <v>4306</v>
      </c>
      <c r="AO40" s="21">
        <f t="shared" si="5"/>
        <v>4878</v>
      </c>
      <c r="AP40" s="21">
        <f t="shared" si="5"/>
        <v>6777</v>
      </c>
      <c r="AQ40" s="21">
        <f t="shared" si="5"/>
        <v>11686</v>
      </c>
      <c r="AR40" s="72">
        <f>P7</f>
        <v>9250</v>
      </c>
      <c r="AS40" s="72">
        <f>Q7</f>
        <v>9361</v>
      </c>
    </row>
    <row r="41" spans="1:65" ht="15" x14ac:dyDescent="0.25">
      <c r="A41" s="73" t="s">
        <v>41</v>
      </c>
      <c r="B41" s="25">
        <v>1</v>
      </c>
      <c r="C41" s="26">
        <v>1</v>
      </c>
      <c r="D41" s="27">
        <v>1</v>
      </c>
      <c r="E41" s="27">
        <v>1</v>
      </c>
      <c r="F41" s="28">
        <v>1</v>
      </c>
      <c r="G41" s="29">
        <v>1</v>
      </c>
      <c r="H41" s="29">
        <v>1</v>
      </c>
      <c r="I41" s="66">
        <v>1</v>
      </c>
      <c r="J41" s="64">
        <v>1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32"/>
      <c r="AK41" s="13"/>
      <c r="AL41" s="13"/>
      <c r="AM41" s="13"/>
    </row>
    <row r="42" spans="1:65" ht="15" x14ac:dyDescent="0.25">
      <c r="A42" s="73" t="s">
        <v>42</v>
      </c>
      <c r="B42" s="25">
        <v>3</v>
      </c>
      <c r="C42" s="26">
        <v>3</v>
      </c>
      <c r="D42" s="27">
        <v>7</v>
      </c>
      <c r="E42" s="27">
        <v>7</v>
      </c>
      <c r="F42" s="28">
        <v>7</v>
      </c>
      <c r="G42" s="29">
        <v>7</v>
      </c>
      <c r="H42" s="29">
        <v>14</v>
      </c>
      <c r="I42" s="66">
        <v>17</v>
      </c>
      <c r="J42" s="64">
        <v>3</v>
      </c>
      <c r="K42" s="30">
        <v>4</v>
      </c>
      <c r="L42" s="30">
        <v>4</v>
      </c>
      <c r="M42" s="30">
        <v>0</v>
      </c>
      <c r="N42" s="30">
        <v>0</v>
      </c>
      <c r="O42" s="30">
        <v>0</v>
      </c>
      <c r="P42" s="30">
        <v>7</v>
      </c>
      <c r="Q42" s="30">
        <v>3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32"/>
      <c r="AK42" s="13"/>
      <c r="AL42" s="13"/>
      <c r="AM42" s="13"/>
    </row>
    <row r="43" spans="1:65" ht="17.25" customHeight="1" x14ac:dyDescent="0.25">
      <c r="A43" s="74" t="s">
        <v>43</v>
      </c>
      <c r="B43" s="30">
        <v>0</v>
      </c>
      <c r="C43" s="26">
        <v>9</v>
      </c>
      <c r="D43" s="27">
        <v>10</v>
      </c>
      <c r="E43" s="27">
        <v>10</v>
      </c>
      <c r="F43" s="28">
        <v>13</v>
      </c>
      <c r="G43" s="29">
        <v>13</v>
      </c>
      <c r="H43" s="29">
        <v>13</v>
      </c>
      <c r="I43" s="66">
        <v>18</v>
      </c>
      <c r="J43" s="64">
        <v>0</v>
      </c>
      <c r="K43" s="30">
        <v>10</v>
      </c>
      <c r="L43" s="30">
        <v>1</v>
      </c>
      <c r="M43" s="30">
        <v>0</v>
      </c>
      <c r="N43" s="30">
        <v>3</v>
      </c>
      <c r="O43" s="30">
        <v>0</v>
      </c>
      <c r="P43" s="30">
        <v>0</v>
      </c>
      <c r="Q43" s="30">
        <v>5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32"/>
      <c r="AK43" s="32"/>
      <c r="AL43" s="13"/>
      <c r="AM43" s="13"/>
    </row>
    <row r="44" spans="1:65" ht="15" x14ac:dyDescent="0.2">
      <c r="A44" s="74" t="s">
        <v>44</v>
      </c>
      <c r="B44" s="30">
        <v>0</v>
      </c>
      <c r="C44" s="26">
        <v>5</v>
      </c>
      <c r="D44" s="27">
        <v>11</v>
      </c>
      <c r="E44" s="27">
        <v>11</v>
      </c>
      <c r="F44" s="28">
        <v>12</v>
      </c>
      <c r="G44" s="29">
        <v>20</v>
      </c>
      <c r="H44" s="29">
        <v>25</v>
      </c>
      <c r="I44" s="66">
        <v>35</v>
      </c>
      <c r="J44" s="64">
        <v>0</v>
      </c>
      <c r="K44" s="30">
        <v>11</v>
      </c>
      <c r="L44" s="30">
        <v>6</v>
      </c>
      <c r="M44" s="30">
        <v>0</v>
      </c>
      <c r="N44" s="30">
        <v>1</v>
      </c>
      <c r="O44" s="30">
        <v>8</v>
      </c>
      <c r="P44" s="30">
        <v>5</v>
      </c>
      <c r="Q44" s="30">
        <v>10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32"/>
      <c r="AK44" s="32"/>
      <c r="AL44" s="13"/>
      <c r="AM44" s="13"/>
      <c r="AV44" s="43"/>
    </row>
    <row r="45" spans="1:65" ht="15" x14ac:dyDescent="0.2">
      <c r="A45" s="74" t="s">
        <v>45</v>
      </c>
      <c r="B45" s="30">
        <v>0</v>
      </c>
      <c r="C45" s="26">
        <v>9</v>
      </c>
      <c r="D45" s="27">
        <v>9</v>
      </c>
      <c r="E45" s="27">
        <v>12</v>
      </c>
      <c r="F45" s="28">
        <v>90</v>
      </c>
      <c r="G45" s="29">
        <v>174</v>
      </c>
      <c r="H45" s="29">
        <v>208</v>
      </c>
      <c r="I45" s="66">
        <v>238</v>
      </c>
      <c r="J45" s="64">
        <v>0</v>
      </c>
      <c r="K45" s="30">
        <v>9</v>
      </c>
      <c r="L45" s="30">
        <v>0</v>
      </c>
      <c r="M45" s="30">
        <v>3</v>
      </c>
      <c r="N45" s="30">
        <v>78</v>
      </c>
      <c r="O45" s="30">
        <v>84</v>
      </c>
      <c r="P45" s="30">
        <v>34</v>
      </c>
      <c r="Q45" s="30">
        <v>30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L45" s="44"/>
      <c r="AM45" s="13"/>
      <c r="AV45" s="43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</row>
    <row r="46" spans="1:65" ht="15" x14ac:dyDescent="0.2">
      <c r="A46" s="74" t="s">
        <v>46</v>
      </c>
      <c r="B46" s="30">
        <v>0</v>
      </c>
      <c r="C46" s="26">
        <v>0</v>
      </c>
      <c r="D46" s="27">
        <v>0</v>
      </c>
      <c r="E46" s="27">
        <v>0</v>
      </c>
      <c r="F46" s="28">
        <v>1</v>
      </c>
      <c r="G46" s="29">
        <v>1</v>
      </c>
      <c r="H46" s="29">
        <v>2</v>
      </c>
      <c r="I46" s="66">
        <v>2</v>
      </c>
      <c r="J46" s="64">
        <v>0</v>
      </c>
      <c r="K46" s="30">
        <v>0</v>
      </c>
      <c r="L46" s="30">
        <v>0</v>
      </c>
      <c r="M46" s="30">
        <v>0</v>
      </c>
      <c r="N46" s="30">
        <v>1</v>
      </c>
      <c r="O46" s="30">
        <v>0</v>
      </c>
      <c r="P46" s="30">
        <v>1</v>
      </c>
      <c r="Q46" s="30">
        <v>0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M46" s="13"/>
      <c r="AV46" s="43"/>
    </row>
    <row r="47" spans="1:65" ht="15" x14ac:dyDescent="0.2">
      <c r="A47" s="74" t="s">
        <v>47</v>
      </c>
      <c r="B47" s="30">
        <v>0</v>
      </c>
      <c r="C47" s="26">
        <v>0</v>
      </c>
      <c r="D47" s="27">
        <v>0</v>
      </c>
      <c r="E47" s="27">
        <v>0</v>
      </c>
      <c r="F47" s="28">
        <v>0</v>
      </c>
      <c r="G47" s="29">
        <v>6</v>
      </c>
      <c r="H47" s="29">
        <v>19</v>
      </c>
      <c r="I47" s="66">
        <v>22</v>
      </c>
      <c r="J47" s="64">
        <v>0</v>
      </c>
      <c r="K47" s="30">
        <v>0</v>
      </c>
      <c r="L47" s="30">
        <v>0</v>
      </c>
      <c r="M47" s="30">
        <v>0</v>
      </c>
      <c r="N47" s="30">
        <v>0</v>
      </c>
      <c r="O47" s="30">
        <v>6</v>
      </c>
      <c r="P47" s="30">
        <v>13</v>
      </c>
      <c r="Q47" s="30">
        <v>3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M47" s="13"/>
      <c r="AV47" s="43"/>
    </row>
    <row r="48" spans="1:65" ht="15" x14ac:dyDescent="0.2">
      <c r="A48" s="74" t="s">
        <v>48</v>
      </c>
      <c r="B48" s="30">
        <v>0</v>
      </c>
      <c r="C48" s="26">
        <v>0</v>
      </c>
      <c r="D48" s="27">
        <v>2</v>
      </c>
      <c r="E48" s="27">
        <v>2</v>
      </c>
      <c r="F48" s="28">
        <v>4</v>
      </c>
      <c r="G48" s="29">
        <v>5</v>
      </c>
      <c r="H48" s="29">
        <v>0</v>
      </c>
      <c r="I48" s="66">
        <v>18</v>
      </c>
      <c r="J48" s="64">
        <v>0</v>
      </c>
      <c r="K48" s="30">
        <v>2</v>
      </c>
      <c r="L48" s="30">
        <v>2</v>
      </c>
      <c r="M48" s="30">
        <v>0</v>
      </c>
      <c r="N48" s="30">
        <v>2</v>
      </c>
      <c r="O48" s="30">
        <v>1</v>
      </c>
      <c r="P48" s="30">
        <v>3</v>
      </c>
      <c r="Q48" s="30">
        <v>10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M48" s="46"/>
      <c r="AN48" s="43"/>
      <c r="AO48" s="43"/>
      <c r="AP48" s="43"/>
      <c r="AQ48" s="43"/>
      <c r="AR48" s="43"/>
      <c r="AS48" s="43"/>
      <c r="AT48" s="43"/>
      <c r="AU48" s="43"/>
      <c r="AV48" s="43"/>
    </row>
    <row r="49" spans="1:48" ht="15" x14ac:dyDescent="0.2">
      <c r="A49" s="74" t="s">
        <v>49</v>
      </c>
      <c r="B49" s="30"/>
      <c r="C49" s="26"/>
      <c r="D49" s="27"/>
      <c r="E49" s="27"/>
      <c r="F49" s="28"/>
      <c r="G49" s="29"/>
      <c r="H49" s="29">
        <v>2</v>
      </c>
      <c r="I49" s="66">
        <v>2</v>
      </c>
      <c r="J49" s="64"/>
      <c r="K49" s="30"/>
      <c r="L49" s="30"/>
      <c r="M49" s="30"/>
      <c r="N49" s="30"/>
      <c r="O49" s="30"/>
      <c r="P49" s="30">
        <v>2</v>
      </c>
      <c r="Q49" s="30">
        <v>0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M49" s="46"/>
      <c r="AN49" s="43"/>
      <c r="AO49" s="43"/>
      <c r="AP49" s="43"/>
      <c r="AQ49" s="43"/>
      <c r="AR49" s="43"/>
      <c r="AS49" s="43"/>
      <c r="AT49" s="43"/>
      <c r="AU49" s="43"/>
      <c r="AV49" s="43"/>
    </row>
    <row r="50" spans="1:48" ht="15" x14ac:dyDescent="0.2">
      <c r="A50" s="74" t="s">
        <v>50</v>
      </c>
      <c r="B50" s="30"/>
      <c r="C50" s="26"/>
      <c r="D50" s="27"/>
      <c r="E50" s="27"/>
      <c r="F50" s="28"/>
      <c r="G50" s="29"/>
      <c r="H50" s="29">
        <v>111</v>
      </c>
      <c r="I50" s="66">
        <v>647</v>
      </c>
      <c r="J50" s="64"/>
      <c r="K50" s="30"/>
      <c r="L50" s="30"/>
      <c r="M50" s="30"/>
      <c r="N50" s="30"/>
      <c r="O50" s="30"/>
      <c r="P50" s="30">
        <v>112</v>
      </c>
      <c r="Q50" s="30">
        <v>535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M50" s="46"/>
      <c r="AN50" s="43"/>
      <c r="AO50" s="43"/>
      <c r="AP50" s="43"/>
      <c r="AQ50" s="43"/>
      <c r="AR50" s="43"/>
      <c r="AS50" s="43"/>
      <c r="AT50" s="43"/>
      <c r="AU50" s="43"/>
      <c r="AV50" s="43"/>
    </row>
    <row r="51" spans="1:48" ht="17.25" customHeight="1" x14ac:dyDescent="0.2">
      <c r="A51" s="75" t="s">
        <v>51</v>
      </c>
      <c r="B51" s="47"/>
      <c r="C51" s="67"/>
      <c r="D51" s="68"/>
      <c r="E51" s="68"/>
      <c r="F51" s="69"/>
      <c r="G51" s="48"/>
      <c r="H51" s="48">
        <v>11</v>
      </c>
      <c r="I51" s="70">
        <v>66</v>
      </c>
      <c r="J51" s="71"/>
      <c r="K51" s="47"/>
      <c r="L51" s="47"/>
      <c r="M51" s="47"/>
      <c r="N51" s="47"/>
      <c r="O51" s="47"/>
      <c r="P51" s="47">
        <v>11</v>
      </c>
      <c r="Q51" s="47">
        <v>55</v>
      </c>
      <c r="AM51" s="49"/>
      <c r="AN51" s="50"/>
      <c r="AO51" s="51"/>
      <c r="AP51" s="52"/>
      <c r="AQ51" s="53"/>
      <c r="AR51" s="54"/>
      <c r="AS51" s="55"/>
      <c r="AT51" s="56"/>
      <c r="AU51" s="43"/>
      <c r="AV51" s="43"/>
    </row>
    <row r="52" spans="1:48" ht="17.25" x14ac:dyDescent="0.2">
      <c r="A52" s="57" t="s">
        <v>52</v>
      </c>
      <c r="B52" s="13"/>
      <c r="C52" s="8"/>
      <c r="D52" s="8"/>
      <c r="E52" s="8"/>
      <c r="F52" s="8"/>
      <c r="G52" s="8"/>
      <c r="H52" s="58"/>
      <c r="I52" s="8"/>
      <c r="J52" s="8"/>
      <c r="K52" s="8"/>
      <c r="L52" s="8"/>
      <c r="M52" s="8"/>
      <c r="N52" s="8"/>
      <c r="O52" s="8"/>
      <c r="P52" s="8"/>
      <c r="Q52" s="59" t="s">
        <v>53</v>
      </c>
      <c r="AM52" s="13"/>
      <c r="AV52" s="43"/>
    </row>
    <row r="53" spans="1:48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AM53" s="43"/>
      <c r="AN53" s="43"/>
      <c r="AO53" s="43"/>
      <c r="AP53" s="43"/>
      <c r="AQ53" s="43"/>
      <c r="AR53" s="43"/>
      <c r="AS53" s="43"/>
      <c r="AT53" s="43"/>
      <c r="AU53" s="43"/>
      <c r="AV53" s="43"/>
    </row>
    <row r="54" spans="1:48" ht="39" customHeight="1" x14ac:dyDescent="0.2">
      <c r="A54" s="6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AM54" s="43"/>
      <c r="AN54" s="43"/>
      <c r="AO54" s="43"/>
      <c r="AP54" s="43"/>
      <c r="AQ54" s="43"/>
      <c r="AR54" s="43"/>
      <c r="AS54" s="43"/>
      <c r="AT54" s="43"/>
      <c r="AU54" s="43"/>
      <c r="AV54" s="43"/>
    </row>
    <row r="55" spans="1:48" x14ac:dyDescent="0.2">
      <c r="B55" s="13"/>
      <c r="C55" s="13"/>
      <c r="D55" s="13"/>
      <c r="E55" s="13"/>
      <c r="F55" s="13"/>
      <c r="G55" s="13"/>
      <c r="H55" s="13"/>
      <c r="I55" s="13"/>
      <c r="J55" s="12"/>
      <c r="K55" s="12"/>
      <c r="L55" s="12"/>
      <c r="M55" s="12"/>
      <c r="N55" s="12"/>
      <c r="O55" s="12"/>
      <c r="P55" s="12"/>
      <c r="Q55" s="12"/>
      <c r="AM55" s="43"/>
      <c r="AN55" s="43"/>
      <c r="AO55" s="43"/>
      <c r="AP55" s="43"/>
      <c r="AQ55" s="43"/>
      <c r="AR55" s="43"/>
      <c r="AS55" s="43"/>
      <c r="AT55" s="43"/>
      <c r="AU55" s="43"/>
      <c r="AV55" s="43"/>
    </row>
    <row r="56" spans="1:48" x14ac:dyDescent="0.25">
      <c r="B56" s="13"/>
      <c r="C56" s="13"/>
      <c r="D56" s="13"/>
      <c r="E56" s="13"/>
      <c r="F56" s="13"/>
      <c r="G56" s="13"/>
      <c r="H56" s="13"/>
      <c r="I56" s="13"/>
      <c r="J56" s="12"/>
      <c r="K56" s="12"/>
      <c r="L56" s="12"/>
      <c r="M56" s="12"/>
      <c r="N56" s="12"/>
      <c r="O56" s="12"/>
      <c r="P56" s="12"/>
      <c r="Q56" s="12"/>
    </row>
    <row r="57" spans="1:48" x14ac:dyDescent="0.25">
      <c r="B57" s="13"/>
      <c r="C57" s="13"/>
      <c r="D57" s="13"/>
      <c r="E57" s="13"/>
      <c r="F57" s="13"/>
      <c r="G57" s="13"/>
      <c r="H57" s="13"/>
      <c r="I57" s="13"/>
      <c r="J57" s="12"/>
      <c r="K57" s="12"/>
      <c r="L57" s="12"/>
      <c r="M57" s="12"/>
      <c r="N57" s="12"/>
      <c r="O57" s="12"/>
      <c r="P57" s="12"/>
      <c r="Q57" s="12"/>
    </row>
    <row r="58" spans="1:48" x14ac:dyDescent="0.25">
      <c r="B58" s="13"/>
      <c r="C58" s="13"/>
      <c r="D58" s="13"/>
      <c r="E58" s="13"/>
      <c r="F58" s="13"/>
      <c r="G58" s="13"/>
      <c r="H58" s="13"/>
      <c r="I58" s="13"/>
      <c r="J58" s="12"/>
      <c r="K58" s="12"/>
      <c r="L58" s="12"/>
      <c r="M58" s="12"/>
      <c r="N58" s="12"/>
      <c r="O58" s="12"/>
      <c r="P58" s="12"/>
      <c r="Q58" s="12"/>
    </row>
    <row r="59" spans="1:48" x14ac:dyDescent="0.25">
      <c r="B59" s="11"/>
      <c r="C59" s="11"/>
      <c r="D59" s="13"/>
      <c r="E59" s="13"/>
      <c r="F59" s="13"/>
      <c r="G59" s="13"/>
      <c r="H59" s="13"/>
      <c r="I59" s="13"/>
      <c r="J59" s="12"/>
      <c r="K59" s="12"/>
      <c r="L59" s="12"/>
      <c r="M59" s="12"/>
      <c r="N59" s="12"/>
      <c r="O59" s="12"/>
      <c r="P59" s="12"/>
      <c r="Q59" s="12"/>
    </row>
    <row r="60" spans="1:48" x14ac:dyDescent="0.25">
      <c r="B60" s="11"/>
      <c r="C60" s="11"/>
      <c r="D60" s="13"/>
      <c r="E60" s="13"/>
      <c r="F60" s="13"/>
      <c r="G60" s="13"/>
      <c r="H60" s="13"/>
      <c r="I60" s="13"/>
      <c r="J60" s="12"/>
      <c r="K60" s="12"/>
      <c r="L60" s="12"/>
      <c r="M60" s="12"/>
      <c r="N60" s="12"/>
      <c r="O60" s="12"/>
      <c r="P60" s="12"/>
      <c r="Q60" s="12"/>
    </row>
    <row r="61" spans="1:48" x14ac:dyDescent="0.25">
      <c r="B61" s="11"/>
      <c r="C61" s="11"/>
      <c r="D61" s="13"/>
      <c r="E61" s="13"/>
      <c r="F61" s="13"/>
      <c r="G61" s="13"/>
      <c r="H61" s="13"/>
      <c r="I61" s="13"/>
      <c r="J61" s="12"/>
      <c r="K61" s="12"/>
      <c r="L61" s="12"/>
      <c r="M61" s="12"/>
      <c r="N61" s="12"/>
      <c r="O61" s="12"/>
      <c r="P61" s="12"/>
      <c r="Q61" s="12"/>
    </row>
    <row r="62" spans="1:48" x14ac:dyDescent="0.25">
      <c r="B62" s="11"/>
      <c r="C62" s="11"/>
      <c r="D62" s="13"/>
      <c r="E62" s="13"/>
      <c r="F62" s="13"/>
      <c r="G62" s="13"/>
      <c r="H62" s="13"/>
      <c r="I62" s="13"/>
      <c r="J62" s="12"/>
      <c r="K62" s="12"/>
      <c r="L62" s="12"/>
      <c r="M62" s="12"/>
      <c r="N62" s="12"/>
      <c r="O62" s="12"/>
      <c r="P62" s="12"/>
      <c r="Q62" s="12"/>
    </row>
    <row r="63" spans="1:48" ht="15" x14ac:dyDescent="0.25">
      <c r="A63" s="24"/>
      <c r="B63" s="25"/>
      <c r="C63" s="26"/>
      <c r="D63" s="26"/>
      <c r="E63" s="26"/>
      <c r="F63" s="26"/>
      <c r="G63" s="26"/>
      <c r="H63" s="26"/>
      <c r="I63" s="26"/>
      <c r="J63" s="27"/>
      <c r="K63" s="30"/>
      <c r="L63" s="30"/>
      <c r="M63" s="30"/>
      <c r="N63" s="30"/>
      <c r="O63" s="30"/>
      <c r="P63" s="30"/>
      <c r="Q63" s="30"/>
    </row>
    <row r="64" spans="1:48" ht="15" x14ac:dyDescent="0.25">
      <c r="A64" s="24"/>
      <c r="B64" s="25"/>
      <c r="C64" s="26"/>
      <c r="D64" s="26"/>
      <c r="E64" s="26"/>
      <c r="F64" s="26"/>
      <c r="G64" s="26"/>
      <c r="H64" s="26"/>
      <c r="I64" s="26"/>
      <c r="J64" s="27"/>
      <c r="K64" s="30"/>
      <c r="L64" s="30"/>
      <c r="M64" s="30"/>
      <c r="N64" s="30"/>
      <c r="O64" s="30"/>
      <c r="P64" s="30"/>
      <c r="Q64" s="30"/>
    </row>
    <row r="65" spans="3:9" ht="15" x14ac:dyDescent="0.25">
      <c r="C65" s="26"/>
      <c r="D65" s="26"/>
      <c r="E65" s="26"/>
      <c r="F65" s="26"/>
      <c r="G65" s="26"/>
      <c r="H65" s="26"/>
      <c r="I65" s="26"/>
    </row>
    <row r="66" spans="3:9" ht="15" x14ac:dyDescent="0.25">
      <c r="C66" s="26"/>
      <c r="D66" s="26"/>
      <c r="E66" s="26"/>
      <c r="F66" s="26"/>
      <c r="G66" s="26"/>
      <c r="H66" s="26"/>
      <c r="I66" s="26"/>
    </row>
    <row r="67" spans="3:9" ht="15" x14ac:dyDescent="0.25">
      <c r="C67" s="26"/>
      <c r="D67" s="26"/>
      <c r="E67" s="26"/>
      <c r="F67" s="26"/>
      <c r="G67" s="26"/>
      <c r="H67" s="26"/>
      <c r="I67" s="26"/>
    </row>
    <row r="68" spans="3:9" ht="15" x14ac:dyDescent="0.25">
      <c r="C68" s="26"/>
      <c r="D68" s="26"/>
      <c r="E68" s="26"/>
      <c r="F68" s="26"/>
      <c r="G68" s="26"/>
      <c r="H68" s="26"/>
      <c r="I68" s="26"/>
    </row>
    <row r="69" spans="3:9" ht="19.899999999999999" customHeight="1" x14ac:dyDescent="0.25">
      <c r="C69" s="26"/>
      <c r="D69" s="26"/>
      <c r="E69" s="26"/>
      <c r="F69" s="26"/>
      <c r="G69" s="26"/>
      <c r="H69" s="26"/>
      <c r="I69" s="26"/>
    </row>
  </sheetData>
  <mergeCells count="6">
    <mergeCell ref="A2:Q2"/>
    <mergeCell ref="A3:Q3"/>
    <mergeCell ref="A4:Q4"/>
    <mergeCell ref="A5:A6"/>
    <mergeCell ref="B5:I5"/>
    <mergeCell ref="J5:Q5"/>
  </mergeCells>
  <pageMargins left="0.7" right="0.7" top="0.75" bottom="0.75" header="0.3" footer="0.3"/>
  <pageSetup paperSize="9" scale="69" orientation="portrait" horizontalDpi="4294967295" verticalDpi="4294967295" r:id="rId1"/>
  <rowBreaks count="1" manualBreakCount="1">
    <brk id="53" max="18" man="1"/>
  </rowBreaks>
  <ignoredErrors>
    <ignoredError sqref="H7:Q7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11.3</vt:lpstr>
      <vt:lpstr>'11.3'!Print_Area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2018-09-25T05:07:37Z</cp:lastPrinted>
  <dcterms:created xsi:type="dcterms:W3CDTF">2014-05-22T03:57:11Z</dcterms:created>
  <dcterms:modified xsi:type="dcterms:W3CDTF">2018-09-25T05:07:44Z</dcterms:modified>
</cp:coreProperties>
</file>