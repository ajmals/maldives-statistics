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3" sheetId="14" r:id="rId1"/>
  </sheets>
  <definedNames>
    <definedName name="_xlnm.Print_Area" localSheetId="0">'11.23'!$A$1:$G$22</definedName>
  </definedNames>
  <calcPr calcId="162913"/>
</workbook>
</file>

<file path=xl/calcChain.xml><?xml version="1.0" encoding="utf-8"?>
<calcChain xmlns="http://schemas.openxmlformats.org/spreadsheetml/2006/main">
  <c r="B19" i="14" l="1"/>
  <c r="B18" i="14"/>
  <c r="B17" i="14"/>
  <c r="B16" i="14"/>
  <c r="B15" i="14"/>
  <c r="B14" i="14"/>
  <c r="B13" i="14"/>
  <c r="B12" i="14"/>
  <c r="B11" i="14"/>
  <c r="B10" i="14"/>
  <c r="B9" i="14"/>
  <c r="B8" i="14"/>
  <c r="F7" i="14"/>
  <c r="E7" i="14"/>
  <c r="D7" i="14"/>
  <c r="C7" i="14"/>
  <c r="B7" i="14" l="1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<sst xmlns="http://schemas.openxmlformats.org/spreadsheetml/2006/main" count="40" uniqueCount="38">
  <si>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</si>
  <si>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</si>
  <si>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</si>
  <si>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</si>
  <si>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</si>
  <si>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</si>
  <si>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</si>
  <si>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</si>
  <si>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</si>
  <si>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</si>
  <si>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</si>
  <si>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</si>
  <si>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</si>
  <si>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</si>
  <si>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</si>
  <si>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</si>
  <si>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</si>
  <si>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</si>
  <si>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</si>
  <si>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</si>
  <si>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</si>
  <si>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</si>
  <si>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</si>
  <si>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</si>
  <si>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</si>
  <si>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</si>
  <si>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</si>
  <si>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</si>
  <si>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</si>
  <si>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</si>
  <si>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</si>
  <si>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</si>
  <si>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</si>
  <si>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</si>
  <si>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</si>
  <si>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 xml:space="preserve">(in Kg) </t>
  </si>
  <si>
    <t>ތާވަލު 11.23: މަސްމަހުގެ ގޮތުން އިބްރާހީމް ނާސިރު އިންޓަރނޭޝަނަލް އެއަރޕޯޓުން އުފުލުނު މެއިލް، 2017</t>
  </si>
  <si>
    <t>Table  11.23 :  MAIL HANDLED AT IBRAHIM NASIR INTERNATIONAL AIRPORT 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</si>
</sst>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68" formatCode="#,##0.0_);[Red]\(#,##0.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name val="Faruma"/>
      <charset val="1"/>
    </font>
    <font>
      <i/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3" fillId="0" borderId="0"/>
    <xf numFmtId="40" fontId="16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7" fillId="0" borderId="0"/>
    <xf numFmtId="164" fontId="13" fillId="0" borderId="0"/>
    <xf numFmtId="167" fontId="13" fillId="0" borderId="0" applyFont="0" applyFill="0" applyBorder="0" applyAlignment="0" applyProtection="0"/>
    <xf numFmtId="0" fontId="20" fillId="0" borderId="0"/>
    <xf numFmtId="0" fontId="7" fillId="0" borderId="0"/>
  </cellStyleXfs>
  <cellXfs count="64">
    <xf numFmtId="0" fontId="0" fillId="0" borderId="0" xfId="0"/>
    <xf numFmtId="0" fontId="11" fillId="2" borderId="0" xfId="0" applyNumberFormat="1" applyFont="1" applyFill="1" applyBorder="1" applyAlignment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164" fontId="5" fillId="2" borderId="0" xfId="0" applyNumberFormat="1" applyFont="1" applyFill="1"/>
    <xf numFmtId="164" fontId="5" fillId="2" borderId="0" xfId="0" applyNumberFormat="1" applyFon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0" fontId="18" fillId="2" borderId="0" xfId="13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9" fillId="2" borderId="0" xfId="13" applyFont="1" applyFill="1" applyBorder="1" applyAlignment="1">
      <alignment horizontal="right"/>
    </xf>
    <xf numFmtId="164" fontId="3" fillId="2" borderId="4" xfId="5" applyNumberFormat="1" applyFont="1" applyFill="1" applyBorder="1" applyAlignment="1" applyProtection="1">
      <alignment horizontal="left" vertical="center"/>
    </xf>
    <xf numFmtId="0" fontId="19" fillId="2" borderId="4" xfId="13" applyFont="1" applyFill="1" applyBorder="1" applyAlignment="1">
      <alignment horizontal="right"/>
    </xf>
    <xf numFmtId="164" fontId="2" fillId="2" borderId="3" xfId="5" applyNumberFormat="1" applyFont="1" applyFill="1" applyBorder="1" applyAlignment="1" applyProtection="1">
      <alignment horizontal="left" vertical="center"/>
    </xf>
    <xf numFmtId="37" fontId="3" fillId="2" borderId="0" xfId="5" applyNumberFormat="1" applyFont="1" applyFill="1" applyBorder="1" applyAlignment="1" applyProtection="1">
      <alignment vertical="center"/>
    </xf>
    <xf numFmtId="164" fontId="9" fillId="2" borderId="0" xfId="0" applyNumberFormat="1" applyFont="1" applyFill="1" applyBorder="1"/>
    <xf numFmtId="164" fontId="8" fillId="2" borderId="0" xfId="5" applyNumberFormat="1" applyFont="1" applyFill="1" applyBorder="1" applyAlignment="1" applyProtection="1">
      <alignment vertical="center"/>
    </xf>
    <xf numFmtId="164" fontId="3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9" fillId="2" borderId="0" xfId="0" applyNumberFormat="1" applyFont="1" applyFill="1"/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21" xfId="5" applyNumberFormat="1" applyFont="1" applyFill="1" applyBorder="1" applyAlignment="1" applyProtection="1">
      <alignment horizontal="right" vertical="center"/>
    </xf>
    <xf numFmtId="168" fontId="2" fillId="2" borderId="18" xfId="6" applyNumberFormat="1" applyFont="1" applyFill="1" applyBorder="1" applyAlignment="1" applyProtection="1">
      <alignment horizontal="right" vertical="center"/>
    </xf>
    <xf numFmtId="168" fontId="2" fillId="2" borderId="6" xfId="6" applyNumberFormat="1" applyFont="1" applyFill="1" applyBorder="1" applyAlignment="1" applyProtection="1">
      <alignment horizontal="right" vertical="center"/>
    </xf>
    <xf numFmtId="168" fontId="2" fillId="2" borderId="17" xfId="6" applyNumberFormat="1" applyFont="1" applyFill="1" applyBorder="1" applyAlignment="1" applyProtection="1">
      <alignment horizontal="right" vertical="center"/>
    </xf>
    <xf numFmtId="168" fontId="2" fillId="2" borderId="20" xfId="6" applyNumberFormat="1" applyFont="1" applyFill="1" applyBorder="1" applyAlignment="1" applyProtection="1">
      <alignment horizontal="right" vertical="center"/>
    </xf>
    <xf numFmtId="168" fontId="2" fillId="2" borderId="0" xfId="6" applyNumberFormat="1" applyFont="1" applyFill="1" applyBorder="1" applyAlignment="1" applyProtection="1">
      <alignment horizontal="right" vertical="center"/>
    </xf>
    <xf numFmtId="164" fontId="15" fillId="2" borderId="0" xfId="5" applyNumberFormat="1" applyFont="1" applyFill="1" applyBorder="1" applyAlignment="1">
      <alignment vertical="center"/>
    </xf>
    <xf numFmtId="0" fontId="7" fillId="2" borderId="0" xfId="14" applyFont="1" applyFill="1" applyAlignment="1">
      <alignment vertical="center"/>
    </xf>
    <xf numFmtId="168" fontId="3" fillId="2" borderId="0" xfId="6" applyNumberFormat="1" applyFont="1" applyFill="1" applyBorder="1" applyAlignment="1">
      <alignment horizontal="right"/>
    </xf>
    <xf numFmtId="168" fontId="3" fillId="2" borderId="10" xfId="6" applyNumberFormat="1" applyFont="1" applyFill="1" applyBorder="1" applyAlignment="1" applyProtection="1">
      <alignment horizontal="right" vertical="center"/>
      <protection locked="0"/>
    </xf>
    <xf numFmtId="168" fontId="3" fillId="2" borderId="0" xfId="6" applyNumberFormat="1" applyFont="1" applyFill="1" applyBorder="1" applyAlignment="1" applyProtection="1">
      <alignment horizontal="right" vertical="center"/>
      <protection locked="0"/>
    </xf>
    <xf numFmtId="168" fontId="2" fillId="2" borderId="5" xfId="6" applyNumberFormat="1" applyFont="1" applyFill="1" applyBorder="1" applyAlignment="1" applyProtection="1">
      <alignment horizontal="right" vertical="center"/>
    </xf>
    <xf numFmtId="168" fontId="3" fillId="2" borderId="1" xfId="6" applyNumberFormat="1" applyFont="1" applyFill="1" applyBorder="1" applyAlignment="1">
      <alignment horizontal="right"/>
    </xf>
    <xf numFmtId="168" fontId="3" fillId="2" borderId="8" xfId="6" applyNumberFormat="1" applyFont="1" applyFill="1" applyBorder="1" applyAlignment="1">
      <alignment horizontal="right"/>
    </xf>
    <xf numFmtId="168" fontId="3" fillId="2" borderId="12" xfId="6" applyNumberFormat="1" applyFont="1" applyFill="1" applyBorder="1" applyAlignment="1" applyProtection="1">
      <alignment horizontal="right" vertical="center"/>
      <protection locked="0"/>
    </xf>
    <xf numFmtId="168" fontId="3" fillId="2" borderId="8" xfId="6" applyNumberFormat="1" applyFont="1" applyFill="1" applyBorder="1" applyAlignment="1" applyProtection="1">
      <alignment horizontal="right" vertical="center"/>
      <protection locked="0"/>
    </xf>
    <xf numFmtId="168" fontId="2" fillId="2" borderId="22" xfId="6" applyNumberFormat="1" applyFont="1" applyFill="1" applyBorder="1" applyAlignment="1" applyProtection="1">
      <alignment horizontal="right" vertical="center"/>
    </xf>
    <xf numFmtId="168" fontId="3" fillId="2" borderId="2" xfId="6" applyNumberFormat="1" applyFont="1" applyFill="1" applyBorder="1" applyAlignment="1">
      <alignment horizontal="right"/>
    </xf>
    <xf numFmtId="168" fontId="3" fillId="2" borderId="16" xfId="6" applyNumberFormat="1" applyFont="1" applyFill="1" applyBorder="1" applyAlignment="1">
      <alignment horizontal="right"/>
    </xf>
    <xf numFmtId="168" fontId="3" fillId="2" borderId="23" xfId="6" applyNumberFormat="1" applyFont="1" applyFill="1" applyBorder="1" applyAlignment="1" applyProtection="1">
      <alignment horizontal="right" vertical="center"/>
      <protection locked="0"/>
    </xf>
    <xf numFmtId="168" fontId="3" fillId="2" borderId="16" xfId="6" applyNumberFormat="1" applyFont="1" applyFill="1" applyBorder="1" applyAlignment="1" applyProtection="1">
      <alignment horizontal="right" vertical="center"/>
      <protection locked="0"/>
    </xf>
    <xf numFmtId="168" fontId="2" fillId="2" borderId="19" xfId="6" applyNumberFormat="1" applyFont="1" applyFill="1" applyBorder="1" applyAlignment="1" applyProtection="1">
      <alignment horizontal="right" vertical="center"/>
    </xf>
    <xf numFmtId="168" fontId="3" fillId="2" borderId="13" xfId="6" applyNumberFormat="1" applyFont="1" applyFill="1" applyBorder="1" applyAlignment="1">
      <alignment horizontal="right"/>
    </xf>
    <xf numFmtId="168" fontId="3" fillId="2" borderId="14" xfId="6" applyNumberFormat="1" applyFont="1" applyFill="1" applyBorder="1" applyAlignment="1">
      <alignment horizontal="right"/>
    </xf>
    <xf numFmtId="168" fontId="3" fillId="2" borderId="15" xfId="6" applyNumberFormat="1" applyFont="1" applyFill="1" applyBorder="1" applyAlignment="1" applyProtection="1">
      <alignment horizontal="right" vertical="center"/>
    </xf>
    <xf numFmtId="168" fontId="3" fillId="2" borderId="14" xfId="6" applyNumberFormat="1" applyFont="1" applyFill="1" applyBorder="1" applyAlignment="1" applyProtection="1">
      <alignment horizontal="right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right" vertical="center"/>
    </xf>
    <xf numFmtId="0" fontId="12" fillId="2" borderId="9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vertical="center" wrapText="1"/>
    </xf>
    <xf numFmtId="168" fontId="3" fillId="2" borderId="0" xfId="6" applyNumberFormat="1" applyFont="1" applyFill="1" applyBorder="1" applyAlignment="1" applyProtection="1">
      <alignment horizontal="right" vertical="center"/>
    </xf>
    <xf numFmtId="0" fontId="7" fillId="2" borderId="0" xfId="14" applyFont="1" applyFill="1" applyBorder="1" applyAlignment="1">
      <alignment vertical="center"/>
    </xf>
    <xf numFmtId="164" fontId="14" fillId="2" borderId="0" xfId="0" applyNumberFormat="1" applyFont="1" applyFill="1" applyAlignment="1"/>
    <xf numFmtId="164" fontId="4" fillId="2" borderId="0" xfId="5" applyNumberFormat="1" applyFont="1" applyFill="1" applyAlignment="1" applyProtection="1">
      <alignment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0" xfId="5" applyNumberFormat="1" applyFont="1" applyFill="1" applyBorder="1" applyAlignment="1" applyProtection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 wrapText="1"/>
    </xf>
    <xf numFmtId="0" fontId="18" fillId="2" borderId="3" xfId="13" applyFont="1" applyFill="1" applyBorder="1" applyAlignment="1">
      <alignment horizontal="right" vertical="center"/>
    </xf>
    <xf numFmtId="0" fontId="18" fillId="2" borderId="4" xfId="13" applyFont="1" applyFill="1" applyBorder="1" applyAlignment="1">
      <alignment horizontal="right" vertical="center"/>
    </xf>
    <xf numFmtId="164" fontId="2" fillId="2" borderId="24" xfId="5" applyNumberFormat="1" applyFont="1" applyFill="1" applyBorder="1" applyAlignment="1" applyProtection="1">
      <alignment horizontal="center" vertical="center" wrapText="1"/>
    </xf>
    <xf numFmtId="164" fontId="2" fillId="2" borderId="7" xfId="5" applyNumberFormat="1" applyFont="1" applyFill="1" applyBorder="1" applyAlignment="1" applyProtection="1">
      <alignment horizontal="center" vertical="center" wrapText="1"/>
    </xf>
    <xf numFmtId="164" fontId="14" fillId="2" borderId="0" xfId="0" applyNumberFormat="1" applyFont="1" applyFill="1" applyAlignment="1">
      <alignment horizontal="center"/>
    </xf>
    <xf numFmtId="164" fontId="4" fillId="2" borderId="0" xfId="5" applyNumberFormat="1" applyFont="1" applyFill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8 (Trans &amp; Comm)" xfId="14"/>
    <cellStyle name="Normal_X-5 (Electricity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2"/>
  <sheetViews>
    <sheetView tabSelected="1" zoomScaleNormal="100" workbookViewId="0">
      <selection activeCell="I32" sqref="I32"/>
    </sheetView>
  </sheetViews>
  <sheetFormatPr defaultColWidth="9.140625" defaultRowHeight="15" x14ac:dyDescent="0.25"/>
  <cols>
    <col min="1" max="1" width="12.140625" style="4" customWidth="1"/>
    <col min="2" max="10" width="14.5703125" style="4" customWidth="1"/>
    <col min="11" max="11" width="9.140625" style="4"/>
    <col min="12" max="12" width="8.85546875" style="4" customWidth="1"/>
    <col min="13" max="16384" width="9.140625" style="4"/>
  </cols>
  <sheetData>
    <row r="1" spans="1:12" s="16" customFormat="1" ht="12" x14ac:dyDescent="0.25"/>
    <row r="2" spans="1:12" ht="23.25" customHeight="1" x14ac:dyDescent="0.55000000000000004">
      <c r="A2" s="62" t="s">
        <v>36</v>
      </c>
      <c r="B2" s="62"/>
      <c r="C2" s="62"/>
      <c r="D2" s="62"/>
      <c r="E2" s="62"/>
      <c r="F2" s="62"/>
      <c r="G2" s="62"/>
      <c r="H2" s="53"/>
      <c r="I2" s="53"/>
      <c r="J2" s="53"/>
      <c r="K2" s="18"/>
      <c r="L2" s="15"/>
    </row>
    <row r="3" spans="1:12" ht="15" customHeight="1" x14ac:dyDescent="0.25">
      <c r="A3" s="63" t="s">
        <v>37</v>
      </c>
      <c r="B3" s="63"/>
      <c r="C3" s="63"/>
      <c r="D3" s="63"/>
      <c r="E3" s="63"/>
      <c r="F3" s="63"/>
      <c r="G3" s="63"/>
      <c r="H3" s="54"/>
      <c r="I3" s="54"/>
      <c r="J3" s="54"/>
      <c r="K3" s="18"/>
      <c r="L3" s="15"/>
    </row>
    <row r="4" spans="1:12" x14ac:dyDescent="0.25">
      <c r="A4" s="55" t="s">
        <v>35</v>
      </c>
      <c r="B4" s="55"/>
      <c r="C4" s="55"/>
      <c r="D4" s="55"/>
      <c r="E4" s="55"/>
      <c r="F4" s="55"/>
      <c r="G4" s="55"/>
      <c r="H4" s="56"/>
      <c r="I4" s="56"/>
      <c r="J4" s="56"/>
      <c r="K4" s="18"/>
      <c r="L4" s="15"/>
    </row>
    <row r="5" spans="1:12" ht="15" customHeight="1" x14ac:dyDescent="0.25">
      <c r="A5" s="46"/>
      <c r="B5" s="46"/>
      <c r="C5" s="57" t="s">
        <v>2</v>
      </c>
      <c r="D5" s="57"/>
      <c r="E5" s="60" t="s">
        <v>6</v>
      </c>
      <c r="F5" s="61"/>
      <c r="G5" s="58" t="s">
        <v>7</v>
      </c>
      <c r="H5" s="50"/>
      <c r="I5" s="50"/>
      <c r="J5" s="5"/>
      <c r="K5" s="14"/>
      <c r="L5" s="15"/>
    </row>
    <row r="6" spans="1:12" ht="15" customHeight="1" x14ac:dyDescent="0.25">
      <c r="A6" s="47" t="s">
        <v>5</v>
      </c>
      <c r="B6" s="48" t="s">
        <v>34</v>
      </c>
      <c r="C6" s="19" t="s">
        <v>32</v>
      </c>
      <c r="D6" s="19" t="s">
        <v>33</v>
      </c>
      <c r="E6" s="20" t="s">
        <v>32</v>
      </c>
      <c r="F6" s="19" t="s">
        <v>33</v>
      </c>
      <c r="G6" s="59"/>
      <c r="H6" s="6"/>
      <c r="I6" s="5"/>
      <c r="J6" s="5"/>
      <c r="K6" s="14"/>
      <c r="L6" s="15"/>
    </row>
    <row r="7" spans="1:12" ht="17.25" x14ac:dyDescent="0.4">
      <c r="A7" s="12" t="s">
        <v>1</v>
      </c>
      <c r="B7" s="21">
        <f t="shared" ref="B7:B19" si="0">SUM(C7:H7)</f>
        <v>427562.27499999997</v>
      </c>
      <c r="C7" s="22">
        <f>SUM(C8:C19)</f>
        <v>318642.92499999999</v>
      </c>
      <c r="D7" s="23">
        <f>SUM(D8:D19)</f>
        <v>48918.58</v>
      </c>
      <c r="E7" s="24">
        <f>SUM(E8:E19)</f>
        <v>3747.2899999999995</v>
      </c>
      <c r="F7" s="23">
        <f>SUM(F8:F19)</f>
        <v>56253.479999999996</v>
      </c>
      <c r="G7" s="7" t="s">
        <v>0</v>
      </c>
      <c r="H7" s="25"/>
      <c r="I7" s="5"/>
      <c r="J7" s="5"/>
      <c r="K7" s="14"/>
      <c r="L7" s="15"/>
    </row>
    <row r="8" spans="1:12" ht="17.25" x14ac:dyDescent="0.4">
      <c r="A8" s="8" t="s">
        <v>8</v>
      </c>
      <c r="B8" s="31">
        <f t="shared" si="0"/>
        <v>28669.300000000007</v>
      </c>
      <c r="C8" s="32">
        <v>22056.400000000005</v>
      </c>
      <c r="D8" s="33">
        <v>1880.9</v>
      </c>
      <c r="E8" s="34">
        <v>454.40000000000015</v>
      </c>
      <c r="F8" s="35">
        <v>4277.5999999999985</v>
      </c>
      <c r="G8" s="9" t="s">
        <v>9</v>
      </c>
      <c r="H8" s="30"/>
      <c r="I8" s="5"/>
      <c r="J8" s="5"/>
      <c r="K8" s="14"/>
      <c r="L8" s="15"/>
    </row>
    <row r="9" spans="1:12" ht="17.25" x14ac:dyDescent="0.4">
      <c r="A9" s="8" t="s">
        <v>10</v>
      </c>
      <c r="B9" s="31">
        <f t="shared" si="0"/>
        <v>25309.990000000005</v>
      </c>
      <c r="C9" s="32">
        <v>19893.790000000005</v>
      </c>
      <c r="D9" s="33">
        <v>1359.9</v>
      </c>
      <c r="E9" s="34">
        <v>277.90000000000003</v>
      </c>
      <c r="F9" s="35">
        <v>3778.3999999999996</v>
      </c>
      <c r="G9" s="9" t="s">
        <v>11</v>
      </c>
      <c r="H9" s="30"/>
      <c r="I9" s="5"/>
      <c r="J9" s="5"/>
      <c r="K9" s="14"/>
      <c r="L9" s="15"/>
    </row>
    <row r="10" spans="1:12" ht="17.25" x14ac:dyDescent="0.4">
      <c r="A10" s="8" t="s">
        <v>12</v>
      </c>
      <c r="B10" s="31">
        <f t="shared" si="0"/>
        <v>31763.219999999998</v>
      </c>
      <c r="C10" s="32">
        <v>25521.329999999998</v>
      </c>
      <c r="D10" s="33">
        <v>1290.5600000000002</v>
      </c>
      <c r="E10" s="34">
        <v>360.00000000000011</v>
      </c>
      <c r="F10" s="35">
        <v>4591.329999999999</v>
      </c>
      <c r="G10" s="9" t="s">
        <v>13</v>
      </c>
      <c r="H10" s="30"/>
      <c r="I10" s="5"/>
      <c r="J10" s="5"/>
      <c r="K10" s="14"/>
      <c r="L10" s="15"/>
    </row>
    <row r="11" spans="1:12" ht="17.25" x14ac:dyDescent="0.4">
      <c r="A11" s="8" t="s">
        <v>14</v>
      </c>
      <c r="B11" s="31">
        <f t="shared" si="0"/>
        <v>27983.989999999994</v>
      </c>
      <c r="C11" s="32">
        <v>21814.589999999997</v>
      </c>
      <c r="D11" s="33">
        <v>1180.0000000000002</v>
      </c>
      <c r="E11" s="34">
        <v>175.5</v>
      </c>
      <c r="F11" s="35">
        <v>4813.8999999999987</v>
      </c>
      <c r="G11" s="9" t="s">
        <v>15</v>
      </c>
      <c r="H11" s="30"/>
      <c r="I11" s="5"/>
      <c r="J11" s="5"/>
      <c r="K11" s="14"/>
      <c r="L11" s="15"/>
    </row>
    <row r="12" spans="1:12" ht="17.25" x14ac:dyDescent="0.4">
      <c r="A12" s="8" t="s">
        <v>16</v>
      </c>
      <c r="B12" s="31">
        <f t="shared" si="0"/>
        <v>42698.43</v>
      </c>
      <c r="C12" s="32">
        <v>31715.530000000002</v>
      </c>
      <c r="D12" s="33">
        <v>6254.3</v>
      </c>
      <c r="E12" s="34">
        <v>348.69999999999987</v>
      </c>
      <c r="F12" s="35">
        <v>4379.9000000000005</v>
      </c>
      <c r="G12" s="9" t="s">
        <v>17</v>
      </c>
      <c r="H12" s="30"/>
      <c r="I12" s="5"/>
      <c r="J12" s="5"/>
      <c r="K12" s="14"/>
      <c r="L12" s="18"/>
    </row>
    <row r="13" spans="1:12" ht="17.25" x14ac:dyDescent="0.4">
      <c r="A13" s="8" t="s">
        <v>18</v>
      </c>
      <c r="B13" s="31">
        <f t="shared" si="0"/>
        <v>35466.664999999994</v>
      </c>
      <c r="C13" s="32">
        <v>25384.814999999999</v>
      </c>
      <c r="D13" s="33">
        <v>4663.8</v>
      </c>
      <c r="E13" s="34">
        <v>176.59999999999997</v>
      </c>
      <c r="F13" s="35">
        <v>5241.4499999999989</v>
      </c>
      <c r="G13" s="9" t="s">
        <v>19</v>
      </c>
      <c r="H13" s="30"/>
      <c r="I13" s="5"/>
      <c r="J13" s="5"/>
      <c r="K13" s="14"/>
      <c r="L13" s="18"/>
    </row>
    <row r="14" spans="1:12" ht="17.25" x14ac:dyDescent="0.4">
      <c r="A14" s="8" t="s">
        <v>20</v>
      </c>
      <c r="B14" s="31">
        <f t="shared" si="0"/>
        <v>33791.81</v>
      </c>
      <c r="C14" s="32">
        <v>26118.69</v>
      </c>
      <c r="D14" s="33">
        <v>1743.32</v>
      </c>
      <c r="E14" s="34">
        <v>436.2999999999999</v>
      </c>
      <c r="F14" s="35">
        <v>5493.5</v>
      </c>
      <c r="G14" s="9" t="s">
        <v>21</v>
      </c>
      <c r="H14" s="30"/>
      <c r="I14" s="5"/>
      <c r="J14" s="5"/>
      <c r="K14" s="14"/>
      <c r="L14" s="18"/>
    </row>
    <row r="15" spans="1:12" ht="17.25" x14ac:dyDescent="0.4">
      <c r="A15" s="8" t="s">
        <v>22</v>
      </c>
      <c r="B15" s="31">
        <f t="shared" si="0"/>
        <v>48936.44</v>
      </c>
      <c r="C15" s="32">
        <v>29204.91</v>
      </c>
      <c r="D15" s="33">
        <v>15346.9</v>
      </c>
      <c r="E15" s="34">
        <v>558.23</v>
      </c>
      <c r="F15" s="35">
        <v>3826.4</v>
      </c>
      <c r="G15" s="9" t="s">
        <v>23</v>
      </c>
      <c r="H15" s="30"/>
      <c r="I15" s="5"/>
      <c r="J15" s="5"/>
      <c r="K15" s="14"/>
      <c r="L15" s="18"/>
    </row>
    <row r="16" spans="1:12" ht="17.25" x14ac:dyDescent="0.4">
      <c r="A16" s="8" t="s">
        <v>24</v>
      </c>
      <c r="B16" s="31">
        <f t="shared" si="0"/>
        <v>38010.990000000005</v>
      </c>
      <c r="C16" s="32">
        <v>21665.58</v>
      </c>
      <c r="D16" s="33">
        <v>11269.5</v>
      </c>
      <c r="E16" s="34">
        <v>268.40999999999997</v>
      </c>
      <c r="F16" s="35">
        <v>4807.5</v>
      </c>
      <c r="G16" s="9" t="s">
        <v>25</v>
      </c>
      <c r="H16" s="30"/>
      <c r="I16" s="5"/>
      <c r="J16" s="5"/>
      <c r="K16" s="14"/>
      <c r="L16" s="18"/>
    </row>
    <row r="17" spans="1:12" ht="17.25" x14ac:dyDescent="0.4">
      <c r="A17" s="8" t="s">
        <v>26</v>
      </c>
      <c r="B17" s="36">
        <f t="shared" si="0"/>
        <v>28419.16</v>
      </c>
      <c r="C17" s="37">
        <v>21658.859999999997</v>
      </c>
      <c r="D17" s="38">
        <v>1359.3999999999999</v>
      </c>
      <c r="E17" s="39">
        <v>306.40000000000003</v>
      </c>
      <c r="F17" s="40">
        <v>5094.5</v>
      </c>
      <c r="G17" s="9" t="s">
        <v>27</v>
      </c>
      <c r="H17" s="30"/>
      <c r="I17" s="5"/>
      <c r="J17" s="5"/>
      <c r="K17" s="14"/>
      <c r="L17" s="18"/>
    </row>
    <row r="18" spans="1:12" s="5" customFormat="1" ht="17.25" x14ac:dyDescent="0.4">
      <c r="A18" s="8" t="s">
        <v>28</v>
      </c>
      <c r="B18" s="25">
        <f t="shared" si="0"/>
        <v>50417.259999999987</v>
      </c>
      <c r="C18" s="28">
        <v>44648.009999999995</v>
      </c>
      <c r="D18" s="28">
        <v>1026.2</v>
      </c>
      <c r="E18" s="29">
        <v>188.74999999999997</v>
      </c>
      <c r="F18" s="30">
        <v>4554.2999999999984</v>
      </c>
      <c r="G18" s="9" t="s">
        <v>29</v>
      </c>
      <c r="H18" s="30"/>
      <c r="K18" s="14"/>
      <c r="L18" s="14"/>
    </row>
    <row r="19" spans="1:12" ht="17.25" x14ac:dyDescent="0.4">
      <c r="A19" s="10" t="s">
        <v>30</v>
      </c>
      <c r="B19" s="41">
        <f t="shared" si="0"/>
        <v>36095.020000000004</v>
      </c>
      <c r="C19" s="42">
        <v>28960.420000000009</v>
      </c>
      <c r="D19" s="43">
        <v>1543.7999999999997</v>
      </c>
      <c r="E19" s="44">
        <v>196.09999999999997</v>
      </c>
      <c r="F19" s="45">
        <v>5394.7000000000007</v>
      </c>
      <c r="G19" s="11" t="s">
        <v>31</v>
      </c>
      <c r="H19" s="51"/>
      <c r="I19" s="5"/>
      <c r="J19" s="5"/>
      <c r="K19" s="14"/>
      <c r="L19" s="18"/>
    </row>
    <row r="20" spans="1:12" ht="18.75" x14ac:dyDescent="0.25">
      <c r="A20" s="2" t="s">
        <v>3</v>
      </c>
      <c r="B20" s="2"/>
      <c r="C20" s="3"/>
      <c r="D20" s="3"/>
      <c r="E20" s="3"/>
      <c r="F20" s="3"/>
      <c r="G20" s="49" t="s">
        <v>4</v>
      </c>
      <c r="H20" s="13"/>
      <c r="I20" s="1"/>
      <c r="J20" s="5"/>
      <c r="K20" s="14"/>
      <c r="L20" s="18"/>
    </row>
    <row r="21" spans="1:12" x14ac:dyDescent="0.25">
      <c r="A21" s="26"/>
      <c r="B21" s="27"/>
      <c r="C21" s="27"/>
      <c r="D21" s="27"/>
      <c r="E21" s="27"/>
      <c r="F21" s="27"/>
      <c r="G21" s="27"/>
      <c r="H21" s="52"/>
      <c r="I21" s="52"/>
      <c r="J21" s="5"/>
      <c r="K21" s="5"/>
    </row>
    <row r="22" spans="1:12" ht="17.25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17"/>
    </row>
  </sheetData>
  <mergeCells count="6">
    <mergeCell ref="A4:J4"/>
    <mergeCell ref="C5:D5"/>
    <mergeCell ref="G5:G6"/>
    <mergeCell ref="E5:F5"/>
    <mergeCell ref="A2:G2"/>
    <mergeCell ref="A3:G3"/>
  </mergeCells>
  <pageMargins left="0.7" right="0.7" top="0.75" bottom="0.75" header="0.3" footer="0.3"/>
  <pageSetup paperSize="9" scale="8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11.23</vt:lpstr>
      <vt:lpstr>'11.23'!Print_Area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2018-06-26T04:24:42Z</cp:lastPrinted>
  <dcterms:created xsi:type="dcterms:W3CDTF">2014-05-22T03:57:11Z</dcterms:created>
  <dcterms:modified xsi:type="dcterms:W3CDTF">2018-06-26T04:24:50Z</dcterms:modified>
</cp:coreProperties>
</file>