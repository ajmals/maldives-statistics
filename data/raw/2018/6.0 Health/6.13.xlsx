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13" sheetId="29" r:id="rId1"/>
  </sheets>
  <externalReferences>
    <externalReference r:id="rId2"/>
    <externalReference r:id="rId3"/>
  </externalReferences>
  <definedNames>
    <definedName name="_xlnm.Print_Area" localSheetId="0">'6.13'!$A$1:$H$59</definedName>
  </definedNames>
  <calcPr calcId="162913"/>
</workbook>
</file>

<file path=xl/calcChain.xml><?xml version="1.0" encoding="utf-8"?>
<calcChain xmlns="http://schemas.openxmlformats.org/spreadsheetml/2006/main">
  <c r="B39" i="29" l="1"/>
  <c r="B38" i="29"/>
  <c r="B37" i="29"/>
  <c r="AC22" i="29" l="1"/>
  <c r="AC21" i="29" l="1"/>
  <c r="AC20" i="29"/>
  <c r="AC19" i="29"/>
  <c r="AC18" i="29"/>
  <c r="AC17" i="29"/>
  <c r="AC15" i="29"/>
  <c r="B15" i="29"/>
  <c r="AC16" i="29" s="1"/>
  <c r="B13" i="29"/>
  <c r="B11" i="29"/>
  <c r="B10" i="29"/>
  <c r="B7" i="29"/>
  <c r="AC14" i="29" s="1"/>
  <c r="B6" i="29"/>
  <c r="B5" i="29"/>
</calcChain>
</file>

<file path=xl/sharedStrings.xml><?xml version="1.0" encoding="utf-8"?>
<sst xmlns="http://schemas.openxmlformats.org/spreadsheetml/2006/main" count="38" uniqueCount="14">
  <si>
    <t>Total</t>
  </si>
  <si>
    <t>Type of Treatment</t>
  </si>
  <si>
    <t>0 - 14</t>
  </si>
  <si>
    <t>15 - 24</t>
  </si>
  <si>
    <t>25 - 34</t>
  </si>
  <si>
    <t>35 - 44</t>
  </si>
  <si>
    <t>45 &amp; over</t>
  </si>
  <si>
    <t>Cases Under Treatment</t>
  </si>
  <si>
    <t>Cases Released from Control</t>
  </si>
  <si>
    <t>Newly Detected Tuberculosis Cases</t>
  </si>
  <si>
    <t>Source:Health Protection Agency</t>
  </si>
  <si>
    <t xml:space="preserve">މަޢުލޫމާތު ދެއްވީ: ހެލްތް ޕްރޮޓެކްޝަން އޭޖެންސީ </t>
  </si>
  <si>
    <t>Table 6.13 : TUBERCULOSIS CASES, BY AGE GROUP, 2011 - 2017</t>
  </si>
  <si>
    <t>ތާވަލު 6.13: ޓީ.ބީގެ ބަލިމީހުންގެ ޢަދަދު، ޢުމުރުފުރާގެ ގޮތުން،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</si>
</sst>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_);[Red]\(0\)"/>
    <numFmt numFmtId="167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2" applyNumberFormat="0" applyAlignment="0" applyProtection="0"/>
    <xf numFmtId="0" fontId="19" fillId="0" borderId="7" applyNumberFormat="0" applyFill="0" applyAlignment="0" applyProtection="0"/>
    <xf numFmtId="0" fontId="20" fillId="23" borderId="0" applyNumberFormat="0" applyBorder="0" applyAlignment="0" applyProtection="0"/>
    <xf numFmtId="167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8" applyNumberFormat="0" applyFont="0" applyAlignment="0" applyProtection="0"/>
    <xf numFmtId="0" fontId="21" fillId="21" borderId="9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0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  <xf numFmtId="0" fontId="1" fillId="0" borderId="0"/>
  </cellStyleXfs>
  <cellXfs count="29">
    <xf numFmtId="0" fontId="0" fillId="0" borderId="0" xfId="0"/>
    <xf numFmtId="165" fontId="28" fillId="2" borderId="0" xfId="0" applyNumberFormat="1" applyFont="1" applyFill="1" applyAlignment="1">
      <alignment vertical="center"/>
    </xf>
    <xf numFmtId="165" fontId="28" fillId="2" borderId="12" xfId="0" applyNumberFormat="1" applyFont="1" applyFill="1" applyBorder="1" applyAlignment="1">
      <alignment vertical="center"/>
    </xf>
    <xf numFmtId="165" fontId="27" fillId="2" borderId="1" xfId="2" applyNumberFormat="1" applyFont="1" applyFill="1" applyBorder="1" applyAlignment="1">
      <alignment vertical="center"/>
    </xf>
    <xf numFmtId="165" fontId="27" fillId="2" borderId="1" xfId="2" applyNumberFormat="1" applyFont="1" applyFill="1" applyBorder="1" applyAlignment="1">
      <alignment horizontal="right" vertical="center"/>
    </xf>
    <xf numFmtId="38" fontId="28" fillId="2" borderId="0" xfId="1" applyNumberFormat="1" applyFont="1" applyFill="1" applyBorder="1" applyAlignment="1">
      <alignment vertical="center"/>
    </xf>
    <xf numFmtId="38" fontId="27" fillId="2" borderId="0" xfId="1" applyNumberFormat="1" applyFont="1" applyFill="1" applyBorder="1" applyAlignment="1">
      <alignment vertical="center"/>
    </xf>
    <xf numFmtId="38" fontId="28" fillId="2" borderId="1" xfId="1" applyNumberFormat="1" applyFont="1" applyFill="1" applyBorder="1" applyAlignment="1">
      <alignment vertical="center"/>
    </xf>
    <xf numFmtId="38" fontId="27" fillId="2" borderId="15" xfId="1" applyNumberFormat="1" applyFont="1" applyFill="1" applyBorder="1" applyAlignment="1">
      <alignment vertical="center"/>
    </xf>
    <xf numFmtId="38" fontId="28" fillId="2" borderId="15" xfId="1" applyNumberFormat="1" applyFont="1" applyFill="1" applyBorder="1" applyAlignment="1">
      <alignment vertical="center"/>
    </xf>
    <xf numFmtId="166" fontId="27" fillId="2" borderId="11" xfId="1" applyNumberFormat="1" applyFont="1" applyFill="1" applyBorder="1" applyAlignment="1">
      <alignment vertical="center"/>
    </xf>
    <xf numFmtId="166" fontId="27" fillId="2" borderId="0" xfId="1" applyNumberFormat="1" applyFont="1" applyFill="1" applyBorder="1" applyAlignment="1">
      <alignment vertical="center"/>
    </xf>
    <xf numFmtId="38" fontId="27" fillId="2" borderId="0" xfId="1" applyNumberFormat="1" applyFont="1" applyFill="1" applyBorder="1" applyAlignment="1">
      <alignment horizontal="right" vertical="center"/>
    </xf>
    <xf numFmtId="38" fontId="28" fillId="2" borderId="0" xfId="1" applyNumberFormat="1" applyFont="1" applyFill="1" applyBorder="1" applyAlignment="1"/>
    <xf numFmtId="38" fontId="28" fillId="2" borderId="15" xfId="1" applyNumberFormat="1" applyFont="1" applyFill="1" applyBorder="1" applyAlignment="1"/>
    <xf numFmtId="38" fontId="27" fillId="2" borderId="1" xfId="1" applyNumberFormat="1" applyFont="1" applyFill="1" applyBorder="1" applyAlignment="1">
      <alignment vertical="center"/>
    </xf>
    <xf numFmtId="38" fontId="28" fillId="2" borderId="1" xfId="1" applyNumberFormat="1" applyFont="1" applyFill="1" applyBorder="1" applyAlignment="1"/>
    <xf numFmtId="1" fontId="28" fillId="2" borderId="0" xfId="0" applyNumberFormat="1" applyFont="1" applyFill="1" applyAlignment="1">
      <alignment vertical="center"/>
    </xf>
    <xf numFmtId="165" fontId="29" fillId="2" borderId="0" xfId="2" applyNumberFormat="1" applyFont="1" applyFill="1" applyBorder="1" applyAlignment="1" applyProtection="1">
      <alignment horizontal="left" vertical="center"/>
    </xf>
    <xf numFmtId="165" fontId="27" fillId="2" borderId="0" xfId="2" applyNumberFormat="1" applyFont="1" applyFill="1" applyBorder="1" applyAlignment="1">
      <alignment vertical="center"/>
    </xf>
    <xf numFmtId="165" fontId="28" fillId="2" borderId="0" xfId="2" applyNumberFormat="1" applyFont="1" applyFill="1" applyBorder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5" fontId="27" fillId="2" borderId="0" xfId="0" applyNumberFormat="1" applyFont="1" applyFill="1" applyAlignment="1">
      <alignment vertical="center"/>
    </xf>
    <xf numFmtId="38" fontId="27" fillId="2" borderId="1" xfId="1" applyNumberFormat="1" applyFont="1" applyFill="1" applyBorder="1" applyAlignment="1">
      <alignment horizontal="right" vertical="center"/>
    </xf>
    <xf numFmtId="38" fontId="27" fillId="25" borderId="15" xfId="1" applyNumberFormat="1" applyFont="1" applyFill="1" applyBorder="1" applyAlignment="1">
      <alignment vertical="center"/>
    </xf>
    <xf numFmtId="38" fontId="27" fillId="2" borderId="14" xfId="1" applyNumberFormat="1" applyFont="1" applyFill="1" applyBorder="1" applyAlignment="1">
      <alignment horizontal="right" vertical="center"/>
    </xf>
    <xf numFmtId="166" fontId="27" fillId="2" borderId="13" xfId="1" applyNumberFormat="1" applyFont="1" applyFill="1" applyBorder="1" applyAlignment="1">
      <alignment horizontal="center" vertical="center"/>
    </xf>
    <xf numFmtId="165" fontId="25" fillId="2" borderId="0" xfId="0" applyNumberFormat="1" applyFont="1" applyFill="1" applyAlignment="1">
      <alignment horizontal="center" vertical="center"/>
    </xf>
    <xf numFmtId="165" fontId="24" fillId="2" borderId="1" xfId="2" applyNumberFormat="1" applyFont="1" applyFill="1" applyBorder="1" applyAlignment="1">
      <alignment horizontal="center" vertical="center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'[1]6.7'!$AA$27:$AA$33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'[1]6.7'!$AB$27:$AB$33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5-4645-A98C-2AB84DCE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5120"/>
        <c:axId val="88886656"/>
      </c:barChart>
      <c:catAx>
        <c:axId val="888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886656"/>
        <c:crosses val="autoZero"/>
        <c:auto val="1"/>
        <c:lblAlgn val="ctr"/>
        <c:lblOffset val="100"/>
        <c:noMultiLvlLbl val="0"/>
      </c:catAx>
      <c:valAx>
        <c:axId val="88886656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885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'[2]6.7'!$AA$27:$AA$33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'[2]6.7'!$AB$27:$AB$33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1-4E26-B52F-E05CC7009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48736"/>
        <c:axId val="88950272"/>
      </c:barChart>
      <c:catAx>
        <c:axId val="88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950272"/>
        <c:crosses val="autoZero"/>
        <c:auto val="1"/>
        <c:lblAlgn val="ctr"/>
        <c:lblOffset val="100"/>
        <c:noMultiLvlLbl val="0"/>
      </c:catAx>
      <c:valAx>
        <c:axId val="88950272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94873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'6.13'!$AB$14:$AB$22</c:f>
              <c:numCache>
                <c:formatCode>0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'6.13'!$AC$14:$AC$22</c:f>
              <c:numCache>
                <c:formatCode>0</c:formatCode>
                <c:ptCount val="9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  <c:pt idx="7">
                  <c:v>163</c:v>
                </c:pt>
                <c:pt idx="8" formatCode="General_)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4-4B84-BC97-BFD02497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63520"/>
        <c:axId val="43965056"/>
      </c:barChart>
      <c:catAx>
        <c:axId val="439635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43965056"/>
        <c:crosses val="autoZero"/>
        <c:auto val="1"/>
        <c:lblAlgn val="ctr"/>
        <c:lblOffset val="100"/>
        <c:noMultiLvlLbl val="0"/>
      </c:catAx>
      <c:valAx>
        <c:axId val="43965056"/>
        <c:scaling>
          <c:orientation val="minMax"/>
          <c:max val="18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39635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1225412</xdr:colOff>
      <xdr:row>43</xdr:row>
      <xdr:rowOff>61291</xdr:rowOff>
    </xdr:from>
    <xdr:to>
      <xdr:col>6</xdr:col>
      <xdr:colOff>368162</xdr:colOff>
      <xdr:row>43</xdr:row>
      <xdr:rowOff>61291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225412" y="6585916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1225412</xdr:colOff>
      <xdr:row>43</xdr:row>
      <xdr:rowOff>61291</xdr:rowOff>
    </xdr:from>
    <xdr:to>
      <xdr:col>6</xdr:col>
      <xdr:colOff>368162</xdr:colOff>
      <xdr:row>43</xdr:row>
      <xdr:rowOff>61291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225412" y="6585916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1200547</xdr:colOff>
      <xdr:row>43</xdr:row>
      <xdr:rowOff>69453</xdr:rowOff>
    </xdr:from>
    <xdr:to>
      <xdr:col>6</xdr:col>
      <xdr:colOff>446484</xdr:colOff>
      <xdr:row>43</xdr:row>
      <xdr:rowOff>69453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200547" y="6478984"/>
          <a:ext cx="4643437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6.6: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6.12: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6.13: Number of newly detected tuberculosis cases, 2009 - 2017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0"/>
  <sheetViews>
    <sheetView tabSelected="1" zoomScale="96" zoomScaleNormal="96" workbookViewId="0">
      <selection activeCell="L15" sqref="L15"/>
    </sheetView>
  </sheetViews>
  <sheetFormatPr defaultColWidth="9.140625" defaultRowHeight="12.75" x14ac:dyDescent="0.25"/>
  <cols>
    <col min="1" max="1" width="32.5703125" style="1" customWidth="1"/>
    <col min="2" max="2" width="9.7109375" style="22" customWidth="1"/>
    <col min="3" max="7" width="9.7109375" style="1" customWidth="1"/>
    <col min="8" max="16384" width="9.140625" style="1"/>
  </cols>
  <sheetData>
    <row r="1" spans="1:29" ht="21" x14ac:dyDescent="0.25">
      <c r="A1" s="27" t="s">
        <v>13</v>
      </c>
      <c r="B1" s="27"/>
      <c r="C1" s="27"/>
      <c r="D1" s="27"/>
      <c r="E1" s="27"/>
      <c r="F1" s="27"/>
      <c r="G1" s="27"/>
    </row>
    <row r="2" spans="1:29" s="2" customFormat="1" ht="15" x14ac:dyDescent="0.25">
      <c r="A2" s="28" t="s">
        <v>12</v>
      </c>
      <c r="B2" s="28"/>
      <c r="C2" s="28"/>
      <c r="D2" s="28"/>
      <c r="E2" s="28"/>
      <c r="F2" s="28"/>
      <c r="G2" s="28"/>
    </row>
    <row r="3" spans="1:29" x14ac:dyDescent="0.25">
      <c r="A3" s="3" t="s">
        <v>1</v>
      </c>
      <c r="B3" s="4" t="s">
        <v>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29" hidden="1" x14ac:dyDescent="0.25">
      <c r="B4" s="26">
        <v>2009</v>
      </c>
      <c r="C4" s="26"/>
      <c r="D4" s="26"/>
      <c r="E4" s="26"/>
      <c r="F4" s="26"/>
      <c r="G4" s="26"/>
    </row>
    <row r="5" spans="1:29" hidden="1" x14ac:dyDescent="0.25">
      <c r="A5" s="5" t="s">
        <v>7</v>
      </c>
      <c r="B5" s="6">
        <f>C5+D5+E5+F5+G5</f>
        <v>154</v>
      </c>
      <c r="C5" s="5">
        <v>5</v>
      </c>
      <c r="D5" s="5">
        <v>20</v>
      </c>
      <c r="E5" s="5">
        <v>50</v>
      </c>
      <c r="F5" s="5">
        <v>44</v>
      </c>
      <c r="G5" s="5">
        <v>35</v>
      </c>
    </row>
    <row r="6" spans="1:29" hidden="1" x14ac:dyDescent="0.25">
      <c r="A6" s="5" t="s">
        <v>8</v>
      </c>
      <c r="B6" s="6">
        <f>C6+D6+E6+F6+G6</f>
        <v>113</v>
      </c>
      <c r="C6" s="5">
        <v>2</v>
      </c>
      <c r="D6" s="5">
        <v>29</v>
      </c>
      <c r="E6" s="5">
        <v>25</v>
      </c>
      <c r="F6" s="5">
        <v>11</v>
      </c>
      <c r="G6" s="5">
        <v>46</v>
      </c>
    </row>
    <row r="7" spans="1:29" hidden="1" x14ac:dyDescent="0.25">
      <c r="A7" s="7" t="s">
        <v>9</v>
      </c>
      <c r="B7" s="8">
        <f>C7+D7+E7+F7+G7</f>
        <v>99</v>
      </c>
      <c r="C7" s="9">
        <v>3</v>
      </c>
      <c r="D7" s="9">
        <v>30</v>
      </c>
      <c r="E7" s="9">
        <v>17</v>
      </c>
      <c r="F7" s="9">
        <v>35</v>
      </c>
      <c r="G7" s="9">
        <v>14</v>
      </c>
    </row>
    <row r="8" spans="1:29" hidden="1" x14ac:dyDescent="0.25">
      <c r="A8" s="10"/>
      <c r="B8" s="26">
        <v>2010</v>
      </c>
      <c r="C8" s="26"/>
      <c r="D8" s="26"/>
      <c r="E8" s="26"/>
      <c r="F8" s="26"/>
      <c r="G8" s="26"/>
    </row>
    <row r="9" spans="1:29" hidden="1" x14ac:dyDescent="0.25">
      <c r="A9" s="5" t="s">
        <v>7</v>
      </c>
      <c r="B9" s="6">
        <v>130</v>
      </c>
      <c r="C9" s="5">
        <v>12</v>
      </c>
      <c r="D9" s="5">
        <v>30</v>
      </c>
      <c r="E9" s="5">
        <v>18</v>
      </c>
      <c r="F9" s="5">
        <v>28</v>
      </c>
      <c r="G9" s="5">
        <v>42</v>
      </c>
    </row>
    <row r="10" spans="1:29" hidden="1" x14ac:dyDescent="0.25">
      <c r="A10" s="5" t="s">
        <v>8</v>
      </c>
      <c r="B10" s="6">
        <f>C10+D10+E10+F10+G10</f>
        <v>105</v>
      </c>
      <c r="C10" s="5">
        <v>10</v>
      </c>
      <c r="D10" s="5">
        <v>30</v>
      </c>
      <c r="E10" s="5">
        <v>15</v>
      </c>
      <c r="F10" s="5">
        <v>35</v>
      </c>
      <c r="G10" s="5">
        <v>15</v>
      </c>
    </row>
    <row r="11" spans="1:29" hidden="1" x14ac:dyDescent="0.25">
      <c r="A11" s="7" t="s">
        <v>9</v>
      </c>
      <c r="B11" s="24">
        <f>C11+D11+E11+F11+G11</f>
        <v>100</v>
      </c>
      <c r="C11" s="9">
        <v>9</v>
      </c>
      <c r="D11" s="9">
        <v>18</v>
      </c>
      <c r="E11" s="9">
        <v>20</v>
      </c>
      <c r="F11" s="9">
        <v>13</v>
      </c>
      <c r="G11" s="9">
        <v>40</v>
      </c>
    </row>
    <row r="12" spans="1:29" x14ac:dyDescent="0.25">
      <c r="A12" s="11"/>
      <c r="B12" s="26">
        <v>2011</v>
      </c>
      <c r="C12" s="26"/>
      <c r="D12" s="26"/>
      <c r="E12" s="26"/>
      <c r="F12" s="26"/>
      <c r="G12" s="26"/>
    </row>
    <row r="13" spans="1:29" x14ac:dyDescent="0.2">
      <c r="A13" s="5" t="s">
        <v>7</v>
      </c>
      <c r="B13" s="12">
        <f>C13+D13+E13+F13+G13</f>
        <v>126</v>
      </c>
      <c r="C13" s="13">
        <v>6</v>
      </c>
      <c r="D13" s="13">
        <v>18</v>
      </c>
      <c r="E13" s="13">
        <v>28</v>
      </c>
      <c r="F13" s="13">
        <v>24</v>
      </c>
      <c r="G13" s="13">
        <v>50</v>
      </c>
    </row>
    <row r="14" spans="1:29" x14ac:dyDescent="0.2">
      <c r="A14" s="5" t="s">
        <v>8</v>
      </c>
      <c r="B14" s="12">
        <v>73</v>
      </c>
      <c r="C14" s="13">
        <v>5</v>
      </c>
      <c r="D14" s="13">
        <v>24</v>
      </c>
      <c r="E14" s="13">
        <v>10</v>
      </c>
      <c r="F14" s="13">
        <v>9</v>
      </c>
      <c r="G14" s="13">
        <v>25</v>
      </c>
      <c r="AB14" s="17">
        <v>2009</v>
      </c>
      <c r="AC14" s="17">
        <f>B7</f>
        <v>99</v>
      </c>
    </row>
    <row r="15" spans="1:29" x14ac:dyDescent="0.2">
      <c r="A15" s="7" t="s">
        <v>9</v>
      </c>
      <c r="B15" s="8">
        <f>C15+D15+E15+F15+G15</f>
        <v>88</v>
      </c>
      <c r="C15" s="14">
        <v>3</v>
      </c>
      <c r="D15" s="14">
        <v>21</v>
      </c>
      <c r="E15" s="14">
        <v>30</v>
      </c>
      <c r="F15" s="14">
        <v>9</v>
      </c>
      <c r="G15" s="14">
        <v>25</v>
      </c>
      <c r="AB15" s="17">
        <v>2010</v>
      </c>
      <c r="AC15" s="17">
        <f>B11</f>
        <v>100</v>
      </c>
    </row>
    <row r="16" spans="1:29" x14ac:dyDescent="0.25">
      <c r="A16" s="11"/>
      <c r="B16" s="26">
        <v>2012</v>
      </c>
      <c r="C16" s="26"/>
      <c r="D16" s="26"/>
      <c r="E16" s="26"/>
      <c r="F16" s="26"/>
      <c r="G16" s="26"/>
      <c r="AB16" s="17">
        <v>2011</v>
      </c>
      <c r="AC16" s="17">
        <f>B15</f>
        <v>88</v>
      </c>
    </row>
    <row r="17" spans="1:29" x14ac:dyDescent="0.2">
      <c r="A17" s="5" t="s">
        <v>7</v>
      </c>
      <c r="B17" s="12">
        <v>120</v>
      </c>
      <c r="C17" s="13">
        <v>12</v>
      </c>
      <c r="D17" s="13">
        <v>26</v>
      </c>
      <c r="E17" s="13">
        <v>27</v>
      </c>
      <c r="F17" s="13">
        <v>8</v>
      </c>
      <c r="G17" s="13">
        <v>47</v>
      </c>
      <c r="AB17" s="17">
        <v>2012</v>
      </c>
      <c r="AC17" s="17">
        <f>B19</f>
        <v>110</v>
      </c>
    </row>
    <row r="18" spans="1:29" x14ac:dyDescent="0.2">
      <c r="A18" s="5" t="s">
        <v>8</v>
      </c>
      <c r="B18" s="12">
        <v>108</v>
      </c>
      <c r="C18" s="13">
        <v>7</v>
      </c>
      <c r="D18" s="13">
        <v>12</v>
      </c>
      <c r="E18" s="13">
        <v>20</v>
      </c>
      <c r="F18" s="13">
        <v>19</v>
      </c>
      <c r="G18" s="13">
        <v>50</v>
      </c>
      <c r="AB18" s="17">
        <v>2013</v>
      </c>
      <c r="AC18" s="17">
        <f>B23</f>
        <v>110</v>
      </c>
    </row>
    <row r="19" spans="1:29" x14ac:dyDescent="0.2">
      <c r="A19" s="7" t="s">
        <v>9</v>
      </c>
      <c r="B19" s="15">
        <v>110</v>
      </c>
      <c r="C19" s="16">
        <v>10</v>
      </c>
      <c r="D19" s="16">
        <v>22</v>
      </c>
      <c r="E19" s="16">
        <v>23</v>
      </c>
      <c r="F19" s="16">
        <v>15</v>
      </c>
      <c r="G19" s="16">
        <v>40</v>
      </c>
      <c r="AB19" s="17">
        <v>2014</v>
      </c>
      <c r="AC19" s="17">
        <f>B27</f>
        <v>131</v>
      </c>
    </row>
    <row r="20" spans="1:29" x14ac:dyDescent="0.25">
      <c r="A20" s="11"/>
      <c r="B20" s="26">
        <v>2013</v>
      </c>
      <c r="C20" s="26"/>
      <c r="D20" s="26"/>
      <c r="E20" s="26"/>
      <c r="F20" s="26"/>
      <c r="G20" s="26"/>
      <c r="AB20" s="17">
        <v>2015</v>
      </c>
      <c r="AC20" s="17">
        <f>B31</f>
        <v>153</v>
      </c>
    </row>
    <row r="21" spans="1:29" x14ac:dyDescent="0.2">
      <c r="A21" s="5" t="s">
        <v>7</v>
      </c>
      <c r="B21" s="12">
        <v>165</v>
      </c>
      <c r="C21" s="13">
        <v>15</v>
      </c>
      <c r="D21" s="13">
        <v>44</v>
      </c>
      <c r="E21" s="13">
        <v>40</v>
      </c>
      <c r="F21" s="13">
        <v>13</v>
      </c>
      <c r="G21" s="13">
        <v>53</v>
      </c>
      <c r="AB21" s="17">
        <v>2016</v>
      </c>
      <c r="AC21" s="17">
        <f>B35</f>
        <v>163</v>
      </c>
    </row>
    <row r="22" spans="1:29" x14ac:dyDescent="0.2">
      <c r="A22" s="5" t="s">
        <v>8</v>
      </c>
      <c r="B22" s="12">
        <v>99</v>
      </c>
      <c r="C22" s="13">
        <v>7</v>
      </c>
      <c r="D22" s="13">
        <v>24</v>
      </c>
      <c r="E22" s="13">
        <v>25</v>
      </c>
      <c r="F22" s="13">
        <v>9</v>
      </c>
      <c r="G22" s="13">
        <v>34</v>
      </c>
      <c r="AB22" s="17">
        <v>2017</v>
      </c>
      <c r="AC22" s="1">
        <f>B39</f>
        <v>136</v>
      </c>
    </row>
    <row r="23" spans="1:29" x14ac:dyDescent="0.2">
      <c r="A23" s="7" t="s">
        <v>9</v>
      </c>
      <c r="B23" s="15">
        <v>110</v>
      </c>
      <c r="C23" s="16">
        <v>9</v>
      </c>
      <c r="D23" s="16">
        <v>31</v>
      </c>
      <c r="E23" s="16">
        <v>26</v>
      </c>
      <c r="F23" s="16">
        <v>7</v>
      </c>
      <c r="G23" s="16">
        <v>37</v>
      </c>
    </row>
    <row r="24" spans="1:29" x14ac:dyDescent="0.25">
      <c r="A24" s="11"/>
      <c r="B24" s="26">
        <v>2014</v>
      </c>
      <c r="C24" s="26"/>
      <c r="D24" s="26"/>
      <c r="E24" s="26"/>
      <c r="F24" s="26"/>
      <c r="G24" s="26"/>
    </row>
    <row r="25" spans="1:29" x14ac:dyDescent="0.2">
      <c r="A25" s="5" t="s">
        <v>7</v>
      </c>
      <c r="B25" s="12">
        <v>127</v>
      </c>
      <c r="C25" s="13">
        <v>9</v>
      </c>
      <c r="D25" s="13">
        <v>14</v>
      </c>
      <c r="E25" s="13">
        <v>12</v>
      </c>
      <c r="F25" s="13">
        <v>24</v>
      </c>
      <c r="G25" s="13">
        <v>68</v>
      </c>
    </row>
    <row r="26" spans="1:29" x14ac:dyDescent="0.2">
      <c r="A26" s="5" t="s">
        <v>8</v>
      </c>
      <c r="B26" s="12">
        <v>104</v>
      </c>
      <c r="C26" s="13">
        <v>4</v>
      </c>
      <c r="D26" s="13">
        <v>12</v>
      </c>
      <c r="E26" s="13">
        <v>15</v>
      </c>
      <c r="F26" s="13">
        <v>35</v>
      </c>
      <c r="G26" s="13">
        <v>38</v>
      </c>
    </row>
    <row r="27" spans="1:29" x14ac:dyDescent="0.2">
      <c r="A27" s="7" t="s">
        <v>9</v>
      </c>
      <c r="B27" s="15">
        <v>131</v>
      </c>
      <c r="C27" s="16">
        <v>14</v>
      </c>
      <c r="D27" s="16">
        <v>19</v>
      </c>
      <c r="E27" s="16">
        <v>25</v>
      </c>
      <c r="F27" s="16">
        <v>8</v>
      </c>
      <c r="G27" s="16">
        <v>65</v>
      </c>
    </row>
    <row r="28" spans="1:29" x14ac:dyDescent="0.25">
      <c r="A28" s="11"/>
      <c r="B28" s="26">
        <v>2015</v>
      </c>
      <c r="C28" s="26"/>
      <c r="D28" s="26"/>
      <c r="E28" s="26"/>
      <c r="F28" s="26"/>
      <c r="G28" s="26"/>
    </row>
    <row r="29" spans="1:29" x14ac:dyDescent="0.2">
      <c r="A29" s="5" t="s">
        <v>7</v>
      </c>
      <c r="B29" s="12">
        <v>137</v>
      </c>
      <c r="C29" s="13">
        <v>9</v>
      </c>
      <c r="D29" s="13">
        <v>11</v>
      </c>
      <c r="E29" s="13">
        <v>20</v>
      </c>
      <c r="F29" s="13">
        <v>44</v>
      </c>
      <c r="G29" s="13">
        <v>53</v>
      </c>
    </row>
    <row r="30" spans="1:29" x14ac:dyDescent="0.2">
      <c r="A30" s="5" t="s">
        <v>8</v>
      </c>
      <c r="B30" s="12">
        <v>142</v>
      </c>
      <c r="C30" s="13">
        <v>10</v>
      </c>
      <c r="D30" s="13">
        <v>8</v>
      </c>
      <c r="E30" s="13">
        <v>27</v>
      </c>
      <c r="F30" s="13">
        <v>40</v>
      </c>
      <c r="G30" s="13">
        <v>57</v>
      </c>
    </row>
    <row r="31" spans="1:29" x14ac:dyDescent="0.2">
      <c r="A31" s="7" t="s">
        <v>9</v>
      </c>
      <c r="B31" s="15">
        <v>153</v>
      </c>
      <c r="C31" s="16">
        <v>10</v>
      </c>
      <c r="D31" s="16">
        <v>25</v>
      </c>
      <c r="E31" s="16">
        <v>33</v>
      </c>
      <c r="F31" s="16">
        <v>28</v>
      </c>
      <c r="G31" s="16">
        <v>57</v>
      </c>
    </row>
    <row r="32" spans="1:29" x14ac:dyDescent="0.25">
      <c r="A32" s="11"/>
      <c r="B32" s="26">
        <v>2016</v>
      </c>
      <c r="C32" s="26"/>
      <c r="D32" s="26"/>
      <c r="E32" s="26"/>
      <c r="F32" s="26"/>
      <c r="G32" s="26"/>
    </row>
    <row r="33" spans="1:7" x14ac:dyDescent="0.2">
      <c r="A33" s="5" t="s">
        <v>7</v>
      </c>
      <c r="B33" s="12">
        <v>239</v>
      </c>
      <c r="C33" s="13">
        <v>13</v>
      </c>
      <c r="D33" s="13">
        <v>41</v>
      </c>
      <c r="E33" s="13">
        <v>61</v>
      </c>
      <c r="F33" s="13">
        <v>35</v>
      </c>
      <c r="G33" s="13">
        <v>89</v>
      </c>
    </row>
    <row r="34" spans="1:7" x14ac:dyDescent="0.2">
      <c r="A34" s="5" t="s">
        <v>8</v>
      </c>
      <c r="B34" s="12">
        <v>132</v>
      </c>
      <c r="C34" s="13">
        <v>10</v>
      </c>
      <c r="D34" s="13">
        <v>19</v>
      </c>
      <c r="E34" s="13">
        <v>27</v>
      </c>
      <c r="F34" s="13">
        <v>20</v>
      </c>
      <c r="G34" s="13">
        <v>56</v>
      </c>
    </row>
    <row r="35" spans="1:7" x14ac:dyDescent="0.2">
      <c r="A35" s="7" t="s">
        <v>9</v>
      </c>
      <c r="B35" s="23">
        <v>163</v>
      </c>
      <c r="C35" s="16">
        <v>8</v>
      </c>
      <c r="D35" s="16">
        <v>30</v>
      </c>
      <c r="E35" s="16">
        <v>50</v>
      </c>
      <c r="F35" s="16">
        <v>16</v>
      </c>
      <c r="G35" s="16">
        <v>59</v>
      </c>
    </row>
    <row r="36" spans="1:7" x14ac:dyDescent="0.25">
      <c r="A36" s="11"/>
      <c r="B36" s="26">
        <v>2017</v>
      </c>
      <c r="C36" s="26"/>
      <c r="D36" s="26"/>
      <c r="E36" s="26"/>
      <c r="F36" s="26"/>
      <c r="G36" s="26"/>
    </row>
    <row r="37" spans="1:7" x14ac:dyDescent="0.2">
      <c r="A37" s="5" t="s">
        <v>7</v>
      </c>
      <c r="B37" s="25">
        <f>SUM(C37:G37)</f>
        <v>202</v>
      </c>
      <c r="C37" s="13">
        <v>4</v>
      </c>
      <c r="D37" s="13">
        <v>30</v>
      </c>
      <c r="E37" s="13">
        <v>69</v>
      </c>
      <c r="F37" s="13">
        <v>57</v>
      </c>
      <c r="G37" s="13">
        <v>42</v>
      </c>
    </row>
    <row r="38" spans="1:7" x14ac:dyDescent="0.2">
      <c r="A38" s="5" t="s">
        <v>8</v>
      </c>
      <c r="B38" s="12">
        <f t="shared" ref="B38:B39" si="0">SUM(C38:G38)</f>
        <v>113</v>
      </c>
      <c r="C38" s="13">
        <v>3</v>
      </c>
      <c r="D38" s="13">
        <v>15</v>
      </c>
      <c r="E38" s="13">
        <v>38</v>
      </c>
      <c r="F38" s="13">
        <v>15</v>
      </c>
      <c r="G38" s="13">
        <v>42</v>
      </c>
    </row>
    <row r="39" spans="1:7" x14ac:dyDescent="0.2">
      <c r="A39" s="7" t="s">
        <v>9</v>
      </c>
      <c r="B39" s="23">
        <f t="shared" si="0"/>
        <v>136</v>
      </c>
      <c r="C39" s="16">
        <v>3</v>
      </c>
      <c r="D39" s="16">
        <v>17</v>
      </c>
      <c r="E39" s="16">
        <v>45</v>
      </c>
      <c r="F39" s="16">
        <v>23</v>
      </c>
      <c r="G39" s="16">
        <v>48</v>
      </c>
    </row>
    <row r="40" spans="1:7" ht="18.75" x14ac:dyDescent="0.25">
      <c r="A40" s="18" t="s">
        <v>10</v>
      </c>
      <c r="B40" s="19"/>
      <c r="C40" s="20"/>
      <c r="D40" s="20"/>
      <c r="E40" s="20"/>
      <c r="F40" s="20"/>
      <c r="G40" s="21" t="s">
        <v>11</v>
      </c>
    </row>
  </sheetData>
  <mergeCells count="11">
    <mergeCell ref="B36:G36"/>
    <mergeCell ref="B20:G20"/>
    <mergeCell ref="B24:G24"/>
    <mergeCell ref="B28:G28"/>
    <mergeCell ref="B32:G32"/>
    <mergeCell ref="B16:G16"/>
    <mergeCell ref="A1:G1"/>
    <mergeCell ref="A2:G2"/>
    <mergeCell ref="B4:G4"/>
    <mergeCell ref="B8:G8"/>
    <mergeCell ref="B12:G12"/>
  </mergeCells>
  <pageMargins left="0.7" right="0.7" top="0.75" bottom="0.75" header="0.3" footer="0.3"/>
  <pageSetup paperSize="9" scale="8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2018-08-01T03:43:43Z</cp:lastPrinted>
  <dcterms:created xsi:type="dcterms:W3CDTF">2014-03-04T09:17:57Z</dcterms:created>
  <dcterms:modified xsi:type="dcterms:W3CDTF">2018-08-01T03:43:55Z</dcterms:modified>
</cp:coreProperties>
</file>