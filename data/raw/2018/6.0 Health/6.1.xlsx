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6.HEALTH\"/>
    </mc:Choice>
  </mc:AlternateContent>
  <bookViews>
    <workbookView xWindow="0" yWindow="0" windowWidth="28800" windowHeight="12330" tabRatio="762"/>
  </bookViews>
  <sheets>
    <sheet name="6.1" sheetId="33" r:id="rId1"/>
  </sheets>
  <definedNames>
    <definedName name="_xlnm.Print_Area" localSheetId="0">'6.1'!$A$1:$S$62</definedName>
  </definedNames>
  <calcPr calcId="162913"/>
</workbook>
</file>

<file path=xl/calcChain.xml><?xml version="1.0" encoding="utf-8"?>
<calcChain xmlns="http://schemas.openxmlformats.org/spreadsheetml/2006/main">
  <c r="L15" i="33" l="1"/>
  <c r="K15" i="33"/>
  <c r="H15" i="33"/>
  <c r="G15" i="33"/>
  <c r="L12" i="33"/>
  <c r="K12" i="33"/>
  <c r="H12" i="33"/>
  <c r="L9" i="33"/>
  <c r="K9" i="33"/>
  <c r="H10" i="33"/>
  <c r="G10" i="33"/>
  <c r="H9" i="33"/>
  <c r="G9" i="33"/>
  <c r="D18" i="33" l="1"/>
  <c r="D17" i="33"/>
  <c r="D16" i="33"/>
  <c r="D15" i="33"/>
  <c r="L13" i="33"/>
  <c r="AQ9" i="33" s="1"/>
  <c r="K13" i="33"/>
  <c r="AP9" i="33" s="1"/>
  <c r="G13" i="33"/>
  <c r="AN9" i="33" s="1"/>
  <c r="H13" i="33"/>
  <c r="AO9" i="33" s="1"/>
  <c r="H19" i="33"/>
  <c r="AO10" i="33" s="1"/>
  <c r="G19" i="33"/>
  <c r="AN10" i="33" s="1"/>
  <c r="H11" i="33"/>
  <c r="AO8" i="33" s="1"/>
  <c r="G11" i="33"/>
  <c r="AN8" i="33" s="1"/>
  <c r="H8" i="33"/>
  <c r="AO7" i="33" s="1"/>
  <c r="G8" i="33"/>
  <c r="AN7" i="33" s="1"/>
  <c r="K8" i="33"/>
  <c r="AP7" i="33" s="1"/>
  <c r="L8" i="33"/>
  <c r="AQ7" i="33" s="1"/>
  <c r="K11" i="33"/>
  <c r="AP8" i="33" s="1"/>
  <c r="L11" i="33"/>
  <c r="AQ8" i="33" s="1"/>
  <c r="L19" i="33"/>
  <c r="AQ10" i="33" s="1"/>
  <c r="K19" i="33"/>
  <c r="AP10" i="33" s="1"/>
  <c r="J24" i="33"/>
  <c r="F24" i="33"/>
  <c r="D24" i="33"/>
  <c r="C24" i="33"/>
  <c r="J23" i="33"/>
  <c r="F23" i="33"/>
  <c r="D23" i="33"/>
  <c r="C23" i="33"/>
  <c r="L22" i="33"/>
  <c r="AQ11" i="33" s="1"/>
  <c r="K22" i="33"/>
  <c r="AP11" i="33" s="1"/>
  <c r="H22" i="33"/>
  <c r="AO11" i="33" s="1"/>
  <c r="G22" i="33"/>
  <c r="AN11" i="33" s="1"/>
  <c r="J21" i="33"/>
  <c r="F21" i="33"/>
  <c r="D21" i="33"/>
  <c r="C21" i="33"/>
  <c r="J20" i="33"/>
  <c r="F20" i="33"/>
  <c r="D20" i="33"/>
  <c r="C20" i="33"/>
  <c r="J18" i="33"/>
  <c r="F18" i="33"/>
  <c r="C18" i="33"/>
  <c r="J17" i="33"/>
  <c r="F17" i="33"/>
  <c r="C17" i="33"/>
  <c r="J16" i="33"/>
  <c r="F16" i="33"/>
  <c r="C16" i="33"/>
  <c r="J15" i="33"/>
  <c r="F15" i="33"/>
  <c r="C15" i="33"/>
  <c r="J12" i="33"/>
  <c r="J11" i="33" s="1"/>
  <c r="F12" i="33"/>
  <c r="F11" i="33" s="1"/>
  <c r="D12" i="33"/>
  <c r="C12" i="33"/>
  <c r="C11" i="33" s="1"/>
  <c r="J10" i="33"/>
  <c r="F10" i="33"/>
  <c r="D10" i="33"/>
  <c r="C10" i="33"/>
  <c r="J9" i="33"/>
  <c r="F9" i="33"/>
  <c r="D9" i="33"/>
  <c r="C9" i="33"/>
  <c r="J8" i="33" l="1"/>
  <c r="F8" i="33"/>
  <c r="B23" i="33"/>
  <c r="D19" i="33"/>
  <c r="F19" i="33"/>
  <c r="B17" i="33"/>
  <c r="B16" i="33"/>
  <c r="C13" i="33"/>
  <c r="B20" i="33"/>
  <c r="J19" i="33"/>
  <c r="J13" i="33"/>
  <c r="B24" i="33"/>
  <c r="B22" i="33" s="1"/>
  <c r="AU11" i="33" s="1"/>
  <c r="D22" i="33"/>
  <c r="F13" i="33"/>
  <c r="B18" i="33"/>
  <c r="D13" i="33"/>
  <c r="B21" i="33"/>
  <c r="B12" i="33"/>
  <c r="B11" i="33" s="1"/>
  <c r="AU8" i="33" s="1"/>
  <c r="C19" i="33"/>
  <c r="B10" i="33"/>
  <c r="G7" i="33"/>
  <c r="H7" i="33"/>
  <c r="K7" i="33"/>
  <c r="L7" i="33"/>
  <c r="B9" i="33"/>
  <c r="J22" i="33"/>
  <c r="D8" i="33"/>
  <c r="F22" i="33"/>
  <c r="D11" i="33"/>
  <c r="C8" i="33"/>
  <c r="B15" i="33"/>
  <c r="C22" i="33"/>
  <c r="B19" i="33" l="1"/>
  <c r="AU10" i="33" s="1"/>
  <c r="B13" i="33"/>
  <c r="AU9" i="33" s="1"/>
  <c r="C7" i="33"/>
  <c r="D7" i="33"/>
  <c r="B8" i="33"/>
  <c r="AU7" i="33" s="1"/>
  <c r="F7" i="33"/>
  <c r="J7" i="33"/>
  <c r="B7" i="33" l="1"/>
</calcChain>
</file>

<file path=xl/sharedStrings.xml><?xml version="1.0" encoding="utf-8"?>
<sst xmlns="http://schemas.openxmlformats.org/spreadsheetml/2006/main" count="92" uniqueCount="55">
  <si>
    <t>Male'</t>
  </si>
  <si>
    <t>Male</t>
  </si>
  <si>
    <t>Female</t>
  </si>
  <si>
    <t>Total</t>
  </si>
  <si>
    <t>Republic</t>
  </si>
  <si>
    <t>elWm</t>
  </si>
  <si>
    <t>cawtuLotwa</t>
  </si>
  <si>
    <t>Both sexes</t>
  </si>
  <si>
    <t>Categories of Health Personnel</t>
  </si>
  <si>
    <t>ސިއްހީ ދާއިރާގެ މުވައްޒިފުން</t>
  </si>
  <si>
    <t>Doctors</t>
  </si>
  <si>
    <t>ޑޮކްޓަރުން</t>
  </si>
  <si>
    <t xml:space="preserve">         General duty doctors</t>
  </si>
  <si>
    <t xml:space="preserve">cnurwTckoD egukwtilwbumcaWA   </t>
  </si>
  <si>
    <t xml:space="preserve">         Specialists</t>
  </si>
  <si>
    <t xml:space="preserve">cnurwTckoD wBcaWH cSwkwtilwbikeaikea   </t>
  </si>
  <si>
    <t>Nurses</t>
  </si>
  <si>
    <t>cnuhurwn</t>
  </si>
  <si>
    <t xml:space="preserve">         Nurses</t>
  </si>
  <si>
    <t>Paramedical Staff</t>
  </si>
  <si>
    <t>ޕެރަމެޑިކަލް މުވައްޒިފުން</t>
  </si>
  <si>
    <t>Laboratory Scientists / Laboratory technicians/ laboratory assistants</t>
  </si>
  <si>
    <t xml:space="preserve"> ލެބޯރެޓަރީ ސައިންސިސްޓްސް  ލެބޯރެޓަރީ ޓެކްނީޝަންސް  / ލެބޯޓްރީ އެސިސްޓަންޓްސް</t>
  </si>
  <si>
    <t xml:space="preserve">         Physiotherapists</t>
  </si>
  <si>
    <t xml:space="preserve">  ފިޒިއީތެރަޕިސްޓްސް</t>
  </si>
  <si>
    <t xml:space="preserve">         Radiographers</t>
  </si>
  <si>
    <t xml:space="preserve">  ރޭޑިއޯގްރާފަރސް</t>
  </si>
  <si>
    <t xml:space="preserve">         Dental technicians / dental assistants</t>
  </si>
  <si>
    <t xml:space="preserve">  ޑެންޓިސްޓުން</t>
  </si>
  <si>
    <t>Community Health Personnel</t>
  </si>
  <si>
    <t>ޖަމާއަތުގެ ސިއްޚި މުވައްޒިފުން</t>
  </si>
  <si>
    <t xml:space="preserve">         Community Health Workers</t>
  </si>
  <si>
    <t xml:space="preserve">  ޖަމާއަތުގެ ސިއްޚި އެހީތެރިން</t>
  </si>
  <si>
    <t xml:space="preserve">         Family Health Workers</t>
  </si>
  <si>
    <t xml:space="preserve">  އާއިލީ ސިއްޚީ އެހީތެރިން</t>
  </si>
  <si>
    <t>Traditional Birth Attendant (Foolhuma)</t>
  </si>
  <si>
    <t>ފޫޅުމައިން</t>
  </si>
  <si>
    <t xml:space="preserve">                 Trained</t>
  </si>
  <si>
    <t xml:space="preserve">  ތަމްރީން ދެވިފައި</t>
  </si>
  <si>
    <t xml:space="preserve">                 Untrained</t>
  </si>
  <si>
    <t xml:space="preserve">  ތަމްރީން ނުދެވި</t>
  </si>
  <si>
    <t>Source: Ministry of Health</t>
  </si>
  <si>
    <t>މަޢުލޫމާތު ދެއްވީ: މިނިސްޓްރީ އޮފް ހެލްތް</t>
  </si>
  <si>
    <t xml:space="preserve">Atolls </t>
  </si>
  <si>
    <r>
      <rPr>
        <b/>
        <i/>
        <sz val="10"/>
        <rFont val="Calibri"/>
        <family val="2"/>
        <scheme val="minor"/>
      </rPr>
      <t xml:space="preserve">Note: </t>
    </r>
    <r>
      <rPr>
        <i/>
        <sz val="10"/>
        <rFont val="Calibri"/>
        <family val="2"/>
        <scheme val="minor"/>
      </rPr>
      <t>Pvt. Sector data  includes ADK,IMDC ,Medica and FMDD hospital only</t>
    </r>
  </si>
  <si>
    <t xml:space="preserve">            All data except for pharmacist / pharmacy assistants are taken fron HR reports provided by health facilities</t>
  </si>
  <si>
    <t xml:space="preserve"> ejcaWr</t>
  </si>
  <si>
    <t xml:space="preserve"> </t>
  </si>
  <si>
    <t xml:space="preserve">  ލެބޯރެޓަރީ ސައިންސިސްޓްސް</t>
  </si>
  <si>
    <r>
      <t xml:space="preserve">  ލެބޯރެޓަރީ ޓެކްނީޝަންސް </t>
    </r>
    <r>
      <rPr>
        <vertAlign val="superscript"/>
        <sz val="9"/>
        <rFont val="Faruma"/>
      </rPr>
      <t>1_/</t>
    </r>
  </si>
  <si>
    <t xml:space="preserve">           Pharmacists / Pharmacy Assistant data is taken from MFDA, pharmacy registration unit's available records on the number of pharmacist cards issued.</t>
  </si>
  <si>
    <t xml:space="preserve">  ޑެންޓަލް ޓެކްނީޝަންސް /  ޑެންޓަލް އެސިސްޓަންޓްސް</t>
  </si>
  <si>
    <t xml:space="preserve">ނޯޓް: މިތާވަލުގައި ޕްރައިވެޓް ސެކްޓަރގެ ތެރޭގައި ހިމެނެނީ އޭ.ޑީ.ކޭ، އައި.އެމް.ޑީ.ސީ، މެޑިކާ އަދި އެފް.އެމް.ޑީ.ޑީ އެޗެ. </t>
  </si>
  <si>
    <t>ތާވަލު 6.1: ޞިއްޙީ ދާއިރާގައި މަސައްކަތްކުރާ މީހުންގެ އަދަދު، 2017</t>
  </si>
  <si>
    <t>Table 6.1 :  DISTRIBUTION OF MEDICAL STAFF IN MALE' AND ATOLLS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</si>
</sst>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ރ_._-;_-* #,##0.00\ _ރ_.\-;_-* &quot;-&quot;??\ _ރ_._-;_-@_-"/>
    <numFmt numFmtId="165" formatCode="General_)"/>
    <numFmt numFmtId="166" formatCode="0.00_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b/>
      <sz val="11"/>
      <name val="A_Randhoo"/>
    </font>
    <font>
      <sz val="10"/>
      <name val="Faruma"/>
    </font>
    <font>
      <b/>
      <sz val="10"/>
      <name val="Faruma"/>
    </font>
    <font>
      <sz val="10"/>
      <color theme="1"/>
      <name val="Faruma"/>
    </font>
    <font>
      <i/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Faruma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12"/>
      <color theme="1"/>
      <name val="Faruma"/>
    </font>
    <font>
      <i/>
      <sz val="10"/>
      <color theme="1"/>
      <name val="Calibri"/>
      <family val="2"/>
      <scheme val="minor"/>
    </font>
    <font>
      <b/>
      <sz val="9"/>
      <name val="Faruma"/>
    </font>
    <font>
      <b/>
      <i/>
      <sz val="10"/>
      <name val="Calibri"/>
      <family val="2"/>
      <scheme val="minor"/>
    </font>
    <font>
      <sz val="11"/>
      <name val="A_Randhoo"/>
    </font>
    <font>
      <sz val="11"/>
      <name val="Faruma"/>
    </font>
    <font>
      <vertAlign val="superscript"/>
      <sz val="9"/>
      <name val="Faruma"/>
    </font>
    <font>
      <b/>
      <sz val="10"/>
      <name val="Courier"/>
      <family val="3"/>
    </font>
    <font>
      <b/>
      <sz val="9"/>
      <name val="Cambria"/>
      <family val="1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 style="thin">
        <color theme="0"/>
      </top>
      <bottom style="hair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63">
    <xf numFmtId="0" fontId="0" fillId="0" borderId="0"/>
    <xf numFmtId="0" fontId="1" fillId="0" borderId="0"/>
    <xf numFmtId="165" fontId="7" fillId="0" borderId="0"/>
    <xf numFmtId="164" fontId="10" fillId="0" borderId="0" applyFont="0" applyFill="0" applyBorder="0" applyAlignment="0" applyProtection="0"/>
    <xf numFmtId="0" fontId="10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21" borderId="3" applyNumberFormat="0" applyAlignment="0" applyProtection="0"/>
    <xf numFmtId="0" fontId="17" fillId="22" borderId="4" applyNumberFormat="0" applyAlignment="0" applyProtection="0"/>
    <xf numFmtId="40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3" applyNumberFormat="0" applyAlignment="0" applyProtection="0"/>
    <xf numFmtId="0" fontId="24" fillId="0" borderId="8" applyNumberFormat="0" applyFill="0" applyAlignment="0" applyProtection="0"/>
    <xf numFmtId="0" fontId="25" fillId="23" borderId="0" applyNumberFormat="0" applyBorder="0" applyAlignment="0" applyProtection="0"/>
    <xf numFmtId="166" fontId="1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165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3" fillId="24" borderId="9" applyNumberFormat="0" applyFont="0" applyAlignment="0" applyProtection="0"/>
    <xf numFmtId="0" fontId="26" fillId="21" borderId="10" applyNumberFormat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28" fillId="0" borderId="0" applyNumberFormat="0" applyFill="0" applyBorder="0" applyAlignment="0" applyProtection="0"/>
    <xf numFmtId="165" fontId="7" fillId="0" borderId="0"/>
    <xf numFmtId="165" fontId="7" fillId="0" borderId="0"/>
    <xf numFmtId="0" fontId="1" fillId="0" borderId="0"/>
  </cellStyleXfs>
  <cellXfs count="108">
    <xf numFmtId="0" fontId="0" fillId="0" borderId="0" xfId="0"/>
    <xf numFmtId="0" fontId="0" fillId="2" borderId="0" xfId="0" applyFill="1"/>
    <xf numFmtId="0" fontId="0" fillId="2" borderId="0" xfId="0" applyFill="1" applyBorder="1"/>
    <xf numFmtId="3" fontId="5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0" fontId="0" fillId="2" borderId="12" xfId="0" applyNumberFormat="1" applyFill="1" applyBorder="1" applyAlignment="1">
      <alignment vertical="center"/>
    </xf>
    <xf numFmtId="0" fontId="40" fillId="2" borderId="16" xfId="0" applyNumberFormat="1" applyFont="1" applyFill="1" applyBorder="1" applyAlignment="1" applyProtection="1">
      <alignment horizontal="center" vertical="center" wrapText="1"/>
    </xf>
    <xf numFmtId="0" fontId="40" fillId="2" borderId="16" xfId="0" applyNumberFormat="1" applyFont="1" applyFill="1" applyBorder="1" applyAlignment="1" applyProtection="1">
      <alignment horizontal="right" vertical="center"/>
    </xf>
    <xf numFmtId="0" fontId="0" fillId="2" borderId="16" xfId="0" applyNumberFormat="1" applyFill="1" applyBorder="1" applyAlignment="1">
      <alignment vertical="center"/>
    </xf>
    <xf numFmtId="0" fontId="4" fillId="2" borderId="18" xfId="0" applyNumberFormat="1" applyFont="1" applyFill="1" applyBorder="1" applyAlignment="1" applyProtection="1">
      <alignment horizontal="left" vertical="center" wrapText="1"/>
    </xf>
    <xf numFmtId="0" fontId="0" fillId="2" borderId="30" xfId="0" applyNumberFormat="1" applyFont="1" applyFill="1" applyBorder="1" applyAlignment="1">
      <alignment vertical="center"/>
    </xf>
    <xf numFmtId="0" fontId="0" fillId="2" borderId="19" xfId="0" applyNumberFormat="1" applyFont="1" applyFill="1" applyBorder="1" applyAlignment="1">
      <alignment vertical="center"/>
    </xf>
    <xf numFmtId="0" fontId="32" fillId="2" borderId="15" xfId="0" applyNumberFormat="1" applyFont="1" applyFill="1" applyBorder="1" applyAlignment="1">
      <alignment vertical="center"/>
    </xf>
    <xf numFmtId="0" fontId="0" fillId="2" borderId="12" xfId="0" applyNumberFormat="1" applyFont="1" applyFill="1" applyBorder="1" applyAlignment="1">
      <alignment vertical="center"/>
    </xf>
    <xf numFmtId="0" fontId="4" fillId="2" borderId="13" xfId="0" applyNumberFormat="1" applyFont="1" applyFill="1" applyBorder="1" applyAlignment="1" applyProtection="1">
      <alignment horizontal="left" vertical="center" wrapText="1"/>
    </xf>
    <xf numFmtId="0" fontId="32" fillId="2" borderId="15" xfId="0" applyNumberFormat="1" applyFont="1" applyFill="1" applyBorder="1" applyAlignment="1">
      <alignment horizontal="right" vertical="center" indent="1"/>
    </xf>
    <xf numFmtId="0" fontId="0" fillId="2" borderId="12" xfId="0" applyNumberFormat="1" applyFont="1" applyFill="1" applyBorder="1" applyAlignment="1">
      <alignment horizontal="right" vertical="center" indent="1"/>
    </xf>
    <xf numFmtId="0" fontId="32" fillId="2" borderId="35" xfId="0" applyNumberFormat="1" applyFont="1" applyFill="1" applyBorder="1" applyAlignment="1">
      <alignment vertical="center"/>
    </xf>
    <xf numFmtId="0" fontId="0" fillId="2" borderId="25" xfId="0" applyNumberFormat="1" applyFont="1" applyFill="1" applyBorder="1" applyAlignment="1">
      <alignment vertical="center"/>
    </xf>
    <xf numFmtId="0" fontId="0" fillId="2" borderId="12" xfId="0" applyNumberFormat="1" applyFill="1" applyBorder="1" applyAlignment="1">
      <alignment horizontal="right" vertical="center"/>
    </xf>
    <xf numFmtId="0" fontId="32" fillId="2" borderId="12" xfId="0" applyNumberFormat="1" applyFont="1" applyFill="1" applyBorder="1" applyAlignment="1">
      <alignment vertical="center"/>
    </xf>
    <xf numFmtId="0" fontId="39" fillId="2" borderId="12" xfId="0" applyFont="1" applyFill="1" applyBorder="1" applyAlignment="1">
      <alignment horizontal="right" vertical="center"/>
    </xf>
    <xf numFmtId="0" fontId="0" fillId="2" borderId="12" xfId="0" applyNumberFormat="1" applyFill="1" applyBorder="1" applyAlignment="1">
      <alignment vertical="center" wrapText="1"/>
    </xf>
    <xf numFmtId="0" fontId="37" fillId="2" borderId="12" xfId="0" applyNumberFormat="1" applyFont="1" applyFill="1" applyBorder="1" applyAlignment="1" applyProtection="1">
      <alignment horizontal="left" vertical="center" wrapText="1"/>
    </xf>
    <xf numFmtId="0" fontId="42" fillId="2" borderId="14" xfId="0" applyNumberFormat="1" applyFont="1" applyFill="1" applyBorder="1" applyAlignment="1" applyProtection="1">
      <alignment horizontal="center" vertical="center"/>
    </xf>
    <xf numFmtId="0" fontId="35" fillId="2" borderId="12" xfId="0" applyFont="1" applyFill="1" applyBorder="1" applyAlignment="1">
      <alignment horizontal="right" vertical="center"/>
    </xf>
    <xf numFmtId="0" fontId="39" fillId="2" borderId="0" xfId="0" applyFont="1" applyFill="1" applyBorder="1" applyAlignment="1">
      <alignment horizontal="right" vertical="center"/>
    </xf>
    <xf numFmtId="0" fontId="45" fillId="2" borderId="24" xfId="0" applyFont="1" applyFill="1" applyBorder="1" applyAlignment="1">
      <alignment horizontal="center" vertical="center"/>
    </xf>
    <xf numFmtId="0" fontId="35" fillId="2" borderId="19" xfId="0" applyFont="1" applyFill="1" applyBorder="1" applyAlignment="1">
      <alignment horizontal="right" vertical="center"/>
    </xf>
    <xf numFmtId="0" fontId="0" fillId="2" borderId="30" xfId="0" applyNumberFormat="1" applyFill="1" applyBorder="1" applyAlignment="1">
      <alignment vertical="center"/>
    </xf>
    <xf numFmtId="0" fontId="0" fillId="2" borderId="19" xfId="0" applyNumberFormat="1" applyFill="1" applyBorder="1" applyAlignment="1">
      <alignment vertical="center"/>
    </xf>
    <xf numFmtId="0" fontId="6" fillId="2" borderId="19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41" fillId="2" borderId="12" xfId="0" applyFont="1" applyFill="1" applyBorder="1" applyAlignment="1">
      <alignment horizontal="right" vertical="center"/>
    </xf>
    <xf numFmtId="0" fontId="7" fillId="2" borderId="12" xfId="0" applyNumberFormat="1" applyFont="1" applyFill="1" applyBorder="1" applyAlignment="1">
      <alignment vertical="center"/>
    </xf>
    <xf numFmtId="0" fontId="29" fillId="2" borderId="12" xfId="0" applyNumberFormat="1" applyFont="1" applyFill="1" applyBorder="1" applyAlignment="1" applyProtection="1"/>
    <xf numFmtId="0" fontId="38" fillId="2" borderId="12" xfId="0" applyNumberFormat="1" applyFont="1" applyFill="1" applyBorder="1"/>
    <xf numFmtId="0" fontId="5" fillId="2" borderId="12" xfId="0" applyNumberFormat="1" applyFont="1" applyFill="1" applyBorder="1" applyAlignment="1">
      <alignment horizontal="center"/>
    </xf>
    <xf numFmtId="0" fontId="51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4" fillId="2" borderId="12" xfId="0" applyNumberFormat="1" applyFont="1" applyFill="1" applyBorder="1" applyAlignment="1">
      <alignment vertical="center" wrapText="1"/>
    </xf>
    <xf numFmtId="0" fontId="0" fillId="2" borderId="0" xfId="0" applyNumberFormat="1" applyFill="1" applyBorder="1" applyAlignment="1">
      <alignment vertical="center"/>
    </xf>
    <xf numFmtId="0" fontId="50" fillId="2" borderId="0" xfId="0" applyFont="1" applyFill="1" applyBorder="1"/>
    <xf numFmtId="0" fontId="32" fillId="2" borderId="23" xfId="0" applyNumberFormat="1" applyFont="1" applyFill="1" applyBorder="1" applyAlignment="1">
      <alignment vertical="center"/>
    </xf>
    <xf numFmtId="0" fontId="35" fillId="2" borderId="16" xfId="0" applyFont="1" applyFill="1" applyBorder="1" applyAlignment="1">
      <alignment horizontal="right" vertical="center"/>
    </xf>
    <xf numFmtId="0" fontId="32" fillId="2" borderId="29" xfId="0" applyNumberFormat="1" applyFont="1" applyFill="1" applyBorder="1" applyAlignment="1">
      <alignment vertical="center"/>
    </xf>
    <xf numFmtId="0" fontId="0" fillId="2" borderId="37" xfId="0" applyNumberFormat="1" applyFill="1" applyBorder="1" applyAlignment="1">
      <alignment vertical="center"/>
    </xf>
    <xf numFmtId="0" fontId="39" fillId="2" borderId="37" xfId="0" applyFont="1" applyFill="1" applyBorder="1" applyAlignment="1">
      <alignment horizontal="right" vertical="center"/>
    </xf>
    <xf numFmtId="0" fontId="32" fillId="2" borderId="0" xfId="0" applyNumberFormat="1" applyFont="1" applyFill="1" applyBorder="1" applyAlignment="1">
      <alignment vertical="center"/>
    </xf>
    <xf numFmtId="0" fontId="8" fillId="2" borderId="26" xfId="0" applyNumberFormat="1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 vertical="center"/>
    </xf>
    <xf numFmtId="0" fontId="30" fillId="2" borderId="13" xfId="0" applyNumberFormat="1" applyFont="1" applyFill="1" applyBorder="1" applyAlignment="1" applyProtection="1">
      <alignment horizontal="left" vertical="center" wrapText="1"/>
    </xf>
    <xf numFmtId="0" fontId="30" fillId="2" borderId="13" xfId="0" applyNumberFormat="1" applyFont="1" applyFill="1" applyBorder="1" applyAlignment="1" applyProtection="1">
      <alignment horizontal="left" vertical="center" wrapText="1" indent="1"/>
    </xf>
    <xf numFmtId="0" fontId="30" fillId="2" borderId="0" xfId="0" applyNumberFormat="1" applyFont="1" applyFill="1" applyBorder="1" applyAlignment="1" applyProtection="1">
      <alignment horizontal="left" vertical="center" wrapText="1"/>
    </xf>
    <xf numFmtId="0" fontId="30" fillId="2" borderId="33" xfId="0" applyNumberFormat="1" applyFont="1" applyFill="1" applyBorder="1" applyAlignment="1" applyProtection="1">
      <alignment horizontal="left" vertical="center" wrapText="1"/>
    </xf>
    <xf numFmtId="3" fontId="5" fillId="2" borderId="21" xfId="0" applyNumberFormat="1" applyFont="1" applyFill="1" applyBorder="1" applyAlignment="1" applyProtection="1">
      <alignment horizontal="right" vertical="center"/>
    </xf>
    <xf numFmtId="3" fontId="3" fillId="2" borderId="14" xfId="0" applyNumberFormat="1" applyFont="1" applyFill="1" applyBorder="1" applyAlignment="1" applyProtection="1">
      <alignment horizontal="right" vertical="center"/>
    </xf>
    <xf numFmtId="3" fontId="5" fillId="2" borderId="14" xfId="0" applyNumberFormat="1" applyFont="1" applyFill="1" applyBorder="1" applyAlignment="1" applyProtection="1">
      <alignment horizontal="right" vertical="center"/>
    </xf>
    <xf numFmtId="3" fontId="5" fillId="2" borderId="22" xfId="0" applyNumberFormat="1" applyFont="1" applyFill="1" applyBorder="1" applyAlignment="1" applyProtection="1">
      <alignment horizontal="right"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3" fontId="3" fillId="2" borderId="2" xfId="0" applyNumberFormat="1" applyFont="1" applyFill="1" applyBorder="1" applyAlignment="1" applyProtection="1">
      <alignment horizontal="right" vertical="center"/>
    </xf>
    <xf numFmtId="0" fontId="5" fillId="2" borderId="0" xfId="0" applyNumberFormat="1" applyFont="1" applyFill="1" applyBorder="1" applyAlignment="1">
      <alignment horizontal="right" vertical="center"/>
    </xf>
    <xf numFmtId="0" fontId="4" fillId="2" borderId="20" xfId="0" applyNumberFormat="1" applyFont="1" applyFill="1" applyBorder="1" applyAlignment="1" applyProtection="1">
      <alignment horizontal="left" vertical="center" wrapText="1"/>
    </xf>
    <xf numFmtId="0" fontId="4" fillId="2" borderId="17" xfId="0" applyNumberFormat="1" applyFont="1" applyFill="1" applyBorder="1" applyAlignment="1" applyProtection="1">
      <alignment horizontal="left" vertical="center" wrapText="1"/>
    </xf>
    <xf numFmtId="3" fontId="0" fillId="2" borderId="0" xfId="0" applyNumberFormat="1" applyFill="1" applyBorder="1"/>
    <xf numFmtId="3" fontId="0" fillId="2" borderId="0" xfId="0" applyNumberFormat="1" applyFill="1" applyBorder="1" applyAlignment="1">
      <alignment vertical="center"/>
    </xf>
    <xf numFmtId="0" fontId="0" fillId="2" borderId="13" xfId="0" applyNumberFormat="1" applyFill="1" applyBorder="1" applyAlignment="1">
      <alignment vertical="center"/>
    </xf>
    <xf numFmtId="0" fontId="31" fillId="2" borderId="18" xfId="0" applyFont="1" applyFill="1" applyBorder="1" applyAlignment="1">
      <alignment horizontal="right" vertical="center"/>
    </xf>
    <xf numFmtId="0" fontId="47" fillId="2" borderId="18" xfId="0" applyFont="1" applyFill="1" applyBorder="1" applyAlignment="1">
      <alignment horizontal="right" vertical="center" indent="1"/>
    </xf>
    <xf numFmtId="0" fontId="47" fillId="2" borderId="13" xfId="0" applyFont="1" applyFill="1" applyBorder="1" applyAlignment="1">
      <alignment horizontal="right" vertical="center" indent="1"/>
    </xf>
    <xf numFmtId="0" fontId="33" fillId="2" borderId="13" xfId="0" applyFont="1" applyFill="1" applyBorder="1" applyAlignment="1">
      <alignment horizontal="right" vertical="center"/>
    </xf>
    <xf numFmtId="0" fontId="31" fillId="2" borderId="13" xfId="0" applyFont="1" applyFill="1" applyBorder="1" applyAlignment="1">
      <alignment horizontal="right" vertical="center"/>
    </xf>
    <xf numFmtId="0" fontId="48" fillId="2" borderId="13" xfId="0" applyFont="1" applyFill="1" applyBorder="1" applyAlignment="1">
      <alignment horizontal="right" vertical="center" indent="1"/>
    </xf>
    <xf numFmtId="0" fontId="48" fillId="2" borderId="34" xfId="0" applyFont="1" applyFill="1" applyBorder="1" applyAlignment="1">
      <alignment horizontal="right" vertical="center" indent="1"/>
    </xf>
    <xf numFmtId="0" fontId="36" fillId="2" borderId="13" xfId="0" applyNumberFormat="1" applyFont="1" applyFill="1" applyBorder="1" applyAlignment="1">
      <alignment vertical="center"/>
    </xf>
    <xf numFmtId="0" fontId="39" fillId="2" borderId="13" xfId="0" applyFont="1" applyFill="1" applyBorder="1" applyAlignment="1">
      <alignment horizontal="right" vertical="center"/>
    </xf>
    <xf numFmtId="0" fontId="42" fillId="2" borderId="0" xfId="0" applyNumberFormat="1" applyFont="1" applyFill="1" applyBorder="1" applyAlignment="1" applyProtection="1">
      <alignment vertical="center"/>
    </xf>
    <xf numFmtId="0" fontId="5" fillId="2" borderId="0" xfId="0" applyNumberFormat="1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right" vertical="center" indent="3"/>
    </xf>
    <xf numFmtId="0" fontId="38" fillId="2" borderId="19" xfId="0" applyNumberFormat="1" applyFont="1" applyFill="1" applyBorder="1"/>
    <xf numFmtId="0" fontId="5" fillId="2" borderId="19" xfId="0" applyNumberFormat="1" applyFont="1" applyFill="1" applyBorder="1" applyAlignment="1">
      <alignment horizontal="center"/>
    </xf>
    <xf numFmtId="0" fontId="39" fillId="2" borderId="19" xfId="0" applyFont="1" applyFill="1" applyBorder="1" applyAlignment="1">
      <alignment horizontal="right" vertical="center"/>
    </xf>
    <xf numFmtId="0" fontId="5" fillId="2" borderId="2" xfId="0" applyNumberFormat="1" applyFont="1" applyFill="1" applyBorder="1" applyAlignment="1">
      <alignment horizontal="right" vertical="center"/>
    </xf>
    <xf numFmtId="0" fontId="5" fillId="2" borderId="31" xfId="0" applyNumberFormat="1" applyFont="1" applyFill="1" applyBorder="1" applyAlignment="1">
      <alignment horizontal="right" vertical="center"/>
    </xf>
    <xf numFmtId="0" fontId="34" fillId="2" borderId="14" xfId="0" applyFont="1" applyFill="1" applyBorder="1" applyAlignment="1">
      <alignment horizontal="right" vertical="center" wrapText="1" indent="1"/>
    </xf>
    <xf numFmtId="0" fontId="34" fillId="2" borderId="15" xfId="0" applyFont="1" applyFill="1" applyBorder="1" applyAlignment="1">
      <alignment horizontal="right" vertical="center" wrapText="1" indent="1"/>
    </xf>
    <xf numFmtId="0" fontId="45" fillId="2" borderId="32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45" fillId="2" borderId="27" xfId="0" applyFont="1" applyFill="1" applyBorder="1" applyAlignment="1">
      <alignment horizontal="center" vertical="center"/>
    </xf>
    <xf numFmtId="0" fontId="45" fillId="2" borderId="20" xfId="0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 vertical="center"/>
    </xf>
    <xf numFmtId="0" fontId="45" fillId="2" borderId="24" xfId="0" applyFont="1" applyFill="1" applyBorder="1" applyAlignment="1">
      <alignment horizontal="center" vertical="center"/>
    </xf>
    <xf numFmtId="0" fontId="45" fillId="2" borderId="33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0" fontId="45" fillId="2" borderId="29" xfId="0" applyFont="1" applyFill="1" applyBorder="1" applyAlignment="1">
      <alignment horizontal="center" vertical="center"/>
    </xf>
    <xf numFmtId="0" fontId="42" fillId="2" borderId="28" xfId="0" applyNumberFormat="1" applyFont="1" applyFill="1" applyBorder="1" applyAlignment="1" applyProtection="1">
      <alignment horizontal="center" vertical="center"/>
    </xf>
    <xf numFmtId="0" fontId="42" fillId="2" borderId="36" xfId="0" applyNumberFormat="1" applyFont="1" applyFill="1" applyBorder="1" applyAlignment="1" applyProtection="1">
      <alignment horizontal="center" vertical="center"/>
    </xf>
    <xf numFmtId="0" fontId="42" fillId="2" borderId="0" xfId="0" applyNumberFormat="1" applyFont="1" applyFill="1" applyBorder="1" applyAlignment="1" applyProtection="1">
      <alignment horizontal="center" vertical="center"/>
    </xf>
    <xf numFmtId="0" fontId="8" fillId="2" borderId="26" xfId="0" applyNumberFormat="1" applyFont="1" applyFill="1" applyBorder="1" applyAlignment="1">
      <alignment horizontal="center" vertical="center"/>
    </xf>
    <xf numFmtId="0" fontId="43" fillId="2" borderId="13" xfId="0" applyNumberFormat="1" applyFont="1" applyFill="1" applyBorder="1" applyAlignment="1">
      <alignment horizontal="center" vertical="center" wrapText="1"/>
    </xf>
    <xf numFmtId="0" fontId="43" fillId="2" borderId="14" xfId="0" applyNumberFormat="1" applyFont="1" applyFill="1" applyBorder="1" applyAlignment="1">
      <alignment horizontal="center" vertical="center" wrapText="1"/>
    </xf>
    <xf numFmtId="0" fontId="43" fillId="2" borderId="15" xfId="0" applyNumberFormat="1" applyFont="1" applyFill="1" applyBorder="1" applyAlignment="1">
      <alignment horizontal="center" vertical="center" wrapText="1"/>
    </xf>
    <xf numFmtId="0" fontId="4" fillId="2" borderId="32" xfId="0" applyNumberFormat="1" applyFont="1" applyFill="1" applyBorder="1" applyAlignment="1" applyProtection="1">
      <alignment horizontal="center" vertical="center" wrapText="1"/>
    </xf>
    <xf numFmtId="0" fontId="4" fillId="2" borderId="20" xfId="0" applyNumberFormat="1" applyFont="1" applyFill="1" applyBorder="1" applyAlignment="1" applyProtection="1">
      <alignment horizontal="center" vertical="center" wrapText="1"/>
    </xf>
    <xf numFmtId="0" fontId="4" fillId="2" borderId="33" xfId="0" applyNumberFormat="1" applyFont="1" applyFill="1" applyBorder="1" applyAlignment="1" applyProtection="1">
      <alignment horizontal="center" vertical="center" wrapText="1"/>
    </xf>
    <xf numFmtId="0" fontId="40" fillId="2" borderId="17" xfId="0" applyNumberFormat="1" applyFont="1" applyFill="1" applyBorder="1" applyAlignment="1" applyProtection="1">
      <alignment horizontal="center" vertical="center"/>
    </xf>
    <xf numFmtId="0" fontId="40" fillId="2" borderId="22" xfId="0" applyNumberFormat="1" applyFont="1" applyFill="1" applyBorder="1" applyAlignment="1" applyProtection="1">
      <alignment horizontal="center" vertical="center"/>
    </xf>
    <xf numFmtId="0" fontId="40" fillId="2" borderId="23" xfId="0" applyNumberFormat="1" applyFont="1" applyFill="1" applyBorder="1" applyAlignment="1" applyProtection="1">
      <alignment horizontal="center" vertical="center"/>
    </xf>
  </cellXfs>
  <cellStyles count="63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17" xfId="62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97868406181192"/>
          <c:y val="0.12202973670859237"/>
          <c:w val="0.39422173908857538"/>
          <c:h val="0.85267664453009639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038-41A6-B3EF-6A972631226A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038-41A6-B3EF-6A972631226A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F038-41A6-B3EF-6A972631226A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F038-41A6-B3EF-6A972631226A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F038-41A6-B3EF-6A972631226A}"/>
              </c:ext>
            </c:extLst>
          </c:dPt>
          <c:dLbls>
            <c:dLbl>
              <c:idx val="0"/>
              <c:layout>
                <c:manualLayout>
                  <c:x val="1.7297352394057473E-2"/>
                  <c:y val="-2.21751702342810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038-41A6-B3EF-6A972631226A}"/>
                </c:ext>
              </c:extLst>
            </c:dLbl>
            <c:dLbl>
              <c:idx val="1"/>
              <c:layout>
                <c:manualLayout>
                  <c:x val="4.0637638741759224E-3"/>
                  <c:y val="-7.21749973517540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0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038-41A6-B3EF-6A972631226A}"/>
                </c:ext>
              </c:extLst>
            </c:dLbl>
            <c:dLbl>
              <c:idx val="2"/>
              <c:layout>
                <c:manualLayout>
                  <c:x val="2.735337694438613E-3"/>
                  <c:y val="-5.7522731694805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69572007382572"/>
                      <c:h val="0.201237461694732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038-41A6-B3EF-6A972631226A}"/>
                </c:ext>
              </c:extLst>
            </c:dLbl>
            <c:dLbl>
              <c:idx val="3"/>
              <c:layout>
                <c:manualLayout>
                  <c:x val="2.6782356088984022E-2"/>
                  <c:y val="-4.1271774161354718E-2"/>
                </c:manualLayout>
              </c:layout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59230581614189"/>
                      <c:h val="0.205708518173568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038-41A6-B3EF-6A972631226A}"/>
                </c:ext>
              </c:extLst>
            </c:dLbl>
            <c:dLbl>
              <c:idx val="4"/>
              <c:layout>
                <c:manualLayout>
                  <c:x val="0.16439430508079694"/>
                  <c:y val="-0.107747934761049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F038-41A6-B3EF-6A97263122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'6.1'!$AT$7:$AT$11</c:f>
              <c:strCache>
                <c:ptCount val="5"/>
                <c:pt idx="0">
                  <c:v>Doctors</c:v>
                </c:pt>
                <c:pt idx="1">
                  <c:v>Nurses</c:v>
                </c:pt>
                <c:pt idx="2">
                  <c:v>Paramedical Staff</c:v>
                </c:pt>
                <c:pt idx="3">
                  <c:v>Community Health Personnel</c:v>
                </c:pt>
                <c:pt idx="4">
                  <c:v>Traditional Birth Attendant (Foolhuma)</c:v>
                </c:pt>
              </c:strCache>
            </c:strRef>
          </c:cat>
          <c:val>
            <c:numRef>
              <c:f>'6.1'!$AU$7:$AU$11</c:f>
              <c:numCache>
                <c:formatCode>#,##0</c:formatCode>
                <c:ptCount val="5"/>
                <c:pt idx="0">
                  <c:v>899</c:v>
                </c:pt>
                <c:pt idx="1">
                  <c:v>2753</c:v>
                </c:pt>
                <c:pt idx="2">
                  <c:v>505</c:v>
                </c:pt>
                <c:pt idx="3">
                  <c:v>476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38-41A6-B3EF-6A972631226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66"/>
        <c:holeSize val="10"/>
      </c:doughnutChart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396085031355807E-2"/>
          <c:y val="0.15759385413901913"/>
          <c:w val="0.89351461601650939"/>
          <c:h val="0.6494368076871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'6.1'!$AM$7</c:f>
              <c:strCache>
                <c:ptCount val="1"/>
                <c:pt idx="0">
                  <c:v>Doctors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multiLvlStrRef>
              <c:f>'6.1'!$AN$5:$AQ$6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'6.1'!$AN$7:$AQ$7</c:f>
              <c:numCache>
                <c:formatCode>#,##0</c:formatCode>
                <c:ptCount val="4"/>
                <c:pt idx="0">
                  <c:v>270</c:v>
                </c:pt>
                <c:pt idx="1">
                  <c:v>183</c:v>
                </c:pt>
                <c:pt idx="2">
                  <c:v>366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5-4517-A9E0-AB22D709FF11}"/>
            </c:ext>
          </c:extLst>
        </c:ser>
        <c:ser>
          <c:idx val="1"/>
          <c:order val="1"/>
          <c:tx>
            <c:strRef>
              <c:f>'6.1'!$AM$8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multiLvlStrRef>
              <c:f>'6.1'!$AN$5:$AQ$6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'6.1'!$AN$8:$AQ$8</c:f>
              <c:numCache>
                <c:formatCode>#,##0</c:formatCode>
                <c:ptCount val="4"/>
                <c:pt idx="0">
                  <c:v>136</c:v>
                </c:pt>
                <c:pt idx="1">
                  <c:v>1018</c:v>
                </c:pt>
                <c:pt idx="2">
                  <c:v>142</c:v>
                </c:pt>
                <c:pt idx="3">
                  <c:v>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5-4517-A9E0-AB22D709FF11}"/>
            </c:ext>
          </c:extLst>
        </c:ser>
        <c:ser>
          <c:idx val="2"/>
          <c:order val="2"/>
          <c:tx>
            <c:strRef>
              <c:f>'6.1'!$AM$9</c:f>
              <c:strCache>
                <c:ptCount val="1"/>
                <c:pt idx="0">
                  <c:v>Paramedical Staff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multiLvlStrRef>
              <c:f>'6.1'!$AN$5:$AQ$6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'6.1'!$AN$9:$AQ$9</c:f>
              <c:numCache>
                <c:formatCode>#,##0</c:formatCode>
                <c:ptCount val="4"/>
                <c:pt idx="0">
                  <c:v>108</c:v>
                </c:pt>
                <c:pt idx="1">
                  <c:v>170</c:v>
                </c:pt>
                <c:pt idx="2">
                  <c:v>134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5-4517-A9E0-AB22D709FF11}"/>
            </c:ext>
          </c:extLst>
        </c:ser>
        <c:ser>
          <c:idx val="3"/>
          <c:order val="3"/>
          <c:tx>
            <c:strRef>
              <c:f>'6.1'!$AM$10</c:f>
              <c:strCache>
                <c:ptCount val="1"/>
                <c:pt idx="0">
                  <c:v>Community Health Personnel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multiLvlStrRef>
              <c:f>'6.1'!$AN$5:$AQ$6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'6.1'!$AN$10:$AQ$10</c:f>
              <c:numCache>
                <c:formatCode>#,##0</c:formatCode>
                <c:ptCount val="4"/>
                <c:pt idx="0">
                  <c:v>1</c:v>
                </c:pt>
                <c:pt idx="1">
                  <c:v>6</c:v>
                </c:pt>
                <c:pt idx="2">
                  <c:v>151</c:v>
                </c:pt>
                <c:pt idx="3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25-4517-A9E0-AB22D709FF11}"/>
            </c:ext>
          </c:extLst>
        </c:ser>
        <c:ser>
          <c:idx val="4"/>
          <c:order val="4"/>
          <c:tx>
            <c:strRef>
              <c:f>'6.1'!$AM$11</c:f>
              <c:strCache>
                <c:ptCount val="1"/>
                <c:pt idx="0">
                  <c:v>Traditional Birth Attendant (Foolhuma)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multiLvlStrRef>
              <c:f>'6.1'!$AN$5:$AQ$6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'6.1'!$AN$11:$AQ$11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25-4517-A9E0-AB22D709F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27904"/>
        <c:axId val="60833792"/>
      </c:barChart>
      <c:catAx>
        <c:axId val="60827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0833792"/>
        <c:crosses val="autoZero"/>
        <c:auto val="1"/>
        <c:lblAlgn val="ctr"/>
        <c:lblOffset val="100"/>
        <c:noMultiLvlLbl val="0"/>
      </c:catAx>
      <c:valAx>
        <c:axId val="6083379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6082790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7521388070765968E-2"/>
          <c:y val="0.17068506886077442"/>
          <c:w val="0.71909438801065895"/>
          <c:h val="0.21850681774534281"/>
        </c:manualLayout>
      </c:layout>
      <c:overlay val="0"/>
      <c:spPr>
        <a:noFill/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29</xdr:row>
      <xdr:rowOff>76199</xdr:rowOff>
    </xdr:from>
    <xdr:to>
      <xdr:col>15</xdr:col>
      <xdr:colOff>790575</xdr:colOff>
      <xdr:row>42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390524</xdr:colOff>
      <xdr:row>43</xdr:row>
      <xdr:rowOff>165100</xdr:rowOff>
    </xdr:from>
    <xdr:to>
      <xdr:col>15</xdr:col>
      <xdr:colOff>800100</xdr:colOff>
      <xdr:row>55</xdr:row>
      <xdr:rowOff>190500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531679</xdr:colOff>
      <xdr:row>43</xdr:row>
      <xdr:rowOff>238087</xdr:rowOff>
    </xdr:from>
    <xdr:to>
      <xdr:col>15</xdr:col>
      <xdr:colOff>142875</xdr:colOff>
      <xdr:row>45</xdr:row>
      <xdr:rowOff>12662</xdr:rowOff>
    </xdr:to>
    <xdr:sp macro="" textlink="">
      <xdr:nvSpPr>
        <xdr:cNvPr id="9" name="TextBox 8"/>
        <xdr:cNvSpPr txBox="1"/>
      </xdr:nvSpPr>
      <xdr:spPr>
        <a:xfrm>
          <a:off x="3608254" y="10772737"/>
          <a:ext cx="5383346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6.2: Distribution of Medical staff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by sex and locality,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342900</xdr:colOff>
      <xdr:row>29</xdr:row>
      <xdr:rowOff>104775</xdr:rowOff>
    </xdr:from>
    <xdr:to>
      <xdr:col>11</xdr:col>
      <xdr:colOff>66676</xdr:colOff>
      <xdr:row>30</xdr:row>
      <xdr:rowOff>114300</xdr:rowOff>
    </xdr:to>
    <xdr:sp macro="" textlink="">
      <xdr:nvSpPr>
        <xdr:cNvPr id="10" name="TextBox 9"/>
        <xdr:cNvSpPr txBox="1"/>
      </xdr:nvSpPr>
      <xdr:spPr>
        <a:xfrm>
          <a:off x="4114800" y="7172325"/>
          <a:ext cx="4105276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6.1: Percentage of Health Personnel, 201</a:t>
          </a:r>
          <a:r>
            <a:rPr lang="dv-MV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7</a:t>
          </a: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338811</xdr:colOff>
      <xdr:row>30</xdr:row>
      <xdr:rowOff>79721</xdr:rowOff>
    </xdr:from>
    <xdr:to>
      <xdr:col>10</xdr:col>
      <xdr:colOff>577123</xdr:colOff>
      <xdr:row>30</xdr:row>
      <xdr:rowOff>79721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4110711" y="7394921"/>
          <a:ext cx="3924487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574183</xdr:colOff>
      <xdr:row>44</xdr:row>
      <xdr:rowOff>222292</xdr:rowOff>
    </xdr:from>
    <xdr:to>
      <xdr:col>15</xdr:col>
      <xdr:colOff>47625</xdr:colOff>
      <xdr:row>44</xdr:row>
      <xdr:rowOff>222292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>
          <a:off x="3650758" y="11004592"/>
          <a:ext cx="5245592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I62"/>
  <sheetViews>
    <sheetView tabSelected="1" zoomScale="84" zoomScaleNormal="84" workbookViewId="0">
      <selection activeCell="A31" sqref="A31"/>
    </sheetView>
  </sheetViews>
  <sheetFormatPr defaultRowHeight="19.5" customHeight="1" x14ac:dyDescent="0.25"/>
  <cols>
    <col min="1" max="1" width="35.7109375" style="22" customWidth="1"/>
    <col min="2" max="4" width="10.42578125" style="19" customWidth="1"/>
    <col min="5" max="5" width="1.5703125" style="19" customWidth="1"/>
    <col min="6" max="8" width="10.42578125" style="19" customWidth="1"/>
    <col min="9" max="9" width="1.5703125" style="19" customWidth="1"/>
    <col min="10" max="12" width="10.42578125" style="19" customWidth="1"/>
    <col min="13" max="13" width="3.140625" style="5" hidden="1" customWidth="1"/>
    <col min="14" max="14" width="6.5703125" style="5" hidden="1" customWidth="1"/>
    <col min="15" max="15" width="20.85546875" style="5" hidden="1" customWidth="1"/>
    <col min="16" max="16" width="28.85546875" style="5" customWidth="1"/>
    <col min="17" max="17" width="9.140625" style="5"/>
    <col min="18" max="18" width="9.140625" style="66"/>
    <col min="19" max="19" width="1.7109375" style="41" customWidth="1"/>
    <col min="20" max="113" width="9.140625" style="41"/>
    <col min="114" max="273" width="9.140625" style="5"/>
    <col min="274" max="274" width="40.85546875" style="5" customWidth="1"/>
    <col min="275" max="277" width="11.140625" style="5" customWidth="1"/>
    <col min="278" max="278" width="4.140625" style="5" customWidth="1"/>
    <col min="279" max="281" width="11.140625" style="5" customWidth="1"/>
    <col min="282" max="282" width="3.28515625" style="5" customWidth="1"/>
    <col min="283" max="285" width="11.140625" style="5" customWidth="1"/>
    <col min="286" max="286" width="3.140625" style="5" bestFit="1" customWidth="1"/>
    <col min="287" max="287" width="6.5703125" style="5" bestFit="1" customWidth="1"/>
    <col min="288" max="288" width="20.85546875" style="5" customWidth="1"/>
    <col min="289" max="289" width="7.5703125" style="5" customWidth="1"/>
    <col min="290" max="529" width="9.140625" style="5"/>
    <col min="530" max="530" width="40.85546875" style="5" customWidth="1"/>
    <col min="531" max="533" width="11.140625" style="5" customWidth="1"/>
    <col min="534" max="534" width="4.140625" style="5" customWidth="1"/>
    <col min="535" max="537" width="11.140625" style="5" customWidth="1"/>
    <col min="538" max="538" width="3.28515625" style="5" customWidth="1"/>
    <col min="539" max="541" width="11.140625" style="5" customWidth="1"/>
    <col min="542" max="542" width="3.140625" style="5" bestFit="1" customWidth="1"/>
    <col min="543" max="543" width="6.5703125" style="5" bestFit="1" customWidth="1"/>
    <col min="544" max="544" width="20.85546875" style="5" customWidth="1"/>
    <col min="545" max="545" width="7.5703125" style="5" customWidth="1"/>
    <col min="546" max="785" width="9.140625" style="5"/>
    <col min="786" max="786" width="40.85546875" style="5" customWidth="1"/>
    <col min="787" max="789" width="11.140625" style="5" customWidth="1"/>
    <col min="790" max="790" width="4.140625" style="5" customWidth="1"/>
    <col min="791" max="793" width="11.140625" style="5" customWidth="1"/>
    <col min="794" max="794" width="3.28515625" style="5" customWidth="1"/>
    <col min="795" max="797" width="11.140625" style="5" customWidth="1"/>
    <col min="798" max="798" width="3.140625" style="5" bestFit="1" customWidth="1"/>
    <col min="799" max="799" width="6.5703125" style="5" bestFit="1" customWidth="1"/>
    <col min="800" max="800" width="20.85546875" style="5" customWidth="1"/>
    <col min="801" max="801" width="7.5703125" style="5" customWidth="1"/>
    <col min="802" max="1041" width="9.140625" style="5"/>
    <col min="1042" max="1042" width="40.85546875" style="5" customWidth="1"/>
    <col min="1043" max="1045" width="11.140625" style="5" customWidth="1"/>
    <col min="1046" max="1046" width="4.140625" style="5" customWidth="1"/>
    <col min="1047" max="1049" width="11.140625" style="5" customWidth="1"/>
    <col min="1050" max="1050" width="3.28515625" style="5" customWidth="1"/>
    <col min="1051" max="1053" width="11.140625" style="5" customWidth="1"/>
    <col min="1054" max="1054" width="3.140625" style="5" bestFit="1" customWidth="1"/>
    <col min="1055" max="1055" width="6.5703125" style="5" bestFit="1" customWidth="1"/>
    <col min="1056" max="1056" width="20.85546875" style="5" customWidth="1"/>
    <col min="1057" max="1057" width="7.5703125" style="5" customWidth="1"/>
    <col min="1058" max="1297" width="9.140625" style="5"/>
    <col min="1298" max="1298" width="40.85546875" style="5" customWidth="1"/>
    <col min="1299" max="1301" width="11.140625" style="5" customWidth="1"/>
    <col min="1302" max="1302" width="4.140625" style="5" customWidth="1"/>
    <col min="1303" max="1305" width="11.140625" style="5" customWidth="1"/>
    <col min="1306" max="1306" width="3.28515625" style="5" customWidth="1"/>
    <col min="1307" max="1309" width="11.140625" style="5" customWidth="1"/>
    <col min="1310" max="1310" width="3.140625" style="5" bestFit="1" customWidth="1"/>
    <col min="1311" max="1311" width="6.5703125" style="5" bestFit="1" customWidth="1"/>
    <col min="1312" max="1312" width="20.85546875" style="5" customWidth="1"/>
    <col min="1313" max="1313" width="7.5703125" style="5" customWidth="1"/>
    <col min="1314" max="1553" width="9.140625" style="5"/>
    <col min="1554" max="1554" width="40.85546875" style="5" customWidth="1"/>
    <col min="1555" max="1557" width="11.140625" style="5" customWidth="1"/>
    <col min="1558" max="1558" width="4.140625" style="5" customWidth="1"/>
    <col min="1559" max="1561" width="11.140625" style="5" customWidth="1"/>
    <col min="1562" max="1562" width="3.28515625" style="5" customWidth="1"/>
    <col min="1563" max="1565" width="11.140625" style="5" customWidth="1"/>
    <col min="1566" max="1566" width="3.140625" style="5" bestFit="1" customWidth="1"/>
    <col min="1567" max="1567" width="6.5703125" style="5" bestFit="1" customWidth="1"/>
    <col min="1568" max="1568" width="20.85546875" style="5" customWidth="1"/>
    <col min="1569" max="1569" width="7.5703125" style="5" customWidth="1"/>
    <col min="1570" max="1809" width="9.140625" style="5"/>
    <col min="1810" max="1810" width="40.85546875" style="5" customWidth="1"/>
    <col min="1811" max="1813" width="11.140625" style="5" customWidth="1"/>
    <col min="1814" max="1814" width="4.140625" style="5" customWidth="1"/>
    <col min="1815" max="1817" width="11.140625" style="5" customWidth="1"/>
    <col min="1818" max="1818" width="3.28515625" style="5" customWidth="1"/>
    <col min="1819" max="1821" width="11.140625" style="5" customWidth="1"/>
    <col min="1822" max="1822" width="3.140625" style="5" bestFit="1" customWidth="1"/>
    <col min="1823" max="1823" width="6.5703125" style="5" bestFit="1" customWidth="1"/>
    <col min="1824" max="1824" width="20.85546875" style="5" customWidth="1"/>
    <col min="1825" max="1825" width="7.5703125" style="5" customWidth="1"/>
    <col min="1826" max="2065" width="9.140625" style="5"/>
    <col min="2066" max="2066" width="40.85546875" style="5" customWidth="1"/>
    <col min="2067" max="2069" width="11.140625" style="5" customWidth="1"/>
    <col min="2070" max="2070" width="4.140625" style="5" customWidth="1"/>
    <col min="2071" max="2073" width="11.140625" style="5" customWidth="1"/>
    <col min="2074" max="2074" width="3.28515625" style="5" customWidth="1"/>
    <col min="2075" max="2077" width="11.140625" style="5" customWidth="1"/>
    <col min="2078" max="2078" width="3.140625" style="5" bestFit="1" customWidth="1"/>
    <col min="2079" max="2079" width="6.5703125" style="5" bestFit="1" customWidth="1"/>
    <col min="2080" max="2080" width="20.85546875" style="5" customWidth="1"/>
    <col min="2081" max="2081" width="7.5703125" style="5" customWidth="1"/>
    <col min="2082" max="2321" width="9.140625" style="5"/>
    <col min="2322" max="2322" width="40.85546875" style="5" customWidth="1"/>
    <col min="2323" max="2325" width="11.140625" style="5" customWidth="1"/>
    <col min="2326" max="2326" width="4.140625" style="5" customWidth="1"/>
    <col min="2327" max="2329" width="11.140625" style="5" customWidth="1"/>
    <col min="2330" max="2330" width="3.28515625" style="5" customWidth="1"/>
    <col min="2331" max="2333" width="11.140625" style="5" customWidth="1"/>
    <col min="2334" max="2334" width="3.140625" style="5" bestFit="1" customWidth="1"/>
    <col min="2335" max="2335" width="6.5703125" style="5" bestFit="1" customWidth="1"/>
    <col min="2336" max="2336" width="20.85546875" style="5" customWidth="1"/>
    <col min="2337" max="2337" width="7.5703125" style="5" customWidth="1"/>
    <col min="2338" max="2577" width="9.140625" style="5"/>
    <col min="2578" max="2578" width="40.85546875" style="5" customWidth="1"/>
    <col min="2579" max="2581" width="11.140625" style="5" customWidth="1"/>
    <col min="2582" max="2582" width="4.140625" style="5" customWidth="1"/>
    <col min="2583" max="2585" width="11.140625" style="5" customWidth="1"/>
    <col min="2586" max="2586" width="3.28515625" style="5" customWidth="1"/>
    <col min="2587" max="2589" width="11.140625" style="5" customWidth="1"/>
    <col min="2590" max="2590" width="3.140625" style="5" bestFit="1" customWidth="1"/>
    <col min="2591" max="2591" width="6.5703125" style="5" bestFit="1" customWidth="1"/>
    <col min="2592" max="2592" width="20.85546875" style="5" customWidth="1"/>
    <col min="2593" max="2593" width="7.5703125" style="5" customWidth="1"/>
    <col min="2594" max="2833" width="9.140625" style="5"/>
    <col min="2834" max="2834" width="40.85546875" style="5" customWidth="1"/>
    <col min="2835" max="2837" width="11.140625" style="5" customWidth="1"/>
    <col min="2838" max="2838" width="4.140625" style="5" customWidth="1"/>
    <col min="2839" max="2841" width="11.140625" style="5" customWidth="1"/>
    <col min="2842" max="2842" width="3.28515625" style="5" customWidth="1"/>
    <col min="2843" max="2845" width="11.140625" style="5" customWidth="1"/>
    <col min="2846" max="2846" width="3.140625" style="5" bestFit="1" customWidth="1"/>
    <col min="2847" max="2847" width="6.5703125" style="5" bestFit="1" customWidth="1"/>
    <col min="2848" max="2848" width="20.85546875" style="5" customWidth="1"/>
    <col min="2849" max="2849" width="7.5703125" style="5" customWidth="1"/>
    <col min="2850" max="3089" width="9.140625" style="5"/>
    <col min="3090" max="3090" width="40.85546875" style="5" customWidth="1"/>
    <col min="3091" max="3093" width="11.140625" style="5" customWidth="1"/>
    <col min="3094" max="3094" width="4.140625" style="5" customWidth="1"/>
    <col min="3095" max="3097" width="11.140625" style="5" customWidth="1"/>
    <col min="3098" max="3098" width="3.28515625" style="5" customWidth="1"/>
    <col min="3099" max="3101" width="11.140625" style="5" customWidth="1"/>
    <col min="3102" max="3102" width="3.140625" style="5" bestFit="1" customWidth="1"/>
    <col min="3103" max="3103" width="6.5703125" style="5" bestFit="1" customWidth="1"/>
    <col min="3104" max="3104" width="20.85546875" style="5" customWidth="1"/>
    <col min="3105" max="3105" width="7.5703125" style="5" customWidth="1"/>
    <col min="3106" max="3345" width="9.140625" style="5"/>
    <col min="3346" max="3346" width="40.85546875" style="5" customWidth="1"/>
    <col min="3347" max="3349" width="11.140625" style="5" customWidth="1"/>
    <col min="3350" max="3350" width="4.140625" style="5" customWidth="1"/>
    <col min="3351" max="3353" width="11.140625" style="5" customWidth="1"/>
    <col min="3354" max="3354" width="3.28515625" style="5" customWidth="1"/>
    <col min="3355" max="3357" width="11.140625" style="5" customWidth="1"/>
    <col min="3358" max="3358" width="3.140625" style="5" bestFit="1" customWidth="1"/>
    <col min="3359" max="3359" width="6.5703125" style="5" bestFit="1" customWidth="1"/>
    <col min="3360" max="3360" width="20.85546875" style="5" customWidth="1"/>
    <col min="3361" max="3361" width="7.5703125" style="5" customWidth="1"/>
    <col min="3362" max="3601" width="9.140625" style="5"/>
    <col min="3602" max="3602" width="40.85546875" style="5" customWidth="1"/>
    <col min="3603" max="3605" width="11.140625" style="5" customWidth="1"/>
    <col min="3606" max="3606" width="4.140625" style="5" customWidth="1"/>
    <col min="3607" max="3609" width="11.140625" style="5" customWidth="1"/>
    <col min="3610" max="3610" width="3.28515625" style="5" customWidth="1"/>
    <col min="3611" max="3613" width="11.140625" style="5" customWidth="1"/>
    <col min="3614" max="3614" width="3.140625" style="5" bestFit="1" customWidth="1"/>
    <col min="3615" max="3615" width="6.5703125" style="5" bestFit="1" customWidth="1"/>
    <col min="3616" max="3616" width="20.85546875" style="5" customWidth="1"/>
    <col min="3617" max="3617" width="7.5703125" style="5" customWidth="1"/>
    <col min="3618" max="3857" width="9.140625" style="5"/>
    <col min="3858" max="3858" width="40.85546875" style="5" customWidth="1"/>
    <col min="3859" max="3861" width="11.140625" style="5" customWidth="1"/>
    <col min="3862" max="3862" width="4.140625" style="5" customWidth="1"/>
    <col min="3863" max="3865" width="11.140625" style="5" customWidth="1"/>
    <col min="3866" max="3866" width="3.28515625" style="5" customWidth="1"/>
    <col min="3867" max="3869" width="11.140625" style="5" customWidth="1"/>
    <col min="3870" max="3870" width="3.140625" style="5" bestFit="1" customWidth="1"/>
    <col min="3871" max="3871" width="6.5703125" style="5" bestFit="1" customWidth="1"/>
    <col min="3872" max="3872" width="20.85546875" style="5" customWidth="1"/>
    <col min="3873" max="3873" width="7.5703125" style="5" customWidth="1"/>
    <col min="3874" max="4113" width="9.140625" style="5"/>
    <col min="4114" max="4114" width="40.85546875" style="5" customWidth="1"/>
    <col min="4115" max="4117" width="11.140625" style="5" customWidth="1"/>
    <col min="4118" max="4118" width="4.140625" style="5" customWidth="1"/>
    <col min="4119" max="4121" width="11.140625" style="5" customWidth="1"/>
    <col min="4122" max="4122" width="3.28515625" style="5" customWidth="1"/>
    <col min="4123" max="4125" width="11.140625" style="5" customWidth="1"/>
    <col min="4126" max="4126" width="3.140625" style="5" bestFit="1" customWidth="1"/>
    <col min="4127" max="4127" width="6.5703125" style="5" bestFit="1" customWidth="1"/>
    <col min="4128" max="4128" width="20.85546875" style="5" customWidth="1"/>
    <col min="4129" max="4129" width="7.5703125" style="5" customWidth="1"/>
    <col min="4130" max="4369" width="9.140625" style="5"/>
    <col min="4370" max="4370" width="40.85546875" style="5" customWidth="1"/>
    <col min="4371" max="4373" width="11.140625" style="5" customWidth="1"/>
    <col min="4374" max="4374" width="4.140625" style="5" customWidth="1"/>
    <col min="4375" max="4377" width="11.140625" style="5" customWidth="1"/>
    <col min="4378" max="4378" width="3.28515625" style="5" customWidth="1"/>
    <col min="4379" max="4381" width="11.140625" style="5" customWidth="1"/>
    <col min="4382" max="4382" width="3.140625" style="5" bestFit="1" customWidth="1"/>
    <col min="4383" max="4383" width="6.5703125" style="5" bestFit="1" customWidth="1"/>
    <col min="4384" max="4384" width="20.85546875" style="5" customWidth="1"/>
    <col min="4385" max="4385" width="7.5703125" style="5" customWidth="1"/>
    <col min="4386" max="4625" width="9.140625" style="5"/>
    <col min="4626" max="4626" width="40.85546875" style="5" customWidth="1"/>
    <col min="4627" max="4629" width="11.140625" style="5" customWidth="1"/>
    <col min="4630" max="4630" width="4.140625" style="5" customWidth="1"/>
    <col min="4631" max="4633" width="11.140625" style="5" customWidth="1"/>
    <col min="4634" max="4634" width="3.28515625" style="5" customWidth="1"/>
    <col min="4635" max="4637" width="11.140625" style="5" customWidth="1"/>
    <col min="4638" max="4638" width="3.140625" style="5" bestFit="1" customWidth="1"/>
    <col min="4639" max="4639" width="6.5703125" style="5" bestFit="1" customWidth="1"/>
    <col min="4640" max="4640" width="20.85546875" style="5" customWidth="1"/>
    <col min="4641" max="4641" width="7.5703125" style="5" customWidth="1"/>
    <col min="4642" max="4881" width="9.140625" style="5"/>
    <col min="4882" max="4882" width="40.85546875" style="5" customWidth="1"/>
    <col min="4883" max="4885" width="11.140625" style="5" customWidth="1"/>
    <col min="4886" max="4886" width="4.140625" style="5" customWidth="1"/>
    <col min="4887" max="4889" width="11.140625" style="5" customWidth="1"/>
    <col min="4890" max="4890" width="3.28515625" style="5" customWidth="1"/>
    <col min="4891" max="4893" width="11.140625" style="5" customWidth="1"/>
    <col min="4894" max="4894" width="3.140625" style="5" bestFit="1" customWidth="1"/>
    <col min="4895" max="4895" width="6.5703125" style="5" bestFit="1" customWidth="1"/>
    <col min="4896" max="4896" width="20.85546875" style="5" customWidth="1"/>
    <col min="4897" max="4897" width="7.5703125" style="5" customWidth="1"/>
    <col min="4898" max="5137" width="9.140625" style="5"/>
    <col min="5138" max="5138" width="40.85546875" style="5" customWidth="1"/>
    <col min="5139" max="5141" width="11.140625" style="5" customWidth="1"/>
    <col min="5142" max="5142" width="4.140625" style="5" customWidth="1"/>
    <col min="5143" max="5145" width="11.140625" style="5" customWidth="1"/>
    <col min="5146" max="5146" width="3.28515625" style="5" customWidth="1"/>
    <col min="5147" max="5149" width="11.140625" style="5" customWidth="1"/>
    <col min="5150" max="5150" width="3.140625" style="5" bestFit="1" customWidth="1"/>
    <col min="5151" max="5151" width="6.5703125" style="5" bestFit="1" customWidth="1"/>
    <col min="5152" max="5152" width="20.85546875" style="5" customWidth="1"/>
    <col min="5153" max="5153" width="7.5703125" style="5" customWidth="1"/>
    <col min="5154" max="5393" width="9.140625" style="5"/>
    <col min="5394" max="5394" width="40.85546875" style="5" customWidth="1"/>
    <col min="5395" max="5397" width="11.140625" style="5" customWidth="1"/>
    <col min="5398" max="5398" width="4.140625" style="5" customWidth="1"/>
    <col min="5399" max="5401" width="11.140625" style="5" customWidth="1"/>
    <col min="5402" max="5402" width="3.28515625" style="5" customWidth="1"/>
    <col min="5403" max="5405" width="11.140625" style="5" customWidth="1"/>
    <col min="5406" max="5406" width="3.140625" style="5" bestFit="1" customWidth="1"/>
    <col min="5407" max="5407" width="6.5703125" style="5" bestFit="1" customWidth="1"/>
    <col min="5408" max="5408" width="20.85546875" style="5" customWidth="1"/>
    <col min="5409" max="5409" width="7.5703125" style="5" customWidth="1"/>
    <col min="5410" max="5649" width="9.140625" style="5"/>
    <col min="5650" max="5650" width="40.85546875" style="5" customWidth="1"/>
    <col min="5651" max="5653" width="11.140625" style="5" customWidth="1"/>
    <col min="5654" max="5654" width="4.140625" style="5" customWidth="1"/>
    <col min="5655" max="5657" width="11.140625" style="5" customWidth="1"/>
    <col min="5658" max="5658" width="3.28515625" style="5" customWidth="1"/>
    <col min="5659" max="5661" width="11.140625" style="5" customWidth="1"/>
    <col min="5662" max="5662" width="3.140625" style="5" bestFit="1" customWidth="1"/>
    <col min="5663" max="5663" width="6.5703125" style="5" bestFit="1" customWidth="1"/>
    <col min="5664" max="5664" width="20.85546875" style="5" customWidth="1"/>
    <col min="5665" max="5665" width="7.5703125" style="5" customWidth="1"/>
    <col min="5666" max="5905" width="9.140625" style="5"/>
    <col min="5906" max="5906" width="40.85546875" style="5" customWidth="1"/>
    <col min="5907" max="5909" width="11.140625" style="5" customWidth="1"/>
    <col min="5910" max="5910" width="4.140625" style="5" customWidth="1"/>
    <col min="5911" max="5913" width="11.140625" style="5" customWidth="1"/>
    <col min="5914" max="5914" width="3.28515625" style="5" customWidth="1"/>
    <col min="5915" max="5917" width="11.140625" style="5" customWidth="1"/>
    <col min="5918" max="5918" width="3.140625" style="5" bestFit="1" customWidth="1"/>
    <col min="5919" max="5919" width="6.5703125" style="5" bestFit="1" customWidth="1"/>
    <col min="5920" max="5920" width="20.85546875" style="5" customWidth="1"/>
    <col min="5921" max="5921" width="7.5703125" style="5" customWidth="1"/>
    <col min="5922" max="6161" width="9.140625" style="5"/>
    <col min="6162" max="6162" width="40.85546875" style="5" customWidth="1"/>
    <col min="6163" max="6165" width="11.140625" style="5" customWidth="1"/>
    <col min="6166" max="6166" width="4.140625" style="5" customWidth="1"/>
    <col min="6167" max="6169" width="11.140625" style="5" customWidth="1"/>
    <col min="6170" max="6170" width="3.28515625" style="5" customWidth="1"/>
    <col min="6171" max="6173" width="11.140625" style="5" customWidth="1"/>
    <col min="6174" max="6174" width="3.140625" style="5" bestFit="1" customWidth="1"/>
    <col min="6175" max="6175" width="6.5703125" style="5" bestFit="1" customWidth="1"/>
    <col min="6176" max="6176" width="20.85546875" style="5" customWidth="1"/>
    <col min="6177" max="6177" width="7.5703125" style="5" customWidth="1"/>
    <col min="6178" max="6417" width="9.140625" style="5"/>
    <col min="6418" max="6418" width="40.85546875" style="5" customWidth="1"/>
    <col min="6419" max="6421" width="11.140625" style="5" customWidth="1"/>
    <col min="6422" max="6422" width="4.140625" style="5" customWidth="1"/>
    <col min="6423" max="6425" width="11.140625" style="5" customWidth="1"/>
    <col min="6426" max="6426" width="3.28515625" style="5" customWidth="1"/>
    <col min="6427" max="6429" width="11.140625" style="5" customWidth="1"/>
    <col min="6430" max="6430" width="3.140625" style="5" bestFit="1" customWidth="1"/>
    <col min="6431" max="6431" width="6.5703125" style="5" bestFit="1" customWidth="1"/>
    <col min="6432" max="6432" width="20.85546875" style="5" customWidth="1"/>
    <col min="6433" max="6433" width="7.5703125" style="5" customWidth="1"/>
    <col min="6434" max="6673" width="9.140625" style="5"/>
    <col min="6674" max="6674" width="40.85546875" style="5" customWidth="1"/>
    <col min="6675" max="6677" width="11.140625" style="5" customWidth="1"/>
    <col min="6678" max="6678" width="4.140625" style="5" customWidth="1"/>
    <col min="6679" max="6681" width="11.140625" style="5" customWidth="1"/>
    <col min="6682" max="6682" width="3.28515625" style="5" customWidth="1"/>
    <col min="6683" max="6685" width="11.140625" style="5" customWidth="1"/>
    <col min="6686" max="6686" width="3.140625" style="5" bestFit="1" customWidth="1"/>
    <col min="6687" max="6687" width="6.5703125" style="5" bestFit="1" customWidth="1"/>
    <col min="6688" max="6688" width="20.85546875" style="5" customWidth="1"/>
    <col min="6689" max="6689" width="7.5703125" style="5" customWidth="1"/>
    <col min="6690" max="6929" width="9.140625" style="5"/>
    <col min="6930" max="6930" width="40.85546875" style="5" customWidth="1"/>
    <col min="6931" max="6933" width="11.140625" style="5" customWidth="1"/>
    <col min="6934" max="6934" width="4.140625" style="5" customWidth="1"/>
    <col min="6935" max="6937" width="11.140625" style="5" customWidth="1"/>
    <col min="6938" max="6938" width="3.28515625" style="5" customWidth="1"/>
    <col min="6939" max="6941" width="11.140625" style="5" customWidth="1"/>
    <col min="6942" max="6942" width="3.140625" style="5" bestFit="1" customWidth="1"/>
    <col min="6943" max="6943" width="6.5703125" style="5" bestFit="1" customWidth="1"/>
    <col min="6944" max="6944" width="20.85546875" style="5" customWidth="1"/>
    <col min="6945" max="6945" width="7.5703125" style="5" customWidth="1"/>
    <col min="6946" max="7185" width="9.140625" style="5"/>
    <col min="7186" max="7186" width="40.85546875" style="5" customWidth="1"/>
    <col min="7187" max="7189" width="11.140625" style="5" customWidth="1"/>
    <col min="7190" max="7190" width="4.140625" style="5" customWidth="1"/>
    <col min="7191" max="7193" width="11.140625" style="5" customWidth="1"/>
    <col min="7194" max="7194" width="3.28515625" style="5" customWidth="1"/>
    <col min="7195" max="7197" width="11.140625" style="5" customWidth="1"/>
    <col min="7198" max="7198" width="3.140625" style="5" bestFit="1" customWidth="1"/>
    <col min="7199" max="7199" width="6.5703125" style="5" bestFit="1" customWidth="1"/>
    <col min="7200" max="7200" width="20.85546875" style="5" customWidth="1"/>
    <col min="7201" max="7201" width="7.5703125" style="5" customWidth="1"/>
    <col min="7202" max="7441" width="9.140625" style="5"/>
    <col min="7442" max="7442" width="40.85546875" style="5" customWidth="1"/>
    <col min="7443" max="7445" width="11.140625" style="5" customWidth="1"/>
    <col min="7446" max="7446" width="4.140625" style="5" customWidth="1"/>
    <col min="7447" max="7449" width="11.140625" style="5" customWidth="1"/>
    <col min="7450" max="7450" width="3.28515625" style="5" customWidth="1"/>
    <col min="7451" max="7453" width="11.140625" style="5" customWidth="1"/>
    <col min="7454" max="7454" width="3.140625" style="5" bestFit="1" customWidth="1"/>
    <col min="7455" max="7455" width="6.5703125" style="5" bestFit="1" customWidth="1"/>
    <col min="7456" max="7456" width="20.85546875" style="5" customWidth="1"/>
    <col min="7457" max="7457" width="7.5703125" style="5" customWidth="1"/>
    <col min="7458" max="7697" width="9.140625" style="5"/>
    <col min="7698" max="7698" width="40.85546875" style="5" customWidth="1"/>
    <col min="7699" max="7701" width="11.140625" style="5" customWidth="1"/>
    <col min="7702" max="7702" width="4.140625" style="5" customWidth="1"/>
    <col min="7703" max="7705" width="11.140625" style="5" customWidth="1"/>
    <col min="7706" max="7706" width="3.28515625" style="5" customWidth="1"/>
    <col min="7707" max="7709" width="11.140625" style="5" customWidth="1"/>
    <col min="7710" max="7710" width="3.140625" style="5" bestFit="1" customWidth="1"/>
    <col min="7711" max="7711" width="6.5703125" style="5" bestFit="1" customWidth="1"/>
    <col min="7712" max="7712" width="20.85546875" style="5" customWidth="1"/>
    <col min="7713" max="7713" width="7.5703125" style="5" customWidth="1"/>
    <col min="7714" max="7953" width="9.140625" style="5"/>
    <col min="7954" max="7954" width="40.85546875" style="5" customWidth="1"/>
    <col min="7955" max="7957" width="11.140625" style="5" customWidth="1"/>
    <col min="7958" max="7958" width="4.140625" style="5" customWidth="1"/>
    <col min="7959" max="7961" width="11.140625" style="5" customWidth="1"/>
    <col min="7962" max="7962" width="3.28515625" style="5" customWidth="1"/>
    <col min="7963" max="7965" width="11.140625" style="5" customWidth="1"/>
    <col min="7966" max="7966" width="3.140625" style="5" bestFit="1" customWidth="1"/>
    <col min="7967" max="7967" width="6.5703125" style="5" bestFit="1" customWidth="1"/>
    <col min="7968" max="7968" width="20.85546875" style="5" customWidth="1"/>
    <col min="7969" max="7969" width="7.5703125" style="5" customWidth="1"/>
    <col min="7970" max="8209" width="9.140625" style="5"/>
    <col min="8210" max="8210" width="40.85546875" style="5" customWidth="1"/>
    <col min="8211" max="8213" width="11.140625" style="5" customWidth="1"/>
    <col min="8214" max="8214" width="4.140625" style="5" customWidth="1"/>
    <col min="8215" max="8217" width="11.140625" style="5" customWidth="1"/>
    <col min="8218" max="8218" width="3.28515625" style="5" customWidth="1"/>
    <col min="8219" max="8221" width="11.140625" style="5" customWidth="1"/>
    <col min="8222" max="8222" width="3.140625" style="5" bestFit="1" customWidth="1"/>
    <col min="8223" max="8223" width="6.5703125" style="5" bestFit="1" customWidth="1"/>
    <col min="8224" max="8224" width="20.85546875" style="5" customWidth="1"/>
    <col min="8225" max="8225" width="7.5703125" style="5" customWidth="1"/>
    <col min="8226" max="8465" width="9.140625" style="5"/>
    <col min="8466" max="8466" width="40.85546875" style="5" customWidth="1"/>
    <col min="8467" max="8469" width="11.140625" style="5" customWidth="1"/>
    <col min="8470" max="8470" width="4.140625" style="5" customWidth="1"/>
    <col min="8471" max="8473" width="11.140625" style="5" customWidth="1"/>
    <col min="8474" max="8474" width="3.28515625" style="5" customWidth="1"/>
    <col min="8475" max="8477" width="11.140625" style="5" customWidth="1"/>
    <col min="8478" max="8478" width="3.140625" style="5" bestFit="1" customWidth="1"/>
    <col min="8479" max="8479" width="6.5703125" style="5" bestFit="1" customWidth="1"/>
    <col min="8480" max="8480" width="20.85546875" style="5" customWidth="1"/>
    <col min="8481" max="8481" width="7.5703125" style="5" customWidth="1"/>
    <col min="8482" max="8721" width="9.140625" style="5"/>
    <col min="8722" max="8722" width="40.85546875" style="5" customWidth="1"/>
    <col min="8723" max="8725" width="11.140625" style="5" customWidth="1"/>
    <col min="8726" max="8726" width="4.140625" style="5" customWidth="1"/>
    <col min="8727" max="8729" width="11.140625" style="5" customWidth="1"/>
    <col min="8730" max="8730" width="3.28515625" style="5" customWidth="1"/>
    <col min="8731" max="8733" width="11.140625" style="5" customWidth="1"/>
    <col min="8734" max="8734" width="3.140625" style="5" bestFit="1" customWidth="1"/>
    <col min="8735" max="8735" width="6.5703125" style="5" bestFit="1" customWidth="1"/>
    <col min="8736" max="8736" width="20.85546875" style="5" customWidth="1"/>
    <col min="8737" max="8737" width="7.5703125" style="5" customWidth="1"/>
    <col min="8738" max="8977" width="9.140625" style="5"/>
    <col min="8978" max="8978" width="40.85546875" style="5" customWidth="1"/>
    <col min="8979" max="8981" width="11.140625" style="5" customWidth="1"/>
    <col min="8982" max="8982" width="4.140625" style="5" customWidth="1"/>
    <col min="8983" max="8985" width="11.140625" style="5" customWidth="1"/>
    <col min="8986" max="8986" width="3.28515625" style="5" customWidth="1"/>
    <col min="8987" max="8989" width="11.140625" style="5" customWidth="1"/>
    <col min="8990" max="8990" width="3.140625" style="5" bestFit="1" customWidth="1"/>
    <col min="8991" max="8991" width="6.5703125" style="5" bestFit="1" customWidth="1"/>
    <col min="8992" max="8992" width="20.85546875" style="5" customWidth="1"/>
    <col min="8993" max="8993" width="7.5703125" style="5" customWidth="1"/>
    <col min="8994" max="9233" width="9.140625" style="5"/>
    <col min="9234" max="9234" width="40.85546875" style="5" customWidth="1"/>
    <col min="9235" max="9237" width="11.140625" style="5" customWidth="1"/>
    <col min="9238" max="9238" width="4.140625" style="5" customWidth="1"/>
    <col min="9239" max="9241" width="11.140625" style="5" customWidth="1"/>
    <col min="9242" max="9242" width="3.28515625" style="5" customWidth="1"/>
    <col min="9243" max="9245" width="11.140625" style="5" customWidth="1"/>
    <col min="9246" max="9246" width="3.140625" style="5" bestFit="1" customWidth="1"/>
    <col min="9247" max="9247" width="6.5703125" style="5" bestFit="1" customWidth="1"/>
    <col min="9248" max="9248" width="20.85546875" style="5" customWidth="1"/>
    <col min="9249" max="9249" width="7.5703125" style="5" customWidth="1"/>
    <col min="9250" max="9489" width="9.140625" style="5"/>
    <col min="9490" max="9490" width="40.85546875" style="5" customWidth="1"/>
    <col min="9491" max="9493" width="11.140625" style="5" customWidth="1"/>
    <col min="9494" max="9494" width="4.140625" style="5" customWidth="1"/>
    <col min="9495" max="9497" width="11.140625" style="5" customWidth="1"/>
    <col min="9498" max="9498" width="3.28515625" style="5" customWidth="1"/>
    <col min="9499" max="9501" width="11.140625" style="5" customWidth="1"/>
    <col min="9502" max="9502" width="3.140625" style="5" bestFit="1" customWidth="1"/>
    <col min="9503" max="9503" width="6.5703125" style="5" bestFit="1" customWidth="1"/>
    <col min="9504" max="9504" width="20.85546875" style="5" customWidth="1"/>
    <col min="9505" max="9505" width="7.5703125" style="5" customWidth="1"/>
    <col min="9506" max="9745" width="9.140625" style="5"/>
    <col min="9746" max="9746" width="40.85546875" style="5" customWidth="1"/>
    <col min="9747" max="9749" width="11.140625" style="5" customWidth="1"/>
    <col min="9750" max="9750" width="4.140625" style="5" customWidth="1"/>
    <col min="9751" max="9753" width="11.140625" style="5" customWidth="1"/>
    <col min="9754" max="9754" width="3.28515625" style="5" customWidth="1"/>
    <col min="9755" max="9757" width="11.140625" style="5" customWidth="1"/>
    <col min="9758" max="9758" width="3.140625" style="5" bestFit="1" customWidth="1"/>
    <col min="9759" max="9759" width="6.5703125" style="5" bestFit="1" customWidth="1"/>
    <col min="9760" max="9760" width="20.85546875" style="5" customWidth="1"/>
    <col min="9761" max="9761" width="7.5703125" style="5" customWidth="1"/>
    <col min="9762" max="10001" width="9.140625" style="5"/>
    <col min="10002" max="10002" width="40.85546875" style="5" customWidth="1"/>
    <col min="10003" max="10005" width="11.140625" style="5" customWidth="1"/>
    <col min="10006" max="10006" width="4.140625" style="5" customWidth="1"/>
    <col min="10007" max="10009" width="11.140625" style="5" customWidth="1"/>
    <col min="10010" max="10010" width="3.28515625" style="5" customWidth="1"/>
    <col min="10011" max="10013" width="11.140625" style="5" customWidth="1"/>
    <col min="10014" max="10014" width="3.140625" style="5" bestFit="1" customWidth="1"/>
    <col min="10015" max="10015" width="6.5703125" style="5" bestFit="1" customWidth="1"/>
    <col min="10016" max="10016" width="20.85546875" style="5" customWidth="1"/>
    <col min="10017" max="10017" width="7.5703125" style="5" customWidth="1"/>
    <col min="10018" max="10257" width="9.140625" style="5"/>
    <col min="10258" max="10258" width="40.85546875" style="5" customWidth="1"/>
    <col min="10259" max="10261" width="11.140625" style="5" customWidth="1"/>
    <col min="10262" max="10262" width="4.140625" style="5" customWidth="1"/>
    <col min="10263" max="10265" width="11.140625" style="5" customWidth="1"/>
    <col min="10266" max="10266" width="3.28515625" style="5" customWidth="1"/>
    <col min="10267" max="10269" width="11.140625" style="5" customWidth="1"/>
    <col min="10270" max="10270" width="3.140625" style="5" bestFit="1" customWidth="1"/>
    <col min="10271" max="10271" width="6.5703125" style="5" bestFit="1" customWidth="1"/>
    <col min="10272" max="10272" width="20.85546875" style="5" customWidth="1"/>
    <col min="10273" max="10273" width="7.5703125" style="5" customWidth="1"/>
    <col min="10274" max="10513" width="9.140625" style="5"/>
    <col min="10514" max="10514" width="40.85546875" style="5" customWidth="1"/>
    <col min="10515" max="10517" width="11.140625" style="5" customWidth="1"/>
    <col min="10518" max="10518" width="4.140625" style="5" customWidth="1"/>
    <col min="10519" max="10521" width="11.140625" style="5" customWidth="1"/>
    <col min="10522" max="10522" width="3.28515625" style="5" customWidth="1"/>
    <col min="10523" max="10525" width="11.140625" style="5" customWidth="1"/>
    <col min="10526" max="10526" width="3.140625" style="5" bestFit="1" customWidth="1"/>
    <col min="10527" max="10527" width="6.5703125" style="5" bestFit="1" customWidth="1"/>
    <col min="10528" max="10528" width="20.85546875" style="5" customWidth="1"/>
    <col min="10529" max="10529" width="7.5703125" style="5" customWidth="1"/>
    <col min="10530" max="10769" width="9.140625" style="5"/>
    <col min="10770" max="10770" width="40.85546875" style="5" customWidth="1"/>
    <col min="10771" max="10773" width="11.140625" style="5" customWidth="1"/>
    <col min="10774" max="10774" width="4.140625" style="5" customWidth="1"/>
    <col min="10775" max="10777" width="11.140625" style="5" customWidth="1"/>
    <col min="10778" max="10778" width="3.28515625" style="5" customWidth="1"/>
    <col min="10779" max="10781" width="11.140625" style="5" customWidth="1"/>
    <col min="10782" max="10782" width="3.140625" style="5" bestFit="1" customWidth="1"/>
    <col min="10783" max="10783" width="6.5703125" style="5" bestFit="1" customWidth="1"/>
    <col min="10784" max="10784" width="20.85546875" style="5" customWidth="1"/>
    <col min="10785" max="10785" width="7.5703125" style="5" customWidth="1"/>
    <col min="10786" max="11025" width="9.140625" style="5"/>
    <col min="11026" max="11026" width="40.85546875" style="5" customWidth="1"/>
    <col min="11027" max="11029" width="11.140625" style="5" customWidth="1"/>
    <col min="11030" max="11030" width="4.140625" style="5" customWidth="1"/>
    <col min="11031" max="11033" width="11.140625" style="5" customWidth="1"/>
    <col min="11034" max="11034" width="3.28515625" style="5" customWidth="1"/>
    <col min="11035" max="11037" width="11.140625" style="5" customWidth="1"/>
    <col min="11038" max="11038" width="3.140625" style="5" bestFit="1" customWidth="1"/>
    <col min="11039" max="11039" width="6.5703125" style="5" bestFit="1" customWidth="1"/>
    <col min="11040" max="11040" width="20.85546875" style="5" customWidth="1"/>
    <col min="11041" max="11041" width="7.5703125" style="5" customWidth="1"/>
    <col min="11042" max="11281" width="9.140625" style="5"/>
    <col min="11282" max="11282" width="40.85546875" style="5" customWidth="1"/>
    <col min="11283" max="11285" width="11.140625" style="5" customWidth="1"/>
    <col min="11286" max="11286" width="4.140625" style="5" customWidth="1"/>
    <col min="11287" max="11289" width="11.140625" style="5" customWidth="1"/>
    <col min="11290" max="11290" width="3.28515625" style="5" customWidth="1"/>
    <col min="11291" max="11293" width="11.140625" style="5" customWidth="1"/>
    <col min="11294" max="11294" width="3.140625" style="5" bestFit="1" customWidth="1"/>
    <col min="11295" max="11295" width="6.5703125" style="5" bestFit="1" customWidth="1"/>
    <col min="11296" max="11296" width="20.85546875" style="5" customWidth="1"/>
    <col min="11297" max="11297" width="7.5703125" style="5" customWidth="1"/>
    <col min="11298" max="11537" width="9.140625" style="5"/>
    <col min="11538" max="11538" width="40.85546875" style="5" customWidth="1"/>
    <col min="11539" max="11541" width="11.140625" style="5" customWidth="1"/>
    <col min="11542" max="11542" width="4.140625" style="5" customWidth="1"/>
    <col min="11543" max="11545" width="11.140625" style="5" customWidth="1"/>
    <col min="11546" max="11546" width="3.28515625" style="5" customWidth="1"/>
    <col min="11547" max="11549" width="11.140625" style="5" customWidth="1"/>
    <col min="11550" max="11550" width="3.140625" style="5" bestFit="1" customWidth="1"/>
    <col min="11551" max="11551" width="6.5703125" style="5" bestFit="1" customWidth="1"/>
    <col min="11552" max="11552" width="20.85546875" style="5" customWidth="1"/>
    <col min="11553" max="11553" width="7.5703125" style="5" customWidth="1"/>
    <col min="11554" max="11793" width="9.140625" style="5"/>
    <col min="11794" max="11794" width="40.85546875" style="5" customWidth="1"/>
    <col min="11795" max="11797" width="11.140625" style="5" customWidth="1"/>
    <col min="11798" max="11798" width="4.140625" style="5" customWidth="1"/>
    <col min="11799" max="11801" width="11.140625" style="5" customWidth="1"/>
    <col min="11802" max="11802" width="3.28515625" style="5" customWidth="1"/>
    <col min="11803" max="11805" width="11.140625" style="5" customWidth="1"/>
    <col min="11806" max="11806" width="3.140625" style="5" bestFit="1" customWidth="1"/>
    <col min="11807" max="11807" width="6.5703125" style="5" bestFit="1" customWidth="1"/>
    <col min="11808" max="11808" width="20.85546875" style="5" customWidth="1"/>
    <col min="11809" max="11809" width="7.5703125" style="5" customWidth="1"/>
    <col min="11810" max="12049" width="9.140625" style="5"/>
    <col min="12050" max="12050" width="40.85546875" style="5" customWidth="1"/>
    <col min="12051" max="12053" width="11.140625" style="5" customWidth="1"/>
    <col min="12054" max="12054" width="4.140625" style="5" customWidth="1"/>
    <col min="12055" max="12057" width="11.140625" style="5" customWidth="1"/>
    <col min="12058" max="12058" width="3.28515625" style="5" customWidth="1"/>
    <col min="12059" max="12061" width="11.140625" style="5" customWidth="1"/>
    <col min="12062" max="12062" width="3.140625" style="5" bestFit="1" customWidth="1"/>
    <col min="12063" max="12063" width="6.5703125" style="5" bestFit="1" customWidth="1"/>
    <col min="12064" max="12064" width="20.85546875" style="5" customWidth="1"/>
    <col min="12065" max="12065" width="7.5703125" style="5" customWidth="1"/>
    <col min="12066" max="12305" width="9.140625" style="5"/>
    <col min="12306" max="12306" width="40.85546875" style="5" customWidth="1"/>
    <col min="12307" max="12309" width="11.140625" style="5" customWidth="1"/>
    <col min="12310" max="12310" width="4.140625" style="5" customWidth="1"/>
    <col min="12311" max="12313" width="11.140625" style="5" customWidth="1"/>
    <col min="12314" max="12314" width="3.28515625" style="5" customWidth="1"/>
    <col min="12315" max="12317" width="11.140625" style="5" customWidth="1"/>
    <col min="12318" max="12318" width="3.140625" style="5" bestFit="1" customWidth="1"/>
    <col min="12319" max="12319" width="6.5703125" style="5" bestFit="1" customWidth="1"/>
    <col min="12320" max="12320" width="20.85546875" style="5" customWidth="1"/>
    <col min="12321" max="12321" width="7.5703125" style="5" customWidth="1"/>
    <col min="12322" max="12561" width="9.140625" style="5"/>
    <col min="12562" max="12562" width="40.85546875" style="5" customWidth="1"/>
    <col min="12563" max="12565" width="11.140625" style="5" customWidth="1"/>
    <col min="12566" max="12566" width="4.140625" style="5" customWidth="1"/>
    <col min="12567" max="12569" width="11.140625" style="5" customWidth="1"/>
    <col min="12570" max="12570" width="3.28515625" style="5" customWidth="1"/>
    <col min="12571" max="12573" width="11.140625" style="5" customWidth="1"/>
    <col min="12574" max="12574" width="3.140625" style="5" bestFit="1" customWidth="1"/>
    <col min="12575" max="12575" width="6.5703125" style="5" bestFit="1" customWidth="1"/>
    <col min="12576" max="12576" width="20.85546875" style="5" customWidth="1"/>
    <col min="12577" max="12577" width="7.5703125" style="5" customWidth="1"/>
    <col min="12578" max="12817" width="9.140625" style="5"/>
    <col min="12818" max="12818" width="40.85546875" style="5" customWidth="1"/>
    <col min="12819" max="12821" width="11.140625" style="5" customWidth="1"/>
    <col min="12822" max="12822" width="4.140625" style="5" customWidth="1"/>
    <col min="12823" max="12825" width="11.140625" style="5" customWidth="1"/>
    <col min="12826" max="12826" width="3.28515625" style="5" customWidth="1"/>
    <col min="12827" max="12829" width="11.140625" style="5" customWidth="1"/>
    <col min="12830" max="12830" width="3.140625" style="5" bestFit="1" customWidth="1"/>
    <col min="12831" max="12831" width="6.5703125" style="5" bestFit="1" customWidth="1"/>
    <col min="12832" max="12832" width="20.85546875" style="5" customWidth="1"/>
    <col min="12833" max="12833" width="7.5703125" style="5" customWidth="1"/>
    <col min="12834" max="13073" width="9.140625" style="5"/>
    <col min="13074" max="13074" width="40.85546875" style="5" customWidth="1"/>
    <col min="13075" max="13077" width="11.140625" style="5" customWidth="1"/>
    <col min="13078" max="13078" width="4.140625" style="5" customWidth="1"/>
    <col min="13079" max="13081" width="11.140625" style="5" customWidth="1"/>
    <col min="13082" max="13082" width="3.28515625" style="5" customWidth="1"/>
    <col min="13083" max="13085" width="11.140625" style="5" customWidth="1"/>
    <col min="13086" max="13086" width="3.140625" style="5" bestFit="1" customWidth="1"/>
    <col min="13087" max="13087" width="6.5703125" style="5" bestFit="1" customWidth="1"/>
    <col min="13088" max="13088" width="20.85546875" style="5" customWidth="1"/>
    <col min="13089" max="13089" width="7.5703125" style="5" customWidth="1"/>
    <col min="13090" max="13329" width="9.140625" style="5"/>
    <col min="13330" max="13330" width="40.85546875" style="5" customWidth="1"/>
    <col min="13331" max="13333" width="11.140625" style="5" customWidth="1"/>
    <col min="13334" max="13334" width="4.140625" style="5" customWidth="1"/>
    <col min="13335" max="13337" width="11.140625" style="5" customWidth="1"/>
    <col min="13338" max="13338" width="3.28515625" style="5" customWidth="1"/>
    <col min="13339" max="13341" width="11.140625" style="5" customWidth="1"/>
    <col min="13342" max="13342" width="3.140625" style="5" bestFit="1" customWidth="1"/>
    <col min="13343" max="13343" width="6.5703125" style="5" bestFit="1" customWidth="1"/>
    <col min="13344" max="13344" width="20.85546875" style="5" customWidth="1"/>
    <col min="13345" max="13345" width="7.5703125" style="5" customWidth="1"/>
    <col min="13346" max="13585" width="9.140625" style="5"/>
    <col min="13586" max="13586" width="40.85546875" style="5" customWidth="1"/>
    <col min="13587" max="13589" width="11.140625" style="5" customWidth="1"/>
    <col min="13590" max="13590" width="4.140625" style="5" customWidth="1"/>
    <col min="13591" max="13593" width="11.140625" style="5" customWidth="1"/>
    <col min="13594" max="13594" width="3.28515625" style="5" customWidth="1"/>
    <col min="13595" max="13597" width="11.140625" style="5" customWidth="1"/>
    <col min="13598" max="13598" width="3.140625" style="5" bestFit="1" customWidth="1"/>
    <col min="13599" max="13599" width="6.5703125" style="5" bestFit="1" customWidth="1"/>
    <col min="13600" max="13600" width="20.85546875" style="5" customWidth="1"/>
    <col min="13601" max="13601" width="7.5703125" style="5" customWidth="1"/>
    <col min="13602" max="13841" width="9.140625" style="5"/>
    <col min="13842" max="13842" width="40.85546875" style="5" customWidth="1"/>
    <col min="13843" max="13845" width="11.140625" style="5" customWidth="1"/>
    <col min="13846" max="13846" width="4.140625" style="5" customWidth="1"/>
    <col min="13847" max="13849" width="11.140625" style="5" customWidth="1"/>
    <col min="13850" max="13850" width="3.28515625" style="5" customWidth="1"/>
    <col min="13851" max="13853" width="11.140625" style="5" customWidth="1"/>
    <col min="13854" max="13854" width="3.140625" style="5" bestFit="1" customWidth="1"/>
    <col min="13855" max="13855" width="6.5703125" style="5" bestFit="1" customWidth="1"/>
    <col min="13856" max="13856" width="20.85546875" style="5" customWidth="1"/>
    <col min="13857" max="13857" width="7.5703125" style="5" customWidth="1"/>
    <col min="13858" max="14097" width="9.140625" style="5"/>
    <col min="14098" max="14098" width="40.85546875" style="5" customWidth="1"/>
    <col min="14099" max="14101" width="11.140625" style="5" customWidth="1"/>
    <col min="14102" max="14102" width="4.140625" style="5" customWidth="1"/>
    <col min="14103" max="14105" width="11.140625" style="5" customWidth="1"/>
    <col min="14106" max="14106" width="3.28515625" style="5" customWidth="1"/>
    <col min="14107" max="14109" width="11.140625" style="5" customWidth="1"/>
    <col min="14110" max="14110" width="3.140625" style="5" bestFit="1" customWidth="1"/>
    <col min="14111" max="14111" width="6.5703125" style="5" bestFit="1" customWidth="1"/>
    <col min="14112" max="14112" width="20.85546875" style="5" customWidth="1"/>
    <col min="14113" max="14113" width="7.5703125" style="5" customWidth="1"/>
    <col min="14114" max="14353" width="9.140625" style="5"/>
    <col min="14354" max="14354" width="40.85546875" style="5" customWidth="1"/>
    <col min="14355" max="14357" width="11.140625" style="5" customWidth="1"/>
    <col min="14358" max="14358" width="4.140625" style="5" customWidth="1"/>
    <col min="14359" max="14361" width="11.140625" style="5" customWidth="1"/>
    <col min="14362" max="14362" width="3.28515625" style="5" customWidth="1"/>
    <col min="14363" max="14365" width="11.140625" style="5" customWidth="1"/>
    <col min="14366" max="14366" width="3.140625" style="5" bestFit="1" customWidth="1"/>
    <col min="14367" max="14367" width="6.5703125" style="5" bestFit="1" customWidth="1"/>
    <col min="14368" max="14368" width="20.85546875" style="5" customWidth="1"/>
    <col min="14369" max="14369" width="7.5703125" style="5" customWidth="1"/>
    <col min="14370" max="14609" width="9.140625" style="5"/>
    <col min="14610" max="14610" width="40.85546875" style="5" customWidth="1"/>
    <col min="14611" max="14613" width="11.140625" style="5" customWidth="1"/>
    <col min="14614" max="14614" width="4.140625" style="5" customWidth="1"/>
    <col min="14615" max="14617" width="11.140625" style="5" customWidth="1"/>
    <col min="14618" max="14618" width="3.28515625" style="5" customWidth="1"/>
    <col min="14619" max="14621" width="11.140625" style="5" customWidth="1"/>
    <col min="14622" max="14622" width="3.140625" style="5" bestFit="1" customWidth="1"/>
    <col min="14623" max="14623" width="6.5703125" style="5" bestFit="1" customWidth="1"/>
    <col min="14624" max="14624" width="20.85546875" style="5" customWidth="1"/>
    <col min="14625" max="14625" width="7.5703125" style="5" customWidth="1"/>
    <col min="14626" max="14865" width="9.140625" style="5"/>
    <col min="14866" max="14866" width="40.85546875" style="5" customWidth="1"/>
    <col min="14867" max="14869" width="11.140625" style="5" customWidth="1"/>
    <col min="14870" max="14870" width="4.140625" style="5" customWidth="1"/>
    <col min="14871" max="14873" width="11.140625" style="5" customWidth="1"/>
    <col min="14874" max="14874" width="3.28515625" style="5" customWidth="1"/>
    <col min="14875" max="14877" width="11.140625" style="5" customWidth="1"/>
    <col min="14878" max="14878" width="3.140625" style="5" bestFit="1" customWidth="1"/>
    <col min="14879" max="14879" width="6.5703125" style="5" bestFit="1" customWidth="1"/>
    <col min="14880" max="14880" width="20.85546875" style="5" customWidth="1"/>
    <col min="14881" max="14881" width="7.5703125" style="5" customWidth="1"/>
    <col min="14882" max="15121" width="9.140625" style="5"/>
    <col min="15122" max="15122" width="40.85546875" style="5" customWidth="1"/>
    <col min="15123" max="15125" width="11.140625" style="5" customWidth="1"/>
    <col min="15126" max="15126" width="4.140625" style="5" customWidth="1"/>
    <col min="15127" max="15129" width="11.140625" style="5" customWidth="1"/>
    <col min="15130" max="15130" width="3.28515625" style="5" customWidth="1"/>
    <col min="15131" max="15133" width="11.140625" style="5" customWidth="1"/>
    <col min="15134" max="15134" width="3.140625" style="5" bestFit="1" customWidth="1"/>
    <col min="15135" max="15135" width="6.5703125" style="5" bestFit="1" customWidth="1"/>
    <col min="15136" max="15136" width="20.85546875" style="5" customWidth="1"/>
    <col min="15137" max="15137" width="7.5703125" style="5" customWidth="1"/>
    <col min="15138" max="15377" width="9.140625" style="5"/>
    <col min="15378" max="15378" width="40.85546875" style="5" customWidth="1"/>
    <col min="15379" max="15381" width="11.140625" style="5" customWidth="1"/>
    <col min="15382" max="15382" width="4.140625" style="5" customWidth="1"/>
    <col min="15383" max="15385" width="11.140625" style="5" customWidth="1"/>
    <col min="15386" max="15386" width="3.28515625" style="5" customWidth="1"/>
    <col min="15387" max="15389" width="11.140625" style="5" customWidth="1"/>
    <col min="15390" max="15390" width="3.140625" style="5" bestFit="1" customWidth="1"/>
    <col min="15391" max="15391" width="6.5703125" style="5" bestFit="1" customWidth="1"/>
    <col min="15392" max="15392" width="20.85546875" style="5" customWidth="1"/>
    <col min="15393" max="15393" width="7.5703125" style="5" customWidth="1"/>
    <col min="15394" max="15633" width="9.140625" style="5"/>
    <col min="15634" max="15634" width="40.85546875" style="5" customWidth="1"/>
    <col min="15635" max="15637" width="11.140625" style="5" customWidth="1"/>
    <col min="15638" max="15638" width="4.140625" style="5" customWidth="1"/>
    <col min="15639" max="15641" width="11.140625" style="5" customWidth="1"/>
    <col min="15642" max="15642" width="3.28515625" style="5" customWidth="1"/>
    <col min="15643" max="15645" width="11.140625" style="5" customWidth="1"/>
    <col min="15646" max="15646" width="3.140625" style="5" bestFit="1" customWidth="1"/>
    <col min="15647" max="15647" width="6.5703125" style="5" bestFit="1" customWidth="1"/>
    <col min="15648" max="15648" width="20.85546875" style="5" customWidth="1"/>
    <col min="15649" max="15649" width="7.5703125" style="5" customWidth="1"/>
    <col min="15650" max="15889" width="9.140625" style="5"/>
    <col min="15890" max="15890" width="40.85546875" style="5" customWidth="1"/>
    <col min="15891" max="15893" width="11.140625" style="5" customWidth="1"/>
    <col min="15894" max="15894" width="4.140625" style="5" customWidth="1"/>
    <col min="15895" max="15897" width="11.140625" style="5" customWidth="1"/>
    <col min="15898" max="15898" width="3.28515625" style="5" customWidth="1"/>
    <col min="15899" max="15901" width="11.140625" style="5" customWidth="1"/>
    <col min="15902" max="15902" width="3.140625" style="5" bestFit="1" customWidth="1"/>
    <col min="15903" max="15903" width="6.5703125" style="5" bestFit="1" customWidth="1"/>
    <col min="15904" max="15904" width="20.85546875" style="5" customWidth="1"/>
    <col min="15905" max="15905" width="7.5703125" style="5" customWidth="1"/>
    <col min="15906" max="16145" width="9.140625" style="5"/>
    <col min="16146" max="16146" width="40.85546875" style="5" customWidth="1"/>
    <col min="16147" max="16149" width="11.140625" style="5" customWidth="1"/>
    <col min="16150" max="16150" width="4.140625" style="5" customWidth="1"/>
    <col min="16151" max="16153" width="11.140625" style="5" customWidth="1"/>
    <col min="16154" max="16154" width="3.28515625" style="5" customWidth="1"/>
    <col min="16155" max="16157" width="11.140625" style="5" customWidth="1"/>
    <col min="16158" max="16158" width="3.140625" style="5" bestFit="1" customWidth="1"/>
    <col min="16159" max="16159" width="6.5703125" style="5" bestFit="1" customWidth="1"/>
    <col min="16160" max="16160" width="20.85546875" style="5" customWidth="1"/>
    <col min="16161" max="16161" width="7.5703125" style="5" customWidth="1"/>
    <col min="16162" max="16384" width="9.140625" style="5"/>
  </cols>
  <sheetData>
    <row r="1" spans="1:48" ht="19.5" customHeight="1" x14ac:dyDescent="0.25">
      <c r="A1" s="99" t="s">
        <v>53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1"/>
    </row>
    <row r="2" spans="1:48" ht="19.5" customHeight="1" x14ac:dyDescent="0.25">
      <c r="A2" s="105" t="s">
        <v>54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7"/>
      <c r="AM2" s="76"/>
      <c r="AN2" s="76"/>
    </row>
    <row r="3" spans="1:48" ht="19.5" customHeigh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8"/>
      <c r="O3" s="8"/>
      <c r="P3" s="27"/>
    </row>
    <row r="4" spans="1:48" ht="16.5" customHeight="1" x14ac:dyDescent="0.25">
      <c r="A4" s="102" t="s">
        <v>8</v>
      </c>
      <c r="B4" s="98" t="s">
        <v>46</v>
      </c>
      <c r="C4" s="98"/>
      <c r="D4" s="98"/>
      <c r="E4" s="49"/>
      <c r="F4" s="98" t="s">
        <v>5</v>
      </c>
      <c r="G4" s="98"/>
      <c r="H4" s="98"/>
      <c r="I4" s="49"/>
      <c r="J4" s="98" t="s">
        <v>6</v>
      </c>
      <c r="K4" s="98"/>
      <c r="L4" s="98"/>
      <c r="M4" s="86" t="s">
        <v>9</v>
      </c>
      <c r="N4" s="87"/>
      <c r="O4" s="88"/>
      <c r="P4" s="86" t="s">
        <v>9</v>
      </c>
      <c r="Q4" s="87"/>
      <c r="R4" s="88"/>
    </row>
    <row r="5" spans="1:48" ht="19.5" customHeight="1" x14ac:dyDescent="0.25">
      <c r="A5" s="103"/>
      <c r="B5" s="95" t="s">
        <v>4</v>
      </c>
      <c r="C5" s="95"/>
      <c r="D5" s="95"/>
      <c r="E5" s="24"/>
      <c r="F5" s="96" t="s">
        <v>0</v>
      </c>
      <c r="G5" s="96"/>
      <c r="H5" s="96"/>
      <c r="I5" s="24"/>
      <c r="J5" s="95" t="s">
        <v>43</v>
      </c>
      <c r="K5" s="95"/>
      <c r="L5" s="95"/>
      <c r="M5" s="89"/>
      <c r="N5" s="90"/>
      <c r="O5" s="91"/>
      <c r="P5" s="89"/>
      <c r="Q5" s="90"/>
      <c r="R5" s="91"/>
      <c r="AN5" s="97" t="s">
        <v>0</v>
      </c>
      <c r="AO5" s="97"/>
      <c r="AP5" s="97" t="s">
        <v>43</v>
      </c>
      <c r="AQ5" s="97"/>
    </row>
    <row r="6" spans="1:48" ht="19.5" customHeight="1" x14ac:dyDescent="0.25">
      <c r="A6" s="104"/>
      <c r="B6" s="82" t="s">
        <v>7</v>
      </c>
      <c r="C6" s="82" t="s">
        <v>1</v>
      </c>
      <c r="D6" s="82" t="s">
        <v>2</v>
      </c>
      <c r="E6" s="83"/>
      <c r="F6" s="82" t="s">
        <v>7</v>
      </c>
      <c r="G6" s="82" t="s">
        <v>1</v>
      </c>
      <c r="H6" s="82" t="s">
        <v>2</v>
      </c>
      <c r="I6" s="83"/>
      <c r="J6" s="82" t="s">
        <v>7</v>
      </c>
      <c r="K6" s="82" t="s">
        <v>1</v>
      </c>
      <c r="L6" s="82" t="s">
        <v>2</v>
      </c>
      <c r="M6" s="92"/>
      <c r="N6" s="93"/>
      <c r="O6" s="94"/>
      <c r="P6" s="92"/>
      <c r="Q6" s="93"/>
      <c r="R6" s="94"/>
      <c r="AN6" s="77" t="s">
        <v>1</v>
      </c>
      <c r="AO6" s="77" t="s">
        <v>2</v>
      </c>
      <c r="AP6" s="77" t="s">
        <v>1</v>
      </c>
      <c r="AQ6" s="77" t="s">
        <v>2</v>
      </c>
      <c r="AT6" s="2"/>
      <c r="AU6" s="2"/>
      <c r="AV6" s="2"/>
    </row>
    <row r="7" spans="1:48" ht="19.5" customHeight="1" x14ac:dyDescent="0.25">
      <c r="A7" s="62" t="s">
        <v>3</v>
      </c>
      <c r="B7" s="3">
        <f>SUM(C7:D7)</f>
        <v>4691</v>
      </c>
      <c r="C7" s="3">
        <f>C8+C11+C13+C19+C22</f>
        <v>1311</v>
      </c>
      <c r="D7" s="3">
        <f>D8+D11+D13+D19+D22</f>
        <v>3380</v>
      </c>
      <c r="E7" s="61"/>
      <c r="F7" s="3">
        <f>SUM(G7:H7)</f>
        <v>1892</v>
      </c>
      <c r="G7" s="3">
        <f>G8+G11+G13+G19+G22</f>
        <v>515</v>
      </c>
      <c r="H7" s="3">
        <f>H8+H11+H13+H19+H22</f>
        <v>1377</v>
      </c>
      <c r="I7" s="61"/>
      <c r="J7" s="3">
        <f>SUM(K7:L7)</f>
        <v>2799</v>
      </c>
      <c r="K7" s="3">
        <f>K8+K11+K13+K19+K22</f>
        <v>796</v>
      </c>
      <c r="L7" s="3">
        <f>L8+L11+L13+L19+L22</f>
        <v>2003</v>
      </c>
      <c r="M7" s="50"/>
      <c r="N7" s="50"/>
      <c r="O7" s="27"/>
      <c r="P7" s="50"/>
      <c r="Q7" s="50"/>
      <c r="R7" s="50"/>
      <c r="AM7" s="2" t="s">
        <v>10</v>
      </c>
      <c r="AN7" s="65">
        <f>G8</f>
        <v>270</v>
      </c>
      <c r="AO7" s="65">
        <f>H8</f>
        <v>183</v>
      </c>
      <c r="AP7" s="65">
        <f>K8</f>
        <v>366</v>
      </c>
      <c r="AQ7" s="65">
        <f>L8</f>
        <v>80</v>
      </c>
      <c r="AT7" s="2" t="s">
        <v>10</v>
      </c>
      <c r="AU7" s="64">
        <f>B8</f>
        <v>899</v>
      </c>
      <c r="AV7" s="2"/>
    </row>
    <row r="8" spans="1:48" ht="19.5" customHeight="1" x14ac:dyDescent="0.25">
      <c r="A8" s="9" t="s">
        <v>10</v>
      </c>
      <c r="B8" s="55">
        <f>SUM(B9:B10)</f>
        <v>899</v>
      </c>
      <c r="C8" s="55">
        <f>SUM(C9:C10)</f>
        <v>636</v>
      </c>
      <c r="D8" s="55">
        <f>SUM(D9:D10)</f>
        <v>263</v>
      </c>
      <c r="E8" s="55"/>
      <c r="F8" s="55">
        <f>SUM(F9:F10)</f>
        <v>453</v>
      </c>
      <c r="G8" s="4">
        <f>SUM(G9:G10)</f>
        <v>270</v>
      </c>
      <c r="H8" s="4">
        <f>SUM(H9:H10)</f>
        <v>183</v>
      </c>
      <c r="I8" s="4"/>
      <c r="J8" s="4">
        <f>SUM(J9:J10)</f>
        <v>446</v>
      </c>
      <c r="K8" s="4">
        <f>SUM(K9:K10)</f>
        <v>366</v>
      </c>
      <c r="L8" s="4">
        <f>SUM(L9:L10)</f>
        <v>80</v>
      </c>
      <c r="M8" s="29"/>
      <c r="N8" s="30"/>
      <c r="O8" s="28" t="s">
        <v>11</v>
      </c>
      <c r="P8" s="10"/>
      <c r="Q8" s="11"/>
      <c r="R8" s="67" t="s">
        <v>11</v>
      </c>
      <c r="AM8" s="2" t="s">
        <v>16</v>
      </c>
      <c r="AN8" s="65">
        <f>G11</f>
        <v>136</v>
      </c>
      <c r="AO8" s="65">
        <f>H11</f>
        <v>1018</v>
      </c>
      <c r="AP8" s="65">
        <f>K11</f>
        <v>142</v>
      </c>
      <c r="AQ8" s="65">
        <f>L11</f>
        <v>1457</v>
      </c>
      <c r="AT8" s="2" t="s">
        <v>16</v>
      </c>
      <c r="AU8" s="64">
        <f>B11</f>
        <v>2753</v>
      </c>
      <c r="AV8" s="2"/>
    </row>
    <row r="9" spans="1:48" ht="19.5" customHeight="1" x14ac:dyDescent="0.25">
      <c r="A9" s="51" t="s">
        <v>12</v>
      </c>
      <c r="B9" s="56">
        <f>SUM(C9:D9)</f>
        <v>500</v>
      </c>
      <c r="C9" s="56">
        <f>G9+K9</f>
        <v>353</v>
      </c>
      <c r="D9" s="56">
        <f>H9+L9</f>
        <v>147</v>
      </c>
      <c r="E9" s="56"/>
      <c r="F9" s="56">
        <f>SUM(G9:H9)</f>
        <v>195</v>
      </c>
      <c r="G9" s="59">
        <f>28+73</f>
        <v>101</v>
      </c>
      <c r="H9" s="59">
        <f>60+34</f>
        <v>94</v>
      </c>
      <c r="I9" s="59"/>
      <c r="J9" s="59">
        <f>SUM(K9:L9)</f>
        <v>305</v>
      </c>
      <c r="K9" s="59">
        <f>249+3</f>
        <v>252</v>
      </c>
      <c r="L9" s="59">
        <f>45+8</f>
        <v>53</v>
      </c>
      <c r="M9" s="12"/>
      <c r="O9" s="31" t="s">
        <v>13</v>
      </c>
      <c r="P9" s="12"/>
      <c r="Q9" s="13"/>
      <c r="R9" s="68" t="s">
        <v>13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s">
        <v>19</v>
      </c>
      <c r="AN9" s="65">
        <f>G13</f>
        <v>108</v>
      </c>
      <c r="AO9" s="65">
        <f>H13</f>
        <v>170</v>
      </c>
      <c r="AP9" s="65">
        <f>K13</f>
        <v>134</v>
      </c>
      <c r="AQ9" s="65">
        <f>L13</f>
        <v>93</v>
      </c>
      <c r="AT9" s="2" t="s">
        <v>19</v>
      </c>
      <c r="AU9" s="64">
        <f>B13</f>
        <v>505</v>
      </c>
    </row>
    <row r="10" spans="1:48" ht="19.5" customHeight="1" x14ac:dyDescent="0.25">
      <c r="A10" s="51" t="s">
        <v>14</v>
      </c>
      <c r="B10" s="56">
        <f>SUM(C10:D10)</f>
        <v>399</v>
      </c>
      <c r="C10" s="56">
        <f>G10+K10</f>
        <v>283</v>
      </c>
      <c r="D10" s="56">
        <f>H10+L10</f>
        <v>116</v>
      </c>
      <c r="E10" s="56"/>
      <c r="F10" s="56">
        <f>SUM(G10:H10)</f>
        <v>258</v>
      </c>
      <c r="G10" s="59">
        <f>72+97</f>
        <v>169</v>
      </c>
      <c r="H10" s="59">
        <f>68+21</f>
        <v>89</v>
      </c>
      <c r="I10" s="59"/>
      <c r="J10" s="59">
        <f>SUM(K10:L10)</f>
        <v>141</v>
      </c>
      <c r="K10" s="59">
        <v>114</v>
      </c>
      <c r="L10" s="59">
        <v>27</v>
      </c>
      <c r="M10" s="12"/>
      <c r="O10" s="32" t="s">
        <v>15</v>
      </c>
      <c r="P10" s="12"/>
      <c r="Q10" s="13"/>
      <c r="R10" s="69" t="s">
        <v>15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s">
        <v>29</v>
      </c>
      <c r="AN10" s="65">
        <f>G19</f>
        <v>1</v>
      </c>
      <c r="AO10" s="65">
        <f>H19</f>
        <v>6</v>
      </c>
      <c r="AP10" s="65">
        <f>K19</f>
        <v>151</v>
      </c>
      <c r="AQ10" s="65">
        <f>L19</f>
        <v>318</v>
      </c>
      <c r="AT10" s="2" t="s">
        <v>29</v>
      </c>
      <c r="AU10" s="64">
        <f>B19</f>
        <v>476</v>
      </c>
    </row>
    <row r="11" spans="1:48" ht="19.5" customHeight="1" x14ac:dyDescent="0.25">
      <c r="A11" s="14" t="s">
        <v>16</v>
      </c>
      <c r="B11" s="57">
        <f>SUM(B12:B12)</f>
        <v>2753</v>
      </c>
      <c r="C11" s="57">
        <f>SUM(C12:C12)</f>
        <v>278</v>
      </c>
      <c r="D11" s="57">
        <f>SUM(D12:D12)</f>
        <v>2475</v>
      </c>
      <c r="E11" s="57"/>
      <c r="F11" s="57">
        <f>SUM(F12:F12)</f>
        <v>1154</v>
      </c>
      <c r="G11" s="4">
        <f>SUM(G12:G12)</f>
        <v>136</v>
      </c>
      <c r="H11" s="4">
        <f>SUM(H12:H12)</f>
        <v>1018</v>
      </c>
      <c r="I11" s="4"/>
      <c r="J11" s="4">
        <f>SUM(J12:J12)</f>
        <v>1599</v>
      </c>
      <c r="K11" s="4">
        <f>SUM(K12:K12)</f>
        <v>142</v>
      </c>
      <c r="L11" s="4">
        <f>SUM(L12:L12)</f>
        <v>1457</v>
      </c>
      <c r="M11" s="12"/>
      <c r="O11" s="33" t="s">
        <v>17</v>
      </c>
      <c r="P11" s="12"/>
      <c r="Q11" s="13"/>
      <c r="R11" s="70" t="s">
        <v>17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41" t="s">
        <v>35</v>
      </c>
      <c r="AN11" s="65">
        <f>G22</f>
        <v>0</v>
      </c>
      <c r="AO11" s="65">
        <f>H22</f>
        <v>0</v>
      </c>
      <c r="AP11" s="65">
        <f>K22</f>
        <v>3</v>
      </c>
      <c r="AQ11" s="65">
        <f>L22</f>
        <v>55</v>
      </c>
      <c r="AT11" s="41" t="s">
        <v>35</v>
      </c>
      <c r="AU11" s="64">
        <f>B22</f>
        <v>58</v>
      </c>
    </row>
    <row r="12" spans="1:48" ht="19.5" customHeight="1" x14ac:dyDescent="0.25">
      <c r="A12" s="51" t="s">
        <v>18</v>
      </c>
      <c r="B12" s="56">
        <f>SUM(C12:D12)</f>
        <v>2753</v>
      </c>
      <c r="C12" s="56">
        <f>G12+K12</f>
        <v>278</v>
      </c>
      <c r="D12" s="56">
        <f>H12+L12</f>
        <v>2475</v>
      </c>
      <c r="E12" s="56"/>
      <c r="F12" s="56">
        <f>SUM(G12:H12)</f>
        <v>1154</v>
      </c>
      <c r="G12" s="59">
        <v>136</v>
      </c>
      <c r="H12" s="59">
        <f>559+459</f>
        <v>1018</v>
      </c>
      <c r="I12" s="59"/>
      <c r="J12" s="59">
        <f>SUM(K12:L12)</f>
        <v>1599</v>
      </c>
      <c r="K12" s="59">
        <f>29+113</f>
        <v>142</v>
      </c>
      <c r="L12" s="59">
        <f>874+583</f>
        <v>1457</v>
      </c>
      <c r="M12" s="12"/>
      <c r="O12" s="34"/>
      <c r="P12" s="12"/>
      <c r="Q12" s="13"/>
      <c r="R12" s="78" t="s">
        <v>17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48" ht="19.5" customHeight="1" x14ac:dyDescent="0.25">
      <c r="A13" s="14" t="s">
        <v>19</v>
      </c>
      <c r="B13" s="57">
        <f>SUM(B14:B18)</f>
        <v>505</v>
      </c>
      <c r="C13" s="57">
        <f>SUM(C14:C18)</f>
        <v>242</v>
      </c>
      <c r="D13" s="57">
        <f>SUM(D14:D18)</f>
        <v>263</v>
      </c>
      <c r="E13" s="57"/>
      <c r="F13" s="57">
        <f>SUM(F14:F18)</f>
        <v>278</v>
      </c>
      <c r="G13" s="4">
        <f>SUM(G14:G18)</f>
        <v>108</v>
      </c>
      <c r="H13" s="4">
        <f>SUM(H14:H18)</f>
        <v>170</v>
      </c>
      <c r="I13" s="4"/>
      <c r="J13" s="4">
        <f>SUM(J14:J18)</f>
        <v>227</v>
      </c>
      <c r="K13" s="4">
        <f>SUM(K14:K18)</f>
        <v>134</v>
      </c>
      <c r="L13" s="4">
        <f>SUM(L14:L18)</f>
        <v>93</v>
      </c>
      <c r="M13" s="12"/>
      <c r="O13" s="25" t="s">
        <v>20</v>
      </c>
      <c r="P13" s="12"/>
      <c r="Q13" s="13"/>
      <c r="R13" s="71" t="s">
        <v>20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48" ht="3" customHeight="1" x14ac:dyDescent="0.25">
      <c r="A14" s="52" t="s">
        <v>47</v>
      </c>
      <c r="B14" s="56"/>
      <c r="C14" s="56"/>
      <c r="D14" s="56"/>
      <c r="E14" s="56"/>
      <c r="F14" s="56"/>
      <c r="G14" s="4"/>
      <c r="H14" s="4"/>
      <c r="I14" s="4"/>
      <c r="J14" s="59"/>
      <c r="K14" s="4"/>
      <c r="L14" s="4"/>
      <c r="M14" s="12"/>
      <c r="O14" s="21" t="s">
        <v>48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48" ht="27.75" customHeight="1" x14ac:dyDescent="0.25">
      <c r="A15" s="52" t="s">
        <v>21</v>
      </c>
      <c r="B15" s="56">
        <f>SUM(C15:D15)</f>
        <v>344</v>
      </c>
      <c r="C15" s="56">
        <f t="shared" ref="C15:C18" si="0">G15+K15</f>
        <v>147</v>
      </c>
      <c r="D15" s="56">
        <f>H15+L15</f>
        <v>197</v>
      </c>
      <c r="E15" s="56"/>
      <c r="F15" s="56">
        <f>SUM(G15:H15)</f>
        <v>164</v>
      </c>
      <c r="G15" s="59">
        <f>15+33</f>
        <v>48</v>
      </c>
      <c r="H15" s="59">
        <f>96+20</f>
        <v>116</v>
      </c>
      <c r="I15" s="59"/>
      <c r="J15" s="59">
        <f>SUM(K15:L15)</f>
        <v>180</v>
      </c>
      <c r="K15" s="59">
        <f>20+79</f>
        <v>99</v>
      </c>
      <c r="L15" s="59">
        <f>49+32</f>
        <v>81</v>
      </c>
      <c r="M15" s="12"/>
      <c r="O15" s="21" t="s">
        <v>49</v>
      </c>
      <c r="P15" s="84" t="s">
        <v>22</v>
      </c>
      <c r="Q15" s="84"/>
      <c r="R15" s="85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48" ht="19.5" customHeight="1" x14ac:dyDescent="0.25">
      <c r="A16" s="51" t="s">
        <v>23</v>
      </c>
      <c r="B16" s="56">
        <f t="shared" ref="B16:B24" si="1">SUM(C16:D16)</f>
        <v>36</v>
      </c>
      <c r="C16" s="56">
        <f t="shared" si="0"/>
        <v>23</v>
      </c>
      <c r="D16" s="56">
        <f>H16+L16</f>
        <v>13</v>
      </c>
      <c r="E16" s="56"/>
      <c r="F16" s="56">
        <f>SUM(G16:H16)</f>
        <v>24</v>
      </c>
      <c r="G16" s="59">
        <v>14</v>
      </c>
      <c r="H16" s="59">
        <v>10</v>
      </c>
      <c r="I16" s="59"/>
      <c r="J16" s="59">
        <f>SUM(K16:L16)</f>
        <v>12</v>
      </c>
      <c r="K16" s="59">
        <v>9</v>
      </c>
      <c r="L16" s="59">
        <v>3</v>
      </c>
      <c r="M16" s="12"/>
      <c r="O16" s="21" t="s">
        <v>24</v>
      </c>
      <c r="P16" s="15"/>
      <c r="Q16" s="16"/>
      <c r="R16" s="72" t="s">
        <v>24</v>
      </c>
    </row>
    <row r="17" spans="1:113" ht="19.5" customHeight="1" x14ac:dyDescent="0.25">
      <c r="A17" s="51" t="s">
        <v>25</v>
      </c>
      <c r="B17" s="56">
        <f t="shared" si="1"/>
        <v>81</v>
      </c>
      <c r="C17" s="56">
        <f t="shared" si="0"/>
        <v>62</v>
      </c>
      <c r="D17" s="56">
        <f>H17+L17</f>
        <v>19</v>
      </c>
      <c r="E17" s="56"/>
      <c r="F17" s="56">
        <f>SUM(G17:H17)</f>
        <v>47</v>
      </c>
      <c r="G17" s="59">
        <v>36</v>
      </c>
      <c r="H17" s="59">
        <v>11</v>
      </c>
      <c r="I17" s="59"/>
      <c r="J17" s="59">
        <f>SUM(K17:L17)</f>
        <v>34</v>
      </c>
      <c r="K17" s="59">
        <v>26</v>
      </c>
      <c r="L17" s="59">
        <v>8</v>
      </c>
      <c r="M17" s="12"/>
      <c r="O17" s="21" t="s">
        <v>26</v>
      </c>
      <c r="P17" s="15"/>
      <c r="Q17" s="16"/>
      <c r="R17" s="72" t="s">
        <v>26</v>
      </c>
    </row>
    <row r="18" spans="1:113" ht="20.25" customHeight="1" x14ac:dyDescent="0.25">
      <c r="A18" s="51" t="s">
        <v>27</v>
      </c>
      <c r="B18" s="56">
        <f t="shared" si="1"/>
        <v>44</v>
      </c>
      <c r="C18" s="56">
        <f t="shared" si="0"/>
        <v>10</v>
      </c>
      <c r="D18" s="56">
        <f>H18+L18</f>
        <v>34</v>
      </c>
      <c r="E18" s="56"/>
      <c r="F18" s="56">
        <f>SUM(G18:H18)</f>
        <v>43</v>
      </c>
      <c r="G18" s="59">
        <v>10</v>
      </c>
      <c r="H18" s="59">
        <v>33</v>
      </c>
      <c r="I18" s="59"/>
      <c r="J18" s="59">
        <f>SUM(K18:L18)</f>
        <v>1</v>
      </c>
      <c r="K18" s="59">
        <v>0</v>
      </c>
      <c r="L18" s="59">
        <v>1</v>
      </c>
      <c r="M18" s="12"/>
      <c r="O18" s="21" t="s">
        <v>28</v>
      </c>
      <c r="P18" s="15"/>
      <c r="Q18" s="16"/>
      <c r="R18" s="72" t="s">
        <v>51</v>
      </c>
      <c r="AM18" s="65"/>
    </row>
    <row r="19" spans="1:113" ht="19.5" customHeight="1" x14ac:dyDescent="0.25">
      <c r="A19" s="14" t="s">
        <v>29</v>
      </c>
      <c r="B19" s="57">
        <f>SUM(B20:B21)</f>
        <v>476</v>
      </c>
      <c r="C19" s="57">
        <f>SUM(C20:C21)</f>
        <v>152</v>
      </c>
      <c r="D19" s="57">
        <f>SUM(D20:D21)</f>
        <v>324</v>
      </c>
      <c r="E19" s="57"/>
      <c r="F19" s="57">
        <f>SUM(F20:F21)</f>
        <v>7</v>
      </c>
      <c r="G19" s="4">
        <f>SUM(G20:G21)</f>
        <v>1</v>
      </c>
      <c r="H19" s="4">
        <f>SUM(H20:H21)</f>
        <v>6</v>
      </c>
      <c r="I19" s="4"/>
      <c r="J19" s="4">
        <f>SUM(J20:J21)</f>
        <v>469</v>
      </c>
      <c r="K19" s="4">
        <f>SUM(K20:K21)</f>
        <v>151</v>
      </c>
      <c r="L19" s="4">
        <f>SUM(L20:L21)</f>
        <v>318</v>
      </c>
      <c r="M19" s="12"/>
      <c r="O19" s="25" t="s">
        <v>30</v>
      </c>
      <c r="P19" s="12"/>
      <c r="Q19" s="13"/>
      <c r="R19" s="71" t="s">
        <v>30</v>
      </c>
    </row>
    <row r="20" spans="1:113" ht="19.5" customHeight="1" x14ac:dyDescent="0.25">
      <c r="A20" s="51" t="s">
        <v>31</v>
      </c>
      <c r="B20" s="56">
        <f t="shared" si="1"/>
        <v>226</v>
      </c>
      <c r="C20" s="56">
        <f>G20+K20</f>
        <v>106</v>
      </c>
      <c r="D20" s="56">
        <f>H20+L20</f>
        <v>120</v>
      </c>
      <c r="E20" s="56"/>
      <c r="F20" s="56">
        <f>SUM(G20:H20)</f>
        <v>7</v>
      </c>
      <c r="G20" s="59">
        <v>1</v>
      </c>
      <c r="H20" s="59">
        <v>6</v>
      </c>
      <c r="I20" s="59"/>
      <c r="J20" s="59">
        <f>SUM(K20:L20)</f>
        <v>219</v>
      </c>
      <c r="K20" s="59">
        <v>105</v>
      </c>
      <c r="L20" s="59">
        <v>114</v>
      </c>
      <c r="M20" s="12"/>
      <c r="O20" s="21" t="s">
        <v>32</v>
      </c>
      <c r="P20" s="12"/>
      <c r="Q20" s="13"/>
      <c r="R20" s="72" t="s">
        <v>32</v>
      </c>
    </row>
    <row r="21" spans="1:113" ht="19.5" customHeight="1" x14ac:dyDescent="0.25">
      <c r="A21" s="51" t="s">
        <v>33</v>
      </c>
      <c r="B21" s="56">
        <f t="shared" si="1"/>
        <v>250</v>
      </c>
      <c r="C21" s="56">
        <f>G21+K21</f>
        <v>46</v>
      </c>
      <c r="D21" s="56">
        <f>H21+L21</f>
        <v>204</v>
      </c>
      <c r="E21" s="56"/>
      <c r="F21" s="56">
        <f>SUM(G21:H21)</f>
        <v>0</v>
      </c>
      <c r="G21" s="59">
        <v>0</v>
      </c>
      <c r="H21" s="59">
        <v>0</v>
      </c>
      <c r="I21" s="59"/>
      <c r="J21" s="59">
        <f>SUM(K21:L21)</f>
        <v>250</v>
      </c>
      <c r="K21" s="59">
        <v>46</v>
      </c>
      <c r="L21" s="59">
        <v>204</v>
      </c>
      <c r="M21" s="12"/>
      <c r="O21" s="21" t="s">
        <v>34</v>
      </c>
      <c r="P21" s="12"/>
      <c r="Q21" s="13"/>
      <c r="R21" s="72" t="s">
        <v>34</v>
      </c>
    </row>
    <row r="22" spans="1:113" s="8" customFormat="1" ht="19.5" customHeight="1" x14ac:dyDescent="0.25">
      <c r="A22" s="63" t="s">
        <v>35</v>
      </c>
      <c r="B22" s="58">
        <f>SUM(B23:B24)</f>
        <v>58</v>
      </c>
      <c r="C22" s="58">
        <f>SUM(C23:C24)</f>
        <v>3</v>
      </c>
      <c r="D22" s="58">
        <f>SUM(D23:D24)</f>
        <v>55</v>
      </c>
      <c r="E22" s="58"/>
      <c r="F22" s="58">
        <f>SUM(F23:F24)</f>
        <v>0</v>
      </c>
      <c r="G22" s="4">
        <f>SUM(G23:G24)</f>
        <v>0</v>
      </c>
      <c r="H22" s="4">
        <f>SUM(H23:H24)</f>
        <v>0</v>
      </c>
      <c r="I22" s="4"/>
      <c r="J22" s="4">
        <f>SUM(J23:J24)</f>
        <v>58</v>
      </c>
      <c r="K22" s="4">
        <f>SUM(K23:K24)</f>
        <v>3</v>
      </c>
      <c r="L22" s="4">
        <f>SUM(L23:L24)</f>
        <v>55</v>
      </c>
      <c r="M22" s="43"/>
      <c r="O22" s="44" t="s">
        <v>36</v>
      </c>
      <c r="P22" s="12"/>
      <c r="Q22" s="13"/>
      <c r="R22" s="71" t="s">
        <v>36</v>
      </c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</row>
    <row r="23" spans="1:113" s="41" customFormat="1" ht="18.75" customHeight="1" x14ac:dyDescent="0.25">
      <c r="A23" s="53" t="s">
        <v>37</v>
      </c>
      <c r="B23" s="59">
        <f t="shared" si="1"/>
        <v>58</v>
      </c>
      <c r="C23" s="59">
        <f>G23+K23</f>
        <v>3</v>
      </c>
      <c r="D23" s="59">
        <f>H23+L23</f>
        <v>55</v>
      </c>
      <c r="E23" s="59"/>
      <c r="F23" s="59">
        <f>SUM(G23:H23)</f>
        <v>0</v>
      </c>
      <c r="G23" s="59">
        <v>0</v>
      </c>
      <c r="H23" s="59">
        <v>0</v>
      </c>
      <c r="I23" s="59"/>
      <c r="J23" s="59">
        <f>SUM(K23:L23)</f>
        <v>58</v>
      </c>
      <c r="K23" s="59">
        <v>3</v>
      </c>
      <c r="L23" s="59">
        <v>55</v>
      </c>
      <c r="M23" s="48"/>
      <c r="O23" s="26" t="s">
        <v>38</v>
      </c>
      <c r="P23" s="12"/>
      <c r="Q23" s="13"/>
      <c r="R23" s="72" t="s">
        <v>38</v>
      </c>
    </row>
    <row r="24" spans="1:113" s="30" customFormat="1" ht="19.5" customHeight="1" x14ac:dyDescent="0.25">
      <c r="A24" s="54" t="s">
        <v>39</v>
      </c>
      <c r="B24" s="60">
        <f t="shared" si="1"/>
        <v>0</v>
      </c>
      <c r="C24" s="60">
        <f>G24+K24</f>
        <v>0</v>
      </c>
      <c r="D24" s="60">
        <f>H24+L24</f>
        <v>0</v>
      </c>
      <c r="E24" s="60"/>
      <c r="F24" s="60">
        <f>SUM(G24:H24)</f>
        <v>0</v>
      </c>
      <c r="G24" s="60">
        <v>0</v>
      </c>
      <c r="H24" s="60">
        <v>0</v>
      </c>
      <c r="I24" s="60"/>
      <c r="J24" s="60">
        <f>SUM(K24:L24)</f>
        <v>0</v>
      </c>
      <c r="K24" s="60">
        <v>0</v>
      </c>
      <c r="L24" s="60">
        <v>0</v>
      </c>
      <c r="M24" s="45"/>
      <c r="N24" s="46"/>
      <c r="O24" s="47" t="s">
        <v>40</v>
      </c>
      <c r="P24" s="17"/>
      <c r="Q24" s="18"/>
      <c r="R24" s="73" t="s">
        <v>40</v>
      </c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</row>
    <row r="25" spans="1:113" s="1" customFormat="1" ht="19.5" customHeight="1" x14ac:dyDescent="0.25">
      <c r="A25" s="35" t="s">
        <v>44</v>
      </c>
      <c r="B25" s="36"/>
      <c r="C25" s="36"/>
      <c r="D25" s="36"/>
      <c r="E25" s="36"/>
      <c r="F25" s="36"/>
      <c r="G25" s="79"/>
      <c r="H25" s="79"/>
      <c r="I25" s="79"/>
      <c r="J25" s="80"/>
      <c r="K25" s="81"/>
      <c r="L25" s="38"/>
      <c r="M25" s="39"/>
      <c r="N25" s="39"/>
      <c r="O25" s="39"/>
      <c r="P25" s="5"/>
      <c r="Q25" s="5"/>
      <c r="R25" s="74" t="s">
        <v>52</v>
      </c>
      <c r="S25" s="4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</row>
    <row r="26" spans="1:113" s="1" customFormat="1" ht="15" customHeight="1" x14ac:dyDescent="0.25">
      <c r="A26" s="35" t="s">
        <v>45</v>
      </c>
      <c r="B26" s="36"/>
      <c r="C26" s="36"/>
      <c r="D26" s="36"/>
      <c r="E26" s="36"/>
      <c r="F26" s="36"/>
      <c r="G26" s="36"/>
      <c r="H26" s="36"/>
      <c r="I26" s="36"/>
      <c r="J26" s="37"/>
      <c r="K26" s="21"/>
      <c r="L26" s="38"/>
      <c r="M26" s="39"/>
      <c r="N26" s="39"/>
      <c r="O26" s="39"/>
      <c r="P26" s="20"/>
      <c r="Q26" s="5"/>
      <c r="R26" s="75" t="s">
        <v>42</v>
      </c>
      <c r="S26" s="4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</row>
    <row r="27" spans="1:113" s="1" customFormat="1" ht="15" customHeight="1" x14ac:dyDescent="0.25">
      <c r="A27" s="35" t="s">
        <v>50</v>
      </c>
      <c r="B27" s="36"/>
      <c r="C27" s="36"/>
      <c r="D27" s="36"/>
      <c r="E27" s="36"/>
      <c r="F27" s="36"/>
      <c r="G27" s="36"/>
      <c r="H27" s="36"/>
      <c r="I27" s="36"/>
      <c r="J27" s="37"/>
      <c r="K27" s="21"/>
      <c r="L27" s="38"/>
      <c r="M27" s="39"/>
      <c r="N27" s="39"/>
      <c r="O27" s="39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</row>
    <row r="28" spans="1:113" s="1" customFormat="1" ht="19.5" customHeight="1" x14ac:dyDescent="0.25">
      <c r="A28" s="23" t="s">
        <v>41</v>
      </c>
      <c r="B28" s="36"/>
      <c r="C28" s="36"/>
      <c r="D28" s="36"/>
      <c r="E28" s="36"/>
      <c r="F28" s="36"/>
      <c r="G28" s="36"/>
      <c r="H28" s="36"/>
      <c r="I28" s="36"/>
      <c r="J28" s="36"/>
      <c r="K28" s="21"/>
      <c r="L28" s="38"/>
      <c r="M28" s="39"/>
      <c r="N28" s="39"/>
      <c r="O28" s="3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</row>
    <row r="29" spans="1:113" ht="19.5" customHeight="1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21"/>
      <c r="L29" s="38"/>
      <c r="M29" s="39"/>
      <c r="N29" s="39"/>
      <c r="O29" s="39"/>
    </row>
    <row r="33" spans="1:12" ht="19.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9.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9.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9.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9.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9.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9.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9.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9.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9.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9.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9.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9.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9.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9.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9.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9.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9.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9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9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9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9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9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9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9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9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9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9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9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9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</sheetData>
  <mergeCells count="14">
    <mergeCell ref="AP5:AQ5"/>
    <mergeCell ref="J4:L4"/>
    <mergeCell ref="M4:O6"/>
    <mergeCell ref="A1:R1"/>
    <mergeCell ref="A4:A6"/>
    <mergeCell ref="B4:D4"/>
    <mergeCell ref="F4:H4"/>
    <mergeCell ref="A2:R2"/>
    <mergeCell ref="AN5:AO5"/>
    <mergeCell ref="P15:R15"/>
    <mergeCell ref="P4:R6"/>
    <mergeCell ref="B5:D5"/>
    <mergeCell ref="F5:H5"/>
    <mergeCell ref="J5:L5"/>
  </mergeCells>
  <pageMargins left="0.7" right="0.7" top="0.75" bottom="0.75" header="0.3" footer="0.3"/>
  <pageSetup paperSize="9" scale="72" orientation="landscape" horizontalDpi="4294967295" verticalDpi="4294967295" r:id="rId1"/>
  <rowBreaks count="1" manualBreakCount="1">
    <brk id="28" max="18" man="1"/>
  </rowBreaks>
  <ignoredErrors>
    <ignoredError sqref="B8 B11:E11 B19 B22 C22:D22 F11:G11 F8:L8 F12 H11:L11 F9:F10 I9:J10 I12:J12 C19:D19 F22:H22 F19:H19 J22:P22 J19:L1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</vt:lpstr>
      <vt:lpstr>'6.1'!Print_Area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2018-10-11T06:31:29Z</cp:lastPrinted>
  <dcterms:created xsi:type="dcterms:W3CDTF">2014-03-04T09:17:57Z</dcterms:created>
  <dcterms:modified xsi:type="dcterms:W3CDTF">2018-10-11T06:31:38Z</dcterms:modified>
</cp:coreProperties>
</file>