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15. FOREIGN TRADE AND BOP\"/>
    </mc:Choice>
  </mc:AlternateContent>
  <bookViews>
    <workbookView xWindow="0" yWindow="0" windowWidth="28800" windowHeight="12330" tabRatio="858"/>
  </bookViews>
  <sheets>
    <sheet name="15.4" sheetId="51" r:id="rId1"/>
  </sheets>
  <externalReferences>
    <externalReference r:id="rId2"/>
  </externalReferences>
  <definedNames>
    <definedName name="_tot3">#REF!</definedName>
    <definedName name="_tot4">#REF!</definedName>
    <definedName name="_tot5">#REF!</definedName>
    <definedName name="_tot6">#REF!</definedName>
    <definedName name="_tot7">#REF!</definedName>
    <definedName name="a">#REF!</definedName>
    <definedName name="bec">#REF!</definedName>
    <definedName name="ctry">'[1]CTRY monthly'!$B$100:$N$115</definedName>
    <definedName name="moomina">#REF!</definedName>
    <definedName name="_xlnm.Print_Area" localSheetId="0">'15.4'!$A$1:$H$46</definedName>
    <definedName name="Print_Area_MI">#REF!</definedName>
    <definedName name="tot">#REF!</definedName>
    <definedName name="total">#REF!</definedName>
    <definedName name="TOTE8">#REF!</definedName>
    <definedName name="tott3">#REF!</definedName>
  </definedNames>
  <calcPr calcId="162913"/>
  <customWorkbookViews>
    <customWorkbookView name="moomina - Personal View" guid="{606E8A6D-F254-43BE-81C6-5E26D3168B9C}" mergeInterval="0" personalView="1" maximized="1" windowWidth="1020" windowHeight="570" activeSheetId="8"/>
    <customWorkbookView name="iqbal - Personal View" guid="{55954F5B-8823-487D-89BD-5CAA49E9A156}" mergeInterval="0" personalView="1" maximized="1" windowWidth="1276" windowHeight="874" activeSheetId="12"/>
    <customWorkbookView name="hawwa zahira - Personal View" guid="{809AAACF-1F9F-4AA0-A069-E0E3B47FA09A}" mergeInterval="0" personalView="1" maximized="1" windowWidth="1148" windowHeight="692" tabRatio="814" activeSheetId="3"/>
    <customWorkbookView name="777 - Personal View" guid="{AA9F0C9E-78D8-4405-A52F-8AFEDA4EE48D}" mergeInterval="0" personalView="1" maximized="1" windowWidth="1276" windowHeight="852" activeSheetId="16"/>
  </customWorkbookViews>
</workbook>
</file>

<file path=xl/calcChain.xml><?xml version="1.0" encoding="utf-8"?>
<calcChain xmlns="http://schemas.openxmlformats.org/spreadsheetml/2006/main">
  <c r="B8" i="51" l="1"/>
  <c r="B9" i="51"/>
  <c r="B10" i="51"/>
  <c r="B11" i="51"/>
  <c r="B12" i="51"/>
  <c r="B13" i="51"/>
  <c r="B15" i="51"/>
  <c r="B16" i="51"/>
  <c r="B7" i="51"/>
  <c r="B6" i="51" l="1"/>
  <c r="AA22" i="51" s="1"/>
  <c r="F7" i="51"/>
  <c r="E7" i="51"/>
  <c r="AA31" i="51" l="1"/>
  <c r="AA23" i="51"/>
  <c r="AA30" i="51"/>
  <c r="AA29" i="51"/>
  <c r="AA26" i="51"/>
  <c r="AA25" i="51"/>
  <c r="AA28" i="51"/>
  <c r="AA24" i="51"/>
  <c r="AA27" i="51"/>
  <c r="AA33" i="51" l="1"/>
  <c r="F10" i="51" l="1"/>
  <c r="F15" i="51" l="1"/>
  <c r="F16" i="51"/>
  <c r="F11" i="51"/>
  <c r="F12" i="51"/>
  <c r="F13" i="51"/>
  <c r="E16" i="51" l="1"/>
  <c r="E15" i="51"/>
  <c r="E11" i="51"/>
  <c r="F5" i="51"/>
  <c r="E5" i="51"/>
  <c r="E10" i="51" l="1"/>
  <c r="E13" i="51"/>
  <c r="E9" i="51"/>
  <c r="F9" i="51"/>
  <c r="E12" i="51"/>
  <c r="E8" i="51"/>
  <c r="F8" i="51"/>
</calcChain>
</file>

<file path=xl/sharedStrings.xml><?xml version="1.0" encoding="utf-8"?>
<sst xmlns="http://schemas.openxmlformats.org/spreadsheetml/2006/main" count="53" uniqueCount="38">
  <si>
    <t>Total</t>
  </si>
  <si>
    <t>Source:  Maldives Customs Services</t>
  </si>
  <si>
    <t xml:space="preserve">cswsivrWs ccscmwTcswk cscviDclOm :ctWrwfivcaed utWmUluAwm     </t>
  </si>
  <si>
    <t>wlcmuj</t>
  </si>
  <si>
    <t>(cniaWyifur '000) ugwa</t>
  </si>
  <si>
    <t>-</t>
  </si>
  <si>
    <t>Items</t>
  </si>
  <si>
    <t>wlcaimwa</t>
  </si>
  <si>
    <t>urWkurws</t>
  </si>
  <si>
    <t>Private</t>
  </si>
  <si>
    <t>Government</t>
  </si>
  <si>
    <t xml:space="preserve">wlcmuj  </t>
  </si>
  <si>
    <t>Fresh or Chilled Tuna</t>
  </si>
  <si>
    <t xml:space="preserve">cswmwncnuh iawfcaokinif wtwvun WzWt    </t>
  </si>
  <si>
    <t>Fresh or Chilled Reef Fish</t>
  </si>
  <si>
    <t xml:space="preserve">cswmurwfwncnuh iawfcaokinif wtwvun WzWt    </t>
  </si>
  <si>
    <t>Frozen Fish</t>
  </si>
  <si>
    <t xml:space="preserve">cswmirukinif  </t>
  </si>
  <si>
    <t>Dried Fish</t>
  </si>
  <si>
    <t>Salted Dried Fish</t>
  </si>
  <si>
    <t xml:space="preserve">cswmikihiLeaunol   </t>
  </si>
  <si>
    <t>Live Reef Fish</t>
  </si>
  <si>
    <t>Sea Cucumber</t>
  </si>
  <si>
    <t xml:space="preserve">Wdnwlifiauh  </t>
  </si>
  <si>
    <t>Canned Fish</t>
  </si>
  <si>
    <t xml:space="preserve">cswmirukudcnwb iawguLwd  </t>
  </si>
  <si>
    <t xml:space="preserve">cswmurwfErid  </t>
  </si>
  <si>
    <t>Fish Meal</t>
  </si>
  <si>
    <t>Other Marine Products</t>
  </si>
  <si>
    <t xml:space="preserve">cawtctwvWbeguDnwkcnehinehea        </t>
  </si>
  <si>
    <t xml:space="preserve">        Value (in MVR. '000)</t>
  </si>
  <si>
    <t>ބާވަތް</t>
  </si>
  <si>
    <t>cswmikih</t>
  </si>
  <si>
    <t>% share</t>
  </si>
  <si>
    <t>WnWk uhwm</t>
  </si>
  <si>
    <t>Data Compile: National Bureau of Statistics</t>
  </si>
  <si>
    <t>Table  15.4 :  SUMMARY OF MARINE PRODUCT EXPORTS BY COMMODITY, 2017</t>
  </si>
  <si>
    <t>2017 ,WsWluh egukwtctwvWb eguDnwk unuverukurEb cnEjcaWr : 15.4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</si>
</sst>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6" formatCode="0.0"/>
    <numFmt numFmtId="168" formatCode="_(* #,##0_);_(* \(#,##0\);_(* &quot;-&quot;??_);_(@_)"/>
    <numFmt numFmtId="169" formatCode="_(* #,##0.0_);_(* \(#,##0.0\);_(* &quot;-&quot;??_);_(@_)"/>
    <numFmt numFmtId="170" formatCode="0.00_)"/>
  </numFmts>
  <fonts count="4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_Randhoo"/>
    </font>
    <font>
      <sz val="9"/>
      <name val="A_Randhoo"/>
    </font>
    <font>
      <sz val="10"/>
      <name val="Arial"/>
      <family val="2"/>
    </font>
    <font>
      <b/>
      <sz val="10"/>
      <name val="Calibri"/>
      <family val="2"/>
    </font>
    <font>
      <b/>
      <sz val="9"/>
      <name val="A_Randhoo"/>
    </font>
    <font>
      <b/>
      <sz val="10"/>
      <name val="A_Randhoo"/>
    </font>
    <font>
      <b/>
      <i/>
      <sz val="16"/>
      <name val="Helv"/>
    </font>
    <font>
      <sz val="10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b/>
      <sz val="9"/>
      <name val="Faruma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_Randhoo"/>
    </font>
    <font>
      <i/>
      <sz val="9"/>
      <name val="Calibri"/>
      <family val="2"/>
      <scheme val="minor"/>
    </font>
    <font>
      <i/>
      <sz val="1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A_Randhoo"/>
    </font>
    <font>
      <b/>
      <sz val="11"/>
      <color theme="1"/>
      <name val="Calibri"/>
      <family val="2"/>
    </font>
    <font>
      <i/>
      <sz val="10"/>
      <name val="A_Randhoo"/>
    </font>
    <font>
      <sz val="11"/>
      <color indexed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</borders>
  <cellStyleXfs count="68">
    <xf numFmtId="0" fontId="0" fillId="0" borderId="0"/>
    <xf numFmtId="0" fontId="3" fillId="0" borderId="0"/>
    <xf numFmtId="164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11" fillId="0" borderId="0"/>
    <xf numFmtId="0" fontId="12" fillId="0" borderId="0"/>
    <xf numFmtId="9" fontId="7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8" applyNumberFormat="0" applyFill="0" applyAlignment="0" applyProtection="0"/>
    <xf numFmtId="0" fontId="28" fillId="0" borderId="9" applyNumberFormat="0" applyFill="0" applyAlignment="0" applyProtection="0"/>
    <xf numFmtId="0" fontId="29" fillId="0" borderId="10" applyNumberFormat="0" applyFill="0" applyAlignment="0" applyProtection="0"/>
    <xf numFmtId="0" fontId="29" fillId="0" borderId="0" applyNumberFormat="0" applyFill="0" applyBorder="0" applyAlignment="0" applyProtection="0"/>
    <xf numFmtId="0" fontId="30" fillId="3" borderId="0" applyNumberFormat="0" applyBorder="0" applyAlignment="0" applyProtection="0"/>
    <xf numFmtId="0" fontId="31" fillId="4" borderId="0" applyNumberFormat="0" applyBorder="0" applyAlignment="0" applyProtection="0"/>
    <xf numFmtId="0" fontId="32" fillId="5" borderId="0" applyNumberFormat="0" applyBorder="0" applyAlignment="0" applyProtection="0"/>
    <xf numFmtId="0" fontId="33" fillId="6" borderId="11" applyNumberFormat="0" applyAlignment="0" applyProtection="0"/>
    <xf numFmtId="0" fontId="34" fillId="7" borderId="12" applyNumberFormat="0" applyAlignment="0" applyProtection="0"/>
    <xf numFmtId="0" fontId="35" fillId="7" borderId="11" applyNumberFormat="0" applyAlignment="0" applyProtection="0"/>
    <xf numFmtId="0" fontId="36" fillId="0" borderId="13" applyNumberFormat="0" applyFill="0" applyAlignment="0" applyProtection="0"/>
    <xf numFmtId="0" fontId="37" fillId="8" borderId="14" applyNumberFormat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8" fillId="0" borderId="16" applyNumberFormat="0" applyFill="0" applyAlignment="0" applyProtection="0"/>
    <xf numFmtId="0" fontId="40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40" fillId="17" borderId="0" applyNumberFormat="0" applyBorder="0" applyAlignment="0" applyProtection="0"/>
    <xf numFmtId="0" fontId="40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40" fillId="21" borderId="0" applyNumberFormat="0" applyBorder="0" applyAlignment="0" applyProtection="0"/>
    <xf numFmtId="0" fontId="40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40" fillId="25" borderId="0" applyNumberFormat="0" applyBorder="0" applyAlignment="0" applyProtection="0"/>
    <xf numFmtId="0" fontId="40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40" fillId="29" borderId="0" applyNumberFormat="0" applyBorder="0" applyAlignment="0" applyProtection="0"/>
    <xf numFmtId="0" fontId="40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40" fillId="33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9" borderId="15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9" borderId="15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44" fillId="34" borderId="0" applyNumberFormat="0" applyBorder="0" applyAlignment="0" applyProtection="0"/>
  </cellStyleXfs>
  <cellXfs count="53">
    <xf numFmtId="0" fontId="0" fillId="0" borderId="0" xfId="0"/>
    <xf numFmtId="0" fontId="24" fillId="2" borderId="0" xfId="0" applyFont="1" applyFill="1" applyBorder="1" applyAlignment="1" applyProtection="1">
      <alignment horizontal="left" vertical="center"/>
    </xf>
    <xf numFmtId="0" fontId="6" fillId="2" borderId="0" xfId="0" applyFont="1" applyFill="1" applyBorder="1" applyAlignment="1">
      <alignment horizontal="right" vertical="center"/>
    </xf>
    <xf numFmtId="0" fontId="8" fillId="2" borderId="6" xfId="0" applyFont="1" applyFill="1" applyBorder="1" applyAlignment="1">
      <alignment vertical="center"/>
    </xf>
    <xf numFmtId="0" fontId="10" fillId="2" borderId="6" xfId="0" applyFont="1" applyFill="1" applyBorder="1" applyAlignment="1">
      <alignment horizontal="right" vertical="center"/>
    </xf>
    <xf numFmtId="0" fontId="8" fillId="2" borderId="1" xfId="0" applyFont="1" applyFill="1" applyBorder="1" applyAlignment="1" applyProtection="1">
      <alignment horizontal="right" vertical="center"/>
    </xf>
    <xf numFmtId="0" fontId="21" fillId="2" borderId="0" xfId="0" applyFont="1" applyFill="1" applyBorder="1" applyAlignment="1">
      <alignment vertical="center"/>
    </xf>
    <xf numFmtId="0" fontId="22" fillId="2" borderId="0" xfId="0" applyFont="1" applyFill="1" applyAlignment="1">
      <alignment vertical="center"/>
    </xf>
    <xf numFmtId="0" fontId="21" fillId="2" borderId="0" xfId="0" applyFont="1" applyFill="1" applyAlignment="1">
      <alignment vertical="center"/>
    </xf>
    <xf numFmtId="0" fontId="0" fillId="2" borderId="0" xfId="0" applyFill="1"/>
    <xf numFmtId="0" fontId="8" fillId="2" borderId="3" xfId="0" applyFont="1" applyFill="1" applyBorder="1" applyAlignment="1" applyProtection="1">
      <alignment horizontal="right" vertical="center"/>
    </xf>
    <xf numFmtId="0" fontId="19" fillId="2" borderId="0" xfId="0" applyNumberFormat="1" applyFont="1" applyFill="1" applyBorder="1" applyAlignment="1" applyProtection="1">
      <alignment vertical="center" wrapText="1"/>
    </xf>
    <xf numFmtId="0" fontId="9" fillId="2" borderId="0" xfId="0" applyFont="1" applyFill="1" applyBorder="1" applyAlignment="1">
      <alignment horizontal="right" vertical="center" wrapText="1"/>
    </xf>
    <xf numFmtId="0" fontId="25" fillId="2" borderId="0" xfId="0" applyNumberFormat="1" applyFont="1" applyFill="1" applyBorder="1" applyAlignment="1">
      <alignment horizontal="left" vertical="center" wrapText="1" indent="2"/>
    </xf>
    <xf numFmtId="0" fontId="8" fillId="2" borderId="6" xfId="0" applyFont="1" applyFill="1" applyBorder="1" applyAlignment="1" applyProtection="1">
      <alignment horizontal="left" vertical="center"/>
    </xf>
    <xf numFmtId="168" fontId="19" fillId="2" borderId="0" xfId="3" applyNumberFormat="1" applyFont="1" applyFill="1" applyBorder="1" applyAlignment="1">
      <alignment horizontal="right" vertical="center"/>
    </xf>
    <xf numFmtId="168" fontId="19" fillId="2" borderId="2" xfId="3" applyNumberFormat="1" applyFont="1" applyFill="1" applyBorder="1" applyAlignment="1">
      <alignment horizontal="right" vertical="center"/>
    </xf>
    <xf numFmtId="0" fontId="20" fillId="2" borderId="0" xfId="0" applyNumberFormat="1" applyFont="1" applyFill="1" applyBorder="1" applyAlignment="1">
      <alignment horizontal="left" vertical="center" wrapText="1" indent="2"/>
    </xf>
    <xf numFmtId="0" fontId="20" fillId="2" borderId="1" xfId="0" applyNumberFormat="1" applyFont="1" applyFill="1" applyBorder="1" applyAlignment="1">
      <alignment horizontal="left" vertical="center" wrapText="1" indent="2"/>
    </xf>
    <xf numFmtId="168" fontId="19" fillId="2" borderId="1" xfId="3" applyNumberFormat="1" applyFont="1" applyFill="1" applyBorder="1" applyAlignment="1">
      <alignment horizontal="right" vertical="center"/>
    </xf>
    <xf numFmtId="3" fontId="41" fillId="2" borderId="0" xfId="0" applyNumberFormat="1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vertical="center"/>
    </xf>
    <xf numFmtId="0" fontId="0" fillId="2" borderId="0" xfId="0" applyFill="1" applyBorder="1"/>
    <xf numFmtId="0" fontId="22" fillId="2" borderId="0" xfId="0" applyFont="1" applyFill="1" applyBorder="1" applyAlignment="1">
      <alignment vertical="center"/>
    </xf>
    <xf numFmtId="169" fontId="22" fillId="2" borderId="0" xfId="0" applyNumberFormat="1" applyFont="1" applyFill="1" applyBorder="1" applyAlignment="1">
      <alignment vertical="center"/>
    </xf>
    <xf numFmtId="169" fontId="0" fillId="2" borderId="0" xfId="0" applyNumberFormat="1" applyFill="1" applyBorder="1"/>
    <xf numFmtId="168" fontId="20" fillId="2" borderId="0" xfId="3" applyNumberFormat="1" applyFont="1" applyFill="1" applyBorder="1" applyAlignment="1">
      <alignment horizontal="right" vertical="center"/>
    </xf>
    <xf numFmtId="168" fontId="20" fillId="2" borderId="1" xfId="3" applyNumberFormat="1" applyFont="1" applyFill="1" applyBorder="1" applyAlignment="1">
      <alignment horizontal="right" vertical="center"/>
    </xf>
    <xf numFmtId="0" fontId="8" fillId="2" borderId="17" xfId="0" applyFont="1" applyFill="1" applyBorder="1" applyAlignment="1" applyProtection="1">
      <alignment horizontal="right" vertical="center"/>
    </xf>
    <xf numFmtId="0" fontId="9" fillId="2" borderId="4" xfId="0" applyFont="1" applyFill="1" applyBorder="1" applyAlignment="1">
      <alignment horizontal="right" vertical="center"/>
    </xf>
    <xf numFmtId="0" fontId="8" fillId="2" borderId="5" xfId="0" applyFont="1" applyFill="1" applyBorder="1" applyAlignment="1" applyProtection="1">
      <alignment horizontal="right" vertical="center"/>
    </xf>
    <xf numFmtId="168" fontId="19" fillId="2" borderId="4" xfId="3" applyNumberFormat="1" applyFont="1" applyFill="1" applyBorder="1" applyAlignment="1">
      <alignment horizontal="right" vertical="center"/>
    </xf>
    <xf numFmtId="168" fontId="20" fillId="2" borderId="4" xfId="3" applyNumberFormat="1" applyFont="1" applyFill="1" applyBorder="1" applyAlignment="1">
      <alignment horizontal="right" vertical="center"/>
    </xf>
    <xf numFmtId="168" fontId="20" fillId="2" borderId="5" xfId="3" applyNumberFormat="1" applyFont="1" applyFill="1" applyBorder="1" applyAlignment="1">
      <alignment horizontal="right" vertical="center"/>
    </xf>
    <xf numFmtId="37" fontId="20" fillId="2" borderId="0" xfId="3" applyNumberFormat="1" applyFont="1" applyFill="1" applyBorder="1" applyAlignment="1">
      <alignment horizontal="right" vertical="center"/>
    </xf>
    <xf numFmtId="43" fontId="0" fillId="2" borderId="0" xfId="0" applyNumberFormat="1" applyFill="1" applyBorder="1"/>
    <xf numFmtId="0" fontId="6" fillId="2" borderId="7" xfId="0" applyFont="1" applyFill="1" applyBorder="1" applyAlignment="1">
      <alignment horizontal="right" vertical="center" readingOrder="2"/>
    </xf>
    <xf numFmtId="0" fontId="5" fillId="2" borderId="0" xfId="0" applyFont="1" applyFill="1" applyBorder="1" applyAlignment="1">
      <alignment horizontal="right" vertical="center" wrapText="1" indent="2"/>
    </xf>
    <xf numFmtId="0" fontId="43" fillId="2" borderId="0" xfId="0" applyFont="1" applyFill="1" applyBorder="1" applyAlignment="1">
      <alignment horizontal="right" vertical="center" wrapText="1" indent="2"/>
    </xf>
    <xf numFmtId="0" fontId="5" fillId="2" borderId="1" xfId="0" applyFont="1" applyFill="1" applyBorder="1" applyAlignment="1">
      <alignment horizontal="right" vertical="center" wrapText="1" indent="2" readingOrder="1"/>
    </xf>
    <xf numFmtId="0" fontId="9" fillId="2" borderId="0" xfId="0" applyFont="1" applyFill="1" applyBorder="1" applyAlignment="1">
      <alignment horizontal="right" vertical="center"/>
    </xf>
    <xf numFmtId="166" fontId="0" fillId="2" borderId="0" xfId="0" applyNumberFormat="1" applyFill="1" applyBorder="1"/>
    <xf numFmtId="0" fontId="20" fillId="2" borderId="0" xfId="0" applyNumberFormat="1" applyFont="1" applyFill="1" applyBorder="1" applyAlignment="1">
      <alignment horizontal="left" wrapText="1"/>
    </xf>
    <xf numFmtId="166" fontId="0" fillId="2" borderId="0" xfId="0" applyNumberFormat="1" applyFill="1" applyBorder="1" applyAlignment="1"/>
    <xf numFmtId="0" fontId="20" fillId="2" borderId="1" xfId="0" applyNumberFormat="1" applyFont="1" applyFill="1" applyBorder="1" applyAlignment="1">
      <alignment horizontal="left" wrapText="1"/>
    </xf>
    <xf numFmtId="0" fontId="19" fillId="2" borderId="0" xfId="0" applyFont="1" applyFill="1" applyBorder="1" applyAlignment="1" applyProtection="1">
      <alignment horizontal="left" vertical="center"/>
    </xf>
    <xf numFmtId="0" fontId="19" fillId="2" borderId="2" xfId="0" applyFont="1" applyFill="1" applyBorder="1" applyAlignment="1" applyProtection="1">
      <alignment horizontal="left" vertical="center"/>
    </xf>
    <xf numFmtId="0" fontId="19" fillId="2" borderId="1" xfId="0" applyFont="1" applyFill="1" applyBorder="1" applyAlignment="1" applyProtection="1">
      <alignment horizontal="left" vertical="center"/>
    </xf>
    <xf numFmtId="3" fontId="23" fillId="2" borderId="0" xfId="0" applyNumberFormat="1" applyFont="1" applyFill="1" applyAlignment="1">
      <alignment horizontal="center" vertical="center"/>
    </xf>
    <xf numFmtId="0" fontId="42" fillId="2" borderId="1" xfId="0" applyFont="1" applyFill="1" applyBorder="1" applyAlignment="1" applyProtection="1">
      <alignment horizontal="center" vertical="center"/>
    </xf>
    <xf numFmtId="0" fontId="16" fillId="2" borderId="2" xfId="0" applyFont="1" applyFill="1" applyBorder="1" applyAlignment="1">
      <alignment horizontal="right" vertical="center"/>
    </xf>
    <xf numFmtId="0" fontId="16" fillId="2" borderId="0" xfId="0" applyFont="1" applyFill="1" applyBorder="1" applyAlignment="1">
      <alignment horizontal="right" vertical="center"/>
    </xf>
    <xf numFmtId="0" fontId="16" fillId="2" borderId="1" xfId="0" applyFont="1" applyFill="1" applyBorder="1" applyAlignment="1">
      <alignment horizontal="right" vertical="center"/>
    </xf>
  </cellXfs>
  <cellStyles count="68">
    <cellStyle name="1" xfId="1"/>
    <cellStyle name="20% - Accent1" xfId="24" builtinId="30" customBuiltin="1"/>
    <cellStyle name="20% - Accent1 2" xfId="55"/>
    <cellStyle name="20% - Accent2" xfId="28" builtinId="34" customBuiltin="1"/>
    <cellStyle name="20% - Accent2 2" xfId="57"/>
    <cellStyle name="20% - Accent3" xfId="32" builtinId="38" customBuiltin="1"/>
    <cellStyle name="20% - Accent3 2" xfId="59"/>
    <cellStyle name="20% - Accent4" xfId="36" builtinId="42" customBuiltin="1"/>
    <cellStyle name="20% - Accent4 2" xfId="61"/>
    <cellStyle name="20% - Accent5" xfId="40" builtinId="46" customBuiltin="1"/>
    <cellStyle name="20% - Accent5 2" xfId="63"/>
    <cellStyle name="20% - Accent6" xfId="44" builtinId="50" customBuiltin="1"/>
    <cellStyle name="20% - Accent6 2" xfId="65"/>
    <cellStyle name="40% - Accent1" xfId="25" builtinId="31" customBuiltin="1"/>
    <cellStyle name="40% - Accent1 2" xfId="56"/>
    <cellStyle name="40% - Accent2" xfId="29" builtinId="35" customBuiltin="1"/>
    <cellStyle name="40% - Accent2 2" xfId="58"/>
    <cellStyle name="40% - Accent3" xfId="33" builtinId="39" customBuiltin="1"/>
    <cellStyle name="40% - Accent3 2" xfId="60"/>
    <cellStyle name="40% - Accent4" xfId="37" builtinId="43" customBuiltin="1"/>
    <cellStyle name="40% - Accent4 2" xfId="62"/>
    <cellStyle name="40% - Accent5" xfId="41" builtinId="47" customBuiltin="1"/>
    <cellStyle name="40% - Accent5 2" xfId="64"/>
    <cellStyle name="40% - Accent6" xfId="45" builtinId="51" customBuiltin="1"/>
    <cellStyle name="40% - Accent6 2" xfId="66"/>
    <cellStyle name="60% - Accent1" xfId="26" builtinId="32" customBuiltin="1"/>
    <cellStyle name="60% - Accent2" xfId="30" builtinId="36" customBuiltin="1"/>
    <cellStyle name="60% - Accent3" xfId="34" builtinId="40" customBuiltin="1"/>
    <cellStyle name="60% - Accent4" xfId="38" builtinId="44" customBuiltin="1"/>
    <cellStyle name="60% - Accent5" xfId="42" builtinId="48" customBuiltin="1"/>
    <cellStyle name="60% - Accent6" xfId="46" builtinId="52" customBuiltin="1"/>
    <cellStyle name="Accent1" xfId="23" builtinId="29" customBuiltin="1"/>
    <cellStyle name="Accent1 - 20%" xfId="67"/>
    <cellStyle name="Accent2" xfId="27" builtinId="33" customBuiltin="1"/>
    <cellStyle name="Accent3" xfId="31" builtinId="37" customBuiltin="1"/>
    <cellStyle name="Accent4" xfId="35" builtinId="41" customBuiltin="1"/>
    <cellStyle name="Accent5" xfId="39" builtinId="45" customBuiltin="1"/>
    <cellStyle name="Accent6" xfId="43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 2" xfId="2"/>
    <cellStyle name="Comma 3" xfId="3"/>
    <cellStyle name="Comma 4" xfId="48"/>
    <cellStyle name="Comma 5" xfId="51"/>
    <cellStyle name="Explanatory Text" xfId="21" builtinId="53" customBuiltin="1"/>
    <cellStyle name="Good" xfId="12" builtinId="26" customBuiltin="1"/>
    <cellStyle name="Heading 1" xfId="8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- Style1" xfId="4"/>
    <cellStyle name="Normal 2" xfId="5"/>
    <cellStyle name="Normal 3" xfId="47"/>
    <cellStyle name="Normal 4" xfId="50"/>
    <cellStyle name="Normal 5" xfId="52"/>
    <cellStyle name="Normal 6" xfId="54"/>
    <cellStyle name="Note 2" xfId="49"/>
    <cellStyle name="Note 3" xfId="53"/>
    <cellStyle name="Output" xfId="16" builtinId="21" customBuiltin="1"/>
    <cellStyle name="Percent 2" xfId="6"/>
    <cellStyle name="Title" xfId="7" builtinId="15" customBuiltin="1"/>
    <cellStyle name="Total" xfId="22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F9B277"/>
      <color rgb="FF2A1500"/>
      <color rgb="FFABEBE9"/>
      <color rgb="FF77DFDD"/>
      <color rgb="FF2EC0BD"/>
      <color rgb="FF1C706E"/>
      <color rgb="FF041010"/>
      <color rgb="FF84E2E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Figure 15.3:  Percentage distribution of marine product exports by product, 2017</a:t>
            </a:r>
          </a:p>
        </c:rich>
      </c:tx>
      <c:layout>
        <c:manualLayout>
          <c:xMode val="edge"/>
          <c:yMode val="edge"/>
          <c:x val="0.11927513765592751"/>
          <c:y val="1.949317738791422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30211998079535363"/>
          <c:y val="0.10647442911597904"/>
          <c:w val="0.40757393864244318"/>
          <c:h val="0.8506857759946220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70E7-4835-8E88-741651B410DB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70E7-4835-8E88-741651B410DB}"/>
              </c:ext>
            </c:extLst>
          </c:dPt>
          <c:dPt>
            <c:idx val="2"/>
            <c:bubble3D val="0"/>
            <c:spPr>
              <a:solidFill>
                <a:schemeClr val="accent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70E7-4835-8E88-741651B410DB}"/>
              </c:ext>
            </c:extLst>
          </c:dPt>
          <c:dPt>
            <c:idx val="3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7-70E7-4835-8E88-741651B410DB}"/>
              </c:ext>
            </c:extLst>
          </c:dPt>
          <c:dPt>
            <c:idx val="4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C-70E7-4835-8E88-741651B410DB}"/>
              </c:ext>
            </c:extLst>
          </c:dPt>
          <c:dPt>
            <c:idx val="5"/>
            <c:bubble3D val="0"/>
            <c:spPr>
              <a:solidFill>
                <a:schemeClr val="bg1">
                  <a:lumMod val="8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1-D686-408A-80AE-723E95654C6E}"/>
              </c:ext>
            </c:extLst>
          </c:dPt>
          <c:dPt>
            <c:idx val="7"/>
            <c:bubble3D val="0"/>
            <c:spPr>
              <a:solidFill>
                <a:srgbClr val="2A1500"/>
              </a:solidFill>
            </c:spPr>
            <c:extLst>
              <c:ext xmlns:c16="http://schemas.microsoft.com/office/drawing/2014/chart" uri="{C3380CC4-5D6E-409C-BE32-E72D297353CC}">
                <c16:uniqueId val="{0000000D-4A49-4315-A143-094C567D34F7}"/>
              </c:ext>
            </c:extLst>
          </c:dPt>
          <c:dPt>
            <c:idx val="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C-4A49-4315-A143-094C567D34F7}"/>
              </c:ext>
            </c:extLst>
          </c:dPt>
          <c:dLbls>
            <c:dLbl>
              <c:idx val="0"/>
              <c:layout>
                <c:manualLayout>
                  <c:x val="4.5797872223781622E-2"/>
                  <c:y val="9.526686578053396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70E7-4835-8E88-741651B410DB}"/>
                </c:ext>
              </c:extLst>
            </c:dLbl>
            <c:dLbl>
              <c:idx val="1"/>
              <c:layout>
                <c:manualLayout>
                  <c:x val="3.2697043524788603E-2"/>
                  <c:y val="5.204119713112832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70E7-4835-8E88-741651B410DB}"/>
                </c:ext>
              </c:extLst>
            </c:dLbl>
            <c:dLbl>
              <c:idx val="2"/>
              <c:layout>
                <c:manualLayout>
                  <c:x val="-0.11927692778323574"/>
                  <c:y val="-0.2163923351160784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70E7-4835-8E88-741651B410DB}"/>
                </c:ext>
              </c:extLst>
            </c:dLbl>
            <c:dLbl>
              <c:idx val="3"/>
              <c:layout>
                <c:manualLayout>
                  <c:x val="6.2744508964597729E-4"/>
                  <c:y val="0.113908591615378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70E7-4835-8E88-741651B410DB}"/>
                </c:ext>
              </c:extLst>
            </c:dLbl>
            <c:dLbl>
              <c:idx val="4"/>
              <c:layout>
                <c:manualLayout>
                  <c:x val="-5.9764048984940615E-2"/>
                  <c:y val="4.983558254128302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70E7-4835-8E88-741651B410DB}"/>
                </c:ext>
              </c:extLst>
            </c:dLbl>
            <c:dLbl>
              <c:idx val="5"/>
              <c:delete val="1"/>
              <c:extLst xmlns:c16="http://schemas.microsoft.com/office/drawing/2014/chart"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686-408A-80AE-723E95654C6E}"/>
                </c:ext>
              </c:extLst>
            </c:dLbl>
            <c:dLbl>
              <c:idx val="6"/>
              <c:delete val="1"/>
              <c:extLst xmlns:c16="http://schemas.microsoft.com/office/drawing/2014/chart"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686-408A-80AE-723E95654C6E}"/>
                </c:ext>
              </c:extLst>
            </c:dLbl>
            <c:dLbl>
              <c:idx val="7"/>
              <c:layout>
                <c:manualLayout>
                  <c:x val="-6.7388396605228676E-2"/>
                  <c:y val="-0.1244011528531685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4A49-4315-A143-094C567D34F7}"/>
                </c:ext>
              </c:extLst>
            </c:dLbl>
            <c:dLbl>
              <c:idx val="8"/>
              <c:layout>
                <c:manualLayout>
                  <c:x val="0.15934789020560675"/>
                  <c:y val="0.1984588874662660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4A49-4315-A143-094C567D34F7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'15.4'!$Z$22:$Z$31</c15:sqref>
                  </c15:fullRef>
                </c:ext>
              </c:extLst>
              <c:f>('15.4'!$Z$22:$Z$28,'15.4'!$Z$30:$Z$31)</c:f>
              <c:strCache>
                <c:ptCount val="9"/>
                <c:pt idx="0">
                  <c:v>Fresh or Chilled Tuna</c:v>
                </c:pt>
                <c:pt idx="1">
                  <c:v>Fresh or Chilled Reef Fish</c:v>
                </c:pt>
                <c:pt idx="2">
                  <c:v>Frozen Fish</c:v>
                </c:pt>
                <c:pt idx="3">
                  <c:v>Dried Fish</c:v>
                </c:pt>
                <c:pt idx="4">
                  <c:v>Salted Dried Fish</c:v>
                </c:pt>
                <c:pt idx="5">
                  <c:v>Sea Cucumber</c:v>
                </c:pt>
                <c:pt idx="6">
                  <c:v>Canned Fish</c:v>
                </c:pt>
                <c:pt idx="7">
                  <c:v>Live Reef Fish</c:v>
                </c:pt>
                <c:pt idx="8">
                  <c:v>Other Marine Products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'15.4'!$AA$22:$AA$31</c15:sqref>
                  </c15:fullRef>
                </c:ext>
              </c:extLst>
              <c:f>('15.4'!$AA$22:$AA$28,'15.4'!$AA$30:$AA$31)</c:f>
              <c:numCache>
                <c:formatCode>0.0</c:formatCode>
                <c:ptCount val="9"/>
                <c:pt idx="0">
                  <c:v>14.391297786623817</c:v>
                </c:pt>
                <c:pt idx="1">
                  <c:v>1.4987411312359282</c:v>
                </c:pt>
                <c:pt idx="2">
                  <c:v>51.328589482371946</c:v>
                </c:pt>
                <c:pt idx="3">
                  <c:v>2.0198742558044827</c:v>
                </c:pt>
                <c:pt idx="4">
                  <c:v>0.46522793990548111</c:v>
                </c:pt>
                <c:pt idx="5">
                  <c:v>0.31409765174641197</c:v>
                </c:pt>
                <c:pt idx="6">
                  <c:v>0.67657598933116314</c:v>
                </c:pt>
                <c:pt idx="7">
                  <c:v>0.41064737386790739</c:v>
                </c:pt>
                <c:pt idx="8">
                  <c:v>28.89494838911288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'15.4'!$AA$29</c15:sqref>
                  <c15:spPr xmlns:c15="http://schemas.microsoft.com/office/drawing/2012/chart">
                    <a:solidFill>
                      <a:schemeClr val="accent2">
                        <a:lumMod val="50000"/>
                      </a:schemeClr>
                    </a:solidFill>
                  </c15:spPr>
                  <c15:bubble3D val="0"/>
                  <c15:dLbl>
                    <c:idx val="6"/>
                    <c:layout>
                      <c:manualLayout>
                        <c:x val="-7.2610995287718208E-2"/>
                        <c:y val="-3.4881389145157947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1-6AC0-433C-83FA-CB65B57C8765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E-70E7-4835-8E88-741651B410D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="1" i="0" u="none" strike="noStrike" baseline="0">
                <a:effectLst/>
              </a:rPr>
              <a:t>Figure 15.4:  </a:t>
            </a:r>
            <a:r>
              <a:rPr lang="en-US" sz="1200"/>
              <a:t>Percentage share of marine product exports by sector, 2017</a:t>
            </a:r>
          </a:p>
        </c:rich>
      </c:tx>
      <c:layout>
        <c:manualLayout>
          <c:xMode val="edge"/>
          <c:yMode val="edge"/>
          <c:x val="0.22758735157177595"/>
          <c:y val="3.5933187952190325E-2"/>
        </c:manualLayout>
      </c:layout>
      <c:overlay val="0"/>
      <c:spPr>
        <a:solidFill>
          <a:schemeClr val="bg1"/>
        </a:solidFill>
      </c:spPr>
    </c:title>
    <c:autoTitleDeleted val="0"/>
    <c:plotArea>
      <c:layout>
        <c:manualLayout>
          <c:layoutTarget val="inner"/>
          <c:xMode val="edge"/>
          <c:yMode val="edge"/>
          <c:x val="0.20528617267528079"/>
          <c:y val="0.1297085073807164"/>
          <c:w val="0.75628373464304988"/>
          <c:h val="0.6955723083989117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'15.4'!$E$5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strRef>
              <c:f>'15.4'!$A$7:$A$16</c:f>
              <c:strCache>
                <c:ptCount val="9"/>
                <c:pt idx="0">
                  <c:v>Fresh or Chilled Tuna</c:v>
                </c:pt>
                <c:pt idx="1">
                  <c:v>Fresh or Chilled Reef Fish</c:v>
                </c:pt>
                <c:pt idx="2">
                  <c:v>Frozen Fish</c:v>
                </c:pt>
                <c:pt idx="3">
                  <c:v>Dried Fish</c:v>
                </c:pt>
                <c:pt idx="4">
                  <c:v>Salted Dried Fish</c:v>
                </c:pt>
                <c:pt idx="5">
                  <c:v>Sea Cucumber</c:v>
                </c:pt>
                <c:pt idx="6">
                  <c:v>Canned Fish</c:v>
                </c:pt>
                <c:pt idx="7">
                  <c:v>Live Reef Fish</c:v>
                </c:pt>
                <c:pt idx="8">
                  <c:v>Other Marine Products</c:v>
                </c:pt>
              </c:strCache>
            </c:strRef>
          </c:cat>
          <c:val>
            <c:numRef>
              <c:f>'15.4'!$E$7:$E$16</c:f>
              <c:numCache>
                <c:formatCode>_(* #,##0_);_(* \(#,##0\);_(* "-"??_);_(@_)</c:formatCode>
                <c:ptCount val="9"/>
                <c:pt idx="0">
                  <c:v>99.02121299173659</c:v>
                </c:pt>
                <c:pt idx="1">
                  <c:v>99.95363622579309</c:v>
                </c:pt>
                <c:pt idx="2">
                  <c:v>22.191826421255197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51.744307401765113</c:v>
                </c:pt>
                <c:pt idx="7">
                  <c:v>100</c:v>
                </c:pt>
                <c:pt idx="8">
                  <c:v>93.163977030990495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1F-4758-99C7-5F39B9189A45}"/>
            </c:ext>
          </c:extLst>
        </c:ser>
        <c:ser>
          <c:idx val="1"/>
          <c:order val="1"/>
          <c:tx>
            <c:strRef>
              <c:f>'15.4'!$F$5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</c:spPr>
          <c:invertIfNegative val="0"/>
          <c:cat>
            <c:strRef>
              <c:f>'15.4'!$A$7:$A$16</c:f>
              <c:strCache>
                <c:ptCount val="9"/>
                <c:pt idx="0">
                  <c:v>Fresh or Chilled Tuna</c:v>
                </c:pt>
                <c:pt idx="1">
                  <c:v>Fresh or Chilled Reef Fish</c:v>
                </c:pt>
                <c:pt idx="2">
                  <c:v>Frozen Fish</c:v>
                </c:pt>
                <c:pt idx="3">
                  <c:v>Dried Fish</c:v>
                </c:pt>
                <c:pt idx="4">
                  <c:v>Salted Dried Fish</c:v>
                </c:pt>
                <c:pt idx="5">
                  <c:v>Sea Cucumber</c:v>
                </c:pt>
                <c:pt idx="6">
                  <c:v>Canned Fish</c:v>
                </c:pt>
                <c:pt idx="7">
                  <c:v>Live Reef Fish</c:v>
                </c:pt>
                <c:pt idx="8">
                  <c:v>Other Marine Products</c:v>
                </c:pt>
              </c:strCache>
            </c:strRef>
          </c:cat>
          <c:val>
            <c:numRef>
              <c:f>'15.4'!$F$7:$F$16</c:f>
              <c:numCache>
                <c:formatCode>_(* #,##0_);_(* \(#,##0\);_(* "-"??_);_(@_)</c:formatCode>
                <c:ptCount val="9"/>
                <c:pt idx="0">
                  <c:v>0.97878700826339715</c:v>
                </c:pt>
                <c:pt idx="1">
                  <c:v>4.6363774206908924E-2</c:v>
                </c:pt>
                <c:pt idx="2">
                  <c:v>77.808173578744814</c:v>
                </c:pt>
                <c:pt idx="3" formatCode="#,##0_);\(#,##0\)">
                  <c:v>0</c:v>
                </c:pt>
                <c:pt idx="4" formatCode="#,##0_);\(#,##0\)">
                  <c:v>0</c:v>
                </c:pt>
                <c:pt idx="5" formatCode="#,##0_);\(#,##0\)">
                  <c:v>0</c:v>
                </c:pt>
                <c:pt idx="6" formatCode="#,##0_);\(#,##0\)">
                  <c:v>48.255692598234894</c:v>
                </c:pt>
                <c:pt idx="7" formatCode="#,##0_);\(#,##0\)">
                  <c:v>0</c:v>
                </c:pt>
                <c:pt idx="8">
                  <c:v>6.8360229690095036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1F-4758-99C7-5F39B9189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43044384"/>
        <c:axId val="543042816"/>
      </c:barChart>
      <c:catAx>
        <c:axId val="543044384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543042816"/>
        <c:crosses val="autoZero"/>
        <c:auto val="1"/>
        <c:lblAlgn val="ctr"/>
        <c:lblOffset val="100"/>
        <c:noMultiLvlLbl val="0"/>
      </c:catAx>
      <c:valAx>
        <c:axId val="543042816"/>
        <c:scaling>
          <c:orientation val="minMax"/>
          <c:max val="1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Percentage</a:t>
                </a:r>
              </a:p>
            </c:rich>
          </c:tx>
          <c:layout>
            <c:manualLayout>
              <c:xMode val="edge"/>
              <c:yMode val="edge"/>
              <c:x val="0.50505741409747018"/>
              <c:y val="0.90827288201217071"/>
            </c:manualLayout>
          </c:layout>
          <c:overlay val="0"/>
        </c:title>
        <c:numFmt formatCode="_(* #,##0_);_(* \(#,##0\);_(* &quot;-&quot;??_);_(@_)" sourceLinked="1"/>
        <c:majorTickMark val="out"/>
        <c:minorTickMark val="none"/>
        <c:tickLblPos val="nextTo"/>
        <c:crossAx val="543044384"/>
        <c:crosses val="autoZero"/>
        <c:crossBetween val="between"/>
      </c:valAx>
      <c:spPr>
        <a:ln>
          <a:solidFill>
            <a:schemeClr val="bg1">
              <a:lumMod val="50000"/>
            </a:schemeClr>
          </a:solidFill>
        </a:ln>
      </c:spPr>
    </c:plotArea>
    <c:legend>
      <c:legendPos val="b"/>
      <c:layout>
        <c:manualLayout>
          <c:xMode val="edge"/>
          <c:yMode val="edge"/>
          <c:x val="4.6704496390098861E-2"/>
          <c:y val="0.90366871945473271"/>
          <c:w val="0.33283068187905085"/>
          <c:h val="5.2941252466193085E-2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700567</xdr:colOff>
      <xdr:row>18</xdr:row>
      <xdr:rowOff>178911</xdr:rowOff>
    </xdr:from>
    <xdr:to>
      <xdr:col>6</xdr:col>
      <xdr:colOff>1433993</xdr:colOff>
      <xdr:row>28</xdr:row>
      <xdr:rowOff>162896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647700</xdr:colOff>
      <xdr:row>29</xdr:row>
      <xdr:rowOff>142876</xdr:rowOff>
    </xdr:from>
    <xdr:to>
      <xdr:col>6</xdr:col>
      <xdr:colOff>1403630</xdr:colOff>
      <xdr:row>40</xdr:row>
      <xdr:rowOff>291317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1587325</xdr:colOff>
      <xdr:row>19</xdr:row>
      <xdr:rowOff>161367</xdr:rowOff>
    </xdr:from>
    <xdr:to>
      <xdr:col>6</xdr:col>
      <xdr:colOff>184742</xdr:colOff>
      <xdr:row>19</xdr:row>
      <xdr:rowOff>182301</xdr:rowOff>
    </xdr:to>
    <xdr:sp macro="" textlink="">
      <xdr:nvSpPr>
        <xdr:cNvPr id="4" name="Line 4"/>
        <xdr:cNvSpPr>
          <a:spLocks noChangeShapeType="1"/>
        </xdr:cNvSpPr>
      </xdr:nvSpPr>
      <xdr:spPr bwMode="auto">
        <a:xfrm>
          <a:off x="1587325" y="5400117"/>
          <a:ext cx="5153792" cy="20934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</xdr:col>
      <xdr:colOff>435952</xdr:colOff>
      <xdr:row>30</xdr:row>
      <xdr:rowOff>200618</xdr:rowOff>
    </xdr:from>
    <xdr:to>
      <xdr:col>6</xdr:col>
      <xdr:colOff>425485</xdr:colOff>
      <xdr:row>30</xdr:row>
      <xdr:rowOff>211085</xdr:rowOff>
    </xdr:to>
    <xdr:sp macro="" textlink="">
      <xdr:nvSpPr>
        <xdr:cNvPr id="6" name="Line 4"/>
        <xdr:cNvSpPr>
          <a:spLocks noChangeShapeType="1"/>
        </xdr:cNvSpPr>
      </xdr:nvSpPr>
      <xdr:spPr bwMode="auto">
        <a:xfrm>
          <a:off x="2325077" y="9106493"/>
          <a:ext cx="4656783" cy="10467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a\c\Dev%20Outlook\worki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RY monthly"/>
      <sheetName val="ext monthly"/>
      <sheetName val="Import"/>
      <sheetName val="mOnthly imp"/>
      <sheetName val="NATIONAL CALLS"/>
    </sheetNames>
    <sheetDataSet>
      <sheetData sheetId="0" refreshError="1">
        <row r="100">
          <cell r="B100" t="str">
            <v>AU</v>
          </cell>
          <cell r="C100">
            <v>6700795.71</v>
          </cell>
          <cell r="D100">
            <v>5275014.01</v>
          </cell>
          <cell r="E100">
            <v>6077435.3799999999</v>
          </cell>
          <cell r="F100">
            <v>5005831.58</v>
          </cell>
          <cell r="G100">
            <v>5479537.8399999999</v>
          </cell>
        </row>
        <row r="101">
          <cell r="B101" t="str">
            <v>CN</v>
          </cell>
          <cell r="C101">
            <v>2908001.12</v>
          </cell>
          <cell r="D101">
            <v>15711768.279999999</v>
          </cell>
          <cell r="E101">
            <v>1121143.2</v>
          </cell>
          <cell r="F101">
            <v>626416.43999999994</v>
          </cell>
          <cell r="G101">
            <v>777865.95</v>
          </cell>
        </row>
        <row r="102">
          <cell r="B102" t="str">
            <v>EU</v>
          </cell>
          <cell r="C102">
            <v>38720700.050000101</v>
          </cell>
          <cell r="D102">
            <v>31907375.350000001</v>
          </cell>
          <cell r="E102">
            <v>42944361.799999997</v>
          </cell>
          <cell r="F102">
            <v>23848010.579999998</v>
          </cell>
          <cell r="G102">
            <v>35095860.829999998</v>
          </cell>
        </row>
        <row r="103">
          <cell r="B103" t="str">
            <v>HK</v>
          </cell>
          <cell r="C103">
            <v>9502221.4000000004</v>
          </cell>
          <cell r="D103">
            <v>3333004.83</v>
          </cell>
          <cell r="E103">
            <v>4361142.53</v>
          </cell>
          <cell r="F103">
            <v>1409733.32</v>
          </cell>
          <cell r="G103">
            <v>8014935.0300000003</v>
          </cell>
        </row>
        <row r="104">
          <cell r="B104" t="str">
            <v>ID</v>
          </cell>
          <cell r="C104">
            <v>7946077.1500000004</v>
          </cell>
          <cell r="D104">
            <v>5631474.8399999999</v>
          </cell>
          <cell r="E104">
            <v>8958264.8000000007</v>
          </cell>
          <cell r="F104">
            <v>17153200.850000001</v>
          </cell>
          <cell r="G104">
            <v>10811501.18</v>
          </cell>
        </row>
        <row r="105">
          <cell r="B105" t="str">
            <v>IN</v>
          </cell>
          <cell r="C105">
            <v>32942324.510000002</v>
          </cell>
          <cell r="D105">
            <v>37965330.589999899</v>
          </cell>
          <cell r="E105">
            <v>42908855.030000001</v>
          </cell>
          <cell r="F105">
            <v>30957830.27</v>
          </cell>
          <cell r="G105">
            <v>26418991.16</v>
          </cell>
        </row>
        <row r="106">
          <cell r="B106" t="str">
            <v>JA</v>
          </cell>
          <cell r="C106">
            <v>8862453.8000000007</v>
          </cell>
          <cell r="D106">
            <v>7744271.6200000001</v>
          </cell>
          <cell r="E106">
            <v>20316563.219999999</v>
          </cell>
          <cell r="F106">
            <v>26963926.699999999</v>
          </cell>
          <cell r="G106">
            <v>9377332.6700000092</v>
          </cell>
        </row>
        <row r="107">
          <cell r="B107" t="str">
            <v>MA</v>
          </cell>
          <cell r="C107">
            <v>28203628.43</v>
          </cell>
          <cell r="D107">
            <v>37066061.68</v>
          </cell>
          <cell r="E107">
            <v>33995178.200000003</v>
          </cell>
          <cell r="F107">
            <v>74560501.710000098</v>
          </cell>
          <cell r="G107">
            <v>19808373.460000001</v>
          </cell>
        </row>
        <row r="108">
          <cell r="B108" t="str">
            <v>NW</v>
          </cell>
          <cell r="C108">
            <v>732452.34</v>
          </cell>
          <cell r="D108">
            <v>153170.29</v>
          </cell>
          <cell r="E108">
            <v>218683.84</v>
          </cell>
          <cell r="F108">
            <v>331450.82</v>
          </cell>
          <cell r="G108">
            <v>133288.07999999999</v>
          </cell>
        </row>
        <row r="109">
          <cell r="B109" t="str">
            <v>NZ</v>
          </cell>
          <cell r="C109">
            <v>5922.29</v>
          </cell>
          <cell r="D109">
            <v>887198.9</v>
          </cell>
          <cell r="E109">
            <v>2038686.32</v>
          </cell>
          <cell r="F109">
            <v>12337282.560000001</v>
          </cell>
          <cell r="G109">
            <v>5591747.2199999997</v>
          </cell>
        </row>
        <row r="110">
          <cell r="B110" t="str">
            <v>OC</v>
          </cell>
          <cell r="C110">
            <v>11896489.140000001</v>
          </cell>
          <cell r="D110">
            <v>10445010.869999999</v>
          </cell>
          <cell r="E110">
            <v>18618942.84</v>
          </cell>
          <cell r="F110">
            <v>13066912.029999999</v>
          </cell>
          <cell r="G110">
            <v>10570553.970000001</v>
          </cell>
        </row>
        <row r="111">
          <cell r="B111" t="str">
            <v>SI</v>
          </cell>
          <cell r="C111">
            <v>109722703.73999999</v>
          </cell>
          <cell r="D111">
            <v>94510408.769999996</v>
          </cell>
          <cell r="E111">
            <v>132314517.25</v>
          </cell>
          <cell r="F111">
            <v>97605368.640000105</v>
          </cell>
          <cell r="G111">
            <v>92523386.769999996</v>
          </cell>
        </row>
        <row r="112">
          <cell r="B112" t="str">
            <v>SL</v>
          </cell>
          <cell r="C112">
            <v>53661084.200000003</v>
          </cell>
          <cell r="D112">
            <v>32474432.68</v>
          </cell>
          <cell r="E112">
            <v>53027602.509999998</v>
          </cell>
          <cell r="F112">
            <v>37529154.869999997</v>
          </cell>
          <cell r="G112">
            <v>59066954.340000004</v>
          </cell>
        </row>
        <row r="113">
          <cell r="B113" t="str">
            <v>TH</v>
          </cell>
          <cell r="C113">
            <v>11280404.949999999</v>
          </cell>
          <cell r="D113">
            <v>9639860.7899999991</v>
          </cell>
          <cell r="E113">
            <v>30835744.469999999</v>
          </cell>
          <cell r="F113">
            <v>8527904.3900000006</v>
          </cell>
          <cell r="G113">
            <v>10075283.800000001</v>
          </cell>
        </row>
        <row r="114">
          <cell r="B114" t="str">
            <v>UA</v>
          </cell>
          <cell r="C114">
            <v>25924170.59</v>
          </cell>
          <cell r="D114">
            <v>30497447.039999999</v>
          </cell>
          <cell r="E114">
            <v>64394124.799999997</v>
          </cell>
          <cell r="F114">
            <v>28289890.5</v>
          </cell>
          <cell r="G114">
            <v>29577940.41</v>
          </cell>
        </row>
        <row r="115">
          <cell r="B115" t="str">
            <v>US</v>
          </cell>
          <cell r="C115">
            <v>24778140.66</v>
          </cell>
          <cell r="D115">
            <v>20823064.620000001</v>
          </cell>
          <cell r="E115">
            <v>6118069.8700000001</v>
          </cell>
          <cell r="F115">
            <v>3783808.72</v>
          </cell>
          <cell r="G115">
            <v>9151612.0899999999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41"/>
  <sheetViews>
    <sheetView showGridLines="0" tabSelected="1" zoomScale="91" zoomScaleNormal="91" workbookViewId="0">
      <selection activeCell="J1" sqref="J1:J1048576"/>
    </sheetView>
  </sheetViews>
  <sheetFormatPr defaultColWidth="9.140625" defaultRowHeight="12.75" x14ac:dyDescent="0.2"/>
  <cols>
    <col min="1" max="1" width="28.28515625" style="9" customWidth="1"/>
    <col min="2" max="2" width="20.5703125" style="9" bestFit="1" customWidth="1"/>
    <col min="3" max="3" width="12" style="9" bestFit="1" customWidth="1"/>
    <col min="4" max="4" width="13.85546875" style="9" customWidth="1"/>
    <col min="5" max="6" width="11.85546875" style="9" customWidth="1"/>
    <col min="7" max="7" width="30.85546875" style="9" customWidth="1"/>
    <col min="8" max="8" width="13.5703125" style="22" customWidth="1"/>
    <col min="9" max="27" width="14" style="22" customWidth="1"/>
    <col min="28" max="28" width="35.85546875" style="22" customWidth="1"/>
    <col min="29" max="32" width="9.140625" style="9"/>
    <col min="33" max="33" width="22.140625" style="9" customWidth="1"/>
    <col min="34" max="34" width="9.140625" style="9"/>
    <col min="35" max="35" width="25.7109375" style="9" customWidth="1"/>
    <col min="36" max="16384" width="9.140625" style="9"/>
  </cols>
  <sheetData>
    <row r="1" spans="1:28" ht="18" x14ac:dyDescent="0.2">
      <c r="A1" s="48" t="s">
        <v>37</v>
      </c>
      <c r="B1" s="48"/>
      <c r="C1" s="48"/>
      <c r="D1" s="48"/>
      <c r="E1" s="48"/>
      <c r="F1" s="48"/>
      <c r="G1" s="48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spans="1:28" ht="15" customHeight="1" x14ac:dyDescent="0.2">
      <c r="A2" s="49" t="s">
        <v>36</v>
      </c>
      <c r="B2" s="49"/>
      <c r="C2" s="49"/>
      <c r="D2" s="49"/>
      <c r="E2" s="49"/>
      <c r="F2" s="49"/>
      <c r="G2" s="49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</row>
    <row r="3" spans="1:28" ht="18" customHeight="1" x14ac:dyDescent="0.2">
      <c r="A3" s="46" t="s">
        <v>6</v>
      </c>
      <c r="B3" s="14" t="s">
        <v>30</v>
      </c>
      <c r="C3" s="3"/>
      <c r="D3" s="4" t="s">
        <v>4</v>
      </c>
      <c r="E3" s="28" t="s">
        <v>33</v>
      </c>
      <c r="F3" s="10" t="s">
        <v>33</v>
      </c>
      <c r="G3" s="50" t="s">
        <v>31</v>
      </c>
    </row>
    <row r="4" spans="1:28" ht="15" x14ac:dyDescent="0.2">
      <c r="A4" s="45"/>
      <c r="B4" s="40" t="s">
        <v>3</v>
      </c>
      <c r="C4" s="40" t="s">
        <v>7</v>
      </c>
      <c r="D4" s="40" t="s">
        <v>8</v>
      </c>
      <c r="E4" s="29" t="s">
        <v>7</v>
      </c>
      <c r="F4" s="40" t="s">
        <v>8</v>
      </c>
      <c r="G4" s="51"/>
    </row>
    <row r="5" spans="1:28" x14ac:dyDescent="0.2">
      <c r="A5" s="47"/>
      <c r="B5" s="5" t="s">
        <v>0</v>
      </c>
      <c r="C5" s="5" t="s">
        <v>9</v>
      </c>
      <c r="D5" s="5" t="s">
        <v>10</v>
      </c>
      <c r="E5" s="30" t="str">
        <f>C5</f>
        <v>Private</v>
      </c>
      <c r="F5" s="5" t="str">
        <f>D5</f>
        <v>Government</v>
      </c>
      <c r="G5" s="52"/>
    </row>
    <row r="6" spans="1:28" ht="15" x14ac:dyDescent="0.2">
      <c r="A6" s="11" t="s">
        <v>0</v>
      </c>
      <c r="B6" s="15">
        <f>SUM(B7:B16)</f>
        <v>2993660.9101399989</v>
      </c>
      <c r="C6" s="16"/>
      <c r="D6" s="16"/>
      <c r="E6" s="31"/>
      <c r="F6" s="15"/>
      <c r="G6" s="12" t="s">
        <v>11</v>
      </c>
    </row>
    <row r="7" spans="1:28" ht="23.25" customHeight="1" x14ac:dyDescent="0.2">
      <c r="A7" s="17" t="s">
        <v>12</v>
      </c>
      <c r="B7" s="15">
        <f>SUM(C7:D7)</f>
        <v>430826.65630000009</v>
      </c>
      <c r="C7" s="26">
        <v>426609.78096000006</v>
      </c>
      <c r="D7" s="26">
        <v>4216.8753399999996</v>
      </c>
      <c r="E7" s="32">
        <f>C7/B7*100</f>
        <v>99.02121299173659</v>
      </c>
      <c r="F7" s="26">
        <f>D7/B7*100</f>
        <v>0.97878700826339715</v>
      </c>
      <c r="G7" s="37" t="s">
        <v>13</v>
      </c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Y7" s="35"/>
    </row>
    <row r="8" spans="1:28" ht="23.25" customHeight="1" x14ac:dyDescent="0.2">
      <c r="A8" s="17" t="s">
        <v>14</v>
      </c>
      <c r="B8" s="15">
        <f t="shared" ref="B8:B16" si="0">SUM(C8:D8)</f>
        <v>44867.227390000007</v>
      </c>
      <c r="C8" s="26">
        <v>44846.425250000008</v>
      </c>
      <c r="D8" s="26">
        <v>20.802139999999998</v>
      </c>
      <c r="E8" s="32">
        <f t="shared" ref="E8:E16" si="1">C8/B8*100</f>
        <v>99.95363622579309</v>
      </c>
      <c r="F8" s="26">
        <f t="shared" ref="F8:F9" si="2">D8/B8*100</f>
        <v>4.6363774206908924E-2</v>
      </c>
      <c r="G8" s="37" t="s">
        <v>15</v>
      </c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Y8" s="35"/>
    </row>
    <row r="9" spans="1:28" ht="23.25" customHeight="1" x14ac:dyDescent="0.2">
      <c r="A9" s="17" t="s">
        <v>16</v>
      </c>
      <c r="B9" s="15">
        <f t="shared" si="0"/>
        <v>1536603.9190599998</v>
      </c>
      <c r="C9" s="26">
        <v>341000.47449999984</v>
      </c>
      <c r="D9" s="26">
        <v>1195603.44456</v>
      </c>
      <c r="E9" s="32">
        <f t="shared" si="1"/>
        <v>22.191826421255197</v>
      </c>
      <c r="F9" s="26">
        <f t="shared" si="2"/>
        <v>77.808173578744814</v>
      </c>
      <c r="G9" s="37" t="s">
        <v>17</v>
      </c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Y9" s="35"/>
      <c r="Z9" s="9"/>
      <c r="AA9" s="9"/>
    </row>
    <row r="10" spans="1:28" ht="23.25" customHeight="1" x14ac:dyDescent="0.2">
      <c r="A10" s="17" t="s">
        <v>18</v>
      </c>
      <c r="B10" s="15">
        <f t="shared" si="0"/>
        <v>60468.186030000004</v>
      </c>
      <c r="C10" s="26">
        <v>60468.186030000004</v>
      </c>
      <c r="D10" s="26">
        <v>0</v>
      </c>
      <c r="E10" s="32">
        <f t="shared" si="1"/>
        <v>100</v>
      </c>
      <c r="F10" s="34">
        <f>D10/B10*100</f>
        <v>0</v>
      </c>
      <c r="G10" s="37" t="s">
        <v>32</v>
      </c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Y10" s="35"/>
      <c r="Z10" s="9"/>
      <c r="AA10" s="9"/>
    </row>
    <row r="11" spans="1:28" ht="23.25" customHeight="1" x14ac:dyDescent="0.2">
      <c r="A11" s="17" t="s">
        <v>19</v>
      </c>
      <c r="B11" s="15">
        <f t="shared" si="0"/>
        <v>13927.346979999993</v>
      </c>
      <c r="C11" s="26">
        <v>13927.346979999993</v>
      </c>
      <c r="D11" s="26">
        <v>0</v>
      </c>
      <c r="E11" s="32">
        <f t="shared" si="1"/>
        <v>100</v>
      </c>
      <c r="F11" s="34">
        <f t="shared" ref="F11:F16" si="3">D11/B11*100</f>
        <v>0</v>
      </c>
      <c r="G11" s="37" t="s">
        <v>20</v>
      </c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Y11" s="35"/>
      <c r="Z11" s="9"/>
      <c r="AA11" s="9"/>
    </row>
    <row r="12" spans="1:28" ht="23.25" customHeight="1" x14ac:dyDescent="0.2">
      <c r="A12" s="17" t="s">
        <v>22</v>
      </c>
      <c r="B12" s="15">
        <f t="shared" si="0"/>
        <v>9403.0186200000007</v>
      </c>
      <c r="C12" s="26">
        <v>9403.0186200000007</v>
      </c>
      <c r="D12" s="26">
        <v>0</v>
      </c>
      <c r="E12" s="32">
        <f t="shared" si="1"/>
        <v>100</v>
      </c>
      <c r="F12" s="34">
        <f t="shared" si="3"/>
        <v>0</v>
      </c>
      <c r="G12" s="38" t="s">
        <v>23</v>
      </c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Y12" s="35"/>
      <c r="Z12" s="9"/>
      <c r="AA12" s="9"/>
    </row>
    <row r="13" spans="1:28" ht="23.25" customHeight="1" x14ac:dyDescent="0.2">
      <c r="A13" s="17" t="s">
        <v>24</v>
      </c>
      <c r="B13" s="15">
        <f t="shared" si="0"/>
        <v>20254.390919999998</v>
      </c>
      <c r="C13" s="26">
        <v>10480.4943</v>
      </c>
      <c r="D13" s="34">
        <v>9773.8966199999995</v>
      </c>
      <c r="E13" s="32">
        <f t="shared" si="1"/>
        <v>51.744307401765113</v>
      </c>
      <c r="F13" s="34">
        <f t="shared" si="3"/>
        <v>48.255692598234894</v>
      </c>
      <c r="G13" s="37" t="s">
        <v>25</v>
      </c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Y13" s="35"/>
      <c r="Z13" s="9"/>
      <c r="AA13" s="9"/>
    </row>
    <row r="14" spans="1:28" ht="23.25" hidden="1" customHeight="1" x14ac:dyDescent="0.2">
      <c r="A14" s="17" t="s">
        <v>27</v>
      </c>
      <c r="B14" s="15">
        <v>0</v>
      </c>
      <c r="C14" s="26">
        <v>0</v>
      </c>
      <c r="D14" s="26">
        <v>0</v>
      </c>
      <c r="E14" s="32" t="s">
        <v>5</v>
      </c>
      <c r="F14" s="34" t="s">
        <v>5</v>
      </c>
      <c r="G14" s="37" t="s">
        <v>34</v>
      </c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Y14" s="35"/>
      <c r="Z14" s="9"/>
      <c r="AA14" s="9"/>
    </row>
    <row r="15" spans="1:28" ht="23.25" customHeight="1" x14ac:dyDescent="0.2">
      <c r="A15" s="17" t="s">
        <v>21</v>
      </c>
      <c r="B15" s="15">
        <f t="shared" si="0"/>
        <v>12293.38991</v>
      </c>
      <c r="C15" s="26">
        <v>12293.38991</v>
      </c>
      <c r="D15" s="26">
        <v>0</v>
      </c>
      <c r="E15" s="32">
        <f t="shared" si="1"/>
        <v>100</v>
      </c>
      <c r="F15" s="34">
        <f t="shared" si="3"/>
        <v>0</v>
      </c>
      <c r="G15" s="37" t="s">
        <v>26</v>
      </c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Y15" s="35"/>
      <c r="Z15" s="9"/>
      <c r="AA15" s="9"/>
    </row>
    <row r="16" spans="1:28" ht="23.25" customHeight="1" x14ac:dyDescent="0.2">
      <c r="A16" s="18" t="s">
        <v>28</v>
      </c>
      <c r="B16" s="19">
        <f t="shared" si="0"/>
        <v>865016.77492999949</v>
      </c>
      <c r="C16" s="27">
        <v>805884.02950999944</v>
      </c>
      <c r="D16" s="27">
        <v>59132.745419999999</v>
      </c>
      <c r="E16" s="33">
        <f t="shared" si="1"/>
        <v>93.163977030990495</v>
      </c>
      <c r="F16" s="27">
        <f t="shared" si="3"/>
        <v>6.8360229690095036</v>
      </c>
      <c r="G16" s="39" t="s">
        <v>29</v>
      </c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Y16" s="35"/>
      <c r="Z16" s="9"/>
      <c r="AA16" s="9"/>
    </row>
    <row r="17" spans="1:28" ht="15" x14ac:dyDescent="0.2">
      <c r="A17" s="1" t="s">
        <v>1</v>
      </c>
      <c r="B17" s="7"/>
      <c r="C17" s="7"/>
      <c r="D17" s="6"/>
      <c r="E17" s="8"/>
      <c r="F17" s="8"/>
      <c r="G17" s="36" t="s">
        <v>2</v>
      </c>
      <c r="H17" s="6"/>
      <c r="Y17" s="6"/>
      <c r="Z17" s="9"/>
      <c r="AA17" s="9"/>
      <c r="AB17" s="2"/>
    </row>
    <row r="18" spans="1:28" ht="12" customHeight="1" x14ac:dyDescent="0.2">
      <c r="A18" s="1" t="s">
        <v>35</v>
      </c>
      <c r="B18" s="7"/>
      <c r="C18" s="7"/>
      <c r="D18" s="6"/>
      <c r="E18" s="8"/>
      <c r="F18" s="8"/>
      <c r="G18" s="8"/>
      <c r="H18" s="23"/>
      <c r="Y18" s="6"/>
      <c r="Z18" s="9"/>
      <c r="AA18" s="9"/>
      <c r="AB18" s="2"/>
    </row>
    <row r="19" spans="1:28" ht="26.25" customHeight="1" x14ac:dyDescent="0.2"/>
    <row r="20" spans="1:28" ht="26.25" customHeight="1" x14ac:dyDescent="0.2"/>
    <row r="21" spans="1:28" ht="26.25" customHeight="1" x14ac:dyDescent="0.2">
      <c r="B21" s="7"/>
      <c r="C21" s="7"/>
      <c r="D21" s="6"/>
      <c r="E21" s="8"/>
      <c r="F21" s="8"/>
    </row>
    <row r="22" spans="1:28" ht="26.25" customHeight="1" x14ac:dyDescent="0.2">
      <c r="Z22" s="42" t="s">
        <v>12</v>
      </c>
      <c r="AA22" s="43">
        <f>B7/$B$6*100</f>
        <v>14.391297786623817</v>
      </c>
    </row>
    <row r="23" spans="1:28" ht="26.25" customHeight="1" x14ac:dyDescent="0.2">
      <c r="Z23" s="42" t="s">
        <v>14</v>
      </c>
      <c r="AA23" s="43">
        <f>B8/$B$6*100</f>
        <v>1.4987411312359282</v>
      </c>
    </row>
    <row r="24" spans="1:28" ht="26.25" customHeight="1" x14ac:dyDescent="0.2">
      <c r="Z24" s="42" t="s">
        <v>16</v>
      </c>
      <c r="AA24" s="43">
        <f>B9/$B$6*100</f>
        <v>51.328589482371946</v>
      </c>
    </row>
    <row r="25" spans="1:28" ht="26.25" customHeight="1" x14ac:dyDescent="0.2">
      <c r="Z25" s="42" t="s">
        <v>18</v>
      </c>
      <c r="AA25" s="43">
        <f>B10/$B$6*100</f>
        <v>2.0198742558044827</v>
      </c>
    </row>
    <row r="26" spans="1:28" ht="26.25" customHeight="1" x14ac:dyDescent="0.2">
      <c r="Z26" s="42" t="s">
        <v>19</v>
      </c>
      <c r="AA26" s="43">
        <f>B11/$B$6*100</f>
        <v>0.46522793990548111</v>
      </c>
    </row>
    <row r="27" spans="1:28" ht="26.25" customHeight="1" x14ac:dyDescent="0.2">
      <c r="Z27" s="42" t="s">
        <v>22</v>
      </c>
      <c r="AA27" s="43">
        <f>B12/$B$6*100</f>
        <v>0.31409765174641197</v>
      </c>
    </row>
    <row r="28" spans="1:28" ht="26.25" customHeight="1" x14ac:dyDescent="0.2">
      <c r="Z28" s="42" t="s">
        <v>24</v>
      </c>
      <c r="AA28" s="43">
        <f>B13/$B$6*100</f>
        <v>0.67657598933116314</v>
      </c>
    </row>
    <row r="29" spans="1:28" ht="26.25" customHeight="1" x14ac:dyDescent="0.2">
      <c r="A29" s="13"/>
      <c r="B29" s="7"/>
      <c r="C29" s="7"/>
      <c r="D29" s="6"/>
      <c r="E29" s="8"/>
      <c r="F29" s="8"/>
      <c r="G29" s="8"/>
      <c r="H29" s="24"/>
      <c r="Z29" s="42" t="s">
        <v>27</v>
      </c>
      <c r="AA29" s="43">
        <f>B14/$B$6*100</f>
        <v>0</v>
      </c>
    </row>
    <row r="30" spans="1:28" ht="26.25" customHeight="1" x14ac:dyDescent="0.2">
      <c r="B30" s="7"/>
      <c r="C30" s="7"/>
      <c r="D30" s="6"/>
      <c r="E30" s="8"/>
      <c r="F30" s="8"/>
      <c r="Z30" s="42" t="s">
        <v>21</v>
      </c>
      <c r="AA30" s="43">
        <f>B15/$B$6*100</f>
        <v>0.41064737386790739</v>
      </c>
    </row>
    <row r="31" spans="1:28" ht="26.25" customHeight="1" x14ac:dyDescent="0.2">
      <c r="Z31" s="44" t="s">
        <v>28</v>
      </c>
      <c r="AA31" s="43">
        <f>B16/$B$6*100</f>
        <v>28.89494838911288</v>
      </c>
    </row>
    <row r="32" spans="1:28" ht="26.25" customHeight="1" x14ac:dyDescent="0.2">
      <c r="AA32" s="41"/>
    </row>
    <row r="33" spans="1:27" ht="26.25" customHeight="1" x14ac:dyDescent="0.2">
      <c r="AA33" s="41">
        <f>SUM(AA22:AA32)</f>
        <v>100.00000000000001</v>
      </c>
    </row>
    <row r="34" spans="1:27" ht="26.25" customHeight="1" x14ac:dyDescent="0.2">
      <c r="B34" s="7"/>
      <c r="C34" s="7"/>
      <c r="D34" s="6"/>
      <c r="E34" s="8"/>
      <c r="F34" s="8"/>
    </row>
    <row r="35" spans="1:27" ht="26.25" customHeight="1" x14ac:dyDescent="0.2"/>
    <row r="36" spans="1:27" ht="26.25" customHeight="1" x14ac:dyDescent="0.2"/>
    <row r="37" spans="1:27" ht="26.25" customHeight="1" x14ac:dyDescent="0.2"/>
    <row r="38" spans="1:27" ht="26.25" customHeight="1" x14ac:dyDescent="0.2"/>
    <row r="39" spans="1:27" ht="26.25" customHeight="1" x14ac:dyDescent="0.2"/>
    <row r="40" spans="1:27" ht="26.25" customHeight="1" x14ac:dyDescent="0.2">
      <c r="A40" s="13"/>
      <c r="H40" s="25"/>
    </row>
    <row r="41" spans="1:27" ht="26.25" customHeight="1" x14ac:dyDescent="0.2"/>
  </sheetData>
  <mergeCells count="4">
    <mergeCell ref="A1:G1"/>
    <mergeCell ref="A2:G2"/>
    <mergeCell ref="A3:A5"/>
    <mergeCell ref="G3:G5"/>
  </mergeCells>
  <pageMargins left="0.17" right="0.16" top="0.75" bottom="0.75" header="0.3" footer="0.3"/>
  <pageSetup paperSize="9" scale="74" orientation="landscape" r:id="rId1"/>
  <rowBreaks count="1" manualBreakCount="1">
    <brk id="29" max="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15.4</vt:lpstr>
      <vt:lpstr>'15.4'!Print_Area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Fathimath Shifaza</cp:lastModifiedBy>
  <cp:lastPrinted>2018-08-13T06:09:48Z</cp:lastPrinted>
  <dcterms:created xsi:type="dcterms:W3CDTF">2007-02-07T09:08:05Z</dcterms:created>
  <dcterms:modified xsi:type="dcterms:W3CDTF">2018-08-13T06:10:08Z</dcterms:modified>
</cp:coreProperties>
</file>