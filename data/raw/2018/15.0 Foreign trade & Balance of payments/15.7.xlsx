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7" sheetId="44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R6" i="44" l="1"/>
  <c r="X8" i="44" s="1"/>
  <c r="X23" i="44" l="1"/>
  <c r="X15" i="44"/>
  <c r="X6" i="44"/>
  <c r="X22" i="44"/>
  <c r="X14" i="44"/>
  <c r="X7" i="44"/>
  <c r="X21" i="44"/>
  <c r="X13" i="44"/>
  <c r="X25" i="44"/>
  <c r="X17" i="44"/>
  <c r="X9" i="44"/>
  <c r="X28" i="44"/>
  <c r="X20" i="44"/>
  <c r="X12" i="44"/>
  <c r="X27" i="44"/>
  <c r="X19" i="44"/>
  <c r="X11" i="44"/>
  <c r="X26" i="44"/>
  <c r="X18" i="44"/>
  <c r="X10" i="44"/>
  <c r="X24" i="44"/>
  <c r="X16" i="44"/>
  <c r="Q6" i="44" l="1"/>
  <c r="W7" i="44" l="1"/>
  <c r="W6" i="44"/>
  <c r="W16" i="44"/>
  <c r="W24" i="44"/>
  <c r="W12" i="44"/>
  <c r="W17" i="44"/>
  <c r="W25" i="44"/>
  <c r="W13" i="44"/>
  <c r="W18" i="44"/>
  <c r="W26" i="44"/>
  <c r="W19" i="44"/>
  <c r="W27" i="44"/>
  <c r="W28" i="44"/>
  <c r="W21" i="44"/>
  <c r="W9" i="44"/>
  <c r="W14" i="44"/>
  <c r="W22" i="44"/>
  <c r="W10" i="44"/>
  <c r="W15" i="44"/>
  <c r="W11" i="44"/>
  <c r="W20" i="44"/>
  <c r="W8" i="44"/>
  <c r="W23" i="44"/>
  <c r="P6" i="44" l="1"/>
  <c r="V7" i="44" s="1"/>
  <c r="V12" i="44" l="1"/>
  <c r="V15" i="44"/>
  <c r="V23" i="44"/>
  <c r="V10" i="44"/>
  <c r="V13" i="44"/>
  <c r="V16" i="44"/>
  <c r="V24" i="44"/>
  <c r="V11" i="44"/>
  <c r="V26" i="44"/>
  <c r="V17" i="44"/>
  <c r="V25" i="44"/>
  <c r="V18" i="44"/>
  <c r="V19" i="44"/>
  <c r="V27" i="44"/>
  <c r="V14" i="44"/>
  <c r="V20" i="44"/>
  <c r="V28" i="44"/>
  <c r="V21" i="44"/>
  <c r="V8" i="44"/>
  <c r="V22" i="44"/>
  <c r="V9" i="44"/>
  <c r="V6" i="44"/>
  <c r="O6" i="44" l="1"/>
  <c r="U21" i="44" s="1"/>
  <c r="U22" i="44" l="1"/>
  <c r="U14" i="44"/>
  <c r="U6" i="44"/>
  <c r="U7" i="44"/>
  <c r="U20" i="44"/>
  <c r="U11" i="44"/>
  <c r="U28" i="44"/>
  <c r="U19" i="44"/>
  <c r="U10" i="44"/>
  <c r="U27" i="44"/>
  <c r="U18" i="44"/>
  <c r="U9" i="44"/>
  <c r="U25" i="44"/>
  <c r="U17" i="44"/>
  <c r="U8" i="44"/>
  <c r="U24" i="44"/>
  <c r="U16" i="44"/>
  <c r="U23" i="44"/>
  <c r="U12" i="44"/>
  <c r="U15" i="44"/>
  <c r="N6" i="44" l="1"/>
  <c r="T6" i="44" s="1"/>
  <c r="M6" i="44"/>
  <c r="S20" i="44" s="1"/>
  <c r="L6" i="44"/>
  <c r="K6" i="44"/>
  <c r="J6" i="44"/>
  <c r="I6" i="44"/>
  <c r="H6" i="44"/>
  <c r="G6" i="44"/>
  <c r="F6" i="44"/>
  <c r="E6" i="44"/>
  <c r="D6" i="44"/>
  <c r="C6" i="44"/>
  <c r="T11" i="44" l="1"/>
  <c r="T20" i="44"/>
  <c r="T16" i="44"/>
  <c r="T24" i="44"/>
  <c r="T12" i="44"/>
  <c r="T17" i="44"/>
  <c r="T21" i="44"/>
  <c r="T25" i="44"/>
  <c r="S11" i="44"/>
  <c r="T7" i="44"/>
  <c r="T9" i="44"/>
  <c r="T14" i="44"/>
  <c r="T18" i="44"/>
  <c r="T22" i="44"/>
  <c r="T27" i="44"/>
  <c r="S16" i="44"/>
  <c r="T10" i="44"/>
  <c r="T15" i="44"/>
  <c r="T19" i="44"/>
  <c r="T23" i="44"/>
  <c r="T28" i="44"/>
  <c r="T8" i="44"/>
  <c r="S28" i="44"/>
  <c r="S8" i="44"/>
  <c r="S12" i="44"/>
  <c r="S17" i="44"/>
  <c r="S21" i="44"/>
  <c r="S25" i="44"/>
  <c r="S9" i="44"/>
  <c r="S14" i="44"/>
  <c r="S18" i="44"/>
  <c r="S22" i="44"/>
  <c r="S27" i="44"/>
  <c r="S6" i="44"/>
  <c r="S10" i="44"/>
  <c r="S15" i="44"/>
  <c r="S19" i="44"/>
  <c r="S23" i="44"/>
  <c r="S24" i="44"/>
  <c r="S7" i="44"/>
</calcChain>
</file>

<file path=xl/sharedStrings.xml><?xml version="1.0" encoding="utf-8"?>
<sst xmlns="http://schemas.openxmlformats.org/spreadsheetml/2006/main" count="57" uniqueCount="57">
  <si>
    <t>% Share</t>
  </si>
  <si>
    <t>Country</t>
  </si>
  <si>
    <t>U.K</t>
  </si>
  <si>
    <t>France</t>
  </si>
  <si>
    <t>Germany</t>
  </si>
  <si>
    <t>Italy</t>
  </si>
  <si>
    <t>Sweden</t>
  </si>
  <si>
    <t>Switzerland</t>
  </si>
  <si>
    <t>Others</t>
  </si>
  <si>
    <t>Singapore</t>
  </si>
  <si>
    <t>Malaysia</t>
  </si>
  <si>
    <t>Sri Lanka</t>
  </si>
  <si>
    <t>Thailand</t>
  </si>
  <si>
    <t>Japan</t>
  </si>
  <si>
    <t>South Africa</t>
  </si>
  <si>
    <t>U.A.E</t>
  </si>
  <si>
    <t>Netherland</t>
  </si>
  <si>
    <t>cscnWrcf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</si>
  <si>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</si>
  <si>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</si>
  <si>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</si>
  <si>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</si>
  <si>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</si>
  <si>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</si>
  <si>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</si>
  <si>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</si>
  <si>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(cniaWyifur '000) ugwa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</si>
  <si>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</si>
  <si>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</si>
  <si>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</si>
  <si>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</si>
  <si>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</si>
  <si>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</si>
  <si>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</si>
  <si>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</si>
  <si>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</si>
  <si>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</si>
  <si>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</si>
  <si>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Value ( in Rf. ' 000 )</t>
  </si>
  <si>
    <t>cawtumuawq unuvunof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</si>
  <si>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</si>
  <si>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</si>
  <si>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</si>
  <si>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</si>
  <si>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</si>
  <si>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</si>
  <si>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</si>
  <si>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</si>
  <si>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-</t>
  </si>
  <si>
    <t>Wkircfea utuaws</t>
  </si>
  <si>
    <t>އެހެނިހެން</t>
  </si>
  <si>
    <t>Source:  Maldives Custom Services</t>
  </si>
  <si>
    <t xml:space="preserve">cswsivrWs ccscmwTcswk cscviDclOm :ctWrwfivcaed utWmUluAwm    </t>
  </si>
  <si>
    <t>އަޔަލެންޑް</t>
  </si>
  <si>
    <t>ސްވިޒަރލޭންޑް</t>
  </si>
  <si>
    <t>Table  15.7 :   MARINE PRODUCT EXPORTS BY THE PRIVATE SECTOR BY COUNTRY OF DESTINATION, 2012 - 2017</t>
  </si>
  <si>
    <t>2017 - 2012 ,cawtumuawq uuvunof cawtctwvWb eguDnwk unuveruk cTOpcsckea cnukwtctWrwfwlcaimwa : 15.7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</si>
</sst>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#,##0.0"/>
    <numFmt numFmtId="170" formatCode="0.00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b/>
      <sz val="11"/>
      <name val="A_Randhoo"/>
    </font>
    <font>
      <sz val="10"/>
      <name val="Arial"/>
      <family val="2"/>
    </font>
    <font>
      <sz val="11"/>
      <name val="A_Randhoo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sz val="11"/>
      <name val="A_Utheem"/>
    </font>
    <font>
      <b/>
      <sz val="11"/>
      <name val="Courier New"/>
      <family val="3"/>
    </font>
    <font>
      <b/>
      <sz val="10"/>
      <name val="Aammu HimaThedhu"/>
    </font>
    <font>
      <sz val="11"/>
      <name val="Farum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_Randhoo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 tint="4.9989318521683403E-2"/>
      </right>
      <top style="thin">
        <color indexed="64"/>
      </top>
      <bottom/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1" tint="4.9989318521683403E-2"/>
      </right>
      <top/>
      <bottom style="hair">
        <color theme="1" tint="4.9989318521683403E-2"/>
      </bottom>
      <diagonal/>
    </border>
    <border>
      <left/>
      <right style="thin">
        <color theme="1" tint="4.9989318521683403E-2"/>
      </right>
      <top style="thin">
        <color theme="0"/>
      </top>
      <bottom style="thin">
        <color theme="0"/>
      </bottom>
      <diagonal/>
    </border>
    <border>
      <left/>
      <right style="thin">
        <color theme="1" tint="4.9989318521683403E-2"/>
      </right>
      <top style="thin">
        <color theme="0"/>
      </top>
      <bottom style="thin">
        <color indexed="64"/>
      </bottom>
      <diagonal/>
    </border>
  </borders>
  <cellStyleXfs count="68">
    <xf numFmtId="0" fontId="0" fillId="0" borderId="0"/>
    <xf numFmtId="0" fontId="4" fillId="0" borderId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9" fillId="0" borderId="0"/>
    <xf numFmtId="0" fontId="10" fillId="0" borderId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9" applyNumberFormat="0" applyFill="0" applyAlignment="0" applyProtection="0"/>
    <xf numFmtId="0" fontId="33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0" applyNumberFormat="0" applyFill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32" applyNumberFormat="0" applyAlignment="0" applyProtection="0"/>
    <xf numFmtId="0" fontId="39" fillId="7" borderId="33" applyNumberFormat="0" applyAlignment="0" applyProtection="0"/>
    <xf numFmtId="0" fontId="40" fillId="7" borderId="32" applyNumberFormat="0" applyAlignment="0" applyProtection="0"/>
    <xf numFmtId="0" fontId="41" fillId="0" borderId="34" applyNumberFormat="0" applyFill="0" applyAlignment="0" applyProtection="0"/>
    <xf numFmtId="0" fontId="42" fillId="8" borderId="35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37" applyNumberFormat="0" applyFill="0" applyAlignment="0" applyProtection="0"/>
    <xf numFmtId="0" fontId="4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5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3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3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6" fillId="34" borderId="0" applyNumberFormat="0" applyBorder="0" applyAlignment="0" applyProtection="0"/>
  </cellStyleXfs>
  <cellXfs count="83">
    <xf numFmtId="0" fontId="0" fillId="0" borderId="0" xfId="0"/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4" fillId="2" borderId="0" xfId="0" applyFont="1" applyFill="1"/>
    <xf numFmtId="0" fontId="28" fillId="2" borderId="0" xfId="0" applyFont="1" applyFill="1"/>
    <xf numFmtId="164" fontId="26" fillId="2" borderId="3" xfId="3" applyNumberFormat="1" applyFont="1" applyFill="1" applyBorder="1" applyAlignment="1">
      <alignment horizontal="right" vertical="center"/>
    </xf>
    <xf numFmtId="164" fontId="26" fillId="2" borderId="3" xfId="3" applyNumberFormat="1" applyFont="1" applyFill="1" applyBorder="1" applyAlignment="1">
      <alignment horizontal="right"/>
    </xf>
    <xf numFmtId="164" fontId="26" fillId="2" borderId="3" xfId="0" applyNumberFormat="1" applyFont="1" applyFill="1" applyBorder="1" applyAlignment="1">
      <alignment horizontal="right"/>
    </xf>
    <xf numFmtId="0" fontId="11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27" fillId="2" borderId="10" xfId="0" applyFont="1" applyFill="1" applyBorder="1" applyAlignment="1" applyProtection="1">
      <alignment horizontal="right" vertical="center"/>
    </xf>
    <xf numFmtId="0" fontId="24" fillId="2" borderId="5" xfId="0" applyFont="1" applyFill="1" applyBorder="1" applyAlignment="1" applyProtection="1">
      <alignment horizontal="left" vertical="center"/>
    </xf>
    <xf numFmtId="164" fontId="24" fillId="2" borderId="5" xfId="3" applyNumberFormat="1" applyFont="1" applyFill="1" applyBorder="1" applyAlignment="1">
      <alignment vertical="center"/>
    </xf>
    <xf numFmtId="164" fontId="24" fillId="2" borderId="5" xfId="3" applyNumberFormat="1" applyFont="1" applyFill="1" applyBorder="1" applyAlignment="1">
      <alignment horizontal="right" vertical="center"/>
    </xf>
    <xf numFmtId="0" fontId="29" fillId="2" borderId="8" xfId="0" applyFont="1" applyFill="1" applyBorder="1" applyAlignment="1">
      <alignment horizontal="right" vertical="center"/>
    </xf>
    <xf numFmtId="0" fontId="26" fillId="2" borderId="3" xfId="0" applyFont="1" applyFill="1" applyBorder="1" applyAlignment="1" applyProtection="1">
      <alignment horizontal="left" vertical="center"/>
    </xf>
    <xf numFmtId="0" fontId="13" fillId="2" borderId="6" xfId="0" applyFont="1" applyFill="1" applyBorder="1" applyAlignment="1">
      <alignment horizontal="right" vertical="center"/>
    </xf>
    <xf numFmtId="0" fontId="26" fillId="2" borderId="10" xfId="0" applyFont="1" applyFill="1" applyBorder="1" applyAlignment="1" applyProtection="1">
      <alignment horizontal="left" vertical="center"/>
    </xf>
    <xf numFmtId="0" fontId="26" fillId="2" borderId="10" xfId="0" applyFont="1" applyFill="1" applyBorder="1" applyAlignment="1">
      <alignment horizontal="right" vertical="center"/>
    </xf>
    <xf numFmtId="164" fontId="26" fillId="2" borderId="10" xfId="0" applyNumberFormat="1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/>
    </xf>
    <xf numFmtId="0" fontId="14" fillId="2" borderId="5" xfId="0" applyFont="1" applyFill="1" applyBorder="1"/>
    <xf numFmtId="0" fontId="14" fillId="2" borderId="0" xfId="0" applyFont="1" applyFill="1" applyAlignment="1">
      <alignment horizontal="right"/>
    </xf>
    <xf numFmtId="0" fontId="14" fillId="2" borderId="0" xfId="0" applyFont="1" applyFill="1" applyBorder="1"/>
    <xf numFmtId="0" fontId="27" fillId="2" borderId="13" xfId="0" applyFont="1" applyFill="1" applyBorder="1" applyAlignment="1" applyProtection="1">
      <alignment horizontal="right" vertical="center"/>
    </xf>
    <xf numFmtId="0" fontId="27" fillId="2" borderId="14" xfId="0" applyFont="1" applyFill="1" applyBorder="1" applyAlignment="1" applyProtection="1">
      <alignment horizontal="right" vertical="center"/>
    </xf>
    <xf numFmtId="167" fontId="26" fillId="2" borderId="3" xfId="3" applyNumberFormat="1" applyFont="1" applyFill="1" applyBorder="1" applyAlignment="1">
      <alignment horizontal="right" vertical="center"/>
    </xf>
    <xf numFmtId="167" fontId="26" fillId="2" borderId="10" xfId="3" applyNumberFormat="1" applyFont="1" applyFill="1" applyBorder="1" applyAlignment="1">
      <alignment horizontal="right" vertical="center"/>
    </xf>
    <xf numFmtId="3" fontId="24" fillId="2" borderId="15" xfId="3" applyNumberFormat="1" applyFont="1" applyFill="1" applyBorder="1" applyAlignment="1">
      <alignment horizontal="right" vertical="center"/>
    </xf>
    <xf numFmtId="167" fontId="24" fillId="2" borderId="9" xfId="3" applyNumberFormat="1" applyFont="1" applyFill="1" applyBorder="1" applyAlignment="1">
      <alignment vertical="center"/>
    </xf>
    <xf numFmtId="167" fontId="24" fillId="2" borderId="5" xfId="3" applyNumberFormat="1" applyFont="1" applyFill="1" applyBorder="1" applyAlignment="1">
      <alignment vertical="center"/>
    </xf>
    <xf numFmtId="167" fontId="26" fillId="2" borderId="16" xfId="3" applyNumberFormat="1" applyFont="1" applyFill="1" applyBorder="1" applyAlignment="1">
      <alignment horizontal="right" vertical="center"/>
    </xf>
    <xf numFmtId="0" fontId="30" fillId="2" borderId="5" xfId="0" applyFont="1" applyFill="1" applyBorder="1" applyAlignment="1" applyProtection="1">
      <alignment horizontal="left" vertical="center"/>
    </xf>
    <xf numFmtId="0" fontId="5" fillId="2" borderId="5" xfId="0" applyFont="1" applyFill="1" applyBorder="1"/>
    <xf numFmtId="0" fontId="6" fillId="2" borderId="8" xfId="0" applyFont="1" applyFill="1" applyBorder="1" applyAlignment="1">
      <alignment horizontal="right" vertical="center"/>
    </xf>
    <xf numFmtId="0" fontId="19" fillId="2" borderId="7" xfId="0" applyFont="1" applyFill="1" applyBorder="1" applyAlignment="1">
      <alignment horizontal="right" vertical="center"/>
    </xf>
    <xf numFmtId="167" fontId="26" fillId="2" borderId="21" xfId="3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 applyProtection="1">
      <alignment horizontal="right" vertical="center"/>
    </xf>
    <xf numFmtId="167" fontId="3" fillId="2" borderId="5" xfId="3" applyNumberFormat="1" applyFont="1" applyFill="1" applyBorder="1" applyAlignment="1">
      <alignment vertical="center"/>
    </xf>
    <xf numFmtId="0" fontId="27" fillId="2" borderId="25" xfId="0" applyFont="1" applyFill="1" applyBorder="1" applyAlignment="1" applyProtection="1">
      <alignment horizontal="right" vertical="center"/>
    </xf>
    <xf numFmtId="167" fontId="3" fillId="2" borderId="10" xfId="3" applyNumberFormat="1" applyFont="1" applyFill="1" applyBorder="1" applyAlignment="1">
      <alignment vertical="center"/>
    </xf>
    <xf numFmtId="0" fontId="5" fillId="2" borderId="8" xfId="0" applyFont="1" applyFill="1" applyBorder="1"/>
    <xf numFmtId="0" fontId="27" fillId="2" borderId="26" xfId="0" applyFont="1" applyFill="1" applyBorder="1" applyAlignment="1" applyProtection="1">
      <alignment horizontal="right" vertical="center"/>
    </xf>
    <xf numFmtId="3" fontId="27" fillId="2" borderId="27" xfId="3" applyNumberFormat="1" applyFont="1" applyFill="1" applyBorder="1" applyAlignment="1">
      <alignment horizontal="right" vertical="center"/>
    </xf>
    <xf numFmtId="167" fontId="3" fillId="2" borderId="3" xfId="3" applyNumberFormat="1" applyFont="1" applyFill="1" applyBorder="1" applyAlignment="1">
      <alignment vertical="center"/>
    </xf>
    <xf numFmtId="1" fontId="1" fillId="2" borderId="0" xfId="52" applyNumberFormat="1" applyFont="1" applyFill="1"/>
    <xf numFmtId="0" fontId="23" fillId="2" borderId="6" xfId="0" applyFont="1" applyFill="1" applyBorder="1" applyAlignment="1">
      <alignment horizontal="right" vertical="center"/>
    </xf>
    <xf numFmtId="3" fontId="26" fillId="2" borderId="17" xfId="0" applyNumberFormat="1" applyFont="1" applyFill="1" applyBorder="1" applyAlignment="1">
      <alignment horizontal="right" vertical="center"/>
    </xf>
    <xf numFmtId="3" fontId="26" fillId="2" borderId="19" xfId="0" applyNumberFormat="1" applyFont="1" applyFill="1" applyBorder="1" applyAlignment="1">
      <alignment horizontal="right" vertical="center"/>
    </xf>
    <xf numFmtId="3" fontId="27" fillId="2" borderId="18" xfId="3" applyNumberFormat="1" applyFont="1" applyFill="1" applyBorder="1" applyAlignment="1">
      <alignment horizontal="right" vertical="center"/>
    </xf>
    <xf numFmtId="3" fontId="27" fillId="2" borderId="15" xfId="3" applyNumberFormat="1" applyFont="1" applyFill="1" applyBorder="1" applyAlignment="1">
      <alignment horizontal="right" vertical="center"/>
    </xf>
    <xf numFmtId="0" fontId="27" fillId="2" borderId="39" xfId="0" applyFont="1" applyFill="1" applyBorder="1" applyAlignment="1" applyProtection="1">
      <alignment horizontal="right" vertical="center"/>
    </xf>
    <xf numFmtId="164" fontId="24" fillId="2" borderId="8" xfId="3" applyNumberFormat="1" applyFont="1" applyFill="1" applyBorder="1" applyAlignment="1">
      <alignment vertical="center"/>
    </xf>
    <xf numFmtId="4" fontId="24" fillId="2" borderId="15" xfId="3" applyNumberFormat="1" applyFont="1" applyFill="1" applyBorder="1" applyAlignment="1">
      <alignment vertical="center"/>
    </xf>
    <xf numFmtId="43" fontId="26" fillId="2" borderId="6" xfId="3" applyFont="1" applyFill="1" applyBorder="1" applyAlignment="1">
      <alignment horizontal="right"/>
    </xf>
    <xf numFmtId="43" fontId="26" fillId="2" borderId="17" xfId="3" applyFont="1" applyFill="1" applyBorder="1" applyAlignment="1">
      <alignment horizontal="right"/>
    </xf>
    <xf numFmtId="43" fontId="26" fillId="2" borderId="17" xfId="3" applyFont="1" applyFill="1" applyBorder="1" applyAlignment="1">
      <alignment horizontal="right" vertical="center"/>
    </xf>
    <xf numFmtId="3" fontId="26" fillId="2" borderId="17" xfId="3" applyNumberFormat="1" applyFont="1" applyFill="1" applyBorder="1" applyAlignment="1">
      <alignment horizontal="right" vertical="center"/>
    </xf>
    <xf numFmtId="164" fontId="26" fillId="2" borderId="7" xfId="0" applyNumberFormat="1" applyFont="1" applyFill="1" applyBorder="1" applyAlignment="1">
      <alignment horizontal="right" vertical="center"/>
    </xf>
    <xf numFmtId="43" fontId="26" fillId="2" borderId="19" xfId="3" applyFont="1" applyFill="1" applyBorder="1" applyAlignment="1">
      <alignment horizontal="right" vertical="center"/>
    </xf>
    <xf numFmtId="3" fontId="26" fillId="2" borderId="19" xfId="3" applyNumberFormat="1" applyFont="1" applyFill="1" applyBorder="1" applyAlignment="1">
      <alignment horizontal="right" vertical="center"/>
    </xf>
    <xf numFmtId="167" fontId="24" fillId="2" borderId="11" xfId="3" applyNumberFormat="1" applyFont="1" applyFill="1" applyBorder="1" applyAlignment="1">
      <alignment vertical="center"/>
    </xf>
    <xf numFmtId="3" fontId="26" fillId="2" borderId="28" xfId="0" applyNumberFormat="1" applyFont="1" applyFill="1" applyBorder="1" applyAlignment="1">
      <alignment horizontal="right" vertical="center"/>
    </xf>
    <xf numFmtId="3" fontId="26" fillId="2" borderId="41" xfId="0" applyNumberFormat="1" applyFont="1" applyFill="1" applyBorder="1" applyAlignment="1">
      <alignment horizontal="right" vertical="center"/>
    </xf>
    <xf numFmtId="3" fontId="26" fillId="2" borderId="42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left" vertical="center"/>
    </xf>
    <xf numFmtId="0" fontId="27" fillId="2" borderId="12" xfId="0" applyFont="1" applyFill="1" applyBorder="1" applyAlignment="1" applyProtection="1">
      <alignment horizontal="left" vertical="center"/>
    </xf>
    <xf numFmtId="0" fontId="27" fillId="2" borderId="4" xfId="0" applyFont="1" applyFill="1" applyBorder="1" applyAlignment="1" applyProtection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/>
    </xf>
    <xf numFmtId="0" fontId="25" fillId="2" borderId="0" xfId="0" applyFont="1" applyFill="1" applyBorder="1" applyAlignment="1" applyProtection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9"/>
  <sheetViews>
    <sheetView tabSelected="1" zoomScaleNormal="100" workbookViewId="0">
      <selection activeCell="T8" sqref="T8"/>
    </sheetView>
  </sheetViews>
  <sheetFormatPr defaultColWidth="9.140625" defaultRowHeight="21.75" customHeight="1" x14ac:dyDescent="0.2"/>
  <cols>
    <col min="1" max="1" width="21.7109375" style="3" customWidth="1"/>
    <col min="2" max="8" width="14" style="24" hidden="1" customWidth="1"/>
    <col min="9" max="12" width="10.7109375" style="3" hidden="1" customWidth="1"/>
    <col min="13" max="18" width="12.28515625" style="3" customWidth="1"/>
    <col min="19" max="24" width="9.42578125" style="25" customWidth="1"/>
    <col min="25" max="25" width="17.7109375" style="3" customWidth="1"/>
    <col min="26" max="16384" width="9.140625" style="3"/>
  </cols>
  <sheetData>
    <row r="1" spans="1:25" s="1" customFormat="1" ht="18.75" customHeight="1" x14ac:dyDescent="0.2">
      <c r="A1" s="67" t="s">
        <v>56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5" s="2" customFormat="1" ht="18" customHeight="1" x14ac:dyDescent="0.2">
      <c r="A2" s="68" t="s">
        <v>55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1.75" customHeight="1" x14ac:dyDescent="0.4">
      <c r="A3" s="69" t="s">
        <v>1</v>
      </c>
      <c r="B3" s="8"/>
      <c r="C3" s="8"/>
      <c r="D3" s="9"/>
      <c r="E3" s="77" t="s">
        <v>26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S3" s="75" t="s">
        <v>27</v>
      </c>
      <c r="T3" s="75"/>
      <c r="U3" s="75"/>
      <c r="V3" s="75"/>
      <c r="W3" s="75"/>
      <c r="X3" s="75"/>
      <c r="Y3" s="72" t="s">
        <v>39</v>
      </c>
    </row>
    <row r="4" spans="1:25" ht="15" customHeight="1" x14ac:dyDescent="0.2">
      <c r="A4" s="70"/>
      <c r="B4" s="10"/>
      <c r="C4" s="10"/>
      <c r="D4" s="11"/>
      <c r="E4" s="80" t="s">
        <v>38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2"/>
      <c r="S4" s="76" t="s">
        <v>0</v>
      </c>
      <c r="T4" s="76"/>
      <c r="U4" s="76"/>
      <c r="V4" s="76"/>
      <c r="W4" s="76"/>
      <c r="X4" s="76"/>
      <c r="Y4" s="73"/>
    </row>
    <row r="5" spans="1:25" ht="17.25" customHeight="1" x14ac:dyDescent="0.2">
      <c r="A5" s="71"/>
      <c r="B5" s="12">
        <v>2000</v>
      </c>
      <c r="C5" s="12">
        <v>2001</v>
      </c>
      <c r="D5" s="12">
        <v>2002</v>
      </c>
      <c r="E5" s="26">
        <v>2004</v>
      </c>
      <c r="F5" s="39">
        <v>2005</v>
      </c>
      <c r="G5" s="39">
        <v>2006</v>
      </c>
      <c r="H5" s="39">
        <v>2007</v>
      </c>
      <c r="I5" s="39">
        <v>2008</v>
      </c>
      <c r="J5" s="39">
        <v>2009</v>
      </c>
      <c r="K5" s="39">
        <v>2010</v>
      </c>
      <c r="L5" s="39">
        <v>2011</v>
      </c>
      <c r="M5" s="39">
        <v>2012</v>
      </c>
      <c r="N5" s="39">
        <v>2013</v>
      </c>
      <c r="O5" s="44">
        <v>2014</v>
      </c>
      <c r="P5" s="44">
        <v>2015</v>
      </c>
      <c r="Q5" s="44">
        <v>2016</v>
      </c>
      <c r="R5" s="41">
        <v>2017</v>
      </c>
      <c r="S5" s="53">
        <v>2012</v>
      </c>
      <c r="T5" s="27">
        <v>2013</v>
      </c>
      <c r="U5" s="27">
        <v>2014</v>
      </c>
      <c r="V5" s="27">
        <v>2015</v>
      </c>
      <c r="W5" s="27">
        <v>2016</v>
      </c>
      <c r="X5" s="27">
        <v>2017</v>
      </c>
      <c r="Y5" s="74"/>
    </row>
    <row r="6" spans="1:25" s="4" customFormat="1" ht="21.75" customHeight="1" x14ac:dyDescent="0.2">
      <c r="A6" s="13" t="s">
        <v>40</v>
      </c>
      <c r="B6" s="14">
        <v>250908.96178000001</v>
      </c>
      <c r="C6" s="14">
        <f>SUM(C18:C27)</f>
        <v>74848.081659999996</v>
      </c>
      <c r="D6" s="15">
        <f>SUM(D18:D27)</f>
        <v>65919.157500000001</v>
      </c>
      <c r="E6" s="54">
        <f>SUM(E18:E27)</f>
        <v>59646.703879999994</v>
      </c>
      <c r="F6" s="55">
        <f t="shared" ref="F6:L6" si="0">SUM(F7:F28)</f>
        <v>701897.25349999988</v>
      </c>
      <c r="G6" s="55">
        <f t="shared" si="0"/>
        <v>848786.56592999992</v>
      </c>
      <c r="H6" s="55">
        <f t="shared" si="0"/>
        <v>728857.57053000003</v>
      </c>
      <c r="I6" s="30">
        <f t="shared" si="0"/>
        <v>833356.02328999981</v>
      </c>
      <c r="J6" s="30">
        <f t="shared" si="0"/>
        <v>585685.18434000004</v>
      </c>
      <c r="K6" s="30">
        <f t="shared" si="0"/>
        <v>704610.42304999987</v>
      </c>
      <c r="L6" s="52">
        <f t="shared" si="0"/>
        <v>1652181.0466499997</v>
      </c>
      <c r="M6" s="52">
        <f t="shared" ref="M6:R6" si="1">SUM(M7:M28)</f>
        <v>1460935.4034999998</v>
      </c>
      <c r="N6" s="51">
        <f t="shared" si="1"/>
        <v>1524346.4708700001</v>
      </c>
      <c r="O6" s="51">
        <f t="shared" si="1"/>
        <v>1434748.4856499999</v>
      </c>
      <c r="P6" s="51">
        <f t="shared" si="1"/>
        <v>1589662.3200000003</v>
      </c>
      <c r="Q6" s="51">
        <f t="shared" si="1"/>
        <v>1450647.3326300003</v>
      </c>
      <c r="R6" s="45">
        <f t="shared" si="1"/>
        <v>1786762.1836099999</v>
      </c>
      <c r="S6" s="31">
        <f t="shared" ref="S6:X6" si="2">M6/M6*100</f>
        <v>100</v>
      </c>
      <c r="T6" s="32">
        <f t="shared" si="2"/>
        <v>100</v>
      </c>
      <c r="U6" s="32">
        <f t="shared" si="2"/>
        <v>100</v>
      </c>
      <c r="V6" s="32">
        <f t="shared" si="2"/>
        <v>100</v>
      </c>
      <c r="W6" s="32">
        <f t="shared" si="2"/>
        <v>100</v>
      </c>
      <c r="X6" s="63">
        <f t="shared" si="2"/>
        <v>100</v>
      </c>
      <c r="Y6" s="16" t="s">
        <v>41</v>
      </c>
    </row>
    <row r="7" spans="1:25" ht="21.75" customHeight="1" x14ac:dyDescent="0.25">
      <c r="A7" s="17" t="s">
        <v>12</v>
      </c>
      <c r="B7" s="5">
        <v>1784.3471999999999</v>
      </c>
      <c r="C7" s="6">
        <v>18802.443629999998</v>
      </c>
      <c r="D7" s="6">
        <v>21608.379359999999</v>
      </c>
      <c r="E7" s="56">
        <v>151851.37810999999</v>
      </c>
      <c r="F7" s="57">
        <v>131224.31492</v>
      </c>
      <c r="G7" s="57">
        <v>160533.00138999999</v>
      </c>
      <c r="H7" s="58">
        <v>172727.51618000001</v>
      </c>
      <c r="I7" s="59">
        <v>248339.02628999998</v>
      </c>
      <c r="J7" s="59">
        <v>40192.995240000004</v>
      </c>
      <c r="K7" s="49">
        <v>163878.34912999999</v>
      </c>
      <c r="L7" s="49">
        <v>469033.08120999997</v>
      </c>
      <c r="M7" s="49">
        <v>33583.48936</v>
      </c>
      <c r="N7" s="49">
        <v>181541.02872</v>
      </c>
      <c r="O7" s="49">
        <v>66468.986999999994</v>
      </c>
      <c r="P7" s="49">
        <v>41615.9</v>
      </c>
      <c r="Q7" s="49">
        <v>99802.778399999996</v>
      </c>
      <c r="R7" s="64">
        <v>0</v>
      </c>
      <c r="S7" s="33">
        <f t="shared" ref="S7:S28" si="3">M7/$M$6*100</f>
        <v>2.2987662068797281</v>
      </c>
      <c r="T7" s="28">
        <f>N7/$N$6*100</f>
        <v>11.909433464715402</v>
      </c>
      <c r="U7" s="40">
        <f>O7/$O$6*100</f>
        <v>4.6327971532854981</v>
      </c>
      <c r="V7" s="46">
        <f>P7/$P$6*100</f>
        <v>2.6179081856831075</v>
      </c>
      <c r="W7" s="46">
        <f t="shared" ref="W7:W28" si="4">Q7/$Q$6*100</f>
        <v>6.8798788068674943</v>
      </c>
      <c r="X7" s="46">
        <f>R7/$R$6*100</f>
        <v>0</v>
      </c>
      <c r="Y7" s="18" t="s">
        <v>24</v>
      </c>
    </row>
    <row r="8" spans="1:25" ht="21.75" customHeight="1" x14ac:dyDescent="0.25">
      <c r="A8" s="17" t="s">
        <v>3</v>
      </c>
      <c r="B8" s="5">
        <v>157.48729999999998</v>
      </c>
      <c r="C8" s="6">
        <v>90.316749999999999</v>
      </c>
      <c r="D8" s="7">
        <v>248.17683</v>
      </c>
      <c r="E8" s="56">
        <v>22727.700440000001</v>
      </c>
      <c r="F8" s="57">
        <v>38114.117549999995</v>
      </c>
      <c r="G8" s="57">
        <v>61508.791689999998</v>
      </c>
      <c r="H8" s="58">
        <v>82787.451560000001</v>
      </c>
      <c r="I8" s="59">
        <v>118303.97892000001</v>
      </c>
      <c r="J8" s="59">
        <v>93021.492110000007</v>
      </c>
      <c r="K8" s="49">
        <v>67716.686220000003</v>
      </c>
      <c r="L8" s="49">
        <v>286648.70077</v>
      </c>
      <c r="M8" s="49">
        <v>366814.04336000001</v>
      </c>
      <c r="N8" s="49">
        <v>327756.07218999998</v>
      </c>
      <c r="O8" s="49">
        <v>298100.19154000003</v>
      </c>
      <c r="P8" s="49">
        <v>227243.18</v>
      </c>
      <c r="Q8" s="49">
        <v>183827.78133999972</v>
      </c>
      <c r="R8" s="65">
        <v>209243.28853999995</v>
      </c>
      <c r="S8" s="33">
        <f t="shared" si="3"/>
        <v>25.10816306328222</v>
      </c>
      <c r="T8" s="28">
        <f t="shared" ref="T8:T28" si="5">N8/$N$6*100</f>
        <v>21.501415751166967</v>
      </c>
      <c r="U8" s="40">
        <f t="shared" ref="U8:U28" si="6">O8/$O$6*100</f>
        <v>20.777174154322136</v>
      </c>
      <c r="V8" s="46">
        <f t="shared" ref="V8:V28" si="7">P8/$P$6*100</f>
        <v>14.295059846420713</v>
      </c>
      <c r="W8" s="46">
        <f t="shared" si="4"/>
        <v>12.672120728800632</v>
      </c>
      <c r="X8" s="46">
        <f t="shared" ref="X8:X28" si="8">R8/$R$6*100</f>
        <v>11.710752021695567</v>
      </c>
      <c r="Y8" s="18" t="s">
        <v>17</v>
      </c>
    </row>
    <row r="9" spans="1:25" ht="21.75" customHeight="1" x14ac:dyDescent="0.25">
      <c r="A9" s="17" t="s">
        <v>11</v>
      </c>
      <c r="B9" s="5">
        <v>145965.07353999998</v>
      </c>
      <c r="C9" s="6">
        <v>166038.47923</v>
      </c>
      <c r="D9" s="6">
        <v>163296.36562999999</v>
      </c>
      <c r="E9" s="56">
        <v>176536.12489000001</v>
      </c>
      <c r="F9" s="57">
        <v>184922.179</v>
      </c>
      <c r="G9" s="57">
        <v>195343.90344999998</v>
      </c>
      <c r="H9" s="58">
        <v>191572.44099999999</v>
      </c>
      <c r="I9" s="59">
        <v>138312.65964</v>
      </c>
      <c r="J9" s="59">
        <v>159255.50586999999</v>
      </c>
      <c r="K9" s="49">
        <v>177877.89489</v>
      </c>
      <c r="L9" s="49">
        <v>191377.87302</v>
      </c>
      <c r="M9" s="49">
        <v>170158.64825</v>
      </c>
      <c r="N9" s="49">
        <v>136662.87700000001</v>
      </c>
      <c r="O9" s="49">
        <v>125662.94108</v>
      </c>
      <c r="P9" s="49">
        <v>260173.54</v>
      </c>
      <c r="Q9" s="49">
        <v>211708.31707000016</v>
      </c>
      <c r="R9" s="65">
        <v>110628.81292000007</v>
      </c>
      <c r="S9" s="33">
        <f t="shared" si="3"/>
        <v>11.64723969604314</v>
      </c>
      <c r="T9" s="28">
        <f t="shared" si="5"/>
        <v>8.9653421719802004</v>
      </c>
      <c r="U9" s="40">
        <f t="shared" si="6"/>
        <v>8.7585344983354023</v>
      </c>
      <c r="V9" s="46">
        <f t="shared" si="7"/>
        <v>16.366591616765501</v>
      </c>
      <c r="W9" s="46">
        <f t="shared" si="4"/>
        <v>14.594058273707116</v>
      </c>
      <c r="X9" s="46">
        <f t="shared" si="8"/>
        <v>6.1915801629786023</v>
      </c>
      <c r="Y9" s="18" t="s">
        <v>23</v>
      </c>
    </row>
    <row r="10" spans="1:25" ht="21.75" customHeight="1" x14ac:dyDescent="0.25">
      <c r="A10" s="17" t="s">
        <v>5</v>
      </c>
      <c r="B10" s="5">
        <v>349.23998</v>
      </c>
      <c r="C10" s="6">
        <v>320.59795000000003</v>
      </c>
      <c r="D10" s="7">
        <v>420.14846</v>
      </c>
      <c r="E10" s="56">
        <v>1329.5487300000002</v>
      </c>
      <c r="F10" s="57">
        <v>3093.5123799999997</v>
      </c>
      <c r="G10" s="57">
        <v>11899.755029999998</v>
      </c>
      <c r="H10" s="58">
        <v>27334.290800000002</v>
      </c>
      <c r="I10" s="59">
        <v>98598.111870000008</v>
      </c>
      <c r="J10" s="59">
        <v>109412.23131</v>
      </c>
      <c r="K10" s="49">
        <v>83625.480370000005</v>
      </c>
      <c r="L10" s="49">
        <v>175797.51936000001</v>
      </c>
      <c r="M10" s="49">
        <v>178649.09699000002</v>
      </c>
      <c r="N10" s="49">
        <v>126508.92587000001</v>
      </c>
      <c r="O10" s="49">
        <v>68242.012370000011</v>
      </c>
      <c r="P10" s="49">
        <v>121740.99</v>
      </c>
      <c r="Q10" s="49">
        <v>104304.04854</v>
      </c>
      <c r="R10" s="65">
        <v>87266.282600000006</v>
      </c>
      <c r="S10" s="33">
        <f t="shared" si="3"/>
        <v>12.228404935769637</v>
      </c>
      <c r="T10" s="28">
        <f t="shared" si="5"/>
        <v>8.2992238501917974</v>
      </c>
      <c r="U10" s="40">
        <f t="shared" si="6"/>
        <v>4.7563745877789572</v>
      </c>
      <c r="V10" s="46">
        <f t="shared" si="7"/>
        <v>7.6582924856645018</v>
      </c>
      <c r="W10" s="46">
        <f t="shared" si="4"/>
        <v>7.1901727038575558</v>
      </c>
      <c r="X10" s="46">
        <f t="shared" si="8"/>
        <v>4.8840457560885886</v>
      </c>
      <c r="Y10" s="18" t="s">
        <v>18</v>
      </c>
    </row>
    <row r="11" spans="1:25" ht="21.75" customHeight="1" x14ac:dyDescent="0.25">
      <c r="A11" s="17" t="s">
        <v>2</v>
      </c>
      <c r="B11" s="5">
        <v>1103.48936</v>
      </c>
      <c r="C11" s="6">
        <v>2021.3651599999998</v>
      </c>
      <c r="D11" s="6">
        <v>1988.4113500000001</v>
      </c>
      <c r="E11" s="56">
        <v>14213.811540000001</v>
      </c>
      <c r="F11" s="57">
        <v>18388.929949999998</v>
      </c>
      <c r="G11" s="57">
        <v>49345.304700000001</v>
      </c>
      <c r="H11" s="58">
        <v>57032.54623</v>
      </c>
      <c r="I11" s="59">
        <v>63188.262280000003</v>
      </c>
      <c r="J11" s="59">
        <v>53851.680919999999</v>
      </c>
      <c r="K11" s="49">
        <v>62501.807810000006</v>
      </c>
      <c r="L11" s="49">
        <v>116099.59730999998</v>
      </c>
      <c r="M11" s="49">
        <v>98441.491970000003</v>
      </c>
      <c r="N11" s="49">
        <v>122619.02729000001</v>
      </c>
      <c r="O11" s="49">
        <v>103656.13941</v>
      </c>
      <c r="P11" s="49">
        <v>126599.45</v>
      </c>
      <c r="Q11" s="49">
        <v>85462.132199999993</v>
      </c>
      <c r="R11" s="65">
        <v>123143.68732999997</v>
      </c>
      <c r="S11" s="33">
        <f t="shared" si="3"/>
        <v>6.7382508312250664</v>
      </c>
      <c r="T11" s="28">
        <f t="shared" si="5"/>
        <v>8.044039175687983</v>
      </c>
      <c r="U11" s="40">
        <f t="shared" si="6"/>
        <v>7.2246906302214722</v>
      </c>
      <c r="V11" s="46">
        <f t="shared" si="7"/>
        <v>7.9639209162358435</v>
      </c>
      <c r="W11" s="46">
        <f t="shared" si="4"/>
        <v>5.8913100570804149</v>
      </c>
      <c r="X11" s="46">
        <f t="shared" si="8"/>
        <v>6.8920021063574728</v>
      </c>
      <c r="Y11" s="18" t="s">
        <v>25</v>
      </c>
    </row>
    <row r="12" spans="1:25" ht="21.75" customHeight="1" x14ac:dyDescent="0.25">
      <c r="A12" s="17" t="s">
        <v>35</v>
      </c>
      <c r="B12" s="5"/>
      <c r="C12" s="6"/>
      <c r="D12" s="6"/>
      <c r="E12" s="56">
        <v>0</v>
      </c>
      <c r="F12" s="57">
        <v>0</v>
      </c>
      <c r="G12" s="57">
        <v>21904.657600000002</v>
      </c>
      <c r="H12" s="58">
        <v>39056.505799999999</v>
      </c>
      <c r="I12" s="59">
        <v>46127.536610000003</v>
      </c>
      <c r="J12" s="59">
        <v>12847.845499999999</v>
      </c>
      <c r="K12" s="49">
        <v>28344.640500000001</v>
      </c>
      <c r="L12" s="49">
        <v>38350.337409999993</v>
      </c>
      <c r="M12" s="49">
        <v>22237.408370000001</v>
      </c>
      <c r="N12" s="49">
        <v>22820.386890000002</v>
      </c>
      <c r="O12" s="49">
        <v>10200.435449999999</v>
      </c>
      <c r="P12" s="49">
        <v>0</v>
      </c>
      <c r="Q12" s="49">
        <v>0</v>
      </c>
      <c r="R12" s="65">
        <v>0</v>
      </c>
      <c r="S12" s="33">
        <f t="shared" si="3"/>
        <v>1.5221349497537866</v>
      </c>
      <c r="T12" s="28">
        <f t="shared" si="5"/>
        <v>1.4970603682360728</v>
      </c>
      <c r="U12" s="40">
        <f t="shared" si="6"/>
        <v>0.71095634893657222</v>
      </c>
      <c r="V12" s="46">
        <f t="shared" si="7"/>
        <v>0</v>
      </c>
      <c r="W12" s="46">
        <f t="shared" si="4"/>
        <v>0</v>
      </c>
      <c r="X12" s="46">
        <f t="shared" si="8"/>
        <v>0</v>
      </c>
      <c r="Y12" s="18" t="s">
        <v>36</v>
      </c>
    </row>
    <row r="13" spans="1:25" ht="21.75" customHeight="1" x14ac:dyDescent="0.25">
      <c r="A13" s="47" t="s">
        <v>37</v>
      </c>
      <c r="B13" s="5"/>
      <c r="C13" s="6"/>
      <c r="D13" s="6"/>
      <c r="E13" s="56"/>
      <c r="F13" s="57"/>
      <c r="G13" s="57"/>
      <c r="H13" s="58"/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49">
        <v>93758.63</v>
      </c>
      <c r="Q13" s="49">
        <v>106116.07953999998</v>
      </c>
      <c r="R13" s="65">
        <v>137952.55165000001</v>
      </c>
      <c r="S13" s="33">
        <v>0</v>
      </c>
      <c r="T13" s="33">
        <v>0</v>
      </c>
      <c r="U13" s="33">
        <v>0</v>
      </c>
      <c r="V13" s="46">
        <f t="shared" si="7"/>
        <v>5.8980217886777355</v>
      </c>
      <c r="W13" s="46">
        <f t="shared" si="4"/>
        <v>7.3150845938284137</v>
      </c>
      <c r="X13" s="46">
        <f t="shared" si="8"/>
        <v>7.7208121436328314</v>
      </c>
      <c r="Y13" s="48" t="s">
        <v>53</v>
      </c>
    </row>
    <row r="14" spans="1:25" ht="21.75" customHeight="1" x14ac:dyDescent="0.25">
      <c r="A14" s="17" t="s">
        <v>16</v>
      </c>
      <c r="B14" s="5">
        <v>64.342169999999996</v>
      </c>
      <c r="C14" s="6">
        <v>209.64147</v>
      </c>
      <c r="D14" s="6">
        <v>115.37355000000001</v>
      </c>
      <c r="E14" s="56">
        <v>3522.11717</v>
      </c>
      <c r="F14" s="57">
        <v>12982.39538</v>
      </c>
      <c r="G14" s="57">
        <v>16217.26916</v>
      </c>
      <c r="H14" s="58">
        <v>14786.629300000001</v>
      </c>
      <c r="I14" s="59">
        <v>26343.039489999999</v>
      </c>
      <c r="J14" s="59">
        <v>13445.870140000001</v>
      </c>
      <c r="K14" s="49">
        <v>2719.4492400000004</v>
      </c>
      <c r="L14" s="49">
        <v>14712.2114</v>
      </c>
      <c r="M14" s="49">
        <v>51887.899219999999</v>
      </c>
      <c r="N14" s="49">
        <v>33695.24856</v>
      </c>
      <c r="O14" s="49">
        <v>14620.6222</v>
      </c>
      <c r="P14" s="49">
        <v>74489.240000000005</v>
      </c>
      <c r="Q14" s="49">
        <v>36496.607759999984</v>
      </c>
      <c r="R14" s="65">
        <v>3273.0096100000001</v>
      </c>
      <c r="S14" s="33">
        <f t="shared" si="3"/>
        <v>3.5516901771078211</v>
      </c>
      <c r="T14" s="28">
        <f t="shared" si="5"/>
        <v>2.210471779474708</v>
      </c>
      <c r="U14" s="40">
        <f t="shared" si="6"/>
        <v>1.0190372979119235</v>
      </c>
      <c r="V14" s="46">
        <f t="shared" si="7"/>
        <v>4.6858530307241599</v>
      </c>
      <c r="W14" s="46">
        <f t="shared" si="4"/>
        <v>2.5158842496771574</v>
      </c>
      <c r="X14" s="46">
        <f t="shared" si="8"/>
        <v>0.18318104334328167</v>
      </c>
      <c r="Y14" s="18" t="s">
        <v>21</v>
      </c>
    </row>
    <row r="15" spans="1:25" ht="21.75" customHeight="1" x14ac:dyDescent="0.25">
      <c r="A15" s="17" t="s">
        <v>31</v>
      </c>
      <c r="B15" s="5">
        <v>1592.8773200000001</v>
      </c>
      <c r="C15" s="6">
        <v>5172.3917899999997</v>
      </c>
      <c r="D15" s="6">
        <v>5257.5492899999999</v>
      </c>
      <c r="E15" s="56">
        <v>8897.7744400000011</v>
      </c>
      <c r="F15" s="57">
        <v>2668.0731499999997</v>
      </c>
      <c r="G15" s="57">
        <v>12944.92606</v>
      </c>
      <c r="H15" s="58">
        <v>15940.559359999999</v>
      </c>
      <c r="I15" s="59">
        <v>19349.7281</v>
      </c>
      <c r="J15" s="59">
        <v>7603.2997699999996</v>
      </c>
      <c r="K15" s="49">
        <v>6406.8808499999996</v>
      </c>
      <c r="L15" s="49">
        <v>16471.234039999999</v>
      </c>
      <c r="M15" s="49">
        <v>75873.706749999998</v>
      </c>
      <c r="N15" s="49">
        <v>111018.06508</v>
      </c>
      <c r="O15" s="49">
        <v>200145.03404</v>
      </c>
      <c r="P15" s="49">
        <v>223059.3</v>
      </c>
      <c r="Q15" s="49">
        <v>189714.19371000002</v>
      </c>
      <c r="R15" s="65">
        <v>211575.63404999982</v>
      </c>
      <c r="S15" s="33">
        <f t="shared" si="3"/>
        <v>5.1935018186449202</v>
      </c>
      <c r="T15" s="28">
        <f t="shared" si="5"/>
        <v>7.2829942012223734</v>
      </c>
      <c r="U15" s="40">
        <f t="shared" si="6"/>
        <v>13.949834137606778</v>
      </c>
      <c r="V15" s="46">
        <f t="shared" si="7"/>
        <v>14.031866843267689</v>
      </c>
      <c r="W15" s="46">
        <f t="shared" si="4"/>
        <v>13.077899048423522</v>
      </c>
      <c r="X15" s="46">
        <f t="shared" si="8"/>
        <v>11.841286769486544</v>
      </c>
      <c r="Y15" s="18" t="s">
        <v>42</v>
      </c>
    </row>
    <row r="16" spans="1:25" ht="21.75" customHeight="1" x14ac:dyDescent="0.25">
      <c r="A16" s="17" t="s">
        <v>13</v>
      </c>
      <c r="B16" s="5">
        <v>17778.899440000001</v>
      </c>
      <c r="C16" s="6">
        <v>10946.65454</v>
      </c>
      <c r="D16" s="6">
        <v>72397.730599999995</v>
      </c>
      <c r="E16" s="56">
        <v>125562.50117000002</v>
      </c>
      <c r="F16" s="57">
        <v>198304.20493000001</v>
      </c>
      <c r="G16" s="57">
        <v>189561.56299000001</v>
      </c>
      <c r="H16" s="58">
        <v>55133.687109999999</v>
      </c>
      <c r="I16" s="59">
        <v>16940.69211</v>
      </c>
      <c r="J16" s="59">
        <v>5984.7559499999998</v>
      </c>
      <c r="K16" s="49">
        <v>13250.861449999999</v>
      </c>
      <c r="L16" s="49">
        <v>54258.660210000002</v>
      </c>
      <c r="M16" s="49">
        <v>44693.921020000002</v>
      </c>
      <c r="N16" s="49">
        <v>78721.24023000001</v>
      </c>
      <c r="O16" s="49">
        <v>118060.99639</v>
      </c>
      <c r="P16" s="49">
        <v>72469.58</v>
      </c>
      <c r="Q16" s="49">
        <v>45597.044409999995</v>
      </c>
      <c r="R16" s="65">
        <v>49018.707890000005</v>
      </c>
      <c r="S16" s="33">
        <f t="shared" si="3"/>
        <v>3.0592674332434995</v>
      </c>
      <c r="T16" s="28">
        <f t="shared" si="5"/>
        <v>5.1642616514256714</v>
      </c>
      <c r="U16" s="40">
        <f t="shared" si="6"/>
        <v>8.2286893884758854</v>
      </c>
      <c r="V16" s="46">
        <f t="shared" si="7"/>
        <v>4.5588034067511893</v>
      </c>
      <c r="W16" s="46">
        <f t="shared" si="4"/>
        <v>3.1432205046924317</v>
      </c>
      <c r="X16" s="46">
        <f t="shared" si="8"/>
        <v>2.7434377299704154</v>
      </c>
      <c r="Y16" s="18" t="s">
        <v>19</v>
      </c>
    </row>
    <row r="17" spans="1:25" ht="21.75" customHeight="1" x14ac:dyDescent="0.25">
      <c r="A17" s="17" t="s">
        <v>4</v>
      </c>
      <c r="B17" s="5">
        <v>897.79991000000007</v>
      </c>
      <c r="C17" s="6">
        <v>1498.9171000000001</v>
      </c>
      <c r="D17" s="6">
        <v>949.84082999999998</v>
      </c>
      <c r="E17" s="56">
        <v>8347.1193000000003</v>
      </c>
      <c r="F17" s="57">
        <v>9878.88544</v>
      </c>
      <c r="G17" s="57">
        <v>14334.72032</v>
      </c>
      <c r="H17" s="58">
        <v>13697.819119999998</v>
      </c>
      <c r="I17" s="59">
        <v>15922.264499999999</v>
      </c>
      <c r="J17" s="59">
        <v>27864.48011</v>
      </c>
      <c r="K17" s="49">
        <v>22052.350839999999</v>
      </c>
      <c r="L17" s="49">
        <v>40343.957590000005</v>
      </c>
      <c r="M17" s="49">
        <v>64554.371749999998</v>
      </c>
      <c r="N17" s="49">
        <v>122230.39131000001</v>
      </c>
      <c r="O17" s="49">
        <v>102845.38028</v>
      </c>
      <c r="P17" s="49">
        <v>133183.32999999999</v>
      </c>
      <c r="Q17" s="49">
        <v>185428.34104000014</v>
      </c>
      <c r="R17" s="65">
        <v>218726.45404999997</v>
      </c>
      <c r="S17" s="33">
        <f t="shared" si="3"/>
        <v>4.4187013057076623</v>
      </c>
      <c r="T17" s="28">
        <f t="shared" si="5"/>
        <v>8.0185439233010243</v>
      </c>
      <c r="U17" s="40">
        <f t="shared" si="6"/>
        <v>7.168181831772892</v>
      </c>
      <c r="V17" s="46">
        <f t="shared" si="7"/>
        <v>8.3780893793846705</v>
      </c>
      <c r="W17" s="46">
        <f t="shared" si="4"/>
        <v>12.782454899208448</v>
      </c>
      <c r="X17" s="46">
        <f t="shared" si="8"/>
        <v>12.241497836498974</v>
      </c>
      <c r="Y17" s="18" t="s">
        <v>43</v>
      </c>
    </row>
    <row r="18" spans="1:25" ht="21.75" customHeight="1" x14ac:dyDescent="0.25">
      <c r="A18" s="17" t="s">
        <v>32</v>
      </c>
      <c r="B18" s="5">
        <v>29254.22683</v>
      </c>
      <c r="C18" s="6">
        <v>38546.298459999998</v>
      </c>
      <c r="D18" s="6">
        <v>21966.746340000002</v>
      </c>
      <c r="E18" s="56">
        <v>9612.1980899999999</v>
      </c>
      <c r="F18" s="57">
        <v>10335.22639</v>
      </c>
      <c r="G18" s="57">
        <v>12131.463880000001</v>
      </c>
      <c r="H18" s="58">
        <v>7928.3425700000007</v>
      </c>
      <c r="I18" s="59">
        <v>12665.874980000001</v>
      </c>
      <c r="J18" s="59">
        <v>10723.59333</v>
      </c>
      <c r="K18" s="49">
        <v>13073.370070000001</v>
      </c>
      <c r="L18" s="49">
        <v>18597.50058</v>
      </c>
      <c r="M18" s="49">
        <v>38394.42138</v>
      </c>
      <c r="N18" s="49">
        <v>26068.722659999999</v>
      </c>
      <c r="O18" s="49">
        <v>34148.915209999999</v>
      </c>
      <c r="P18" s="49">
        <v>34459.279999999999</v>
      </c>
      <c r="Q18" s="49">
        <v>24065.030849999996</v>
      </c>
      <c r="R18" s="65">
        <v>18840.906169999995</v>
      </c>
      <c r="S18" s="33">
        <f t="shared" si="3"/>
        <v>2.628071117177222</v>
      </c>
      <c r="T18" s="28">
        <f t="shared" si="5"/>
        <v>1.7101573138501531</v>
      </c>
      <c r="U18" s="40">
        <f t="shared" si="6"/>
        <v>2.380132514621832</v>
      </c>
      <c r="V18" s="46">
        <f t="shared" si="7"/>
        <v>2.1677106871351137</v>
      </c>
      <c r="W18" s="46">
        <f t="shared" si="4"/>
        <v>1.6589166993724438</v>
      </c>
      <c r="X18" s="46">
        <f t="shared" si="8"/>
        <v>1.0544719573107124</v>
      </c>
      <c r="Y18" s="18" t="s">
        <v>33</v>
      </c>
    </row>
    <row r="19" spans="1:25" ht="21.75" customHeight="1" x14ac:dyDescent="0.25">
      <c r="A19" s="17" t="s">
        <v>28</v>
      </c>
      <c r="B19" s="5">
        <v>0</v>
      </c>
      <c r="C19" s="6">
        <v>0</v>
      </c>
      <c r="D19" s="7">
        <v>0</v>
      </c>
      <c r="E19" s="56">
        <v>377.38648999999998</v>
      </c>
      <c r="F19" s="57">
        <v>128.16974999999999</v>
      </c>
      <c r="G19" s="57">
        <v>38.196620000000003</v>
      </c>
      <c r="H19" s="58">
        <v>840.57092</v>
      </c>
      <c r="I19" s="59">
        <v>11403.59935</v>
      </c>
      <c r="J19" s="59">
        <v>12405.273150000001</v>
      </c>
      <c r="K19" s="49">
        <v>4694.31016</v>
      </c>
      <c r="L19" s="49">
        <v>42375.022669999998</v>
      </c>
      <c r="M19" s="49">
        <v>54065.155549999996</v>
      </c>
      <c r="N19" s="49">
        <v>31652.103179999998</v>
      </c>
      <c r="O19" s="49">
        <v>24090.784899999999</v>
      </c>
      <c r="P19" s="49">
        <v>23866.29</v>
      </c>
      <c r="Q19" s="49">
        <v>29675.590509999976</v>
      </c>
      <c r="R19" s="65">
        <v>57839.31917000001</v>
      </c>
      <c r="S19" s="33">
        <f t="shared" si="3"/>
        <v>3.700721840300039</v>
      </c>
      <c r="T19" s="28">
        <f t="shared" si="5"/>
        <v>2.0764375937404171</v>
      </c>
      <c r="U19" s="40">
        <f t="shared" si="6"/>
        <v>1.6790946386039143</v>
      </c>
      <c r="V19" s="46">
        <f t="shared" si="7"/>
        <v>1.5013433796430424</v>
      </c>
      <c r="W19" s="46">
        <f t="shared" si="4"/>
        <v>2.0456791835268886</v>
      </c>
      <c r="X19" s="46">
        <f t="shared" si="8"/>
        <v>3.237102268033266</v>
      </c>
      <c r="Y19" s="18" t="s">
        <v>29</v>
      </c>
    </row>
    <row r="20" spans="1:25" ht="21.75" customHeight="1" x14ac:dyDescent="0.25">
      <c r="A20" s="17" t="s">
        <v>30</v>
      </c>
      <c r="B20" s="5">
        <v>0</v>
      </c>
      <c r="C20" s="6">
        <v>0</v>
      </c>
      <c r="D20" s="6">
        <v>0</v>
      </c>
      <c r="E20" s="56">
        <v>4.3176000000000005</v>
      </c>
      <c r="F20" s="57">
        <v>0</v>
      </c>
      <c r="G20" s="57">
        <v>2045.0790900000002</v>
      </c>
      <c r="H20" s="58">
        <v>1395.1529599999999</v>
      </c>
      <c r="I20" s="59">
        <v>6491.0110599999998</v>
      </c>
      <c r="J20" s="59">
        <v>4735.0923499999999</v>
      </c>
      <c r="K20" s="49">
        <v>503.90512999999999</v>
      </c>
      <c r="L20" s="49">
        <v>9750.6953299999986</v>
      </c>
      <c r="M20" s="49">
        <v>10682.216560000001</v>
      </c>
      <c r="N20" s="49">
        <v>4380.2525700000006</v>
      </c>
      <c r="O20" s="49">
        <v>437.6617</v>
      </c>
      <c r="P20" s="49">
        <v>804.32</v>
      </c>
      <c r="Q20" s="49">
        <v>81.074569999999994</v>
      </c>
      <c r="R20" s="65">
        <v>0</v>
      </c>
      <c r="S20" s="33">
        <f t="shared" si="3"/>
        <v>0.73119020419440484</v>
      </c>
      <c r="T20" s="28">
        <f t="shared" si="5"/>
        <v>0.28735281995962708</v>
      </c>
      <c r="U20" s="40">
        <f t="shared" si="6"/>
        <v>3.0504419720765296E-2</v>
      </c>
      <c r="V20" s="46">
        <f t="shared" si="7"/>
        <v>5.059690915992774E-2</v>
      </c>
      <c r="W20" s="46">
        <f t="shared" si="4"/>
        <v>5.5888545876283452E-3</v>
      </c>
      <c r="X20" s="46">
        <f t="shared" si="8"/>
        <v>0</v>
      </c>
      <c r="Y20" s="18" t="s">
        <v>44</v>
      </c>
    </row>
    <row r="21" spans="1:25" ht="21.75" customHeight="1" x14ac:dyDescent="0.25">
      <c r="A21" s="17" t="s">
        <v>34</v>
      </c>
      <c r="B21" s="5">
        <v>10535.190269999999</v>
      </c>
      <c r="C21" s="6">
        <v>1968.5146200000001</v>
      </c>
      <c r="D21" s="6">
        <v>972.71282999999994</v>
      </c>
      <c r="E21" s="56">
        <v>60.971929999999993</v>
      </c>
      <c r="F21" s="57">
        <v>52074.181349999999</v>
      </c>
      <c r="G21" s="57">
        <v>39817.718209999999</v>
      </c>
      <c r="H21" s="58">
        <v>1310.6936799999999</v>
      </c>
      <c r="I21" s="59">
        <v>5997.3564299999998</v>
      </c>
      <c r="J21" s="59">
        <v>24332.124339999998</v>
      </c>
      <c r="K21" s="49">
        <v>30391.28745</v>
      </c>
      <c r="L21" s="49">
        <v>99143.179940000002</v>
      </c>
      <c r="M21" s="49">
        <v>39560.130829999995</v>
      </c>
      <c r="N21" s="49">
        <v>30701.155260000003</v>
      </c>
      <c r="O21" s="49">
        <v>33576.012299999995</v>
      </c>
      <c r="P21" s="49">
        <v>30089.32</v>
      </c>
      <c r="Q21" s="49">
        <v>32250.22307</v>
      </c>
      <c r="R21" s="65">
        <v>37515.765119999996</v>
      </c>
      <c r="S21" s="33">
        <f t="shared" si="3"/>
        <v>2.7078631084731599</v>
      </c>
      <c r="T21" s="28">
        <f t="shared" si="5"/>
        <v>2.0140536188257605</v>
      </c>
      <c r="U21" s="40">
        <f t="shared" si="6"/>
        <v>2.3402019682069</v>
      </c>
      <c r="V21" s="46">
        <f t="shared" si="7"/>
        <v>1.892812053317084</v>
      </c>
      <c r="W21" s="46">
        <f t="shared" si="4"/>
        <v>2.2231608154913065</v>
      </c>
      <c r="X21" s="46">
        <f t="shared" si="8"/>
        <v>2.0996507237579096</v>
      </c>
      <c r="Y21" s="18" t="s">
        <v>45</v>
      </c>
    </row>
    <row r="22" spans="1:25" ht="21.75" customHeight="1" x14ac:dyDescent="0.25">
      <c r="A22" s="17" t="s">
        <v>9</v>
      </c>
      <c r="B22" s="5">
        <v>38121.153270000003</v>
      </c>
      <c r="C22" s="6">
        <v>24971.940699999999</v>
      </c>
      <c r="D22" s="6">
        <v>31575.66273</v>
      </c>
      <c r="E22" s="56">
        <v>41323.183439999993</v>
      </c>
      <c r="F22" s="57">
        <v>23848.83682</v>
      </c>
      <c r="G22" s="57">
        <v>20572.410889999999</v>
      </c>
      <c r="H22" s="58">
        <v>10140.48633</v>
      </c>
      <c r="I22" s="59">
        <v>2189.4818599999999</v>
      </c>
      <c r="J22" s="59">
        <v>848.72860000000003</v>
      </c>
      <c r="K22" s="49">
        <v>1700.2412099999999</v>
      </c>
      <c r="L22" s="49">
        <v>1146.78595</v>
      </c>
      <c r="M22" s="49">
        <v>2784.2950599999999</v>
      </c>
      <c r="N22" s="49">
        <v>1872.9723700000002</v>
      </c>
      <c r="O22" s="49">
        <v>753.22016000000008</v>
      </c>
      <c r="P22" s="49">
        <v>18802.919999999998</v>
      </c>
      <c r="Q22" s="49">
        <v>608.66312999999991</v>
      </c>
      <c r="R22" s="65">
        <v>1123.7519</v>
      </c>
      <c r="S22" s="33">
        <f t="shared" si="3"/>
        <v>0.19058303695903284</v>
      </c>
      <c r="T22" s="28">
        <f t="shared" si="5"/>
        <v>0.12287051571228597</v>
      </c>
      <c r="U22" s="40">
        <f t="shared" si="6"/>
        <v>5.2498411222142563E-2</v>
      </c>
      <c r="V22" s="46">
        <f t="shared" si="7"/>
        <v>1.1828247901101407</v>
      </c>
      <c r="W22" s="46">
        <f t="shared" si="4"/>
        <v>4.195803599600624E-2</v>
      </c>
      <c r="X22" s="46">
        <f t="shared" si="8"/>
        <v>6.2893199235365252E-2</v>
      </c>
      <c r="Y22" s="18" t="s">
        <v>22</v>
      </c>
    </row>
    <row r="23" spans="1:25" ht="21.75" customHeight="1" x14ac:dyDescent="0.25">
      <c r="A23" s="17" t="s">
        <v>10</v>
      </c>
      <c r="B23" s="5">
        <v>2416.8011099999999</v>
      </c>
      <c r="C23" s="6">
        <v>9347.7762500000008</v>
      </c>
      <c r="D23" s="7">
        <v>9818.9211400000004</v>
      </c>
      <c r="E23" s="56">
        <v>8076.6939200000006</v>
      </c>
      <c r="F23" s="57">
        <v>6436.7749999999996</v>
      </c>
      <c r="G23" s="57">
        <v>1572.58215</v>
      </c>
      <c r="H23" s="58">
        <v>697.78647000000001</v>
      </c>
      <c r="I23" s="59">
        <v>802.66007999999999</v>
      </c>
      <c r="J23" s="59">
        <v>787.61022000000003</v>
      </c>
      <c r="K23" s="49">
        <v>973.20844999999997</v>
      </c>
      <c r="L23" s="49">
        <v>1170.38022</v>
      </c>
      <c r="M23" s="49">
        <v>2265.1518500000002</v>
      </c>
      <c r="N23" s="49">
        <v>854.05007000000001</v>
      </c>
      <c r="O23" s="49">
        <v>613.40051000000005</v>
      </c>
      <c r="P23" s="49">
        <v>218.18</v>
      </c>
      <c r="Q23" s="49">
        <v>31.26887</v>
      </c>
      <c r="R23" s="65">
        <v>1149.2059300000001</v>
      </c>
      <c r="S23" s="33">
        <f t="shared" si="3"/>
        <v>0.15504804966553065</v>
      </c>
      <c r="T23" s="28">
        <f t="shared" si="5"/>
        <v>5.6027293421853273E-2</v>
      </c>
      <c r="U23" s="40">
        <f t="shared" si="6"/>
        <v>4.2753173544707E-2</v>
      </c>
      <c r="V23" s="46">
        <f t="shared" si="7"/>
        <v>1.3724927442452052E-2</v>
      </c>
      <c r="W23" s="46">
        <f t="shared" si="4"/>
        <v>2.155511494534653E-3</v>
      </c>
      <c r="X23" s="46">
        <f t="shared" si="8"/>
        <v>6.4317788933618905E-2</v>
      </c>
      <c r="Y23" s="18" t="s">
        <v>20</v>
      </c>
    </row>
    <row r="24" spans="1:25" ht="21.75" customHeight="1" x14ac:dyDescent="0.25">
      <c r="A24" s="17" t="s">
        <v>15</v>
      </c>
      <c r="B24" s="5">
        <v>9.1581299999999999</v>
      </c>
      <c r="C24" s="6">
        <v>13.551629999999999</v>
      </c>
      <c r="D24" s="7">
        <v>1578.0469699999999</v>
      </c>
      <c r="E24" s="56">
        <v>191.95240999999999</v>
      </c>
      <c r="F24" s="57">
        <v>5.7803100000000001</v>
      </c>
      <c r="G24" s="57">
        <v>14833.418460000001</v>
      </c>
      <c r="H24" s="58">
        <v>7.5832799999999994</v>
      </c>
      <c r="I24" s="59">
        <v>623.98309999999992</v>
      </c>
      <c r="J24" s="59">
        <v>55.428980000000003</v>
      </c>
      <c r="K24" s="49">
        <v>36.375250000000001</v>
      </c>
      <c r="L24" s="49">
        <v>196.04218</v>
      </c>
      <c r="M24" s="49">
        <v>4200.0054099999998</v>
      </c>
      <c r="N24" s="49">
        <v>10346.94822</v>
      </c>
      <c r="O24" s="49">
        <v>10128.06179</v>
      </c>
      <c r="P24" s="49">
        <v>9959.15</v>
      </c>
      <c r="Q24" s="49">
        <v>8807.2170700000024</v>
      </c>
      <c r="R24" s="65">
        <v>8257.6472500000018</v>
      </c>
      <c r="S24" s="33">
        <f t="shared" si="3"/>
        <v>0.2874874138814037</v>
      </c>
      <c r="T24" s="28">
        <f t="shared" si="5"/>
        <v>0.67877929445361729</v>
      </c>
      <c r="U24" s="40">
        <f t="shared" si="6"/>
        <v>0.70591200418041022</v>
      </c>
      <c r="V24" s="46">
        <f t="shared" si="7"/>
        <v>0.62649468850717915</v>
      </c>
      <c r="W24" s="46">
        <f t="shared" si="4"/>
        <v>0.60712323883935726</v>
      </c>
      <c r="X24" s="46">
        <f t="shared" si="8"/>
        <v>0.46215704170076699</v>
      </c>
      <c r="Y24" s="18" t="s">
        <v>46</v>
      </c>
    </row>
    <row r="25" spans="1:25" ht="21.75" customHeight="1" x14ac:dyDescent="0.25">
      <c r="A25" s="17" t="s">
        <v>6</v>
      </c>
      <c r="B25" s="5"/>
      <c r="C25" s="6"/>
      <c r="D25" s="6"/>
      <c r="E25" s="56">
        <v>0</v>
      </c>
      <c r="F25" s="57">
        <v>0</v>
      </c>
      <c r="G25" s="57">
        <v>0</v>
      </c>
      <c r="H25" s="58">
        <v>341.43018000000001</v>
      </c>
      <c r="I25" s="59">
        <v>577.16165999999998</v>
      </c>
      <c r="J25" s="59">
        <v>138.57592000000002</v>
      </c>
      <c r="K25" s="49">
        <v>1552.6096699999998</v>
      </c>
      <c r="L25" s="49">
        <v>294.81790000000001</v>
      </c>
      <c r="M25" s="49">
        <v>99.324010000000001</v>
      </c>
      <c r="N25" s="49">
        <v>16.793560000000003</v>
      </c>
      <c r="O25" s="49">
        <v>277.61890999999997</v>
      </c>
      <c r="P25" s="49">
        <v>113.6</v>
      </c>
      <c r="Q25" s="49">
        <v>0</v>
      </c>
      <c r="R25" s="65">
        <v>0</v>
      </c>
      <c r="S25" s="33">
        <f t="shared" si="3"/>
        <v>6.7986585691637682E-3</v>
      </c>
      <c r="T25" s="28">
        <f t="shared" si="5"/>
        <v>1.1016891711249416E-3</v>
      </c>
      <c r="U25" s="40">
        <f t="shared" si="6"/>
        <v>1.9349656945219024E-2</v>
      </c>
      <c r="V25" s="46">
        <f t="shared" si="7"/>
        <v>7.1461717731348112E-3</v>
      </c>
      <c r="W25" s="46">
        <f t="shared" si="4"/>
        <v>0</v>
      </c>
      <c r="X25" s="46">
        <f t="shared" si="8"/>
        <v>0</v>
      </c>
      <c r="Y25" s="18" t="s">
        <v>47</v>
      </c>
    </row>
    <row r="26" spans="1:25" ht="21.75" customHeight="1" x14ac:dyDescent="0.25">
      <c r="A26" s="17" t="s">
        <v>7</v>
      </c>
      <c r="B26" s="5"/>
      <c r="C26" s="6"/>
      <c r="D26" s="6"/>
      <c r="E26" s="56"/>
      <c r="F26" s="57"/>
      <c r="G26" s="57"/>
      <c r="H26" s="58"/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49">
        <v>67137.81</v>
      </c>
      <c r="Q26" s="49">
        <v>64396.726770000016</v>
      </c>
      <c r="R26" s="65">
        <v>83233.611930000014</v>
      </c>
      <c r="S26" s="33">
        <v>0</v>
      </c>
      <c r="T26" s="33">
        <v>0</v>
      </c>
      <c r="U26" s="33">
        <v>0</v>
      </c>
      <c r="V26" s="46">
        <f t="shared" si="7"/>
        <v>4.2234007282754229</v>
      </c>
      <c r="W26" s="46">
        <f t="shared" si="4"/>
        <v>4.4391717629432224</v>
      </c>
      <c r="X26" s="46">
        <f t="shared" si="8"/>
        <v>4.6583486427854455</v>
      </c>
      <c r="Y26" s="48" t="s">
        <v>54</v>
      </c>
    </row>
    <row r="27" spans="1:25" ht="21.75" customHeight="1" x14ac:dyDescent="0.25">
      <c r="A27" s="17" t="s">
        <v>14</v>
      </c>
      <c r="B27" s="5"/>
      <c r="C27" s="6" t="s">
        <v>48</v>
      </c>
      <c r="D27" s="7">
        <v>7.0674899999999994</v>
      </c>
      <c r="E27" s="56">
        <v>0</v>
      </c>
      <c r="F27" s="57">
        <v>0</v>
      </c>
      <c r="G27" s="57">
        <v>0</v>
      </c>
      <c r="H27" s="58">
        <v>11.565</v>
      </c>
      <c r="I27" s="59">
        <v>425.90242999999998</v>
      </c>
      <c r="J27" s="59">
        <v>0</v>
      </c>
      <c r="K27" s="49">
        <v>4.1447500000000002</v>
      </c>
      <c r="L27" s="49">
        <v>0</v>
      </c>
      <c r="M27" s="49">
        <v>0</v>
      </c>
      <c r="N27" s="49">
        <v>350.95159000000001</v>
      </c>
      <c r="O27" s="49">
        <v>129.80619999999999</v>
      </c>
      <c r="P27" s="49">
        <v>274.36</v>
      </c>
      <c r="Q27" s="49">
        <v>0</v>
      </c>
      <c r="R27" s="65">
        <v>625.16800000000001</v>
      </c>
      <c r="S27" s="33">
        <f t="shared" si="3"/>
        <v>0</v>
      </c>
      <c r="T27" s="28">
        <f t="shared" si="5"/>
        <v>2.3023085414413638E-2</v>
      </c>
      <c r="U27" s="40">
        <f t="shared" si="6"/>
        <v>9.0473139576929019E-3</v>
      </c>
      <c r="V27" s="46">
        <f t="shared" si="7"/>
        <v>1.7259011335187209E-2</v>
      </c>
      <c r="W27" s="46">
        <f t="shared" si="4"/>
        <v>0</v>
      </c>
      <c r="X27" s="46">
        <f t="shared" si="8"/>
        <v>3.4988875729219965E-2</v>
      </c>
      <c r="Y27" s="18" t="s">
        <v>49</v>
      </c>
    </row>
    <row r="28" spans="1:25" ht="21.75" customHeight="1" x14ac:dyDescent="0.2">
      <c r="A28" s="19" t="s">
        <v>8</v>
      </c>
      <c r="B28" s="20"/>
      <c r="C28" s="20"/>
      <c r="D28" s="21">
        <v>3003.694690000033</v>
      </c>
      <c r="E28" s="60">
        <v>3568.4738500000676</v>
      </c>
      <c r="F28" s="61">
        <v>9491.6711799999466</v>
      </c>
      <c r="G28" s="61">
        <v>24181.804240000085</v>
      </c>
      <c r="H28" s="61">
        <v>36114.512679999927</v>
      </c>
      <c r="I28" s="62">
        <v>753.69253000000003</v>
      </c>
      <c r="J28" s="62">
        <v>8178.6005299999379</v>
      </c>
      <c r="K28" s="50">
        <v>23306.569610000006</v>
      </c>
      <c r="L28" s="50">
        <v>76413.44955999963</v>
      </c>
      <c r="M28" s="50">
        <v>201990.62580999994</v>
      </c>
      <c r="N28" s="50">
        <v>154529.25825000001</v>
      </c>
      <c r="O28" s="50">
        <v>222590.26421000002</v>
      </c>
      <c r="P28" s="50">
        <v>29603.95</v>
      </c>
      <c r="Q28" s="50">
        <v>42274.213779999998</v>
      </c>
      <c r="R28" s="66">
        <v>427348.37950000004</v>
      </c>
      <c r="S28" s="38">
        <f t="shared" si="3"/>
        <v>13.826116153122575</v>
      </c>
      <c r="T28" s="29">
        <f t="shared" si="5"/>
        <v>10.137410438048546</v>
      </c>
      <c r="U28" s="42">
        <f t="shared" si="6"/>
        <v>15.514235870348905</v>
      </c>
      <c r="V28" s="42">
        <f t="shared" si="7"/>
        <v>1.8622791537261822</v>
      </c>
      <c r="W28" s="42">
        <f t="shared" si="4"/>
        <v>2.9141620316054029</v>
      </c>
      <c r="X28" s="42">
        <f t="shared" si="8"/>
        <v>23.917473932461412</v>
      </c>
      <c r="Y28" s="37" t="s">
        <v>50</v>
      </c>
    </row>
    <row r="29" spans="1:25" ht="18.75" customHeight="1" x14ac:dyDescent="0.2">
      <c r="A29" s="34" t="s">
        <v>51</v>
      </c>
      <c r="B29" s="22"/>
      <c r="C29" s="22"/>
      <c r="D29" s="22"/>
      <c r="E29" s="22"/>
      <c r="F29" s="22"/>
      <c r="G29" s="22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35"/>
      <c r="T29" s="35"/>
      <c r="U29" s="35"/>
      <c r="V29" s="43"/>
      <c r="W29" s="43"/>
      <c r="X29" s="43"/>
      <c r="Y29" s="36" t="s">
        <v>52</v>
      </c>
    </row>
  </sheetData>
  <mergeCells count="8">
    <mergeCell ref="A1:Y1"/>
    <mergeCell ref="A2:Y2"/>
    <mergeCell ref="A3:A5"/>
    <mergeCell ref="Y3:Y5"/>
    <mergeCell ref="S3:X3"/>
    <mergeCell ref="S4:X4"/>
    <mergeCell ref="E3:R3"/>
    <mergeCell ref="E4:R4"/>
  </mergeCells>
  <pageMargins left="0.17" right="0.17" top="0.4" bottom="0.48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2018-08-13T06:19:57Z</cp:lastPrinted>
  <dcterms:created xsi:type="dcterms:W3CDTF">2007-02-07T09:08:05Z</dcterms:created>
  <dcterms:modified xsi:type="dcterms:W3CDTF">2018-08-13T06:20:07Z</dcterms:modified>
</cp:coreProperties>
</file>