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5" sheetId="52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'15.5'!$A$1:$Z$34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Y30" i="52" l="1"/>
  <c r="Y22" i="52"/>
  <c r="Y21" i="52"/>
  <c r="Y7" i="52"/>
  <c r="Y17" i="52"/>
  <c r="Y15" i="52"/>
  <c r="Y18" i="52"/>
  <c r="X18" i="52"/>
  <c r="Y9" i="52" l="1"/>
  <c r="Y10" i="52"/>
  <c r="Y11" i="52"/>
  <c r="Y12" i="52"/>
  <c r="Y13" i="52"/>
  <c r="Y14" i="52"/>
  <c r="Y16" i="52"/>
  <c r="Y19" i="52"/>
  <c r="Y20" i="52"/>
  <c r="Y23" i="52"/>
  <c r="Y24" i="52"/>
  <c r="Y25" i="52"/>
  <c r="Y26" i="52"/>
  <c r="Y27" i="52"/>
  <c r="Y28" i="52"/>
  <c r="Y29" i="52"/>
  <c r="Y32" i="52"/>
  <c r="Y33" i="52"/>
  <c r="P8" i="52"/>
  <c r="P18" i="52"/>
  <c r="P22" i="52"/>
  <c r="P30" i="52"/>
  <c r="P7" i="52" l="1"/>
  <c r="W17" i="52"/>
  <c r="W31" i="52"/>
  <c r="X17" i="52"/>
  <c r="T10" i="52" l="1"/>
  <c r="T14" i="52"/>
  <c r="T18" i="52"/>
  <c r="T22" i="52"/>
  <c r="T26" i="52"/>
  <c r="T30" i="52"/>
  <c r="T29" i="52"/>
  <c r="T31" i="52"/>
  <c r="T11" i="52"/>
  <c r="T15" i="52"/>
  <c r="T19" i="52"/>
  <c r="T23" i="52"/>
  <c r="T27" i="52"/>
  <c r="T32" i="52"/>
  <c r="T33" i="52"/>
  <c r="T12" i="52"/>
  <c r="T16" i="52"/>
  <c r="T20" i="52"/>
  <c r="T24" i="52"/>
  <c r="T28" i="52"/>
  <c r="T9" i="52"/>
  <c r="T13" i="52"/>
  <c r="T17" i="52"/>
  <c r="T21" i="52"/>
  <c r="T25" i="52"/>
  <c r="T8" i="52"/>
  <c r="T7" i="52" l="1"/>
  <c r="O8" i="52" l="1"/>
  <c r="Y8" i="52" s="1"/>
  <c r="O18" i="52"/>
  <c r="O22" i="52"/>
  <c r="O30" i="52"/>
  <c r="O7" i="52" l="1"/>
  <c r="S9" i="52" l="1"/>
  <c r="S33" i="52"/>
  <c r="S8" i="52"/>
  <c r="X9" i="52" l="1"/>
  <c r="X10" i="52"/>
  <c r="X11" i="52"/>
  <c r="X12" i="52"/>
  <c r="X13" i="52"/>
  <c r="X14" i="52"/>
  <c r="X15" i="52"/>
  <c r="X16" i="52"/>
  <c r="X19" i="52"/>
  <c r="X20" i="52"/>
  <c r="X21" i="52"/>
  <c r="X23" i="52"/>
  <c r="X24" i="52"/>
  <c r="X25" i="52"/>
  <c r="X26" i="52"/>
  <c r="X27" i="52"/>
  <c r="X28" i="52"/>
  <c r="X29" i="52"/>
  <c r="X32" i="52"/>
  <c r="X33" i="52"/>
  <c r="W9" i="52"/>
  <c r="W10" i="52"/>
  <c r="W11" i="52"/>
  <c r="W12" i="52"/>
  <c r="W13" i="52"/>
  <c r="W14" i="52"/>
  <c r="W15" i="52"/>
  <c r="W16" i="52"/>
  <c r="W19" i="52"/>
  <c r="W20" i="52"/>
  <c r="W21" i="52"/>
  <c r="W23" i="52"/>
  <c r="W24" i="52"/>
  <c r="W25" i="52"/>
  <c r="W26" i="52"/>
  <c r="W27" i="52"/>
  <c r="W28" i="52"/>
  <c r="W29" i="52"/>
  <c r="W32" i="52"/>
  <c r="W33" i="52"/>
  <c r="N30" i="52"/>
  <c r="N22" i="52"/>
  <c r="N18" i="52"/>
  <c r="N8" i="52"/>
  <c r="N7" i="52" l="1"/>
  <c r="R8" i="52" s="1"/>
  <c r="R9" i="52"/>
  <c r="R30" i="52"/>
  <c r="R13" i="52"/>
  <c r="R17" i="52" l="1"/>
  <c r="R32" i="52"/>
  <c r="R28" i="52"/>
  <c r="R24" i="52"/>
  <c r="R33" i="52"/>
  <c r="R29" i="52"/>
  <c r="R25" i="52"/>
  <c r="R19" i="52"/>
  <c r="R23" i="52"/>
  <c r="R20" i="52"/>
  <c r="R11" i="52"/>
  <c r="R27" i="52"/>
  <c r="R14" i="52"/>
  <c r="R31" i="52"/>
  <c r="R26" i="52"/>
  <c r="R15" i="52"/>
  <c r="R22" i="52"/>
  <c r="R18" i="52"/>
  <c r="R12" i="52"/>
  <c r="R21" i="52"/>
  <c r="R16" i="52"/>
  <c r="R10" i="52"/>
  <c r="X7" i="52"/>
  <c r="X30" i="52" l="1"/>
  <c r="X22" i="52"/>
  <c r="X8" i="52" l="1"/>
  <c r="S17" i="52" l="1"/>
  <c r="S11" i="52"/>
  <c r="S13" i="52"/>
  <c r="S21" i="52"/>
  <c r="S25" i="52"/>
  <c r="S29" i="52"/>
  <c r="S10" i="52"/>
  <c r="S14" i="52"/>
  <c r="S18" i="52"/>
  <c r="S22" i="52"/>
  <c r="S26" i="52"/>
  <c r="S30" i="52"/>
  <c r="S15" i="52"/>
  <c r="S27" i="52"/>
  <c r="S12" i="52"/>
  <c r="S20" i="52"/>
  <c r="S28" i="52"/>
  <c r="S19" i="52"/>
  <c r="S23" i="52"/>
  <c r="S31" i="52"/>
  <c r="S16" i="52"/>
  <c r="S24" i="52"/>
  <c r="S32" i="52"/>
  <c r="S7" i="52" l="1"/>
  <c r="R7" i="52"/>
  <c r="V9" i="52" l="1"/>
  <c r="V33" i="52"/>
  <c r="V32" i="52"/>
  <c r="V31" i="52"/>
  <c r="V29" i="52"/>
  <c r="V28" i="52"/>
  <c r="V27" i="52"/>
  <c r="V26" i="52"/>
  <c r="V25" i="52"/>
  <c r="V24" i="52"/>
  <c r="V23" i="52"/>
  <c r="V21" i="52"/>
  <c r="V20" i="52"/>
  <c r="V19" i="52"/>
  <c r="V17" i="52"/>
  <c r="V16" i="52"/>
  <c r="V15" i="52"/>
  <c r="V14" i="52"/>
  <c r="V13" i="52"/>
  <c r="V12" i="52"/>
  <c r="V11" i="52"/>
  <c r="V10" i="52"/>
  <c r="M30" i="52"/>
  <c r="W30" i="52" s="1"/>
  <c r="M22" i="52"/>
  <c r="W22" i="52" s="1"/>
  <c r="M18" i="52"/>
  <c r="W18" i="52" s="1"/>
  <c r="M8" i="52"/>
  <c r="W8" i="52" s="1"/>
  <c r="M7" i="52" l="1"/>
  <c r="L30" i="52"/>
  <c r="V30" i="52" s="1"/>
  <c r="L22" i="52"/>
  <c r="L18" i="52"/>
  <c r="V18" i="52" s="1"/>
  <c r="L8" i="52"/>
  <c r="K8" i="52"/>
  <c r="K30" i="52"/>
  <c r="J30" i="52"/>
  <c r="I30" i="52"/>
  <c r="H30" i="52"/>
  <c r="G30" i="52"/>
  <c r="F30" i="52"/>
  <c r="E30" i="52"/>
  <c r="D30" i="52"/>
  <c r="C30" i="52"/>
  <c r="B30" i="52"/>
  <c r="K22" i="52"/>
  <c r="J22" i="52"/>
  <c r="I22" i="52"/>
  <c r="H22" i="52"/>
  <c r="G22" i="52"/>
  <c r="F22" i="52"/>
  <c r="E22" i="52"/>
  <c r="D22" i="52"/>
  <c r="C22" i="52"/>
  <c r="B22" i="52"/>
  <c r="K18" i="52"/>
  <c r="J18" i="52"/>
  <c r="I18" i="52"/>
  <c r="H18" i="52"/>
  <c r="G18" i="52"/>
  <c r="F18" i="52"/>
  <c r="E18" i="52"/>
  <c r="D18" i="52"/>
  <c r="C18" i="52"/>
  <c r="B18" i="52"/>
  <c r="J8" i="52"/>
  <c r="I8" i="52"/>
  <c r="H8" i="52"/>
  <c r="G8" i="52"/>
  <c r="F8" i="52"/>
  <c r="E8" i="52"/>
  <c r="D8" i="52"/>
  <c r="C8" i="52"/>
  <c r="B8" i="52"/>
  <c r="Q9" i="52" l="1"/>
  <c r="W7" i="52"/>
  <c r="F7" i="52"/>
  <c r="K7" i="52"/>
  <c r="B7" i="52"/>
  <c r="H7" i="52"/>
  <c r="D7" i="52"/>
  <c r="E7" i="52"/>
  <c r="G7" i="52"/>
  <c r="I7" i="52"/>
  <c r="V22" i="52"/>
  <c r="L7" i="52"/>
  <c r="Q14" i="52"/>
  <c r="Q26" i="52"/>
  <c r="Q10" i="52"/>
  <c r="Q15" i="52"/>
  <c r="Q19" i="52"/>
  <c r="Q23" i="52"/>
  <c r="Q27" i="52"/>
  <c r="Q31" i="52"/>
  <c r="Q11" i="52"/>
  <c r="Q16" i="52"/>
  <c r="Q24" i="52"/>
  <c r="Q32" i="52"/>
  <c r="Q28" i="52"/>
  <c r="Q17" i="52"/>
  <c r="Q25" i="52"/>
  <c r="Q33" i="52"/>
  <c r="Q12" i="52"/>
  <c r="Q20" i="52"/>
  <c r="Q13" i="52"/>
  <c r="Q21" i="52"/>
  <c r="Q29" i="52"/>
  <c r="Q22" i="52"/>
  <c r="Q30" i="52"/>
  <c r="Q18" i="52"/>
  <c r="C7" i="52"/>
  <c r="J7" i="52"/>
  <c r="Q8" i="52"/>
  <c r="V8" i="52"/>
  <c r="Q7" i="52" l="1"/>
  <c r="V7" i="52"/>
</calcChain>
</file>

<file path=xl/sharedStrings.xml><?xml version="1.0" encoding="utf-8"?>
<sst xmlns="http://schemas.openxmlformats.org/spreadsheetml/2006/main" count="65" uniqueCount="60">
  <si>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</si>
  <si>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</si>
  <si>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</si>
  <si>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</si>
  <si>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</si>
  <si>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</si>
  <si>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</si>
  <si>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</si>
  <si>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>Others</t>
  </si>
  <si>
    <t>Asia</t>
  </si>
  <si>
    <t>India</t>
  </si>
  <si>
    <t>Sri Lanka</t>
  </si>
  <si>
    <t>Thailand</t>
  </si>
  <si>
    <t>Japan</t>
  </si>
  <si>
    <t>Africa</t>
  </si>
  <si>
    <t>America</t>
  </si>
  <si>
    <t>Middle East</t>
  </si>
  <si>
    <t>Oceania</t>
  </si>
  <si>
    <t>Source:  Maldives Customs Services</t>
  </si>
  <si>
    <t>Netherland</t>
  </si>
  <si>
    <t>% urwvcnim ivurutia eruvcSwrwhwa Iruk</t>
  </si>
  <si>
    <t>cscnWrcf</t>
  </si>
  <si>
    <t>IlwTia</t>
  </si>
  <si>
    <t>cnWpwj</t>
  </si>
  <si>
    <t>cDcnelrwden</t>
  </si>
  <si>
    <t>WkcnwlIrcs</t>
  </si>
  <si>
    <t>cDcneliawt</t>
  </si>
  <si>
    <t>Ek.Uy</t>
  </si>
  <si>
    <t xml:space="preserve">wlcmuj </t>
  </si>
  <si>
    <t xml:space="preserve">cpwrUy </t>
  </si>
  <si>
    <t>Inwmrwj</t>
  </si>
  <si>
    <t>cnehinehea</t>
  </si>
  <si>
    <t xml:space="preserve">Wkircfea </t>
  </si>
  <si>
    <t xml:space="preserve">Wkiremea </t>
  </si>
  <si>
    <t>itwmuriaudem</t>
  </si>
  <si>
    <t xml:space="preserve">cswsivrWs ccscmwTcswk cscviDclOm :ctWrwfivcaed utWmUluAwm     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</si>
  <si>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</si>
  <si>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</si>
  <si>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</si>
  <si>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</si>
  <si>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</si>
  <si>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</si>
  <si>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</si>
  <si>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</si>
  <si>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ޓައިވާން</t>
  </si>
  <si>
    <t>Iran</t>
  </si>
  <si>
    <t>cnWria</t>
  </si>
  <si>
    <t>U.A.E.</t>
  </si>
  <si>
    <t>Percentage  Share</t>
  </si>
  <si>
    <t>umuawq</t>
  </si>
  <si>
    <t>ckWmcneD</t>
  </si>
  <si>
    <t>Ea.csea.Uy</t>
  </si>
  <si>
    <t>WainExOa</t>
  </si>
  <si>
    <t>އޭޝިޔާ</t>
  </si>
  <si>
    <t>WyiDcnia</t>
  </si>
  <si>
    <t>Ia .Ea .Uy</t>
  </si>
  <si>
    <t>others</t>
  </si>
  <si>
    <r>
      <t xml:space="preserve">      </t>
    </r>
    <r>
      <rPr>
        <b/>
        <sz val="10"/>
        <rFont val="Calibri"/>
        <family val="2"/>
      </rPr>
      <t xml:space="preserve">    Value (in MVR. '000) </t>
    </r>
    <r>
      <rPr>
        <b/>
        <sz val="10"/>
        <rFont val="A_Randhoo"/>
      </rPr>
      <t xml:space="preserve">  (cniaWyifur '000 ) ugwa</t>
    </r>
  </si>
  <si>
    <t>Table  15.5: EXPORTS BY COUNTRY OF DESTINATION, 2014 -2017</t>
  </si>
  <si>
    <t>2017 - 2014 ,cawtumuawq unuvunof Wdum unuverukurEb cnEjcaWr : 15.5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</si>
</sst>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#,##0.0"/>
    <numFmt numFmtId="170" formatCode="0.00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</borders>
  <cellStyleXfs count="71">
    <xf numFmtId="0" fontId="0" fillId="0" borderId="0"/>
    <xf numFmtId="0" fontId="3" fillId="0" borderId="0"/>
    <xf numFmtId="164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5" fillId="0" borderId="0"/>
    <xf numFmtId="0" fontId="16" fillId="0" borderId="0"/>
    <xf numFmtId="165" fontId="19" fillId="0" borderId="0"/>
    <xf numFmtId="9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9" applyNumberFormat="0" applyFill="0" applyAlignment="0" applyProtection="0"/>
    <xf numFmtId="0" fontId="33" fillId="0" borderId="40" applyNumberFormat="0" applyFill="0" applyAlignment="0" applyProtection="0"/>
    <xf numFmtId="0" fontId="34" fillId="0" borderId="41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42" applyNumberFormat="0" applyAlignment="0" applyProtection="0"/>
    <xf numFmtId="0" fontId="39" fillId="9" borderId="43" applyNumberFormat="0" applyAlignment="0" applyProtection="0"/>
    <xf numFmtId="0" fontId="40" fillId="9" borderId="42" applyNumberFormat="0" applyAlignment="0" applyProtection="0"/>
    <xf numFmtId="0" fontId="41" fillId="0" borderId="44" applyNumberFormat="0" applyFill="0" applyAlignment="0" applyProtection="0"/>
    <xf numFmtId="0" fontId="42" fillId="10" borderId="45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47" applyNumberFormat="0" applyFill="0" applyAlignment="0" applyProtection="0"/>
    <xf numFmtId="0" fontId="4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5" fillId="35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1" borderId="4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1" borderId="46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8" fillId="36" borderId="0" applyNumberFormat="0" applyBorder="0" applyAlignment="0" applyProtection="0"/>
  </cellStyleXfs>
  <cellXfs count="144">
    <xf numFmtId="0" fontId="0" fillId="0" borderId="0" xfId="0"/>
    <xf numFmtId="165" fontId="9" fillId="2" borderId="13" xfId="8" applyFont="1" applyFill="1" applyBorder="1" applyAlignment="1">
      <alignment vertical="center"/>
    </xf>
    <xf numFmtId="165" fontId="9" fillId="2" borderId="13" xfId="8" applyFont="1" applyFill="1" applyBorder="1" applyAlignment="1"/>
    <xf numFmtId="0" fontId="7" fillId="2" borderId="15" xfId="0" applyFont="1" applyFill="1" applyBorder="1" applyAlignment="1">
      <alignment horizontal="right" readingOrder="2"/>
    </xf>
    <xf numFmtId="167" fontId="24" fillId="2" borderId="0" xfId="0" applyNumberFormat="1" applyFont="1" applyFill="1" applyBorder="1" applyAlignment="1" applyProtection="1">
      <alignment horizontal="right" vertical="center"/>
    </xf>
    <xf numFmtId="0" fontId="29" fillId="2" borderId="15" xfId="0" applyFont="1" applyFill="1" applyBorder="1" applyAlignment="1" applyProtection="1">
      <alignment horizontal="left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3" fontId="13" fillId="2" borderId="26" xfId="0" applyNumberFormat="1" applyFont="1" applyFill="1" applyBorder="1" applyAlignment="1">
      <alignment vertical="center"/>
    </xf>
    <xf numFmtId="3" fontId="13" fillId="2" borderId="25" xfId="0" applyNumberFormat="1" applyFont="1" applyFill="1" applyBorder="1" applyAlignment="1">
      <alignment vertical="center"/>
    </xf>
    <xf numFmtId="165" fontId="4" fillId="2" borderId="24" xfId="8" applyFont="1" applyFill="1" applyBorder="1" applyAlignment="1" applyProtection="1">
      <alignment vertical="center"/>
    </xf>
    <xf numFmtId="165" fontId="14" fillId="2" borderId="16" xfId="8" applyFont="1" applyFill="1" applyBorder="1" applyAlignment="1">
      <alignment vertical="center"/>
    </xf>
    <xf numFmtId="165" fontId="4" fillId="2" borderId="1" xfId="8" applyFont="1" applyFill="1" applyBorder="1" applyAlignment="1" applyProtection="1">
      <alignment horizontal="center" vertical="center"/>
    </xf>
    <xf numFmtId="165" fontId="4" fillId="2" borderId="0" xfId="8" applyFont="1" applyFill="1" applyBorder="1" applyAlignment="1" applyProtection="1">
      <alignment horizontal="center" vertical="center"/>
    </xf>
    <xf numFmtId="165" fontId="14" fillId="2" borderId="0" xfId="8" applyFont="1" applyFill="1" applyBorder="1" applyAlignment="1">
      <alignment vertical="center"/>
    </xf>
    <xf numFmtId="0" fontId="11" fillId="2" borderId="20" xfId="0" applyFont="1" applyFill="1" applyBorder="1" applyAlignment="1" applyProtection="1">
      <alignment vertical="center"/>
    </xf>
    <xf numFmtId="0" fontId="11" fillId="2" borderId="20" xfId="0" applyFont="1" applyFill="1" applyBorder="1" applyAlignment="1" applyProtection="1">
      <alignment horizontal="center" vertical="center"/>
    </xf>
    <xf numFmtId="165" fontId="14" fillId="2" borderId="15" xfId="8" applyFont="1" applyFill="1" applyBorder="1" applyAlignment="1">
      <alignment vertical="center"/>
    </xf>
    <xf numFmtId="165" fontId="28" fillId="2" borderId="14" xfId="8" applyFont="1" applyFill="1" applyBorder="1" applyAlignment="1" applyProtection="1">
      <alignment horizontal="center"/>
    </xf>
    <xf numFmtId="165" fontId="28" fillId="2" borderId="14" xfId="8" applyFont="1" applyFill="1" applyBorder="1" applyAlignment="1" applyProtection="1">
      <alignment horizontal="right"/>
    </xf>
    <xf numFmtId="165" fontId="24" fillId="2" borderId="14" xfId="8" applyFont="1" applyFill="1" applyBorder="1" applyAlignment="1" applyProtection="1">
      <alignment horizontal="right" vertical="center"/>
    </xf>
    <xf numFmtId="165" fontId="24" fillId="2" borderId="1" xfId="8" applyFont="1" applyFill="1" applyBorder="1" applyAlignment="1" applyProtection="1">
      <alignment horizontal="right" vertical="center"/>
    </xf>
    <xf numFmtId="165" fontId="24" fillId="2" borderId="10" xfId="8" applyFont="1" applyFill="1" applyBorder="1" applyAlignment="1" applyProtection="1">
      <alignment horizontal="right" vertical="center"/>
    </xf>
    <xf numFmtId="165" fontId="24" fillId="2" borderId="11" xfId="8" applyFont="1" applyFill="1" applyBorder="1" applyAlignment="1" applyProtection="1">
      <alignment horizontal="right" vertical="center"/>
    </xf>
    <xf numFmtId="165" fontId="14" fillId="2" borderId="13" xfId="8" applyFont="1" applyFill="1" applyBorder="1" applyAlignment="1">
      <alignment horizontal="center" vertical="center"/>
    </xf>
    <xf numFmtId="4" fontId="28" fillId="3" borderId="15" xfId="8" applyNumberFormat="1" applyFont="1" applyFill="1" applyBorder="1" applyAlignment="1" applyProtection="1">
      <alignment horizontal="right"/>
    </xf>
    <xf numFmtId="3" fontId="24" fillId="3" borderId="22" xfId="8" applyNumberFormat="1" applyFont="1" applyFill="1" applyBorder="1" applyAlignment="1" applyProtection="1">
      <alignment horizontal="right" vertical="center"/>
    </xf>
    <xf numFmtId="3" fontId="24" fillId="3" borderId="27" xfId="8" applyNumberFormat="1" applyFont="1" applyFill="1" applyBorder="1" applyAlignment="1" applyProtection="1">
      <alignment horizontal="right" vertical="center"/>
    </xf>
    <xf numFmtId="3" fontId="24" fillId="3" borderId="28" xfId="8" applyNumberFormat="1" applyFont="1" applyFill="1" applyBorder="1" applyAlignment="1" applyProtection="1">
      <alignment horizontal="right" vertical="center"/>
    </xf>
    <xf numFmtId="3" fontId="24" fillId="4" borderId="29" xfId="5" applyNumberFormat="1" applyFont="1" applyFill="1" applyBorder="1" applyAlignment="1">
      <alignment horizontal="right" vertical="center"/>
    </xf>
    <xf numFmtId="3" fontId="24" fillId="4" borderId="28" xfId="5" applyNumberFormat="1" applyFont="1" applyFill="1" applyBorder="1" applyAlignment="1">
      <alignment horizontal="right" vertical="center"/>
    </xf>
    <xf numFmtId="3" fontId="24" fillId="4" borderId="4" xfId="5" applyNumberFormat="1" applyFont="1" applyFill="1" applyBorder="1" applyAlignment="1">
      <alignment horizontal="right" vertical="center"/>
    </xf>
    <xf numFmtId="165" fontId="14" fillId="2" borderId="13" xfId="8" applyFont="1" applyFill="1" applyBorder="1" applyAlignment="1"/>
    <xf numFmtId="4" fontId="28" fillId="4" borderId="13" xfId="5" applyNumberFormat="1" applyFont="1" applyFill="1" applyBorder="1" applyAlignment="1">
      <alignment horizontal="right"/>
    </xf>
    <xf numFmtId="3" fontId="24" fillId="4" borderId="13" xfId="5" applyNumberFormat="1" applyFont="1" applyFill="1" applyBorder="1" applyAlignment="1">
      <alignment horizontal="right" vertical="center"/>
    </xf>
    <xf numFmtId="3" fontId="24" fillId="4" borderId="17" xfId="5" applyNumberFormat="1" applyFont="1" applyFill="1" applyBorder="1" applyAlignment="1">
      <alignment horizontal="right" vertical="center"/>
    </xf>
    <xf numFmtId="3" fontId="24" fillId="4" borderId="26" xfId="5" applyNumberFormat="1" applyFont="1" applyFill="1" applyBorder="1" applyAlignment="1">
      <alignment horizontal="right" vertical="center"/>
    </xf>
    <xf numFmtId="167" fontId="24" fillId="4" borderId="30" xfId="5" applyNumberFormat="1" applyFont="1" applyFill="1" applyBorder="1" applyAlignment="1">
      <alignment horizontal="right" vertical="center"/>
    </xf>
    <xf numFmtId="167" fontId="24" fillId="4" borderId="26" xfId="5" applyNumberFormat="1" applyFont="1" applyFill="1" applyBorder="1" applyAlignment="1">
      <alignment horizontal="right" vertical="center"/>
    </xf>
    <xf numFmtId="167" fontId="24" fillId="4" borderId="5" xfId="5" applyNumberFormat="1" applyFont="1" applyFill="1" applyBorder="1" applyAlignment="1">
      <alignment horizontal="right" vertical="center"/>
    </xf>
    <xf numFmtId="0" fontId="11" fillId="2" borderId="13" xfId="0" applyFont="1" applyFill="1" applyBorder="1" applyAlignment="1">
      <alignment horizontal="right"/>
    </xf>
    <xf numFmtId="4" fontId="27" fillId="4" borderId="13" xfId="3" applyNumberFormat="1" applyFont="1" applyFill="1" applyBorder="1" applyAlignment="1">
      <alignment horizontal="right"/>
    </xf>
    <xf numFmtId="3" fontId="25" fillId="4" borderId="13" xfId="3" applyNumberFormat="1" applyFont="1" applyFill="1" applyBorder="1" applyAlignment="1">
      <alignment horizontal="right" vertical="center"/>
    </xf>
    <xf numFmtId="3" fontId="25" fillId="4" borderId="17" xfId="3" applyNumberFormat="1" applyFont="1" applyFill="1" applyBorder="1" applyAlignment="1">
      <alignment horizontal="right" vertical="center"/>
    </xf>
    <xf numFmtId="3" fontId="25" fillId="4" borderId="26" xfId="3" applyNumberFormat="1" applyFont="1" applyFill="1" applyBorder="1" applyAlignment="1">
      <alignment horizontal="right" vertical="center"/>
    </xf>
    <xf numFmtId="167" fontId="25" fillId="4" borderId="30" xfId="5" applyNumberFormat="1" applyFont="1" applyFill="1" applyBorder="1" applyAlignment="1">
      <alignment horizontal="right" vertical="center"/>
    </xf>
    <xf numFmtId="167" fontId="25" fillId="4" borderId="26" xfId="5" applyNumberFormat="1" applyFont="1" applyFill="1" applyBorder="1" applyAlignment="1">
      <alignment horizontal="right" vertical="center"/>
    </xf>
    <xf numFmtId="167" fontId="25" fillId="4" borderId="5" xfId="5" applyNumberFormat="1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/>
    </xf>
    <xf numFmtId="165" fontId="24" fillId="2" borderId="13" xfId="8" applyFont="1" applyFill="1" applyBorder="1" applyAlignment="1"/>
    <xf numFmtId="4" fontId="28" fillId="4" borderId="13" xfId="3" applyNumberFormat="1" applyFont="1" applyFill="1" applyBorder="1" applyAlignment="1">
      <alignment horizontal="right"/>
    </xf>
    <xf numFmtId="3" fontId="24" fillId="4" borderId="13" xfId="3" applyNumberFormat="1" applyFont="1" applyFill="1" applyBorder="1" applyAlignment="1">
      <alignment horizontal="right" vertical="center"/>
    </xf>
    <xf numFmtId="3" fontId="24" fillId="4" borderId="17" xfId="3" applyNumberFormat="1" applyFont="1" applyFill="1" applyBorder="1" applyAlignment="1">
      <alignment horizontal="right" vertical="center"/>
    </xf>
    <xf numFmtId="3" fontId="24" fillId="4" borderId="26" xfId="3" applyNumberFormat="1" applyFont="1" applyFill="1" applyBorder="1" applyAlignment="1">
      <alignment horizontal="right" vertical="center"/>
    </xf>
    <xf numFmtId="4" fontId="28" fillId="2" borderId="13" xfId="5" applyNumberFormat="1" applyFont="1" applyFill="1" applyBorder="1" applyAlignment="1">
      <alignment horizontal="right"/>
    </xf>
    <xf numFmtId="3" fontId="24" fillId="2" borderId="13" xfId="5" applyNumberFormat="1" applyFont="1" applyFill="1" applyBorder="1" applyAlignment="1">
      <alignment horizontal="right" vertical="center"/>
    </xf>
    <xf numFmtId="3" fontId="24" fillId="2" borderId="17" xfId="5" applyNumberFormat="1" applyFont="1" applyFill="1" applyBorder="1" applyAlignment="1">
      <alignment horizontal="right" vertical="center"/>
    </xf>
    <xf numFmtId="3" fontId="24" fillId="2" borderId="26" xfId="5" applyNumberFormat="1" applyFont="1" applyFill="1" applyBorder="1" applyAlignment="1">
      <alignment horizontal="right" vertical="center"/>
    </xf>
    <xf numFmtId="4" fontId="27" fillId="2" borderId="13" xfId="4" applyNumberFormat="1" applyFont="1" applyFill="1" applyBorder="1" applyAlignment="1">
      <alignment horizontal="right"/>
    </xf>
    <xf numFmtId="3" fontId="25" fillId="2" borderId="13" xfId="4" applyNumberFormat="1" applyFont="1" applyFill="1" applyBorder="1" applyAlignment="1">
      <alignment horizontal="right" vertical="center"/>
    </xf>
    <xf numFmtId="3" fontId="25" fillId="2" borderId="17" xfId="4" applyNumberFormat="1" applyFont="1" applyFill="1" applyBorder="1" applyAlignment="1">
      <alignment horizontal="right" vertical="center"/>
    </xf>
    <xf numFmtId="3" fontId="25" fillId="2" borderId="26" xfId="4" applyNumberFormat="1" applyFont="1" applyFill="1" applyBorder="1" applyAlignment="1">
      <alignment horizontal="right" vertical="center"/>
    </xf>
    <xf numFmtId="4" fontId="28" fillId="2" borderId="13" xfId="4" applyNumberFormat="1" applyFont="1" applyFill="1" applyBorder="1" applyAlignment="1">
      <alignment horizontal="right"/>
    </xf>
    <xf numFmtId="3" fontId="24" fillId="2" borderId="13" xfId="4" applyNumberFormat="1" applyFont="1" applyFill="1" applyBorder="1" applyAlignment="1">
      <alignment horizontal="right" vertical="center"/>
    </xf>
    <xf numFmtId="3" fontId="24" fillId="2" borderId="17" xfId="4" applyNumberFormat="1" applyFont="1" applyFill="1" applyBorder="1" applyAlignment="1">
      <alignment horizontal="right" vertical="center"/>
    </xf>
    <xf numFmtId="3" fontId="24" fillId="2" borderId="26" xfId="4" applyNumberFormat="1" applyFont="1" applyFill="1" applyBorder="1" applyAlignment="1">
      <alignment horizontal="right" vertical="center"/>
    </xf>
    <xf numFmtId="4" fontId="27" fillId="2" borderId="13" xfId="3" applyNumberFormat="1" applyFont="1" applyFill="1" applyBorder="1" applyAlignment="1">
      <alignment horizontal="right"/>
    </xf>
    <xf numFmtId="3" fontId="25" fillId="2" borderId="13" xfId="3" applyNumberFormat="1" applyFont="1" applyFill="1" applyBorder="1" applyAlignment="1">
      <alignment horizontal="right" vertical="center"/>
    </xf>
    <xf numFmtId="3" fontId="25" fillId="2" borderId="17" xfId="3" applyNumberFormat="1" applyFont="1" applyFill="1" applyBorder="1" applyAlignment="1">
      <alignment horizontal="right" vertical="center"/>
    </xf>
    <xf numFmtId="3" fontId="25" fillId="2" borderId="26" xfId="3" applyNumberFormat="1" applyFont="1" applyFill="1" applyBorder="1" applyAlignment="1">
      <alignment horizontal="right" vertical="center"/>
    </xf>
    <xf numFmtId="4" fontId="28" fillId="2" borderId="13" xfId="3" applyNumberFormat="1" applyFont="1" applyFill="1" applyBorder="1" applyAlignment="1">
      <alignment horizontal="right"/>
    </xf>
    <xf numFmtId="3" fontId="24" fillId="2" borderId="13" xfId="3" applyNumberFormat="1" applyFont="1" applyFill="1" applyBorder="1" applyAlignment="1">
      <alignment horizontal="right" vertical="center"/>
    </xf>
    <xf numFmtId="3" fontId="24" fillId="2" borderId="17" xfId="3" applyNumberFormat="1" applyFont="1" applyFill="1" applyBorder="1" applyAlignment="1">
      <alignment horizontal="right" vertical="center"/>
    </xf>
    <xf numFmtId="3" fontId="24" fillId="2" borderId="26" xfId="3" applyNumberFormat="1" applyFont="1" applyFill="1" applyBorder="1" applyAlignment="1">
      <alignment horizontal="right" vertical="center"/>
    </xf>
    <xf numFmtId="165" fontId="25" fillId="2" borderId="21" xfId="8" applyFont="1" applyFill="1" applyBorder="1" applyAlignment="1"/>
    <xf numFmtId="4" fontId="27" fillId="2" borderId="21" xfId="3" applyNumberFormat="1" applyFont="1" applyFill="1" applyBorder="1" applyAlignment="1">
      <alignment horizontal="right"/>
    </xf>
    <xf numFmtId="3" fontId="25" fillId="2" borderId="21" xfId="3" applyNumberFormat="1" applyFont="1" applyFill="1" applyBorder="1" applyAlignment="1">
      <alignment horizontal="right" vertical="center"/>
    </xf>
    <xf numFmtId="3" fontId="25" fillId="2" borderId="19" xfId="3" applyNumberFormat="1" applyFont="1" applyFill="1" applyBorder="1" applyAlignment="1">
      <alignment horizontal="right" vertical="center"/>
    </xf>
    <xf numFmtId="3" fontId="25" fillId="2" borderId="31" xfId="3" applyNumberFormat="1" applyFont="1" applyFill="1" applyBorder="1" applyAlignment="1">
      <alignment horizontal="right" vertical="center"/>
    </xf>
    <xf numFmtId="167" fontId="25" fillId="4" borderId="6" xfId="5" applyNumberFormat="1" applyFont="1" applyFill="1" applyBorder="1" applyAlignment="1">
      <alignment horizontal="right" vertical="center"/>
    </xf>
    <xf numFmtId="4" fontId="27" fillId="2" borderId="15" xfId="3" applyNumberFormat="1" applyFont="1" applyFill="1" applyBorder="1" applyAlignment="1">
      <alignment horizontal="right"/>
    </xf>
    <xf numFmtId="165" fontId="30" fillId="2" borderId="15" xfId="8" applyFont="1" applyFill="1" applyBorder="1" applyAlignment="1"/>
    <xf numFmtId="165" fontId="22" fillId="2" borderId="15" xfId="8" applyFont="1" applyFill="1" applyBorder="1" applyAlignment="1"/>
    <xf numFmtId="165" fontId="9" fillId="2" borderId="13" xfId="8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right"/>
    </xf>
    <xf numFmtId="0" fontId="11" fillId="2" borderId="25" xfId="0" applyFont="1" applyFill="1" applyBorder="1" applyAlignment="1">
      <alignment horizontal="right"/>
    </xf>
    <xf numFmtId="0" fontId="6" fillId="2" borderId="25" xfId="0" applyFont="1" applyFill="1" applyBorder="1" applyAlignment="1">
      <alignment horizontal="right"/>
    </xf>
    <xf numFmtId="0" fontId="7" fillId="2" borderId="25" xfId="0" applyFont="1" applyFill="1" applyBorder="1" applyAlignment="1">
      <alignment horizontal="right"/>
    </xf>
    <xf numFmtId="0" fontId="12" fillId="2" borderId="25" xfId="0" applyFont="1" applyFill="1" applyBorder="1" applyAlignment="1">
      <alignment horizontal="right"/>
    </xf>
    <xf numFmtId="0" fontId="17" fillId="2" borderId="25" xfId="0" applyFont="1" applyFill="1" applyBorder="1" applyAlignment="1">
      <alignment horizontal="right"/>
    </xf>
    <xf numFmtId="0" fontId="21" fillId="2" borderId="25" xfId="0" applyFont="1" applyFill="1" applyBorder="1" applyAlignment="1">
      <alignment horizontal="right"/>
    </xf>
    <xf numFmtId="0" fontId="7" fillId="2" borderId="25" xfId="0" applyFont="1" applyFill="1" applyBorder="1" applyAlignment="1">
      <alignment horizontal="right" vertical="center"/>
    </xf>
    <xf numFmtId="0" fontId="6" fillId="2" borderId="34" xfId="0" applyFont="1" applyFill="1" applyBorder="1" applyAlignment="1">
      <alignment horizontal="right"/>
    </xf>
    <xf numFmtId="165" fontId="24" fillId="3" borderId="15" xfId="8" applyFont="1" applyFill="1" applyBorder="1" applyAlignment="1" applyProtection="1">
      <alignment horizontal="left" vertical="center"/>
    </xf>
    <xf numFmtId="165" fontId="24" fillId="4" borderId="13" xfId="8" applyFont="1" applyFill="1" applyBorder="1" applyAlignment="1"/>
    <xf numFmtId="165" fontId="25" fillId="4" borderId="13" xfId="8" applyFont="1" applyFill="1" applyBorder="1" applyAlignment="1" applyProtection="1">
      <alignment horizontal="left"/>
    </xf>
    <xf numFmtId="165" fontId="25" fillId="2" borderId="13" xfId="8" applyFont="1" applyFill="1" applyBorder="1" applyAlignment="1" applyProtection="1">
      <alignment horizontal="left"/>
    </xf>
    <xf numFmtId="165" fontId="24" fillId="4" borderId="13" xfId="8" applyFont="1" applyFill="1" applyBorder="1" applyAlignment="1" applyProtection="1">
      <alignment horizontal="left"/>
    </xf>
    <xf numFmtId="165" fontId="25" fillId="2" borderId="13" xfId="8" applyFont="1" applyFill="1" applyBorder="1" applyAlignment="1"/>
    <xf numFmtId="165" fontId="24" fillId="2" borderId="13" xfId="8" applyFont="1" applyFill="1" applyBorder="1" applyAlignment="1" applyProtection="1">
      <alignment horizontal="left"/>
    </xf>
    <xf numFmtId="165" fontId="10" fillId="2" borderId="13" xfId="8" applyFont="1" applyFill="1" applyBorder="1" applyAlignment="1">
      <alignment vertical="center"/>
    </xf>
    <xf numFmtId="167" fontId="46" fillId="4" borderId="26" xfId="5" applyNumberFormat="1" applyFont="1" applyFill="1" applyBorder="1" applyAlignment="1">
      <alignment horizontal="right" vertical="center"/>
    </xf>
    <xf numFmtId="167" fontId="47" fillId="4" borderId="26" xfId="5" applyNumberFormat="1" applyFont="1" applyFill="1" applyBorder="1" applyAlignment="1">
      <alignment horizontal="right" vertical="center"/>
    </xf>
    <xf numFmtId="167" fontId="47" fillId="4" borderId="31" xfId="5" applyNumberFormat="1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right"/>
    </xf>
    <xf numFmtId="165" fontId="24" fillId="2" borderId="0" xfId="8" applyFont="1" applyFill="1" applyBorder="1" applyAlignment="1" applyProtection="1">
      <alignment horizontal="right" vertical="center"/>
    </xf>
    <xf numFmtId="3" fontId="25" fillId="4" borderId="26" xfId="4" applyNumberFormat="1" applyFont="1" applyFill="1" applyBorder="1" applyAlignment="1">
      <alignment horizontal="right" vertical="center"/>
    </xf>
    <xf numFmtId="3" fontId="25" fillId="4" borderId="31" xfId="3" applyNumberFormat="1" applyFont="1" applyFill="1" applyBorder="1" applyAlignment="1">
      <alignment horizontal="right" vertical="center"/>
    </xf>
    <xf numFmtId="165" fontId="12" fillId="2" borderId="2" xfId="8" applyFont="1" applyFill="1" applyBorder="1" applyAlignment="1" applyProtection="1">
      <alignment vertical="center"/>
    </xf>
    <xf numFmtId="165" fontId="12" fillId="2" borderId="38" xfId="8" applyFont="1" applyFill="1" applyBorder="1" applyAlignment="1" applyProtection="1">
      <alignment vertical="center"/>
    </xf>
    <xf numFmtId="165" fontId="12" fillId="2" borderId="33" xfId="8" applyFont="1" applyFill="1" applyBorder="1" applyAlignment="1" applyProtection="1">
      <alignment vertical="center"/>
    </xf>
    <xf numFmtId="167" fontId="47" fillId="4" borderId="30" xfId="5" applyNumberFormat="1" applyFont="1" applyFill="1" applyBorder="1" applyAlignment="1">
      <alignment horizontal="right" vertical="center"/>
    </xf>
    <xf numFmtId="167" fontId="46" fillId="4" borderId="30" xfId="5" applyNumberFormat="1" applyFont="1" applyFill="1" applyBorder="1" applyAlignment="1">
      <alignment horizontal="right" vertical="center"/>
    </xf>
    <xf numFmtId="167" fontId="47" fillId="4" borderId="32" xfId="5" applyNumberFormat="1" applyFont="1" applyFill="1" applyBorder="1" applyAlignment="1">
      <alignment horizontal="right" vertical="center"/>
    </xf>
    <xf numFmtId="167" fontId="25" fillId="4" borderId="31" xfId="5" applyNumberFormat="1" applyFont="1" applyFill="1" applyBorder="1" applyAlignment="1">
      <alignment horizontal="right" vertical="center"/>
    </xf>
    <xf numFmtId="165" fontId="26" fillId="2" borderId="35" xfId="8" applyFont="1" applyFill="1" applyBorder="1" applyAlignment="1" applyProtection="1">
      <alignment vertical="center"/>
    </xf>
    <xf numFmtId="165" fontId="12" fillId="2" borderId="37" xfId="8" applyFont="1" applyFill="1" applyBorder="1" applyAlignment="1" applyProtection="1">
      <alignment vertical="center"/>
    </xf>
    <xf numFmtId="165" fontId="12" fillId="2" borderId="3" xfId="8" applyFont="1" applyFill="1" applyBorder="1" applyAlignment="1" applyProtection="1">
      <alignment vertical="center"/>
    </xf>
    <xf numFmtId="165" fontId="12" fillId="2" borderId="8" xfId="8" applyFont="1" applyFill="1" applyBorder="1" applyAlignment="1" applyProtection="1">
      <alignment vertical="center"/>
    </xf>
    <xf numFmtId="165" fontId="12" fillId="2" borderId="7" xfId="8" applyFont="1" applyFill="1" applyBorder="1" applyAlignment="1" applyProtection="1">
      <alignment vertical="center"/>
    </xf>
    <xf numFmtId="0" fontId="11" fillId="2" borderId="4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5" fontId="24" fillId="2" borderId="12" xfId="8" applyFont="1" applyFill="1" applyBorder="1" applyAlignment="1" applyProtection="1">
      <alignment horizontal="right" vertical="center"/>
    </xf>
    <xf numFmtId="167" fontId="24" fillId="4" borderId="49" xfId="5" applyNumberFormat="1" applyFont="1" applyFill="1" applyBorder="1" applyAlignment="1">
      <alignment horizontal="right" vertical="center"/>
    </xf>
    <xf numFmtId="167" fontId="25" fillId="4" borderId="49" xfId="5" applyNumberFormat="1" applyFont="1" applyFill="1" applyBorder="1" applyAlignment="1">
      <alignment horizontal="right" vertical="center"/>
    </xf>
    <xf numFmtId="167" fontId="25" fillId="4" borderId="48" xfId="5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3" fontId="13" fillId="2" borderId="17" xfId="0" applyNumberFormat="1" applyFont="1" applyFill="1" applyBorder="1" applyAlignment="1">
      <alignment horizontal="center" vertical="center"/>
    </xf>
    <xf numFmtId="3" fontId="13" fillId="2" borderId="26" xfId="0" applyNumberFormat="1" applyFont="1" applyFill="1" applyBorder="1" applyAlignment="1">
      <alignment horizontal="center" vertical="center"/>
    </xf>
    <xf numFmtId="165" fontId="24" fillId="2" borderId="36" xfId="8" applyFont="1" applyFill="1" applyBorder="1" applyAlignment="1" applyProtection="1">
      <alignment horizontal="left" vertical="center"/>
    </xf>
    <xf numFmtId="165" fontId="24" fillId="2" borderId="23" xfId="8" applyFont="1" applyFill="1" applyBorder="1" applyAlignment="1" applyProtection="1">
      <alignment horizontal="left" vertical="center"/>
    </xf>
    <xf numFmtId="165" fontId="24" fillId="2" borderId="14" xfId="8" applyFont="1" applyFill="1" applyBorder="1" applyAlignment="1" applyProtection="1">
      <alignment horizontal="left" vertical="center"/>
    </xf>
    <xf numFmtId="165" fontId="26" fillId="2" borderId="18" xfId="8" applyFont="1" applyFill="1" applyBorder="1" applyAlignment="1" applyProtection="1">
      <alignment horizontal="center" vertical="center"/>
    </xf>
    <xf numFmtId="165" fontId="26" fillId="2" borderId="35" xfId="8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0" fontId="28" fillId="2" borderId="3" xfId="0" applyFont="1" applyFill="1" applyBorder="1" applyAlignment="1" applyProtection="1">
      <alignment horizontal="center" vertical="center"/>
    </xf>
    <xf numFmtId="0" fontId="28" fillId="2" borderId="8" xfId="0" applyFont="1" applyFill="1" applyBorder="1" applyAlignment="1" applyProtection="1">
      <alignment horizontal="center" vertical="center"/>
    </xf>
  </cellXfs>
  <cellStyles count="71">
    <cellStyle name="1" xfId="1"/>
    <cellStyle name="20% - Accent1" xfId="27" builtinId="30" customBuiltin="1"/>
    <cellStyle name="20% - Accent1 2" xfId="58"/>
    <cellStyle name="20% - Accent2" xfId="31" builtinId="34" customBuiltin="1"/>
    <cellStyle name="20% - Accent2 2" xfId="60"/>
    <cellStyle name="20% - Accent3" xfId="35" builtinId="38" customBuiltin="1"/>
    <cellStyle name="20% - Accent3 2" xfId="62"/>
    <cellStyle name="20% - Accent4" xfId="39" builtinId="42" customBuiltin="1"/>
    <cellStyle name="20% - Accent4 2" xfId="64"/>
    <cellStyle name="20% - Accent5" xfId="43" builtinId="46" customBuiltin="1"/>
    <cellStyle name="20% - Accent5 2" xfId="66"/>
    <cellStyle name="20% - Accent6" xfId="47" builtinId="50" customBuiltin="1"/>
    <cellStyle name="20% - Accent6 2" xfId="68"/>
    <cellStyle name="40% - Accent1" xfId="28" builtinId="31" customBuiltin="1"/>
    <cellStyle name="40% - Accent1 2" xfId="59"/>
    <cellStyle name="40% - Accent2" xfId="32" builtinId="35" customBuiltin="1"/>
    <cellStyle name="40% - Accent2 2" xfId="61"/>
    <cellStyle name="40% - Accent3" xfId="36" builtinId="39" customBuiltin="1"/>
    <cellStyle name="40% - Accent3 2" xfId="63"/>
    <cellStyle name="40% - Accent4" xfId="40" builtinId="43" customBuiltin="1"/>
    <cellStyle name="40% - Accent4 2" xfId="65"/>
    <cellStyle name="40% - Accent5" xfId="44" builtinId="47" customBuiltin="1"/>
    <cellStyle name="40% - Accent5 2" xfId="67"/>
    <cellStyle name="40% - Accent6" xfId="48" builtinId="51" customBuiltin="1"/>
    <cellStyle name="40% - Accent6 2" xfId="69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1 - 20%" xfId="70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/>
    <cellStyle name="Comma 3" xfId="3"/>
    <cellStyle name="Comma 4" xfId="51"/>
    <cellStyle name="Comma 5" xfId="54"/>
    <cellStyle name="Comma_XII7" xfId="4"/>
    <cellStyle name="Comma_XII-7 (Commerce)" xfId="5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- Style1" xfId="6"/>
    <cellStyle name="Normal 2" xfId="7"/>
    <cellStyle name="Normal 3" xfId="50"/>
    <cellStyle name="Normal 4" xfId="53"/>
    <cellStyle name="Normal 5" xfId="55"/>
    <cellStyle name="Normal 6" xfId="57"/>
    <cellStyle name="Normal_XII-7 (Commerce)" xfId="8"/>
    <cellStyle name="Note 2" xfId="52"/>
    <cellStyle name="Note 3" xfId="56"/>
    <cellStyle name="Output" xfId="19" builtinId="21" customBuiltin="1"/>
    <cellStyle name="Percent 2" xfId="9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37"/>
  <sheetViews>
    <sheetView tabSelected="1" zoomScaleNormal="100" workbookViewId="0">
      <selection activeCell="AD31" sqref="AD31"/>
    </sheetView>
  </sheetViews>
  <sheetFormatPr defaultColWidth="11" defaultRowHeight="15.75" x14ac:dyDescent="0.2"/>
  <cols>
    <col min="1" max="1" width="22.140625" style="101" customWidth="1"/>
    <col min="2" max="2" width="10.85546875" style="84" hidden="1" customWidth="1"/>
    <col min="3" max="3" width="11.140625" style="84" hidden="1" customWidth="1"/>
    <col min="4" max="4" width="11" style="84" hidden="1" customWidth="1"/>
    <col min="5" max="5" width="10.85546875" style="84" hidden="1" customWidth="1"/>
    <col min="6" max="12" width="9.5703125" style="1" hidden="1" customWidth="1"/>
    <col min="13" max="15" width="10.42578125" style="1" customWidth="1"/>
    <col min="16" max="16" width="12.28515625" style="1" bestFit="1" customWidth="1"/>
    <col min="17" max="17" width="9.140625" style="1" customWidth="1"/>
    <col min="18" max="20" width="9.85546875" style="1" customWidth="1"/>
    <col min="21" max="21" width="0.5703125" style="1" customWidth="1"/>
    <col min="22" max="25" width="9" style="1" customWidth="1"/>
    <col min="26" max="26" width="13" style="1" customWidth="1"/>
    <col min="27" max="27" width="9" style="1" customWidth="1"/>
    <col min="28" max="28" width="0.140625" style="1" customWidth="1"/>
    <col min="29" max="16384" width="11" style="1"/>
  </cols>
  <sheetData>
    <row r="1" spans="1:28" ht="19.5" x14ac:dyDescent="0.2">
      <c r="A1" s="132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9"/>
      <c r="AB1" s="10"/>
    </row>
    <row r="2" spans="1:28" s="12" customFormat="1" ht="14.25" customHeight="1" x14ac:dyDescent="0.2">
      <c r="A2" s="137" t="s">
        <v>58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16"/>
      <c r="AB2" s="11"/>
    </row>
    <row r="3" spans="1:28" s="15" customFormat="1" ht="4.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28" s="18" customFormat="1" ht="19.5" customHeight="1" x14ac:dyDescent="0.2">
      <c r="A4" s="134" t="s">
        <v>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7" t="s">
        <v>57</v>
      </c>
      <c r="N4" s="109"/>
      <c r="O4" s="109"/>
      <c r="P4" s="120"/>
      <c r="Q4" s="139" t="s">
        <v>36</v>
      </c>
      <c r="R4" s="129"/>
      <c r="S4" s="129"/>
      <c r="T4" s="140"/>
      <c r="U4" s="121"/>
      <c r="V4" s="129" t="s">
        <v>20</v>
      </c>
      <c r="W4" s="129"/>
      <c r="X4" s="129"/>
      <c r="Y4" s="129"/>
      <c r="Z4" s="130" t="s">
        <v>49</v>
      </c>
      <c r="AA4" s="16"/>
      <c r="AB4" s="17"/>
    </row>
    <row r="5" spans="1:28" s="18" customFormat="1" ht="14.25" customHeight="1" x14ac:dyDescent="0.2">
      <c r="A5" s="135"/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8"/>
      <c r="N5" s="118"/>
      <c r="O5" s="118"/>
      <c r="P5" s="119"/>
      <c r="Q5" s="141" t="s">
        <v>48</v>
      </c>
      <c r="R5" s="142"/>
      <c r="S5" s="142"/>
      <c r="T5" s="143"/>
      <c r="U5" s="122"/>
      <c r="V5" s="142" t="s">
        <v>0</v>
      </c>
      <c r="W5" s="142"/>
      <c r="X5" s="142"/>
      <c r="Y5" s="142"/>
      <c r="Z5" s="128"/>
      <c r="AA5" s="16"/>
      <c r="AB5" s="17"/>
    </row>
    <row r="6" spans="1:28" s="25" customFormat="1" ht="19.5" customHeight="1" x14ac:dyDescent="0.2">
      <c r="A6" s="136"/>
      <c r="B6" s="19">
        <v>2003</v>
      </c>
      <c r="C6" s="19">
        <v>2004</v>
      </c>
      <c r="D6" s="20">
        <v>2005</v>
      </c>
      <c r="E6" s="20">
        <v>2006</v>
      </c>
      <c r="F6" s="21">
        <v>2007</v>
      </c>
      <c r="G6" s="21">
        <v>2008</v>
      </c>
      <c r="H6" s="21">
        <v>2009</v>
      </c>
      <c r="I6" s="21">
        <v>2010</v>
      </c>
      <c r="J6" s="22">
        <v>2011</v>
      </c>
      <c r="K6" s="22">
        <v>2012</v>
      </c>
      <c r="L6" s="22">
        <v>2013</v>
      </c>
      <c r="M6" s="22">
        <v>2014</v>
      </c>
      <c r="N6" s="22">
        <v>2015</v>
      </c>
      <c r="O6" s="22">
        <v>2016</v>
      </c>
      <c r="P6" s="22">
        <v>2017</v>
      </c>
      <c r="Q6" s="23">
        <v>2014</v>
      </c>
      <c r="R6" s="24">
        <v>2015</v>
      </c>
      <c r="S6" s="24">
        <v>2016</v>
      </c>
      <c r="T6" s="124">
        <v>2017</v>
      </c>
      <c r="U6" s="23"/>
      <c r="V6" s="106">
        <v>2014</v>
      </c>
      <c r="W6" s="22">
        <v>2015</v>
      </c>
      <c r="X6" s="22">
        <v>2016</v>
      </c>
      <c r="Y6" s="22">
        <v>2017</v>
      </c>
      <c r="Z6" s="131"/>
    </row>
    <row r="7" spans="1:28" s="33" customFormat="1" ht="21" customHeight="1" x14ac:dyDescent="0.4">
      <c r="A7" s="94" t="s">
        <v>2</v>
      </c>
      <c r="B7" s="26">
        <f>SUM(B8,B17,B18,B22,B30)</f>
        <v>1445921.9455699997</v>
      </c>
      <c r="C7" s="26">
        <f t="shared" ref="C7:H7" si="0">SUM(C8,C17,C18,C22,C30,C21)</f>
        <v>1572277.1540399997</v>
      </c>
      <c r="D7" s="26">
        <f t="shared" si="0"/>
        <v>1334059.5760799998</v>
      </c>
      <c r="E7" s="26">
        <f t="shared" si="0"/>
        <v>1735722.3422600001</v>
      </c>
      <c r="F7" s="27">
        <f t="shared" si="0"/>
        <v>1384588.6013099998</v>
      </c>
      <c r="G7" s="27">
        <f t="shared" si="0"/>
        <v>1617451.5994499999</v>
      </c>
      <c r="H7" s="27">
        <f t="shared" si="0"/>
        <v>981317.9378099998</v>
      </c>
      <c r="I7" s="27">
        <f t="shared" ref="I7:M7" si="1">SUM(I8,I17,I18,I22,I30,I21)</f>
        <v>949797.71056999988</v>
      </c>
      <c r="J7" s="28">
        <f t="shared" si="1"/>
        <v>1770329.63121</v>
      </c>
      <c r="K7" s="29">
        <f t="shared" si="1"/>
        <v>2483060.3319799998</v>
      </c>
      <c r="L7" s="29">
        <f t="shared" si="1"/>
        <v>2558635.1909499997</v>
      </c>
      <c r="M7" s="29">
        <f t="shared" si="1"/>
        <v>2227693.2185499994</v>
      </c>
      <c r="N7" s="29">
        <f t="shared" ref="N7" si="2">SUM(N8,N17,N18,N22,N30,N21)</f>
        <v>2215411.7713000001</v>
      </c>
      <c r="O7" s="29">
        <f>SUM(O8,O17,O18,O22,O30,O21)</f>
        <v>2145317.2528799996</v>
      </c>
      <c r="P7" s="29">
        <f>SUM(P8,P17,P18,P22,P30,P21)</f>
        <v>3068176.8116000001</v>
      </c>
      <c r="Q7" s="30">
        <f>SUM(Q30,Q22,Q18,Q17,Q8,Q21)</f>
        <v>100.00000000000004</v>
      </c>
      <c r="R7" s="31">
        <f t="shared" ref="R7" si="3">SUM(R30,R22,R18,R17,R8,R21)</f>
        <v>99.999999999999986</v>
      </c>
      <c r="S7" s="31">
        <f>SUM(S30,S22,S18,S17,S8,S21)</f>
        <v>100</v>
      </c>
      <c r="T7" s="31">
        <f>SUM(T30,T22,T18,T17,T8,T21)</f>
        <v>100</v>
      </c>
      <c r="U7" s="32"/>
      <c r="V7" s="7">
        <f>((M7-L7)/L7)*100</f>
        <v>-12.934316450057281</v>
      </c>
      <c r="W7" s="4">
        <f>((N7-M7)/M7)*100</f>
        <v>-0.55130783483702639</v>
      </c>
      <c r="X7" s="4">
        <f>((O7-N7)/N7)*100</f>
        <v>-3.1639498953672711</v>
      </c>
      <c r="Y7" s="4">
        <f>((P7-O7)/O7)*100</f>
        <v>43.017393230819351</v>
      </c>
      <c r="Z7" s="85" t="s">
        <v>28</v>
      </c>
    </row>
    <row r="8" spans="1:28" s="33" customFormat="1" ht="18" customHeight="1" x14ac:dyDescent="0.4">
      <c r="A8" s="95" t="s">
        <v>3</v>
      </c>
      <c r="B8" s="34">
        <f t="shared" ref="B8:G8" si="4">SUM(B9:B16)</f>
        <v>227667.37286999996</v>
      </c>
      <c r="C8" s="34">
        <f t="shared" si="4"/>
        <v>305996.71087999997</v>
      </c>
      <c r="D8" s="34">
        <f t="shared" si="4"/>
        <v>352329.63900000002</v>
      </c>
      <c r="E8" s="34">
        <f t="shared" si="4"/>
        <v>427133.72319999995</v>
      </c>
      <c r="F8" s="35">
        <f t="shared" si="4"/>
        <v>405176.84723000001</v>
      </c>
      <c r="G8" s="35">
        <f t="shared" si="4"/>
        <v>501890.46439999994</v>
      </c>
      <c r="H8" s="35">
        <f t="shared" ref="H8:M8" si="5">SUM(H9:H16)</f>
        <v>421839.11106999998</v>
      </c>
      <c r="I8" s="35">
        <f t="shared" si="5"/>
        <v>337218.64825000009</v>
      </c>
      <c r="J8" s="36">
        <f t="shared" si="5"/>
        <v>812744.67657999997</v>
      </c>
      <c r="K8" s="37">
        <f t="shared" si="5"/>
        <v>1127850.1691099999</v>
      </c>
      <c r="L8" s="37">
        <f t="shared" si="5"/>
        <v>970103.83279999997</v>
      </c>
      <c r="M8" s="37">
        <f t="shared" si="5"/>
        <v>888622.34262000001</v>
      </c>
      <c r="N8" s="37">
        <f t="shared" ref="N8:O8" si="6">SUM(N9:N16)</f>
        <v>914364.13443999994</v>
      </c>
      <c r="O8" s="37">
        <f t="shared" si="6"/>
        <v>825995.70250999986</v>
      </c>
      <c r="P8" s="37">
        <f t="shared" ref="P8" si="7">SUM(P9:P16)</f>
        <v>1013711.50981</v>
      </c>
      <c r="Q8" s="38">
        <f>(M8/$M$7)*100</f>
        <v>39.889798793677812</v>
      </c>
      <c r="R8" s="39">
        <f>(N8/$N$7)*100</f>
        <v>41.272875150584419</v>
      </c>
      <c r="S8" s="39">
        <f>(O8/$O$7)*100</f>
        <v>38.50226354172721</v>
      </c>
      <c r="T8" s="125">
        <f>(P8/$P$7)*100</f>
        <v>33.039540158748778</v>
      </c>
      <c r="U8" s="40"/>
      <c r="V8" s="4">
        <f t="shared" ref="V8:V33" si="8">((M8-L8)/L8)*100</f>
        <v>-8.3992545359624895</v>
      </c>
      <c r="W8" s="4">
        <f t="shared" ref="W8:W33" si="9">((N8-M8)/M8)*100</f>
        <v>2.8968202334529689</v>
      </c>
      <c r="X8" s="6">
        <f>((O8-N8)/N8)*100</f>
        <v>-9.6644683011458135</v>
      </c>
      <c r="Y8" s="6">
        <f t="shared" ref="Y8:Y33" si="10">((P8-O8)/O8)*100</f>
        <v>22.726002899237546</v>
      </c>
      <c r="Z8" s="86" t="s">
        <v>29</v>
      </c>
    </row>
    <row r="9" spans="1:28" s="33" customFormat="1" ht="18" customHeight="1" x14ac:dyDescent="0.4">
      <c r="A9" s="96" t="s">
        <v>5</v>
      </c>
      <c r="B9" s="42">
        <v>7269.4838300000001</v>
      </c>
      <c r="C9" s="42">
        <v>36289.345409999994</v>
      </c>
      <c r="D9" s="42">
        <v>52684.412360000002</v>
      </c>
      <c r="E9" s="42">
        <v>88149.976580000002</v>
      </c>
      <c r="F9" s="43">
        <v>102118.17361</v>
      </c>
      <c r="G9" s="43">
        <v>141451.09388999999</v>
      </c>
      <c r="H9" s="43">
        <v>110347.48964</v>
      </c>
      <c r="I9" s="43">
        <v>103389.08512</v>
      </c>
      <c r="J9" s="44">
        <v>295587.50266999996</v>
      </c>
      <c r="K9" s="45">
        <v>410733.49375999998</v>
      </c>
      <c r="L9" s="45">
        <v>345366.26675999997</v>
      </c>
      <c r="M9" s="45">
        <v>322181.28967000003</v>
      </c>
      <c r="N9" s="45">
        <v>232558.78039</v>
      </c>
      <c r="O9" s="45">
        <v>188612.58134999961</v>
      </c>
      <c r="P9" s="45">
        <v>213766.68318999998</v>
      </c>
      <c r="Q9" s="46">
        <f>(M9/$M$7)*100</f>
        <v>14.462551979204171</v>
      </c>
      <c r="R9" s="47">
        <f t="shared" ref="R9:R33" si="11">(N9/$N$7)*100</f>
        <v>10.49731627333256</v>
      </c>
      <c r="S9" s="47">
        <f>(O9/$O$7)*100</f>
        <v>8.791826994203074</v>
      </c>
      <c r="T9" s="126">
        <f t="shared" ref="T9:T32" si="12">(P9/$P$7)*100</f>
        <v>6.9672217840185162</v>
      </c>
      <c r="U9" s="48"/>
      <c r="V9" s="6">
        <f t="shared" si="8"/>
        <v>-6.7131562406213572</v>
      </c>
      <c r="W9" s="6">
        <f t="shared" si="9"/>
        <v>-27.817415893951353</v>
      </c>
      <c r="X9" s="6">
        <f t="shared" ref="X9:X33" si="13">((O9-N9)/N9)*100</f>
        <v>-18.896813513685792</v>
      </c>
      <c r="Y9" s="6">
        <f t="shared" si="10"/>
        <v>13.336385971688214</v>
      </c>
      <c r="Z9" s="87" t="s">
        <v>21</v>
      </c>
    </row>
    <row r="10" spans="1:28" s="33" customFormat="1" ht="18" customHeight="1" x14ac:dyDescent="0.4">
      <c r="A10" s="96" t="s">
        <v>7</v>
      </c>
      <c r="B10" s="42">
        <v>11497.32883</v>
      </c>
      <c r="C10" s="42">
        <v>26967.876410000001</v>
      </c>
      <c r="D10" s="42">
        <v>25537.643619999999</v>
      </c>
      <c r="E10" s="42">
        <v>63823.594700000001</v>
      </c>
      <c r="F10" s="43">
        <v>58306.332060000001</v>
      </c>
      <c r="G10" s="43">
        <v>134426.35631</v>
      </c>
      <c r="H10" s="43">
        <v>125663.85926000001</v>
      </c>
      <c r="I10" s="43">
        <v>88064.559600000008</v>
      </c>
      <c r="J10" s="44">
        <v>177242.35548000003</v>
      </c>
      <c r="K10" s="45">
        <v>190472.78999000002</v>
      </c>
      <c r="L10" s="45">
        <v>126668.46704</v>
      </c>
      <c r="M10" s="45">
        <v>78885.759760000001</v>
      </c>
      <c r="N10" s="45">
        <v>124085.05331999999</v>
      </c>
      <c r="O10" s="45">
        <v>105654.97153000002</v>
      </c>
      <c r="P10" s="45">
        <v>88683.157289999988</v>
      </c>
      <c r="Q10" s="46">
        <f t="shared" ref="Q10:Q33" si="14">(M10/$M$7)*100</f>
        <v>3.5411410827630281</v>
      </c>
      <c r="R10" s="47">
        <f t="shared" si="11"/>
        <v>5.6009927782945326</v>
      </c>
      <c r="S10" s="47">
        <f t="shared" ref="S10:S32" si="15">(O10/$O$7)*100</f>
        <v>4.9249112870444964</v>
      </c>
      <c r="T10" s="126">
        <f t="shared" si="12"/>
        <v>2.8904187318902683</v>
      </c>
      <c r="U10" s="48"/>
      <c r="V10" s="6">
        <f t="shared" si="8"/>
        <v>-37.722653787947827</v>
      </c>
      <c r="W10" s="6">
        <f t="shared" si="9"/>
        <v>57.297151852898622</v>
      </c>
      <c r="X10" s="6">
        <f t="shared" si="13"/>
        <v>-14.852781456660269</v>
      </c>
      <c r="Y10" s="6">
        <f t="shared" si="10"/>
        <v>-16.063431747914485</v>
      </c>
      <c r="Z10" s="87" t="s">
        <v>22</v>
      </c>
    </row>
    <row r="11" spans="1:28" s="33" customFormat="1" ht="18" customHeight="1" x14ac:dyDescent="0.4">
      <c r="A11" s="96" t="s">
        <v>4</v>
      </c>
      <c r="B11" s="42">
        <v>140226.35119999998</v>
      </c>
      <c r="C11" s="42">
        <v>153662.96505</v>
      </c>
      <c r="D11" s="42">
        <v>183635.94294000001</v>
      </c>
      <c r="E11" s="42">
        <v>168865.24539</v>
      </c>
      <c r="F11" s="43">
        <v>158540.01175000001</v>
      </c>
      <c r="G11" s="43">
        <v>123445.25870999999</v>
      </c>
      <c r="H11" s="43">
        <v>98090.754780000003</v>
      </c>
      <c r="I11" s="43">
        <v>90589.378890000007</v>
      </c>
      <c r="J11" s="44">
        <v>125746.90523</v>
      </c>
      <c r="K11" s="45">
        <v>184244.46200999999</v>
      </c>
      <c r="L11" s="45">
        <v>139580.98009999999</v>
      </c>
      <c r="M11" s="45">
        <v>104104.1945</v>
      </c>
      <c r="N11" s="45">
        <v>127377.47684999999</v>
      </c>
      <c r="O11" s="45">
        <v>88713.561470000001</v>
      </c>
      <c r="P11" s="45">
        <v>175357.36434999996</v>
      </c>
      <c r="Q11" s="46">
        <f>(M11/$M$7)*100</f>
        <v>4.6731836158194708</v>
      </c>
      <c r="R11" s="47">
        <f t="shared" si="11"/>
        <v>5.7496072964916625</v>
      </c>
      <c r="S11" s="47">
        <f>(O11/$O$7)*100</f>
        <v>4.1352187584799269</v>
      </c>
      <c r="T11" s="126">
        <f t="shared" si="12"/>
        <v>5.7153604605516257</v>
      </c>
      <c r="U11" s="48"/>
      <c r="V11" s="6">
        <f t="shared" si="8"/>
        <v>-25.416633107593427</v>
      </c>
      <c r="W11" s="6">
        <f t="shared" si="9"/>
        <v>22.35575853766391</v>
      </c>
      <c r="X11" s="6">
        <f t="shared" si="13"/>
        <v>-30.353808488082006</v>
      </c>
      <c r="Y11" s="6">
        <f t="shared" si="10"/>
        <v>97.666919740675766</v>
      </c>
      <c r="Z11" s="87" t="s">
        <v>27</v>
      </c>
    </row>
    <row r="12" spans="1:28" s="33" customFormat="1" ht="18" customHeight="1" x14ac:dyDescent="0.4">
      <c r="A12" s="96" t="s">
        <v>6</v>
      </c>
      <c r="B12" s="42">
        <v>55127.474479999997</v>
      </c>
      <c r="C12" s="42">
        <v>77192.205239999996</v>
      </c>
      <c r="D12" s="42">
        <v>70964.544049999997</v>
      </c>
      <c r="E12" s="42">
        <v>66325.581210000004</v>
      </c>
      <c r="F12" s="43">
        <v>21994.62098</v>
      </c>
      <c r="G12" s="43">
        <v>43164.361729999997</v>
      </c>
      <c r="H12" s="43">
        <v>33888.798379999993</v>
      </c>
      <c r="I12" s="43">
        <v>26841.330399999999</v>
      </c>
      <c r="J12" s="44">
        <v>45612.352340000005</v>
      </c>
      <c r="K12" s="45">
        <v>84795.587150000007</v>
      </c>
      <c r="L12" s="45">
        <v>153742.89004</v>
      </c>
      <c r="M12" s="45">
        <v>148550.84917</v>
      </c>
      <c r="N12" s="45">
        <v>154077.37527000002</v>
      </c>
      <c r="O12" s="45">
        <v>187349.15192000015</v>
      </c>
      <c r="P12" s="45">
        <v>220705.70510999995</v>
      </c>
      <c r="Q12" s="46">
        <f t="shared" si="14"/>
        <v>6.6683710276180408</v>
      </c>
      <c r="R12" s="47">
        <f t="shared" si="11"/>
        <v>6.9547962715566705</v>
      </c>
      <c r="S12" s="47">
        <f t="shared" si="15"/>
        <v>8.7329345656681632</v>
      </c>
      <c r="T12" s="126">
        <f t="shared" si="12"/>
        <v>7.1933828674921054</v>
      </c>
      <c r="U12" s="48"/>
      <c r="V12" s="6">
        <f t="shared" si="8"/>
        <v>-3.3770933203149491</v>
      </c>
      <c r="W12" s="6">
        <f t="shared" si="9"/>
        <v>3.720292499759136</v>
      </c>
      <c r="X12" s="6">
        <f t="shared" si="13"/>
        <v>21.594200051562265</v>
      </c>
      <c r="Y12" s="6">
        <f t="shared" si="10"/>
        <v>17.804485821341409</v>
      </c>
      <c r="Z12" s="87" t="s">
        <v>30</v>
      </c>
    </row>
    <row r="13" spans="1:28" s="33" customFormat="1" ht="18" customHeight="1" x14ac:dyDescent="0.4">
      <c r="A13" s="96" t="s">
        <v>19</v>
      </c>
      <c r="B13" s="42">
        <v>6340.2722599999997</v>
      </c>
      <c r="C13" s="42">
        <v>7133.5454099999997</v>
      </c>
      <c r="D13" s="42">
        <v>16781.176620000002</v>
      </c>
      <c r="E13" s="42">
        <v>33239.617559999999</v>
      </c>
      <c r="F13" s="43">
        <v>57391.865570000009</v>
      </c>
      <c r="G13" s="43">
        <v>26543.30904</v>
      </c>
      <c r="H13" s="43">
        <v>22690.00978</v>
      </c>
      <c r="I13" s="43">
        <v>4283.7419600000003</v>
      </c>
      <c r="J13" s="44">
        <v>48266.869429999999</v>
      </c>
      <c r="K13" s="45">
        <v>60907.614139999998</v>
      </c>
      <c r="L13" s="45">
        <v>40617.725859999999</v>
      </c>
      <c r="M13" s="45">
        <v>15023.796869999998</v>
      </c>
      <c r="N13" s="45">
        <v>79772.600709999999</v>
      </c>
      <c r="O13" s="45">
        <v>38876.185309999979</v>
      </c>
      <c r="P13" s="45">
        <v>10599.19361</v>
      </c>
      <c r="Q13" s="46">
        <f t="shared" si="14"/>
        <v>0.67441049534544772</v>
      </c>
      <c r="R13" s="47">
        <f t="shared" si="11"/>
        <v>3.6008024216279013</v>
      </c>
      <c r="S13" s="47">
        <f t="shared" si="15"/>
        <v>1.8121415495918054</v>
      </c>
      <c r="T13" s="126">
        <f t="shared" si="12"/>
        <v>0.34545576284675417</v>
      </c>
      <c r="U13" s="48"/>
      <c r="V13" s="6">
        <f t="shared" si="8"/>
        <v>-63.011723202368373</v>
      </c>
      <c r="W13" s="6">
        <f t="shared" si="9"/>
        <v>430.97496857996333</v>
      </c>
      <c r="X13" s="6">
        <f t="shared" si="13"/>
        <v>-51.266243090998273</v>
      </c>
      <c r="Y13" s="6">
        <f t="shared" si="10"/>
        <v>-72.736024572674282</v>
      </c>
      <c r="Z13" s="87" t="s">
        <v>24</v>
      </c>
    </row>
    <row r="14" spans="1:28" s="33" customFormat="1" ht="18" customHeight="1" x14ac:dyDescent="0.4">
      <c r="A14" s="96" t="s">
        <v>37</v>
      </c>
      <c r="B14" s="42">
        <v>45.265140000000002</v>
      </c>
      <c r="C14" s="42">
        <v>377.38648999999998</v>
      </c>
      <c r="D14" s="42">
        <v>128.16974999999999</v>
      </c>
      <c r="E14" s="42">
        <v>3054.9268700000002</v>
      </c>
      <c r="F14" s="43">
        <v>840.57092</v>
      </c>
      <c r="G14" s="43">
        <v>25133.824350000003</v>
      </c>
      <c r="H14" s="43">
        <v>20697.92165</v>
      </c>
      <c r="I14" s="43">
        <v>7511.9376700000003</v>
      </c>
      <c r="J14" s="44">
        <v>42375.93649</v>
      </c>
      <c r="K14" s="45">
        <v>57565.46413</v>
      </c>
      <c r="L14" s="45">
        <v>32338.50923</v>
      </c>
      <c r="M14" s="45">
        <v>24090.784899999999</v>
      </c>
      <c r="N14" s="45">
        <v>23866.289929999999</v>
      </c>
      <c r="O14" s="45">
        <v>29675.590509999976</v>
      </c>
      <c r="P14" s="45">
        <v>62741.776270000002</v>
      </c>
      <c r="Q14" s="46">
        <f t="shared" si="14"/>
        <v>1.0814229131460316</v>
      </c>
      <c r="R14" s="47">
        <f t="shared" si="11"/>
        <v>1.0772846041165205</v>
      </c>
      <c r="S14" s="47">
        <f t="shared" si="15"/>
        <v>1.3832728222439699</v>
      </c>
      <c r="T14" s="126">
        <f t="shared" si="12"/>
        <v>2.0449204893534563</v>
      </c>
      <c r="U14" s="48"/>
      <c r="V14" s="6">
        <f t="shared" si="8"/>
        <v>-25.504343046056981</v>
      </c>
      <c r="W14" s="6">
        <f t="shared" si="9"/>
        <v>-0.93187071708900515</v>
      </c>
      <c r="X14" s="6">
        <f t="shared" si="13"/>
        <v>24.341029112772443</v>
      </c>
      <c r="Y14" s="6">
        <f t="shared" si="10"/>
        <v>111.42553590924331</v>
      </c>
      <c r="Z14" s="87" t="s">
        <v>38</v>
      </c>
    </row>
    <row r="15" spans="1:28" s="33" customFormat="1" ht="18" customHeight="1" x14ac:dyDescent="0.4">
      <c r="A15" s="96" t="s">
        <v>39</v>
      </c>
      <c r="B15" s="42">
        <v>0</v>
      </c>
      <c r="C15" s="42">
        <v>4.3176000000000005</v>
      </c>
      <c r="D15" s="42">
        <v>1903.0851599999999</v>
      </c>
      <c r="E15" s="42">
        <v>2417.5982300000001</v>
      </c>
      <c r="F15" s="43">
        <v>1395.1529599999999</v>
      </c>
      <c r="G15" s="43">
        <v>6491.0110599999998</v>
      </c>
      <c r="H15" s="43">
        <v>4735.0923499999999</v>
      </c>
      <c r="I15" s="43">
        <v>503.90512999999999</v>
      </c>
      <c r="J15" s="44">
        <v>9750.6953300000005</v>
      </c>
      <c r="K15" s="45">
        <v>10682.216560000001</v>
      </c>
      <c r="L15" s="45">
        <v>4380.2525700000006</v>
      </c>
      <c r="M15" s="45">
        <v>437.6617</v>
      </c>
      <c r="N15" s="45">
        <v>804.31664000000001</v>
      </c>
      <c r="O15" s="45">
        <v>81.074569999999994</v>
      </c>
      <c r="P15" s="45">
        <v>0</v>
      </c>
      <c r="Q15" s="46">
        <f t="shared" si="14"/>
        <v>1.9646408058146939E-2</v>
      </c>
      <c r="R15" s="47">
        <f t="shared" si="11"/>
        <v>3.6305514415860857E-2</v>
      </c>
      <c r="S15" s="47">
        <f t="shared" si="15"/>
        <v>3.7791412851018065E-3</v>
      </c>
      <c r="T15" s="126">
        <f t="shared" si="12"/>
        <v>0</v>
      </c>
      <c r="U15" s="48"/>
      <c r="V15" s="6">
        <f t="shared" si="8"/>
        <v>-90.008299909518684</v>
      </c>
      <c r="W15" s="6">
        <f t="shared" si="9"/>
        <v>83.77587986337393</v>
      </c>
      <c r="X15" s="6">
        <f t="shared" si="13"/>
        <v>-89.920068046832895</v>
      </c>
      <c r="Y15" s="6">
        <f>((P15-O15)/O15)*100</f>
        <v>-100</v>
      </c>
      <c r="Z15" s="88" t="s">
        <v>50</v>
      </c>
    </row>
    <row r="16" spans="1:28" s="33" customFormat="1" ht="18" customHeight="1" x14ac:dyDescent="0.4">
      <c r="A16" s="96" t="s">
        <v>8</v>
      </c>
      <c r="B16" s="42">
        <v>7161.1971300000005</v>
      </c>
      <c r="C16" s="42">
        <v>4369.06927</v>
      </c>
      <c r="D16" s="42">
        <v>694.66449999999998</v>
      </c>
      <c r="E16" s="42">
        <v>1257.1826599999999</v>
      </c>
      <c r="F16" s="43">
        <v>4590.1193800000001</v>
      </c>
      <c r="G16" s="43">
        <v>1235.2493099999999</v>
      </c>
      <c r="H16" s="43">
        <v>5725.1852300000173</v>
      </c>
      <c r="I16" s="43">
        <v>16034.709480000001</v>
      </c>
      <c r="J16" s="44">
        <v>68162.059609999997</v>
      </c>
      <c r="K16" s="45">
        <v>128448.54136999999</v>
      </c>
      <c r="L16" s="45">
        <v>127408.74120000002</v>
      </c>
      <c r="M16" s="45">
        <v>195348.00605000008</v>
      </c>
      <c r="N16" s="45">
        <v>171822.24132999999</v>
      </c>
      <c r="O16" s="45">
        <v>187032.58585</v>
      </c>
      <c r="P16" s="45">
        <v>241857.62999000002</v>
      </c>
      <c r="Q16" s="46">
        <f t="shared" si="14"/>
        <v>8.769071271723476</v>
      </c>
      <c r="R16" s="47">
        <f t="shared" si="11"/>
        <v>7.7557699907487159</v>
      </c>
      <c r="S16" s="47">
        <f t="shared" si="15"/>
        <v>8.71817842321067</v>
      </c>
      <c r="T16" s="126">
        <f t="shared" si="12"/>
        <v>7.8827800625960514</v>
      </c>
      <c r="U16" s="48"/>
      <c r="V16" s="6">
        <f t="shared" si="8"/>
        <v>53.323864760073505</v>
      </c>
      <c r="W16" s="6">
        <f t="shared" si="9"/>
        <v>-12.043002227511133</v>
      </c>
      <c r="X16" s="6">
        <f t="shared" si="13"/>
        <v>8.8523723135395418</v>
      </c>
      <c r="Y16" s="6">
        <f t="shared" si="10"/>
        <v>29.313097442800505</v>
      </c>
      <c r="Z16" s="87" t="s">
        <v>31</v>
      </c>
    </row>
    <row r="17" spans="1:30" s="33" customFormat="1" ht="18" customHeight="1" x14ac:dyDescent="0.4">
      <c r="A17" s="50" t="s">
        <v>14</v>
      </c>
      <c r="B17" s="51">
        <v>0</v>
      </c>
      <c r="C17" s="51">
        <v>594.31763999999998</v>
      </c>
      <c r="D17" s="51">
        <v>2.4671999999999996</v>
      </c>
      <c r="E17" s="51">
        <v>8378.0071000000007</v>
      </c>
      <c r="F17" s="52">
        <v>2058.7313300000001</v>
      </c>
      <c r="G17" s="52">
        <v>1475.0535299999999</v>
      </c>
      <c r="H17" s="52">
        <v>24448.0602</v>
      </c>
      <c r="I17" s="52">
        <v>5135.28287</v>
      </c>
      <c r="J17" s="53">
        <v>2067.8895699999998</v>
      </c>
      <c r="K17" s="54">
        <v>1.84344</v>
      </c>
      <c r="L17" s="54">
        <v>351.10524000000004</v>
      </c>
      <c r="M17" s="54">
        <v>129.80619999999999</v>
      </c>
      <c r="N17" s="54">
        <v>2396.2584499999998</v>
      </c>
      <c r="O17" s="54">
        <v>50.37229</v>
      </c>
      <c r="P17" s="54">
        <v>625.16800000000001</v>
      </c>
      <c r="Q17" s="38">
        <f t="shared" si="14"/>
        <v>5.8269333909671166E-3</v>
      </c>
      <c r="R17" s="39">
        <f t="shared" si="11"/>
        <v>0.10816311807325457</v>
      </c>
      <c r="S17" s="39">
        <f>(O17/$O$7)*100</f>
        <v>2.3480112292192348E-3</v>
      </c>
      <c r="T17" s="125">
        <f t="shared" si="12"/>
        <v>2.0375879174772394E-2</v>
      </c>
      <c r="U17" s="40"/>
      <c r="V17" s="4">
        <f t="shared" si="8"/>
        <v>-63.029261539930317</v>
      </c>
      <c r="W17" s="4">
        <f>((N17-M17)/M17)*100</f>
        <v>1746.027732111409</v>
      </c>
      <c r="X17" s="4">
        <f>((O17-N17)/N17)*100</f>
        <v>-97.897877418022262</v>
      </c>
      <c r="Y17" s="4">
        <f>((P17-O17)/O17)*100</f>
        <v>1141.0950544436237</v>
      </c>
      <c r="Z17" s="86" t="s">
        <v>32</v>
      </c>
    </row>
    <row r="18" spans="1:30" s="33" customFormat="1" ht="18" customHeight="1" x14ac:dyDescent="0.4">
      <c r="A18" s="50" t="s">
        <v>15</v>
      </c>
      <c r="B18" s="55">
        <f t="shared" ref="B18:G18" si="16">SUM(B19:B20)</f>
        <v>481150.80481999996</v>
      </c>
      <c r="C18" s="55">
        <f t="shared" si="16"/>
        <v>416906.88068999996</v>
      </c>
      <c r="D18" s="55">
        <f t="shared" si="16"/>
        <v>11107.855440000001</v>
      </c>
      <c r="E18" s="55">
        <f t="shared" si="16"/>
        <v>15696.14811</v>
      </c>
      <c r="F18" s="56">
        <f t="shared" si="16"/>
        <v>16789.653780000001</v>
      </c>
      <c r="G18" s="56">
        <f t="shared" si="16"/>
        <v>19422.227800000001</v>
      </c>
      <c r="H18" s="56">
        <f t="shared" ref="H18:M18" si="17">SUM(H19:H20)</f>
        <v>7644.4892799999998</v>
      </c>
      <c r="I18" s="56">
        <f t="shared" si="17"/>
        <v>6445.1383699999997</v>
      </c>
      <c r="J18" s="57">
        <f t="shared" si="17"/>
        <v>17034.936679999999</v>
      </c>
      <c r="K18" s="58">
        <f t="shared" si="17"/>
        <v>93126.190189999994</v>
      </c>
      <c r="L18" s="58">
        <f t="shared" si="17"/>
        <v>123909.38989999999</v>
      </c>
      <c r="M18" s="58">
        <f t="shared" si="17"/>
        <v>208448.00935000001</v>
      </c>
      <c r="N18" s="58">
        <f>SUM(N19:N20)</f>
        <v>233868.07108000002</v>
      </c>
      <c r="O18" s="58">
        <f>SUM(O19:O20)</f>
        <v>194037.17799</v>
      </c>
      <c r="P18" s="58">
        <f>SUM(P19:P20)</f>
        <v>226921.45573999983</v>
      </c>
      <c r="Q18" s="38">
        <f t="shared" si="14"/>
        <v>9.3571236656041155</v>
      </c>
      <c r="R18" s="39">
        <f t="shared" si="11"/>
        <v>10.556415475880884</v>
      </c>
      <c r="S18" s="39">
        <f t="shared" si="15"/>
        <v>9.0446845439532595</v>
      </c>
      <c r="T18" s="125">
        <f t="shared" si="12"/>
        <v>7.3959706260104454</v>
      </c>
      <c r="U18" s="40"/>
      <c r="V18" s="4">
        <f t="shared" si="8"/>
        <v>68.226160679369158</v>
      </c>
      <c r="W18" s="4">
        <f t="shared" si="9"/>
        <v>12.194917000774906</v>
      </c>
      <c r="X18" s="4">
        <f>((O18-N18)/N18)*100</f>
        <v>-17.03135143932279</v>
      </c>
      <c r="Y18" s="4">
        <f>((P18-O18)/O18)*100</f>
        <v>16.947410847056627</v>
      </c>
      <c r="Z18" s="86" t="s">
        <v>33</v>
      </c>
    </row>
    <row r="19" spans="1:30" s="33" customFormat="1" ht="18" customHeight="1" x14ac:dyDescent="0.4">
      <c r="A19" s="97" t="s">
        <v>40</v>
      </c>
      <c r="B19" s="59">
        <v>466817.25089999998</v>
      </c>
      <c r="C19" s="59">
        <v>416676.35837999999</v>
      </c>
      <c r="D19" s="59">
        <v>11107.855440000001</v>
      </c>
      <c r="E19" s="59">
        <v>13904.56633</v>
      </c>
      <c r="F19" s="60">
        <v>15968.31367</v>
      </c>
      <c r="G19" s="60">
        <v>19349.7281</v>
      </c>
      <c r="H19" s="60">
        <v>7603.2997699999996</v>
      </c>
      <c r="I19" s="60">
        <v>6408.4228499999999</v>
      </c>
      <c r="J19" s="61">
        <v>16471.234039999999</v>
      </c>
      <c r="K19" s="62">
        <v>75873.706749999998</v>
      </c>
      <c r="L19" s="62">
        <v>111382.46312</v>
      </c>
      <c r="M19" s="62">
        <v>201277.28934000002</v>
      </c>
      <c r="N19" s="62">
        <v>225544.64430000001</v>
      </c>
      <c r="O19" s="107">
        <v>190111.46001000001</v>
      </c>
      <c r="P19" s="107">
        <v>213849.82423999984</v>
      </c>
      <c r="Q19" s="46">
        <f t="shared" si="14"/>
        <v>9.0352337415207895</v>
      </c>
      <c r="R19" s="47">
        <f t="shared" si="11"/>
        <v>10.180709844637629</v>
      </c>
      <c r="S19" s="47">
        <f t="shared" si="15"/>
        <v>8.8616944535724613</v>
      </c>
      <c r="T19" s="126">
        <f t="shared" si="12"/>
        <v>6.9699315708106448</v>
      </c>
      <c r="U19" s="48"/>
      <c r="V19" s="6">
        <f t="shared" si="8"/>
        <v>80.708240509235395</v>
      </c>
      <c r="W19" s="6">
        <f t="shared" si="9"/>
        <v>12.056678147631096</v>
      </c>
      <c r="X19" s="6">
        <f t="shared" si="13"/>
        <v>-15.710053501811306</v>
      </c>
      <c r="Y19" s="6">
        <f t="shared" si="10"/>
        <v>12.486550904796152</v>
      </c>
      <c r="Z19" s="87" t="s">
        <v>51</v>
      </c>
    </row>
    <row r="20" spans="1:30" s="33" customFormat="1" ht="18" customHeight="1" x14ac:dyDescent="0.4">
      <c r="A20" s="96" t="s">
        <v>8</v>
      </c>
      <c r="B20" s="59">
        <v>14333.553919999998</v>
      </c>
      <c r="C20" s="59">
        <v>230.52231</v>
      </c>
      <c r="D20" s="59">
        <v>0</v>
      </c>
      <c r="E20" s="59">
        <v>1791.58178</v>
      </c>
      <c r="F20" s="60">
        <v>821.34010999999998</v>
      </c>
      <c r="G20" s="60">
        <v>72.49969999999999</v>
      </c>
      <c r="H20" s="60">
        <v>41.189510000000155</v>
      </c>
      <c r="I20" s="60">
        <v>36.715519999999998</v>
      </c>
      <c r="J20" s="61">
        <v>563.70264000000009</v>
      </c>
      <c r="K20" s="62">
        <v>17252.48344</v>
      </c>
      <c r="L20" s="62">
        <v>12526.92678</v>
      </c>
      <c r="M20" s="62">
        <v>7170.72000999999</v>
      </c>
      <c r="N20" s="62">
        <v>8323.4267799999998</v>
      </c>
      <c r="O20" s="107">
        <v>3925.717979999999</v>
      </c>
      <c r="P20" s="107">
        <v>13071.6315</v>
      </c>
      <c r="Q20" s="46">
        <f t="shared" si="14"/>
        <v>0.32188992408332578</v>
      </c>
      <c r="R20" s="47">
        <f t="shared" si="11"/>
        <v>0.37570563124325307</v>
      </c>
      <c r="S20" s="47">
        <f t="shared" si="15"/>
        <v>0.18299009038079964</v>
      </c>
      <c r="T20" s="126">
        <f t="shared" si="12"/>
        <v>0.4260390551998004</v>
      </c>
      <c r="U20" s="48"/>
      <c r="V20" s="6">
        <f t="shared" si="8"/>
        <v>-42.757548312260589</v>
      </c>
      <c r="W20" s="6">
        <f t="shared" si="9"/>
        <v>16.075188661563867</v>
      </c>
      <c r="X20" s="6">
        <f t="shared" si="13"/>
        <v>-52.835315504511485</v>
      </c>
      <c r="Y20" s="6">
        <f t="shared" si="10"/>
        <v>232.97428818358475</v>
      </c>
      <c r="Z20" s="87" t="s">
        <v>31</v>
      </c>
    </row>
    <row r="21" spans="1:30" s="33" customFormat="1" ht="18" customHeight="1" x14ac:dyDescent="0.4">
      <c r="A21" s="98" t="s">
        <v>17</v>
      </c>
      <c r="B21" s="63">
        <v>0</v>
      </c>
      <c r="C21" s="63">
        <v>27.254849999999998</v>
      </c>
      <c r="D21" s="63">
        <v>23.907679999999999</v>
      </c>
      <c r="E21" s="63">
        <v>180.79217</v>
      </c>
      <c r="F21" s="64">
        <v>0</v>
      </c>
      <c r="G21" s="64">
        <v>0</v>
      </c>
      <c r="H21" s="64">
        <v>0</v>
      </c>
      <c r="I21" s="64">
        <v>7.7090000000000006E-2</v>
      </c>
      <c r="J21" s="65">
        <v>1443.5039400000001</v>
      </c>
      <c r="K21" s="66">
        <v>13354.008320000001</v>
      </c>
      <c r="L21" s="66">
        <v>9366.7566999999999</v>
      </c>
      <c r="M21" s="66">
        <v>6235.70118</v>
      </c>
      <c r="N21" s="66">
        <v>3136.9294399999999</v>
      </c>
      <c r="O21" s="66">
        <v>8726.4297100000022</v>
      </c>
      <c r="P21" s="66">
        <v>10181.431139999997</v>
      </c>
      <c r="Q21" s="38">
        <f t="shared" si="14"/>
        <v>0.27991741089281602</v>
      </c>
      <c r="R21" s="39">
        <f t="shared" si="11"/>
        <v>0.14159577378065724</v>
      </c>
      <c r="S21" s="39">
        <f t="shared" si="15"/>
        <v>0.40676639775702783</v>
      </c>
      <c r="T21" s="125">
        <f t="shared" si="12"/>
        <v>0.33183977864334879</v>
      </c>
      <c r="U21" s="40"/>
      <c r="V21" s="4">
        <f t="shared" si="8"/>
        <v>-33.427317696850182</v>
      </c>
      <c r="W21" s="4">
        <f t="shared" si="9"/>
        <v>-49.694038417665162</v>
      </c>
      <c r="X21" s="4">
        <f t="shared" si="13"/>
        <v>178.18380607247585</v>
      </c>
      <c r="Y21" s="4">
        <f>((P21-O21)/O21)*100</f>
        <v>16.673501974497594</v>
      </c>
      <c r="Z21" s="89" t="s">
        <v>52</v>
      </c>
    </row>
    <row r="22" spans="1:30" s="33" customFormat="1" ht="18" customHeight="1" x14ac:dyDescent="0.5">
      <c r="A22" s="50" t="s">
        <v>9</v>
      </c>
      <c r="B22" s="55">
        <f t="shared" ref="B22:G22" si="18">SUM(B23:B29)</f>
        <v>736982.01227999991</v>
      </c>
      <c r="C22" s="55">
        <f t="shared" si="18"/>
        <v>847600.65657999995</v>
      </c>
      <c r="D22" s="55">
        <f t="shared" si="18"/>
        <v>970014.63735999982</v>
      </c>
      <c r="E22" s="55">
        <f t="shared" si="18"/>
        <v>1178313.5199200001</v>
      </c>
      <c r="F22" s="56">
        <f t="shared" si="18"/>
        <v>906441.20994999993</v>
      </c>
      <c r="G22" s="56">
        <f t="shared" si="18"/>
        <v>1047633.37697</v>
      </c>
      <c r="H22" s="56">
        <f t="shared" ref="H22:M22" si="19">SUM(H23:H29)</f>
        <v>469915.08199999994</v>
      </c>
      <c r="I22" s="56">
        <f t="shared" si="19"/>
        <v>571604.85386999988</v>
      </c>
      <c r="J22" s="57">
        <f t="shared" si="19"/>
        <v>894713.68382999999</v>
      </c>
      <c r="K22" s="58">
        <f t="shared" si="19"/>
        <v>1163184.78082</v>
      </c>
      <c r="L22" s="58">
        <f t="shared" si="19"/>
        <v>1276541.0895799999</v>
      </c>
      <c r="M22" s="58">
        <f t="shared" si="19"/>
        <v>1098464.48795</v>
      </c>
      <c r="N22" s="58">
        <f>SUM(N23:N29)</f>
        <v>1047063.67667</v>
      </c>
      <c r="O22" s="58">
        <f>SUM(O23:O29)</f>
        <v>1107208.3564599999</v>
      </c>
      <c r="P22" s="58">
        <f>SUM(P23:P29)</f>
        <v>1808076.4558700006</v>
      </c>
      <c r="Q22" s="38">
        <f t="shared" si="14"/>
        <v>49.309504504618822</v>
      </c>
      <c r="R22" s="39">
        <f t="shared" si="11"/>
        <v>47.2627116202233</v>
      </c>
      <c r="S22" s="39">
        <f t="shared" si="15"/>
        <v>51.610471829917856</v>
      </c>
      <c r="T22" s="125">
        <f t="shared" si="12"/>
        <v>58.929995462912075</v>
      </c>
      <c r="U22" s="40"/>
      <c r="V22" s="4">
        <f t="shared" si="8"/>
        <v>-13.949931035011936</v>
      </c>
      <c r="W22" s="4">
        <f t="shared" si="9"/>
        <v>-4.6793330001888682</v>
      </c>
      <c r="X22" s="4">
        <f t="shared" si="13"/>
        <v>5.7441281872444891</v>
      </c>
      <c r="Y22" s="4">
        <f>((P22-O22)/O22)*100</f>
        <v>63.300470532108108</v>
      </c>
      <c r="Z22" s="90" t="s">
        <v>53</v>
      </c>
      <c r="AB22" s="105"/>
    </row>
    <row r="23" spans="1:30" s="33" customFormat="1" ht="18" customHeight="1" x14ac:dyDescent="0.4">
      <c r="A23" s="97" t="s">
        <v>12</v>
      </c>
      <c r="B23" s="67">
        <v>236958.24240000002</v>
      </c>
      <c r="C23" s="67">
        <v>368871.09668999998</v>
      </c>
      <c r="D23" s="67">
        <v>290968.84031</v>
      </c>
      <c r="E23" s="67">
        <v>452121.15557</v>
      </c>
      <c r="F23" s="68">
        <v>566511.96591000003</v>
      </c>
      <c r="G23" s="68">
        <v>792374.70192999998</v>
      </c>
      <c r="H23" s="68">
        <v>203565.13146999999</v>
      </c>
      <c r="I23" s="68">
        <v>283653.46064</v>
      </c>
      <c r="J23" s="69">
        <v>471377.23420999997</v>
      </c>
      <c r="K23" s="70">
        <v>680549.75017999997</v>
      </c>
      <c r="L23" s="70">
        <v>947437.27882000001</v>
      </c>
      <c r="M23" s="70">
        <v>717658.82430999994</v>
      </c>
      <c r="N23" s="70">
        <v>563446.57271000009</v>
      </c>
      <c r="O23" s="45">
        <v>738371.18641999969</v>
      </c>
      <c r="P23" s="45">
        <v>1492075.1333200005</v>
      </c>
      <c r="Q23" s="112">
        <f t="shared" si="14"/>
        <v>32.215334604157142</v>
      </c>
      <c r="R23" s="47">
        <f t="shared" si="11"/>
        <v>25.433040485262499</v>
      </c>
      <c r="S23" s="103">
        <f t="shared" si="15"/>
        <v>34.417808621487893</v>
      </c>
      <c r="T23" s="126">
        <f t="shared" si="12"/>
        <v>48.63067629214985</v>
      </c>
      <c r="U23" s="48"/>
      <c r="V23" s="6">
        <f t="shared" si="8"/>
        <v>-24.252629661794721</v>
      </c>
      <c r="W23" s="6">
        <f t="shared" si="9"/>
        <v>-21.488240146460779</v>
      </c>
      <c r="X23" s="6">
        <f t="shared" si="13"/>
        <v>31.045465920338717</v>
      </c>
      <c r="Y23" s="6">
        <f t="shared" si="10"/>
        <v>102.07656538635293</v>
      </c>
      <c r="Z23" s="88" t="s">
        <v>26</v>
      </c>
      <c r="AD23" s="49"/>
    </row>
    <row r="24" spans="1:30" s="2" customFormat="1" ht="18" customHeight="1" x14ac:dyDescent="0.4">
      <c r="A24" s="96" t="s">
        <v>11</v>
      </c>
      <c r="B24" s="67">
        <v>196404.68191999997</v>
      </c>
      <c r="C24" s="67">
        <v>193544.59653000001</v>
      </c>
      <c r="D24" s="67">
        <v>206513.42063000001</v>
      </c>
      <c r="E24" s="67">
        <v>222886.43302</v>
      </c>
      <c r="F24" s="68">
        <v>206929.14606</v>
      </c>
      <c r="G24" s="68">
        <v>153947.83643999998</v>
      </c>
      <c r="H24" s="68">
        <v>167768.14257</v>
      </c>
      <c r="I24" s="68">
        <v>185936.75373</v>
      </c>
      <c r="J24" s="69">
        <v>191377.87302</v>
      </c>
      <c r="K24" s="70">
        <v>179041.12006000002</v>
      </c>
      <c r="L24" s="70">
        <v>145757.13890000002</v>
      </c>
      <c r="M24" s="70">
        <v>134475.08106</v>
      </c>
      <c r="N24" s="70">
        <v>265745.48710999999</v>
      </c>
      <c r="O24" s="45">
        <v>218607.09901000018</v>
      </c>
      <c r="P24" s="45">
        <v>115670.73841000005</v>
      </c>
      <c r="Q24" s="112">
        <f t="shared" si="14"/>
        <v>6.0365170545129878</v>
      </c>
      <c r="R24" s="47">
        <f t="shared" si="11"/>
        <v>11.99530897834225</v>
      </c>
      <c r="S24" s="103">
        <f t="shared" si="15"/>
        <v>10.189966016286366</v>
      </c>
      <c r="T24" s="126">
        <f t="shared" si="12"/>
        <v>3.7700154036976699</v>
      </c>
      <c r="U24" s="48"/>
      <c r="V24" s="6">
        <f t="shared" si="8"/>
        <v>-7.7403123614688498</v>
      </c>
      <c r="W24" s="6">
        <f t="shared" si="9"/>
        <v>97.616900480937318</v>
      </c>
      <c r="X24" s="6">
        <f t="shared" si="13"/>
        <v>-17.738170688290118</v>
      </c>
      <c r="Y24" s="6">
        <f t="shared" si="10"/>
        <v>-47.087382370547495</v>
      </c>
      <c r="Z24" s="88" t="s">
        <v>25</v>
      </c>
      <c r="AC24" s="33"/>
    </row>
    <row r="25" spans="1:30" s="2" customFormat="1" ht="18" customHeight="1" x14ac:dyDescent="0.4">
      <c r="A25" s="99" t="s">
        <v>13</v>
      </c>
      <c r="B25" s="67">
        <v>149645.58957999997</v>
      </c>
      <c r="C25" s="67">
        <v>184093.34530000002</v>
      </c>
      <c r="D25" s="67">
        <v>288251.24034000002</v>
      </c>
      <c r="E25" s="67">
        <v>261195.91558</v>
      </c>
      <c r="F25" s="68">
        <v>63083.403129999999</v>
      </c>
      <c r="G25" s="68">
        <v>46273.105510000001</v>
      </c>
      <c r="H25" s="68">
        <v>38991.252990000001</v>
      </c>
      <c r="I25" s="68">
        <v>16480.233820000001</v>
      </c>
      <c r="J25" s="69">
        <v>54258.660210000002</v>
      </c>
      <c r="K25" s="70">
        <v>51316.106850000004</v>
      </c>
      <c r="L25" s="70">
        <v>78734.15376999999</v>
      </c>
      <c r="M25" s="70">
        <v>118060.99639</v>
      </c>
      <c r="N25" s="70">
        <v>72469.581260000006</v>
      </c>
      <c r="O25" s="45">
        <v>45597.044409999995</v>
      </c>
      <c r="P25" s="45">
        <v>49020.427200000013</v>
      </c>
      <c r="Q25" s="112">
        <f t="shared" si="14"/>
        <v>5.2996972566467493</v>
      </c>
      <c r="R25" s="47">
        <f t="shared" si="11"/>
        <v>3.2711562788833146</v>
      </c>
      <c r="S25" s="103">
        <f t="shared" si="15"/>
        <v>2.1254219789072151</v>
      </c>
      <c r="T25" s="126">
        <f t="shared" si="12"/>
        <v>1.5977054195399101</v>
      </c>
      <c r="U25" s="48"/>
      <c r="V25" s="6">
        <f t="shared" si="8"/>
        <v>49.948898587114407</v>
      </c>
      <c r="W25" s="6">
        <f t="shared" si="9"/>
        <v>-38.616830726546091</v>
      </c>
      <c r="X25" s="6">
        <f t="shared" si="13"/>
        <v>-37.08112615359137</v>
      </c>
      <c r="Y25" s="6">
        <f t="shared" si="10"/>
        <v>7.5079050282680777</v>
      </c>
      <c r="Z25" s="88" t="s">
        <v>23</v>
      </c>
      <c r="AC25" s="33"/>
    </row>
    <row r="26" spans="1:30" s="2" customFormat="1" ht="18" customHeight="1" x14ac:dyDescent="0.4">
      <c r="A26" s="99" t="s">
        <v>10</v>
      </c>
      <c r="B26" s="67">
        <v>4458.6715899999999</v>
      </c>
      <c r="C26" s="67">
        <v>5861.9512400000003</v>
      </c>
      <c r="D26" s="67">
        <v>13045.729630000002</v>
      </c>
      <c r="E26" s="67">
        <v>16131.8279</v>
      </c>
      <c r="F26" s="68">
        <v>25340.82879</v>
      </c>
      <c r="G26" s="68">
        <v>25025.00534</v>
      </c>
      <c r="H26" s="68">
        <v>22142.620760000002</v>
      </c>
      <c r="I26" s="68">
        <v>32113.870320000002</v>
      </c>
      <c r="J26" s="69">
        <v>35851.549359999997</v>
      </c>
      <c r="K26" s="70">
        <v>43726.893990000004</v>
      </c>
      <c r="L26" s="70">
        <v>38741.918939999996</v>
      </c>
      <c r="M26" s="70">
        <v>44624.855320000002</v>
      </c>
      <c r="N26" s="70">
        <v>46284.728729999995</v>
      </c>
      <c r="O26" s="45">
        <v>23950.067069999997</v>
      </c>
      <c r="P26" s="45">
        <v>44038.268859999996</v>
      </c>
      <c r="Q26" s="112">
        <f t="shared" si="14"/>
        <v>2.0031867470982481</v>
      </c>
      <c r="R26" s="47">
        <f t="shared" si="11"/>
        <v>2.0892156180446846</v>
      </c>
      <c r="S26" s="103">
        <f t="shared" si="15"/>
        <v>1.1163881257118509</v>
      </c>
      <c r="T26" s="126">
        <f t="shared" si="12"/>
        <v>1.4353236975620975</v>
      </c>
      <c r="U26" s="48"/>
      <c r="V26" s="6">
        <f t="shared" si="8"/>
        <v>15.184938023103529</v>
      </c>
      <c r="W26" s="6">
        <f t="shared" si="9"/>
        <v>3.7196163395874797</v>
      </c>
      <c r="X26" s="6">
        <f t="shared" si="13"/>
        <v>-48.254926134035053</v>
      </c>
      <c r="Y26" s="6">
        <f t="shared" si="10"/>
        <v>83.875346700647057</v>
      </c>
      <c r="Z26" s="88" t="s">
        <v>54</v>
      </c>
      <c r="AC26" s="33"/>
    </row>
    <row r="27" spans="1:30" s="33" customFormat="1" ht="18" customHeight="1" x14ac:dyDescent="0.4">
      <c r="A27" s="97" t="s">
        <v>41</v>
      </c>
      <c r="B27" s="67">
        <v>26419.831440000002</v>
      </c>
      <c r="C27" s="67">
        <v>9612.1980899999999</v>
      </c>
      <c r="D27" s="67">
        <v>10335.22639</v>
      </c>
      <c r="E27" s="67">
        <v>12131.463880000001</v>
      </c>
      <c r="F27" s="68">
        <v>8562.7436799999996</v>
      </c>
      <c r="G27" s="68">
        <v>13705.628480000001</v>
      </c>
      <c r="H27" s="68">
        <v>10723.59333</v>
      </c>
      <c r="I27" s="68">
        <v>13073.370070000001</v>
      </c>
      <c r="J27" s="69">
        <v>19114.618079999997</v>
      </c>
      <c r="K27" s="70">
        <v>38394.42138</v>
      </c>
      <c r="L27" s="70">
        <v>26068.722659999999</v>
      </c>
      <c r="M27" s="70">
        <v>34156.213100000001</v>
      </c>
      <c r="N27" s="70">
        <v>34490.467920000003</v>
      </c>
      <c r="O27" s="45">
        <v>24069.963009999996</v>
      </c>
      <c r="P27" s="45">
        <v>18840.906169999995</v>
      </c>
      <c r="Q27" s="112">
        <f t="shared" si="14"/>
        <v>1.5332547953901932</v>
      </c>
      <c r="R27" s="47">
        <f t="shared" si="11"/>
        <v>1.556842315582762</v>
      </c>
      <c r="S27" s="103">
        <f t="shared" si="15"/>
        <v>1.121976853432147</v>
      </c>
      <c r="T27" s="126">
        <f t="shared" si="12"/>
        <v>0.61407498090616219</v>
      </c>
      <c r="U27" s="48"/>
      <c r="V27" s="6">
        <f t="shared" si="8"/>
        <v>31.023731179623521</v>
      </c>
      <c r="W27" s="6">
        <f t="shared" si="9"/>
        <v>0.97860620268820697</v>
      </c>
      <c r="X27" s="6">
        <f t="shared" si="13"/>
        <v>-30.212709593184339</v>
      </c>
      <c r="Y27" s="6">
        <f t="shared" si="10"/>
        <v>-21.724407460981809</v>
      </c>
      <c r="Z27" s="88" t="s">
        <v>42</v>
      </c>
      <c r="AA27" s="41"/>
    </row>
    <row r="28" spans="1:30" s="33" customFormat="1" ht="18" customHeight="1" x14ac:dyDescent="0.5">
      <c r="A28" s="97" t="s">
        <v>43</v>
      </c>
      <c r="B28" s="67"/>
      <c r="C28" s="67"/>
      <c r="D28" s="67"/>
      <c r="E28" s="67"/>
      <c r="F28" s="68">
        <v>1310.6936799999999</v>
      </c>
      <c r="G28" s="68">
        <v>5997.3564299999998</v>
      </c>
      <c r="H28" s="68">
        <v>25005.762059999997</v>
      </c>
      <c r="I28" s="68">
        <v>30391.28745</v>
      </c>
      <c r="J28" s="69">
        <v>99143.179940000002</v>
      </c>
      <c r="K28" s="70">
        <v>39560.130829999995</v>
      </c>
      <c r="L28" s="70">
        <v>30701.155260000003</v>
      </c>
      <c r="M28" s="70">
        <v>33576.012299999995</v>
      </c>
      <c r="N28" s="70">
        <v>30089.316559999999</v>
      </c>
      <c r="O28" s="45">
        <v>33303.357379999987</v>
      </c>
      <c r="P28" s="45">
        <v>37515.765119999996</v>
      </c>
      <c r="Q28" s="112">
        <f t="shared" si="14"/>
        <v>1.5072098806250596</v>
      </c>
      <c r="R28" s="47">
        <f t="shared" si="11"/>
        <v>1.3581816685186086</v>
      </c>
      <c r="S28" s="103">
        <f t="shared" si="15"/>
        <v>1.5523744721342081</v>
      </c>
      <c r="T28" s="126">
        <f t="shared" si="12"/>
        <v>1.2227380435886999</v>
      </c>
      <c r="U28" s="48"/>
      <c r="V28" s="6">
        <f t="shared" si="8"/>
        <v>9.3640028059321683</v>
      </c>
      <c r="W28" s="6">
        <f t="shared" si="9"/>
        <v>-10.384484342114671</v>
      </c>
      <c r="X28" s="6">
        <f t="shared" si="13"/>
        <v>10.68166773941504</v>
      </c>
      <c r="Y28" s="6">
        <f t="shared" si="10"/>
        <v>12.648597833351575</v>
      </c>
      <c r="Z28" s="91" t="s">
        <v>44</v>
      </c>
      <c r="AA28" s="41"/>
    </row>
    <row r="29" spans="1:30" s="33" customFormat="1" ht="18" customHeight="1" x14ac:dyDescent="0.4">
      <c r="A29" s="96" t="s">
        <v>8</v>
      </c>
      <c r="B29" s="67">
        <v>123094.99535000001</v>
      </c>
      <c r="C29" s="67">
        <v>85617.468730000008</v>
      </c>
      <c r="D29" s="67">
        <v>160900.18005999998</v>
      </c>
      <c r="E29" s="67">
        <v>213846.72397000002</v>
      </c>
      <c r="F29" s="68">
        <v>34702.428700000004</v>
      </c>
      <c r="G29" s="68">
        <v>10309.742839999999</v>
      </c>
      <c r="H29" s="68">
        <v>1718.5788199999188</v>
      </c>
      <c r="I29" s="68">
        <v>9955.8778400000047</v>
      </c>
      <c r="J29" s="69">
        <v>23590.569010000003</v>
      </c>
      <c r="K29" s="70">
        <v>130596.35752999999</v>
      </c>
      <c r="L29" s="70">
        <v>9100.7212299999992</v>
      </c>
      <c r="M29" s="70">
        <v>15912.505469999975</v>
      </c>
      <c r="N29" s="70">
        <v>34537.522380000002</v>
      </c>
      <c r="O29" s="45">
        <v>23309.639159999995</v>
      </c>
      <c r="P29" s="45">
        <v>50915.216789999999</v>
      </c>
      <c r="Q29" s="112">
        <f t="shared" si="14"/>
        <v>0.71430416618843906</v>
      </c>
      <c r="R29" s="47">
        <f t="shared" si="11"/>
        <v>1.5589662755891849</v>
      </c>
      <c r="S29" s="103">
        <f t="shared" si="15"/>
        <v>1.0865357619581799</v>
      </c>
      <c r="T29" s="126">
        <f t="shared" si="12"/>
        <v>1.6594616254676866</v>
      </c>
      <c r="U29" s="48"/>
      <c r="V29" s="6">
        <f t="shared" si="8"/>
        <v>74.848839645206624</v>
      </c>
      <c r="W29" s="6">
        <f t="shared" si="9"/>
        <v>117.04641324468972</v>
      </c>
      <c r="X29" s="6">
        <f t="shared" si="13"/>
        <v>-32.509231833322971</v>
      </c>
      <c r="Y29" s="6">
        <f t="shared" si="10"/>
        <v>118.42987976138197</v>
      </c>
      <c r="Z29" s="87" t="s">
        <v>31</v>
      </c>
    </row>
    <row r="30" spans="1:30" s="33" customFormat="1" ht="18" customHeight="1" x14ac:dyDescent="0.4">
      <c r="A30" s="100" t="s">
        <v>16</v>
      </c>
      <c r="B30" s="71">
        <f t="shared" ref="B30:G30" si="20">SUM(B31:B33)</f>
        <v>121.7556</v>
      </c>
      <c r="C30" s="71">
        <f t="shared" si="20"/>
        <v>1151.3334</v>
      </c>
      <c r="D30" s="71">
        <f t="shared" si="20"/>
        <v>581.06939999999997</v>
      </c>
      <c r="E30" s="71">
        <f t="shared" si="20"/>
        <v>106020.15176000001</v>
      </c>
      <c r="F30" s="72">
        <f t="shared" si="20"/>
        <v>54122.159019999999</v>
      </c>
      <c r="G30" s="72">
        <f t="shared" si="20"/>
        <v>47030.476750000002</v>
      </c>
      <c r="H30" s="72">
        <f t="shared" ref="H30:M30" si="21">SUM(H31:H33)</f>
        <v>57471.19526</v>
      </c>
      <c r="I30" s="72">
        <f t="shared" si="21"/>
        <v>29393.710120000003</v>
      </c>
      <c r="J30" s="73">
        <f t="shared" si="21"/>
        <v>42324.940609999991</v>
      </c>
      <c r="K30" s="74">
        <f t="shared" si="21"/>
        <v>85543.340099999987</v>
      </c>
      <c r="L30" s="74">
        <f t="shared" si="21"/>
        <v>178363.01673000003</v>
      </c>
      <c r="M30" s="74">
        <f t="shared" si="21"/>
        <v>25792.871249999997</v>
      </c>
      <c r="N30" s="74">
        <f>SUM(N31:N33)</f>
        <v>14582.701219999999</v>
      </c>
      <c r="O30" s="74">
        <f>SUM(O31:O33)</f>
        <v>9299.2139199999929</v>
      </c>
      <c r="P30" s="74">
        <f>SUM(P31:P33)</f>
        <v>8660.7910400000037</v>
      </c>
      <c r="Q30" s="113">
        <f t="shared" si="14"/>
        <v>1.157828691815497</v>
      </c>
      <c r="R30" s="39">
        <f t="shared" si="11"/>
        <v>0.6582388614574749</v>
      </c>
      <c r="S30" s="102">
        <f t="shared" si="15"/>
        <v>0.43346567541542791</v>
      </c>
      <c r="T30" s="125">
        <f t="shared" si="12"/>
        <v>0.28227809451058178</v>
      </c>
      <c r="U30" s="40"/>
      <c r="V30" s="4">
        <f t="shared" si="8"/>
        <v>-85.539114709500353</v>
      </c>
      <c r="W30" s="4">
        <f t="shared" si="9"/>
        <v>-43.462280415950197</v>
      </c>
      <c r="X30" s="4">
        <f t="shared" si="13"/>
        <v>-36.231197638156139</v>
      </c>
      <c r="Y30" s="4">
        <f>((P30-O30)/O30)*100</f>
        <v>-6.8653424417618902</v>
      </c>
      <c r="Z30" s="86" t="s">
        <v>34</v>
      </c>
    </row>
    <row r="31" spans="1:30" s="33" customFormat="1" ht="18" customHeight="1" x14ac:dyDescent="0.25">
      <c r="A31" s="97" t="s">
        <v>45</v>
      </c>
      <c r="B31" s="67">
        <v>0</v>
      </c>
      <c r="C31" s="67">
        <v>0</v>
      </c>
      <c r="D31" s="67">
        <v>0</v>
      </c>
      <c r="E31" s="67">
        <v>30243.985690000001</v>
      </c>
      <c r="F31" s="68">
        <v>39056.505799999999</v>
      </c>
      <c r="G31" s="68">
        <v>46127.536610000003</v>
      </c>
      <c r="H31" s="68">
        <v>57414.48128</v>
      </c>
      <c r="I31" s="68">
        <v>28344.640500000001</v>
      </c>
      <c r="J31" s="69">
        <v>38350.337409999993</v>
      </c>
      <c r="K31" s="70">
        <v>76554.130209999988</v>
      </c>
      <c r="L31" s="70">
        <v>165792.30936000001</v>
      </c>
      <c r="M31" s="70">
        <v>10200.435449999999</v>
      </c>
      <c r="N31" s="70">
        <v>0</v>
      </c>
      <c r="O31" s="45">
        <v>0</v>
      </c>
      <c r="P31" s="45">
        <v>0</v>
      </c>
      <c r="Q31" s="112">
        <f t="shared" si="14"/>
        <v>0.45789228808800886</v>
      </c>
      <c r="R31" s="47">
        <f t="shared" si="11"/>
        <v>0</v>
      </c>
      <c r="S31" s="103">
        <f t="shared" si="15"/>
        <v>0</v>
      </c>
      <c r="T31" s="126">
        <f>(P31/$P$7)*100</f>
        <v>0</v>
      </c>
      <c r="U31" s="48"/>
      <c r="V31" s="6">
        <f t="shared" si="8"/>
        <v>-93.847461628723167</v>
      </c>
      <c r="W31" s="6">
        <f>((N31-M31)/M31)*100</f>
        <v>-100</v>
      </c>
      <c r="X31" s="6">
        <v>0</v>
      </c>
      <c r="Y31" s="123">
        <v>0</v>
      </c>
      <c r="Z31" s="92" t="s">
        <v>46</v>
      </c>
    </row>
    <row r="32" spans="1:30" s="33" customFormat="1" ht="18" customHeight="1" x14ac:dyDescent="0.4">
      <c r="A32" s="97" t="s">
        <v>47</v>
      </c>
      <c r="B32" s="67">
        <v>18.75</v>
      </c>
      <c r="C32" s="67">
        <v>191.95241000000001</v>
      </c>
      <c r="D32" s="67">
        <v>5.7803100000000001</v>
      </c>
      <c r="E32" s="67">
        <v>64859.86159</v>
      </c>
      <c r="F32" s="68">
        <v>1742.3332800000001</v>
      </c>
      <c r="G32" s="68">
        <v>893.19060000000002</v>
      </c>
      <c r="H32" s="68">
        <v>55.428980000000003</v>
      </c>
      <c r="I32" s="68">
        <v>1049.0696200000002</v>
      </c>
      <c r="J32" s="69">
        <v>3916.8488800000005</v>
      </c>
      <c r="K32" s="70">
        <v>7988.29943</v>
      </c>
      <c r="L32" s="70">
        <v>11252.54508</v>
      </c>
      <c r="M32" s="70">
        <v>12135.765150000001</v>
      </c>
      <c r="N32" s="70">
        <v>13968.84506</v>
      </c>
      <c r="O32" s="45">
        <v>9190.1724699999922</v>
      </c>
      <c r="P32" s="45">
        <v>8302.9928800000034</v>
      </c>
      <c r="Q32" s="112">
        <f t="shared" si="14"/>
        <v>0.54476824048057859</v>
      </c>
      <c r="R32" s="47">
        <f t="shared" si="11"/>
        <v>0.63053041610423077</v>
      </c>
      <c r="S32" s="103">
        <f t="shared" si="15"/>
        <v>0.42838290969144843</v>
      </c>
      <c r="T32" s="126">
        <f t="shared" si="12"/>
        <v>0.27061650582223584</v>
      </c>
      <c r="U32" s="48"/>
      <c r="V32" s="6">
        <f t="shared" si="8"/>
        <v>7.8490693769342466</v>
      </c>
      <c r="W32" s="6">
        <f t="shared" si="9"/>
        <v>15.104774089996281</v>
      </c>
      <c r="X32" s="6">
        <f t="shared" si="13"/>
        <v>-34.20950386001352</v>
      </c>
      <c r="Y32" s="6">
        <f t="shared" si="10"/>
        <v>-9.6535684492979872</v>
      </c>
      <c r="Z32" s="88" t="s">
        <v>55</v>
      </c>
    </row>
    <row r="33" spans="1:29" s="33" customFormat="1" ht="18" customHeight="1" x14ac:dyDescent="0.4">
      <c r="A33" s="75" t="s">
        <v>56</v>
      </c>
      <c r="B33" s="76">
        <v>103.0056</v>
      </c>
      <c r="C33" s="76">
        <v>959.38099</v>
      </c>
      <c r="D33" s="76">
        <v>575.28908999999999</v>
      </c>
      <c r="E33" s="76">
        <v>10916.304479999999</v>
      </c>
      <c r="F33" s="77">
        <v>13323.319939999999</v>
      </c>
      <c r="G33" s="77">
        <v>9.7495399999999997</v>
      </c>
      <c r="H33" s="77">
        <v>1.2850000000004442</v>
      </c>
      <c r="I33" s="77">
        <v>0</v>
      </c>
      <c r="J33" s="78">
        <v>57.75432</v>
      </c>
      <c r="K33" s="79">
        <v>1000.9104600000001</v>
      </c>
      <c r="L33" s="79">
        <v>1318.16229</v>
      </c>
      <c r="M33" s="79">
        <v>3456.6706499999964</v>
      </c>
      <c r="N33" s="79">
        <v>613.85615999999993</v>
      </c>
      <c r="O33" s="108">
        <v>109.04145</v>
      </c>
      <c r="P33" s="108">
        <v>357.79816000000005</v>
      </c>
      <c r="Q33" s="114">
        <f t="shared" si="14"/>
        <v>0.15516816324690955</v>
      </c>
      <c r="R33" s="115">
        <f t="shared" si="11"/>
        <v>2.7708445353244199E-2</v>
      </c>
      <c r="S33" s="104">
        <f>(O33/$O$7)*100</f>
        <v>5.0827657239793491E-3</v>
      </c>
      <c r="T33" s="127">
        <f>(P33/$P$7)*100</f>
        <v>1.1661588688345983E-2</v>
      </c>
      <c r="U33" s="80"/>
      <c r="V33" s="8">
        <f t="shared" si="8"/>
        <v>162.23407210351891</v>
      </c>
      <c r="W33" s="8">
        <f t="shared" si="9"/>
        <v>-82.241404456626483</v>
      </c>
      <c r="X33" s="8">
        <f t="shared" si="13"/>
        <v>-82.236644819203235</v>
      </c>
      <c r="Y33" s="8">
        <f t="shared" si="10"/>
        <v>228.13041279256657</v>
      </c>
      <c r="Z33" s="93" t="s">
        <v>31</v>
      </c>
    </row>
    <row r="34" spans="1:29" s="33" customFormat="1" ht="15.75" customHeight="1" x14ac:dyDescent="0.4">
      <c r="A34" s="5" t="s">
        <v>18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2"/>
      <c r="R34" s="82"/>
      <c r="S34" s="82"/>
      <c r="T34" s="82"/>
      <c r="U34" s="82"/>
      <c r="V34" s="82"/>
      <c r="W34" s="82"/>
      <c r="X34" s="82"/>
      <c r="Y34" s="82"/>
      <c r="Z34" s="3" t="s">
        <v>35</v>
      </c>
      <c r="AA34" s="83"/>
    </row>
    <row r="35" spans="1:29" x14ac:dyDescent="0.25">
      <c r="AC35" s="33"/>
    </row>
    <row r="36" spans="1:29" x14ac:dyDescent="0.25">
      <c r="AC36" s="33"/>
    </row>
    <row r="37" spans="1:29" x14ac:dyDescent="0.25">
      <c r="AC37" s="33"/>
    </row>
  </sheetData>
  <mergeCells count="8">
    <mergeCell ref="A1:Z1"/>
    <mergeCell ref="A4:A6"/>
    <mergeCell ref="Z4:Z6"/>
    <mergeCell ref="A2:Z2"/>
    <mergeCell ref="Q4:T4"/>
    <mergeCell ref="Q5:T5"/>
    <mergeCell ref="V5:Y5"/>
    <mergeCell ref="V4:Y4"/>
  </mergeCells>
  <pageMargins left="0.17" right="0.17" top="0.22" bottom="0.23" header="0.19" footer="0.17"/>
  <pageSetup paperSize="9" scale="92" orientation="landscape" r:id="rId1"/>
  <ignoredErrors>
    <ignoredError sqref="K8:O8 U18:U30 U17 V17 U10:U16 K9:O9 U9 U8 K33:O33 U33 U32 U31 K31:O31 K32:O32 R9 K10:O16 K17:O17 K18:O30 V18:W30 V10:W16 V9:W9 V8:W8 V33:W33 V32:W32 V31 Q8:R8 Q33:R33 Q31:S31 Q32:S32 Q10:S16 Q17:S17 Q18:S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2018-08-13T06:12:12Z</cp:lastPrinted>
  <dcterms:created xsi:type="dcterms:W3CDTF">2007-02-07T09:08:05Z</dcterms:created>
  <dcterms:modified xsi:type="dcterms:W3CDTF">2018-08-13T06:12:19Z</dcterms:modified>
</cp:coreProperties>
</file>