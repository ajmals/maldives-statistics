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Annual nationa accounts" sheetId="41" r:id="rId1"/>
  </sheets>
  <definedNames>
    <definedName name="_xlnm.Print_Area" localSheetId="0">'Annual nationa accounts'!$A$1:$P$34</definedName>
  </definedNames>
  <calcPr calcId="162913"/>
</workbook>
</file>

<file path=xl/calcChain.xml><?xml version="1.0" encoding="utf-8"?>
<calcChain xmlns="http://schemas.openxmlformats.org/spreadsheetml/2006/main">
  <c r="AH8" i="41" l="1"/>
  <c r="AI8" i="41"/>
  <c r="AJ8" i="41"/>
  <c r="AK8" i="41"/>
  <c r="AL8" i="41"/>
  <c r="AM8" i="41"/>
  <c r="AN8" i="41"/>
  <c r="AO8" i="41"/>
  <c r="AP8" i="41"/>
  <c r="AQ8" i="41"/>
  <c r="AR8" i="41"/>
  <c r="AS8" i="41"/>
  <c r="AT8" i="41"/>
  <c r="AG8" i="41" l="1"/>
  <c r="AT7" i="41"/>
  <c r="AS7" i="41" l="1"/>
  <c r="AR7" i="41"/>
  <c r="AQ7" i="41"/>
  <c r="AP7" i="41"/>
  <c r="AO7" i="41"/>
  <c r="AN7" i="41"/>
  <c r="AM7" i="41"/>
  <c r="AL7" i="41"/>
  <c r="AK7" i="41"/>
  <c r="AJ7" i="41"/>
  <c r="AI7" i="41"/>
  <c r="AH7" i="41"/>
  <c r="AG7" i="41"/>
  <c r="AF7" i="41"/>
</calcChain>
</file>

<file path=xl/sharedStrings.xml><?xml version="1.0" encoding="utf-8"?>
<sst xmlns="http://schemas.openxmlformats.org/spreadsheetml/2006/main" count="18" uniqueCount="18">
  <si>
    <t>G.D.P Growth Rates</t>
  </si>
  <si>
    <t xml:space="preserve"> Growth Rates</t>
  </si>
  <si>
    <t xml:space="preserve">G.D.P  </t>
  </si>
  <si>
    <t xml:space="preserve">NATIONAL ACCOUNTS </t>
  </si>
  <si>
    <t>GDP per Capita at Current Prices (US$)</t>
  </si>
  <si>
    <t>GDP at  Current Prices (million MVR)</t>
  </si>
  <si>
    <t>GDP per Capita at Current Prices (MVR)</t>
  </si>
  <si>
    <t>(Gross Domestic Product - G.D.P at market prices)</t>
  </si>
  <si>
    <r>
      <t>GDP at  Current Prices (million US$)</t>
    </r>
    <r>
      <rPr>
        <vertAlign val="superscript"/>
        <sz val="11"/>
        <rFont val="Calibri"/>
        <family val="2"/>
        <scheme val="minor"/>
      </rPr>
      <t xml:space="preserve"> </t>
    </r>
  </si>
  <si>
    <t>G.D.P at 2014 Constant Prices ( million MVR)</t>
  </si>
  <si>
    <t>G.D.P at 2014 Constant Prices (million US$)</t>
  </si>
  <si>
    <t>GDP per Capita at 2014 Constant prices (MVR)</t>
  </si>
  <si>
    <t>GDP per Capita at 2014 Constant Prices (US$)</t>
  </si>
  <si>
    <r>
      <t>2015</t>
    </r>
    <r>
      <rPr>
        <b/>
        <vertAlign val="superscript"/>
        <sz val="11"/>
        <rFont val="Calibri"/>
        <family val="2"/>
        <scheme val="minor"/>
      </rPr>
      <t>1_/</t>
    </r>
  </si>
  <si>
    <r>
      <t>2016</t>
    </r>
    <r>
      <rPr>
        <b/>
        <vertAlign val="superscript"/>
        <sz val="11"/>
        <rFont val="Calibri"/>
        <family val="2"/>
        <scheme val="minor"/>
      </rPr>
      <t>1_/</t>
    </r>
  </si>
  <si>
    <t xml:space="preserve">         Published in October 2018</t>
  </si>
  <si>
    <t>Note: 1_/:  revised</t>
  </si>
  <si>
    <r>
      <t>13.8</t>
    </r>
    <r>
      <rPr>
        <vertAlign val="superscript"/>
        <sz val="11"/>
        <color theme="1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</si>
</sst>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9" formatCode="_-* #,##0.00\ _ރ_._-;_-* #,##0.00\ _ރ_.\-;_-* &quot;-&quot;??\ _ރ_._-;_-@_-"/>
    <numFmt numFmtId="170" formatCode="0.00_)"/>
    <numFmt numFmtId="171" formatCode="_-* #,##0_-;\-* #,##0_-;_-* &quot;-&quot;??_-;_-@_-"/>
    <numFmt numFmtId="172" formatCode="[$-409]mmm\-yy;@"/>
    <numFmt numFmtId="173" formatCode="_-* #,##0.00_-;\-* #,##0.00_-;_-* &quot;-&quot;??_-;_-@_-"/>
    <numFmt numFmtId="174" formatCode="[$-409]mmmm\ d\,\ yyyy;@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9"/>
      <color rgb="FFFF000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20" fillId="0" borderId="0"/>
    <xf numFmtId="0" fontId="19" fillId="0" borderId="0"/>
    <xf numFmtId="0" fontId="19" fillId="0" borderId="0"/>
    <xf numFmtId="43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" fillId="0" borderId="0"/>
    <xf numFmtId="0" fontId="21" fillId="0" borderId="0"/>
    <xf numFmtId="164" fontId="21" fillId="0" borderId="0"/>
    <xf numFmtId="164" fontId="21" fillId="0" borderId="0"/>
    <xf numFmtId="0" fontId="26" fillId="0" borderId="0"/>
    <xf numFmtId="165" fontId="21" fillId="0" borderId="0"/>
    <xf numFmtId="166" fontId="21" fillId="0" borderId="0" applyFont="0" applyFill="0" applyBorder="0" applyAlignment="0" applyProtection="0"/>
    <xf numFmtId="0" fontId="15" fillId="0" borderId="0"/>
    <xf numFmtId="0" fontId="19" fillId="0" borderId="0"/>
    <xf numFmtId="0" fontId="30" fillId="0" borderId="0"/>
    <xf numFmtId="43" fontId="30" fillId="0" borderId="0" applyFont="0" applyFill="0" applyBorder="0" applyAlignment="0" applyProtection="0"/>
    <xf numFmtId="0" fontId="14" fillId="0" borderId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/>
    <xf numFmtId="0" fontId="13" fillId="0" borderId="0"/>
    <xf numFmtId="165" fontId="21" fillId="0" borderId="0"/>
    <xf numFmtId="169" fontId="30" fillId="0" borderId="0" applyFont="0" applyFill="0" applyBorder="0" applyAlignment="0" applyProtection="0"/>
    <xf numFmtId="0" fontId="30" fillId="0" borderId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22" borderId="0" applyNumberFormat="0" applyBorder="0" applyAlignment="0" applyProtection="0"/>
    <xf numFmtId="0" fontId="41" fillId="6" borderId="0" applyNumberFormat="0" applyBorder="0" applyAlignment="0" applyProtection="0"/>
    <xf numFmtId="0" fontId="42" fillId="23" borderId="1" applyNumberFormat="0" applyAlignment="0" applyProtection="0"/>
    <xf numFmtId="0" fontId="43" fillId="24" borderId="2" applyNumberFormat="0" applyAlignment="0" applyProtection="0"/>
    <xf numFmtId="40" fontId="3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7" borderId="0" applyNumberFormat="0" applyBorder="0" applyAlignment="0" applyProtection="0"/>
    <xf numFmtId="0" fontId="46" fillId="0" borderId="3" applyNumberFormat="0" applyFill="0" applyAlignment="0" applyProtection="0"/>
    <xf numFmtId="0" fontId="47" fillId="0" borderId="4" applyNumberFormat="0" applyFill="0" applyAlignment="0" applyProtection="0"/>
    <xf numFmtId="0" fontId="48" fillId="0" borderId="5" applyNumberFormat="0" applyFill="0" applyAlignment="0" applyProtection="0"/>
    <xf numFmtId="0" fontId="48" fillId="0" borderId="0" applyNumberFormat="0" applyFill="0" applyBorder="0" applyAlignment="0" applyProtection="0"/>
    <xf numFmtId="0" fontId="49" fillId="10" borderId="1" applyNumberFormat="0" applyAlignment="0" applyProtection="0"/>
    <xf numFmtId="0" fontId="50" fillId="0" borderId="6" applyNumberFormat="0" applyFill="0" applyAlignment="0" applyProtection="0"/>
    <xf numFmtId="0" fontId="51" fillId="25" borderId="0" applyNumberFormat="0" applyBorder="0" applyAlignment="0" applyProtection="0"/>
    <xf numFmtId="170" fontId="38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165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9" fillId="26" borderId="7" applyNumberFormat="0" applyFont="0" applyAlignment="0" applyProtection="0"/>
    <xf numFmtId="0" fontId="52" fillId="23" borderId="8" applyNumberFormat="0" applyAlignment="0" applyProtection="0"/>
    <xf numFmtId="9" fontId="3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54" fillId="0" borderId="0" applyNumberFormat="0" applyFill="0" applyBorder="0" applyAlignment="0" applyProtection="0"/>
    <xf numFmtId="165" fontId="21" fillId="0" borderId="0"/>
    <xf numFmtId="165" fontId="21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27" borderId="0" applyNumberFormat="0" applyBorder="0" applyAlignment="0" applyProtection="0"/>
    <xf numFmtId="0" fontId="60" fillId="28" borderId="0" applyNumberFormat="0" applyBorder="0" applyAlignment="0" applyProtection="0"/>
    <xf numFmtId="0" fontId="61" fillId="29" borderId="0" applyNumberFormat="0" applyBorder="0" applyAlignment="0" applyProtection="0"/>
    <xf numFmtId="0" fontId="62" fillId="30" borderId="13" applyNumberFormat="0" applyAlignment="0" applyProtection="0"/>
    <xf numFmtId="0" fontId="63" fillId="31" borderId="14" applyNumberFormat="0" applyAlignment="0" applyProtection="0"/>
    <xf numFmtId="0" fontId="64" fillId="31" borderId="13" applyNumberFormat="0" applyAlignment="0" applyProtection="0"/>
    <xf numFmtId="0" fontId="65" fillId="0" borderId="15" applyNumberFormat="0" applyFill="0" applyAlignment="0" applyProtection="0"/>
    <xf numFmtId="0" fontId="66" fillId="32" borderId="16" applyNumberFormat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18" applyNumberFormat="0" applyFill="0" applyAlignment="0" applyProtection="0"/>
    <xf numFmtId="0" fontId="69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69" fillId="41" borderId="0" applyNumberFormat="0" applyBorder="0" applyAlignment="0" applyProtection="0"/>
    <xf numFmtId="0" fontId="69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69" fillId="45" borderId="0" applyNumberFormat="0" applyBorder="0" applyAlignment="0" applyProtection="0"/>
    <xf numFmtId="0" fontId="69" fillId="46" borderId="0" applyNumberFormat="0" applyBorder="0" applyAlignment="0" applyProtection="0"/>
    <xf numFmtId="0" fontId="11" fillId="47" borderId="0" applyNumberFormat="0" applyBorder="0" applyAlignment="0" applyProtection="0"/>
    <xf numFmtId="0" fontId="11" fillId="48" borderId="0" applyNumberFormat="0" applyBorder="0" applyAlignment="0" applyProtection="0"/>
    <xf numFmtId="0" fontId="69" fillId="49" borderId="0" applyNumberFormat="0" applyBorder="0" applyAlignment="0" applyProtection="0"/>
    <xf numFmtId="0" fontId="69" fillId="50" borderId="0" applyNumberFormat="0" applyBorder="0" applyAlignment="0" applyProtection="0"/>
    <xf numFmtId="0" fontId="11" fillId="51" borderId="0" applyNumberFormat="0" applyBorder="0" applyAlignment="0" applyProtection="0"/>
    <xf numFmtId="0" fontId="11" fillId="52" borderId="0" applyNumberFormat="0" applyBorder="0" applyAlignment="0" applyProtection="0"/>
    <xf numFmtId="0" fontId="69" fillId="53" borderId="0" applyNumberFormat="0" applyBorder="0" applyAlignment="0" applyProtection="0"/>
    <xf numFmtId="0" fontId="69" fillId="54" borderId="0" applyNumberFormat="0" applyBorder="0" applyAlignment="0" applyProtection="0"/>
    <xf numFmtId="0" fontId="11" fillId="55" borderId="0" applyNumberFormat="0" applyBorder="0" applyAlignment="0" applyProtection="0"/>
    <xf numFmtId="0" fontId="11" fillId="56" borderId="0" applyNumberFormat="0" applyBorder="0" applyAlignment="0" applyProtection="0"/>
    <xf numFmtId="0" fontId="69" fillId="57" borderId="0" applyNumberFormat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70" fillId="0" borderId="10" applyNumberFormat="0" applyFill="0" applyAlignment="0" applyProtection="0"/>
    <xf numFmtId="171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" fillId="33" borderId="17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6" fillId="0" borderId="0"/>
    <xf numFmtId="43" fontId="16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172" fontId="9" fillId="0" borderId="0"/>
    <xf numFmtId="9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6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71" fillId="0" borderId="0"/>
    <xf numFmtId="0" fontId="7" fillId="0" borderId="0"/>
    <xf numFmtId="165" fontId="21" fillId="0" borderId="0"/>
    <xf numFmtId="0" fontId="74" fillId="0" borderId="0"/>
    <xf numFmtId="43" fontId="74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167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30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4" fillId="0" borderId="0"/>
    <xf numFmtId="40" fontId="37" fillId="0" borderId="0" applyFont="0" applyFill="0" applyBorder="0" applyAlignment="0" applyProtection="0"/>
    <xf numFmtId="174" fontId="21" fillId="0" borderId="0"/>
    <xf numFmtId="174" fontId="21" fillId="0" borderId="0"/>
    <xf numFmtId="0" fontId="3" fillId="0" borderId="0"/>
    <xf numFmtId="0" fontId="77" fillId="0" borderId="0" applyNumberFormat="0" applyFill="0" applyBorder="0" applyAlignment="0" applyProtection="0"/>
    <xf numFmtId="0" fontId="78" fillId="29" borderId="0" applyNumberFormat="0" applyBorder="0" applyAlignment="0" applyProtection="0"/>
    <xf numFmtId="0" fontId="3" fillId="33" borderId="17" applyNumberFormat="0" applyFont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5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</cellStyleXfs>
  <cellXfs count="46">
    <xf numFmtId="0" fontId="0" fillId="0" borderId="0" xfId="0"/>
    <xf numFmtId="3" fontId="22" fillId="3" borderId="0" xfId="4" applyNumberFormat="1" applyFont="1" applyFill="1" applyBorder="1" applyAlignment="1">
      <alignment horizontal="right" vertical="center"/>
    </xf>
    <xf numFmtId="0" fontId="16" fillId="3" borderId="0" xfId="790" applyFont="1" applyFill="1"/>
    <xf numFmtId="0" fontId="16" fillId="0" borderId="0" xfId="790" applyFont="1" applyFill="1"/>
    <xf numFmtId="0" fontId="29" fillId="3" borderId="0" xfId="790" applyFont="1" applyFill="1" applyAlignment="1">
      <alignment vertical="center"/>
    </xf>
    <xf numFmtId="0" fontId="24" fillId="3" borderId="0" xfId="790" applyFont="1" applyFill="1" applyAlignment="1">
      <alignment horizontal="right" vertical="center"/>
    </xf>
    <xf numFmtId="0" fontId="23" fillId="3" borderId="0" xfId="790" applyFont="1" applyFill="1" applyAlignment="1">
      <alignment horizontal="right"/>
    </xf>
    <xf numFmtId="0" fontId="16" fillId="2" borderId="0" xfId="790" applyFont="1" applyFill="1"/>
    <xf numFmtId="3" fontId="22" fillId="3" borderId="0" xfId="790" applyNumberFormat="1" applyFont="1" applyFill="1" applyBorder="1" applyAlignment="1">
      <alignment horizontal="right" vertical="center"/>
    </xf>
    <xf numFmtId="0" fontId="17" fillId="3" borderId="0" xfId="790" applyFont="1" applyFill="1"/>
    <xf numFmtId="0" fontId="17" fillId="2" borderId="0" xfId="790" applyFont="1" applyFill="1"/>
    <xf numFmtId="0" fontId="17" fillId="0" borderId="0" xfId="790" applyFont="1" applyFill="1"/>
    <xf numFmtId="164" fontId="22" fillId="3" borderId="0" xfId="790" applyNumberFormat="1" applyFont="1" applyFill="1" applyBorder="1" applyAlignment="1">
      <alignment horizontal="right" vertical="center"/>
    </xf>
    <xf numFmtId="166" fontId="17" fillId="3" borderId="0" xfId="790" applyNumberFormat="1" applyFont="1" applyFill="1"/>
    <xf numFmtId="0" fontId="17" fillId="4" borderId="0" xfId="790" applyFont="1" applyFill="1"/>
    <xf numFmtId="3" fontId="17" fillId="3" borderId="0" xfId="790" applyNumberFormat="1" applyFont="1" applyFill="1"/>
    <xf numFmtId="166" fontId="23" fillId="3" borderId="0" xfId="708" applyNumberFormat="1" applyFont="1" applyFill="1" applyAlignment="1">
      <alignment horizontal="right"/>
    </xf>
    <xf numFmtId="0" fontId="16" fillId="3" borderId="0" xfId="708" applyFill="1"/>
    <xf numFmtId="0" fontId="16" fillId="0" borderId="0" xfId="708" applyFill="1"/>
    <xf numFmtId="0" fontId="16" fillId="0" borderId="0" xfId="708"/>
    <xf numFmtId="0" fontId="16" fillId="0" borderId="0" xfId="708" applyAlignment="1">
      <alignment horizontal="right"/>
    </xf>
    <xf numFmtId="0" fontId="16" fillId="0" borderId="0" xfId="708" applyFill="1" applyAlignment="1">
      <alignment horizontal="right"/>
    </xf>
    <xf numFmtId="0" fontId="27" fillId="3" borderId="0" xfId="790" applyFont="1" applyFill="1" applyAlignment="1">
      <alignment vertical="center"/>
    </xf>
    <xf numFmtId="0" fontId="28" fillId="3" borderId="0" xfId="790" applyFont="1" applyFill="1" applyAlignment="1">
      <alignment horizontal="right" vertical="center"/>
    </xf>
    <xf numFmtId="0" fontId="18" fillId="3" borderId="0" xfId="790" applyFont="1" applyFill="1"/>
    <xf numFmtId="0" fontId="18" fillId="3" borderId="0" xfId="790" applyFont="1" applyFill="1" applyAlignment="1">
      <alignment horizontal="right" vertical="center"/>
    </xf>
    <xf numFmtId="3" fontId="76" fillId="3" borderId="0" xfId="790" applyNumberFormat="1" applyFont="1" applyFill="1" applyAlignment="1">
      <alignment vertical="center"/>
    </xf>
    <xf numFmtId="164" fontId="76" fillId="3" borderId="0" xfId="790" applyNumberFormat="1" applyFont="1" applyFill="1" applyAlignment="1">
      <alignment vertical="center"/>
    </xf>
    <xf numFmtId="165" fontId="32" fillId="3" borderId="0" xfId="12" applyFont="1" applyFill="1" applyAlignment="1">
      <alignment horizontal="left" vertical="center"/>
    </xf>
    <xf numFmtId="1" fontId="16" fillId="0" borderId="0" xfId="708" applyNumberFormat="1" applyAlignment="1">
      <alignment horizontal="right"/>
    </xf>
    <xf numFmtId="1" fontId="16" fillId="0" borderId="0" xfId="708" applyNumberFormat="1" applyFill="1" applyAlignment="1">
      <alignment horizontal="right"/>
    </xf>
    <xf numFmtId="1" fontId="16" fillId="0" borderId="0" xfId="708" applyNumberFormat="1" applyFill="1"/>
    <xf numFmtId="1" fontId="16" fillId="3" borderId="0" xfId="708" applyNumberFormat="1" applyFill="1"/>
    <xf numFmtId="3" fontId="16" fillId="0" borderId="0" xfId="708" applyNumberFormat="1" applyAlignment="1">
      <alignment horizontal="right"/>
    </xf>
    <xf numFmtId="0" fontId="28" fillId="59" borderId="0" xfId="790" applyFont="1" applyFill="1" applyAlignment="1">
      <alignment vertical="center"/>
    </xf>
    <xf numFmtId="3" fontId="27" fillId="59" borderId="0" xfId="790" applyNumberFormat="1" applyFont="1" applyFill="1" applyBorder="1" applyAlignment="1">
      <alignment horizontal="right"/>
    </xf>
    <xf numFmtId="0" fontId="27" fillId="59" borderId="0" xfId="790" applyFont="1" applyFill="1" applyAlignment="1">
      <alignment horizontal="right"/>
    </xf>
    <xf numFmtId="0" fontId="27" fillId="59" borderId="0" xfId="790" applyFont="1" applyFill="1" applyAlignment="1">
      <alignment vertical="center"/>
    </xf>
    <xf numFmtId="0" fontId="25" fillId="3" borderId="0" xfId="781" applyFont="1" applyFill="1" applyAlignment="1">
      <alignment vertical="center"/>
    </xf>
    <xf numFmtId="3" fontId="2" fillId="59" borderId="0" xfId="790" applyNumberFormat="1" applyFont="1" applyFill="1" applyBorder="1" applyAlignment="1">
      <alignment horizontal="right" vertical="center"/>
    </xf>
    <xf numFmtId="3" fontId="2" fillId="3" borderId="0" xfId="790" applyNumberFormat="1" applyFont="1" applyFill="1" applyBorder="1" applyAlignment="1">
      <alignment horizontal="right" vertical="center"/>
    </xf>
    <xf numFmtId="164" fontId="2" fillId="59" borderId="0" xfId="790" applyNumberFormat="1" applyFont="1" applyFill="1" applyBorder="1" applyAlignment="1">
      <alignment horizontal="right" vertical="center"/>
    </xf>
    <xf numFmtId="3" fontId="2" fillId="3" borderId="0" xfId="4" applyNumberFormat="1" applyFont="1" applyFill="1" applyBorder="1" applyAlignment="1">
      <alignment horizontal="right" vertical="center"/>
    </xf>
    <xf numFmtId="3" fontId="2" fillId="59" borderId="0" xfId="4" applyNumberFormat="1" applyFont="1" applyFill="1" applyBorder="1" applyAlignment="1">
      <alignment horizontal="right" vertical="center"/>
    </xf>
    <xf numFmtId="164" fontId="1" fillId="59" borderId="0" xfId="790" applyNumberFormat="1" applyFont="1" applyFill="1" applyBorder="1" applyAlignment="1">
      <alignment horizontal="right" vertical="center"/>
    </xf>
    <xf numFmtId="0" fontId="31" fillId="58" borderId="0" xfId="781" applyFont="1" applyFill="1" applyAlignment="1">
      <alignment horizontal="left" vertical="center"/>
    </xf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XII-1 (Commerce)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51858487748911E-2"/>
          <c:y val="0.15703787026621674"/>
          <c:w val="0.8828898109293225"/>
          <c:h val="0.717377587735307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'Annual nationa accounts'!$A$13</c:f>
              <c:strCache>
                <c:ptCount val="1"/>
                <c:pt idx="0">
                  <c:v>GDP per Capita at Current Prices (US$)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'Annual nationa accounts'!$B$4:$O$4</c:f>
              <c:strCach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20151_/</c:v>
                </c:pt>
                <c:pt idx="13">
                  <c:v>20161_/</c:v>
                </c:pt>
              </c:strCache>
            </c:strRef>
          </c:cat>
          <c:val>
            <c:numRef>
              <c:f>'Annual nationa accounts'!$B$13:$O$13</c:f>
              <c:numCache>
                <c:formatCode>#,##0</c:formatCode>
                <c:ptCount val="14"/>
                <c:pt idx="0">
                  <c:v>3299.9333690023182</c:v>
                </c:pt>
                <c:pt idx="1">
                  <c:v>3741.5546071902831</c:v>
                </c:pt>
                <c:pt idx="2">
                  <c:v>3435.8929632733366</c:v>
                </c:pt>
                <c:pt idx="3">
                  <c:v>4445.1102696777498</c:v>
                </c:pt>
                <c:pt idx="4">
                  <c:v>4983.1000358546089</c:v>
                </c:pt>
                <c:pt idx="5">
                  <c:v>5818.5571935041798</c:v>
                </c:pt>
                <c:pt idx="6">
                  <c:v>6094.8253218367518</c:v>
                </c:pt>
                <c:pt idx="7">
                  <c:v>6576.0181168954159</c:v>
                </c:pt>
                <c:pt idx="8">
                  <c:v>6842.3365773095393</c:v>
                </c:pt>
                <c:pt idx="9">
                  <c:v>6891.4401854373828</c:v>
                </c:pt>
                <c:pt idx="10">
                  <c:v>7660.0081178787968</c:v>
                </c:pt>
                <c:pt idx="11">
                  <c:v>8428.7118745966709</c:v>
                </c:pt>
                <c:pt idx="12">
                  <c:v>9011.4592125596719</c:v>
                </c:pt>
                <c:pt idx="13">
                  <c:v>9312.114432921042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D-49C4-B0E4-CB4B9B38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449504"/>
        <c:axId val="948450048"/>
      </c:barChart>
      <c:catAx>
        <c:axId val="94844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9484500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8450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US$</a:t>
                </a:r>
              </a:p>
            </c:rich>
          </c:tx>
          <c:layout>
            <c:manualLayout>
              <c:xMode val="edge"/>
              <c:yMode val="edge"/>
              <c:x val="2.3741123412872885E-2"/>
              <c:y val="5.178808531286530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4950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7632694060005"/>
          <c:y val="0.21605463352770676"/>
          <c:w val="0.40711696062146824"/>
          <c:h val="0.13802711860742869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</a:defRPr>
            </a:pPr>
            <a:r>
              <a:rPr lang="en-US" sz="1200">
                <a:latin typeface="Candara" pitchFamily="34" charset="0"/>
              </a:rPr>
              <a:t>GDP and GDP growth rates, 2003 - 2016</a:t>
            </a:r>
          </a:p>
        </c:rich>
      </c:tx>
      <c:layout>
        <c:manualLayout>
          <c:xMode val="edge"/>
          <c:yMode val="edge"/>
          <c:x val="0.28246401851920377"/>
          <c:y val="4.835385267563203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505975287720234E-2"/>
          <c:y val="0.19302720637228407"/>
          <c:w val="0.84514858056536035"/>
          <c:h val="0.66813432271583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'Annual nationa accounts'!$AE$7</c:f>
              <c:strCache>
                <c:ptCount val="1"/>
                <c:pt idx="0">
                  <c:v>G.D.P 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'Annual nationa accounts'!$AF$6:$AS$6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'Annual nationa accounts'!$AF$7:$AS$7</c:f>
              <c:numCache>
                <c:formatCode>#,##0</c:formatCode>
                <c:ptCount val="14"/>
                <c:pt idx="0">
                  <c:v>32549.843486576756</c:v>
                </c:pt>
                <c:pt idx="1">
                  <c:v>34513.82099843047</c:v>
                </c:pt>
                <c:pt idx="2">
                  <c:v>29982.483038952345</c:v>
                </c:pt>
                <c:pt idx="3">
                  <c:v>37811.357063575881</c:v>
                </c:pt>
                <c:pt idx="4">
                  <c:v>40728.07496956081</c:v>
                </c:pt>
                <c:pt idx="5">
                  <c:v>44591.268440077329</c:v>
                </c:pt>
                <c:pt idx="6">
                  <c:v>41367.83626223584</c:v>
                </c:pt>
                <c:pt idx="7">
                  <c:v>44373.263009045702</c:v>
                </c:pt>
                <c:pt idx="8">
                  <c:v>48174.602246722294</c:v>
                </c:pt>
                <c:pt idx="9">
                  <c:v>49387.341903578039</c:v>
                </c:pt>
                <c:pt idx="10">
                  <c:v>52983.270832843715</c:v>
                </c:pt>
                <c:pt idx="11">
                  <c:v>56866.746459796508</c:v>
                </c:pt>
                <c:pt idx="12">
                  <c:v>58507.095409109577</c:v>
                </c:pt>
                <c:pt idx="13">
                  <c:v>62771.786595408943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4-4AFC-9B22-574794A4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451680"/>
        <c:axId val="948455488"/>
      </c:barChart>
      <c:lineChart>
        <c:grouping val="standard"/>
        <c:varyColors val="0"/>
        <c:ser>
          <c:idx val="0"/>
          <c:order val="1"/>
          <c:tx>
            <c:strRef>
              <c:f>'Annual nationa accounts'!$AE$8</c:f>
              <c:strCache>
                <c:ptCount val="1"/>
                <c:pt idx="0">
                  <c:v> Growth Rates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numRef>
              <c:f>'Annual nationa accounts'!$AF$6:$AS$6</c:f>
              <c:numCache>
                <c:formatCode>General</c:formatCode>
                <c:ptCount val="14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'Annual nationa accounts'!$AF$8:$AS$8</c:f>
              <c:numCache>
                <c:formatCode>#,##0.0</c:formatCode>
                <c:ptCount val="14"/>
                <c:pt idx="0">
                  <c:v>13.8</c:v>
                </c:pt>
                <c:pt idx="1">
                  <c:v>6.0337540875231577</c:v>
                </c:pt>
                <c:pt idx="2">
                  <c:v>-13.129053313697693</c:v>
                </c:pt>
                <c:pt idx="3">
                  <c:v>26.11149321573032</c:v>
                </c:pt>
                <c:pt idx="4">
                  <c:v>7.7138672941063025</c:v>
                </c:pt>
                <c:pt idx="5">
                  <c:v>9.4853328408076578</c:v>
                </c:pt>
                <c:pt idx="6">
                  <c:v>-7.2288416333641692</c:v>
                </c:pt>
                <c:pt idx="7">
                  <c:v>7.2651291881888458</c:v>
                </c:pt>
                <c:pt idx="8">
                  <c:v>8.5667336136665782</c:v>
                </c:pt>
                <c:pt idx="9">
                  <c:v>2.5173838501972412</c:v>
                </c:pt>
                <c:pt idx="10">
                  <c:v>7.2810740377285965</c:v>
                </c:pt>
                <c:pt idx="11">
                  <c:v>7.3296260610348662</c:v>
                </c:pt>
                <c:pt idx="12">
                  <c:v>2.8845486183612712</c:v>
                </c:pt>
                <c:pt idx="13">
                  <c:v>7.2891863054875827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4-4AFC-9B22-574794A4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462016"/>
        <c:axId val="948456576"/>
      </c:lineChart>
      <c:catAx>
        <c:axId val="9484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554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4845548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9961186886249044E-3"/>
              <c:y val="8.2080255431988533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51680"/>
        <c:crosses val="autoZero"/>
        <c:crossBetween val="between"/>
      </c:valAx>
      <c:catAx>
        <c:axId val="9484620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0.89463264766322814"/>
              <c:y val="8.385643152630611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48456576"/>
        <c:crosses val="autoZero"/>
        <c:auto val="0"/>
        <c:lblAlgn val="ctr"/>
        <c:lblOffset val="100"/>
        <c:noMultiLvlLbl val="0"/>
      </c:catAx>
      <c:valAx>
        <c:axId val="948456576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48462016"/>
        <c:crosses val="max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953212153303782"/>
          <c:y val="0.23746480143590298"/>
          <c:w val="0.40109351198403537"/>
          <c:h val="7.3529601903210368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51858487748911E-2"/>
          <c:y val="0.15703787026621674"/>
          <c:w val="0.8828898109293225"/>
          <c:h val="0.717377587735307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'Annual nationa accounts'!$A$13</c:f>
              <c:strCache>
                <c:ptCount val="1"/>
                <c:pt idx="0">
                  <c:v>GDP per Capita at Current Prices (US$)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'Annual nationa accounts'!$AF$6:$AT$6</c:f>
              <c:numCache>
                <c:formatCode>General</c:formatCode>
                <c:ptCount val="15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</c:numCache>
            </c:numRef>
          </c:cat>
          <c:val>
            <c:numRef>
              <c:f>'Annual nationa accounts'!$B$13:$P$13</c:f>
              <c:numCache>
                <c:formatCode>#,##0</c:formatCode>
                <c:ptCount val="15"/>
                <c:pt idx="0">
                  <c:v>3299.9333690023182</c:v>
                </c:pt>
                <c:pt idx="1">
                  <c:v>3741.5546071902831</c:v>
                </c:pt>
                <c:pt idx="2">
                  <c:v>3435.8929632733366</c:v>
                </c:pt>
                <c:pt idx="3">
                  <c:v>4445.1102696777498</c:v>
                </c:pt>
                <c:pt idx="4">
                  <c:v>4983.1000358546089</c:v>
                </c:pt>
                <c:pt idx="5">
                  <c:v>5818.5571935041798</c:v>
                </c:pt>
                <c:pt idx="6">
                  <c:v>6094.8253218367518</c:v>
                </c:pt>
                <c:pt idx="7">
                  <c:v>6576.0181168954159</c:v>
                </c:pt>
                <c:pt idx="8">
                  <c:v>6842.3365773095393</c:v>
                </c:pt>
                <c:pt idx="9">
                  <c:v>6891.4401854373828</c:v>
                </c:pt>
                <c:pt idx="10">
                  <c:v>7660.0081178787968</c:v>
                </c:pt>
                <c:pt idx="11">
                  <c:v>8428.7118745966709</c:v>
                </c:pt>
                <c:pt idx="12">
                  <c:v>9011.4592125596719</c:v>
                </c:pt>
                <c:pt idx="13">
                  <c:v>9312.114432921042</c:v>
                </c:pt>
                <c:pt idx="14">
                  <c:v>9876.4101407416456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4-424C-AEFE-9F876E462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6756224"/>
        <c:axId val="-196757856"/>
      </c:barChart>
      <c:catAx>
        <c:axId val="-19675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-19675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9675785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US$</a:t>
                </a:r>
              </a:p>
            </c:rich>
          </c:tx>
          <c:layout>
            <c:manualLayout>
              <c:xMode val="edge"/>
              <c:yMode val="edge"/>
              <c:x val="2.3741123412872885E-2"/>
              <c:y val="5.178808531286530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19675622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7632694060005"/>
          <c:y val="0.21605463352770676"/>
          <c:w val="0.40711696062146824"/>
          <c:h val="0.13802711860742869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 sz="1200">
                <a:latin typeface="Candara" pitchFamily="34" charset="0"/>
              </a:defRPr>
            </a:pPr>
            <a:r>
              <a:rPr lang="en-US" sz="1200">
                <a:latin typeface="Candara" pitchFamily="34" charset="0"/>
              </a:rPr>
              <a:t>GDP and GDP growth rates, 2003 - 2017</a:t>
            </a:r>
          </a:p>
        </c:rich>
      </c:tx>
      <c:layout>
        <c:manualLayout>
          <c:xMode val="edge"/>
          <c:yMode val="edge"/>
          <c:x val="0.28246401851920377"/>
          <c:y val="4.835385267563203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5505975287720234E-2"/>
          <c:y val="0.19302720637228407"/>
          <c:w val="0.84514858056536035"/>
          <c:h val="0.66813432271583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'Annual nationa accounts'!$AE$7</c:f>
              <c:strCache>
                <c:ptCount val="1"/>
                <c:pt idx="0">
                  <c:v>G.D.P 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'Annual nationa accounts'!$AF$6:$AT$6</c:f>
              <c:numCache>
                <c:formatCode>General</c:formatCode>
                <c:ptCount val="15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</c:numCache>
            </c:numRef>
          </c:cat>
          <c:val>
            <c:numRef>
              <c:f>'Annual nationa accounts'!$AF$7:$AT$7</c:f>
              <c:numCache>
                <c:formatCode>#,##0</c:formatCode>
                <c:ptCount val="15"/>
                <c:pt idx="0">
                  <c:v>32549.843486576756</c:v>
                </c:pt>
                <c:pt idx="1">
                  <c:v>34513.82099843047</c:v>
                </c:pt>
                <c:pt idx="2">
                  <c:v>29982.483038952345</c:v>
                </c:pt>
                <c:pt idx="3">
                  <c:v>37811.357063575881</c:v>
                </c:pt>
                <c:pt idx="4">
                  <c:v>40728.07496956081</c:v>
                </c:pt>
                <c:pt idx="5">
                  <c:v>44591.268440077329</c:v>
                </c:pt>
                <c:pt idx="6">
                  <c:v>41367.83626223584</c:v>
                </c:pt>
                <c:pt idx="7">
                  <c:v>44373.263009045702</c:v>
                </c:pt>
                <c:pt idx="8">
                  <c:v>48174.602246722294</c:v>
                </c:pt>
                <c:pt idx="9">
                  <c:v>49387.341903578039</c:v>
                </c:pt>
                <c:pt idx="10">
                  <c:v>52983.270832843715</c:v>
                </c:pt>
                <c:pt idx="11">
                  <c:v>56866.746459796508</c:v>
                </c:pt>
                <c:pt idx="12">
                  <c:v>58507.095409109577</c:v>
                </c:pt>
                <c:pt idx="13">
                  <c:v>62771.786595408943</c:v>
                </c:pt>
                <c:pt idx="14">
                  <c:v>67110.380672752188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A-4688-B5E8-8087EE292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6761664"/>
        <c:axId val="-196758944"/>
      </c:barChart>
      <c:lineChart>
        <c:grouping val="standard"/>
        <c:varyColors val="0"/>
        <c:ser>
          <c:idx val="0"/>
          <c:order val="1"/>
          <c:tx>
            <c:strRef>
              <c:f>'Annual nationa accounts'!$AE$8</c:f>
              <c:strCache>
                <c:ptCount val="1"/>
                <c:pt idx="0">
                  <c:v> Growth Rates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numRef>
              <c:f>'Annual nationa accounts'!$AF$6:$AT$6</c:f>
              <c:numCache>
                <c:formatCode>General</c:formatCode>
                <c:ptCount val="15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</c:numCache>
            </c:numRef>
          </c:cat>
          <c:val>
            <c:numRef>
              <c:f>'Annual nationa accounts'!$AF$8:$AT$8</c:f>
              <c:numCache>
                <c:formatCode>#,##0.0</c:formatCode>
                <c:ptCount val="15"/>
                <c:pt idx="0">
                  <c:v>13.8</c:v>
                </c:pt>
                <c:pt idx="1">
                  <c:v>6.0337540875231577</c:v>
                </c:pt>
                <c:pt idx="2">
                  <c:v>-13.129053313697693</c:v>
                </c:pt>
                <c:pt idx="3">
                  <c:v>26.11149321573032</c:v>
                </c:pt>
                <c:pt idx="4">
                  <c:v>7.7138672941063025</c:v>
                </c:pt>
                <c:pt idx="5">
                  <c:v>9.4853328408076578</c:v>
                </c:pt>
                <c:pt idx="6">
                  <c:v>-7.2288416333641692</c:v>
                </c:pt>
                <c:pt idx="7">
                  <c:v>7.2651291881888458</c:v>
                </c:pt>
                <c:pt idx="8">
                  <c:v>8.5667336136665782</c:v>
                </c:pt>
                <c:pt idx="9">
                  <c:v>2.5173838501972412</c:v>
                </c:pt>
                <c:pt idx="10">
                  <c:v>7.2810740377285965</c:v>
                </c:pt>
                <c:pt idx="11">
                  <c:v>7.3296260610348662</c:v>
                </c:pt>
                <c:pt idx="12">
                  <c:v>2.8845486183612712</c:v>
                </c:pt>
                <c:pt idx="13">
                  <c:v>7.2891863054875827</c:v>
                </c:pt>
                <c:pt idx="14">
                  <c:v>6.9116944293896587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A-4688-B5E8-8087EE292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67648"/>
        <c:axId val="-196764928"/>
      </c:lineChart>
      <c:catAx>
        <c:axId val="-1967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1967589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9675894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5.9961186886249044E-3"/>
              <c:y val="8.2080255431988533E-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196761664"/>
        <c:crosses val="autoZero"/>
        <c:crossBetween val="between"/>
      </c:valAx>
      <c:catAx>
        <c:axId val="-19676764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0.89463264766322814"/>
              <c:y val="8.3856431526306119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-196764928"/>
        <c:crosses val="autoZero"/>
        <c:auto val="0"/>
        <c:lblAlgn val="ctr"/>
        <c:lblOffset val="100"/>
        <c:noMultiLvlLbl val="0"/>
      </c:catAx>
      <c:valAx>
        <c:axId val="-196764928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-196767648"/>
        <c:crosses val="max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953212153303782"/>
          <c:y val="0.23746480143590298"/>
          <c:w val="0.40109351198403537"/>
          <c:h val="7.3529601903210368E-2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409574</xdr:colOff>
      <xdr:row>15</xdr:row>
      <xdr:rowOff>73219</xdr:rowOff>
    </xdr:from>
    <xdr:to>
      <xdr:col>14</xdr:col>
      <xdr:colOff>457199</xdr:colOff>
      <xdr:row>32</xdr:row>
      <xdr:rowOff>96079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110492</xdr:colOff>
      <xdr:row>15</xdr:row>
      <xdr:rowOff>57149</xdr:rowOff>
    </xdr:from>
    <xdr:to>
      <xdr:col>4</xdr:col>
      <xdr:colOff>266700</xdr:colOff>
      <xdr:row>32</xdr:row>
      <xdr:rowOff>76199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409574</xdr:colOff>
      <xdr:row>15</xdr:row>
      <xdr:rowOff>73219</xdr:rowOff>
    </xdr:from>
    <xdr:to>
      <xdr:col>14</xdr:col>
      <xdr:colOff>457199</xdr:colOff>
      <xdr:row>32</xdr:row>
      <xdr:rowOff>96079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110492</xdr:colOff>
      <xdr:row>15</xdr:row>
      <xdr:rowOff>57149</xdr:rowOff>
    </xdr:from>
    <xdr:to>
      <xdr:col>4</xdr:col>
      <xdr:colOff>266700</xdr:colOff>
      <xdr:row>32</xdr:row>
      <xdr:rowOff>76199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0.18782</cdr:x>
      <cdr:y>0.08235</cdr:y>
    </cdr:from>
    <cdr:to>
      <cdr:x>0.83883</cdr:x>
      <cdr:y>0.21681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27760" y="186690"/>
          <a:ext cx="39090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0.30994</cdr:x>
      <cdr:y>0.03198</cdr:y>
    </cdr:from>
    <cdr:to>
      <cdr:x>0.81804</cdr:x>
      <cdr:y>0.13295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33303" y="88763"/>
          <a:ext cx="3005398" cy="280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andara" pitchFamily="34" charset="0"/>
            </a:rPr>
            <a:t>GDP per capita (at current price),  2003 - 2016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0.18782</cdr:x>
      <cdr:y>0.08235</cdr:y>
    </cdr:from>
    <cdr:to>
      <cdr:x>0.83883</cdr:x>
      <cdr:y>0.21681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27760" y="186690"/>
          <a:ext cx="390906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0.30994</cdr:x>
      <cdr:y>0.03198</cdr:y>
    </cdr:from>
    <cdr:to>
      <cdr:x>0.81804</cdr:x>
      <cdr:y>0.13295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33303" y="88763"/>
          <a:ext cx="3005398" cy="280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Candara" pitchFamily="34" charset="0"/>
            </a:rPr>
            <a:t>GDP per capita (at current price),  2003 - 2017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Q83"/>
  <sheetViews>
    <sheetView showGridLines="0" tabSelected="1" view="pageBreakPreview" zoomScale="130" zoomScaleNormal="100" zoomScaleSheetLayoutView="130" workbookViewId="0">
      <selection activeCell="J10" sqref="J10"/>
    </sheetView>
  </sheetViews>
  <sheetFormatPr defaultRowHeight="12.75"/>
  <cols>
    <col min="1" max="1" width="48.5703125" style="19" customWidth="1"/>
    <col min="2" max="2" width="8.140625" style="20" bestFit="1" customWidth="1"/>
    <col min="3" max="3" width="10.85546875" style="20" customWidth="1"/>
    <col min="4" max="7" width="8.7109375" style="20" customWidth="1"/>
    <col min="8" max="10" width="8.7109375" style="21" customWidth="1"/>
    <col min="11" max="12" width="8.7109375" style="18" customWidth="1"/>
    <col min="13" max="13" width="9.140625" style="17"/>
    <col min="14" max="14" width="9.140625" style="17" customWidth="1"/>
    <col min="15" max="15" width="9.140625" style="17"/>
    <col min="16" max="16" width="8.7109375" style="17" customWidth="1"/>
    <col min="17" max="17" width="13.140625" style="17" customWidth="1"/>
    <col min="18" max="91" width="9.140625" style="17"/>
    <col min="92" max="173" width="9.140625" style="18"/>
    <col min="174" max="16384" width="9.140625" style="19"/>
  </cols>
  <sheetData>
    <row r="1" spans="1:91" s="3" customFormat="1" ht="30.75" customHeight="1">
      <c r="A1" s="45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s="3" customForma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s="7" customFormat="1" ht="21" customHeight="1">
      <c r="A3" s="34" t="s">
        <v>7</v>
      </c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s="3" customFormat="1" ht="15.75" customHeight="1">
      <c r="A4" s="22"/>
      <c r="B4" s="23">
        <v>2003</v>
      </c>
      <c r="C4" s="23">
        <v>2004</v>
      </c>
      <c r="D4" s="23">
        <v>2005</v>
      </c>
      <c r="E4" s="23">
        <v>2006</v>
      </c>
      <c r="F4" s="23">
        <v>2007</v>
      </c>
      <c r="G4" s="23">
        <v>2008</v>
      </c>
      <c r="H4" s="23">
        <v>2009</v>
      </c>
      <c r="I4" s="23">
        <v>2010</v>
      </c>
      <c r="J4" s="23">
        <v>2011</v>
      </c>
      <c r="K4" s="23">
        <v>2012</v>
      </c>
      <c r="L4" s="23">
        <v>2013</v>
      </c>
      <c r="M4" s="23">
        <v>2014</v>
      </c>
      <c r="N4" s="23" t="s">
        <v>13</v>
      </c>
      <c r="O4" s="23" t="s">
        <v>14</v>
      </c>
      <c r="P4" s="23">
        <v>2017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s="10" customFormat="1" ht="20.25" customHeight="1">
      <c r="A5" s="37" t="s">
        <v>9</v>
      </c>
      <c r="B5" s="39">
        <v>32549.843486576756</v>
      </c>
      <c r="C5" s="39">
        <v>34513.82099843047</v>
      </c>
      <c r="D5" s="39">
        <v>29982.483038952345</v>
      </c>
      <c r="E5" s="39">
        <v>37811.357063575881</v>
      </c>
      <c r="F5" s="39">
        <v>40728.07496956081</v>
      </c>
      <c r="G5" s="39">
        <v>44591.268440077329</v>
      </c>
      <c r="H5" s="39">
        <v>41367.83626223584</v>
      </c>
      <c r="I5" s="39">
        <v>44373.263009045702</v>
      </c>
      <c r="J5" s="39">
        <v>48174.602246722294</v>
      </c>
      <c r="K5" s="39">
        <v>49387.341903578039</v>
      </c>
      <c r="L5" s="39">
        <v>52983.270832843715</v>
      </c>
      <c r="M5" s="39">
        <v>56866.746459796508</v>
      </c>
      <c r="N5" s="39">
        <v>58507.095409109577</v>
      </c>
      <c r="O5" s="39">
        <v>62771.786595408943</v>
      </c>
      <c r="P5" s="39">
        <v>67110.380672752188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</row>
    <row r="6" spans="1:91" s="11" customFormat="1" ht="20.25" customHeight="1">
      <c r="A6" s="22" t="s">
        <v>10</v>
      </c>
      <c r="B6" s="40">
        <v>2110.8847916067934</v>
      </c>
      <c r="C6" s="40">
        <v>2238.2503890032731</v>
      </c>
      <c r="D6" s="40">
        <v>1944.3893021369875</v>
      </c>
      <c r="E6" s="40">
        <v>2452.0983828518729</v>
      </c>
      <c r="F6" s="40">
        <v>2641.2499980259922</v>
      </c>
      <c r="G6" s="40">
        <v>2891.7813514965846</v>
      </c>
      <c r="H6" s="40">
        <v>2682.7390572137379</v>
      </c>
      <c r="I6" s="40">
        <v>2877.6435155023155</v>
      </c>
      <c r="J6" s="40">
        <v>3124.163569826349</v>
      </c>
      <c r="K6" s="40">
        <v>3202.8107589869023</v>
      </c>
      <c r="L6" s="40">
        <v>3436.0097816370771</v>
      </c>
      <c r="M6" s="40">
        <v>3687.8564500516545</v>
      </c>
      <c r="N6" s="40">
        <v>3794.2344623287668</v>
      </c>
      <c r="O6" s="40">
        <v>4070.8206550276072</v>
      </c>
      <c r="P6" s="40">
        <v>4352.164764769921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9"/>
      <c r="AE6" s="9"/>
      <c r="AF6" s="24">
        <v>2003</v>
      </c>
      <c r="AG6" s="24">
        <v>2004</v>
      </c>
      <c r="AH6" s="24">
        <v>2005</v>
      </c>
      <c r="AI6" s="24">
        <v>2006</v>
      </c>
      <c r="AJ6" s="24">
        <v>2007</v>
      </c>
      <c r="AK6" s="24">
        <v>2008</v>
      </c>
      <c r="AL6" s="24">
        <v>2009</v>
      </c>
      <c r="AM6" s="24">
        <v>2010</v>
      </c>
      <c r="AN6" s="24">
        <v>2011</v>
      </c>
      <c r="AO6" s="24">
        <v>2012</v>
      </c>
      <c r="AP6" s="24">
        <v>2013</v>
      </c>
      <c r="AQ6" s="24">
        <v>2014</v>
      </c>
      <c r="AR6" s="24">
        <v>2015</v>
      </c>
      <c r="AS6" s="24">
        <v>2016</v>
      </c>
      <c r="AT6" s="9">
        <v>2017</v>
      </c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</row>
    <row r="7" spans="1:91" s="10" customFormat="1" ht="20.25" customHeight="1">
      <c r="A7" s="37" t="s">
        <v>0</v>
      </c>
      <c r="B7" s="44" t="s">
        <v>17</v>
      </c>
      <c r="C7" s="41">
        <v>6.0337540875231577</v>
      </c>
      <c r="D7" s="41">
        <v>-13.129053313697693</v>
      </c>
      <c r="E7" s="41">
        <v>26.11149321573032</v>
      </c>
      <c r="F7" s="41">
        <v>7.7138672941063025</v>
      </c>
      <c r="G7" s="41">
        <v>9.4853328408076578</v>
      </c>
      <c r="H7" s="41">
        <v>-7.2288416333641692</v>
      </c>
      <c r="I7" s="41">
        <v>7.2651291881888458</v>
      </c>
      <c r="J7" s="41">
        <v>8.5667336136665782</v>
      </c>
      <c r="K7" s="41">
        <v>2.5173838501972412</v>
      </c>
      <c r="L7" s="41">
        <v>7.2810740377285965</v>
      </c>
      <c r="M7" s="41">
        <v>7.3296260610348662</v>
      </c>
      <c r="N7" s="41">
        <v>2.8845486183612712</v>
      </c>
      <c r="O7" s="41">
        <v>7.2891863054875827</v>
      </c>
      <c r="P7" s="41">
        <v>6.9116944293896587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9"/>
      <c r="AE7" s="25" t="s">
        <v>2</v>
      </c>
      <c r="AF7" s="26">
        <f t="shared" ref="AF7:AS7" si="0">B5</f>
        <v>32549.843486576756</v>
      </c>
      <c r="AG7" s="26">
        <f t="shared" si="0"/>
        <v>34513.82099843047</v>
      </c>
      <c r="AH7" s="26">
        <f t="shared" si="0"/>
        <v>29982.483038952345</v>
      </c>
      <c r="AI7" s="26">
        <f t="shared" si="0"/>
        <v>37811.357063575881</v>
      </c>
      <c r="AJ7" s="26">
        <f t="shared" si="0"/>
        <v>40728.07496956081</v>
      </c>
      <c r="AK7" s="26">
        <f t="shared" si="0"/>
        <v>44591.268440077329</v>
      </c>
      <c r="AL7" s="26">
        <f t="shared" si="0"/>
        <v>41367.83626223584</v>
      </c>
      <c r="AM7" s="26">
        <f t="shared" si="0"/>
        <v>44373.263009045702</v>
      </c>
      <c r="AN7" s="26">
        <f t="shared" si="0"/>
        <v>48174.602246722294</v>
      </c>
      <c r="AO7" s="26">
        <f t="shared" si="0"/>
        <v>49387.341903578039</v>
      </c>
      <c r="AP7" s="26">
        <f t="shared" si="0"/>
        <v>52983.270832843715</v>
      </c>
      <c r="AQ7" s="26">
        <f t="shared" si="0"/>
        <v>56866.746459796508</v>
      </c>
      <c r="AR7" s="26">
        <f t="shared" si="0"/>
        <v>58507.095409109577</v>
      </c>
      <c r="AS7" s="26">
        <f t="shared" si="0"/>
        <v>62771.786595408943</v>
      </c>
      <c r="AT7" s="26">
        <f>P5</f>
        <v>67110.380672752188</v>
      </c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</row>
    <row r="8" spans="1:91" s="14" customFormat="1" ht="20.25" customHeight="1">
      <c r="A8" s="22" t="s">
        <v>11</v>
      </c>
      <c r="B8" s="42">
        <v>102091.21285752249</v>
      </c>
      <c r="C8" s="42">
        <v>105259.40169027845</v>
      </c>
      <c r="D8" s="42">
        <v>88550.73832131493</v>
      </c>
      <c r="E8" s="42">
        <v>106701.12359101123</v>
      </c>
      <c r="F8" s="42">
        <v>108624.42116572289</v>
      </c>
      <c r="G8" s="42">
        <v>114215.34176560609</v>
      </c>
      <c r="H8" s="42">
        <v>107504.49261367782</v>
      </c>
      <c r="I8" s="42">
        <v>112743.25040791331</v>
      </c>
      <c r="J8" s="42">
        <v>118551.82793225275</v>
      </c>
      <c r="K8" s="42">
        <v>118348.05140349398</v>
      </c>
      <c r="L8" s="42">
        <v>123598.96587524535</v>
      </c>
      <c r="M8" s="42">
        <v>129970.73710628068</v>
      </c>
      <c r="N8" s="42">
        <v>128747.16884539838</v>
      </c>
      <c r="O8" s="42">
        <v>132871.15200720262</v>
      </c>
      <c r="P8" s="42">
        <v>136517.28847916971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9"/>
      <c r="AE8" s="25" t="s">
        <v>1</v>
      </c>
      <c r="AF8" s="27">
        <v>13.8</v>
      </c>
      <c r="AG8" s="27">
        <f t="shared" ref="AG8" si="1">C7</f>
        <v>6.0337540875231577</v>
      </c>
      <c r="AH8" s="27">
        <f t="shared" ref="AH8" si="2">D7</f>
        <v>-13.129053313697693</v>
      </c>
      <c r="AI8" s="27">
        <f t="shared" ref="AI8" si="3">E7</f>
        <v>26.11149321573032</v>
      </c>
      <c r="AJ8" s="27">
        <f t="shared" ref="AJ8" si="4">F7</f>
        <v>7.7138672941063025</v>
      </c>
      <c r="AK8" s="27">
        <f t="shared" ref="AK8" si="5">G7</f>
        <v>9.4853328408076578</v>
      </c>
      <c r="AL8" s="27">
        <f t="shared" ref="AL8" si="6">H7</f>
        <v>-7.2288416333641692</v>
      </c>
      <c r="AM8" s="27">
        <f t="shared" ref="AM8" si="7">I7</f>
        <v>7.2651291881888458</v>
      </c>
      <c r="AN8" s="27">
        <f t="shared" ref="AN8" si="8">J7</f>
        <v>8.5667336136665782</v>
      </c>
      <c r="AO8" s="27">
        <f t="shared" ref="AO8" si="9">K7</f>
        <v>2.5173838501972412</v>
      </c>
      <c r="AP8" s="27">
        <f t="shared" ref="AP8" si="10">L7</f>
        <v>7.2810740377285965</v>
      </c>
      <c r="AQ8" s="27">
        <f t="shared" ref="AQ8" si="11">M7</f>
        <v>7.3296260610348662</v>
      </c>
      <c r="AR8" s="27">
        <f t="shared" ref="AR8" si="12">N7</f>
        <v>2.8845486183612712</v>
      </c>
      <c r="AS8" s="27">
        <f t="shared" ref="AS8" si="13">O7</f>
        <v>7.2891863054875827</v>
      </c>
      <c r="AT8" s="27">
        <f t="shared" ref="AT8" si="14">P7</f>
        <v>6.9116944293896587</v>
      </c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</row>
    <row r="9" spans="1:91" s="10" customFormat="1" ht="20.25" customHeight="1">
      <c r="A9" s="37" t="s">
        <v>12</v>
      </c>
      <c r="B9" s="43">
        <v>6620.7012229262318</v>
      </c>
      <c r="C9" s="43">
        <v>6826.1609397067741</v>
      </c>
      <c r="D9" s="43">
        <v>5742.5900338077126</v>
      </c>
      <c r="E9" s="43">
        <v>6919.6578204287434</v>
      </c>
      <c r="F9" s="43">
        <v>7044.3852896058943</v>
      </c>
      <c r="G9" s="43">
        <v>7406.9612039952071</v>
      </c>
      <c r="H9" s="43">
        <v>6971.7569788377314</v>
      </c>
      <c r="I9" s="43">
        <v>7311.4948383860774</v>
      </c>
      <c r="J9" s="43">
        <v>7688.1859878244331</v>
      </c>
      <c r="K9" s="43">
        <v>7674.9709081383908</v>
      </c>
      <c r="L9" s="43">
        <v>8015.4971384724613</v>
      </c>
      <c r="M9" s="43">
        <v>8428.7118745966709</v>
      </c>
      <c r="N9" s="43">
        <v>8349.362441335823</v>
      </c>
      <c r="O9" s="43">
        <v>8616.80622614803</v>
      </c>
      <c r="P9" s="43">
        <v>8853.2612502704087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9"/>
      <c r="AF9" s="15"/>
      <c r="AG9" s="15"/>
      <c r="AH9" s="15"/>
      <c r="AI9" s="15"/>
      <c r="AJ9" s="15"/>
      <c r="AK9" s="15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</row>
    <row r="10" spans="1:91" s="14" customFormat="1" ht="20.25" customHeight="1">
      <c r="A10" s="22" t="s">
        <v>8</v>
      </c>
      <c r="B10" s="42">
        <v>1052.1210559723779</v>
      </c>
      <c r="C10" s="42">
        <v>1226.8295648154435</v>
      </c>
      <c r="D10" s="42">
        <v>1163.3624343276822</v>
      </c>
      <c r="E10" s="42">
        <v>1575.200390934895</v>
      </c>
      <c r="F10" s="42">
        <v>1868.3834598434703</v>
      </c>
      <c r="G10" s="42">
        <v>2271.6461881447412</v>
      </c>
      <c r="H10" s="42">
        <v>2345.294878668104</v>
      </c>
      <c r="I10" s="42">
        <v>2588.1760584114641</v>
      </c>
      <c r="J10" s="42">
        <v>2780.4450492189267</v>
      </c>
      <c r="K10" s="42">
        <v>2875.8387536594882</v>
      </c>
      <c r="L10" s="42">
        <v>3283.622009434941</v>
      </c>
      <c r="M10" s="42">
        <v>3687.8564500516545</v>
      </c>
      <c r="N10" s="42">
        <v>4095.1137695123953</v>
      </c>
      <c r="O10" s="42">
        <v>4399.2849546729349</v>
      </c>
      <c r="P10" s="42">
        <v>4855.1333798761725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</row>
    <row r="11" spans="1:91" s="10" customFormat="1" ht="20.25" customHeight="1">
      <c r="A11" s="37" t="s">
        <v>5</v>
      </c>
      <c r="B11" s="43">
        <v>13467.14951644644</v>
      </c>
      <c r="C11" s="43">
        <v>15703.418429637679</v>
      </c>
      <c r="D11" s="43">
        <v>14891.039159394333</v>
      </c>
      <c r="E11" s="43">
        <v>20162.565003966658</v>
      </c>
      <c r="F11" s="43">
        <v>23915.30828599642</v>
      </c>
      <c r="G11" s="43">
        <v>29077.071208252688</v>
      </c>
      <c r="H11" s="43">
        <v>30019.774446951735</v>
      </c>
      <c r="I11" s="43">
        <v>33128.653547666741</v>
      </c>
      <c r="J11" s="43">
        <v>40511.084367119765</v>
      </c>
      <c r="K11" s="43">
        <v>44345.433581429308</v>
      </c>
      <c r="L11" s="43">
        <v>50633.451385486791</v>
      </c>
      <c r="M11" s="43">
        <v>56866.746459796515</v>
      </c>
      <c r="N11" s="43">
        <v>63146.654325881136</v>
      </c>
      <c r="O11" s="43">
        <v>67836.97400105666</v>
      </c>
      <c r="P11" s="43">
        <v>74866.156717690581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9"/>
      <c r="AF11" s="9"/>
      <c r="AG11" s="9"/>
      <c r="AH11" s="13"/>
      <c r="AI11" s="13"/>
      <c r="AJ11" s="13"/>
      <c r="AK11" s="13"/>
      <c r="AL11" s="13"/>
      <c r="AM11" s="13"/>
      <c r="AN11" s="13"/>
      <c r="AO11" s="13"/>
      <c r="AP11" s="13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</row>
    <row r="12" spans="1:91" s="14" customFormat="1" ht="20.25" customHeight="1">
      <c r="A12" s="22" t="s">
        <v>6</v>
      </c>
      <c r="B12" s="42">
        <v>42239.147123229675</v>
      </c>
      <c r="C12" s="42">
        <v>47891.898972035626</v>
      </c>
      <c r="D12" s="42">
        <v>43979.42992989871</v>
      </c>
      <c r="E12" s="42">
        <v>56897.411451875196</v>
      </c>
      <c r="F12" s="42">
        <v>63783.680458938994</v>
      </c>
      <c r="G12" s="42">
        <v>74477.532076853502</v>
      </c>
      <c r="H12" s="42">
        <v>78013.764119510422</v>
      </c>
      <c r="I12" s="42">
        <v>84173.031896261324</v>
      </c>
      <c r="J12" s="42">
        <v>99692.843931399984</v>
      </c>
      <c r="K12" s="42">
        <v>106266.00765944444</v>
      </c>
      <c r="L12" s="42">
        <v>118117.32517769105</v>
      </c>
      <c r="M12" s="42">
        <v>129970.73710628068</v>
      </c>
      <c r="N12" s="42">
        <v>138956.70105767014</v>
      </c>
      <c r="O12" s="42">
        <v>143592.80455564248</v>
      </c>
      <c r="P12" s="42">
        <v>152294.24437023618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</row>
    <row r="13" spans="1:91" s="10" customFormat="1" ht="20.25" customHeight="1">
      <c r="A13" s="37" t="s">
        <v>4</v>
      </c>
      <c r="B13" s="39">
        <v>3299.9333690023182</v>
      </c>
      <c r="C13" s="39">
        <v>3741.5546071902831</v>
      </c>
      <c r="D13" s="39">
        <v>3435.8929632733366</v>
      </c>
      <c r="E13" s="39">
        <v>4445.1102696777498</v>
      </c>
      <c r="F13" s="39">
        <v>4983.1000358546089</v>
      </c>
      <c r="G13" s="39">
        <v>5818.5571935041798</v>
      </c>
      <c r="H13" s="39">
        <v>6094.8253218367518</v>
      </c>
      <c r="I13" s="39">
        <v>6576.0181168954159</v>
      </c>
      <c r="J13" s="39">
        <v>6842.3365773095393</v>
      </c>
      <c r="K13" s="39">
        <v>6891.4401854373828</v>
      </c>
      <c r="L13" s="39">
        <v>7660.0081178787968</v>
      </c>
      <c r="M13" s="39">
        <v>8428.7118745966709</v>
      </c>
      <c r="N13" s="39">
        <v>9011.4592125596719</v>
      </c>
      <c r="O13" s="39">
        <v>9312.114432921042</v>
      </c>
      <c r="P13" s="39">
        <v>9876.4101407416456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</row>
    <row r="14" spans="1:91" s="9" customFormat="1" ht="15" customHeight="1">
      <c r="A14" s="38" t="s">
        <v>16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91" ht="15.75" customHeight="1">
      <c r="A15" s="28" t="s">
        <v>15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9" spans="168:173">
      <c r="FL19" s="19"/>
      <c r="FM19" s="19"/>
      <c r="FN19" s="19"/>
      <c r="FO19" s="19"/>
      <c r="FP19" s="19"/>
      <c r="FQ19" s="19"/>
    </row>
    <row r="20" spans="168:173">
      <c r="FL20" s="19"/>
      <c r="FM20" s="19"/>
      <c r="FN20" s="19"/>
      <c r="FO20" s="19"/>
      <c r="FP20" s="19"/>
      <c r="FQ20" s="19"/>
    </row>
    <row r="21" spans="168:173">
      <c r="FL21" s="19"/>
      <c r="FM21" s="19"/>
      <c r="FN21" s="19"/>
      <c r="FO21" s="19"/>
      <c r="FP21" s="19"/>
      <c r="FQ21" s="19"/>
    </row>
    <row r="22" spans="168:173">
      <c r="FL22" s="19"/>
      <c r="FM22" s="19"/>
      <c r="FN22" s="19"/>
      <c r="FO22" s="19"/>
      <c r="FP22" s="19"/>
      <c r="FQ22" s="19"/>
    </row>
    <row r="59" spans="2:15">
      <c r="B59" s="29"/>
      <c r="C59" s="29"/>
      <c r="D59" s="29"/>
      <c r="E59" s="29"/>
      <c r="F59" s="29"/>
      <c r="G59" s="29"/>
      <c r="H59" s="30"/>
      <c r="I59" s="30"/>
      <c r="J59" s="30"/>
      <c r="K59" s="31"/>
      <c r="L59" s="31"/>
      <c r="M59" s="32"/>
      <c r="N59" s="32"/>
      <c r="O59" s="32"/>
    </row>
    <row r="60" spans="2:15">
      <c r="B60" s="29"/>
      <c r="C60" s="29"/>
      <c r="D60" s="29"/>
      <c r="E60" s="29"/>
      <c r="F60" s="29"/>
      <c r="G60" s="29"/>
      <c r="H60" s="30"/>
      <c r="I60" s="30"/>
      <c r="J60" s="30"/>
      <c r="K60" s="31"/>
      <c r="L60" s="31"/>
      <c r="M60" s="32"/>
      <c r="N60" s="32"/>
      <c r="O60" s="32"/>
    </row>
    <row r="61" spans="2:15">
      <c r="B61" s="29"/>
      <c r="C61" s="29"/>
      <c r="D61" s="29"/>
      <c r="E61" s="29"/>
      <c r="F61" s="29"/>
      <c r="G61" s="29"/>
      <c r="H61" s="30"/>
      <c r="I61" s="30"/>
      <c r="J61" s="30"/>
      <c r="K61" s="31"/>
      <c r="L61" s="31"/>
      <c r="M61" s="32"/>
      <c r="N61" s="32"/>
      <c r="O61" s="32"/>
    </row>
    <row r="62" spans="2:15">
      <c r="B62" s="29"/>
      <c r="C62" s="29"/>
      <c r="D62" s="29"/>
      <c r="E62" s="29"/>
      <c r="F62" s="29"/>
      <c r="G62" s="29"/>
      <c r="H62" s="30"/>
      <c r="I62" s="30"/>
      <c r="J62" s="30"/>
      <c r="K62" s="31"/>
      <c r="L62" s="31"/>
      <c r="M62" s="32"/>
      <c r="N62" s="32"/>
      <c r="O62" s="32"/>
    </row>
    <row r="63" spans="2:15">
      <c r="B63" s="29"/>
      <c r="C63" s="29"/>
      <c r="D63" s="29"/>
      <c r="E63" s="29"/>
      <c r="F63" s="29"/>
      <c r="G63" s="29"/>
      <c r="H63" s="30"/>
      <c r="I63" s="30"/>
      <c r="J63" s="30"/>
      <c r="K63" s="31"/>
      <c r="L63" s="31"/>
      <c r="M63" s="32"/>
      <c r="N63" s="32"/>
      <c r="O63" s="32"/>
    </row>
    <row r="64" spans="2:15">
      <c r="B64" s="29"/>
      <c r="C64" s="29"/>
      <c r="D64" s="29"/>
      <c r="E64" s="29"/>
      <c r="F64" s="29"/>
      <c r="G64" s="29"/>
      <c r="H64" s="30"/>
      <c r="I64" s="30"/>
      <c r="J64" s="30"/>
      <c r="K64" s="31"/>
      <c r="L64" s="31"/>
      <c r="M64" s="32"/>
      <c r="N64" s="32"/>
      <c r="O64" s="32"/>
    </row>
    <row r="65" spans="2:15">
      <c r="B65" s="29"/>
      <c r="C65" s="29"/>
      <c r="D65" s="29"/>
      <c r="E65" s="29"/>
      <c r="F65" s="29"/>
      <c r="G65" s="29"/>
      <c r="H65" s="30"/>
      <c r="I65" s="30"/>
      <c r="J65" s="30"/>
      <c r="K65" s="31"/>
      <c r="L65" s="31"/>
      <c r="M65" s="32"/>
      <c r="N65" s="32"/>
      <c r="O65" s="32"/>
    </row>
    <row r="66" spans="2:15">
      <c r="B66" s="29"/>
      <c r="C66" s="29"/>
      <c r="D66" s="29"/>
      <c r="E66" s="29"/>
      <c r="F66" s="29"/>
      <c r="G66" s="29"/>
      <c r="H66" s="30"/>
      <c r="I66" s="30"/>
      <c r="J66" s="30"/>
      <c r="K66" s="31"/>
      <c r="L66" s="31"/>
      <c r="M66" s="32"/>
      <c r="N66" s="32"/>
      <c r="O66" s="32"/>
    </row>
    <row r="67" spans="2:15">
      <c r="B67" s="29"/>
      <c r="C67" s="29"/>
      <c r="D67" s="29"/>
      <c r="E67" s="29"/>
      <c r="F67" s="29"/>
      <c r="G67" s="29"/>
      <c r="H67" s="30"/>
      <c r="I67" s="30"/>
      <c r="J67" s="30"/>
      <c r="K67" s="31"/>
      <c r="L67" s="31"/>
      <c r="M67" s="32"/>
      <c r="N67" s="32"/>
      <c r="O67" s="32"/>
    </row>
    <row r="69" spans="2:15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spans="2:1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spans="2:15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spans="2:15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spans="2:15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spans="2:15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spans="2:15"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spans="2:15"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2:15"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 spans="2:15"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2:15"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spans="2:15"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spans="2:15"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 spans="2:15"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spans="2:15"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</sheetData>
  <mergeCells count="1">
    <mergeCell ref="A1:P1"/>
  </mergeCells>
  <printOptions horizontalCentered="1" verticalCentered="1"/>
  <pageMargins left="0.511811023622047" right="0.511811023622047" top="0.43307086614173201" bottom="0.35433070866141703" header="0.35433070866141703" footer="0.31496062992126"/>
  <pageSetup paperSize="9" scale="76" orientation="landscape" r:id="rId1"/>
  <headerFooter alignWithMargins="0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Annual nationa accounts</vt:lpstr>
      <vt:lpstr>'Annual nationa accounts'!Print_Area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2018-11-01T08:16:22Z</cp:lastPrinted>
  <dcterms:created xsi:type="dcterms:W3CDTF">2005-04-13T08:56:22Z</dcterms:created>
  <dcterms:modified xsi:type="dcterms:W3CDTF">2018-11-01T08:19:05Z</dcterms:modified>
</cp:coreProperties>
</file>