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Foerign trade &amp; BOP" sheetId="16" r:id="rId1"/>
  </sheets>
  <externalReferences>
    <externalReference r:id="rId2"/>
  </externalReferences>
  <definedNames>
    <definedName name="_xlnm.Print_Area" localSheetId="0">'Foerign trade &amp; BOP'!$A$1:$M$57</definedName>
  </definedNames>
  <calcPr calcId="162913"/>
</workbook>
</file>

<file path=xl/calcChain.xml><?xml version="1.0" encoding="utf-8"?>
<calcChain xmlns="http://schemas.openxmlformats.org/spreadsheetml/2006/main">
  <c r="M33" i="16" l="1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16" i="16"/>
  <c r="L16" i="16"/>
  <c r="K16" i="16"/>
  <c r="J16" i="16"/>
  <c r="I16" i="16"/>
  <c r="H16" i="16"/>
  <c r="G16" i="16"/>
  <c r="F16" i="16"/>
  <c r="E16" i="16"/>
  <c r="D16" i="16"/>
  <c r="C16" i="16"/>
  <c r="M15" i="16"/>
  <c r="M12" i="16"/>
  <c r="L12" i="16"/>
  <c r="K12" i="16"/>
  <c r="J12" i="16"/>
  <c r="I12" i="16"/>
  <c r="H12" i="16"/>
  <c r="G12" i="16"/>
  <c r="F12" i="16"/>
  <c r="E12" i="16"/>
  <c r="D12" i="16"/>
  <c r="C12" i="16"/>
  <c r="M10" i="16"/>
  <c r="M8" i="16"/>
  <c r="M11" i="16" s="1"/>
  <c r="M6" i="16"/>
</calcChain>
</file>

<file path=xl/sharedStrings.xml><?xml version="1.0" encoding="utf-8"?>
<sst xmlns="http://schemas.openxmlformats.org/spreadsheetml/2006/main" count="35" uniqueCount="32">
  <si>
    <t>Balance on services</t>
  </si>
  <si>
    <t>Balance on goods</t>
  </si>
  <si>
    <t>Financial Account as a percentage of GDP</t>
  </si>
  <si>
    <t>EXPORTS</t>
  </si>
  <si>
    <t>Total exports (f.o.b value in '000 US$)</t>
  </si>
  <si>
    <t xml:space="preserve">  Marine Products</t>
  </si>
  <si>
    <t xml:space="preserve">  Other Products</t>
  </si>
  <si>
    <t>Total (in %)</t>
  </si>
  <si>
    <t xml:space="preserve">  Marine products</t>
  </si>
  <si>
    <t xml:space="preserve">  Other products</t>
  </si>
  <si>
    <t>% Change in exports</t>
  </si>
  <si>
    <t>IMPORTS</t>
  </si>
  <si>
    <t>Total Imports (c.i.f value in '000 US$)</t>
  </si>
  <si>
    <t>% Change in imports</t>
  </si>
  <si>
    <t>EXCHANGE RATE</t>
  </si>
  <si>
    <t>(In million US$)</t>
  </si>
  <si>
    <t>Current Account Balance</t>
  </si>
  <si>
    <t xml:space="preserve">FOREIGN TRADE </t>
  </si>
  <si>
    <t xml:space="preserve">BALANCE OF PAYMENTS </t>
  </si>
  <si>
    <t>Total exports (f.o.b value '000 in MVR )</t>
  </si>
  <si>
    <t>Total Imports (c.i.f value in '000 MVR)</t>
  </si>
  <si>
    <t>Average Exchange Rate (MVR per US$)</t>
  </si>
  <si>
    <r>
      <t xml:space="preserve">Current Account as a percentage of GDP </t>
    </r>
    <r>
      <rPr>
        <i/>
        <vertAlign val="superscript"/>
        <sz val="11"/>
        <rFont val="Calibri"/>
        <family val="2"/>
        <scheme val="minor"/>
      </rPr>
      <t>2_/</t>
    </r>
  </si>
  <si>
    <r>
      <t>Financial Account</t>
    </r>
    <r>
      <rPr>
        <vertAlign val="superscript"/>
        <sz val="11"/>
        <rFont val="Calibri"/>
        <family val="2"/>
        <scheme val="minor"/>
      </rPr>
      <t>1_/</t>
    </r>
  </si>
  <si>
    <t>Exports</t>
  </si>
  <si>
    <t>Imports</t>
  </si>
  <si>
    <t>(rvsd est)</t>
  </si>
  <si>
    <t>Note:   1_/:   Positive sign indicates net landing  and negative sign indicates net borrowing.</t>
  </si>
  <si>
    <t xml:space="preserve">             BOP Series has been compiled in accordance with BPM6 methodologies from 2011 onwards based on information available as of 16 April 2017</t>
  </si>
  <si>
    <t>(rvsd)</t>
  </si>
  <si>
    <r>
      <t xml:space="preserve">GDP (  in millions of USD at  2014 current prices) </t>
    </r>
    <r>
      <rPr>
        <i/>
        <vertAlign val="superscript"/>
        <sz val="11"/>
        <rFont val="Calibri"/>
        <family val="2"/>
        <scheme val="minor"/>
      </rPr>
      <t>2_/</t>
    </r>
  </si>
  <si>
    <t xml:space="preserve">            2_/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</si>
</sst>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_-* #,##0.00\ _ރ_._-;_-* #,##0.00\ _ރ_.\-;_-* &quot;-&quot;??\ _ރ_._-;_-@_-"/>
    <numFmt numFmtId="170" formatCode="0.00_)"/>
    <numFmt numFmtId="171" formatCode="_-* #,##0_-;\-* #,##0_-;_-* &quot;-&quot;??_-;_-@_-"/>
    <numFmt numFmtId="172" formatCode="[$-409]mmm\-yy;@"/>
    <numFmt numFmtId="173" formatCode="_-* #,##0.00_-;\-* #,##0.00_-;_-* &quot;-&quot;??_-;_-@_-"/>
    <numFmt numFmtId="174" formatCode="[$-409]mmmm\ d\,\ yyyy;@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4"/>
      <name val="Candara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vertAlign val="superscript"/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879">
    <xf numFmtId="0" fontId="0" fillId="0" borderId="0"/>
    <xf numFmtId="0" fontId="18" fillId="0" borderId="0"/>
    <xf numFmtId="0" fontId="17" fillId="0" borderId="0"/>
    <xf numFmtId="0" fontId="17" fillId="0" borderId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9" fillId="0" borderId="0"/>
    <xf numFmtId="164" fontId="19" fillId="0" borderId="0"/>
    <xf numFmtId="164" fontId="19" fillId="0" borderId="0"/>
    <xf numFmtId="0" fontId="26" fillId="0" borderId="0"/>
    <xf numFmtId="0" fontId="15" fillId="0" borderId="0"/>
    <xf numFmtId="165" fontId="19" fillId="0" borderId="0"/>
    <xf numFmtId="165" fontId="19" fillId="0" borderId="0"/>
    <xf numFmtId="166" fontId="19" fillId="0" borderId="0" applyFont="0" applyFill="0" applyBorder="0" applyAlignment="0" applyProtection="0"/>
    <xf numFmtId="0" fontId="14" fillId="0" borderId="0"/>
    <xf numFmtId="0" fontId="17" fillId="0" borderId="0"/>
    <xf numFmtId="0" fontId="37" fillId="0" borderId="0"/>
    <xf numFmtId="43" fontId="37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5" fillId="0" borderId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2" fillId="0" borderId="0"/>
    <xf numFmtId="0" fontId="12" fillId="0" borderId="0"/>
    <xf numFmtId="165" fontId="19" fillId="0" borderId="0"/>
    <xf numFmtId="169" fontId="37" fillId="0" borderId="0" applyFont="0" applyFill="0" applyBorder="0" applyAlignment="0" applyProtection="0"/>
    <xf numFmtId="0" fontId="37" fillId="0" borderId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6" borderId="0" applyNumberFormat="0" applyBorder="0" applyAlignment="0" applyProtection="0"/>
    <xf numFmtId="0" fontId="47" fillId="9" borderId="0" applyNumberFormat="0" applyBorder="0" applyAlignment="0" applyProtection="0"/>
    <xf numFmtId="0" fontId="47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0" borderId="0" applyNumberFormat="0" applyBorder="0" applyAlignment="0" applyProtection="0"/>
    <xf numFmtId="0" fontId="48" fillId="11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20" borderId="0" applyNumberFormat="0" applyBorder="0" applyAlignment="0" applyProtection="0"/>
    <xf numFmtId="0" fontId="49" fillId="4" borderId="0" applyNumberFormat="0" applyBorder="0" applyAlignment="0" applyProtection="0"/>
    <xf numFmtId="0" fontId="50" fillId="21" borderId="1" applyNumberFormat="0" applyAlignment="0" applyProtection="0"/>
    <xf numFmtId="0" fontId="51" fillId="22" borderId="2" applyNumberFormat="0" applyAlignment="0" applyProtection="0"/>
    <xf numFmtId="40" fontId="4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5" borderId="0" applyNumberFormat="0" applyBorder="0" applyAlignment="0" applyProtection="0"/>
    <xf numFmtId="0" fontId="54" fillId="0" borderId="3" applyNumberFormat="0" applyFill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6" fillId="0" borderId="0" applyNumberFormat="0" applyFill="0" applyBorder="0" applyAlignment="0" applyProtection="0"/>
    <xf numFmtId="0" fontId="57" fillId="8" borderId="1" applyNumberFormat="0" applyAlignment="0" applyProtection="0"/>
    <xf numFmtId="0" fontId="58" fillId="0" borderId="6" applyNumberFormat="0" applyFill="0" applyAlignment="0" applyProtection="0"/>
    <xf numFmtId="0" fontId="59" fillId="23" borderId="0" applyNumberFormat="0" applyBorder="0" applyAlignment="0" applyProtection="0"/>
    <xf numFmtId="170" fontId="46" fillId="0" borderId="0"/>
    <xf numFmtId="0" fontId="37" fillId="0" borderId="0"/>
    <xf numFmtId="0" fontId="37" fillId="0" borderId="0"/>
    <xf numFmtId="0" fontId="37" fillId="0" borderId="0"/>
    <xf numFmtId="0" fontId="15" fillId="0" borderId="0"/>
    <xf numFmtId="165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7" fillId="24" borderId="7" applyNumberFormat="0" applyFont="0" applyAlignment="0" applyProtection="0"/>
    <xf numFmtId="0" fontId="60" fillId="21" borderId="8" applyNumberFormat="0" applyAlignment="0" applyProtection="0"/>
    <xf numFmtId="9" fontId="45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62" fillId="0" borderId="0" applyNumberFormat="0" applyFill="0" applyBorder="0" applyAlignment="0" applyProtection="0"/>
    <xf numFmtId="165" fontId="19" fillId="0" borderId="0"/>
    <xf numFmtId="165" fontId="19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63" fillId="0" borderId="0" applyNumberFormat="0" applyFill="0" applyBorder="0" applyAlignment="0" applyProtection="0"/>
    <xf numFmtId="0" fontId="64" fillId="0" borderId="10" applyNumberFormat="0" applyFill="0" applyAlignment="0" applyProtection="0"/>
    <xf numFmtId="0" fontId="65" fillId="0" borderId="11" applyNumberFormat="0" applyFill="0" applyAlignment="0" applyProtection="0"/>
    <xf numFmtId="0" fontId="66" fillId="0" borderId="12" applyNumberFormat="0" applyFill="0" applyAlignment="0" applyProtection="0"/>
    <xf numFmtId="0" fontId="66" fillId="0" borderId="0" applyNumberFormat="0" applyFill="0" applyBorder="0" applyAlignment="0" applyProtection="0"/>
    <xf numFmtId="0" fontId="67" fillId="25" borderId="0" applyNumberFormat="0" applyBorder="0" applyAlignment="0" applyProtection="0"/>
    <xf numFmtId="0" fontId="68" fillId="26" borderId="0" applyNumberFormat="0" applyBorder="0" applyAlignment="0" applyProtection="0"/>
    <xf numFmtId="0" fontId="69" fillId="27" borderId="0" applyNumberFormat="0" applyBorder="0" applyAlignment="0" applyProtection="0"/>
    <xf numFmtId="0" fontId="70" fillId="28" borderId="13" applyNumberFormat="0" applyAlignment="0" applyProtection="0"/>
    <xf numFmtId="0" fontId="71" fillId="29" borderId="14" applyNumberFormat="0" applyAlignment="0" applyProtection="0"/>
    <xf numFmtId="0" fontId="72" fillId="29" borderId="13" applyNumberFormat="0" applyAlignment="0" applyProtection="0"/>
    <xf numFmtId="0" fontId="73" fillId="0" borderId="15" applyNumberFormat="0" applyFill="0" applyAlignment="0" applyProtection="0"/>
    <xf numFmtId="0" fontId="74" fillId="30" borderId="16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77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77" fillId="43" borderId="0" applyNumberFormat="0" applyBorder="0" applyAlignment="0" applyProtection="0"/>
    <xf numFmtId="0" fontId="77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77" fillId="47" borderId="0" applyNumberFormat="0" applyBorder="0" applyAlignment="0" applyProtection="0"/>
    <xf numFmtId="0" fontId="77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77" fillId="51" borderId="0" applyNumberFormat="0" applyBorder="0" applyAlignment="0" applyProtection="0"/>
    <xf numFmtId="0" fontId="77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77" fillId="55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78" fillId="0" borderId="10" applyNumberFormat="0" applyFill="0" applyAlignment="0" applyProtection="0"/>
    <xf numFmtId="171" fontId="4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0" fillId="31" borderId="17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172" fontId="8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9" fillId="0" borderId="0"/>
    <xf numFmtId="0" fontId="6" fillId="0" borderId="0"/>
    <xf numFmtId="165" fontId="19" fillId="0" borderId="0"/>
    <xf numFmtId="0" fontId="81" fillId="0" borderId="0"/>
    <xf numFmtId="43" fontId="81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67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3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" fillId="0" borderId="0"/>
    <xf numFmtId="40" fontId="45" fillId="0" borderId="0" applyFont="0" applyFill="0" applyBorder="0" applyAlignment="0" applyProtection="0"/>
    <xf numFmtId="174" fontId="19" fillId="0" borderId="0"/>
    <xf numFmtId="174" fontId="19" fillId="0" borderId="0"/>
    <xf numFmtId="0" fontId="2" fillId="0" borderId="0"/>
    <xf numFmtId="0" fontId="84" fillId="0" borderId="0" applyNumberFormat="0" applyFill="0" applyBorder="0" applyAlignment="0" applyProtection="0"/>
    <xf numFmtId="0" fontId="85" fillId="27" borderId="0" applyNumberFormat="0" applyBorder="0" applyAlignment="0" applyProtection="0"/>
    <xf numFmtId="0" fontId="2" fillId="31" borderId="17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</cellStyleXfs>
  <cellXfs count="87">
    <xf numFmtId="0" fontId="0" fillId="0" borderId="0" xfId="0"/>
    <xf numFmtId="0" fontId="23" fillId="2" borderId="0" xfId="12" applyFont="1" applyFill="1"/>
    <xf numFmtId="0" fontId="23" fillId="2" borderId="0" xfId="12" applyFont="1" applyFill="1" applyAlignment="1"/>
    <xf numFmtId="0" fontId="24" fillId="2" borderId="0" xfId="12" applyFont="1" applyFill="1"/>
    <xf numFmtId="0" fontId="22" fillId="2" borderId="0" xfId="12" applyFont="1" applyFill="1" applyAlignment="1"/>
    <xf numFmtId="0" fontId="32" fillId="2" borderId="0" xfId="12" applyFont="1" applyFill="1"/>
    <xf numFmtId="0" fontId="23" fillId="2" borderId="0" xfId="12" applyFont="1" applyFill="1" applyAlignment="1">
      <alignment vertical="center"/>
    </xf>
    <xf numFmtId="165" fontId="16" fillId="2" borderId="0" xfId="14" applyFont="1" applyFill="1" applyBorder="1" applyAlignment="1">
      <alignment vertical="center"/>
    </xf>
    <xf numFmtId="164" fontId="23" fillId="2" borderId="0" xfId="4" applyNumberFormat="1" applyFont="1" applyFill="1"/>
    <xf numFmtId="164" fontId="23" fillId="2" borderId="0" xfId="4" applyNumberFormat="1" applyFont="1" applyFill="1" applyAlignment="1"/>
    <xf numFmtId="164" fontId="34" fillId="2" borderId="0" xfId="4" applyNumberFormat="1" applyFont="1" applyFill="1"/>
    <xf numFmtId="164" fontId="23" fillId="2" borderId="0" xfId="4" applyNumberFormat="1" applyFont="1" applyFill="1" applyAlignment="1" applyProtection="1"/>
    <xf numFmtId="3" fontId="23" fillId="2" borderId="0" xfId="4" applyNumberFormat="1" applyFont="1" applyFill="1" applyAlignment="1">
      <alignment vertical="center"/>
    </xf>
    <xf numFmtId="3" fontId="23" fillId="2" borderId="0" xfId="12" applyNumberFormat="1" applyFont="1" applyFill="1" applyAlignment="1">
      <alignment vertical="center"/>
    </xf>
    <xf numFmtId="4" fontId="23" fillId="2" borderId="0" xfId="12" applyNumberFormat="1" applyFont="1" applyFill="1" applyAlignment="1">
      <alignment vertical="center"/>
    </xf>
    <xf numFmtId="0" fontId="29" fillId="2" borderId="0" xfId="12" applyFont="1" applyFill="1"/>
    <xf numFmtId="0" fontId="16" fillId="2" borderId="0" xfId="12" applyFont="1" applyFill="1"/>
    <xf numFmtId="167" fontId="28" fillId="2" borderId="0" xfId="4" applyNumberFormat="1" applyFont="1" applyFill="1"/>
    <xf numFmtId="167" fontId="28" fillId="2" borderId="0" xfId="4" applyNumberFormat="1" applyFont="1" applyFill="1" applyAlignment="1">
      <alignment horizontal="left" indent="2"/>
    </xf>
    <xf numFmtId="0" fontId="29" fillId="2" borderId="0" xfId="12" applyFont="1" applyFill="1" applyAlignment="1">
      <alignment vertical="center"/>
    </xf>
    <xf numFmtId="3" fontId="27" fillId="2" borderId="0" xfId="13" applyNumberFormat="1" applyFont="1" applyFill="1" applyBorder="1" applyAlignment="1">
      <alignment horizontal="right"/>
    </xf>
    <xf numFmtId="3" fontId="23" fillId="57" borderId="0" xfId="4" applyNumberFormat="1" applyFont="1" applyFill="1" applyAlignment="1">
      <alignment horizontal="right" vertical="center"/>
    </xf>
    <xf numFmtId="167" fontId="28" fillId="57" borderId="0" xfId="4" applyNumberFormat="1" applyFont="1" applyFill="1"/>
    <xf numFmtId="0" fontId="25" fillId="57" borderId="0" xfId="12" applyFont="1" applyFill="1" applyAlignment="1">
      <alignment vertical="center"/>
    </xf>
    <xf numFmtId="3" fontId="23" fillId="57" borderId="0" xfId="4" applyNumberFormat="1" applyFont="1" applyFill="1" applyAlignment="1">
      <alignment vertical="center"/>
    </xf>
    <xf numFmtId="167" fontId="28" fillId="57" borderId="0" xfId="4" applyNumberFormat="1" applyFont="1" applyFill="1" applyAlignment="1">
      <alignment horizontal="left" indent="2"/>
    </xf>
    <xf numFmtId="3" fontId="23" fillId="57" borderId="0" xfId="12" applyNumberFormat="1" applyFont="1" applyFill="1" applyAlignment="1">
      <alignment vertical="center"/>
    </xf>
    <xf numFmtId="0" fontId="28" fillId="57" borderId="0" xfId="12" applyFont="1" applyFill="1"/>
    <xf numFmtId="0" fontId="23" fillId="57" borderId="0" xfId="12" applyFont="1" applyFill="1" applyAlignment="1">
      <alignment vertical="center"/>
    </xf>
    <xf numFmtId="0" fontId="25" fillId="57" borderId="0" xfId="12" applyFont="1" applyFill="1" applyAlignment="1">
      <alignment horizontal="right" vertical="center"/>
    </xf>
    <xf numFmtId="164" fontId="23" fillId="57" borderId="0" xfId="4" applyNumberFormat="1" applyFont="1" applyFill="1"/>
    <xf numFmtId="164" fontId="23" fillId="57" borderId="0" xfId="4" applyNumberFormat="1" applyFont="1" applyFill="1" applyAlignment="1"/>
    <xf numFmtId="164" fontId="34" fillId="57" borderId="0" xfId="4" applyNumberFormat="1" applyFont="1" applyFill="1"/>
    <xf numFmtId="164" fontId="27" fillId="57" borderId="0" xfId="13" applyNumberFormat="1" applyFont="1" applyFill="1" applyBorder="1" applyAlignment="1">
      <alignment horizontal="right"/>
    </xf>
    <xf numFmtId="164" fontId="35" fillId="57" borderId="0" xfId="4" applyNumberFormat="1" applyFont="1" applyFill="1" applyBorder="1" applyAlignment="1">
      <alignment vertical="center"/>
    </xf>
    <xf numFmtId="164" fontId="23" fillId="57" borderId="0" xfId="4" applyNumberFormat="1" applyFont="1" applyFill="1" applyAlignment="1" applyProtection="1"/>
    <xf numFmtId="3" fontId="27" fillId="57" borderId="0" xfId="13" applyNumberFormat="1" applyFont="1" applyFill="1" applyBorder="1" applyAlignment="1">
      <alignment horizontal="right"/>
    </xf>
    <xf numFmtId="3" fontId="38" fillId="2" borderId="19" xfId="4" applyNumberFormat="1" applyFont="1" applyFill="1" applyBorder="1" applyAlignment="1">
      <alignment vertical="center"/>
    </xf>
    <xf numFmtId="164" fontId="38" fillId="2" borderId="19" xfId="4" applyNumberFormat="1" applyFont="1" applyFill="1" applyBorder="1" applyAlignment="1">
      <alignment vertical="center"/>
    </xf>
    <xf numFmtId="3" fontId="35" fillId="57" borderId="0" xfId="13" applyNumberFormat="1" applyFont="1" applyFill="1" applyBorder="1" applyAlignment="1">
      <alignment horizontal="right" vertical="center"/>
    </xf>
    <xf numFmtId="164" fontId="34" fillId="57" borderId="0" xfId="4" applyNumberFormat="1" applyFont="1" applyFill="1" applyAlignment="1">
      <alignment vertical="center"/>
    </xf>
    <xf numFmtId="164" fontId="34" fillId="2" borderId="0" xfId="4" applyNumberFormat="1" applyFont="1" applyFill="1" applyAlignment="1">
      <alignment vertical="center"/>
    </xf>
    <xf numFmtId="164" fontId="23" fillId="2" borderId="0" xfId="4" applyNumberFormat="1" applyFont="1" applyFill="1" applyAlignment="1" applyProtection="1">
      <alignment vertical="center"/>
    </xf>
    <xf numFmtId="3" fontId="23" fillId="2" borderId="0" xfId="4" applyNumberFormat="1" applyFont="1" applyFill="1" applyAlignment="1">
      <alignment horizontal="right" vertical="center"/>
    </xf>
    <xf numFmtId="0" fontId="39" fillId="56" borderId="0" xfId="783" applyFont="1" applyFill="1" applyAlignment="1">
      <alignment horizontal="left" vertical="center"/>
    </xf>
    <xf numFmtId="0" fontId="15" fillId="2" borderId="0" xfId="12" applyFont="1" applyFill="1"/>
    <xf numFmtId="0" fontId="33" fillId="2" borderId="0" xfId="783" applyFont="1" applyFill="1"/>
    <xf numFmtId="0" fontId="28" fillId="57" borderId="0" xfId="783" applyFont="1" applyFill="1"/>
    <xf numFmtId="0" fontId="31" fillId="2" borderId="0" xfId="783" applyFont="1" applyFill="1"/>
    <xf numFmtId="167" fontId="15" fillId="2" borderId="0" xfId="4" applyNumberFormat="1" applyFont="1" applyFill="1"/>
    <xf numFmtId="0" fontId="28" fillId="2" borderId="0" xfId="783" applyFont="1" applyFill="1" applyAlignment="1">
      <alignment horizontal="left" indent="2"/>
    </xf>
    <xf numFmtId="2" fontId="15" fillId="2" borderId="0" xfId="12" applyNumberFormat="1" applyFont="1" applyFill="1"/>
    <xf numFmtId="0" fontId="28" fillId="57" borderId="0" xfId="783" applyFont="1" applyFill="1" applyAlignment="1">
      <alignment horizontal="left" indent="2"/>
    </xf>
    <xf numFmtId="3" fontId="15" fillId="2" borderId="0" xfId="12" applyNumberFormat="1" applyFont="1" applyFill="1"/>
    <xf numFmtId="0" fontId="28" fillId="2" borderId="0" xfId="783" applyFont="1" applyFill="1"/>
    <xf numFmtId="0" fontId="31" fillId="57" borderId="0" xfId="783" applyFont="1" applyFill="1"/>
    <xf numFmtId="0" fontId="15" fillId="57" borderId="0" xfId="12" applyFont="1" applyFill="1" applyAlignment="1"/>
    <xf numFmtId="0" fontId="15" fillId="57" borderId="0" xfId="12" applyFont="1" applyFill="1"/>
    <xf numFmtId="0" fontId="28" fillId="2" borderId="0" xfId="783" applyFont="1" applyFill="1" applyBorder="1"/>
    <xf numFmtId="0" fontId="31" fillId="57" borderId="0" xfId="783" applyFont="1" applyFill="1" applyBorder="1"/>
    <xf numFmtId="0" fontId="1" fillId="2" borderId="0" xfId="783" applyFont="1" applyFill="1"/>
    <xf numFmtId="0" fontId="23" fillId="2" borderId="0" xfId="783" applyFont="1" applyFill="1" applyAlignment="1"/>
    <xf numFmtId="0" fontId="30" fillId="2" borderId="0" xfId="783" applyFont="1" applyFill="1"/>
    <xf numFmtId="0" fontId="31" fillId="57" borderId="0" xfId="783" applyFont="1" applyFill="1" applyAlignment="1">
      <alignment horizontal="left" vertical="center"/>
    </xf>
    <xf numFmtId="0" fontId="25" fillId="57" borderId="0" xfId="783" applyFont="1" applyFill="1" applyAlignment="1">
      <alignment horizontal="right" vertical="center"/>
    </xf>
    <xf numFmtId="0" fontId="36" fillId="57" borderId="0" xfId="783" applyFont="1" applyFill="1" applyAlignment="1">
      <alignment horizontal="right" vertical="center" wrapText="1"/>
    </xf>
    <xf numFmtId="0" fontId="1" fillId="2" borderId="0" xfId="783" applyFont="1" applyFill="1" applyAlignment="1">
      <alignment vertical="center"/>
    </xf>
    <xf numFmtId="0" fontId="36" fillId="57" borderId="0" xfId="783" applyFont="1" applyFill="1" applyAlignment="1">
      <alignment horizontal="right" vertical="center"/>
    </xf>
    <xf numFmtId="0" fontId="35" fillId="2" borderId="0" xfId="783" applyFont="1" applyFill="1"/>
    <xf numFmtId="17" fontId="35" fillId="2" borderId="0" xfId="783" applyNumberFormat="1" applyFont="1" applyFill="1" applyAlignment="1">
      <alignment vertical="center"/>
    </xf>
    <xf numFmtId="165" fontId="41" fillId="57" borderId="0" xfId="783" applyNumberFormat="1" applyFont="1" applyFill="1" applyAlignment="1" applyProtection="1">
      <alignment horizontal="left"/>
    </xf>
    <xf numFmtId="165" fontId="41" fillId="2" borderId="0" xfId="783" applyNumberFormat="1" applyFont="1" applyFill="1" applyAlignment="1" applyProtection="1">
      <alignment horizontal="left"/>
    </xf>
    <xf numFmtId="166" fontId="1" fillId="2" borderId="0" xfId="783" applyNumberFormat="1" applyFont="1" applyFill="1"/>
    <xf numFmtId="0" fontId="41" fillId="57" borderId="0" xfId="783" applyFont="1" applyFill="1" applyBorder="1" applyAlignment="1" applyProtection="1">
      <alignment horizontal="left"/>
    </xf>
    <xf numFmtId="164" fontId="34" fillId="57" borderId="0" xfId="4" applyNumberFormat="1" applyFont="1" applyFill="1" applyAlignment="1">
      <alignment horizontal="right" vertical="center"/>
    </xf>
    <xf numFmtId="0" fontId="41" fillId="2" borderId="0" xfId="783" applyFont="1" applyFill="1" applyBorder="1" applyAlignment="1" applyProtection="1">
      <alignment horizontal="left"/>
    </xf>
    <xf numFmtId="166" fontId="16" fillId="2" borderId="0" xfId="783" applyNumberFormat="1" applyFont="1" applyFill="1"/>
    <xf numFmtId="0" fontId="16" fillId="2" borderId="0" xfId="783" applyFont="1" applyFill="1"/>
    <xf numFmtId="164" fontId="21" fillId="2" borderId="0" xfId="783" applyNumberFormat="1" applyFont="1" applyFill="1" applyBorder="1" applyAlignment="1" applyProtection="1">
      <alignment horizontal="right"/>
      <protection locked="0"/>
    </xf>
    <xf numFmtId="164" fontId="20" fillId="2" borderId="0" xfId="783" applyNumberFormat="1" applyFont="1" applyFill="1" applyBorder="1" applyAlignment="1" applyProtection="1">
      <alignment horizontal="right"/>
      <protection locked="0"/>
    </xf>
    <xf numFmtId="0" fontId="15" fillId="2" borderId="0" xfId="12" applyFont="1" applyFill="1" applyAlignment="1"/>
    <xf numFmtId="0" fontId="32" fillId="2" borderId="0" xfId="783" applyFont="1" applyFill="1"/>
    <xf numFmtId="1" fontId="15" fillId="2" borderId="0" xfId="12" applyNumberFormat="1" applyFont="1" applyFill="1"/>
    <xf numFmtId="168" fontId="15" fillId="2" borderId="0" xfId="784" applyNumberFormat="1" applyFill="1"/>
    <xf numFmtId="168" fontId="15" fillId="2" borderId="0" xfId="784" applyNumberFormat="1" applyFill="1" applyAlignment="1"/>
    <xf numFmtId="167" fontId="16" fillId="2" borderId="0" xfId="784" applyNumberFormat="1" applyFont="1" applyFill="1" applyAlignment="1"/>
    <xf numFmtId="167" fontId="15" fillId="2" borderId="0" xfId="784" applyNumberFormat="1" applyFill="1"/>
  </cellXfs>
  <cellStyles count="879">
    <cellStyle name="1" xfId="1"/>
    <cellStyle name="1 2" xfId="17"/>
    <cellStyle name="1 3" xfId="783"/>
    <cellStyle name="1 4" xfId="798"/>
    <cellStyle name="1 5" xfId="801"/>
    <cellStyle name="1_Indicators 2007" xfId="2"/>
    <cellStyle name="1_Indicators2007" xfId="3"/>
    <cellStyle name="1_Indicators2007 2" xfId="792"/>
    <cellStyle name="20% - Accent1" xfId="748" builtinId="30" customBuiltin="1"/>
    <cellStyle name="20% - Accent1 2" xfId="669"/>
    <cellStyle name="20% - Accent1 3" xfId="861"/>
    <cellStyle name="20% - Accent2" xfId="752" builtinId="34" customBuiltin="1"/>
    <cellStyle name="20% - Accent2 2" xfId="670"/>
    <cellStyle name="20% - Accent2 3" xfId="864"/>
    <cellStyle name="20% - Accent3" xfId="756" builtinId="38" customBuiltin="1"/>
    <cellStyle name="20% - Accent3 2" xfId="671"/>
    <cellStyle name="20% - Accent3 3" xfId="867"/>
    <cellStyle name="20% - Accent4" xfId="760" builtinId="42" customBuiltin="1"/>
    <cellStyle name="20% - Accent4 2" xfId="672"/>
    <cellStyle name="20% - Accent4 3" xfId="870"/>
    <cellStyle name="20% - Accent5" xfId="764" builtinId="46" customBuiltin="1"/>
    <cellStyle name="20% - Accent5 2" xfId="673"/>
    <cellStyle name="20% - Accent5 3" xfId="873"/>
    <cellStyle name="20% - Accent6" xfId="768" builtinId="50" customBuiltin="1"/>
    <cellStyle name="20% - Accent6 2" xfId="674"/>
    <cellStyle name="20% - Accent6 3" xfId="876"/>
    <cellStyle name="40% - Accent1" xfId="749" builtinId="31" customBuiltin="1"/>
    <cellStyle name="40% - Accent1 2" xfId="675"/>
    <cellStyle name="40% - Accent1 3" xfId="862"/>
    <cellStyle name="40% - Accent2" xfId="753" builtinId="35" customBuiltin="1"/>
    <cellStyle name="40% - Accent2 2" xfId="676"/>
    <cellStyle name="40% - Accent2 3" xfId="865"/>
    <cellStyle name="40% - Accent3" xfId="757" builtinId="39" customBuiltin="1"/>
    <cellStyle name="40% - Accent3 2" xfId="677"/>
    <cellStyle name="40% - Accent3 3" xfId="868"/>
    <cellStyle name="40% - Accent4" xfId="761" builtinId="43" customBuiltin="1"/>
    <cellStyle name="40% - Accent4 2" xfId="678"/>
    <cellStyle name="40% - Accent4 3" xfId="871"/>
    <cellStyle name="40% - Accent5" xfId="765" builtinId="47" customBuiltin="1"/>
    <cellStyle name="40% - Accent5 2" xfId="679"/>
    <cellStyle name="40% - Accent5 3" xfId="874"/>
    <cellStyle name="40% - Accent6" xfId="769" builtinId="51" customBuiltin="1"/>
    <cellStyle name="40% - Accent6 2" xfId="680"/>
    <cellStyle name="40% - Accent6 3" xfId="877"/>
    <cellStyle name="60% - Accent1" xfId="750" builtinId="32" customBuiltin="1"/>
    <cellStyle name="60% - Accent1 2" xfId="681"/>
    <cellStyle name="60% - Accent1 3" xfId="863"/>
    <cellStyle name="60% - Accent2" xfId="754" builtinId="36" customBuiltin="1"/>
    <cellStyle name="60% - Accent2 2" xfId="682"/>
    <cellStyle name="60% - Accent2 3" xfId="866"/>
    <cellStyle name="60% - Accent3" xfId="758" builtinId="40" customBuiltin="1"/>
    <cellStyle name="60% - Accent3 2" xfId="683"/>
    <cellStyle name="60% - Accent3 3" xfId="869"/>
    <cellStyle name="60% - Accent4" xfId="762" builtinId="44" customBuiltin="1"/>
    <cellStyle name="60% - Accent4 2" xfId="684"/>
    <cellStyle name="60% - Accent4 3" xfId="872"/>
    <cellStyle name="60% - Accent5" xfId="766" builtinId="48" customBuiltin="1"/>
    <cellStyle name="60% - Accent5 2" xfId="685"/>
    <cellStyle name="60% - Accent5 3" xfId="875"/>
    <cellStyle name="60% - Accent6" xfId="770" builtinId="52" customBuiltin="1"/>
    <cellStyle name="60% - Accent6 2" xfId="686"/>
    <cellStyle name="60% - Accent6 3" xfId="878"/>
    <cellStyle name="Accent1" xfId="747" builtinId="29" customBuiltin="1"/>
    <cellStyle name="Accent1 2" xfId="687"/>
    <cellStyle name="Accent2" xfId="751" builtinId="33" customBuiltin="1"/>
    <cellStyle name="Accent2 2" xfId="688"/>
    <cellStyle name="Accent3" xfId="755" builtinId="37" customBuiltin="1"/>
    <cellStyle name="Accent3 2" xfId="689"/>
    <cellStyle name="Accent4" xfId="759" builtinId="41" customBuiltin="1"/>
    <cellStyle name="Accent4 2" xfId="690"/>
    <cellStyle name="Accent5" xfId="763" builtinId="45" customBuiltin="1"/>
    <cellStyle name="Accent5 2" xfId="691"/>
    <cellStyle name="Accent6" xfId="767" builtinId="49" customBuiltin="1"/>
    <cellStyle name="Accent6 2" xfId="692"/>
    <cellStyle name="Bad" xfId="737" builtinId="27" customBuiltin="1"/>
    <cellStyle name="Bad 2" xfId="693"/>
    <cellStyle name="Calculation" xfId="741" builtinId="22" customBuiltin="1"/>
    <cellStyle name="Calculation 2" xfId="694"/>
    <cellStyle name="Check Cell" xfId="743" builtinId="23" customBuiltin="1"/>
    <cellStyle name="Check Cell 2" xfId="695"/>
    <cellStyle name="Comma" xfId="4" builtinId="3"/>
    <cellStyle name="Comma 10" xfId="794"/>
    <cellStyle name="Comma 11" xfId="802"/>
    <cellStyle name="Comma 2" xfId="5"/>
    <cellStyle name="Comma 2 2" xfId="667"/>
    <cellStyle name="Comma 2 2 2" xfId="804"/>
    <cellStyle name="Comma 2 3" xfId="777"/>
    <cellStyle name="Comma 2 4" xfId="784"/>
    <cellStyle name="Comma 2 5" xfId="803"/>
    <cellStyle name="Comma 2 6" xfId="854"/>
    <cellStyle name="Comma 3" xfId="6"/>
    <cellStyle name="Comma 3 2" xfId="696"/>
    <cellStyle name="Comma 3 3" xfId="805"/>
    <cellStyle name="Comma 4" xfId="15"/>
    <cellStyle name="Comma 4 2" xfId="806"/>
    <cellStyle name="Comma 5" xfId="19"/>
    <cellStyle name="Comma 5 2" xfId="807"/>
    <cellStyle name="Comma 6" xfId="22"/>
    <cellStyle name="Comma 6 2" xfId="808"/>
    <cellStyle name="Comma 7" xfId="727"/>
    <cellStyle name="Comma 8" xfId="772"/>
    <cellStyle name="Comma 9" xfId="791"/>
    <cellStyle name="Explanatory Text" xfId="745" builtinId="53" customBuiltin="1"/>
    <cellStyle name="Explanatory Text 2" xfId="697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Good" xfId="736" builtinId="26" customBuiltin="1"/>
    <cellStyle name="Good 2" xfId="698"/>
    <cellStyle name="Heading 1" xfId="732" builtinId="16" customBuiltin="1"/>
    <cellStyle name="Heading 1 2" xfId="699"/>
    <cellStyle name="Heading 1 2 2" xfId="776"/>
    <cellStyle name="Heading 2" xfId="733" builtinId="17" customBuiltin="1"/>
    <cellStyle name="Heading 2 2" xfId="700"/>
    <cellStyle name="Heading 3" xfId="734" builtinId="18" customBuiltin="1"/>
    <cellStyle name="Heading 3 2" xfId="701"/>
    <cellStyle name="Heading 4" xfId="735" builtinId="19" customBuiltin="1"/>
    <cellStyle name="Heading 4 2" xfId="702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Input" xfId="739" builtinId="20" customBuiltin="1"/>
    <cellStyle name="Input 2" xfId="703"/>
    <cellStyle name="Linked Cell" xfId="742" builtinId="24" customBuiltin="1"/>
    <cellStyle name="Linked Cell 2" xfId="704"/>
    <cellStyle name="Neutral" xfId="738" builtinId="28" customBuiltin="1"/>
    <cellStyle name="Neutral 2" xfId="705"/>
    <cellStyle name="Neutral 3" xfId="859"/>
    <cellStyle name="Normal" xfId="0" builtinId="0"/>
    <cellStyle name="Normal - Style1" xfId="706"/>
    <cellStyle name="Normal 10" xfId="707"/>
    <cellStyle name="Normal 10 2" xfId="809"/>
    <cellStyle name="Normal 11" xfId="708"/>
    <cellStyle name="Normal 12" xfId="709"/>
    <cellStyle name="Normal 12 2" xfId="810"/>
    <cellStyle name="Normal 13" xfId="668"/>
    <cellStyle name="Normal 13 2" xfId="811"/>
    <cellStyle name="Normal 14" xfId="724"/>
    <cellStyle name="Normal 14 2" xfId="812"/>
    <cellStyle name="Normal 15" xfId="725"/>
    <cellStyle name="Normal 15 2" xfId="813"/>
    <cellStyle name="Normal 16" xfId="664"/>
    <cellStyle name="Normal 16 2" xfId="814"/>
    <cellStyle name="Normal 17" xfId="726"/>
    <cellStyle name="Normal 17 2" xfId="815"/>
    <cellStyle name="Normal 18" xfId="728"/>
    <cellStyle name="Normal 18 2" xfId="816"/>
    <cellStyle name="Normal 19" xfId="729"/>
    <cellStyle name="Normal 19 2" xfId="817"/>
    <cellStyle name="Normal 2" xfId="7"/>
    <cellStyle name="Normal 2 2" xfId="20"/>
    <cellStyle name="Normal 2 2 2" xfId="8"/>
    <cellStyle name="Normal 2 2 3" xfId="710"/>
    <cellStyle name="Normal 2 2 4" xfId="780"/>
    <cellStyle name="Normal 2 2 5" xfId="818"/>
    <cellStyle name="Normal 2 3" xfId="23"/>
    <cellStyle name="Normal 2 3 2" xfId="819"/>
    <cellStyle name="Normal 2 4" xfId="665"/>
    <cellStyle name="Normal 2 5" xfId="796"/>
    <cellStyle name="Normal 20" xfId="730"/>
    <cellStyle name="Normal 20 2" xfId="820"/>
    <cellStyle name="Normal 21" xfId="771"/>
    <cellStyle name="Normal 21 2" xfId="821"/>
    <cellStyle name="Normal 22" xfId="773"/>
    <cellStyle name="Normal 22 2" xfId="822"/>
    <cellStyle name="Normal 23" xfId="774"/>
    <cellStyle name="Normal 23 2" xfId="823"/>
    <cellStyle name="Normal 24" xfId="775"/>
    <cellStyle name="Normal 24 2" xfId="824"/>
    <cellStyle name="Normal 25" xfId="781"/>
    <cellStyle name="Normal 25 2" xfId="825"/>
    <cellStyle name="Normal 26" xfId="782"/>
    <cellStyle name="Normal 26 2" xfId="826"/>
    <cellStyle name="Normal 27" xfId="785"/>
    <cellStyle name="Normal 27 2" xfId="827"/>
    <cellStyle name="Normal 28" xfId="786"/>
    <cellStyle name="Normal 28 2" xfId="828"/>
    <cellStyle name="Normal 29" xfId="787"/>
    <cellStyle name="Normal 29 2" xfId="829"/>
    <cellStyle name="Normal 3" xfId="9"/>
    <cellStyle name="Normal 3 2" xfId="711"/>
    <cellStyle name="Normal 3 2 2" xfId="831"/>
    <cellStyle name="Normal 3 3" xfId="799"/>
    <cellStyle name="Normal 3 3 2" xfId="832"/>
    <cellStyle name="Normal 3 4" xfId="830"/>
    <cellStyle name="Normal 3_agri planning 2009 year book(final)" xfId="856"/>
    <cellStyle name="Normal 30" xfId="788"/>
    <cellStyle name="Normal 30 2" xfId="833"/>
    <cellStyle name="Normal 31" xfId="790"/>
    <cellStyle name="Normal 31 2" xfId="834"/>
    <cellStyle name="Normal 32" xfId="793"/>
    <cellStyle name="Normal 32 2" xfId="835"/>
    <cellStyle name="Normal 33" xfId="797"/>
    <cellStyle name="Normal 33 2" xfId="836"/>
    <cellStyle name="Normal 34" xfId="837"/>
    <cellStyle name="Normal 35" xfId="838"/>
    <cellStyle name="Normal 36" xfId="839"/>
    <cellStyle name="Normal 37" xfId="840"/>
    <cellStyle name="Normal 38" xfId="841"/>
    <cellStyle name="Normal 39" xfId="842"/>
    <cellStyle name="Normal 4" xfId="10"/>
    <cellStyle name="Normal 4 2" xfId="712"/>
    <cellStyle name="Normal 4 2 2" xfId="843"/>
    <cellStyle name="Normal 4 3" xfId="800"/>
    <cellStyle name="Normal 4_agri planning 2009 year book(final)" xfId="855"/>
    <cellStyle name="Normal 40" xfId="844"/>
    <cellStyle name="Normal 41" xfId="845"/>
    <cellStyle name="Normal 42" xfId="846"/>
    <cellStyle name="Normal 43" xfId="847"/>
    <cellStyle name="Normal 44" xfId="848"/>
    <cellStyle name="Normal 45" xfId="850"/>
    <cellStyle name="Normal 46" xfId="851"/>
    <cellStyle name="Normal 47" xfId="852"/>
    <cellStyle name="Normal 48" xfId="853"/>
    <cellStyle name="Normal 49" xfId="857"/>
    <cellStyle name="Normal 5" xfId="11"/>
    <cellStyle name="Normal 5 2" xfId="713"/>
    <cellStyle name="Normal 6" xfId="16"/>
    <cellStyle name="Normal 6 2" xfId="714"/>
    <cellStyle name="Normal 7" xfId="18"/>
    <cellStyle name="Normal 7 2" xfId="715"/>
    <cellStyle name="Normal 8" xfId="21"/>
    <cellStyle name="Normal 8 2" xfId="716"/>
    <cellStyle name="Normal 9" xfId="666"/>
    <cellStyle name="Normal 9 2" xfId="717"/>
    <cellStyle name="Normal 9 3" xfId="849"/>
    <cellStyle name="Normal_Indicators" xfId="12"/>
    <cellStyle name="Normal_XII-1 (Commerce)" xfId="13"/>
    <cellStyle name="Normal_XII-13(Commerce)" xfId="14"/>
    <cellStyle name="Note 2" xfId="718"/>
    <cellStyle name="Note 3" xfId="779"/>
    <cellStyle name="Note 4" xfId="860"/>
    <cellStyle name="Output" xfId="740" builtinId="21" customBuiltin="1"/>
    <cellStyle name="Output 2" xfId="719"/>
    <cellStyle name="Percent 2" xfId="720"/>
    <cellStyle name="Percent 2 2" xfId="778"/>
    <cellStyle name="Percent 3" xfId="789"/>
    <cellStyle name="Percent 4" xfId="795"/>
    <cellStyle name="Title" xfId="731" builtinId="15" customBuiltin="1"/>
    <cellStyle name="Title 2" xfId="721"/>
    <cellStyle name="Title 3" xfId="858"/>
    <cellStyle name="Total" xfId="746" builtinId="25" customBuiltin="1"/>
    <cellStyle name="Total 2" xfId="722"/>
    <cellStyle name="Warning Text" xfId="744" builtinId="11" customBuiltin="1"/>
    <cellStyle name="Warning Text 2" xfId="72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Total Exports, Imports and Trade Balance 1996 - 2013</a:t>
            </a:r>
          </a:p>
        </c:rich>
      </c:tx>
      <c:layout>
        <c:manualLayout>
          <c:xMode val="edge"/>
          <c:yMode val="edge"/>
          <c:x val="0.19766744966118571"/>
          <c:y val="3.4296205086781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7628811828104E-2"/>
          <c:y val="0.1650341392572767"/>
          <c:w val="0.89577194058324627"/>
          <c:h val="0.6992522530033127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'[1]Foerign trade &amp; BOP'!$D$88:$H$88</c:f>
              <c:strCache>
                <c:ptCount val="5"/>
              </c:strCache>
            </c:strRef>
          </c:tx>
          <c:spPr>
            <a:solidFill>
              <a:srgbClr val="FF434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'[1]Foerign trade &amp; BOP'!$I$85:$AA$85</c:f>
              <c:numCache>
                <c:formatCode>General</c:formatCode>
                <c:ptCount val="11"/>
              </c:numCache>
            </c:numRef>
          </c:cat>
          <c:val>
            <c:numRef>
              <c:f>'[1]Foerign trade &amp; BOP'!$I$88:$AA$88</c:f>
              <c:numCache>
                <c:formatCode>0.00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5CD6-466A-89DF-E888250C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54464"/>
        <c:axId val="118656384"/>
      </c:barChart>
      <c:lineChart>
        <c:grouping val="standard"/>
        <c:varyColors val="0"/>
        <c:ser>
          <c:idx val="0"/>
          <c:order val="0"/>
          <c:tx>
            <c:strRef>
              <c:f>'[1]Foerign trade &amp; BOP'!$D$86:$H$86</c:f>
              <c:strCache>
                <c:ptCount val="5"/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'[1]Foerign trade &amp; BOP'!$I$85:$Z$85</c:f>
              <c:numCache>
                <c:formatCode>General</c:formatCode>
                <c:ptCount val="10"/>
              </c:numCache>
            </c:numRef>
          </c:cat>
          <c:val>
            <c:numRef>
              <c:f>'[1]Foerign trade &amp; BOP'!$I$86:$Z$86</c:f>
              <c:numCache>
                <c:formatCode>0.00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6-466A-89DF-E888250C3580}"/>
            </c:ext>
          </c:extLst>
        </c:ser>
        <c:ser>
          <c:idx val="1"/>
          <c:order val="1"/>
          <c:tx>
            <c:strRef>
              <c:f>'[1]Foerign trade &amp; BOP'!$D$87:$H$87</c:f>
              <c:strCache>
                <c:ptCount val="5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AFAF"/>
              </a:solidFill>
              <a:ln>
                <a:solidFill>
                  <a:srgbClr val="FF4343"/>
                </a:solidFill>
              </a:ln>
            </c:spPr>
          </c:marker>
          <c:cat>
            <c:numRef>
              <c:f>'[1]Foerign trade &amp; BOP'!$I$85:$Z$85</c:f>
              <c:numCache>
                <c:formatCode>General</c:formatCode>
                <c:ptCount val="10"/>
              </c:numCache>
            </c:numRef>
          </c:cat>
          <c:val>
            <c:numRef>
              <c:f>'[1]Foerign trade &amp; BOP'!$I$87:$Z$87</c:f>
              <c:numCache>
                <c:formatCode>0.00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6-466A-89DF-E888250C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54464"/>
        <c:axId val="118656384"/>
      </c:lineChart>
      <c:catAx>
        <c:axId val="1186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6384"/>
        <c:crosses val="autoZero"/>
        <c:auto val="1"/>
        <c:lblAlgn val="ctr"/>
        <c:lblOffset val="100"/>
        <c:noMultiLvlLbl val="0"/>
      </c:catAx>
      <c:valAx>
        <c:axId val="118656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Million US$</a:t>
                </a:r>
              </a:p>
            </c:rich>
          </c:tx>
          <c:layout>
            <c:manualLayout>
              <c:xMode val="edge"/>
              <c:yMode val="edge"/>
              <c:x val="5.4404584707895744E-3"/>
              <c:y val="8.7389930263452792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44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1358507346537962E-2"/>
          <c:y val="0.79048972935088313"/>
          <c:w val="0.78298016012714644"/>
          <c:h val="8.5612140936901476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Balance on Goods and Services, 2011 - 2017</a:t>
            </a:r>
          </a:p>
        </c:rich>
      </c:tx>
      <c:layout>
        <c:manualLayout>
          <c:xMode val="edge"/>
          <c:yMode val="edge"/>
          <c:x val="0.26746516110034474"/>
          <c:y val="4.80617308319065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46912181875988E-2"/>
          <c:y val="0.18160055270499917"/>
          <c:w val="0.87829114688317311"/>
          <c:h val="0.73510011216922566"/>
        </c:manualLayout>
      </c:layout>
      <c:lineChart>
        <c:grouping val="standard"/>
        <c:varyColors val="0"/>
        <c:ser>
          <c:idx val="2"/>
          <c:order val="0"/>
          <c:tx>
            <c:strRef>
              <c:f>'Foerign trade &amp; BOP'!$AO$8</c:f>
              <c:strCache>
                <c:ptCount val="1"/>
                <c:pt idx="0">
                  <c:v>Balance on goods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'Foerign trade &amp; BOP'!$AP$7:$AV$7</c:f>
              <c:numCache>
                <c:formatCode>_(* #,##0_);_(* \(#,##0\);_(* "-"??_);_(@_)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'Foerign trade &amp; BOP'!$AP$8:$AV$8</c:f>
              <c:numCache>
                <c:formatCode>_(* #,##0_);_(* \(#,##0\);_(* "-"??_);_(@_)</c:formatCode>
                <c:ptCount val="7"/>
                <c:pt idx="0">
                  <c:v>-1370.4497932458348</c:v>
                </c:pt>
                <c:pt idx="1">
                  <c:v>-1261.3818460941536</c:v>
                </c:pt>
                <c:pt idx="2">
                  <c:v>-1372.0279990268523</c:v>
                </c:pt>
                <c:pt idx="3">
                  <c:v>-1659.9839496319867</c:v>
                </c:pt>
                <c:pt idx="4">
                  <c:v>-1654.7584348513501</c:v>
                </c:pt>
                <c:pt idx="5">
                  <c:v>-1839.4548719095881</c:v>
                </c:pt>
                <c:pt idx="6">
                  <c:v>-1904.5812778901657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A-4A58-8329-EF356C9C6D2E}"/>
            </c:ext>
          </c:extLst>
        </c:ser>
        <c:ser>
          <c:idx val="0"/>
          <c:order val="1"/>
          <c:tx>
            <c:strRef>
              <c:f>'Foerign trade &amp; BOP'!$AO$9</c:f>
              <c:strCache>
                <c:ptCount val="1"/>
                <c:pt idx="0">
                  <c:v>Balance on services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'Foerign trade &amp; BOP'!$AP$7:$AV$7</c:f>
              <c:numCache>
                <c:formatCode>_(* #,##0_);_(* \(#,##0\);_(* "-"??_);_(@_)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'Foerign trade &amp; BOP'!$AP$9:$AV$9</c:f>
              <c:numCache>
                <c:formatCode>General</c:formatCode>
                <c:ptCount val="7"/>
                <c:pt idx="0">
                  <c:v>2679.4074919898917</c:v>
                </c:pt>
                <c:pt idx="1">
                  <c:v>2742.1730668283831</c:v>
                </c:pt>
                <c:pt idx="2">
                  <c:v>3273.4959116042137</c:v>
                </c:pt>
                <c:pt idx="3">
                  <c:v>3791.6288966259031</c:v>
                </c:pt>
                <c:pt idx="4">
                  <c:v>3780.0266674700088</c:v>
                </c:pt>
                <c:pt idx="5">
                  <c:v>3994.7182853867153</c:v>
                </c:pt>
                <c:pt idx="6">
                  <c:v>4448.6804996822475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A-4A58-8329-EF356C9C6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48672"/>
        <c:axId val="118750208"/>
      </c:lineChart>
      <c:catAx>
        <c:axId val="118748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0"/>
        <c:majorTickMark val="none"/>
        <c:minorTickMark val="out"/>
        <c:tickLblPos val="nextTo"/>
        <c:spPr>
          <a:ln w="25400">
            <a:solidFill>
              <a:schemeClr val="bg1">
                <a:lumMod val="50000"/>
              </a:schemeClr>
            </a:solidFill>
          </a:ln>
        </c:spPr>
        <c:crossAx val="118750208"/>
        <c:crosses val="autoZero"/>
        <c:auto val="1"/>
        <c:lblAlgn val="ctr"/>
        <c:lblOffset val="100"/>
        <c:noMultiLvlLbl val="0"/>
      </c:catAx>
      <c:valAx>
        <c:axId val="118750208"/>
        <c:scaling>
          <c:orientation val="minMax"/>
          <c:max val="5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118748672"/>
        <c:crosses val="autoZero"/>
        <c:crossBetween val="between"/>
        <c:majorUnit val="1000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6427245902905711"/>
          <c:y val="0.93294621503885722"/>
          <c:w val="0.53561811739717891"/>
          <c:h val="5.473301843631751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87</xdr:row>
      <xdr:rowOff>0</xdr:rowOff>
    </xdr:from>
    <xdr:to>
      <xdr:col>1</xdr:col>
      <xdr:colOff>64366</xdr:colOff>
      <xdr:row>87</xdr:row>
      <xdr:rowOff>28575</xdr:rowOff>
    </xdr:to>
    <xdr:sp macro="" textlink="">
      <xdr:nvSpPr>
        <xdr:cNvPr id="63934102" name="Text Box 5"/>
        <xdr:cNvSpPr txBox="1">
          <a:spLocks noChangeArrowheads="1"/>
        </xdr:cNvSpPr>
      </xdr:nvSpPr>
      <xdr:spPr bwMode="auto">
        <a:xfrm>
          <a:off x="1504950" y="13230225"/>
          <a:ext cx="1619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39</xdr:row>
      <xdr:rowOff>47625</xdr:rowOff>
    </xdr:from>
    <xdr:to>
      <xdr:col>3</xdr:col>
      <xdr:colOff>426038</xdr:colOff>
      <xdr:row>39</xdr:row>
      <xdr:rowOff>48768</xdr:rowOff>
    </xdr:to>
    <xdr:sp macro="" textlink="">
      <xdr:nvSpPr>
        <xdr:cNvPr id="10246" name="Text Box 6"/>
        <xdr:cNvSpPr txBox="1">
          <a:spLocks noChangeArrowheads="1"/>
        </xdr:cNvSpPr>
      </xdr:nvSpPr>
      <xdr:spPr bwMode="auto">
        <a:xfrm>
          <a:off x="190500" y="5810250"/>
          <a:ext cx="48958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 editAs="oneCell">
    <xdr:from>
      <xdr:col>0</xdr:col>
      <xdr:colOff>1504950</xdr:colOff>
      <xdr:row>87</xdr:row>
      <xdr:rowOff>0</xdr:rowOff>
    </xdr:from>
    <xdr:to>
      <xdr:col>1</xdr:col>
      <xdr:colOff>64366</xdr:colOff>
      <xdr:row>87</xdr:row>
      <xdr:rowOff>28575</xdr:rowOff>
    </xdr:to>
    <xdr:sp macro="" textlink="">
      <xdr:nvSpPr>
        <xdr:cNvPr id="63934107" name="Text Box 5"/>
        <xdr:cNvSpPr txBox="1">
          <a:spLocks noChangeArrowheads="1"/>
        </xdr:cNvSpPr>
      </xdr:nvSpPr>
      <xdr:spPr bwMode="auto">
        <a:xfrm>
          <a:off x="1504950" y="13230225"/>
          <a:ext cx="1619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39</xdr:row>
      <xdr:rowOff>47625</xdr:rowOff>
    </xdr:from>
    <xdr:to>
      <xdr:col>3</xdr:col>
      <xdr:colOff>426038</xdr:colOff>
      <xdr:row>39</xdr:row>
      <xdr:rowOff>48768</xdr:rowOff>
    </xdr:to>
    <xdr:sp macro="" textlink="">
      <xdr:nvSpPr>
        <xdr:cNvPr id="12" name="Text Box 6"/>
        <xdr:cNvSpPr txBox="1">
          <a:spLocks noChangeArrowheads="1"/>
        </xdr:cNvSpPr>
      </xdr:nvSpPr>
      <xdr:spPr bwMode="auto">
        <a:xfrm>
          <a:off x="190500" y="5915025"/>
          <a:ext cx="4891412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>
    <xdr:from>
      <xdr:col>0</xdr:col>
      <xdr:colOff>2155249</xdr:colOff>
      <xdr:row>41</xdr:row>
      <xdr:rowOff>96611</xdr:rowOff>
    </xdr:from>
    <xdr:to>
      <xdr:col>1</xdr:col>
      <xdr:colOff>0</xdr:colOff>
      <xdr:row>42</xdr:row>
      <xdr:rowOff>133350</xdr:rowOff>
    </xdr:to>
    <xdr:sp macro="" textlink="">
      <xdr:nvSpPr>
        <xdr:cNvPr id="4" name="TextBox 3"/>
        <xdr:cNvSpPr txBox="1"/>
      </xdr:nvSpPr>
      <xdr:spPr>
        <a:xfrm>
          <a:off x="2155249" y="7821386"/>
          <a:ext cx="1054676" cy="198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/>
            <a:t>(In million US$)</a:t>
          </a:r>
        </a:p>
      </xdr:txBody>
    </xdr:sp>
    <xdr:clientData/>
  </xdr:twoCellAnchor>
  <xdr:twoCellAnchor editAs="oneCell">
    <xdr:from>
      <xdr:col>0</xdr:col>
      <xdr:colOff>1504950</xdr:colOff>
      <xdr:row>62</xdr:row>
      <xdr:rowOff>0</xdr:rowOff>
    </xdr:from>
    <xdr:to>
      <xdr:col>1</xdr:col>
      <xdr:colOff>64366</xdr:colOff>
      <xdr:row>62</xdr:row>
      <xdr:rowOff>28575</xdr:rowOff>
    </xdr:to>
    <xdr:sp macro="" textlink="">
      <xdr:nvSpPr>
        <xdr:cNvPr id="9" name="Text Box 5"/>
        <xdr:cNvSpPr txBox="1">
          <a:spLocks noChangeArrowheads="1"/>
        </xdr:cNvSpPr>
      </xdr:nvSpPr>
      <xdr:spPr bwMode="auto">
        <a:xfrm>
          <a:off x="1504950" y="13230225"/>
          <a:ext cx="1635991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38</xdr:row>
      <xdr:rowOff>47625</xdr:rowOff>
    </xdr:from>
    <xdr:to>
      <xdr:col>3</xdr:col>
      <xdr:colOff>426038</xdr:colOff>
      <xdr:row>38</xdr:row>
      <xdr:rowOff>48768</xdr:rowOff>
    </xdr:to>
    <xdr:sp macro="" textlink="">
      <xdr:nvSpPr>
        <xdr:cNvPr id="10" name="Text Box 6"/>
        <xdr:cNvSpPr txBox="1">
          <a:spLocks noChangeArrowheads="1"/>
        </xdr:cNvSpPr>
      </xdr:nvSpPr>
      <xdr:spPr bwMode="auto">
        <a:xfrm>
          <a:off x="190500" y="7448550"/>
          <a:ext cx="4855163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 editAs="oneCell">
    <xdr:from>
      <xdr:col>0</xdr:col>
      <xdr:colOff>1504950</xdr:colOff>
      <xdr:row>62</xdr:row>
      <xdr:rowOff>0</xdr:rowOff>
    </xdr:from>
    <xdr:to>
      <xdr:col>1</xdr:col>
      <xdr:colOff>64366</xdr:colOff>
      <xdr:row>62</xdr:row>
      <xdr:rowOff>28575</xdr:rowOff>
    </xdr:to>
    <xdr:sp macro="" textlink="">
      <xdr:nvSpPr>
        <xdr:cNvPr id="11" name="Text Box 5"/>
        <xdr:cNvSpPr txBox="1">
          <a:spLocks noChangeArrowheads="1"/>
        </xdr:cNvSpPr>
      </xdr:nvSpPr>
      <xdr:spPr bwMode="auto">
        <a:xfrm>
          <a:off x="1504950" y="13230225"/>
          <a:ext cx="1635991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887354</xdr:colOff>
      <xdr:row>173</xdr:row>
      <xdr:rowOff>26031</xdr:rowOff>
    </xdr:from>
    <xdr:to>
      <xdr:col>10</xdr:col>
      <xdr:colOff>800100</xdr:colOff>
      <xdr:row>188</xdr:row>
      <xdr:rowOff>41953</xdr:rowOff>
    </xdr:to>
    <xdr:graphicFrame macro="">
      <xdr:nvGraphicFramePr>
        <xdr:cNvPr id="1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2224229</xdr:colOff>
      <xdr:row>39</xdr:row>
      <xdr:rowOff>43750</xdr:rowOff>
    </xdr:from>
    <xdr:to>
      <xdr:col>9</xdr:col>
      <xdr:colOff>54741</xdr:colOff>
      <xdr:row>56</xdr:row>
      <xdr:rowOff>19051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2155249</xdr:colOff>
      <xdr:row>40</xdr:row>
      <xdr:rowOff>96611</xdr:rowOff>
    </xdr:from>
    <xdr:to>
      <xdr:col>1</xdr:col>
      <xdr:colOff>133350</xdr:colOff>
      <xdr:row>41</xdr:row>
      <xdr:rowOff>133350</xdr:rowOff>
    </xdr:to>
    <xdr:sp macro="" textlink="">
      <xdr:nvSpPr>
        <xdr:cNvPr id="15" name="TextBox 14"/>
        <xdr:cNvSpPr txBox="1"/>
      </xdr:nvSpPr>
      <xdr:spPr>
        <a:xfrm>
          <a:off x="2155249" y="7821386"/>
          <a:ext cx="1054676" cy="198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/>
            <a:t>(In million US$)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7">
          <cell r="V67">
            <v>2011</v>
          </cell>
          <cell r="W67">
            <v>2012</v>
          </cell>
          <cell r="X67">
            <v>2013</v>
          </cell>
          <cell r="Y67">
            <v>2014</v>
          </cell>
          <cell r="Z67">
            <v>2015</v>
          </cell>
          <cell r="AA67">
            <v>2016</v>
          </cell>
          <cell r="AB67">
            <v>2017</v>
          </cell>
        </row>
        <row r="68">
          <cell r="A68" t="str">
            <v>Balance on goods</v>
          </cell>
          <cell r="V68">
            <v>-1370.4497932458348</v>
          </cell>
          <cell r="W68">
            <v>-1261.3818460941536</v>
          </cell>
          <cell r="X68">
            <v>-1372.0279990268523</v>
          </cell>
          <cell r="Y68">
            <v>-1659.9839496319867</v>
          </cell>
          <cell r="Z68">
            <v>-1654.7584348513501</v>
          </cell>
          <cell r="AA68">
            <v>-1839.4548719095881</v>
          </cell>
          <cell r="AB68">
            <v>-1904.5812778901657</v>
          </cell>
        </row>
        <row r="69">
          <cell r="A69" t="str">
            <v>Balance on services</v>
          </cell>
          <cell r="V69">
            <v>2679.4074919898917</v>
          </cell>
          <cell r="W69">
            <v>2742.1730668283831</v>
          </cell>
          <cell r="X69">
            <v>3273.4959116042137</v>
          </cell>
          <cell r="Y69">
            <v>3791.6288966259031</v>
          </cell>
          <cell r="Z69">
            <v>3780.0266674700088</v>
          </cell>
          <cell r="AA69">
            <v>3994.7182853867153</v>
          </cell>
          <cell r="AB69">
            <v>4448.6804996822475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V83"/>
  <sheetViews>
    <sheetView tabSelected="1" zoomScaleNormal="100" zoomScaleSheetLayoutView="87" workbookViewId="0">
      <selection activeCell="J52" sqref="J52"/>
    </sheetView>
  </sheetViews>
  <sheetFormatPr defaultColWidth="8.85546875" defaultRowHeight="12.75"/>
  <cols>
    <col min="1" max="1" width="46.140625" style="45" customWidth="1"/>
    <col min="2" max="2" width="11.5703125" style="80" customWidth="1"/>
    <col min="3" max="11" width="11.5703125" style="45" customWidth="1"/>
    <col min="12" max="12" width="12.42578125" style="45" customWidth="1"/>
    <col min="13" max="13" width="12.28515625" style="45" customWidth="1"/>
    <col min="14" max="14" width="15" style="45" customWidth="1"/>
    <col min="15" max="16384" width="8.85546875" style="45"/>
  </cols>
  <sheetData>
    <row r="1" spans="1:48" ht="30" customHeight="1">
      <c r="A1" s="44" t="s">
        <v>17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48" ht="15" customHeight="1">
      <c r="A2" s="46"/>
      <c r="B2" s="2"/>
      <c r="C2" s="2"/>
      <c r="D2" s="2"/>
      <c r="E2" s="2"/>
      <c r="F2" s="1"/>
      <c r="G2" s="1"/>
    </row>
    <row r="3" spans="1:48" ht="15" customHeight="1">
      <c r="A3" s="47"/>
      <c r="B3" s="23">
        <v>2006</v>
      </c>
      <c r="C3" s="23">
        <v>2007</v>
      </c>
      <c r="D3" s="23">
        <v>2008</v>
      </c>
      <c r="E3" s="23">
        <v>2009</v>
      </c>
      <c r="F3" s="23">
        <v>2010</v>
      </c>
      <c r="G3" s="23">
        <v>2011</v>
      </c>
      <c r="H3" s="23">
        <v>2012</v>
      </c>
      <c r="I3" s="23">
        <v>2013</v>
      </c>
      <c r="J3" s="23">
        <v>2014</v>
      </c>
      <c r="K3" s="23">
        <v>2015</v>
      </c>
      <c r="L3" s="23">
        <v>2016</v>
      </c>
      <c r="M3" s="23">
        <v>2017</v>
      </c>
    </row>
    <row r="4" spans="1:48" ht="15" customHeight="1">
      <c r="A4" s="4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48" s="49" customFormat="1" ht="15" customHeight="1">
      <c r="A5" s="22" t="s">
        <v>19</v>
      </c>
      <c r="B5" s="24">
        <v>1735722.3399999999</v>
      </c>
      <c r="C5" s="24">
        <v>1384588.6</v>
      </c>
      <c r="D5" s="24">
        <v>1617451.6</v>
      </c>
      <c r="E5" s="24">
        <v>981317.94</v>
      </c>
      <c r="F5" s="24">
        <v>949797.71057000011</v>
      </c>
      <c r="G5" s="24">
        <v>1770329.6</v>
      </c>
      <c r="H5" s="24">
        <v>2483060.3319799998</v>
      </c>
      <c r="I5" s="24">
        <v>2558635</v>
      </c>
      <c r="J5" s="24">
        <v>2227693.0179500002</v>
      </c>
      <c r="K5" s="24">
        <v>2215411.7713000001</v>
      </c>
      <c r="L5" s="24">
        <v>2145317.25288</v>
      </c>
      <c r="M5" s="21">
        <v>3068176.8116000001</v>
      </c>
    </row>
    <row r="6" spans="1:48" s="49" customFormat="1" ht="15" customHeight="1">
      <c r="A6" s="17" t="s">
        <v>4</v>
      </c>
      <c r="B6" s="12">
        <v>135603.30781249999</v>
      </c>
      <c r="C6" s="12">
        <v>108170.984375</v>
      </c>
      <c r="D6" s="12">
        <v>126363.40625</v>
      </c>
      <c r="E6" s="12">
        <v>76665.464062499988</v>
      </c>
      <c r="F6" s="12">
        <v>74202.946138281259</v>
      </c>
      <c r="G6" s="12">
        <v>114881.86891628813</v>
      </c>
      <c r="H6" s="12">
        <v>161552.39635523746</v>
      </c>
      <c r="I6" s="12">
        <v>166037.31343283583</v>
      </c>
      <c r="J6" s="12">
        <v>144655.39077597403</v>
      </c>
      <c r="K6" s="12">
        <v>143857.90722727272</v>
      </c>
      <c r="L6" s="12">
        <v>139760.0816208469</v>
      </c>
      <c r="M6" s="43">
        <f>M5/M18</f>
        <v>187656.07410397552</v>
      </c>
    </row>
    <row r="7" spans="1:48" s="49" customFormat="1" ht="14.25" customHeight="1">
      <c r="A7" s="25" t="s">
        <v>5</v>
      </c>
      <c r="B7" s="24">
        <v>1709989.44</v>
      </c>
      <c r="C7" s="24">
        <v>1357222.19</v>
      </c>
      <c r="D7" s="24">
        <v>1591939.2</v>
      </c>
      <c r="E7" s="24">
        <v>958408</v>
      </c>
      <c r="F7" s="24">
        <v>913242.30200000003</v>
      </c>
      <c r="G7" s="24">
        <v>1717120.87</v>
      </c>
      <c r="H7" s="24">
        <v>2438537</v>
      </c>
      <c r="I7" s="24">
        <v>2517185</v>
      </c>
      <c r="J7" s="24">
        <v>2177115.4294599998</v>
      </c>
      <c r="K7" s="24">
        <v>2158075</v>
      </c>
      <c r="L7" s="24">
        <v>2114278.1638700003</v>
      </c>
      <c r="M7" s="21">
        <v>2993660.9101399989</v>
      </c>
      <c r="AP7" s="49">
        <v>2011</v>
      </c>
      <c r="AQ7" s="49">
        <v>2012</v>
      </c>
      <c r="AR7" s="49">
        <v>2013</v>
      </c>
      <c r="AS7" s="49">
        <v>2014</v>
      </c>
      <c r="AT7" s="49">
        <v>2015</v>
      </c>
      <c r="AU7" s="49">
        <v>2016</v>
      </c>
      <c r="AV7" s="49">
        <v>2017</v>
      </c>
    </row>
    <row r="8" spans="1:48" s="49" customFormat="1" ht="13.5" customHeight="1">
      <c r="A8" s="18" t="s">
        <v>6</v>
      </c>
      <c r="B8" s="12">
        <v>25732.9</v>
      </c>
      <c r="C8" s="12">
        <v>27366.41</v>
      </c>
      <c r="D8" s="12">
        <v>25512.400000000001</v>
      </c>
      <c r="E8" s="12">
        <v>22909.939999999944</v>
      </c>
      <c r="F8" s="12">
        <v>36555.408570000087</v>
      </c>
      <c r="G8" s="12">
        <v>53208.729999999981</v>
      </c>
      <c r="H8" s="12">
        <v>44523.331979999784</v>
      </c>
      <c r="I8" s="12">
        <v>41450</v>
      </c>
      <c r="J8" s="12">
        <v>50436.296260000003</v>
      </c>
      <c r="K8" s="12">
        <v>57337</v>
      </c>
      <c r="L8" s="12">
        <v>31039.089010000003</v>
      </c>
      <c r="M8" s="12">
        <f>M5-M7</f>
        <v>74515.901460001245</v>
      </c>
      <c r="AO8" s="81" t="s">
        <v>1</v>
      </c>
      <c r="AP8" s="49">
        <v>-1370.4497932458348</v>
      </c>
      <c r="AQ8" s="49">
        <v>-1261.3818460941536</v>
      </c>
      <c r="AR8" s="49">
        <v>-1372.0279990268523</v>
      </c>
      <c r="AS8" s="49">
        <v>-1659.9839496319867</v>
      </c>
      <c r="AT8" s="49">
        <v>-1654.7584348513501</v>
      </c>
      <c r="AU8" s="49">
        <v>-1839.4548719095881</v>
      </c>
      <c r="AV8" s="49">
        <v>-1904.5812778901657</v>
      </c>
    </row>
    <row r="9" spans="1:48" ht="15" customHeight="1">
      <c r="A9" s="47" t="s">
        <v>7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AO9" s="81" t="s">
        <v>0</v>
      </c>
      <c r="AP9" s="45">
        <v>2679.4074919898917</v>
      </c>
      <c r="AQ9" s="45">
        <v>2742.1730668283831</v>
      </c>
      <c r="AR9" s="45">
        <v>3273.4959116042137</v>
      </c>
      <c r="AS9" s="45">
        <v>3791.6288966259031</v>
      </c>
      <c r="AT9" s="45">
        <v>3780.0266674700088</v>
      </c>
      <c r="AU9" s="45">
        <v>3994.7182853867153</v>
      </c>
      <c r="AV9" s="45">
        <v>4448.6804996822475</v>
      </c>
    </row>
    <row r="10" spans="1:48" ht="15" customHeight="1">
      <c r="A10" s="50" t="s">
        <v>8</v>
      </c>
      <c r="B10" s="13">
        <v>98.51745297004129</v>
      </c>
      <c r="C10" s="13">
        <v>98.023498821238292</v>
      </c>
      <c r="D10" s="13">
        <v>98.422679231947328</v>
      </c>
      <c r="E10" s="13">
        <v>97.665390688771069</v>
      </c>
      <c r="F10" s="13">
        <v>96.151242715876606</v>
      </c>
      <c r="G10" s="13">
        <v>96.994416745898619</v>
      </c>
      <c r="H10" s="13">
        <v>98.20691702869351</v>
      </c>
      <c r="I10" s="13">
        <v>98.379995583582655</v>
      </c>
      <c r="J10" s="13">
        <v>97.729597925635929</v>
      </c>
      <c r="K10" s="13">
        <v>97.423422407090271</v>
      </c>
      <c r="L10" s="13">
        <v>98.553170214413228</v>
      </c>
      <c r="M10" s="43">
        <f>M7/M5*100</f>
        <v>97.571329619001247</v>
      </c>
    </row>
    <row r="11" spans="1:48" ht="15" customHeight="1">
      <c r="A11" s="52" t="s">
        <v>9</v>
      </c>
      <c r="B11" s="26">
        <v>1.4825470299587205</v>
      </c>
      <c r="C11" s="26">
        <v>1.9765011787616911</v>
      </c>
      <c r="D11" s="26">
        <v>1.5773207680526578</v>
      </c>
      <c r="E11" s="26">
        <v>2.3346093112289323</v>
      </c>
      <c r="F11" s="26">
        <v>3.8487572841233915</v>
      </c>
      <c r="G11" s="26">
        <v>3.0055832541013818</v>
      </c>
      <c r="H11" s="26">
        <v>1.7930829713064904</v>
      </c>
      <c r="I11" s="26">
        <v>1.6200044164173473</v>
      </c>
      <c r="J11" s="26">
        <v>2.264059538437357</v>
      </c>
      <c r="K11" s="26">
        <v>2.5765775929097137</v>
      </c>
      <c r="L11" s="26">
        <v>1.4468297855867847</v>
      </c>
      <c r="M11" s="26">
        <f>M8/M5*100</f>
        <v>2.4286703809987573</v>
      </c>
      <c r="N11" s="53"/>
    </row>
    <row r="12" spans="1:48" ht="15" customHeight="1">
      <c r="A12" s="54" t="s">
        <v>10</v>
      </c>
      <c r="B12" s="13">
        <v>30.108307838863226</v>
      </c>
      <c r="C12" s="13">
        <f t="shared" ref="C12:M12" si="0">(C5-B5)/B5*100</f>
        <v>-20.22983353431977</v>
      </c>
      <c r="D12" s="13">
        <f t="shared" si="0"/>
        <v>16.818208672236647</v>
      </c>
      <c r="E12" s="13">
        <f t="shared" si="0"/>
        <v>-39.329378387582054</v>
      </c>
      <c r="F12" s="13">
        <f t="shared" si="0"/>
        <v>-3.2120302855158065</v>
      </c>
      <c r="G12" s="13">
        <f t="shared" si="0"/>
        <v>86.390173433622607</v>
      </c>
      <c r="H12" s="13">
        <f t="shared" si="0"/>
        <v>40.25977603153671</v>
      </c>
      <c r="I12" s="13">
        <f t="shared" si="0"/>
        <v>3.0436098167512808</v>
      </c>
      <c r="J12" s="13">
        <f t="shared" si="0"/>
        <v>-12.934317792494818</v>
      </c>
      <c r="K12" s="13">
        <f t="shared" si="0"/>
        <v>-0.55129887965002145</v>
      </c>
      <c r="L12" s="13">
        <f t="shared" si="0"/>
        <v>-3.1639498953672498</v>
      </c>
      <c r="M12" s="13">
        <f t="shared" si="0"/>
        <v>43.017393230819316</v>
      </c>
    </row>
    <row r="13" spans="1:48" ht="15" customHeight="1">
      <c r="A13" s="55" t="s">
        <v>11</v>
      </c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 spans="1:48" s="49" customFormat="1" ht="15" customHeight="1">
      <c r="A14" s="17" t="s">
        <v>20</v>
      </c>
      <c r="B14" s="12">
        <v>11859521.142799901</v>
      </c>
      <c r="C14" s="12">
        <v>14032513</v>
      </c>
      <c r="D14" s="12">
        <v>17760114</v>
      </c>
      <c r="E14" s="12">
        <v>12368528</v>
      </c>
      <c r="F14" s="12">
        <v>14017488.443949997</v>
      </c>
      <c r="G14" s="12">
        <v>20486217</v>
      </c>
      <c r="H14" s="12">
        <v>23884653.941069901</v>
      </c>
      <c r="I14" s="12">
        <v>26634885</v>
      </c>
      <c r="J14" s="12">
        <v>30649233.308269795</v>
      </c>
      <c r="K14" s="12">
        <v>29147779.394449871</v>
      </c>
      <c r="L14" s="12">
        <v>32705613.741919942</v>
      </c>
      <c r="M14" s="43">
        <v>36319895.400504716</v>
      </c>
    </row>
    <row r="15" spans="1:48" s="49" customFormat="1" ht="15" customHeight="1">
      <c r="A15" s="22" t="s">
        <v>12</v>
      </c>
      <c r="B15" s="24">
        <v>926525.08928124222</v>
      </c>
      <c r="C15" s="24">
        <v>1096290.078125</v>
      </c>
      <c r="D15" s="24">
        <v>1387508.90625</v>
      </c>
      <c r="E15" s="24">
        <v>966291.25</v>
      </c>
      <c r="F15" s="24">
        <v>1095116.2846835935</v>
      </c>
      <c r="G15" s="24">
        <v>1329410.5775470473</v>
      </c>
      <c r="H15" s="24">
        <v>1553978.7860162591</v>
      </c>
      <c r="I15" s="24">
        <v>1728415.6391953276</v>
      </c>
      <c r="J15" s="24">
        <v>1990209.9550824543</v>
      </c>
      <c r="K15" s="24">
        <v>1892712.94769155</v>
      </c>
      <c r="L15" s="24">
        <v>2130658.8756951103</v>
      </c>
      <c r="M15" s="21">
        <f>M14/M18</f>
        <v>2221400.3303060988</v>
      </c>
    </row>
    <row r="16" spans="1:48" ht="15" customHeight="1">
      <c r="A16" s="58" t="s">
        <v>13</v>
      </c>
      <c r="B16" s="13">
        <v>24.388393173638832</v>
      </c>
      <c r="C16" s="13">
        <f t="shared" ref="C16:L16" si="1">(C14-B14)/B14*100</f>
        <v>18.322762201232351</v>
      </c>
      <c r="D16" s="13">
        <f t="shared" si="1"/>
        <v>26.564030263146737</v>
      </c>
      <c r="E16" s="13">
        <f t="shared" si="1"/>
        <v>-30.357834414801616</v>
      </c>
      <c r="F16" s="13">
        <f t="shared" si="1"/>
        <v>13.331905332227064</v>
      </c>
      <c r="G16" s="13">
        <f t="shared" si="1"/>
        <v>46.147557616442555</v>
      </c>
      <c r="H16" s="13">
        <f t="shared" si="1"/>
        <v>16.588894577607476</v>
      </c>
      <c r="I16" s="13">
        <f t="shared" si="1"/>
        <v>11.514636409284746</v>
      </c>
      <c r="J16" s="13">
        <f t="shared" si="1"/>
        <v>15.071768878558309</v>
      </c>
      <c r="K16" s="13">
        <f t="shared" si="1"/>
        <v>-4.8988302536585833</v>
      </c>
      <c r="L16" s="13">
        <f t="shared" si="1"/>
        <v>12.206193478147192</v>
      </c>
      <c r="M16" s="13">
        <f>(M14-L14)/L14*100</f>
        <v>11.050951946980959</v>
      </c>
    </row>
    <row r="17" spans="1:13" ht="15" customHeight="1">
      <c r="A17" s="59" t="s">
        <v>14</v>
      </c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 ht="15" customHeight="1">
      <c r="A18" s="54" t="s">
        <v>21</v>
      </c>
      <c r="B18" s="14">
        <v>12.8</v>
      </c>
      <c r="C18" s="14">
        <v>12.8</v>
      </c>
      <c r="D18" s="14">
        <v>12.8</v>
      </c>
      <c r="E18" s="14">
        <v>12.8</v>
      </c>
      <c r="F18" s="14">
        <v>12.8</v>
      </c>
      <c r="G18" s="14">
        <v>15.41</v>
      </c>
      <c r="H18" s="14">
        <v>15.37</v>
      </c>
      <c r="I18" s="14">
        <v>15.41</v>
      </c>
      <c r="J18" s="14">
        <v>15.4</v>
      </c>
      <c r="K18" s="14">
        <v>15.41</v>
      </c>
      <c r="L18" s="14">
        <v>15.35</v>
      </c>
      <c r="M18" s="14">
        <v>16.350000000000001</v>
      </c>
    </row>
    <row r="19" spans="1:13" ht="15" customHeight="1">
      <c r="A19" s="27"/>
      <c r="B19" s="28"/>
      <c r="C19" s="23"/>
      <c r="D19" s="23"/>
      <c r="E19" s="23"/>
      <c r="F19" s="28"/>
      <c r="G19" s="28"/>
      <c r="H19" s="28"/>
      <c r="I19" s="28"/>
      <c r="J19" s="28"/>
      <c r="K19" s="28"/>
      <c r="L19" s="28"/>
      <c r="M19" s="28"/>
    </row>
    <row r="20" spans="1:13" ht="15" customHeight="1">
      <c r="A20" s="5"/>
      <c r="B20" s="2"/>
      <c r="C20" s="3"/>
      <c r="D20" s="3"/>
      <c r="E20" s="3"/>
      <c r="F20" s="1"/>
      <c r="G20" s="1"/>
      <c r="H20" s="1"/>
      <c r="I20" s="1"/>
      <c r="J20" s="1"/>
    </row>
    <row r="21" spans="1:13" s="60" customFormat="1" ht="30" customHeight="1">
      <c r="A21" s="44" t="s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s="60" customFormat="1" ht="15" customHeight="1">
      <c r="A22" s="46"/>
      <c r="B22" s="61"/>
      <c r="C22" s="4"/>
      <c r="D22" s="4"/>
      <c r="E22" s="4"/>
      <c r="F22" s="62"/>
      <c r="G22" s="62"/>
      <c r="H22" s="62"/>
      <c r="I22" s="62"/>
      <c r="J22" s="62"/>
    </row>
    <row r="23" spans="1:13" s="66" customFormat="1" ht="12" customHeight="1">
      <c r="A23" s="63" t="s">
        <v>15</v>
      </c>
      <c r="B23" s="64"/>
      <c r="C23" s="29"/>
      <c r="D23" s="64"/>
      <c r="E23" s="29"/>
      <c r="F23" s="64"/>
      <c r="G23" s="65">
        <v>2011</v>
      </c>
      <c r="H23" s="65">
        <v>2012</v>
      </c>
      <c r="I23" s="65">
        <v>2013</v>
      </c>
      <c r="J23" s="65">
        <v>2014</v>
      </c>
      <c r="K23" s="65">
        <v>2015</v>
      </c>
      <c r="L23" s="65">
        <v>2016</v>
      </c>
      <c r="M23" s="65">
        <v>2017</v>
      </c>
    </row>
    <row r="24" spans="1:13" s="66" customFormat="1" ht="15" customHeight="1">
      <c r="A24" s="63"/>
      <c r="B24" s="64"/>
      <c r="C24" s="29"/>
      <c r="D24" s="64"/>
      <c r="E24" s="29"/>
      <c r="F24" s="64"/>
      <c r="G24" s="65"/>
      <c r="H24" s="65"/>
      <c r="I24" s="65"/>
      <c r="J24" s="65"/>
      <c r="K24" s="67" t="s">
        <v>29</v>
      </c>
      <c r="L24" s="67" t="s">
        <v>29</v>
      </c>
      <c r="M24" s="67" t="s">
        <v>26</v>
      </c>
    </row>
    <row r="25" spans="1:13" s="60" customFormat="1" ht="15" customHeight="1">
      <c r="A25" s="54"/>
      <c r="B25" s="68"/>
      <c r="C25" s="68"/>
      <c r="D25" s="68"/>
      <c r="E25" s="68"/>
      <c r="F25" s="68"/>
      <c r="G25" s="69"/>
      <c r="H25" s="69"/>
      <c r="I25" s="69"/>
      <c r="J25" s="69"/>
      <c r="K25" s="69"/>
      <c r="L25" s="69"/>
      <c r="M25" s="69"/>
    </row>
    <row r="26" spans="1:13" s="60" customFormat="1" ht="15" customHeight="1">
      <c r="A26" s="47" t="s">
        <v>1</v>
      </c>
      <c r="B26" s="31"/>
      <c r="C26" s="30"/>
      <c r="D26" s="30"/>
      <c r="E26" s="30"/>
      <c r="F26" s="32"/>
      <c r="G26" s="40">
        <v>-1370.4497932458348</v>
      </c>
      <c r="H26" s="40">
        <v>-1261.3818460941536</v>
      </c>
      <c r="I26" s="40">
        <v>-1372.0279990268523</v>
      </c>
      <c r="J26" s="40">
        <v>-1659.9839496319867</v>
      </c>
      <c r="K26" s="40">
        <v>-1654.7584348513501</v>
      </c>
      <c r="L26" s="40">
        <v>-1839.4548719095881</v>
      </c>
      <c r="M26" s="40">
        <v>-1904.5812778901657</v>
      </c>
    </row>
    <row r="27" spans="1:13" s="60" customFormat="1" ht="15" customHeight="1">
      <c r="A27" s="54" t="s">
        <v>16</v>
      </c>
      <c r="B27" s="9"/>
      <c r="C27" s="9"/>
      <c r="D27" s="9"/>
      <c r="E27" s="9"/>
      <c r="F27" s="10"/>
      <c r="G27" s="41">
        <v>-383.43893319959636</v>
      </c>
      <c r="H27" s="41">
        <v>-184.49200425916638</v>
      </c>
      <c r="I27" s="41">
        <v>-127.39386882882224</v>
      </c>
      <c r="J27" s="41">
        <v>-117.82183397517781</v>
      </c>
      <c r="K27" s="41">
        <v>-301.69645723293632</v>
      </c>
      <c r="L27" s="41">
        <v>-1032.4010542370552</v>
      </c>
      <c r="M27" s="41">
        <v>-876.42380802256594</v>
      </c>
    </row>
    <row r="28" spans="1:13" s="60" customFormat="1" ht="15" customHeight="1">
      <c r="A28" s="47" t="s">
        <v>0</v>
      </c>
      <c r="B28" s="33"/>
      <c r="C28" s="33"/>
      <c r="D28" s="33"/>
      <c r="E28" s="33"/>
      <c r="F28" s="33"/>
      <c r="G28" s="34">
        <v>1517.3770387971886</v>
      </c>
      <c r="H28" s="34">
        <v>1600.8817311996886</v>
      </c>
      <c r="I28" s="34">
        <v>1880.361607822555</v>
      </c>
      <c r="J28" s="34">
        <v>2205.0323957415444</v>
      </c>
      <c r="K28" s="34">
        <v>2030.6397094299637</v>
      </c>
      <c r="L28" s="34">
        <v>1787.9990137608904</v>
      </c>
      <c r="M28" s="34">
        <v>1850.5937547675105</v>
      </c>
    </row>
    <row r="29" spans="1:13" s="60" customFormat="1" ht="15" customHeight="1">
      <c r="A29" s="50" t="s">
        <v>24</v>
      </c>
      <c r="B29" s="11"/>
      <c r="C29" s="11"/>
      <c r="D29" s="11"/>
      <c r="E29" s="11"/>
      <c r="F29" s="10"/>
      <c r="G29" s="42">
        <v>2098.3922653935401</v>
      </c>
      <c r="H29" s="42">
        <v>2171.5273990140358</v>
      </c>
      <c r="I29" s="42">
        <v>2576.9287597133844</v>
      </c>
      <c r="J29" s="42">
        <v>2998.3306461837237</v>
      </c>
      <c r="K29" s="42">
        <v>2905.3331884499862</v>
      </c>
      <c r="L29" s="42">
        <v>2891.3586495738027</v>
      </c>
      <c r="M29" s="42">
        <v>3149.6371272248789</v>
      </c>
    </row>
    <row r="30" spans="1:13" s="60" customFormat="1" ht="15.75" customHeight="1">
      <c r="A30" s="52" t="s">
        <v>25</v>
      </c>
      <c r="B30" s="35"/>
      <c r="C30" s="35"/>
      <c r="D30" s="35"/>
      <c r="E30" s="35"/>
      <c r="F30" s="32"/>
      <c r="G30" s="40">
        <v>581.01522659635168</v>
      </c>
      <c r="H30" s="40">
        <v>570.64566781434712</v>
      </c>
      <c r="I30" s="40">
        <v>696.56715189082945</v>
      </c>
      <c r="J30" s="40">
        <v>793.29825044217944</v>
      </c>
      <c r="K30" s="40">
        <v>874.69347902002255</v>
      </c>
      <c r="L30" s="40">
        <v>1103.3596358129123</v>
      </c>
      <c r="M30" s="40">
        <v>1299.0433724573684</v>
      </c>
    </row>
    <row r="31" spans="1:13" s="60" customFormat="1" ht="15.75" customHeight="1">
      <c r="A31" s="54" t="s">
        <v>23</v>
      </c>
      <c r="B31" s="11"/>
      <c r="C31" s="11"/>
      <c r="D31" s="11"/>
      <c r="E31" s="11"/>
      <c r="F31" s="10"/>
      <c r="G31" s="41">
        <v>-416.44516451822949</v>
      </c>
      <c r="H31" s="41">
        <v>-187.69412038217746</v>
      </c>
      <c r="I31" s="41">
        <v>-67.400198894263639</v>
      </c>
      <c r="J31" s="41">
        <v>-543.88273890864502</v>
      </c>
      <c r="K31" s="41">
        <v>-491.03246343540076</v>
      </c>
      <c r="L31" s="41">
        <v>-673.23314578774364</v>
      </c>
      <c r="M31" s="41">
        <v>-877.99364956685406</v>
      </c>
    </row>
    <row r="32" spans="1:13" s="60" customFormat="1" ht="15.75" customHeight="1">
      <c r="A32" s="70" t="s">
        <v>22</v>
      </c>
      <c r="B32" s="30"/>
      <c r="C32" s="30"/>
      <c r="D32" s="30"/>
      <c r="E32" s="30"/>
      <c r="F32" s="30"/>
      <c r="G32" s="40">
        <f>G27/G34*100</f>
        <v>-13.790559655451947</v>
      </c>
      <c r="H32" s="40">
        <f t="shared" ref="H32:L32" si="2">H27/H34*100</f>
        <v>-6.4152416064496443</v>
      </c>
      <c r="I32" s="40">
        <f t="shared" si="2"/>
        <v>-3.8796752020414398</v>
      </c>
      <c r="J32" s="40">
        <f t="shared" si="2"/>
        <v>-3.1948595497399994</v>
      </c>
      <c r="K32" s="40">
        <f t="shared" si="2"/>
        <v>-7.3672301726762353</v>
      </c>
      <c r="L32" s="40">
        <f t="shared" si="2"/>
        <v>-23.46747402985195</v>
      </c>
      <c r="M32" s="40">
        <f>M27/M34*100</f>
        <v>-18.051487764583694</v>
      </c>
    </row>
    <row r="33" spans="1:14" s="60" customFormat="1" ht="15.75" customHeight="1">
      <c r="A33" s="71" t="s">
        <v>2</v>
      </c>
      <c r="B33" s="8"/>
      <c r="C33" s="8"/>
      <c r="D33" s="8"/>
      <c r="E33" s="8"/>
      <c r="F33" s="8"/>
      <c r="G33" s="41">
        <f>G31/G34*100</f>
        <v>-14.977644123382905</v>
      </c>
      <c r="H33" s="41">
        <f t="shared" ref="H33:M33" si="3">H31/H34*100</f>
        <v>-6.5265870745825989</v>
      </c>
      <c r="I33" s="41">
        <f t="shared" si="3"/>
        <v>-2.0526174663405348</v>
      </c>
      <c r="J33" s="41">
        <f t="shared" si="3"/>
        <v>-14.747936810312318</v>
      </c>
      <c r="K33" s="41">
        <f t="shared" si="3"/>
        <v>-11.99069161621529</v>
      </c>
      <c r="L33" s="41">
        <f t="shared" si="3"/>
        <v>-15.303240247545983</v>
      </c>
      <c r="M33" s="41">
        <f t="shared" si="3"/>
        <v>-18.083821408614874</v>
      </c>
      <c r="N33" s="72"/>
    </row>
    <row r="34" spans="1:14" s="60" customFormat="1" ht="14.25" customHeight="1">
      <c r="A34" s="73" t="s">
        <v>30</v>
      </c>
      <c r="B34" s="36"/>
      <c r="C34" s="36"/>
      <c r="D34" s="36"/>
      <c r="E34" s="36"/>
      <c r="F34" s="36"/>
      <c r="G34" s="39">
        <v>2780.4450492189267</v>
      </c>
      <c r="H34" s="39">
        <v>2875.8387536594882</v>
      </c>
      <c r="I34" s="39">
        <v>3283.622009434941</v>
      </c>
      <c r="J34" s="39">
        <v>3687.8564500516545</v>
      </c>
      <c r="K34" s="39">
        <v>4095.1137695123953</v>
      </c>
      <c r="L34" s="39">
        <v>4399.2849546729349</v>
      </c>
      <c r="M34" s="74">
        <v>4855.1333798761725</v>
      </c>
    </row>
    <row r="35" spans="1:14" s="60" customFormat="1" ht="18" hidden="1" customHeight="1">
      <c r="A35" s="75"/>
      <c r="B35" s="20"/>
      <c r="C35" s="20"/>
      <c r="D35" s="20"/>
      <c r="E35" s="20"/>
      <c r="F35" s="20"/>
      <c r="G35" s="37"/>
      <c r="H35" s="37"/>
      <c r="I35" s="37"/>
      <c r="J35" s="38"/>
    </row>
    <row r="36" spans="1:14" s="60" customFormat="1" ht="18" customHeight="1">
      <c r="A36" s="15" t="s">
        <v>27</v>
      </c>
      <c r="H36" s="72"/>
      <c r="I36" s="72"/>
      <c r="J36" s="72"/>
      <c r="K36" s="76"/>
      <c r="N36" s="77"/>
    </row>
    <row r="37" spans="1:14" s="60" customFormat="1" ht="13.5" customHeight="1">
      <c r="A37" s="19" t="s">
        <v>31</v>
      </c>
      <c r="G37" s="72"/>
      <c r="H37" s="72"/>
      <c r="I37" s="72"/>
      <c r="J37" s="72"/>
      <c r="K37" s="72"/>
      <c r="L37" s="72"/>
      <c r="N37" s="77"/>
    </row>
    <row r="38" spans="1:14" ht="14.25">
      <c r="A38" s="15" t="s">
        <v>28</v>
      </c>
      <c r="B38" s="78"/>
      <c r="C38" s="79"/>
      <c r="D38" s="79"/>
    </row>
    <row r="39" spans="1:14">
      <c r="C39" s="16"/>
      <c r="D39" s="16"/>
    </row>
    <row r="40" spans="1:14">
      <c r="C40" s="16"/>
      <c r="D40" s="16"/>
    </row>
    <row r="41" spans="1:14">
      <c r="C41" s="16"/>
      <c r="D41" s="16"/>
    </row>
    <row r="42" spans="1:14">
      <c r="C42" s="16"/>
      <c r="D42" s="16"/>
    </row>
    <row r="43" spans="1:14">
      <c r="C43" s="16"/>
      <c r="D43" s="16"/>
    </row>
    <row r="62" spans="2:12">
      <c r="B62" s="45"/>
      <c r="L62" s="7"/>
    </row>
    <row r="63" spans="2:12">
      <c r="B63" s="83"/>
      <c r="C63" s="83"/>
      <c r="D63" s="83"/>
      <c r="E63" s="84"/>
      <c r="F63" s="83"/>
      <c r="I63" s="85"/>
    </row>
    <row r="64" spans="2:12">
      <c r="B64" s="83"/>
      <c r="C64" s="83"/>
      <c r="D64" s="83"/>
      <c r="E64" s="84"/>
      <c r="F64" s="83"/>
      <c r="G64" s="51"/>
      <c r="I64" s="82"/>
    </row>
    <row r="65" spans="2:14">
      <c r="B65" s="83"/>
      <c r="C65" s="83"/>
      <c r="D65" s="83"/>
      <c r="E65" s="83"/>
      <c r="F65" s="83"/>
      <c r="G65" s="83"/>
      <c r="H65" s="83"/>
      <c r="I65" s="86"/>
      <c r="J65" s="86"/>
      <c r="K65" s="86"/>
      <c r="L65" s="86"/>
      <c r="M65" s="86"/>
      <c r="N65" s="86"/>
    </row>
    <row r="66" spans="2:14">
      <c r="B66" s="45"/>
      <c r="E66" s="80"/>
    </row>
    <row r="67" spans="2:14">
      <c r="B67" s="45"/>
    </row>
    <row r="68" spans="2:14">
      <c r="B68" s="51"/>
      <c r="C68" s="51"/>
      <c r="D68" s="51"/>
      <c r="E68" s="51"/>
      <c r="F68" s="51"/>
      <c r="G68" s="51"/>
      <c r="H68" s="51"/>
      <c r="I68" s="51"/>
      <c r="K68" s="51"/>
      <c r="L68" s="51"/>
      <c r="M68" s="51"/>
      <c r="N68" s="51"/>
    </row>
    <row r="69" spans="2:14">
      <c r="B69" s="51"/>
      <c r="C69" s="51"/>
      <c r="D69" s="51"/>
      <c r="E69" s="51"/>
      <c r="F69" s="51"/>
      <c r="G69" s="51"/>
      <c r="H69" s="51"/>
      <c r="I69" s="51"/>
      <c r="K69" s="51"/>
      <c r="L69" s="51"/>
      <c r="M69" s="51"/>
      <c r="N69" s="51"/>
    </row>
    <row r="70" spans="2:14">
      <c r="B70" s="51"/>
      <c r="C70" s="51"/>
      <c r="D70" s="51"/>
      <c r="E70" s="51"/>
      <c r="F70" s="51"/>
      <c r="H70" s="51"/>
      <c r="I70" s="51"/>
      <c r="J70" s="51"/>
      <c r="K70" s="51"/>
      <c r="L70" s="51"/>
      <c r="M70" s="51"/>
      <c r="N70" s="51"/>
    </row>
    <row r="71" spans="2:14">
      <c r="B71" s="45"/>
      <c r="E71" s="80"/>
    </row>
    <row r="79" spans="2:14">
      <c r="C79" s="80"/>
      <c r="D79" s="80"/>
      <c r="E79" s="80"/>
      <c r="F79" s="80"/>
      <c r="G79" s="80"/>
      <c r="N79" s="80"/>
    </row>
    <row r="83" spans="3:14">
      <c r="C83" s="80"/>
      <c r="D83" s="80"/>
      <c r="E83" s="80"/>
      <c r="F83" s="80"/>
      <c r="G83" s="80"/>
      <c r="N83" s="80"/>
    </row>
  </sheetData>
  <mergeCells count="3">
    <mergeCell ref="A23:A24"/>
    <mergeCell ref="A1:M1"/>
    <mergeCell ref="A21:M21"/>
  </mergeCells>
  <phoneticPr fontId="0" type="noConversion"/>
  <printOptions horizontalCentered="1" verticalCentered="1"/>
  <pageMargins left="0.25" right="0.25" top="0.75" bottom="0.75" header="0.3" footer="0.3"/>
  <pageSetup paperSize="9" scale="60" orientation="landscape" horizontalDpi="4294967295" verticalDpi="4294967295" r:id="rId1"/>
  <headerFooter alignWithMargins="0"/>
  <rowBreaks count="1" manualBreakCount="1">
    <brk id="57" max="12" man="1"/>
  </rowBreaks>
  <drawing r:id="rId2"/>
  <webPublishItems count="3">
    <webPublishItem id="16809" divId="Indicators 2010_16809" sourceType="sheet" destinationFile="\\Server\dp unit\Publications\Statistical  Year Book\Yearbook 2011\Indicators\Indicators 2011\foreigntrade &amp; bop.htm"/>
    <webPublishItem id="7282" divId="Indicators2009_7282" sourceType="range" sourceRef="A1:A57" destinationFile="\\Server04\mpnd\IT\Information for MPND Website\Statistical Yearbook 2009\Key Indicators 2009\Foreign Trade &amp; BOP.htm"/>
    <webPublishItem id="8762" divId="Indicators   2011_8762" sourceType="range" sourceRef="A1:A42" destinationFile="\\Server\dp unit\Publications\Statistical  Year Book\Yearbook 2011\YRB 2011 CD\final chapters\CD WEB\Indicators\Foreign &amp;BOP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Foerign trade &amp; BOP</vt:lpstr>
      <vt:lpstr>'Foerign trade &amp; BOP'!Print_Area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2018-12-25T04:04:46Z</cp:lastPrinted>
  <dcterms:created xsi:type="dcterms:W3CDTF">2005-04-13T08:56:22Z</dcterms:created>
  <dcterms:modified xsi:type="dcterms:W3CDTF">2018-12-25T04:04:57Z</dcterms:modified>
</cp:coreProperties>
</file>