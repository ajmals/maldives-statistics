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3 Emp" sheetId="31" r:id="rId1"/>
  </sheets>
  <externalReferences>
    <externalReference r:id="rId2"/>
  </externalReferences>
  <definedNames>
    <definedName name="_xlnm.Print_Area" localSheetId="0">'3 Emp'!$A$1:$O$56</definedName>
  </definedNames>
  <calcPr calcId="162913"/>
</workbook>
</file>

<file path=xl/calcChain.xml><?xml version="1.0" encoding="utf-8"?>
<calcChain xmlns="http://schemas.openxmlformats.org/spreadsheetml/2006/main">
  <c r="Z16" i="31" l="1"/>
  <c r="O5" i="31"/>
  <c r="N5" i="31"/>
  <c r="M5" i="31"/>
  <c r="L5" i="31"/>
  <c r="L8" i="31" s="1"/>
  <c r="K5" i="31"/>
  <c r="K8" i="31" s="1"/>
  <c r="J5" i="31"/>
  <c r="I5" i="31"/>
  <c r="J8" i="31" s="1"/>
  <c r="H5" i="31"/>
  <c r="G5" i="31"/>
  <c r="F5" i="31"/>
  <c r="F8" i="31" s="1"/>
  <c r="E5" i="31"/>
  <c r="D5" i="31"/>
  <c r="O8" i="31" l="1"/>
  <c r="I8" i="31"/>
  <c r="E8" i="31"/>
  <c r="G8" i="31"/>
  <c r="M8" i="31"/>
  <c r="N8" i="31"/>
  <c r="H8" i="31"/>
</calcChain>
</file>

<file path=xl/sharedStrings.xml><?xml version="1.0" encoding="utf-8"?>
<sst xmlns="http://schemas.openxmlformats.org/spreadsheetml/2006/main" count="32" uniqueCount="20">
  <si>
    <t>EMPLOYMENT</t>
  </si>
  <si>
    <t>Both Sexes</t>
  </si>
  <si>
    <t>Male</t>
  </si>
  <si>
    <t>Female</t>
  </si>
  <si>
    <t>na</t>
  </si>
  <si>
    <t>Percent change over previous year</t>
  </si>
  <si>
    <t>Expatriate Employment</t>
  </si>
  <si>
    <t>15+ Population</t>
  </si>
  <si>
    <t>Employed Population</t>
  </si>
  <si>
    <t>Census 2006</t>
  </si>
  <si>
    <t>Census 2014</t>
  </si>
  <si>
    <t>Unemployment Rate (ILO definition) (%)</t>
  </si>
  <si>
    <t>Employment (Resident Maldivian population)</t>
  </si>
  <si>
    <r>
      <t xml:space="preserve">Expatriate Employment (Immigration) </t>
    </r>
    <r>
      <rPr>
        <sz val="8"/>
        <rFont val="Calibri"/>
        <family val="2"/>
        <scheme val="minor"/>
      </rPr>
      <t xml:space="preserve">2_/ </t>
    </r>
  </si>
  <si>
    <r>
      <t>Employment Approvals Issued</t>
    </r>
    <r>
      <rPr>
        <sz val="8"/>
        <rFont val="Calibri"/>
        <family val="2"/>
        <scheme val="minor"/>
      </rPr>
      <t xml:space="preserve"> 3_/</t>
    </r>
  </si>
  <si>
    <t>Unemployed Population (ILO defintion)/Seeking and available</t>
  </si>
  <si>
    <r>
      <rPr>
        <sz val="10"/>
        <rFont val="Calibri"/>
        <family val="2"/>
        <scheme val="minor"/>
      </rPr>
      <t xml:space="preserve">2_/ </t>
    </r>
    <r>
      <rPr>
        <i/>
        <sz val="10"/>
        <rFont val="Calibri"/>
        <family val="2"/>
        <scheme val="minor"/>
      </rPr>
      <t xml:space="preserve">Due to change in the border control system used to generate the immigration data with new system established in November 2012, there is a discontinuity in consistent records. </t>
    </r>
  </si>
  <si>
    <r>
      <rPr>
        <sz val="10"/>
        <rFont val="Calibri"/>
        <family val="2"/>
        <scheme val="minor"/>
      </rPr>
      <t xml:space="preserve">3_/ </t>
    </r>
    <r>
      <rPr>
        <i/>
        <sz val="10"/>
        <rFont val="Calibri"/>
        <family val="2"/>
        <scheme val="minor"/>
      </rPr>
      <t>Employment Approval (EA) is a written statement by immigration, giving permission for foreigners to work in Maldives. Resident permit/work visa is issued based on this EA for those who apply for work visa.</t>
    </r>
  </si>
  <si>
    <r>
      <t xml:space="preserve">Government Employees </t>
    </r>
    <r>
      <rPr>
        <b/>
        <vertAlign val="superscript"/>
        <sz val="11"/>
        <rFont val="Calibri"/>
        <family val="2"/>
        <scheme val="minor"/>
      </rPr>
      <t>1_/</t>
    </r>
  </si>
  <si>
    <r>
      <rPr>
        <sz val="10"/>
        <rFont val="Calibri"/>
        <family val="2"/>
        <scheme val="minor"/>
      </rPr>
      <t xml:space="preserve">1_/ </t>
    </r>
    <r>
      <rPr>
        <i/>
        <sz val="10"/>
        <rFont val="Calibri"/>
        <family val="2"/>
        <scheme val="minor"/>
      </rPr>
      <t>With the formation of civil service in 2008, government employees figures includes civil servants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</si>
</sst>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20"/>
      <color theme="0"/>
      <name val="Candara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vertAlign val="superscript"/>
      <sz val="1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7">
    <xf numFmtId="0" fontId="0" fillId="0" borderId="0"/>
    <xf numFmtId="0" fontId="19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0" fontId="20" fillId="0" borderId="0"/>
    <xf numFmtId="164" fontId="20" fillId="0" borderId="0"/>
    <xf numFmtId="164" fontId="20" fillId="0" borderId="0"/>
    <xf numFmtId="0" fontId="22" fillId="0" borderId="0"/>
    <xf numFmtId="165" fontId="20" fillId="0" borderId="0"/>
    <xf numFmtId="166" fontId="20" fillId="0" borderId="0" applyFont="0" applyFill="0" applyBorder="0" applyAlignment="0" applyProtection="0"/>
    <xf numFmtId="0" fontId="13" fillId="0" borderId="0"/>
    <xf numFmtId="0" fontId="18" fillId="0" borderId="0"/>
    <xf numFmtId="0" fontId="28" fillId="0" borderId="0"/>
    <xf numFmtId="43" fontId="28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0"/>
    <xf numFmtId="0" fontId="11" fillId="0" borderId="0"/>
    <xf numFmtId="165" fontId="20" fillId="0" borderId="0"/>
    <xf numFmtId="168" fontId="28" fillId="0" borderId="0" applyFont="0" applyFill="0" applyBorder="0" applyAlignment="0" applyProtection="0"/>
    <xf numFmtId="0" fontId="28" fillId="0" borderId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6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20" borderId="0" applyNumberFormat="0" applyBorder="0" applyAlignment="0" applyProtection="0"/>
    <xf numFmtId="0" fontId="41" fillId="4" borderId="0" applyNumberFormat="0" applyBorder="0" applyAlignment="0" applyProtection="0"/>
    <xf numFmtId="0" fontId="42" fillId="21" borderId="1" applyNumberFormat="0" applyAlignment="0" applyProtection="0"/>
    <xf numFmtId="0" fontId="43" fillId="22" borderId="2" applyNumberFormat="0" applyAlignment="0" applyProtection="0"/>
    <xf numFmtId="40" fontId="3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5" borderId="0" applyNumberFormat="0" applyBorder="0" applyAlignment="0" applyProtection="0"/>
    <xf numFmtId="0" fontId="46" fillId="0" borderId="3" applyNumberFormat="0" applyFill="0" applyAlignment="0" applyProtection="0"/>
    <xf numFmtId="0" fontId="47" fillId="0" borderId="4" applyNumberFormat="0" applyFill="0" applyAlignment="0" applyProtection="0"/>
    <xf numFmtId="0" fontId="48" fillId="0" borderId="5" applyNumberFormat="0" applyFill="0" applyAlignment="0" applyProtection="0"/>
    <xf numFmtId="0" fontId="48" fillId="0" borderId="0" applyNumberFormat="0" applyFill="0" applyBorder="0" applyAlignment="0" applyProtection="0"/>
    <xf numFmtId="0" fontId="49" fillId="8" borderId="1" applyNumberFormat="0" applyAlignment="0" applyProtection="0"/>
    <xf numFmtId="0" fontId="50" fillId="0" borderId="6" applyNumberFormat="0" applyFill="0" applyAlignment="0" applyProtection="0"/>
    <xf numFmtId="0" fontId="51" fillId="23" borderId="0" applyNumberFormat="0" applyBorder="0" applyAlignment="0" applyProtection="0"/>
    <xf numFmtId="169" fontId="38" fillId="0" borderId="0"/>
    <xf numFmtId="0" fontId="28" fillId="0" borderId="0"/>
    <xf numFmtId="0" fontId="28" fillId="0" borderId="0"/>
    <xf numFmtId="0" fontId="28" fillId="0" borderId="0"/>
    <xf numFmtId="0" fontId="14" fillId="0" borderId="0"/>
    <xf numFmtId="165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39" fillId="24" borderId="7" applyNumberFormat="0" applyFont="0" applyAlignment="0" applyProtection="0"/>
    <xf numFmtId="0" fontId="52" fillId="21" borderId="8" applyNumberFormat="0" applyAlignment="0" applyProtection="0"/>
    <xf numFmtId="9" fontId="37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54" fillId="0" borderId="0" applyNumberFormat="0" applyFill="0" applyBorder="0" applyAlignment="0" applyProtection="0"/>
    <xf numFmtId="165" fontId="20" fillId="0" borderId="0"/>
    <xf numFmtId="165" fontId="2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25" borderId="0" applyNumberFormat="0" applyBorder="0" applyAlignment="0" applyProtection="0"/>
    <xf numFmtId="0" fontId="60" fillId="26" borderId="0" applyNumberFormat="0" applyBorder="0" applyAlignment="0" applyProtection="0"/>
    <xf numFmtId="0" fontId="61" fillId="27" borderId="0" applyNumberFormat="0" applyBorder="0" applyAlignment="0" applyProtection="0"/>
    <xf numFmtId="0" fontId="62" fillId="28" borderId="13" applyNumberFormat="0" applyAlignment="0" applyProtection="0"/>
    <xf numFmtId="0" fontId="63" fillId="29" borderId="14" applyNumberFormat="0" applyAlignment="0" applyProtection="0"/>
    <xf numFmtId="0" fontId="64" fillId="29" borderId="13" applyNumberFormat="0" applyAlignment="0" applyProtection="0"/>
    <xf numFmtId="0" fontId="65" fillId="0" borderId="15" applyNumberFormat="0" applyFill="0" applyAlignment="0" applyProtection="0"/>
    <xf numFmtId="0" fontId="66" fillId="30" borderId="16" applyNumberFormat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6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9" fillId="43" borderId="0" applyNumberFormat="0" applyBorder="0" applyAlignment="0" applyProtection="0"/>
    <xf numFmtId="0" fontId="6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9" fillId="47" borderId="0" applyNumberFormat="0" applyBorder="0" applyAlignment="0" applyProtection="0"/>
    <xf numFmtId="0" fontId="6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9" fillId="51" borderId="0" applyNumberFormat="0" applyBorder="0" applyAlignment="0" applyProtection="0"/>
    <xf numFmtId="0" fontId="69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9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0" fillId="0" borderId="10" applyNumberFormat="0" applyFill="0" applyAlignment="0" applyProtection="0"/>
    <xf numFmtId="170" fontId="3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1" fillId="0" borderId="0"/>
    <xf numFmtId="0" fontId="5" fillId="0" borderId="0"/>
    <xf numFmtId="165" fontId="20" fillId="0" borderId="0"/>
    <xf numFmtId="0" fontId="74" fillId="0" borderId="0"/>
    <xf numFmtId="43" fontId="74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8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7" fillId="0" borderId="0" applyFont="0" applyFill="0" applyBorder="0" applyAlignment="0" applyProtection="0"/>
    <xf numFmtId="173" fontId="20" fillId="0" borderId="0"/>
    <xf numFmtId="173" fontId="20" fillId="0" borderId="0"/>
    <xf numFmtId="0" fontId="1" fillId="0" borderId="0"/>
    <xf numFmtId="0" fontId="76" fillId="0" borderId="0" applyNumberFormat="0" applyFill="0" applyBorder="0" applyAlignment="0" applyProtection="0"/>
    <xf numFmtId="0" fontId="77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47">
    <xf numFmtId="0" fontId="0" fillId="0" borderId="0" xfId="0"/>
    <xf numFmtId="0" fontId="0" fillId="0" borderId="0" xfId="0" applyFill="1"/>
    <xf numFmtId="0" fontId="23" fillId="2" borderId="0" xfId="0" applyFont="1" applyFill="1"/>
    <xf numFmtId="0" fontId="0" fillId="2" borderId="0" xfId="0" applyFill="1"/>
    <xf numFmtId="0" fontId="23" fillId="2" borderId="0" xfId="0" applyFont="1" applyFill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15" fillId="0" borderId="0" xfId="0" applyFont="1" applyFill="1"/>
    <xf numFmtId="0" fontId="15" fillId="2" borderId="0" xfId="0" applyFont="1" applyFill="1"/>
    <xf numFmtId="3" fontId="17" fillId="2" borderId="0" xfId="12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32" fillId="2" borderId="0" xfId="0" applyFont="1" applyFill="1"/>
    <xf numFmtId="0" fontId="27" fillId="2" borderId="0" xfId="781" applyFont="1" applyFill="1" applyAlignment="1">
      <alignment horizontal="left" vertical="center" indent="1"/>
    </xf>
    <xf numFmtId="0" fontId="23" fillId="2" borderId="0" xfId="781" applyFont="1" applyFill="1" applyAlignment="1">
      <alignment horizontal="left" vertical="center" indent="1"/>
    </xf>
    <xf numFmtId="0" fontId="24" fillId="2" borderId="0" xfId="781" applyFont="1" applyFill="1" applyAlignment="1">
      <alignment horizontal="left" vertical="center" indent="1"/>
    </xf>
    <xf numFmtId="0" fontId="23" fillId="2" borderId="0" xfId="781" applyFont="1" applyFill="1"/>
    <xf numFmtId="0" fontId="16" fillId="2" borderId="0" xfId="781" applyFont="1" applyFill="1"/>
    <xf numFmtId="0" fontId="0" fillId="2" borderId="0" xfId="781" applyFont="1" applyFill="1"/>
    <xf numFmtId="167" fontId="24" fillId="2" borderId="0" xfId="4" applyNumberFormat="1" applyFont="1" applyFill="1" applyAlignment="1">
      <alignment horizontal="left" vertical="center"/>
    </xf>
    <xf numFmtId="0" fontId="27" fillId="57" borderId="0" xfId="781" applyFont="1" applyFill="1" applyAlignment="1">
      <alignment horizontal="left" vertical="center" indent="1"/>
    </xf>
    <xf numFmtId="0" fontId="0" fillId="57" borderId="0" xfId="0" applyFill="1"/>
    <xf numFmtId="0" fontId="25" fillId="57" borderId="0" xfId="781" applyFont="1" applyFill="1" applyAlignment="1">
      <alignment horizontal="left" vertical="center" indent="1"/>
    </xf>
    <xf numFmtId="0" fontId="24" fillId="57" borderId="0" xfId="781" applyFont="1" applyFill="1" applyAlignment="1">
      <alignment horizontal="left" vertical="center" indent="1"/>
    </xf>
    <xf numFmtId="0" fontId="23" fillId="57" borderId="0" xfId="781" applyFont="1" applyFill="1" applyAlignment="1">
      <alignment horizontal="left" vertical="center" indent="1"/>
    </xf>
    <xf numFmtId="0" fontId="27" fillId="57" borderId="0" xfId="781" applyFont="1" applyFill="1" applyAlignment="1">
      <alignment horizontal="center" vertical="center"/>
    </xf>
    <xf numFmtId="0" fontId="73" fillId="57" borderId="0" xfId="0" applyFont="1" applyFill="1"/>
    <xf numFmtId="0" fontId="15" fillId="57" borderId="0" xfId="0" applyFont="1" applyFill="1"/>
    <xf numFmtId="167" fontId="24" fillId="57" borderId="0" xfId="4" applyNumberFormat="1" applyFont="1" applyFill="1" applyAlignment="1">
      <alignment horizontal="left" vertical="center"/>
    </xf>
    <xf numFmtId="0" fontId="32" fillId="57" borderId="0" xfId="0" applyFont="1" applyFill="1"/>
    <xf numFmtId="164" fontId="24" fillId="57" borderId="0" xfId="4" applyNumberFormat="1" applyFont="1" applyFill="1" applyAlignment="1">
      <alignment horizontal="left" vertical="center"/>
    </xf>
    <xf numFmtId="164" fontId="24" fillId="57" borderId="0" xfId="781" applyNumberFormat="1" applyFont="1" applyFill="1" applyAlignment="1">
      <alignment horizontal="left" vertical="center" indent="1"/>
    </xf>
    <xf numFmtId="0" fontId="31" fillId="56" borderId="0" xfId="781" applyFont="1" applyFill="1" applyAlignment="1">
      <alignment horizontal="left" vertical="center"/>
    </xf>
    <xf numFmtId="1" fontId="29" fillId="57" borderId="0" xfId="781" applyNumberFormat="1" applyFont="1" applyFill="1" applyAlignment="1">
      <alignment horizontal="right" vertical="center"/>
    </xf>
    <xf numFmtId="165" fontId="15" fillId="2" borderId="0" xfId="781" applyNumberFormat="1" applyFont="1" applyFill="1"/>
    <xf numFmtId="3" fontId="15" fillId="2" borderId="0" xfId="781" applyNumberFormat="1" applyFont="1" applyFill="1"/>
    <xf numFmtId="3" fontId="21" fillId="57" borderId="0" xfId="781" applyNumberFormat="1" applyFont="1" applyFill="1" applyAlignment="1">
      <alignment horizontal="right" vertical="center"/>
    </xf>
    <xf numFmtId="3" fontId="21" fillId="2" borderId="0" xfId="781" applyNumberFormat="1" applyFont="1" applyFill="1" applyAlignment="1">
      <alignment horizontal="right" vertical="center"/>
    </xf>
    <xf numFmtId="166" fontId="21" fillId="2" borderId="0" xfId="781" applyNumberFormat="1" applyFont="1" applyFill="1" applyAlignment="1">
      <alignment horizontal="right" vertical="center"/>
    </xf>
    <xf numFmtId="0" fontId="14" fillId="2" borderId="0" xfId="781" applyFont="1" applyFill="1"/>
    <xf numFmtId="165" fontId="14" fillId="2" borderId="0" xfId="781" applyNumberFormat="1" applyFont="1" applyFill="1"/>
    <xf numFmtId="3" fontId="14" fillId="2" borderId="0" xfId="781" applyNumberFormat="1" applyFont="1" applyFill="1"/>
    <xf numFmtId="0" fontId="14" fillId="0" borderId="0" xfId="781" applyFont="1" applyFill="1"/>
    <xf numFmtId="3" fontId="15" fillId="2" borderId="0" xfId="781" applyNumberFormat="1" applyFont="1" applyFill="1" applyBorder="1"/>
    <xf numFmtId="164" fontId="21" fillId="57" borderId="0" xfId="781" applyNumberFormat="1" applyFont="1" applyFill="1" applyAlignment="1">
      <alignment horizontal="right" vertical="center"/>
    </xf>
    <xf numFmtId="167" fontId="0" fillId="2" borderId="0" xfId="781" applyNumberFormat="1" applyFont="1" applyFill="1"/>
    <xf numFmtId="0" fontId="0" fillId="0" borderId="0" xfId="781" applyFont="1" applyFill="1"/>
    <xf numFmtId="2" fontId="0" fillId="2" borderId="0" xfId="781" applyNumberFormat="1" applyFont="1" applyFill="1"/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Population - II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799231082030243E-2"/>
          <c:y val="0.14744983635193112"/>
          <c:w val="0.87289978189346051"/>
          <c:h val="0.686727866746125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'[1]3 Emp'!$B$6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5C-494C-866D-914EA69AFACE}"/>
              </c:ext>
            </c:extLst>
          </c:dPt>
          <c:cat>
            <c:numRef>
              <c:f>'[1]3 Emp'!$D$3:$AD$3</c:f>
              <c:numCache>
                <c:formatCode>0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'[1]3 Emp'!$D$6:$AD$6</c:f>
              <c:numCache>
                <c:formatCode>#,##0</c:formatCode>
                <c:ptCount val="12"/>
                <c:pt idx="0">
                  <c:v>20909</c:v>
                </c:pt>
                <c:pt idx="1">
                  <c:v>19417</c:v>
                </c:pt>
                <c:pt idx="2">
                  <c:v>11507</c:v>
                </c:pt>
                <c:pt idx="3">
                  <c:v>11456</c:v>
                </c:pt>
                <c:pt idx="4">
                  <c:v>10464</c:v>
                </c:pt>
                <c:pt idx="5">
                  <c:v>9728</c:v>
                </c:pt>
                <c:pt idx="6">
                  <c:v>8603</c:v>
                </c:pt>
                <c:pt idx="7">
                  <c:v>11219</c:v>
                </c:pt>
                <c:pt idx="8">
                  <c:v>11547</c:v>
                </c:pt>
                <c:pt idx="9">
                  <c:v>11191</c:v>
                </c:pt>
                <c:pt idx="10">
                  <c:v>10881</c:v>
                </c:pt>
                <c:pt idx="11">
                  <c:v>8907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C-494C-866D-914EA69AFACE}"/>
            </c:ext>
          </c:extLst>
        </c:ser>
        <c:ser>
          <c:idx val="1"/>
          <c:order val="1"/>
          <c:tx>
            <c:strRef>
              <c:f>'[1]3 Emp'!$B$7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numRef>
              <c:f>'[1]3 Emp'!$D$3:$AD$3</c:f>
              <c:numCache>
                <c:formatCode>0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'[1]3 Emp'!$D$7:$AD$7</c:f>
              <c:numCache>
                <c:formatCode>#,##0</c:formatCode>
                <c:ptCount val="12"/>
                <c:pt idx="0">
                  <c:v>13088</c:v>
                </c:pt>
                <c:pt idx="1">
                  <c:v>13380</c:v>
                </c:pt>
                <c:pt idx="2">
                  <c:v>12631</c:v>
                </c:pt>
                <c:pt idx="3">
                  <c:v>12629</c:v>
                </c:pt>
                <c:pt idx="4">
                  <c:v>11381</c:v>
                </c:pt>
                <c:pt idx="5">
                  <c:v>9397</c:v>
                </c:pt>
                <c:pt idx="6">
                  <c:v>9054</c:v>
                </c:pt>
                <c:pt idx="7">
                  <c:v>12988</c:v>
                </c:pt>
                <c:pt idx="8">
                  <c:v>13336</c:v>
                </c:pt>
                <c:pt idx="9">
                  <c:v>13505</c:v>
                </c:pt>
                <c:pt idx="10">
                  <c:v>13620</c:v>
                </c:pt>
                <c:pt idx="11">
                  <c:v>13175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C-494C-866D-914EA69AF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879552"/>
        <c:axId val="95881088"/>
      </c:barChart>
      <c:catAx>
        <c:axId val="958795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81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881088"/>
        <c:scaling>
          <c:orientation val="minMax"/>
          <c:max val="35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numbers</a:t>
                </a:r>
              </a:p>
            </c:rich>
          </c:tx>
          <c:layout>
            <c:manualLayout>
              <c:xMode val="edge"/>
              <c:yMode val="edge"/>
              <c:x val="1.4094118516875531E-2"/>
              <c:y val="6.0626769852739251E-2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79552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073154530989801"/>
          <c:y val="0.19065670129405088"/>
          <c:w val="0.20872652285821261"/>
          <c:h val="6.1449287106693139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379082919017966E-2"/>
          <c:y val="0.1916148886220054"/>
          <c:w val="0.87163737310221978"/>
          <c:h val="0.666183091219847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C561-4E5B-B811-5A7F44D57F47}"/>
              </c:ext>
            </c:extLst>
          </c:dPt>
          <c:cat>
            <c:numRef>
              <c:f>'[1]3 Emp'!$Z$3:$AD$3</c:f>
              <c:numCache>
                <c:formatCode>0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f>'[1]3 Emp'!$Z$10:$AD$10</c:f>
              <c:numCache>
                <c:formatCode>#,##0</c:formatCode>
                <c:ptCount val="5"/>
                <c:pt idx="0">
                  <c:v>57424</c:v>
                </c:pt>
                <c:pt idx="1">
                  <c:v>45584</c:v>
                </c:pt>
                <c:pt idx="2">
                  <c:v>58527</c:v>
                </c:pt>
                <c:pt idx="3">
                  <c:v>83136</c:v>
                </c:pt>
                <c:pt idx="4">
                  <c:v>76342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1-4E5B-B811-5A7F44D57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98240"/>
        <c:axId val="95912320"/>
      </c:barChart>
      <c:catAx>
        <c:axId val="958982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2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91232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2.4004400237425293E-2"/>
              <c:y val="9.6213560816489629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8240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312421</xdr:colOff>
      <xdr:row>19</xdr:row>
      <xdr:rowOff>156210</xdr:rowOff>
    </xdr:from>
    <xdr:to>
      <xdr:col>10</xdr:col>
      <xdr:colOff>95250</xdr:colOff>
      <xdr:row>36</xdr:row>
      <xdr:rowOff>28575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328554</xdr:colOff>
      <xdr:row>38</xdr:row>
      <xdr:rowOff>9181</xdr:rowOff>
    </xdr:from>
    <xdr:to>
      <xdr:col>10</xdr:col>
      <xdr:colOff>95250</xdr:colOff>
      <xdr:row>54</xdr:row>
      <xdr:rowOff>95250</xdr:rowOff>
    </xdr:to>
    <xdr:graphicFrame macro="">
      <xdr:nvGraphicFramePr>
        <xdr:cNvPr id="1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1779270</xdr:colOff>
      <xdr:row>20</xdr:row>
      <xdr:rowOff>45720</xdr:rowOff>
    </xdr:from>
    <xdr:to>
      <xdr:col>8</xdr:col>
      <xdr:colOff>177165</xdr:colOff>
      <xdr:row>21</xdr:row>
      <xdr:rowOff>80284</xdr:rowOff>
    </xdr:to>
    <xdr:sp macro="" textlink="">
      <xdr:nvSpPr>
        <xdr:cNvPr id="11" name="Text Box 15"/>
        <xdr:cNvSpPr txBox="1">
          <a:spLocks noChangeArrowheads="1"/>
        </xdr:cNvSpPr>
      </xdr:nvSpPr>
      <xdr:spPr bwMode="auto">
        <a:xfrm>
          <a:off x="3179445" y="4665345"/>
          <a:ext cx="4732020" cy="1964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Number of male and female employees of the government, 2006 - 2017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0.2223</cdr:x>
      <cdr:y>0.03721</cdr:y>
    </cdr:from>
    <cdr:to>
      <cdr:x>0.83676</cdr:x>
      <cdr:y>0.13095</cdr:y>
    </cdr:to>
    <cdr:sp macro="" textlink="">
      <cdr:nvSpPr>
        <cdr:cNvPr id="286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95496" y="99619"/>
          <a:ext cx="4410076" cy="2509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Employment Approvals Issued, 2013 - 2016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>
        <row r="3">
          <cell r="D3">
            <v>1995</v>
          </cell>
          <cell r="E3">
            <v>1991</v>
          </cell>
          <cell r="F3">
            <v>1992</v>
          </cell>
          <cell r="G3">
            <v>1993</v>
          </cell>
          <cell r="H3">
            <v>1994</v>
          </cell>
          <cell r="I3">
            <v>1996</v>
          </cell>
          <cell r="J3">
            <v>1997</v>
          </cell>
          <cell r="K3">
            <v>1998</v>
          </cell>
          <cell r="L3">
            <v>1999</v>
          </cell>
          <cell r="M3">
            <v>2000</v>
          </cell>
          <cell r="N3">
            <v>2001</v>
          </cell>
          <cell r="O3">
            <v>2002</v>
          </cell>
          <cell r="P3">
            <v>2003</v>
          </cell>
          <cell r="Q3">
            <v>2004</v>
          </cell>
          <cell r="R3">
            <v>2005</v>
          </cell>
          <cell r="S3">
            <v>2006</v>
          </cell>
          <cell r="T3">
            <v>2007</v>
          </cell>
          <cell r="U3">
            <v>2008</v>
          </cell>
          <cell r="V3">
            <v>2009</v>
          </cell>
          <cell r="W3">
            <v>2010</v>
          </cell>
          <cell r="X3">
            <v>2011</v>
          </cell>
          <cell r="Y3">
            <v>2012</v>
          </cell>
          <cell r="Z3">
            <v>2013</v>
          </cell>
          <cell r="AA3">
            <v>2014</v>
          </cell>
          <cell r="AB3">
            <v>2015</v>
          </cell>
          <cell r="AC3">
            <v>2016</v>
          </cell>
          <cell r="AD3">
            <v>2017</v>
          </cell>
        </row>
        <row r="6">
          <cell r="B6" t="str">
            <v>Male</v>
          </cell>
          <cell r="D6">
            <v>12178</v>
          </cell>
          <cell r="E6">
            <v>8928</v>
          </cell>
          <cell r="F6">
            <v>9302</v>
          </cell>
          <cell r="G6">
            <v>12648</v>
          </cell>
          <cell r="H6">
            <v>12867</v>
          </cell>
          <cell r="I6">
            <v>13626</v>
          </cell>
          <cell r="J6">
            <v>11255</v>
          </cell>
          <cell r="K6">
            <v>14199</v>
          </cell>
          <cell r="L6">
            <v>12361</v>
          </cell>
          <cell r="M6">
            <v>16659</v>
          </cell>
          <cell r="N6">
            <v>16983</v>
          </cell>
          <cell r="O6">
            <v>15696</v>
          </cell>
          <cell r="P6">
            <v>18181</v>
          </cell>
          <cell r="Q6">
            <v>21142</v>
          </cell>
          <cell r="R6">
            <v>21173</v>
          </cell>
          <cell r="S6">
            <v>20909</v>
          </cell>
          <cell r="T6">
            <v>19417</v>
          </cell>
          <cell r="U6">
            <v>11507</v>
          </cell>
          <cell r="V6">
            <v>11456</v>
          </cell>
          <cell r="W6">
            <v>10464</v>
          </cell>
          <cell r="X6">
            <v>9728</v>
          </cell>
          <cell r="Y6">
            <v>8603</v>
          </cell>
          <cell r="Z6">
            <v>11219</v>
          </cell>
          <cell r="AA6">
            <v>11547</v>
          </cell>
          <cell r="AB6">
            <v>11191</v>
          </cell>
          <cell r="AC6">
            <v>10881</v>
          </cell>
          <cell r="AD6">
            <v>8907</v>
          </cell>
        </row>
        <row r="7">
          <cell r="B7" t="str">
            <v>Female</v>
          </cell>
          <cell r="D7">
            <v>5829</v>
          </cell>
          <cell r="E7">
            <v>4098</v>
          </cell>
          <cell r="F7">
            <v>4400</v>
          </cell>
          <cell r="G7">
            <v>5534</v>
          </cell>
          <cell r="H7">
            <v>5193</v>
          </cell>
          <cell r="I7">
            <v>6187</v>
          </cell>
          <cell r="J7">
            <v>6767</v>
          </cell>
          <cell r="K7">
            <v>9306</v>
          </cell>
          <cell r="L7">
            <v>7387</v>
          </cell>
          <cell r="M7">
            <v>10131</v>
          </cell>
          <cell r="N7">
            <v>9701</v>
          </cell>
          <cell r="O7">
            <v>10667</v>
          </cell>
          <cell r="P7">
            <v>10470</v>
          </cell>
          <cell r="Q7">
            <v>12108</v>
          </cell>
          <cell r="R7">
            <v>12860</v>
          </cell>
          <cell r="S7">
            <v>13088</v>
          </cell>
          <cell r="T7">
            <v>13380</v>
          </cell>
          <cell r="U7">
            <v>12631</v>
          </cell>
          <cell r="V7">
            <v>12629</v>
          </cell>
          <cell r="W7">
            <v>11381</v>
          </cell>
          <cell r="X7">
            <v>9397</v>
          </cell>
          <cell r="Y7">
            <v>9054</v>
          </cell>
          <cell r="Z7">
            <v>12988</v>
          </cell>
          <cell r="AA7">
            <v>13336</v>
          </cell>
          <cell r="AB7">
            <v>13505</v>
          </cell>
          <cell r="AC7">
            <v>13620</v>
          </cell>
          <cell r="AD7">
            <v>13175</v>
          </cell>
        </row>
        <row r="10">
          <cell r="Z10">
            <v>57424</v>
          </cell>
          <cell r="AA10">
            <v>45584</v>
          </cell>
          <cell r="AB10">
            <v>58527</v>
          </cell>
          <cell r="AC10">
            <v>83136</v>
          </cell>
          <cell r="AD10">
            <v>76342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E629"/>
  <sheetViews>
    <sheetView tabSelected="1" zoomScaleNormal="100" zoomScaleSheetLayoutView="35" workbookViewId="0">
      <selection activeCell="T27" sqref="T27"/>
    </sheetView>
  </sheetViews>
  <sheetFormatPr defaultRowHeight="12.75"/>
  <cols>
    <col min="1" max="1" width="12.140625" customWidth="1"/>
    <col min="3" max="3" width="37.140625" customWidth="1"/>
    <col min="4" max="7" width="11.5703125" customWidth="1"/>
    <col min="8" max="13" width="11.5703125" style="1" customWidth="1"/>
    <col min="14" max="15" width="11.5703125" style="3" customWidth="1"/>
    <col min="16" max="24" width="9.140625" style="3"/>
    <col min="25" max="25" width="9.28515625" style="3" bestFit="1" customWidth="1"/>
    <col min="26" max="26" width="9.7109375" style="3" bestFit="1" customWidth="1"/>
    <col min="27" max="31" width="9.140625" style="3"/>
    <col min="32" max="16384" width="9.140625" style="1"/>
  </cols>
  <sheetData>
    <row r="1" spans="1:31" ht="30.7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31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3"/>
    </row>
    <row r="3" spans="1:31" ht="18.75" customHeight="1">
      <c r="A3" s="21"/>
      <c r="B3" s="21"/>
      <c r="C3" s="21"/>
      <c r="D3" s="32">
        <v>2006</v>
      </c>
      <c r="E3" s="32">
        <v>2007</v>
      </c>
      <c r="F3" s="32">
        <v>2008</v>
      </c>
      <c r="G3" s="32">
        <v>2009</v>
      </c>
      <c r="H3" s="32">
        <v>2010</v>
      </c>
      <c r="I3" s="32">
        <v>2011</v>
      </c>
      <c r="J3" s="32">
        <v>2012</v>
      </c>
      <c r="K3" s="32">
        <v>2013</v>
      </c>
      <c r="L3" s="32">
        <v>2014</v>
      </c>
      <c r="M3" s="32">
        <v>2015</v>
      </c>
      <c r="N3" s="32">
        <v>2016</v>
      </c>
      <c r="O3" s="32">
        <v>2017</v>
      </c>
      <c r="Y3" s="33"/>
      <c r="Z3" s="33" t="s">
        <v>6</v>
      </c>
    </row>
    <row r="4" spans="1:31" ht="18.75" customHeight="1">
      <c r="A4" s="12" t="s">
        <v>18</v>
      </c>
      <c r="B4" s="13"/>
      <c r="C4" s="13"/>
      <c r="D4" s="14"/>
      <c r="E4" s="14"/>
      <c r="F4" s="14"/>
      <c r="G4" s="14"/>
      <c r="H4" s="14"/>
      <c r="I4" s="14"/>
      <c r="J4" s="14"/>
      <c r="K4" s="14"/>
      <c r="L4" s="14"/>
      <c r="M4" s="11"/>
      <c r="N4" s="11"/>
      <c r="Y4" s="33">
        <v>1995</v>
      </c>
      <c r="Z4" s="34">
        <v>18510</v>
      </c>
    </row>
    <row r="5" spans="1:31" ht="18.75" customHeight="1">
      <c r="A5" s="22"/>
      <c r="B5" s="23" t="s">
        <v>1</v>
      </c>
      <c r="C5" s="23"/>
      <c r="D5" s="35">
        <f>SUM(D6:D7)</f>
        <v>33997</v>
      </c>
      <c r="E5" s="35">
        <f t="shared" ref="E5:O5" si="0">SUM(E6:E7)</f>
        <v>32797</v>
      </c>
      <c r="F5" s="35">
        <f t="shared" si="0"/>
        <v>24138</v>
      </c>
      <c r="G5" s="35">
        <f t="shared" si="0"/>
        <v>24085</v>
      </c>
      <c r="H5" s="35">
        <f t="shared" si="0"/>
        <v>21845</v>
      </c>
      <c r="I5" s="35">
        <f t="shared" si="0"/>
        <v>19125</v>
      </c>
      <c r="J5" s="35">
        <f t="shared" si="0"/>
        <v>17657</v>
      </c>
      <c r="K5" s="35">
        <f t="shared" si="0"/>
        <v>24207</v>
      </c>
      <c r="L5" s="35">
        <f t="shared" si="0"/>
        <v>24883</v>
      </c>
      <c r="M5" s="35">
        <f t="shared" si="0"/>
        <v>24696</v>
      </c>
      <c r="N5" s="35">
        <f t="shared" si="0"/>
        <v>24501</v>
      </c>
      <c r="O5" s="35">
        <f t="shared" si="0"/>
        <v>22082</v>
      </c>
      <c r="Y5" s="33">
        <v>1996</v>
      </c>
      <c r="Z5" s="34">
        <v>21169</v>
      </c>
    </row>
    <row r="6" spans="1:31" ht="18.75" customHeight="1">
      <c r="A6" s="14"/>
      <c r="B6" s="13" t="s">
        <v>2</v>
      </c>
      <c r="C6" s="13"/>
      <c r="D6" s="36">
        <v>20909</v>
      </c>
      <c r="E6" s="36">
        <v>19417</v>
      </c>
      <c r="F6" s="36">
        <v>11507</v>
      </c>
      <c r="G6" s="36">
        <v>11456</v>
      </c>
      <c r="H6" s="36">
        <v>10464</v>
      </c>
      <c r="I6" s="36">
        <v>9728</v>
      </c>
      <c r="J6" s="36">
        <v>8603</v>
      </c>
      <c r="K6" s="36">
        <v>11219</v>
      </c>
      <c r="L6" s="36">
        <v>11547</v>
      </c>
      <c r="M6" s="36">
        <v>11191</v>
      </c>
      <c r="N6" s="36">
        <v>10881</v>
      </c>
      <c r="O6" s="36">
        <v>8907</v>
      </c>
      <c r="Y6" s="33">
        <v>1997</v>
      </c>
      <c r="Z6" s="34">
        <v>16744</v>
      </c>
    </row>
    <row r="7" spans="1:31" ht="18.75" customHeight="1">
      <c r="A7" s="19"/>
      <c r="B7" s="23" t="s">
        <v>3</v>
      </c>
      <c r="C7" s="23"/>
      <c r="D7" s="35">
        <v>13088</v>
      </c>
      <c r="E7" s="35">
        <v>13380</v>
      </c>
      <c r="F7" s="35">
        <v>12631</v>
      </c>
      <c r="G7" s="35">
        <v>12629</v>
      </c>
      <c r="H7" s="35">
        <v>11381</v>
      </c>
      <c r="I7" s="35">
        <v>9397</v>
      </c>
      <c r="J7" s="35">
        <v>9054</v>
      </c>
      <c r="K7" s="35">
        <v>12988</v>
      </c>
      <c r="L7" s="35">
        <v>13336</v>
      </c>
      <c r="M7" s="35">
        <v>13505</v>
      </c>
      <c r="N7" s="35">
        <v>13620</v>
      </c>
      <c r="O7" s="35">
        <v>13175</v>
      </c>
      <c r="Y7" s="33">
        <v>1998</v>
      </c>
      <c r="Z7" s="34">
        <v>20595</v>
      </c>
    </row>
    <row r="8" spans="1:31" s="41" customFormat="1" ht="18.75" customHeight="1">
      <c r="A8" s="14" t="s">
        <v>5</v>
      </c>
      <c r="B8" s="13"/>
      <c r="C8" s="13"/>
      <c r="D8" s="37">
        <v>-0.10577968442394146</v>
      </c>
      <c r="E8" s="37">
        <f t="shared" ref="E8:O8" si="1">(E5-D5)/D5*100</f>
        <v>-3.5297232108715471</v>
      </c>
      <c r="F8" s="37">
        <f t="shared" si="1"/>
        <v>-26.40180504314419</v>
      </c>
      <c r="G8" s="37">
        <f t="shared" si="1"/>
        <v>-0.2195708012262822</v>
      </c>
      <c r="H8" s="37">
        <f t="shared" si="1"/>
        <v>-9.3003944363711852</v>
      </c>
      <c r="I8" s="37">
        <f t="shared" si="1"/>
        <v>-12.45136186770428</v>
      </c>
      <c r="J8" s="37">
        <f t="shared" si="1"/>
        <v>-7.6758169934640517</v>
      </c>
      <c r="K8" s="37">
        <f t="shared" si="1"/>
        <v>37.095769383247443</v>
      </c>
      <c r="L8" s="37">
        <f t="shared" si="1"/>
        <v>2.7925806584872146</v>
      </c>
      <c r="M8" s="37">
        <f t="shared" si="1"/>
        <v>-0.75151710002813166</v>
      </c>
      <c r="N8" s="37">
        <f t="shared" si="1"/>
        <v>-0.78960155490767725</v>
      </c>
      <c r="O8" s="37">
        <f t="shared" si="1"/>
        <v>-9.873066405452839</v>
      </c>
      <c r="P8" s="38"/>
      <c r="Q8" s="38"/>
      <c r="R8" s="38"/>
      <c r="S8" s="38"/>
      <c r="T8" s="38"/>
      <c r="U8" s="38"/>
      <c r="V8" s="38"/>
      <c r="W8" s="38"/>
      <c r="X8" s="38"/>
      <c r="Y8" s="39">
        <v>1999</v>
      </c>
      <c r="Z8" s="40">
        <v>26468</v>
      </c>
      <c r="AA8" s="38"/>
      <c r="AB8" s="38"/>
      <c r="AC8" s="38"/>
      <c r="AD8" s="38"/>
      <c r="AE8" s="38"/>
    </row>
    <row r="9" spans="1:31" ht="18.75" customHeight="1">
      <c r="A9" s="19" t="s">
        <v>13</v>
      </c>
      <c r="B9" s="21"/>
      <c r="C9" s="21"/>
      <c r="D9" s="35">
        <v>53901</v>
      </c>
      <c r="E9" s="35">
        <v>70075</v>
      </c>
      <c r="F9" s="35">
        <v>80839</v>
      </c>
      <c r="G9" s="35">
        <v>70259</v>
      </c>
      <c r="H9" s="35">
        <v>73840</v>
      </c>
      <c r="I9" s="35">
        <v>79777</v>
      </c>
      <c r="J9" s="35" t="s">
        <v>4</v>
      </c>
      <c r="K9" s="35" t="s">
        <v>4</v>
      </c>
      <c r="L9" s="35" t="s">
        <v>4</v>
      </c>
      <c r="M9" s="35" t="s">
        <v>4</v>
      </c>
      <c r="N9" s="35" t="s">
        <v>4</v>
      </c>
      <c r="O9" s="35" t="s">
        <v>4</v>
      </c>
      <c r="P9" s="38"/>
      <c r="Y9" s="33">
        <v>2003</v>
      </c>
      <c r="Z9" s="42">
        <v>33765</v>
      </c>
    </row>
    <row r="10" spans="1:31" ht="18.75" customHeight="1">
      <c r="A10" s="12" t="s">
        <v>14</v>
      </c>
      <c r="B10" s="13"/>
      <c r="C10" s="13"/>
      <c r="D10" s="36" t="s">
        <v>4</v>
      </c>
      <c r="E10" s="36" t="s">
        <v>4</v>
      </c>
      <c r="F10" s="36" t="s">
        <v>4</v>
      </c>
      <c r="G10" s="36" t="s">
        <v>4</v>
      </c>
      <c r="H10" s="36" t="s">
        <v>4</v>
      </c>
      <c r="I10" s="36" t="s">
        <v>4</v>
      </c>
      <c r="J10" s="36" t="s">
        <v>4</v>
      </c>
      <c r="K10" s="36">
        <v>57424</v>
      </c>
      <c r="L10" s="36">
        <v>45584</v>
      </c>
      <c r="M10" s="36">
        <v>58527</v>
      </c>
      <c r="N10" s="36">
        <v>83136</v>
      </c>
      <c r="O10" s="36">
        <v>76342</v>
      </c>
      <c r="Y10" s="33">
        <v>2004</v>
      </c>
      <c r="Z10" s="9">
        <v>38413</v>
      </c>
    </row>
    <row r="11" spans="1:31" s="7" customFormat="1" ht="18.75" customHeight="1">
      <c r="A11" s="19" t="s">
        <v>12</v>
      </c>
      <c r="B11" s="21"/>
      <c r="C11" s="21"/>
      <c r="D11" s="24" t="s">
        <v>9</v>
      </c>
      <c r="E11" s="19"/>
      <c r="F11" s="19"/>
      <c r="G11" s="19"/>
      <c r="H11" s="19"/>
      <c r="I11" s="19"/>
      <c r="J11" s="19"/>
      <c r="K11" s="19"/>
      <c r="L11" s="24" t="s">
        <v>10</v>
      </c>
      <c r="M11" s="25"/>
      <c r="N11" s="25"/>
      <c r="O11" s="26"/>
      <c r="P11" s="38"/>
      <c r="Q11" s="8"/>
      <c r="R11" s="8"/>
      <c r="S11" s="8"/>
      <c r="T11" s="8"/>
      <c r="U11" s="8"/>
      <c r="V11" s="8"/>
      <c r="W11" s="8"/>
      <c r="X11" s="8"/>
      <c r="Y11" s="33">
        <v>2005</v>
      </c>
      <c r="Z11" s="34">
        <v>44845</v>
      </c>
      <c r="AA11" s="8"/>
      <c r="AB11" s="8"/>
      <c r="AC11" s="8"/>
      <c r="AD11" s="8"/>
      <c r="AE11" s="8"/>
    </row>
    <row r="12" spans="1:31" ht="18.75" customHeight="1">
      <c r="A12" s="14" t="s">
        <v>7</v>
      </c>
      <c r="B12" s="13"/>
      <c r="C12" s="13"/>
      <c r="D12" s="36">
        <v>188889</v>
      </c>
      <c r="E12" s="18"/>
      <c r="F12" s="18"/>
      <c r="G12" s="18"/>
      <c r="H12" s="18"/>
      <c r="I12" s="14"/>
      <c r="J12" s="14"/>
      <c r="K12" s="14"/>
      <c r="L12" s="36">
        <v>244956</v>
      </c>
      <c r="M12" s="11"/>
      <c r="N12" s="11"/>
      <c r="P12" s="38"/>
      <c r="Y12" s="33">
        <v>2006</v>
      </c>
      <c r="Z12" s="3">
        <v>53901</v>
      </c>
    </row>
    <row r="13" spans="1:31" ht="18.75" customHeight="1">
      <c r="A13" s="22" t="s">
        <v>8</v>
      </c>
      <c r="B13" s="23"/>
      <c r="C13" s="23"/>
      <c r="D13" s="35">
        <v>100602</v>
      </c>
      <c r="E13" s="27"/>
      <c r="F13" s="27"/>
      <c r="G13" s="27"/>
      <c r="H13" s="27"/>
      <c r="I13" s="22"/>
      <c r="J13" s="22"/>
      <c r="K13" s="22"/>
      <c r="L13" s="35">
        <v>145757</v>
      </c>
      <c r="M13" s="28"/>
      <c r="N13" s="28"/>
      <c r="O13" s="20"/>
      <c r="P13" s="38"/>
      <c r="Y13" s="33">
        <v>2007</v>
      </c>
      <c r="Z13" s="3">
        <v>70075</v>
      </c>
    </row>
    <row r="14" spans="1:31" ht="18.75" customHeight="1">
      <c r="A14" s="14" t="s">
        <v>15</v>
      </c>
      <c r="B14" s="13"/>
      <c r="C14" s="13"/>
      <c r="D14" s="36">
        <v>5825</v>
      </c>
      <c r="E14" s="18"/>
      <c r="F14" s="18"/>
      <c r="G14" s="18"/>
      <c r="H14" s="18"/>
      <c r="I14" s="14"/>
      <c r="J14" s="14"/>
      <c r="K14" s="14"/>
      <c r="L14" s="36">
        <v>8005</v>
      </c>
      <c r="M14" s="11"/>
      <c r="N14" s="11"/>
      <c r="P14" s="38"/>
      <c r="Y14" s="33">
        <v>2008</v>
      </c>
      <c r="Z14" s="3">
        <v>80839</v>
      </c>
    </row>
    <row r="15" spans="1:31" ht="18.75" customHeight="1">
      <c r="A15" s="22" t="s">
        <v>11</v>
      </c>
      <c r="B15" s="23"/>
      <c r="C15" s="23"/>
      <c r="D15" s="43">
        <v>5.5</v>
      </c>
      <c r="E15" s="29"/>
      <c r="F15" s="29"/>
      <c r="G15" s="29"/>
      <c r="H15" s="29"/>
      <c r="I15" s="30"/>
      <c r="J15" s="30"/>
      <c r="K15" s="30"/>
      <c r="L15" s="43">
        <v>5.2</v>
      </c>
      <c r="M15" s="28"/>
      <c r="N15" s="28"/>
      <c r="O15" s="20"/>
      <c r="Y15" s="33">
        <v>2010</v>
      </c>
      <c r="Z15" s="3">
        <v>73840</v>
      </c>
    </row>
    <row r="16" spans="1:31" s="45" customFormat="1" ht="15" customHeight="1">
      <c r="A16" s="6" t="s">
        <v>19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15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33">
        <v>2011</v>
      </c>
      <c r="Z16" s="44">
        <f>I9</f>
        <v>79777</v>
      </c>
      <c r="AA16" s="17"/>
      <c r="AB16" s="17"/>
      <c r="AC16" s="17"/>
      <c r="AD16" s="17"/>
      <c r="AE16" s="17"/>
    </row>
    <row r="17" spans="1:31" s="3" customFormat="1" ht="15" customHeight="1">
      <c r="A17" s="6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33"/>
    </row>
    <row r="18" spans="1:31" s="17" customFormat="1" ht="15" customHeight="1">
      <c r="A18" s="6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31" s="3" customFormat="1" ht="15" customHeight="1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31" s="3" customFormat="1"/>
    <row r="21" spans="1:31" s="3" customFormat="1"/>
    <row r="22" spans="1:31" s="3" customFormat="1"/>
    <row r="23" spans="1:31" s="3" customFormat="1"/>
    <row r="24" spans="1:31" s="3" customFormat="1"/>
    <row r="25" spans="1:31" s="3" customFormat="1"/>
    <row r="26" spans="1:31" s="3" customFormat="1"/>
    <row r="27" spans="1:31" s="3" customFormat="1"/>
    <row r="28" spans="1:31" s="3" customFormat="1"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 spans="1:31" s="3" customFormat="1"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s="3" customFormat="1"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s="3" customFormat="1"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s="3" customFormat="1"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  <row r="413" s="3" customFormat="1"/>
    <row r="414" s="3" customFormat="1"/>
    <row r="415" s="3" customFormat="1"/>
    <row r="416" s="3" customFormat="1"/>
    <row r="417" s="3" customFormat="1"/>
    <row r="418" s="3" customFormat="1"/>
    <row r="419" s="3" customFormat="1"/>
    <row r="420" s="3" customFormat="1"/>
    <row r="421" s="3" customFormat="1"/>
    <row r="422" s="3" customFormat="1"/>
    <row r="423" s="3" customFormat="1"/>
    <row r="424" s="3" customFormat="1"/>
    <row r="425" s="3" customFormat="1"/>
    <row r="426" s="3" customFormat="1"/>
    <row r="427" s="3" customFormat="1"/>
    <row r="428" s="3" customFormat="1"/>
    <row r="429" s="3" customFormat="1"/>
    <row r="430" s="3" customFormat="1"/>
    <row r="431" s="3" customFormat="1"/>
    <row r="432" s="3" customFormat="1"/>
    <row r="433" s="3" customFormat="1"/>
    <row r="434" s="3" customFormat="1"/>
    <row r="435" s="3" customFormat="1"/>
    <row r="436" s="3" customFormat="1"/>
    <row r="437" s="3" customFormat="1"/>
    <row r="438" s="3" customFormat="1"/>
    <row r="439" s="3" customFormat="1"/>
    <row r="440" s="3" customFormat="1"/>
    <row r="441" s="3" customFormat="1"/>
    <row r="442" s="3" customFormat="1"/>
    <row r="443" s="3" customFormat="1"/>
    <row r="444" s="3" customFormat="1"/>
    <row r="445" s="3" customFormat="1"/>
    <row r="446" s="3" customFormat="1"/>
    <row r="447" s="3" customFormat="1"/>
    <row r="448" s="3" customFormat="1"/>
    <row r="449" s="3" customFormat="1"/>
    <row r="450" s="3" customFormat="1"/>
    <row r="451" s="3" customFormat="1"/>
    <row r="452" s="3" customFormat="1"/>
    <row r="453" s="3" customFormat="1"/>
    <row r="454" s="3" customFormat="1"/>
    <row r="455" s="3" customFormat="1"/>
    <row r="456" s="3" customFormat="1"/>
    <row r="457" s="3" customFormat="1"/>
    <row r="458" s="3" customFormat="1"/>
    <row r="459" s="3" customFormat="1"/>
    <row r="460" s="3" customFormat="1"/>
    <row r="461" s="3" customFormat="1"/>
    <row r="462" s="3" customFormat="1"/>
    <row r="463" s="3" customFormat="1"/>
    <row r="464" s="3" customFormat="1"/>
    <row r="465" s="3" customFormat="1"/>
    <row r="466" s="3" customFormat="1"/>
    <row r="467" s="3" customFormat="1"/>
    <row r="468" s="3" customFormat="1"/>
    <row r="469" s="3" customFormat="1"/>
    <row r="470" s="3" customFormat="1"/>
    <row r="471" s="3" customFormat="1"/>
    <row r="472" s="3" customFormat="1"/>
    <row r="473" s="3" customFormat="1"/>
    <row r="474" s="3" customFormat="1"/>
    <row r="475" s="3" customFormat="1"/>
    <row r="476" s="3" customFormat="1"/>
    <row r="477" s="3" customFormat="1"/>
    <row r="478" s="3" customFormat="1"/>
    <row r="479" s="3" customFormat="1"/>
    <row r="480" s="3" customFormat="1"/>
    <row r="481" s="3" customFormat="1"/>
    <row r="482" s="3" customFormat="1"/>
    <row r="483" s="3" customFormat="1"/>
    <row r="484" s="3" customFormat="1"/>
    <row r="485" s="3" customFormat="1"/>
    <row r="486" s="3" customFormat="1"/>
    <row r="487" s="3" customFormat="1"/>
    <row r="488" s="3" customFormat="1"/>
    <row r="489" s="3" customFormat="1"/>
    <row r="490" s="3" customFormat="1"/>
    <row r="491" s="3" customFormat="1"/>
    <row r="492" s="3" customFormat="1"/>
    <row r="493" s="3" customFormat="1"/>
    <row r="494" s="3" customFormat="1"/>
    <row r="495" s="3" customFormat="1"/>
    <row r="496" s="3" customFormat="1"/>
    <row r="497" s="3" customFormat="1"/>
    <row r="498" s="3" customFormat="1"/>
    <row r="499" s="3" customFormat="1"/>
    <row r="500" s="3" customFormat="1"/>
    <row r="501" s="3" customFormat="1"/>
    <row r="502" s="3" customFormat="1"/>
    <row r="503" s="3" customFormat="1"/>
    <row r="504" s="3" customFormat="1"/>
    <row r="505" s="3" customFormat="1"/>
    <row r="506" s="3" customFormat="1"/>
    <row r="507" s="3" customFormat="1"/>
    <row r="508" s="3" customFormat="1"/>
    <row r="509" s="3" customFormat="1"/>
    <row r="510" s="3" customFormat="1"/>
    <row r="511" s="3" customFormat="1"/>
    <row r="512" s="3" customFormat="1"/>
    <row r="513" s="3" customFormat="1"/>
    <row r="514" s="3" customFormat="1"/>
    <row r="515" s="3" customFormat="1"/>
    <row r="516" s="3" customFormat="1"/>
    <row r="517" s="3" customFormat="1"/>
    <row r="518" s="3" customFormat="1"/>
    <row r="519" s="3" customFormat="1"/>
    <row r="520" s="3" customFormat="1"/>
    <row r="521" s="3" customFormat="1"/>
    <row r="522" s="3" customFormat="1"/>
    <row r="523" s="3" customFormat="1"/>
    <row r="524" s="3" customFormat="1"/>
    <row r="525" s="3" customFormat="1"/>
    <row r="526" s="3" customFormat="1"/>
    <row r="527" s="3" customFormat="1"/>
    <row r="528" s="3" customFormat="1"/>
    <row r="529" s="3" customFormat="1"/>
    <row r="530" s="3" customFormat="1"/>
    <row r="531" s="3" customFormat="1"/>
    <row r="532" s="3" customFormat="1"/>
    <row r="533" s="3" customFormat="1"/>
    <row r="534" s="3" customFormat="1"/>
    <row r="535" s="3" customFormat="1"/>
    <row r="536" s="3" customFormat="1"/>
    <row r="537" s="3" customFormat="1"/>
    <row r="538" s="3" customFormat="1"/>
    <row r="539" s="3" customFormat="1"/>
    <row r="540" s="3" customFormat="1"/>
    <row r="541" s="3" customFormat="1"/>
    <row r="542" s="3" customFormat="1"/>
    <row r="543" s="3" customFormat="1"/>
    <row r="544" s="3" customFormat="1"/>
    <row r="545" s="3" customFormat="1"/>
    <row r="546" s="3" customFormat="1"/>
    <row r="547" s="3" customFormat="1"/>
    <row r="548" s="3" customFormat="1"/>
    <row r="549" s="3" customFormat="1"/>
    <row r="550" s="3" customFormat="1"/>
    <row r="551" s="3" customFormat="1"/>
    <row r="552" s="3" customFormat="1"/>
    <row r="553" s="3" customFormat="1"/>
    <row r="554" s="3" customFormat="1"/>
    <row r="555" s="3" customFormat="1"/>
    <row r="556" s="3" customFormat="1"/>
    <row r="557" s="3" customFormat="1"/>
    <row r="558" s="3" customFormat="1"/>
    <row r="559" s="3" customFormat="1"/>
    <row r="560" s="3" customFormat="1"/>
    <row r="561" s="3" customFormat="1"/>
    <row r="562" s="3" customFormat="1"/>
    <row r="563" s="3" customFormat="1"/>
    <row r="564" s="3" customFormat="1"/>
    <row r="565" s="3" customFormat="1"/>
    <row r="566" s="3" customFormat="1"/>
    <row r="567" s="3" customFormat="1"/>
    <row r="568" s="3" customFormat="1"/>
    <row r="569" s="3" customFormat="1"/>
    <row r="570" s="3" customFormat="1"/>
    <row r="571" s="3" customFormat="1"/>
    <row r="572" s="3" customFormat="1"/>
    <row r="573" s="3" customFormat="1"/>
    <row r="574" s="3" customFormat="1"/>
    <row r="575" s="3" customFormat="1"/>
    <row r="576" s="3" customFormat="1"/>
    <row r="577" s="3" customFormat="1"/>
    <row r="578" s="3" customFormat="1"/>
    <row r="579" s="3" customFormat="1"/>
    <row r="580" s="3" customFormat="1"/>
    <row r="581" s="3" customFormat="1"/>
    <row r="582" s="3" customFormat="1"/>
    <row r="583" s="3" customFormat="1"/>
    <row r="584" s="3" customFormat="1"/>
    <row r="585" s="3" customFormat="1"/>
    <row r="586" s="3" customFormat="1"/>
    <row r="587" s="3" customFormat="1"/>
    <row r="588" s="3" customFormat="1"/>
    <row r="589" s="3" customFormat="1"/>
    <row r="590" s="3" customFormat="1"/>
    <row r="591" s="3" customFormat="1"/>
    <row r="592" s="3" customFormat="1"/>
    <row r="593" s="3" customFormat="1"/>
    <row r="594" s="3" customFormat="1"/>
    <row r="595" s="3" customFormat="1"/>
    <row r="596" s="3" customFormat="1"/>
    <row r="597" s="3" customFormat="1"/>
    <row r="598" s="3" customFormat="1"/>
    <row r="599" s="3" customFormat="1"/>
    <row r="600" s="3" customFormat="1"/>
    <row r="601" s="3" customFormat="1"/>
    <row r="602" s="3" customFormat="1"/>
    <row r="603" s="3" customFormat="1"/>
    <row r="604" s="3" customFormat="1"/>
    <row r="605" s="3" customFormat="1"/>
    <row r="606" s="3" customFormat="1"/>
    <row r="607" s="3" customFormat="1"/>
    <row r="608" s="3" customFormat="1"/>
    <row r="609" s="3" customFormat="1"/>
    <row r="610" s="3" customFormat="1"/>
    <row r="611" s="3" customFormat="1"/>
    <row r="612" s="3" customFormat="1"/>
    <row r="613" s="3" customFormat="1"/>
    <row r="614" s="3" customFormat="1"/>
    <row r="615" s="3" customFormat="1"/>
    <row r="616" s="3" customFormat="1"/>
    <row r="617" s="3" customFormat="1"/>
    <row r="618" s="3" customFormat="1"/>
    <row r="619" s="3" customFormat="1"/>
    <row r="620" s="3" customFormat="1"/>
    <row r="621" s="3" customFormat="1"/>
    <row r="622" s="3" customFormat="1"/>
    <row r="623" s="3" customFormat="1"/>
    <row r="624" s="3" customFormat="1"/>
    <row r="625" s="3" customFormat="1"/>
    <row r="626" s="3" customFormat="1"/>
    <row r="627" s="3" customFormat="1"/>
    <row r="628" s="3" customFormat="1"/>
    <row r="629" s="3" customFormat="1"/>
  </sheetData>
  <mergeCells count="1">
    <mergeCell ref="A1:O1"/>
  </mergeCells>
  <printOptions horizontalCentered="1" verticalCentered="1"/>
  <pageMargins left="0.196850393700787" right="0.15748031496063" top="0.43307086614173201" bottom="0.35433070866141703" header="0.35433070866141703" footer="0.31496062992126"/>
  <pageSetup paperSize="9" scale="67" orientation="landscape" horizontalDpi="4294967295" vertic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 Emp</vt:lpstr>
      <vt:lpstr>'3 Emp'!Print_Area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2018-12-25T03:45:13Z</cp:lastPrinted>
  <dcterms:created xsi:type="dcterms:W3CDTF">2005-04-13T08:56:22Z</dcterms:created>
  <dcterms:modified xsi:type="dcterms:W3CDTF">2018-12-25T03:45:27Z</dcterms:modified>
</cp:coreProperties>
</file>