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Z:\Dissemination\Publications\Statistical Year Book\YEARBOOK 2018\FINAL\web\Indicator\"/>
    </mc:Choice>
  </mc:AlternateContent>
  <bookViews>
    <workbookView xWindow="15795" yWindow="30" windowWidth="10650" windowHeight="10665" tabRatio="927"/>
  </bookViews>
  <sheets>
    <sheet name="Finance" sheetId="23" r:id="rId1"/>
  </sheets>
  <externalReferences>
    <externalReference r:id="rId2"/>
  </externalReferences>
  <definedNames>
    <definedName name="_xlnm.Print_Area" localSheetId="0">Finance!$A$1:$N$52</definedName>
  </definedNames>
  <calcPr calcId="162913"/>
</workbook>
</file>

<file path=xl/calcChain.xml><?xml version="1.0" encoding="utf-8"?>
<calcChain xmlns="http://schemas.openxmlformats.org/spreadsheetml/2006/main">
  <c r="N25" i="23" l="1"/>
  <c r="AE48" i="23"/>
  <c r="H32" i="23"/>
  <c r="H31" i="23" s="1"/>
  <c r="G32" i="23"/>
  <c r="G30" i="23" s="1"/>
  <c r="F32" i="23"/>
  <c r="F31" i="23" s="1"/>
  <c r="F26" i="23"/>
  <c r="E32" i="23"/>
  <c r="E29" i="23" s="1"/>
  <c r="D32" i="23"/>
  <c r="D26" i="23" s="1"/>
  <c r="C32" i="23"/>
  <c r="C31" i="23" s="1"/>
  <c r="N31" i="23"/>
  <c r="M31" i="23"/>
  <c r="L31" i="23"/>
  <c r="K31" i="23"/>
  <c r="J31" i="23"/>
  <c r="I31" i="23"/>
  <c r="N30" i="23"/>
  <c r="M30" i="23"/>
  <c r="L30" i="23"/>
  <c r="K30" i="23"/>
  <c r="J30" i="23"/>
  <c r="I30" i="23"/>
  <c r="H30" i="23"/>
  <c r="F30" i="23"/>
  <c r="N29" i="23"/>
  <c r="M29" i="23"/>
  <c r="L29" i="23"/>
  <c r="K29" i="23"/>
  <c r="J29" i="23"/>
  <c r="I29" i="23"/>
  <c r="H29" i="23"/>
  <c r="F29" i="23"/>
  <c r="N28" i="23"/>
  <c r="M28" i="23"/>
  <c r="L28" i="23"/>
  <c r="K28" i="23"/>
  <c r="J28" i="23"/>
  <c r="I28" i="23"/>
  <c r="N27" i="23"/>
  <c r="M27" i="23"/>
  <c r="L27" i="23"/>
  <c r="K27" i="23"/>
  <c r="J27" i="23"/>
  <c r="I27" i="23"/>
  <c r="N26" i="23"/>
  <c r="M26" i="23"/>
  <c r="L26" i="23"/>
  <c r="K26" i="23"/>
  <c r="J26" i="23"/>
  <c r="I26" i="23"/>
  <c r="M25" i="23"/>
  <c r="L25" i="23"/>
  <c r="K25" i="23"/>
  <c r="J25" i="23"/>
  <c r="I25" i="23"/>
  <c r="H25" i="23"/>
  <c r="AH17" i="23"/>
  <c r="AG17" i="23"/>
  <c r="AH15" i="23"/>
  <c r="AG15" i="23"/>
  <c r="AF17" i="23"/>
  <c r="AD17" i="23"/>
  <c r="AB17" i="23"/>
  <c r="AA17" i="23"/>
  <c r="Z17" i="23"/>
  <c r="Y17" i="23"/>
  <c r="AE15" i="23"/>
  <c r="F25" i="23"/>
  <c r="AF15" i="23"/>
  <c r="X15" i="23"/>
  <c r="H26" i="23"/>
  <c r="AC17" i="23"/>
  <c r="X17" i="23"/>
  <c r="AA15" i="23"/>
  <c r="AC15" i="23"/>
  <c r="Z15" i="23"/>
  <c r="Y15" i="23"/>
  <c r="AB15" i="23"/>
  <c r="AE17" i="23"/>
  <c r="AD15" i="23"/>
  <c r="E26" i="23" l="1"/>
  <c r="E31" i="23"/>
  <c r="E25" i="23"/>
  <c r="D29" i="23"/>
  <c r="D30" i="23"/>
  <c r="D31" i="23"/>
  <c r="E30" i="23"/>
  <c r="D25" i="23"/>
  <c r="C26" i="23"/>
  <c r="C25" i="23"/>
  <c r="G25" i="23"/>
  <c r="G29" i="23"/>
  <c r="C30" i="23"/>
  <c r="G31" i="23"/>
  <c r="C29" i="23"/>
  <c r="G26" i="23"/>
</calcChain>
</file>

<file path=xl/sharedStrings.xml><?xml version="1.0" encoding="utf-8"?>
<sst xmlns="http://schemas.openxmlformats.org/spreadsheetml/2006/main" count="38" uniqueCount="38">
  <si>
    <t>Revenue as percent of GDP</t>
  </si>
  <si>
    <t>Total Expenditure as pecent of GDP</t>
  </si>
  <si>
    <t>(In million rufiyaa)</t>
  </si>
  <si>
    <t>Revenue and Grants</t>
  </si>
  <si>
    <t xml:space="preserve">Revenue </t>
  </si>
  <si>
    <t>Tax Revenue</t>
  </si>
  <si>
    <t>Expenditure and Net Lending</t>
  </si>
  <si>
    <t>Total Expenditure</t>
  </si>
  <si>
    <t>Current Expenditure</t>
  </si>
  <si>
    <t xml:space="preserve">Capital Expenditure </t>
  </si>
  <si>
    <t>Net Lending</t>
  </si>
  <si>
    <t>Financing</t>
  </si>
  <si>
    <t>Foreign financing</t>
  </si>
  <si>
    <t xml:space="preserve">PUBLIC FINANCE </t>
  </si>
  <si>
    <t>year</t>
  </si>
  <si>
    <t>2008 (rev)</t>
  </si>
  <si>
    <t>Wsiawf unubil iawgutogegIhea egurEb iaWaInwdcmWa</t>
  </si>
  <si>
    <t>IkWbufWs egInwrwdEverukUd iaWdwrwK</t>
  </si>
  <si>
    <r>
      <t xml:space="preserve">Non-tax Revenue </t>
    </r>
    <r>
      <rPr>
        <vertAlign val="superscript"/>
        <sz val="11"/>
        <rFont val="Calibri"/>
        <family val="2"/>
        <scheme val="minor"/>
      </rPr>
      <t>1_/</t>
    </r>
  </si>
  <si>
    <r>
      <t xml:space="preserve"> Grants </t>
    </r>
    <r>
      <rPr>
        <b/>
        <vertAlign val="superscript"/>
        <sz val="11"/>
        <rFont val="Calibri"/>
        <family val="2"/>
        <scheme val="minor"/>
      </rPr>
      <t>2_/</t>
    </r>
  </si>
  <si>
    <t>actual</t>
  </si>
  <si>
    <r>
      <t xml:space="preserve">Overall Balance </t>
    </r>
    <r>
      <rPr>
        <b/>
        <vertAlign val="superscript"/>
        <sz val="11"/>
        <rFont val="Calibri"/>
        <family val="2"/>
        <scheme val="minor"/>
      </rPr>
      <t>3</t>
    </r>
  </si>
  <si>
    <r>
      <t xml:space="preserve">Primary Balance </t>
    </r>
    <r>
      <rPr>
        <vertAlign val="superscript"/>
        <sz val="11"/>
        <rFont val="Calibri"/>
        <family val="2"/>
        <scheme val="minor"/>
      </rPr>
      <t>4</t>
    </r>
  </si>
  <si>
    <t xml:space="preserve">Domestic financing </t>
  </si>
  <si>
    <t xml:space="preserve">Total Debt </t>
  </si>
  <si>
    <t>Foreign Debt</t>
  </si>
  <si>
    <t xml:space="preserve">Domestic Debt </t>
  </si>
  <si>
    <t>Overall Balance as pecent of GDP</t>
  </si>
  <si>
    <t>Primary Balance as pecent of GDP</t>
  </si>
  <si>
    <t>Total Debt as pecent of GDP</t>
  </si>
  <si>
    <t>Foreign debt as pecent of GDP</t>
  </si>
  <si>
    <t>Domestic debt as pecent of GDP</t>
  </si>
  <si>
    <t>revised</t>
  </si>
  <si>
    <r>
      <rPr>
        <vertAlign val="superscript"/>
        <sz val="11"/>
        <rFont val="Calibri"/>
        <family val="2"/>
      </rPr>
      <t>1_/</t>
    </r>
    <r>
      <rPr>
        <i/>
        <vertAlign val="superscript"/>
        <sz val="11"/>
        <rFont val="Calibri"/>
        <family val="2"/>
      </rPr>
      <t xml:space="preserve">    </t>
    </r>
    <r>
      <rPr>
        <i/>
        <sz val="11"/>
        <rFont val="Calibri"/>
        <family val="2"/>
      </rPr>
      <t>Includes capital revenue</t>
    </r>
  </si>
  <si>
    <r>
      <rPr>
        <vertAlign val="superscript"/>
        <sz val="11"/>
        <rFont val="Calibri"/>
        <family val="2"/>
      </rPr>
      <t>4_/</t>
    </r>
    <r>
      <rPr>
        <i/>
        <vertAlign val="superscript"/>
        <sz val="11"/>
        <rFont val="Calibri"/>
        <family val="2"/>
      </rPr>
      <t xml:space="preserve">    </t>
    </r>
    <r>
      <rPr>
        <i/>
        <sz val="11"/>
        <rFont val="Calibri"/>
        <family val="2"/>
      </rPr>
      <t>Primary Balance is excluding Loan repayment</t>
    </r>
  </si>
  <si>
    <r>
      <rPr>
        <vertAlign val="superscript"/>
        <sz val="11"/>
        <rFont val="Calibri"/>
        <family val="2"/>
      </rPr>
      <t>2_/</t>
    </r>
    <r>
      <rPr>
        <i/>
        <vertAlign val="superscript"/>
        <sz val="11"/>
        <rFont val="Calibri"/>
        <family val="2"/>
      </rPr>
      <t xml:space="preserve">    </t>
    </r>
    <r>
      <rPr>
        <i/>
        <sz val="11"/>
        <rFont val="Calibri"/>
        <family val="2"/>
      </rPr>
      <t>Excludes grants for direct expenditure by donors</t>
    </r>
  </si>
  <si>
    <r>
      <rPr>
        <vertAlign val="superscript"/>
        <sz val="11"/>
        <rFont val="Calibri"/>
        <family val="2"/>
      </rPr>
      <t>3_/</t>
    </r>
    <r>
      <rPr>
        <i/>
        <vertAlign val="superscript"/>
        <sz val="11"/>
        <rFont val="Calibri"/>
        <family val="2"/>
      </rPr>
      <t xml:space="preserve">    </t>
    </r>
    <r>
      <rPr>
        <i/>
        <sz val="11"/>
        <rFont val="Calibri"/>
        <family val="2"/>
      </rPr>
      <t xml:space="preserve">Overall Balance including Grants </t>
    </r>
  </si>
  <si>
    <t>GDP (at 2014 current prices in millions MVR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</si>
</sst>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43" formatCode="_(* #,##0.00_);_(* \(#,##0.00\);_(* &quot;-&quot;??_);_(@_)"/>
    <numFmt numFmtId="164" formatCode="#,##0.0"/>
    <numFmt numFmtId="165" formatCode="General_)"/>
    <numFmt numFmtId="166" formatCode="0.0"/>
    <numFmt numFmtId="167" formatCode="_(* #,##0_);_(* \(#,##0\);_(* &quot;-&quot;??_);_(@_)"/>
    <numFmt numFmtId="168" formatCode="_(* #,##0.0_);_(* \(#,##0.0\);_(* &quot;-&quot;??_);_(@_)"/>
    <numFmt numFmtId="169" formatCode="_-* #,##0.0_-;\-* #,##0.0_-;_-* &quot;-&quot;??_-;_-@_-"/>
    <numFmt numFmtId="170" formatCode="_(* #,##0.0_);_(* \(#,##0.0\);_(* &quot;-&quot;_);_(@_)"/>
    <numFmt numFmtId="171" formatCode="_-* #,##0.00\ _ރ_._-;_-* #,##0.00\ _ރ_.\-;_-* &quot;-&quot;??\ _ރ_._-;_-@_-"/>
    <numFmt numFmtId="172" formatCode="0.00_)"/>
    <numFmt numFmtId="173" formatCode="_-* #,##0_-;\-* #,##0_-;_-* &quot;-&quot;??_-;_-@_-"/>
    <numFmt numFmtId="174" formatCode="[$-409]mmm\-yy;@"/>
    <numFmt numFmtId="175" formatCode="_-* #,##0.00_-;\-* #,##0.00_-;_-* &quot;-&quot;??_-;_-@_-"/>
    <numFmt numFmtId="176" formatCode="[$-409]mmmm\ d\,\ yyyy;@"/>
  </numFmts>
  <fonts count="9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sz val="10"/>
      <name val="Courier"/>
      <family val="3"/>
    </font>
    <font>
      <sz val="10"/>
      <name val="A_Ilham"/>
    </font>
    <font>
      <sz val="10"/>
      <name val="Calibri"/>
      <family val="2"/>
    </font>
    <font>
      <sz val="11"/>
      <name val="Calibri"/>
      <family val="2"/>
    </font>
    <font>
      <b/>
      <sz val="10"/>
      <name val="Calibri"/>
      <family val="2"/>
    </font>
    <font>
      <i/>
      <sz val="10"/>
      <name val="Calibri"/>
      <family val="2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  <font>
      <b/>
      <sz val="11"/>
      <name val="Calibri"/>
      <family val="2"/>
      <scheme val="minor"/>
    </font>
    <font>
      <sz val="10"/>
      <name val="Candara"/>
      <family val="2"/>
    </font>
    <font>
      <b/>
      <sz val="14"/>
      <name val="Candara"/>
      <family val="2"/>
    </font>
    <font>
      <sz val="10"/>
      <color theme="1"/>
      <name val="Calibri"/>
      <family val="2"/>
    </font>
    <font>
      <sz val="11"/>
      <color theme="1"/>
      <name val="Calibri"/>
      <family val="2"/>
      <charset val="1"/>
      <scheme val="minor"/>
    </font>
    <font>
      <b/>
      <sz val="11"/>
      <name val="Calibri"/>
      <family val="2"/>
    </font>
    <font>
      <i/>
      <sz val="11"/>
      <name val="Calibri"/>
      <family val="2"/>
    </font>
    <font>
      <b/>
      <sz val="20"/>
      <color theme="0"/>
      <name val="Candara"/>
      <family val="2"/>
    </font>
    <font>
      <sz val="11"/>
      <name val="Candara"/>
      <family val="2"/>
    </font>
    <font>
      <b/>
      <sz val="12"/>
      <name val="Calibri"/>
      <family val="2"/>
    </font>
    <font>
      <vertAlign val="superscript"/>
      <sz val="11"/>
      <name val="Calibri"/>
      <family val="2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11"/>
      <color indexed="8"/>
      <name val="Calibri"/>
      <family val="2"/>
    </font>
    <font>
      <sz val="10"/>
      <name val="MS Sans Serif"/>
      <family val="2"/>
    </font>
    <font>
      <b/>
      <i/>
      <sz val="16"/>
      <name val="Helv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5"/>
      <color theme="3"/>
      <name val="Arial Mäori"/>
      <family val="2"/>
    </font>
    <font>
      <sz val="10"/>
      <name val="Arial"/>
      <family val="2"/>
    </font>
    <font>
      <b/>
      <vertAlign val="superscript"/>
      <sz val="11"/>
      <name val="Calibri"/>
      <family val="2"/>
      <scheme val="minor"/>
    </font>
    <font>
      <vertAlign val="superscript"/>
      <sz val="1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  <charset val="1"/>
    </font>
    <font>
      <sz val="9"/>
      <color theme="1"/>
      <name val="Calibri"/>
      <family val="2"/>
    </font>
    <font>
      <i/>
      <sz val="11"/>
      <color theme="1"/>
      <name val="Calibri"/>
      <family val="2"/>
      <scheme val="minor"/>
    </font>
    <font>
      <sz val="18"/>
      <color theme="3"/>
      <name val="Cambria"/>
      <family val="2"/>
      <scheme val="major"/>
    </font>
    <font>
      <sz val="11"/>
      <color rgb="FF9C5700"/>
      <name val="Calibri"/>
      <family val="2"/>
      <scheme val="minor"/>
    </font>
    <font>
      <i/>
      <sz val="11"/>
      <color theme="1"/>
      <name val="Calibri"/>
      <family val="2"/>
    </font>
    <font>
      <i/>
      <vertAlign val="superscript"/>
      <sz val="11"/>
      <name val="Calibri"/>
      <family val="2"/>
    </font>
  </fonts>
  <fills count="5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79">
    <xf numFmtId="0" fontId="0" fillId="0" borderId="0"/>
    <xf numFmtId="0" fontId="20" fillId="0" borderId="0"/>
    <xf numFmtId="0" fontId="18" fillId="0" borderId="0"/>
    <xf numFmtId="0" fontId="18" fillId="0" borderId="0"/>
    <xf numFmtId="43" fontId="15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27" fillId="0" borderId="0" applyFont="0" applyFill="0" applyBorder="0" applyAlignment="0" applyProtection="0"/>
    <xf numFmtId="0" fontId="18" fillId="0" borderId="0"/>
    <xf numFmtId="0" fontId="21" fillId="0" borderId="0"/>
    <xf numFmtId="164" fontId="21" fillId="0" borderId="0"/>
    <xf numFmtId="164" fontId="21" fillId="0" borderId="0"/>
    <xf numFmtId="0" fontId="27" fillId="0" borderId="0"/>
    <xf numFmtId="0" fontId="15" fillId="0" borderId="0"/>
    <xf numFmtId="0" fontId="15" fillId="0" borderId="0"/>
    <xf numFmtId="165" fontId="21" fillId="0" borderId="0"/>
    <xf numFmtId="166" fontId="21" fillId="0" borderId="0" applyFont="0" applyFill="0" applyBorder="0" applyAlignment="0" applyProtection="0"/>
    <xf numFmtId="0" fontId="14" fillId="0" borderId="0"/>
    <xf numFmtId="0" fontId="18" fillId="0" borderId="0"/>
    <xf numFmtId="0" fontId="35" fillId="0" borderId="0"/>
    <xf numFmtId="43" fontId="35" fillId="0" borderId="0" applyFont="0" applyFill="0" applyBorder="0" applyAlignment="0" applyProtection="0"/>
    <xf numFmtId="0" fontId="13" fillId="0" borderId="0"/>
    <xf numFmtId="0" fontId="12" fillId="0" borderId="0"/>
    <xf numFmtId="43" fontId="12" fillId="0" borderId="0" applyFont="0" applyFill="0" applyBorder="0" applyAlignment="0" applyProtection="0"/>
    <xf numFmtId="0" fontId="15" fillId="0" borderId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12" fillId="0" borderId="0"/>
    <xf numFmtId="0" fontId="12" fillId="0" borderId="0"/>
    <xf numFmtId="165" fontId="21" fillId="0" borderId="0"/>
    <xf numFmtId="171" fontId="35" fillId="0" borderId="0" applyFont="0" applyFill="0" applyBorder="0" applyAlignment="0" applyProtection="0"/>
    <xf numFmtId="0" fontId="35" fillId="0" borderId="0"/>
    <xf numFmtId="0" fontId="48" fillId="3" borderId="0" applyNumberFormat="0" applyBorder="0" applyAlignment="0" applyProtection="0"/>
    <xf numFmtId="0" fontId="48" fillId="4" borderId="0" applyNumberFormat="0" applyBorder="0" applyAlignment="0" applyProtection="0"/>
    <xf numFmtId="0" fontId="48" fillId="5" borderId="0" applyNumberFormat="0" applyBorder="0" applyAlignment="0" applyProtection="0"/>
    <xf numFmtId="0" fontId="48" fillId="6" borderId="0" applyNumberFormat="0" applyBorder="0" applyAlignment="0" applyProtection="0"/>
    <xf numFmtId="0" fontId="48" fillId="7" borderId="0" applyNumberFormat="0" applyBorder="0" applyAlignment="0" applyProtection="0"/>
    <xf numFmtId="0" fontId="48" fillId="8" borderId="0" applyNumberFormat="0" applyBorder="0" applyAlignment="0" applyProtection="0"/>
    <xf numFmtId="0" fontId="48" fillId="9" borderId="0" applyNumberFormat="0" applyBorder="0" applyAlignment="0" applyProtection="0"/>
    <xf numFmtId="0" fontId="48" fillId="10" borderId="0" applyNumberFormat="0" applyBorder="0" applyAlignment="0" applyProtection="0"/>
    <xf numFmtId="0" fontId="48" fillId="11" borderId="0" applyNumberFormat="0" applyBorder="0" applyAlignment="0" applyProtection="0"/>
    <xf numFmtId="0" fontId="48" fillId="6" borderId="0" applyNumberFormat="0" applyBorder="0" applyAlignment="0" applyProtection="0"/>
    <xf numFmtId="0" fontId="48" fillId="9" borderId="0" applyNumberFormat="0" applyBorder="0" applyAlignment="0" applyProtection="0"/>
    <xf numFmtId="0" fontId="48" fillId="12" borderId="0" applyNumberFormat="0" applyBorder="0" applyAlignment="0" applyProtection="0"/>
    <xf numFmtId="0" fontId="49" fillId="13" borderId="0" applyNumberFormat="0" applyBorder="0" applyAlignment="0" applyProtection="0"/>
    <xf numFmtId="0" fontId="49" fillId="10" borderId="0" applyNumberFormat="0" applyBorder="0" applyAlignment="0" applyProtection="0"/>
    <xf numFmtId="0" fontId="49" fillId="11" borderId="0" applyNumberFormat="0" applyBorder="0" applyAlignment="0" applyProtection="0"/>
    <xf numFmtId="0" fontId="49" fillId="14" borderId="0" applyNumberFormat="0" applyBorder="0" applyAlignment="0" applyProtection="0"/>
    <xf numFmtId="0" fontId="49" fillId="15" borderId="0" applyNumberFormat="0" applyBorder="0" applyAlignment="0" applyProtection="0"/>
    <xf numFmtId="0" fontId="49" fillId="16" borderId="0" applyNumberFormat="0" applyBorder="0" applyAlignment="0" applyProtection="0"/>
    <xf numFmtId="0" fontId="49" fillId="17" borderId="0" applyNumberFormat="0" applyBorder="0" applyAlignment="0" applyProtection="0"/>
    <xf numFmtId="0" fontId="49" fillId="18" borderId="0" applyNumberFormat="0" applyBorder="0" applyAlignment="0" applyProtection="0"/>
    <xf numFmtId="0" fontId="49" fillId="19" borderId="0" applyNumberFormat="0" applyBorder="0" applyAlignment="0" applyProtection="0"/>
    <xf numFmtId="0" fontId="49" fillId="14" borderId="0" applyNumberFormat="0" applyBorder="0" applyAlignment="0" applyProtection="0"/>
    <xf numFmtId="0" fontId="49" fillId="15" borderId="0" applyNumberFormat="0" applyBorder="0" applyAlignment="0" applyProtection="0"/>
    <xf numFmtId="0" fontId="49" fillId="20" borderId="0" applyNumberFormat="0" applyBorder="0" applyAlignment="0" applyProtection="0"/>
    <xf numFmtId="0" fontId="50" fillId="4" borderId="0" applyNumberFormat="0" applyBorder="0" applyAlignment="0" applyProtection="0"/>
    <xf numFmtId="0" fontId="51" fillId="21" borderId="2" applyNumberFormat="0" applyAlignment="0" applyProtection="0"/>
    <xf numFmtId="0" fontId="52" fillId="22" borderId="3" applyNumberFormat="0" applyAlignment="0" applyProtection="0"/>
    <xf numFmtId="40" fontId="46" fillId="0" borderId="0" applyFont="0" applyFill="0" applyBorder="0" applyAlignment="0" applyProtection="0"/>
    <xf numFmtId="0" fontId="53" fillId="0" borderId="0" applyNumberFormat="0" applyFill="0" applyBorder="0" applyAlignment="0" applyProtection="0"/>
    <xf numFmtId="0" fontId="54" fillId="5" borderId="0" applyNumberFormat="0" applyBorder="0" applyAlignment="0" applyProtection="0"/>
    <xf numFmtId="0" fontId="55" fillId="0" borderId="4" applyNumberFormat="0" applyFill="0" applyAlignment="0" applyProtection="0"/>
    <xf numFmtId="0" fontId="56" fillId="0" borderId="5" applyNumberFormat="0" applyFill="0" applyAlignment="0" applyProtection="0"/>
    <xf numFmtId="0" fontId="57" fillId="0" borderId="6" applyNumberFormat="0" applyFill="0" applyAlignment="0" applyProtection="0"/>
    <xf numFmtId="0" fontId="57" fillId="0" borderId="0" applyNumberFormat="0" applyFill="0" applyBorder="0" applyAlignment="0" applyProtection="0"/>
    <xf numFmtId="0" fontId="58" fillId="8" borderId="2" applyNumberFormat="0" applyAlignment="0" applyProtection="0"/>
    <xf numFmtId="0" fontId="59" fillId="0" borderId="7" applyNumberFormat="0" applyFill="0" applyAlignment="0" applyProtection="0"/>
    <xf numFmtId="0" fontId="60" fillId="23" borderId="0" applyNumberFormat="0" applyBorder="0" applyAlignment="0" applyProtection="0"/>
    <xf numFmtId="172" fontId="47" fillId="0" borderId="0"/>
    <xf numFmtId="0" fontId="35" fillId="0" borderId="0"/>
    <xf numFmtId="0" fontId="35" fillId="0" borderId="0"/>
    <xf numFmtId="0" fontId="35" fillId="0" borderId="0"/>
    <xf numFmtId="0" fontId="15" fillId="0" borderId="0"/>
    <xf numFmtId="165" fontId="2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5" fillId="0" borderId="0"/>
    <xf numFmtId="0" fontId="48" fillId="24" borderId="8" applyNumberFormat="0" applyFont="0" applyAlignment="0" applyProtection="0"/>
    <xf numFmtId="0" fontId="61" fillId="21" borderId="9" applyNumberFormat="0" applyAlignment="0" applyProtection="0"/>
    <xf numFmtId="9" fontId="46" fillId="0" borderId="0" applyFont="0" applyFill="0" applyBorder="0" applyAlignment="0" applyProtection="0"/>
    <xf numFmtId="0" fontId="62" fillId="0" borderId="0" applyNumberFormat="0" applyFill="0" applyBorder="0" applyAlignment="0" applyProtection="0"/>
    <xf numFmtId="0" fontId="45" fillId="0" borderId="10" applyNumberFormat="0" applyFill="0" applyAlignment="0" applyProtection="0"/>
    <xf numFmtId="0" fontId="63" fillId="0" borderId="0" applyNumberFormat="0" applyFill="0" applyBorder="0" applyAlignment="0" applyProtection="0"/>
    <xf numFmtId="165" fontId="21" fillId="0" borderId="0"/>
    <xf numFmtId="165" fontId="2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64" fillId="0" borderId="0" applyNumberFormat="0" applyFill="0" applyBorder="0" applyAlignment="0" applyProtection="0"/>
    <xf numFmtId="0" fontId="65" fillId="0" borderId="11" applyNumberFormat="0" applyFill="0" applyAlignment="0" applyProtection="0"/>
    <xf numFmtId="0" fontId="66" fillId="0" borderId="12" applyNumberFormat="0" applyFill="0" applyAlignment="0" applyProtection="0"/>
    <xf numFmtId="0" fontId="67" fillId="0" borderId="13" applyNumberFormat="0" applyFill="0" applyAlignment="0" applyProtection="0"/>
    <xf numFmtId="0" fontId="67" fillId="0" borderId="0" applyNumberFormat="0" applyFill="0" applyBorder="0" applyAlignment="0" applyProtection="0"/>
    <xf numFmtId="0" fontId="68" fillId="25" borderId="0" applyNumberFormat="0" applyBorder="0" applyAlignment="0" applyProtection="0"/>
    <xf numFmtId="0" fontId="69" fillId="26" borderId="0" applyNumberFormat="0" applyBorder="0" applyAlignment="0" applyProtection="0"/>
    <xf numFmtId="0" fontId="70" fillId="27" borderId="0" applyNumberFormat="0" applyBorder="0" applyAlignment="0" applyProtection="0"/>
    <xf numFmtId="0" fontId="71" fillId="28" borderId="14" applyNumberFormat="0" applyAlignment="0" applyProtection="0"/>
    <xf numFmtId="0" fontId="72" fillId="29" borderId="15" applyNumberFormat="0" applyAlignment="0" applyProtection="0"/>
    <xf numFmtId="0" fontId="73" fillId="29" borderId="14" applyNumberFormat="0" applyAlignment="0" applyProtection="0"/>
    <xf numFmtId="0" fontId="74" fillId="0" borderId="16" applyNumberFormat="0" applyFill="0" applyAlignment="0" applyProtection="0"/>
    <xf numFmtId="0" fontId="75" fillId="30" borderId="17" applyNumberFormat="0" applyAlignment="0" applyProtection="0"/>
    <xf numFmtId="0" fontId="76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42" fillId="0" borderId="19" applyNumberFormat="0" applyFill="0" applyAlignment="0" applyProtection="0"/>
    <xf numFmtId="0" fontId="78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4" borderId="0" applyNumberFormat="0" applyBorder="0" applyAlignment="0" applyProtection="0"/>
    <xf numFmtId="0" fontId="78" fillId="35" borderId="0" applyNumberFormat="0" applyBorder="0" applyAlignment="0" applyProtection="0"/>
    <xf numFmtId="0" fontId="78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38" borderId="0" applyNumberFormat="0" applyBorder="0" applyAlignment="0" applyProtection="0"/>
    <xf numFmtId="0" fontId="78" fillId="39" borderId="0" applyNumberFormat="0" applyBorder="0" applyAlignment="0" applyProtection="0"/>
    <xf numFmtId="0" fontId="78" fillId="40" borderId="0" applyNumberFormat="0" applyBorder="0" applyAlignment="0" applyProtection="0"/>
    <xf numFmtId="0" fontId="10" fillId="41" borderId="0" applyNumberFormat="0" applyBorder="0" applyAlignment="0" applyProtection="0"/>
    <xf numFmtId="0" fontId="10" fillId="42" borderId="0" applyNumberFormat="0" applyBorder="0" applyAlignment="0" applyProtection="0"/>
    <xf numFmtId="0" fontId="78" fillId="43" borderId="0" applyNumberFormat="0" applyBorder="0" applyAlignment="0" applyProtection="0"/>
    <xf numFmtId="0" fontId="78" fillId="44" borderId="0" applyNumberFormat="0" applyBorder="0" applyAlignment="0" applyProtection="0"/>
    <xf numFmtId="0" fontId="10" fillId="45" borderId="0" applyNumberFormat="0" applyBorder="0" applyAlignment="0" applyProtection="0"/>
    <xf numFmtId="0" fontId="10" fillId="46" borderId="0" applyNumberFormat="0" applyBorder="0" applyAlignment="0" applyProtection="0"/>
    <xf numFmtId="0" fontId="78" fillId="47" borderId="0" applyNumberFormat="0" applyBorder="0" applyAlignment="0" applyProtection="0"/>
    <xf numFmtId="0" fontId="78" fillId="48" borderId="0" applyNumberFormat="0" applyBorder="0" applyAlignment="0" applyProtection="0"/>
    <xf numFmtId="0" fontId="10" fillId="49" borderId="0" applyNumberFormat="0" applyBorder="0" applyAlignment="0" applyProtection="0"/>
    <xf numFmtId="0" fontId="10" fillId="50" borderId="0" applyNumberFormat="0" applyBorder="0" applyAlignment="0" applyProtection="0"/>
    <xf numFmtId="0" fontId="78" fillId="51" borderId="0" applyNumberFormat="0" applyBorder="0" applyAlignment="0" applyProtection="0"/>
    <xf numFmtId="0" fontId="78" fillId="52" borderId="0" applyNumberFormat="0" applyBorder="0" applyAlignment="0" applyProtection="0"/>
    <xf numFmtId="0" fontId="10" fillId="53" borderId="0" applyNumberFormat="0" applyBorder="0" applyAlignment="0" applyProtection="0"/>
    <xf numFmtId="0" fontId="10" fillId="54" borderId="0" applyNumberFormat="0" applyBorder="0" applyAlignment="0" applyProtection="0"/>
    <xf numFmtId="0" fontId="78" fillId="55" borderId="0" applyNumberFormat="0" applyBorder="0" applyAlignment="0" applyProtection="0"/>
    <xf numFmtId="0" fontId="10" fillId="0" borderId="0"/>
    <xf numFmtId="43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79" fillId="0" borderId="11" applyNumberFormat="0" applyFill="0" applyAlignment="0" applyProtection="0"/>
    <xf numFmtId="173" fontId="48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10" fillId="31" borderId="18" applyNumberFormat="0" applyFont="0" applyAlignment="0" applyProtection="0"/>
    <xf numFmtId="0" fontId="10" fillId="0" borderId="0"/>
    <xf numFmtId="0" fontId="10" fillId="0" borderId="0"/>
    <xf numFmtId="0" fontId="10" fillId="0" borderId="0"/>
    <xf numFmtId="0" fontId="15" fillId="0" borderId="0"/>
    <xf numFmtId="43" fontId="15" fillId="0" borderId="0" applyFont="0" applyFill="0" applyBorder="0" applyAlignment="0" applyProtection="0"/>
    <xf numFmtId="0" fontId="10" fillId="0" borderId="0"/>
    <xf numFmtId="0" fontId="10" fillId="0" borderId="0"/>
    <xf numFmtId="0" fontId="9" fillId="0" borderId="0"/>
    <xf numFmtId="174" fontId="8" fillId="0" borderId="0"/>
    <xf numFmtId="9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15" fillId="0" borderId="0"/>
    <xf numFmtId="0" fontId="7" fillId="0" borderId="0"/>
    <xf numFmtId="43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0" fontId="80" fillId="0" borderId="0"/>
    <xf numFmtId="0" fontId="6" fillId="0" borderId="0"/>
    <xf numFmtId="165" fontId="21" fillId="0" borderId="0"/>
    <xf numFmtId="0" fontId="83" fillId="0" borderId="0"/>
    <xf numFmtId="43" fontId="83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15" fillId="0" borderId="0" applyFont="0" applyFill="0" applyBorder="0" applyAlignment="0" applyProtection="0"/>
    <xf numFmtId="171" fontId="15" fillId="0" borderId="0" applyFont="0" applyFill="0" applyBorder="0" applyAlignment="0" applyProtection="0"/>
    <xf numFmtId="171" fontId="15" fillId="0" borderId="0" applyFont="0" applyFill="0" applyBorder="0" applyAlignment="0" applyProtection="0"/>
    <xf numFmtId="175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5" fillId="0" borderId="0"/>
    <xf numFmtId="167" fontId="2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5" fillId="0" borderId="0"/>
    <xf numFmtId="0" fontId="15" fillId="0" borderId="0"/>
    <xf numFmtId="0" fontId="5" fillId="0" borderId="0"/>
    <xf numFmtId="0" fontId="15" fillId="0" borderId="0"/>
    <xf numFmtId="0" fontId="3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5" fillId="0" borderId="0"/>
    <xf numFmtId="0" fontId="5" fillId="0" borderId="0"/>
    <xf numFmtId="0" fontId="15" fillId="0" borderId="0"/>
    <xf numFmtId="0" fontId="5" fillId="0" borderId="0"/>
    <xf numFmtId="0" fontId="35" fillId="0" borderId="0"/>
    <xf numFmtId="0" fontId="15" fillId="0" borderId="0"/>
    <xf numFmtId="0" fontId="5" fillId="0" borderId="0"/>
    <xf numFmtId="0" fontId="5" fillId="0" borderId="0"/>
    <xf numFmtId="0" fontId="5" fillId="0" borderId="0"/>
    <xf numFmtId="0" fontId="15" fillId="0" borderId="0"/>
    <xf numFmtId="0" fontId="15" fillId="0" borderId="0"/>
    <xf numFmtId="0" fontId="4" fillId="0" borderId="0"/>
    <xf numFmtId="0" fontId="4" fillId="0" borderId="0"/>
    <xf numFmtId="0" fontId="4" fillId="0" borderId="0"/>
    <xf numFmtId="0" fontId="3" fillId="0" borderId="0"/>
    <xf numFmtId="40" fontId="46" fillId="0" borderId="0" applyFont="0" applyFill="0" applyBorder="0" applyAlignment="0" applyProtection="0"/>
    <xf numFmtId="176" fontId="21" fillId="0" borderId="0"/>
    <xf numFmtId="176" fontId="21" fillId="0" borderId="0"/>
    <xf numFmtId="0" fontId="2" fillId="0" borderId="0"/>
    <xf numFmtId="0" fontId="87" fillId="0" borderId="0" applyNumberFormat="0" applyFill="0" applyBorder="0" applyAlignment="0" applyProtection="0"/>
    <xf numFmtId="0" fontId="88" fillId="27" borderId="0" applyNumberFormat="0" applyBorder="0" applyAlignment="0" applyProtection="0"/>
    <xf numFmtId="0" fontId="2" fillId="31" borderId="18" applyNumberFormat="0" applyFont="0" applyAlignment="0" applyProtection="0"/>
    <xf numFmtId="0" fontId="2" fillId="33" borderId="0" applyNumberFormat="0" applyBorder="0" applyAlignment="0" applyProtection="0"/>
    <xf numFmtId="0" fontId="2" fillId="34" borderId="0" applyNumberFormat="0" applyBorder="0" applyAlignment="0" applyProtection="0"/>
    <xf numFmtId="0" fontId="2" fillId="35" borderId="0" applyNumberFormat="0" applyBorder="0" applyAlignment="0" applyProtection="0"/>
    <xf numFmtId="0" fontId="2" fillId="37" borderId="0" applyNumberFormat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1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5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49" borderId="0" applyNumberFormat="0" applyBorder="0" applyAlignment="0" applyProtection="0"/>
    <xf numFmtId="0" fontId="2" fillId="50" borderId="0" applyNumberFormat="0" applyBorder="0" applyAlignment="0" applyProtection="0"/>
    <xf numFmtId="0" fontId="2" fillId="51" borderId="0" applyNumberFormat="0" applyBorder="0" applyAlignment="0" applyProtection="0"/>
    <xf numFmtId="0" fontId="2" fillId="53" borderId="0" applyNumberFormat="0" applyBorder="0" applyAlignment="0" applyProtection="0"/>
    <xf numFmtId="0" fontId="2" fillId="54" borderId="0" applyNumberFormat="0" applyBorder="0" applyAlignment="0" applyProtection="0"/>
    <xf numFmtId="0" fontId="2" fillId="55" borderId="0" applyNumberFormat="0" applyBorder="0" applyAlignment="0" applyProtection="0"/>
  </cellStyleXfs>
  <cellXfs count="96">
    <xf numFmtId="0" fontId="0" fillId="0" borderId="0" xfId="0"/>
    <xf numFmtId="0" fontId="23" fillId="2" borderId="0" xfId="0" applyFont="1" applyFill="1"/>
    <xf numFmtId="0" fontId="23" fillId="2" borderId="0" xfId="13" applyFont="1" applyFill="1"/>
    <xf numFmtId="0" fontId="0" fillId="2" borderId="0" xfId="0" applyFill="1"/>
    <xf numFmtId="0" fontId="0" fillId="2" borderId="0" xfId="0" applyFill="1" applyBorder="1"/>
    <xf numFmtId="0" fontId="23" fillId="2" borderId="0" xfId="0" applyFont="1" applyFill="1" applyAlignment="1">
      <alignment vertical="center"/>
    </xf>
    <xf numFmtId="0" fontId="32" fillId="2" borderId="0" xfId="13" applyFont="1" applyFill="1"/>
    <xf numFmtId="170" fontId="25" fillId="2" borderId="0" xfId="13" applyNumberFormat="1" applyFont="1" applyFill="1" applyAlignment="1">
      <alignment vertical="center"/>
    </xf>
    <xf numFmtId="170" fontId="23" fillId="2" borderId="0" xfId="13" applyNumberFormat="1" applyFont="1" applyFill="1" applyAlignment="1">
      <alignment vertical="center"/>
    </xf>
    <xf numFmtId="170" fontId="23" fillId="2" borderId="0" xfId="4" applyNumberFormat="1" applyFont="1" applyFill="1" applyAlignment="1">
      <alignment vertical="center"/>
    </xf>
    <xf numFmtId="170" fontId="23" fillId="2" borderId="0" xfId="0" applyNumberFormat="1" applyFont="1" applyFill="1" applyBorder="1" applyAlignment="1">
      <alignment vertical="center"/>
    </xf>
    <xf numFmtId="170" fontId="25" fillId="2" borderId="0" xfId="13" applyNumberFormat="1" applyFont="1" applyFill="1" applyAlignment="1">
      <alignment horizontal="right" vertical="center"/>
    </xf>
    <xf numFmtId="170" fontId="25" fillId="2" borderId="0" xfId="4" applyNumberFormat="1" applyFont="1" applyFill="1" applyAlignment="1">
      <alignment horizontal="right" vertical="center"/>
    </xf>
    <xf numFmtId="170" fontId="23" fillId="2" borderId="0" xfId="13" applyNumberFormat="1" applyFont="1" applyFill="1" applyBorder="1" applyAlignment="1">
      <alignment horizontal="right" vertical="center"/>
    </xf>
    <xf numFmtId="170" fontId="23" fillId="2" borderId="0" xfId="0" applyNumberFormat="1" applyFont="1" applyFill="1" applyAlignment="1">
      <alignment vertical="center"/>
    </xf>
    <xf numFmtId="164" fontId="17" fillId="2" borderId="0" xfId="13" applyNumberFormat="1" applyFont="1" applyFill="1" applyBorder="1"/>
    <xf numFmtId="0" fontId="0" fillId="2" borderId="0" xfId="0" applyFill="1" applyAlignment="1">
      <alignment vertical="center"/>
    </xf>
    <xf numFmtId="0" fontId="26" fillId="2" borderId="0" xfId="0" applyFont="1" applyFill="1" applyAlignment="1">
      <alignment horizontal="right" vertical="center"/>
    </xf>
    <xf numFmtId="0" fontId="25" fillId="2" borderId="0" xfId="13" applyFont="1" applyFill="1" applyAlignment="1">
      <alignment horizontal="right" vertical="center"/>
    </xf>
    <xf numFmtId="164" fontId="16" fillId="2" borderId="0" xfId="12" applyNumberFormat="1" applyFont="1" applyFill="1" applyAlignment="1" applyProtection="1">
      <alignment horizontal="right" vertical="center"/>
      <protection locked="0"/>
    </xf>
    <xf numFmtId="0" fontId="15" fillId="2" borderId="0" xfId="13" applyFill="1" applyBorder="1"/>
    <xf numFmtId="0" fontId="0" fillId="2" borderId="1" xfId="0" applyFill="1" applyBorder="1"/>
    <xf numFmtId="0" fontId="22" fillId="2" borderId="1" xfId="0" applyFont="1" applyFill="1" applyBorder="1" applyAlignment="1">
      <alignment wrapText="1"/>
    </xf>
    <xf numFmtId="169" fontId="0" fillId="2" borderId="1" xfId="4" applyNumberFormat="1" applyFont="1" applyFill="1" applyBorder="1"/>
    <xf numFmtId="169" fontId="0" fillId="2" borderId="1" xfId="4" applyNumberFormat="1" applyFont="1" applyFill="1" applyBorder="1" applyAlignment="1">
      <alignment horizontal="right"/>
    </xf>
    <xf numFmtId="164" fontId="17" fillId="2" borderId="0" xfId="13" applyNumberFormat="1" applyFont="1" applyFill="1"/>
    <xf numFmtId="0" fontId="24" fillId="2" borderId="0" xfId="13" applyFont="1" applyFill="1" applyAlignment="1">
      <alignment vertical="center"/>
    </xf>
    <xf numFmtId="0" fontId="24" fillId="2" borderId="0" xfId="0" applyFont="1" applyFill="1" applyAlignment="1">
      <alignment vertical="center"/>
    </xf>
    <xf numFmtId="170" fontId="24" fillId="2" borderId="0" xfId="0" applyNumberFormat="1" applyFont="1" applyFill="1" applyBorder="1" applyAlignment="1">
      <alignment vertical="center"/>
    </xf>
    <xf numFmtId="170" fontId="24" fillId="2" borderId="0" xfId="13" applyNumberFormat="1" applyFont="1" applyFill="1" applyBorder="1" applyAlignment="1">
      <alignment vertical="center"/>
    </xf>
    <xf numFmtId="164" fontId="16" fillId="2" borderId="0" xfId="13" applyNumberFormat="1" applyFont="1" applyFill="1" applyAlignment="1">
      <alignment vertical="center"/>
    </xf>
    <xf numFmtId="168" fontId="16" fillId="2" borderId="0" xfId="4" applyNumberFormat="1" applyFont="1" applyFill="1" applyAlignment="1">
      <alignment vertical="center"/>
    </xf>
    <xf numFmtId="168" fontId="16" fillId="2" borderId="0" xfId="4" applyNumberFormat="1" applyFont="1" applyFill="1" applyAlignment="1">
      <alignment horizontal="right" vertical="center"/>
    </xf>
    <xf numFmtId="166" fontId="16" fillId="2" borderId="0" xfId="13" applyNumberFormat="1" applyFont="1" applyFill="1" applyAlignment="1">
      <alignment vertical="center"/>
    </xf>
    <xf numFmtId="166" fontId="16" fillId="2" borderId="0" xfId="13" applyNumberFormat="1" applyFont="1" applyFill="1" applyBorder="1" applyAlignment="1">
      <alignment vertical="center"/>
    </xf>
    <xf numFmtId="0" fontId="0" fillId="2" borderId="0" xfId="0" applyFill="1" applyBorder="1" applyAlignment="1">
      <alignment vertical="center"/>
    </xf>
    <xf numFmtId="0" fontId="0" fillId="2" borderId="0" xfId="0" applyFill="1" applyBorder="1" applyAlignment="1">
      <alignment vertical="center" wrapText="1"/>
    </xf>
    <xf numFmtId="169" fontId="0" fillId="2" borderId="0" xfId="4" applyNumberFormat="1" applyFont="1" applyFill="1" applyBorder="1" applyAlignment="1">
      <alignment vertical="center"/>
    </xf>
    <xf numFmtId="0" fontId="15" fillId="2" borderId="0" xfId="0" applyFont="1" applyFill="1" applyAlignment="1">
      <alignment vertical="center"/>
    </xf>
    <xf numFmtId="0" fontId="28" fillId="2" borderId="0" xfId="13" applyFont="1" applyFill="1" applyBorder="1" applyAlignment="1">
      <alignment vertical="center"/>
    </xf>
    <xf numFmtId="170" fontId="34" fillId="2" borderId="0" xfId="13" applyNumberFormat="1" applyFont="1" applyFill="1" applyBorder="1" applyAlignment="1">
      <alignment vertical="center"/>
    </xf>
    <xf numFmtId="0" fontId="30" fillId="2" borderId="0" xfId="0" applyFont="1" applyFill="1" applyAlignment="1">
      <alignment vertical="center"/>
    </xf>
    <xf numFmtId="0" fontId="30" fillId="2" borderId="0" xfId="13" applyFont="1" applyFill="1" applyBorder="1" applyAlignment="1">
      <alignment vertical="center"/>
    </xf>
    <xf numFmtId="170" fontId="85" fillId="2" borderId="0" xfId="13" applyNumberFormat="1" applyFont="1" applyFill="1" applyBorder="1" applyAlignment="1">
      <alignment vertical="center"/>
    </xf>
    <xf numFmtId="170" fontId="29" fillId="2" borderId="0" xfId="13" applyNumberFormat="1" applyFont="1" applyFill="1" applyBorder="1" applyAlignment="1">
      <alignment vertical="center"/>
    </xf>
    <xf numFmtId="0" fontId="30" fillId="2" borderId="0" xfId="0" applyFont="1" applyFill="1" applyBorder="1" applyAlignment="1">
      <alignment vertical="center"/>
    </xf>
    <xf numFmtId="169" fontId="30" fillId="2" borderId="0" xfId="4" applyNumberFormat="1" applyFont="1" applyFill="1" applyBorder="1" applyAlignment="1">
      <alignment vertical="center"/>
    </xf>
    <xf numFmtId="170" fontId="34" fillId="2" borderId="0" xfId="14" applyNumberFormat="1" applyFont="1" applyFill="1" applyBorder="1" applyAlignment="1">
      <alignment horizontal="right" vertical="center"/>
    </xf>
    <xf numFmtId="0" fontId="89" fillId="2" borderId="0" xfId="13" applyFont="1" applyFill="1" applyAlignment="1">
      <alignment vertical="center"/>
    </xf>
    <xf numFmtId="0" fontId="15" fillId="2" borderId="0" xfId="13" applyFont="1" applyFill="1"/>
    <xf numFmtId="0" fontId="33" fillId="2" borderId="0" xfId="783" applyFont="1" applyFill="1"/>
    <xf numFmtId="0" fontId="15" fillId="2" borderId="0" xfId="13" applyFont="1" applyFill="1" applyAlignment="1">
      <alignment vertical="center"/>
    </xf>
    <xf numFmtId="0" fontId="24" fillId="2" borderId="0" xfId="13" applyFont="1" applyFill="1" applyBorder="1" applyAlignment="1">
      <alignment vertical="center"/>
    </xf>
    <xf numFmtId="0" fontId="24" fillId="2" borderId="0" xfId="0" applyFont="1" applyFill="1" applyBorder="1" applyAlignment="1">
      <alignment vertical="center"/>
    </xf>
    <xf numFmtId="0" fontId="24" fillId="2" borderId="0" xfId="0" applyFont="1" applyFill="1" applyBorder="1" applyAlignment="1">
      <alignment horizontal="right" vertical="center"/>
    </xf>
    <xf numFmtId="170" fontId="36" fillId="2" borderId="0" xfId="13" applyNumberFormat="1" applyFont="1" applyFill="1" applyBorder="1" applyAlignment="1">
      <alignment vertical="center"/>
    </xf>
    <xf numFmtId="170" fontId="24" fillId="2" borderId="0" xfId="4" applyNumberFormat="1" applyFont="1" applyFill="1" applyBorder="1" applyAlignment="1">
      <alignment horizontal="right" vertical="center"/>
    </xf>
    <xf numFmtId="0" fontId="31" fillId="2" borderId="0" xfId="13" applyFont="1" applyFill="1" applyBorder="1" applyAlignment="1">
      <alignment vertical="center"/>
    </xf>
    <xf numFmtId="170" fontId="36" fillId="2" borderId="0" xfId="13" applyNumberFormat="1" applyFont="1" applyFill="1" applyBorder="1" applyAlignment="1">
      <alignment horizontal="right" vertical="center"/>
    </xf>
    <xf numFmtId="170" fontId="24" fillId="2" borderId="0" xfId="4" applyNumberFormat="1" applyFont="1" applyFill="1" applyBorder="1" applyAlignment="1">
      <alignment vertical="center"/>
    </xf>
    <xf numFmtId="43" fontId="15" fillId="2" borderId="0" xfId="13" applyNumberFormat="1" applyFont="1" applyFill="1" applyAlignment="1">
      <alignment vertical="center"/>
    </xf>
    <xf numFmtId="49" fontId="15" fillId="2" borderId="0" xfId="13" applyNumberFormat="1" applyFont="1" applyFill="1" applyAlignment="1">
      <alignment vertical="center"/>
    </xf>
    <xf numFmtId="0" fontId="15" fillId="2" borderId="0" xfId="13" applyFont="1" applyFill="1" applyBorder="1" applyAlignment="1">
      <alignment vertical="center"/>
    </xf>
    <xf numFmtId="43" fontId="15" fillId="2" borderId="0" xfId="13" applyNumberFormat="1" applyFont="1" applyFill="1" applyBorder="1" applyAlignment="1">
      <alignment vertical="center"/>
    </xf>
    <xf numFmtId="0" fontId="28" fillId="2" borderId="0" xfId="13" applyFont="1" applyFill="1" applyBorder="1" applyAlignment="1">
      <alignment horizontal="left" vertical="center" indent="8"/>
    </xf>
    <xf numFmtId="0" fontId="42" fillId="2" borderId="0" xfId="13" applyFont="1" applyFill="1" applyBorder="1" applyAlignment="1">
      <alignment vertical="center"/>
    </xf>
    <xf numFmtId="0" fontId="0" fillId="2" borderId="0" xfId="13" applyFont="1" applyFill="1" applyBorder="1" applyAlignment="1">
      <alignment horizontal="left" vertical="center" indent="1"/>
    </xf>
    <xf numFmtId="0" fontId="15" fillId="2" borderId="0" xfId="0" applyFont="1" applyFill="1" applyBorder="1"/>
    <xf numFmtId="0" fontId="15" fillId="2" borderId="0" xfId="783" applyFont="1" applyFill="1" applyBorder="1" applyAlignment="1">
      <alignment horizontal="left"/>
    </xf>
    <xf numFmtId="0" fontId="17" fillId="2" borderId="0" xfId="783" applyNumberFormat="1" applyFont="1" applyFill="1" applyBorder="1" applyAlignment="1" applyProtection="1">
      <alignment horizontal="right"/>
    </xf>
    <xf numFmtId="0" fontId="15" fillId="2" borderId="0" xfId="783" applyFont="1" applyFill="1"/>
    <xf numFmtId="0" fontId="15" fillId="2" borderId="0" xfId="783" applyFont="1" applyFill="1" applyBorder="1"/>
    <xf numFmtId="0" fontId="15" fillId="2" borderId="1" xfId="0" applyFont="1" applyFill="1" applyBorder="1"/>
    <xf numFmtId="0" fontId="1" fillId="2" borderId="0" xfId="13" applyFont="1" applyFill="1" applyBorder="1" applyAlignment="1">
      <alignment vertical="center"/>
    </xf>
    <xf numFmtId="0" fontId="37" fillId="2" borderId="0" xfId="13" applyFont="1" applyFill="1" applyAlignment="1">
      <alignment vertical="center"/>
    </xf>
    <xf numFmtId="0" fontId="37" fillId="2" borderId="0" xfId="0" applyFont="1" applyFill="1" applyAlignment="1">
      <alignment vertical="center"/>
    </xf>
    <xf numFmtId="0" fontId="39" fillId="57" borderId="0" xfId="13" applyFont="1" applyFill="1" applyBorder="1" applyAlignment="1">
      <alignment vertical="center"/>
    </xf>
    <xf numFmtId="0" fontId="40" fillId="57" borderId="0" xfId="13" applyFont="1" applyFill="1" applyBorder="1" applyAlignment="1">
      <alignment vertical="center"/>
    </xf>
    <xf numFmtId="0" fontId="40" fillId="57" borderId="0" xfId="13" applyFont="1" applyFill="1" applyBorder="1" applyAlignment="1">
      <alignment horizontal="right" vertical="center"/>
    </xf>
    <xf numFmtId="0" fontId="31" fillId="57" borderId="0" xfId="13" applyFont="1" applyFill="1" applyBorder="1" applyAlignment="1">
      <alignment vertical="center"/>
    </xf>
    <xf numFmtId="0" fontId="28" fillId="57" borderId="0" xfId="13" applyFont="1" applyFill="1" applyBorder="1" applyAlignment="1">
      <alignment vertical="center"/>
    </xf>
    <xf numFmtId="170" fontId="36" fillId="57" borderId="0" xfId="13" applyNumberFormat="1" applyFont="1" applyFill="1" applyBorder="1" applyAlignment="1">
      <alignment vertical="center"/>
    </xf>
    <xf numFmtId="170" fontId="24" fillId="57" borderId="0" xfId="4" applyNumberFormat="1" applyFont="1" applyFill="1" applyBorder="1" applyAlignment="1">
      <alignment vertical="center"/>
    </xf>
    <xf numFmtId="170" fontId="36" fillId="57" borderId="0" xfId="4" applyNumberFormat="1" applyFont="1" applyFill="1" applyBorder="1" applyAlignment="1">
      <alignment vertical="center"/>
    </xf>
    <xf numFmtId="170" fontId="36" fillId="57" borderId="0" xfId="4" applyNumberFormat="1" applyFont="1" applyFill="1" applyBorder="1" applyAlignment="1">
      <alignment horizontal="right" vertical="center"/>
    </xf>
    <xf numFmtId="170" fontId="24" fillId="57" borderId="0" xfId="13" applyNumberFormat="1" applyFont="1" applyFill="1" applyBorder="1" applyAlignment="1">
      <alignment horizontal="right" vertical="center"/>
    </xf>
    <xf numFmtId="170" fontId="24" fillId="57" borderId="0" xfId="13" applyNumberFormat="1" applyFont="1" applyFill="1" applyBorder="1" applyAlignment="1">
      <alignment vertical="center"/>
    </xf>
    <xf numFmtId="0" fontId="28" fillId="57" borderId="0" xfId="13" applyFont="1" applyFill="1" applyBorder="1" applyAlignment="1">
      <alignment horizontal="left" vertical="center" indent="8"/>
    </xf>
    <xf numFmtId="0" fontId="42" fillId="57" borderId="0" xfId="13" applyFont="1" applyFill="1" applyBorder="1" applyAlignment="1">
      <alignment vertical="center"/>
    </xf>
    <xf numFmtId="170" fontId="29" fillId="57" borderId="0" xfId="13" applyNumberFormat="1" applyFont="1" applyFill="1" applyBorder="1" applyAlignment="1">
      <alignment vertical="center"/>
    </xf>
    <xf numFmtId="0" fontId="86" fillId="57" borderId="0" xfId="783" applyFont="1" applyFill="1" applyBorder="1" applyAlignment="1" applyProtection="1">
      <alignment horizontal="left" vertical="center" indent="1"/>
    </xf>
    <xf numFmtId="0" fontId="1" fillId="57" borderId="0" xfId="13" applyFont="1" applyFill="1" applyBorder="1" applyAlignment="1">
      <alignment vertical="center"/>
    </xf>
    <xf numFmtId="170" fontId="23" fillId="57" borderId="0" xfId="14" applyNumberFormat="1" applyFont="1" applyFill="1" applyBorder="1" applyAlignment="1">
      <alignment horizontal="right" vertical="center"/>
    </xf>
    <xf numFmtId="0" fontId="31" fillId="2" borderId="0" xfId="13" applyFont="1" applyFill="1" applyBorder="1" applyAlignment="1">
      <alignment horizontal="left" vertical="center"/>
    </xf>
    <xf numFmtId="0" fontId="31" fillId="57" borderId="0" xfId="13" applyFont="1" applyFill="1" applyBorder="1" applyAlignment="1">
      <alignment horizontal="left" vertical="center"/>
    </xf>
    <xf numFmtId="0" fontId="38" fillId="56" borderId="0" xfId="783" applyFont="1" applyFill="1" applyAlignment="1">
      <alignment horizontal="left" vertical="center"/>
    </xf>
  </cellXfs>
  <cellStyles count="879">
    <cellStyle name="1" xfId="1"/>
    <cellStyle name="1 2" xfId="17"/>
    <cellStyle name="1 3" xfId="783"/>
    <cellStyle name="1 4" xfId="798"/>
    <cellStyle name="1 5" xfId="801"/>
    <cellStyle name="1_Indicators 2007" xfId="2"/>
    <cellStyle name="1_Indicators2007" xfId="3"/>
    <cellStyle name="1_Indicators2007 2" xfId="792"/>
    <cellStyle name="20% - Accent1" xfId="748" builtinId="30" customBuiltin="1"/>
    <cellStyle name="20% - Accent1 2" xfId="669"/>
    <cellStyle name="20% - Accent1 3" xfId="861"/>
    <cellStyle name="20% - Accent2" xfId="752" builtinId="34" customBuiltin="1"/>
    <cellStyle name="20% - Accent2 2" xfId="670"/>
    <cellStyle name="20% - Accent2 3" xfId="864"/>
    <cellStyle name="20% - Accent3" xfId="756" builtinId="38" customBuiltin="1"/>
    <cellStyle name="20% - Accent3 2" xfId="671"/>
    <cellStyle name="20% - Accent3 3" xfId="867"/>
    <cellStyle name="20% - Accent4" xfId="760" builtinId="42" customBuiltin="1"/>
    <cellStyle name="20% - Accent4 2" xfId="672"/>
    <cellStyle name="20% - Accent4 3" xfId="870"/>
    <cellStyle name="20% - Accent5" xfId="764" builtinId="46" customBuiltin="1"/>
    <cellStyle name="20% - Accent5 2" xfId="673"/>
    <cellStyle name="20% - Accent5 3" xfId="873"/>
    <cellStyle name="20% - Accent6" xfId="768" builtinId="50" customBuiltin="1"/>
    <cellStyle name="20% - Accent6 2" xfId="674"/>
    <cellStyle name="20% - Accent6 3" xfId="876"/>
    <cellStyle name="40% - Accent1" xfId="749" builtinId="31" customBuiltin="1"/>
    <cellStyle name="40% - Accent1 2" xfId="675"/>
    <cellStyle name="40% - Accent1 3" xfId="862"/>
    <cellStyle name="40% - Accent2" xfId="753" builtinId="35" customBuiltin="1"/>
    <cellStyle name="40% - Accent2 2" xfId="676"/>
    <cellStyle name="40% - Accent2 3" xfId="865"/>
    <cellStyle name="40% - Accent3" xfId="757" builtinId="39" customBuiltin="1"/>
    <cellStyle name="40% - Accent3 2" xfId="677"/>
    <cellStyle name="40% - Accent3 3" xfId="868"/>
    <cellStyle name="40% - Accent4" xfId="761" builtinId="43" customBuiltin="1"/>
    <cellStyle name="40% - Accent4 2" xfId="678"/>
    <cellStyle name="40% - Accent4 3" xfId="871"/>
    <cellStyle name="40% - Accent5" xfId="765" builtinId="47" customBuiltin="1"/>
    <cellStyle name="40% - Accent5 2" xfId="679"/>
    <cellStyle name="40% - Accent5 3" xfId="874"/>
    <cellStyle name="40% - Accent6" xfId="769" builtinId="51" customBuiltin="1"/>
    <cellStyle name="40% - Accent6 2" xfId="680"/>
    <cellStyle name="40% - Accent6 3" xfId="877"/>
    <cellStyle name="60% - Accent1" xfId="750" builtinId="32" customBuiltin="1"/>
    <cellStyle name="60% - Accent1 2" xfId="681"/>
    <cellStyle name="60% - Accent1 3" xfId="863"/>
    <cellStyle name="60% - Accent2" xfId="754" builtinId="36" customBuiltin="1"/>
    <cellStyle name="60% - Accent2 2" xfId="682"/>
    <cellStyle name="60% - Accent2 3" xfId="866"/>
    <cellStyle name="60% - Accent3" xfId="758" builtinId="40" customBuiltin="1"/>
    <cellStyle name="60% - Accent3 2" xfId="683"/>
    <cellStyle name="60% - Accent3 3" xfId="869"/>
    <cellStyle name="60% - Accent4" xfId="762" builtinId="44" customBuiltin="1"/>
    <cellStyle name="60% - Accent4 2" xfId="684"/>
    <cellStyle name="60% - Accent4 3" xfId="872"/>
    <cellStyle name="60% - Accent5" xfId="766" builtinId="48" customBuiltin="1"/>
    <cellStyle name="60% - Accent5 2" xfId="685"/>
    <cellStyle name="60% - Accent5 3" xfId="875"/>
    <cellStyle name="60% - Accent6" xfId="770" builtinId="52" customBuiltin="1"/>
    <cellStyle name="60% - Accent6 2" xfId="686"/>
    <cellStyle name="60% - Accent6 3" xfId="878"/>
    <cellStyle name="Accent1" xfId="747" builtinId="29" customBuiltin="1"/>
    <cellStyle name="Accent1 2" xfId="687"/>
    <cellStyle name="Accent2" xfId="751" builtinId="33" customBuiltin="1"/>
    <cellStyle name="Accent2 2" xfId="688"/>
    <cellStyle name="Accent3" xfId="755" builtinId="37" customBuiltin="1"/>
    <cellStyle name="Accent3 2" xfId="689"/>
    <cellStyle name="Accent4" xfId="759" builtinId="41" customBuiltin="1"/>
    <cellStyle name="Accent4 2" xfId="690"/>
    <cellStyle name="Accent5" xfId="763" builtinId="45" customBuiltin="1"/>
    <cellStyle name="Accent5 2" xfId="691"/>
    <cellStyle name="Accent6" xfId="767" builtinId="49" customBuiltin="1"/>
    <cellStyle name="Accent6 2" xfId="692"/>
    <cellStyle name="Bad" xfId="737" builtinId="27" customBuiltin="1"/>
    <cellStyle name="Bad 2" xfId="693"/>
    <cellStyle name="Calculation" xfId="741" builtinId="22" customBuiltin="1"/>
    <cellStyle name="Calculation 2" xfId="694"/>
    <cellStyle name="Check Cell" xfId="743" builtinId="23" customBuiltin="1"/>
    <cellStyle name="Check Cell 2" xfId="695"/>
    <cellStyle name="Comma" xfId="4" builtinId="3"/>
    <cellStyle name="Comma 10" xfId="794"/>
    <cellStyle name="Comma 11" xfId="802"/>
    <cellStyle name="Comma 2" xfId="5"/>
    <cellStyle name="Comma 2 2" xfId="667"/>
    <cellStyle name="Comma 2 2 2" xfId="804"/>
    <cellStyle name="Comma 2 3" xfId="777"/>
    <cellStyle name="Comma 2 4" xfId="784"/>
    <cellStyle name="Comma 2 5" xfId="803"/>
    <cellStyle name="Comma 2 6" xfId="854"/>
    <cellStyle name="Comma 3" xfId="6"/>
    <cellStyle name="Comma 3 2" xfId="696"/>
    <cellStyle name="Comma 3 3" xfId="805"/>
    <cellStyle name="Comma 4" xfId="15"/>
    <cellStyle name="Comma 4 2" xfId="806"/>
    <cellStyle name="Comma 5" xfId="19"/>
    <cellStyle name="Comma 5 2" xfId="807"/>
    <cellStyle name="Comma 6" xfId="22"/>
    <cellStyle name="Comma 6 2" xfId="808"/>
    <cellStyle name="Comma 7" xfId="727"/>
    <cellStyle name="Comma 8" xfId="772"/>
    <cellStyle name="Comma 9" xfId="791"/>
    <cellStyle name="Explanatory Text" xfId="745" builtinId="53" customBuiltin="1"/>
    <cellStyle name="Explanatory Text 2" xfId="697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Followed Hyperlink" xfId="37" builtinId="9" hidden="1"/>
    <cellStyle name="Followed Hyperlink" xfId="39" builtinId="9" hidden="1"/>
    <cellStyle name="Followed Hyperlink" xfId="41" builtinId="9" hidde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1" builtinId="9" hidden="1"/>
    <cellStyle name="Followed Hyperlink" xfId="53" builtinId="9" hidden="1"/>
    <cellStyle name="Followed Hyperlink" xfId="55" builtinId="9" hidden="1"/>
    <cellStyle name="Followed Hyperlink" xfId="57" builtinId="9" hidden="1"/>
    <cellStyle name="Followed Hyperlink" xfId="59" builtinId="9" hidden="1"/>
    <cellStyle name="Followed Hyperlink" xfId="61" builtinId="9" hidden="1"/>
    <cellStyle name="Followed Hyperlink" xfId="63" builtinId="9" hidden="1"/>
    <cellStyle name="Followed Hyperlink" xfId="65" builtinId="9" hidden="1"/>
    <cellStyle name="Followed Hyperlink" xfId="67" builtinId="9" hidden="1"/>
    <cellStyle name="Followed Hyperlink" xfId="69" builtinId="9" hidden="1"/>
    <cellStyle name="Followed Hyperlink" xfId="71" builtinId="9" hidden="1"/>
    <cellStyle name="Followed Hyperlink" xfId="73" builtinId="9" hidden="1"/>
    <cellStyle name="Followed Hyperlink" xfId="75" builtinId="9" hidden="1"/>
    <cellStyle name="Followed Hyperlink" xfId="77" builtinId="9" hidden="1"/>
    <cellStyle name="Followed Hyperlink" xfId="79" builtinId="9" hidden="1"/>
    <cellStyle name="Followed Hyperlink" xfId="81" builtinId="9" hidden="1"/>
    <cellStyle name="Followed Hyperlink" xfId="83" builtinId="9" hidden="1"/>
    <cellStyle name="Followed Hyperlink" xfId="85" builtinId="9" hidden="1"/>
    <cellStyle name="Followed Hyperlink" xfId="87" builtinId="9" hidden="1"/>
    <cellStyle name="Followed Hyperlink" xfId="89" builtinId="9" hidden="1"/>
    <cellStyle name="Followed Hyperlink" xfId="91" builtinId="9" hidden="1"/>
    <cellStyle name="Followed Hyperlink" xfId="93" builtinId="9" hidden="1"/>
    <cellStyle name="Followed Hyperlink" xfId="95" builtinId="9" hidden="1"/>
    <cellStyle name="Followed Hyperlink" xfId="97" builtinId="9" hidden="1"/>
    <cellStyle name="Followed Hyperlink" xfId="99" builtinId="9" hidden="1"/>
    <cellStyle name="Followed Hyperlink" xfId="101" builtinId="9" hidden="1"/>
    <cellStyle name="Followed Hyperlink" xfId="103" builtinId="9" hidden="1"/>
    <cellStyle name="Followed Hyperlink" xfId="105" builtinId="9" hidden="1"/>
    <cellStyle name="Followed Hyperlink" xfId="107" builtinId="9" hidden="1"/>
    <cellStyle name="Followed Hyperlink" xfId="109" builtinId="9" hidden="1"/>
    <cellStyle name="Followed Hyperlink" xfId="111" builtinId="9" hidden="1"/>
    <cellStyle name="Followed Hyperlink" xfId="113" builtinId="9" hidden="1"/>
    <cellStyle name="Followed Hyperlink" xfId="115" builtinId="9" hidden="1"/>
    <cellStyle name="Followed Hyperlink" xfId="117" builtinId="9" hidden="1"/>
    <cellStyle name="Followed Hyperlink" xfId="119" builtinId="9" hidden="1"/>
    <cellStyle name="Followed Hyperlink" xfId="121" builtinId="9" hidden="1"/>
    <cellStyle name="Followed Hyperlink" xfId="123" builtinId="9" hidden="1"/>
    <cellStyle name="Followed Hyperlink" xfId="125" builtinId="9" hidden="1"/>
    <cellStyle name="Followed Hyperlink" xfId="127" builtinId="9" hidden="1"/>
    <cellStyle name="Followed Hyperlink" xfId="129" builtinId="9" hidden="1"/>
    <cellStyle name="Followed Hyperlink" xfId="131" builtinId="9" hidden="1"/>
    <cellStyle name="Followed Hyperlink" xfId="133" builtinId="9" hidden="1"/>
    <cellStyle name="Followed Hyperlink" xfId="135" builtinId="9" hidden="1"/>
    <cellStyle name="Followed Hyperlink" xfId="137" builtinId="9" hidden="1"/>
    <cellStyle name="Followed Hyperlink" xfId="139" builtinId="9" hidden="1"/>
    <cellStyle name="Followed Hyperlink" xfId="141" builtinId="9" hidden="1"/>
    <cellStyle name="Followed Hyperlink" xfId="143" builtinId="9" hidden="1"/>
    <cellStyle name="Followed Hyperlink" xfId="145" builtinId="9" hidden="1"/>
    <cellStyle name="Followed Hyperlink" xfId="147" builtinId="9" hidden="1"/>
    <cellStyle name="Followed Hyperlink" xfId="149" builtinId="9" hidden="1"/>
    <cellStyle name="Followed Hyperlink" xfId="151" builtinId="9" hidden="1"/>
    <cellStyle name="Followed Hyperlink" xfId="153" builtinId="9" hidden="1"/>
    <cellStyle name="Followed Hyperlink" xfId="155" builtinId="9" hidden="1"/>
    <cellStyle name="Followed Hyperlink" xfId="157" builtinId="9" hidden="1"/>
    <cellStyle name="Followed Hyperlink" xfId="159" builtinId="9" hidden="1"/>
    <cellStyle name="Followed Hyperlink" xfId="161" builtinId="9" hidden="1"/>
    <cellStyle name="Followed Hyperlink" xfId="163" builtinId="9" hidden="1"/>
    <cellStyle name="Followed Hyperlink" xfId="165" builtinId="9" hidden="1"/>
    <cellStyle name="Followed Hyperlink" xfId="167" builtinId="9" hidden="1"/>
    <cellStyle name="Followed Hyperlink" xfId="169" builtinId="9" hidden="1"/>
    <cellStyle name="Followed Hyperlink" xfId="171" builtinId="9" hidden="1"/>
    <cellStyle name="Followed Hyperlink" xfId="173" builtinId="9" hidden="1"/>
    <cellStyle name="Followed Hyperlink" xfId="175" builtinId="9" hidden="1"/>
    <cellStyle name="Followed Hyperlink" xfId="177" builtinId="9" hidden="1"/>
    <cellStyle name="Followed Hyperlink" xfId="179" builtinId="9" hidden="1"/>
    <cellStyle name="Followed Hyperlink" xfId="181" builtinId="9" hidden="1"/>
    <cellStyle name="Followed Hyperlink" xfId="183" builtinId="9" hidden="1"/>
    <cellStyle name="Followed Hyperlink" xfId="185" builtinId="9" hidden="1"/>
    <cellStyle name="Followed Hyperlink" xfId="187" builtinId="9" hidden="1"/>
    <cellStyle name="Followed Hyperlink" xfId="189" builtinId="9" hidden="1"/>
    <cellStyle name="Followed Hyperlink" xfId="191" builtinId="9" hidden="1"/>
    <cellStyle name="Followed Hyperlink" xfId="193" builtinId="9" hidden="1"/>
    <cellStyle name="Followed Hyperlink" xfId="195" builtinId="9" hidden="1"/>
    <cellStyle name="Followed Hyperlink" xfId="197" builtinId="9" hidden="1"/>
    <cellStyle name="Followed Hyperlink" xfId="199" builtinId="9" hidden="1"/>
    <cellStyle name="Followed Hyperlink" xfId="201" builtinId="9" hidden="1"/>
    <cellStyle name="Followed Hyperlink" xfId="203" builtinId="9" hidden="1"/>
    <cellStyle name="Followed Hyperlink" xfId="205" builtinId="9" hidden="1"/>
    <cellStyle name="Followed Hyperlink" xfId="207" builtinId="9" hidden="1"/>
    <cellStyle name="Followed Hyperlink" xfId="209" builtinId="9" hidden="1"/>
    <cellStyle name="Followed Hyperlink" xfId="211" builtinId="9" hidden="1"/>
    <cellStyle name="Followed Hyperlink" xfId="213" builtinId="9" hidden="1"/>
    <cellStyle name="Followed Hyperlink" xfId="215" builtinId="9" hidden="1"/>
    <cellStyle name="Followed Hyperlink" xfId="217" builtinId="9" hidden="1"/>
    <cellStyle name="Followed Hyperlink" xfId="219" builtinId="9" hidden="1"/>
    <cellStyle name="Followed Hyperlink" xfId="221" builtinId="9" hidden="1"/>
    <cellStyle name="Followed Hyperlink" xfId="223" builtinId="9" hidden="1"/>
    <cellStyle name="Followed Hyperlink" xfId="225" builtinId="9" hidden="1"/>
    <cellStyle name="Followed Hyperlink" xfId="227" builtinId="9" hidden="1"/>
    <cellStyle name="Followed Hyperlink" xfId="229" builtinId="9" hidden="1"/>
    <cellStyle name="Followed Hyperlink" xfId="231" builtinId="9" hidden="1"/>
    <cellStyle name="Followed Hyperlink" xfId="233" builtinId="9" hidden="1"/>
    <cellStyle name="Followed Hyperlink" xfId="235" builtinId="9" hidden="1"/>
    <cellStyle name="Followed Hyperlink" xfId="237" builtinId="9" hidden="1"/>
    <cellStyle name="Followed Hyperlink" xfId="239" builtinId="9" hidden="1"/>
    <cellStyle name="Followed Hyperlink" xfId="241" builtinId="9" hidden="1"/>
    <cellStyle name="Followed Hyperlink" xfId="243" builtinId="9" hidden="1"/>
    <cellStyle name="Followed Hyperlink" xfId="245" builtinId="9" hidden="1"/>
    <cellStyle name="Followed Hyperlink" xfId="247" builtinId="9" hidden="1"/>
    <cellStyle name="Followed Hyperlink" xfId="249" builtinId="9" hidden="1"/>
    <cellStyle name="Followed Hyperlink" xfId="251" builtinId="9" hidden="1"/>
    <cellStyle name="Followed Hyperlink" xfId="253" builtinId="9" hidden="1"/>
    <cellStyle name="Followed Hyperlink" xfId="255" builtinId="9" hidden="1"/>
    <cellStyle name="Followed Hyperlink" xfId="257" builtinId="9" hidden="1"/>
    <cellStyle name="Followed Hyperlink" xfId="259" builtinId="9" hidden="1"/>
    <cellStyle name="Followed Hyperlink" xfId="261" builtinId="9" hidden="1"/>
    <cellStyle name="Followed Hyperlink" xfId="263" builtinId="9" hidden="1"/>
    <cellStyle name="Followed Hyperlink" xfId="265" builtinId="9" hidden="1"/>
    <cellStyle name="Followed Hyperlink" xfId="267" builtinId="9" hidden="1"/>
    <cellStyle name="Followed Hyperlink" xfId="269" builtinId="9" hidden="1"/>
    <cellStyle name="Followed Hyperlink" xfId="271" builtinId="9" hidden="1"/>
    <cellStyle name="Followed Hyperlink" xfId="273" builtinId="9" hidden="1"/>
    <cellStyle name="Followed Hyperlink" xfId="275" builtinId="9" hidden="1"/>
    <cellStyle name="Followed Hyperlink" xfId="277" builtinId="9" hidden="1"/>
    <cellStyle name="Followed Hyperlink" xfId="279" builtinId="9" hidden="1"/>
    <cellStyle name="Followed Hyperlink" xfId="281" builtinId="9" hidden="1"/>
    <cellStyle name="Followed Hyperlink" xfId="283" builtinId="9" hidden="1"/>
    <cellStyle name="Followed Hyperlink" xfId="285" builtinId="9" hidden="1"/>
    <cellStyle name="Followed Hyperlink" xfId="287" builtinId="9" hidden="1"/>
    <cellStyle name="Followed Hyperlink" xfId="289" builtinId="9" hidden="1"/>
    <cellStyle name="Followed Hyperlink" xfId="291" builtinId="9" hidden="1"/>
    <cellStyle name="Followed Hyperlink" xfId="293" builtinId="9" hidden="1"/>
    <cellStyle name="Followed Hyperlink" xfId="295" builtinId="9" hidden="1"/>
    <cellStyle name="Followed Hyperlink" xfId="297" builtinId="9" hidden="1"/>
    <cellStyle name="Followed Hyperlink" xfId="299" builtinId="9" hidden="1"/>
    <cellStyle name="Followed Hyperlink" xfId="301" builtinId="9" hidden="1"/>
    <cellStyle name="Followed Hyperlink" xfId="303" builtinId="9" hidden="1"/>
    <cellStyle name="Followed Hyperlink" xfId="305" builtinId="9" hidden="1"/>
    <cellStyle name="Followed Hyperlink" xfId="307" builtinId="9" hidden="1"/>
    <cellStyle name="Followed Hyperlink" xfId="309" builtinId="9" hidden="1"/>
    <cellStyle name="Followed Hyperlink" xfId="311" builtinId="9" hidden="1"/>
    <cellStyle name="Followed Hyperlink" xfId="313" builtinId="9" hidden="1"/>
    <cellStyle name="Followed Hyperlink" xfId="315" builtinId="9" hidden="1"/>
    <cellStyle name="Followed Hyperlink" xfId="317" builtinId="9" hidden="1"/>
    <cellStyle name="Followed Hyperlink" xfId="319" builtinId="9" hidden="1"/>
    <cellStyle name="Followed Hyperlink" xfId="321" builtinId="9" hidden="1"/>
    <cellStyle name="Followed Hyperlink" xfId="323" builtinId="9" hidden="1"/>
    <cellStyle name="Followed Hyperlink" xfId="325" builtinId="9" hidden="1"/>
    <cellStyle name="Followed Hyperlink" xfId="327" builtinId="9" hidden="1"/>
    <cellStyle name="Followed Hyperlink" xfId="329" builtinId="9" hidden="1"/>
    <cellStyle name="Followed Hyperlink" xfId="331" builtinId="9" hidden="1"/>
    <cellStyle name="Followed Hyperlink" xfId="333" builtinId="9" hidden="1"/>
    <cellStyle name="Followed Hyperlink" xfId="335" builtinId="9" hidden="1"/>
    <cellStyle name="Followed Hyperlink" xfId="337" builtinId="9" hidden="1"/>
    <cellStyle name="Followed Hyperlink" xfId="339" builtinId="9" hidden="1"/>
    <cellStyle name="Followed Hyperlink" xfId="341" builtinId="9" hidden="1"/>
    <cellStyle name="Followed Hyperlink" xfId="343" builtinId="9" hidden="1"/>
    <cellStyle name="Followed Hyperlink" xfId="345" builtinId="9" hidden="1"/>
    <cellStyle name="Followed Hyperlink" xfId="347" builtinId="9" hidden="1"/>
    <cellStyle name="Followed Hyperlink" xfId="349" builtinId="9" hidden="1"/>
    <cellStyle name="Followed Hyperlink" xfId="351" builtinId="9" hidden="1"/>
    <cellStyle name="Followed Hyperlink" xfId="353" builtinId="9" hidden="1"/>
    <cellStyle name="Followed Hyperlink" xfId="355" builtinId="9" hidden="1"/>
    <cellStyle name="Followed Hyperlink" xfId="357" builtinId="9" hidden="1"/>
    <cellStyle name="Followed Hyperlink" xfId="359" builtinId="9" hidden="1"/>
    <cellStyle name="Followed Hyperlink" xfId="361" builtinId="9" hidden="1"/>
    <cellStyle name="Followed Hyperlink" xfId="363" builtinId="9" hidden="1"/>
    <cellStyle name="Followed Hyperlink" xfId="365" builtinId="9" hidden="1"/>
    <cellStyle name="Followed Hyperlink" xfId="367" builtinId="9" hidden="1"/>
    <cellStyle name="Followed Hyperlink" xfId="369" builtinId="9" hidden="1"/>
    <cellStyle name="Followed Hyperlink" xfId="371" builtinId="9" hidden="1"/>
    <cellStyle name="Followed Hyperlink" xfId="373" builtinId="9" hidden="1"/>
    <cellStyle name="Followed Hyperlink" xfId="375" builtinId="9" hidden="1"/>
    <cellStyle name="Followed Hyperlink" xfId="377" builtinId="9" hidden="1"/>
    <cellStyle name="Followed Hyperlink" xfId="379" builtinId="9" hidden="1"/>
    <cellStyle name="Followed Hyperlink" xfId="381" builtinId="9" hidden="1"/>
    <cellStyle name="Followed Hyperlink" xfId="383" builtinId="9" hidden="1"/>
    <cellStyle name="Followed Hyperlink" xfId="385" builtinId="9" hidden="1"/>
    <cellStyle name="Followed Hyperlink" xfId="387" builtinId="9" hidden="1"/>
    <cellStyle name="Followed Hyperlink" xfId="389" builtinId="9" hidden="1"/>
    <cellStyle name="Followed Hyperlink" xfId="391" builtinId="9" hidden="1"/>
    <cellStyle name="Followed Hyperlink" xfId="393" builtinId="9" hidden="1"/>
    <cellStyle name="Followed Hyperlink" xfId="395" builtinId="9" hidden="1"/>
    <cellStyle name="Followed Hyperlink" xfId="397" builtinId="9" hidden="1"/>
    <cellStyle name="Followed Hyperlink" xfId="399" builtinId="9" hidden="1"/>
    <cellStyle name="Followed Hyperlink" xfId="401" builtinId="9" hidden="1"/>
    <cellStyle name="Followed Hyperlink" xfId="403" builtinId="9" hidden="1"/>
    <cellStyle name="Followed Hyperlink" xfId="405" builtinId="9" hidden="1"/>
    <cellStyle name="Followed Hyperlink" xfId="407" builtinId="9" hidden="1"/>
    <cellStyle name="Followed Hyperlink" xfId="409" builtinId="9" hidden="1"/>
    <cellStyle name="Followed Hyperlink" xfId="411" builtinId="9" hidden="1"/>
    <cellStyle name="Followed Hyperlink" xfId="413" builtinId="9" hidden="1"/>
    <cellStyle name="Followed Hyperlink" xfId="415" builtinId="9" hidden="1"/>
    <cellStyle name="Followed Hyperlink" xfId="417" builtinId="9" hidden="1"/>
    <cellStyle name="Followed Hyperlink" xfId="419" builtinId="9" hidden="1"/>
    <cellStyle name="Followed Hyperlink" xfId="421" builtinId="9" hidden="1"/>
    <cellStyle name="Followed Hyperlink" xfId="423" builtinId="9" hidden="1"/>
    <cellStyle name="Followed Hyperlink" xfId="425" builtinId="9" hidden="1"/>
    <cellStyle name="Followed Hyperlink" xfId="427" builtinId="9" hidden="1"/>
    <cellStyle name="Followed Hyperlink" xfId="429" builtinId="9" hidden="1"/>
    <cellStyle name="Followed Hyperlink" xfId="431" builtinId="9" hidden="1"/>
    <cellStyle name="Followed Hyperlink" xfId="433" builtinId="9" hidden="1"/>
    <cellStyle name="Followed Hyperlink" xfId="435" builtinId="9" hidden="1"/>
    <cellStyle name="Followed Hyperlink" xfId="437" builtinId="9" hidden="1"/>
    <cellStyle name="Followed Hyperlink" xfId="439" builtinId="9" hidden="1"/>
    <cellStyle name="Followed Hyperlink" xfId="441" builtinId="9" hidden="1"/>
    <cellStyle name="Followed Hyperlink" xfId="443" builtinId="9" hidden="1"/>
    <cellStyle name="Followed Hyperlink" xfId="445" builtinId="9" hidden="1"/>
    <cellStyle name="Followed Hyperlink" xfId="447" builtinId="9" hidden="1"/>
    <cellStyle name="Followed Hyperlink" xfId="449" builtinId="9" hidden="1"/>
    <cellStyle name="Followed Hyperlink" xfId="451" builtinId="9" hidden="1"/>
    <cellStyle name="Followed Hyperlink" xfId="453" builtinId="9" hidden="1"/>
    <cellStyle name="Followed Hyperlink" xfId="455" builtinId="9" hidden="1"/>
    <cellStyle name="Followed Hyperlink" xfId="457" builtinId="9" hidden="1"/>
    <cellStyle name="Followed Hyperlink" xfId="459" builtinId="9" hidden="1"/>
    <cellStyle name="Followed Hyperlink" xfId="461" builtinId="9" hidden="1"/>
    <cellStyle name="Followed Hyperlink" xfId="463" builtinId="9" hidden="1"/>
    <cellStyle name="Followed Hyperlink" xfId="465" builtinId="9" hidden="1"/>
    <cellStyle name="Followed Hyperlink" xfId="467" builtinId="9" hidden="1"/>
    <cellStyle name="Followed Hyperlink" xfId="469" builtinId="9" hidden="1"/>
    <cellStyle name="Followed Hyperlink" xfId="471" builtinId="9" hidden="1"/>
    <cellStyle name="Followed Hyperlink" xfId="473" builtinId="9" hidden="1"/>
    <cellStyle name="Followed Hyperlink" xfId="475" builtinId="9" hidden="1"/>
    <cellStyle name="Followed Hyperlink" xfId="477" builtinId="9" hidden="1"/>
    <cellStyle name="Followed Hyperlink" xfId="479" builtinId="9" hidden="1"/>
    <cellStyle name="Followed Hyperlink" xfId="481" builtinId="9" hidden="1"/>
    <cellStyle name="Followed Hyperlink" xfId="483" builtinId="9" hidden="1"/>
    <cellStyle name="Followed Hyperlink" xfId="485" builtinId="9" hidden="1"/>
    <cellStyle name="Followed Hyperlink" xfId="487" builtinId="9" hidden="1"/>
    <cellStyle name="Followed Hyperlink" xfId="489" builtinId="9" hidden="1"/>
    <cellStyle name="Followed Hyperlink" xfId="491" builtinId="9" hidden="1"/>
    <cellStyle name="Followed Hyperlink" xfId="493" builtinId="9" hidden="1"/>
    <cellStyle name="Followed Hyperlink" xfId="495" builtinId="9" hidden="1"/>
    <cellStyle name="Followed Hyperlink" xfId="497" builtinId="9" hidden="1"/>
    <cellStyle name="Followed Hyperlink" xfId="499" builtinId="9" hidden="1"/>
    <cellStyle name="Followed Hyperlink" xfId="501" builtinId="9" hidden="1"/>
    <cellStyle name="Followed Hyperlink" xfId="503" builtinId="9" hidden="1"/>
    <cellStyle name="Followed Hyperlink" xfId="505" builtinId="9" hidden="1"/>
    <cellStyle name="Followed Hyperlink" xfId="507" builtinId="9" hidden="1"/>
    <cellStyle name="Followed Hyperlink" xfId="509" builtinId="9" hidden="1"/>
    <cellStyle name="Followed Hyperlink" xfId="511" builtinId="9" hidden="1"/>
    <cellStyle name="Followed Hyperlink" xfId="513" builtinId="9" hidden="1"/>
    <cellStyle name="Followed Hyperlink" xfId="515" builtinId="9" hidden="1"/>
    <cellStyle name="Followed Hyperlink" xfId="517" builtinId="9" hidden="1"/>
    <cellStyle name="Followed Hyperlink" xfId="519" builtinId="9" hidden="1"/>
    <cellStyle name="Followed Hyperlink" xfId="521" builtinId="9" hidden="1"/>
    <cellStyle name="Followed Hyperlink" xfId="523" builtinId="9" hidden="1"/>
    <cellStyle name="Followed Hyperlink" xfId="525" builtinId="9" hidden="1"/>
    <cellStyle name="Followed Hyperlink" xfId="527" builtinId="9" hidden="1"/>
    <cellStyle name="Followed Hyperlink" xfId="529" builtinId="9" hidden="1"/>
    <cellStyle name="Followed Hyperlink" xfId="531" builtinId="9" hidden="1"/>
    <cellStyle name="Followed Hyperlink" xfId="533" builtinId="9" hidden="1"/>
    <cellStyle name="Followed Hyperlink" xfId="535" builtinId="9" hidden="1"/>
    <cellStyle name="Followed Hyperlink" xfId="537" builtinId="9" hidden="1"/>
    <cellStyle name="Followed Hyperlink" xfId="539" builtinId="9" hidden="1"/>
    <cellStyle name="Followed Hyperlink" xfId="541" builtinId="9" hidden="1"/>
    <cellStyle name="Followed Hyperlink" xfId="543" builtinId="9" hidden="1"/>
    <cellStyle name="Followed Hyperlink" xfId="545" builtinId="9" hidden="1"/>
    <cellStyle name="Followed Hyperlink" xfId="547" builtinId="9" hidden="1"/>
    <cellStyle name="Followed Hyperlink" xfId="549" builtinId="9" hidden="1"/>
    <cellStyle name="Followed Hyperlink" xfId="551" builtinId="9" hidden="1"/>
    <cellStyle name="Followed Hyperlink" xfId="553" builtinId="9" hidden="1"/>
    <cellStyle name="Followed Hyperlink" xfId="555" builtinId="9" hidden="1"/>
    <cellStyle name="Followed Hyperlink" xfId="557" builtinId="9" hidden="1"/>
    <cellStyle name="Followed Hyperlink" xfId="559" builtinId="9" hidden="1"/>
    <cellStyle name="Followed Hyperlink" xfId="561" builtinId="9" hidden="1"/>
    <cellStyle name="Followed Hyperlink" xfId="563" builtinId="9" hidden="1"/>
    <cellStyle name="Followed Hyperlink" xfId="565" builtinId="9" hidden="1"/>
    <cellStyle name="Followed Hyperlink" xfId="567" builtinId="9" hidden="1"/>
    <cellStyle name="Followed Hyperlink" xfId="569" builtinId="9" hidden="1"/>
    <cellStyle name="Followed Hyperlink" xfId="571" builtinId="9" hidden="1"/>
    <cellStyle name="Followed Hyperlink" xfId="573" builtinId="9" hidden="1"/>
    <cellStyle name="Followed Hyperlink" xfId="575" builtinId="9" hidden="1"/>
    <cellStyle name="Followed Hyperlink" xfId="577" builtinId="9" hidden="1"/>
    <cellStyle name="Followed Hyperlink" xfId="579" builtinId="9" hidden="1"/>
    <cellStyle name="Followed Hyperlink" xfId="581" builtinId="9" hidden="1"/>
    <cellStyle name="Followed Hyperlink" xfId="583" builtinId="9" hidden="1"/>
    <cellStyle name="Followed Hyperlink" xfId="585" builtinId="9" hidden="1"/>
    <cellStyle name="Followed Hyperlink" xfId="587" builtinId="9" hidden="1"/>
    <cellStyle name="Followed Hyperlink" xfId="589" builtinId="9" hidden="1"/>
    <cellStyle name="Followed Hyperlink" xfId="591" builtinId="9" hidden="1"/>
    <cellStyle name="Followed Hyperlink" xfId="593" builtinId="9" hidden="1"/>
    <cellStyle name="Followed Hyperlink" xfId="595" builtinId="9" hidden="1"/>
    <cellStyle name="Followed Hyperlink" xfId="597" builtinId="9" hidden="1"/>
    <cellStyle name="Followed Hyperlink" xfId="599" builtinId="9" hidden="1"/>
    <cellStyle name="Followed Hyperlink" xfId="601" builtinId="9" hidden="1"/>
    <cellStyle name="Followed Hyperlink" xfId="603" builtinId="9" hidden="1"/>
    <cellStyle name="Followed Hyperlink" xfId="605" builtinId="9" hidden="1"/>
    <cellStyle name="Followed Hyperlink" xfId="607" builtinId="9" hidden="1"/>
    <cellStyle name="Followed Hyperlink" xfId="609" builtinId="9" hidden="1"/>
    <cellStyle name="Followed Hyperlink" xfId="611" builtinId="9" hidden="1"/>
    <cellStyle name="Followed Hyperlink" xfId="613" builtinId="9" hidden="1"/>
    <cellStyle name="Followed Hyperlink" xfId="615" builtinId="9" hidden="1"/>
    <cellStyle name="Followed Hyperlink" xfId="617" builtinId="9" hidden="1"/>
    <cellStyle name="Followed Hyperlink" xfId="619" builtinId="9" hidden="1"/>
    <cellStyle name="Followed Hyperlink" xfId="621" builtinId="9" hidden="1"/>
    <cellStyle name="Followed Hyperlink" xfId="623" builtinId="9" hidden="1"/>
    <cellStyle name="Followed Hyperlink" xfId="625" builtinId="9" hidden="1"/>
    <cellStyle name="Followed Hyperlink" xfId="627" builtinId="9" hidden="1"/>
    <cellStyle name="Followed Hyperlink" xfId="629" builtinId="9" hidden="1"/>
    <cellStyle name="Followed Hyperlink" xfId="631" builtinId="9" hidden="1"/>
    <cellStyle name="Followed Hyperlink" xfId="633" builtinId="9" hidden="1"/>
    <cellStyle name="Followed Hyperlink" xfId="635" builtinId="9" hidden="1"/>
    <cellStyle name="Followed Hyperlink" xfId="637" builtinId="9" hidden="1"/>
    <cellStyle name="Followed Hyperlink" xfId="639" builtinId="9" hidden="1"/>
    <cellStyle name="Followed Hyperlink" xfId="641" builtinId="9" hidden="1"/>
    <cellStyle name="Followed Hyperlink" xfId="643" builtinId="9" hidden="1"/>
    <cellStyle name="Followed Hyperlink" xfId="645" builtinId="9" hidden="1"/>
    <cellStyle name="Followed Hyperlink" xfId="647" builtinId="9" hidden="1"/>
    <cellStyle name="Followed Hyperlink" xfId="649" builtinId="9" hidden="1"/>
    <cellStyle name="Followed Hyperlink" xfId="651" builtinId="9" hidden="1"/>
    <cellStyle name="Followed Hyperlink" xfId="653" builtinId="9" hidden="1"/>
    <cellStyle name="Followed Hyperlink" xfId="655" builtinId="9" hidden="1"/>
    <cellStyle name="Followed Hyperlink" xfId="657" builtinId="9" hidden="1"/>
    <cellStyle name="Followed Hyperlink" xfId="659" builtinId="9" hidden="1"/>
    <cellStyle name="Followed Hyperlink" xfId="661" builtinId="9" hidden="1"/>
    <cellStyle name="Followed Hyperlink" xfId="663" builtinId="9" hidden="1"/>
    <cellStyle name="Good" xfId="736" builtinId="26" customBuiltin="1"/>
    <cellStyle name="Good 2" xfId="698"/>
    <cellStyle name="Heading 1" xfId="732" builtinId="16" customBuiltin="1"/>
    <cellStyle name="Heading 1 2" xfId="699"/>
    <cellStyle name="Heading 1 2 2" xfId="776"/>
    <cellStyle name="Heading 2" xfId="733" builtinId="17" customBuiltin="1"/>
    <cellStyle name="Heading 2 2" xfId="700"/>
    <cellStyle name="Heading 3" xfId="734" builtinId="18" customBuiltin="1"/>
    <cellStyle name="Heading 3 2" xfId="701"/>
    <cellStyle name="Heading 4" xfId="735" builtinId="19" customBuiltin="1"/>
    <cellStyle name="Heading 4 2" xfId="702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Hyperlink" xfId="36" builtinId="8" hidden="1"/>
    <cellStyle name="Hyperlink" xfId="38" builtinId="8" hidden="1"/>
    <cellStyle name="Hyperlink" xfId="40" builtinId="8" hidde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0" builtinId="8" hidden="1"/>
    <cellStyle name="Hyperlink" xfId="52" builtinId="8" hidden="1"/>
    <cellStyle name="Hyperlink" xfId="54" builtinId="8" hidden="1"/>
    <cellStyle name="Hyperlink" xfId="56" builtinId="8" hidden="1"/>
    <cellStyle name="Hyperlink" xfId="58" builtinId="8" hidden="1"/>
    <cellStyle name="Hyperlink" xfId="60" builtinId="8" hidden="1"/>
    <cellStyle name="Hyperlink" xfId="62" builtinId="8" hidden="1"/>
    <cellStyle name="Hyperlink" xfId="64" builtinId="8" hidden="1"/>
    <cellStyle name="Hyperlink" xfId="66" builtinId="8" hidden="1"/>
    <cellStyle name="Hyperlink" xfId="68" builtinId="8" hidden="1"/>
    <cellStyle name="Hyperlink" xfId="70" builtinId="8" hidden="1"/>
    <cellStyle name="Hyperlink" xfId="72" builtinId="8" hidden="1"/>
    <cellStyle name="Hyperlink" xfId="74" builtinId="8" hidden="1"/>
    <cellStyle name="Hyperlink" xfId="76" builtinId="8" hidden="1"/>
    <cellStyle name="Hyperlink" xfId="78" builtinId="8" hidden="1"/>
    <cellStyle name="Hyperlink" xfId="80" builtinId="8" hidden="1"/>
    <cellStyle name="Hyperlink" xfId="82" builtinId="8" hidden="1"/>
    <cellStyle name="Hyperlink" xfId="84" builtinId="8" hidden="1"/>
    <cellStyle name="Hyperlink" xfId="86" builtinId="8" hidden="1"/>
    <cellStyle name="Hyperlink" xfId="88" builtinId="8" hidden="1"/>
    <cellStyle name="Hyperlink" xfId="90" builtinId="8" hidden="1"/>
    <cellStyle name="Hyperlink" xfId="92" builtinId="8" hidden="1"/>
    <cellStyle name="Hyperlink" xfId="94" builtinId="8" hidden="1"/>
    <cellStyle name="Hyperlink" xfId="96" builtinId="8" hidden="1"/>
    <cellStyle name="Hyperlink" xfId="98" builtinId="8" hidden="1"/>
    <cellStyle name="Hyperlink" xfId="100" builtinId="8" hidden="1"/>
    <cellStyle name="Hyperlink" xfId="102" builtinId="8" hidden="1"/>
    <cellStyle name="Hyperlink" xfId="104" builtinId="8" hidden="1"/>
    <cellStyle name="Hyperlink" xfId="106" builtinId="8" hidden="1"/>
    <cellStyle name="Hyperlink" xfId="108" builtinId="8" hidden="1"/>
    <cellStyle name="Hyperlink" xfId="110" builtinId="8" hidden="1"/>
    <cellStyle name="Hyperlink" xfId="112" builtinId="8" hidden="1"/>
    <cellStyle name="Hyperlink" xfId="114" builtinId="8" hidden="1"/>
    <cellStyle name="Hyperlink" xfId="116" builtinId="8" hidden="1"/>
    <cellStyle name="Hyperlink" xfId="118" builtinId="8" hidden="1"/>
    <cellStyle name="Hyperlink" xfId="120" builtinId="8" hidden="1"/>
    <cellStyle name="Hyperlink" xfId="122" builtinId="8" hidden="1"/>
    <cellStyle name="Hyperlink" xfId="124" builtinId="8" hidden="1"/>
    <cellStyle name="Hyperlink" xfId="126" builtinId="8" hidden="1"/>
    <cellStyle name="Hyperlink" xfId="128" builtinId="8" hidden="1"/>
    <cellStyle name="Hyperlink" xfId="130" builtinId="8" hidden="1"/>
    <cellStyle name="Hyperlink" xfId="132" builtinId="8" hidden="1"/>
    <cellStyle name="Hyperlink" xfId="134" builtinId="8" hidden="1"/>
    <cellStyle name="Hyperlink" xfId="136" builtinId="8" hidden="1"/>
    <cellStyle name="Hyperlink" xfId="138" builtinId="8" hidden="1"/>
    <cellStyle name="Hyperlink" xfId="140" builtinId="8" hidden="1"/>
    <cellStyle name="Hyperlink" xfId="142" builtinId="8" hidden="1"/>
    <cellStyle name="Hyperlink" xfId="144" builtinId="8" hidden="1"/>
    <cellStyle name="Hyperlink" xfId="146" builtinId="8" hidden="1"/>
    <cellStyle name="Hyperlink" xfId="148" builtinId="8" hidden="1"/>
    <cellStyle name="Hyperlink" xfId="150" builtinId="8" hidden="1"/>
    <cellStyle name="Hyperlink" xfId="152" builtinId="8" hidden="1"/>
    <cellStyle name="Hyperlink" xfId="154" builtinId="8" hidden="1"/>
    <cellStyle name="Hyperlink" xfId="156" builtinId="8" hidden="1"/>
    <cellStyle name="Hyperlink" xfId="158" builtinId="8" hidden="1"/>
    <cellStyle name="Hyperlink" xfId="160" builtinId="8" hidden="1"/>
    <cellStyle name="Hyperlink" xfId="162" builtinId="8" hidden="1"/>
    <cellStyle name="Hyperlink" xfId="164" builtinId="8" hidden="1"/>
    <cellStyle name="Hyperlink" xfId="166" builtinId="8" hidden="1"/>
    <cellStyle name="Hyperlink" xfId="168" builtinId="8" hidden="1"/>
    <cellStyle name="Hyperlink" xfId="170" builtinId="8" hidden="1"/>
    <cellStyle name="Hyperlink" xfId="172" builtinId="8" hidden="1"/>
    <cellStyle name="Hyperlink" xfId="174" builtinId="8" hidden="1"/>
    <cellStyle name="Hyperlink" xfId="176" builtinId="8" hidden="1"/>
    <cellStyle name="Hyperlink" xfId="178" builtinId="8" hidden="1"/>
    <cellStyle name="Hyperlink" xfId="180" builtinId="8" hidden="1"/>
    <cellStyle name="Hyperlink" xfId="182" builtinId="8" hidden="1"/>
    <cellStyle name="Hyperlink" xfId="184" builtinId="8" hidden="1"/>
    <cellStyle name="Hyperlink" xfId="186" builtinId="8" hidden="1"/>
    <cellStyle name="Hyperlink" xfId="188" builtinId="8" hidden="1"/>
    <cellStyle name="Hyperlink" xfId="190" builtinId="8" hidden="1"/>
    <cellStyle name="Hyperlink" xfId="192" builtinId="8" hidden="1"/>
    <cellStyle name="Hyperlink" xfId="194" builtinId="8" hidden="1"/>
    <cellStyle name="Hyperlink" xfId="196" builtinId="8" hidden="1"/>
    <cellStyle name="Hyperlink" xfId="198" builtinId="8" hidden="1"/>
    <cellStyle name="Hyperlink" xfId="200" builtinId="8" hidden="1"/>
    <cellStyle name="Hyperlink" xfId="202" builtinId="8" hidden="1"/>
    <cellStyle name="Hyperlink" xfId="204" builtinId="8" hidden="1"/>
    <cellStyle name="Hyperlink" xfId="206" builtinId="8" hidden="1"/>
    <cellStyle name="Hyperlink" xfId="208" builtinId="8" hidden="1"/>
    <cellStyle name="Hyperlink" xfId="210" builtinId="8" hidden="1"/>
    <cellStyle name="Hyperlink" xfId="212" builtinId="8" hidden="1"/>
    <cellStyle name="Hyperlink" xfId="214" builtinId="8" hidden="1"/>
    <cellStyle name="Hyperlink" xfId="216" builtinId="8" hidden="1"/>
    <cellStyle name="Hyperlink" xfId="218" builtinId="8" hidden="1"/>
    <cellStyle name="Hyperlink" xfId="220" builtinId="8" hidden="1"/>
    <cellStyle name="Hyperlink" xfId="222" builtinId="8" hidden="1"/>
    <cellStyle name="Hyperlink" xfId="224" builtinId="8" hidden="1"/>
    <cellStyle name="Hyperlink" xfId="226" builtinId="8" hidden="1"/>
    <cellStyle name="Hyperlink" xfId="228" builtinId="8" hidden="1"/>
    <cellStyle name="Hyperlink" xfId="230" builtinId="8" hidden="1"/>
    <cellStyle name="Hyperlink" xfId="232" builtinId="8" hidden="1"/>
    <cellStyle name="Hyperlink" xfId="234" builtinId="8" hidden="1"/>
    <cellStyle name="Hyperlink" xfId="236" builtinId="8" hidden="1"/>
    <cellStyle name="Hyperlink" xfId="238" builtinId="8" hidden="1"/>
    <cellStyle name="Hyperlink" xfId="240" builtinId="8" hidden="1"/>
    <cellStyle name="Hyperlink" xfId="242" builtinId="8" hidden="1"/>
    <cellStyle name="Hyperlink" xfId="244" builtinId="8" hidden="1"/>
    <cellStyle name="Hyperlink" xfId="246" builtinId="8" hidden="1"/>
    <cellStyle name="Hyperlink" xfId="248" builtinId="8" hidden="1"/>
    <cellStyle name="Hyperlink" xfId="250" builtinId="8" hidden="1"/>
    <cellStyle name="Hyperlink" xfId="252" builtinId="8" hidden="1"/>
    <cellStyle name="Hyperlink" xfId="254" builtinId="8" hidden="1"/>
    <cellStyle name="Hyperlink" xfId="256" builtinId="8" hidden="1"/>
    <cellStyle name="Hyperlink" xfId="258" builtinId="8" hidden="1"/>
    <cellStyle name="Hyperlink" xfId="260" builtinId="8" hidden="1"/>
    <cellStyle name="Hyperlink" xfId="262" builtinId="8" hidden="1"/>
    <cellStyle name="Hyperlink" xfId="264" builtinId="8" hidden="1"/>
    <cellStyle name="Hyperlink" xfId="266" builtinId="8" hidden="1"/>
    <cellStyle name="Hyperlink" xfId="268" builtinId="8" hidden="1"/>
    <cellStyle name="Hyperlink" xfId="270" builtinId="8" hidden="1"/>
    <cellStyle name="Hyperlink" xfId="272" builtinId="8" hidden="1"/>
    <cellStyle name="Hyperlink" xfId="274" builtinId="8" hidden="1"/>
    <cellStyle name="Hyperlink" xfId="276" builtinId="8" hidden="1"/>
    <cellStyle name="Hyperlink" xfId="278" builtinId="8" hidden="1"/>
    <cellStyle name="Hyperlink" xfId="280" builtinId="8" hidden="1"/>
    <cellStyle name="Hyperlink" xfId="282" builtinId="8" hidden="1"/>
    <cellStyle name="Hyperlink" xfId="284" builtinId="8" hidden="1"/>
    <cellStyle name="Hyperlink" xfId="286" builtinId="8" hidden="1"/>
    <cellStyle name="Hyperlink" xfId="288" builtinId="8" hidden="1"/>
    <cellStyle name="Hyperlink" xfId="290" builtinId="8" hidden="1"/>
    <cellStyle name="Hyperlink" xfId="292" builtinId="8" hidden="1"/>
    <cellStyle name="Hyperlink" xfId="294" builtinId="8" hidden="1"/>
    <cellStyle name="Hyperlink" xfId="296" builtinId="8" hidden="1"/>
    <cellStyle name="Hyperlink" xfId="298" builtinId="8" hidden="1"/>
    <cellStyle name="Hyperlink" xfId="300" builtinId="8" hidden="1"/>
    <cellStyle name="Hyperlink" xfId="302" builtinId="8" hidden="1"/>
    <cellStyle name="Hyperlink" xfId="304" builtinId="8" hidden="1"/>
    <cellStyle name="Hyperlink" xfId="306" builtinId="8" hidden="1"/>
    <cellStyle name="Hyperlink" xfId="308" builtinId="8" hidden="1"/>
    <cellStyle name="Hyperlink" xfId="310" builtinId="8" hidden="1"/>
    <cellStyle name="Hyperlink" xfId="312" builtinId="8" hidden="1"/>
    <cellStyle name="Hyperlink" xfId="314" builtinId="8" hidden="1"/>
    <cellStyle name="Hyperlink" xfId="316" builtinId="8" hidden="1"/>
    <cellStyle name="Hyperlink" xfId="318" builtinId="8" hidden="1"/>
    <cellStyle name="Hyperlink" xfId="320" builtinId="8" hidden="1"/>
    <cellStyle name="Hyperlink" xfId="322" builtinId="8" hidden="1"/>
    <cellStyle name="Hyperlink" xfId="324" builtinId="8" hidden="1"/>
    <cellStyle name="Hyperlink" xfId="326" builtinId="8" hidden="1"/>
    <cellStyle name="Hyperlink" xfId="328" builtinId="8" hidden="1"/>
    <cellStyle name="Hyperlink" xfId="330" builtinId="8" hidden="1"/>
    <cellStyle name="Hyperlink" xfId="332" builtinId="8" hidden="1"/>
    <cellStyle name="Hyperlink" xfId="334" builtinId="8" hidden="1"/>
    <cellStyle name="Hyperlink" xfId="336" builtinId="8" hidden="1"/>
    <cellStyle name="Hyperlink" xfId="338" builtinId="8" hidden="1"/>
    <cellStyle name="Hyperlink" xfId="340" builtinId="8" hidden="1"/>
    <cellStyle name="Hyperlink" xfId="342" builtinId="8" hidden="1"/>
    <cellStyle name="Hyperlink" xfId="344" builtinId="8" hidden="1"/>
    <cellStyle name="Hyperlink" xfId="346" builtinId="8" hidden="1"/>
    <cellStyle name="Hyperlink" xfId="348" builtinId="8" hidden="1"/>
    <cellStyle name="Hyperlink" xfId="350" builtinId="8" hidden="1"/>
    <cellStyle name="Hyperlink" xfId="352" builtinId="8" hidden="1"/>
    <cellStyle name="Hyperlink" xfId="354" builtinId="8" hidden="1"/>
    <cellStyle name="Hyperlink" xfId="356" builtinId="8" hidden="1"/>
    <cellStyle name="Hyperlink" xfId="358" builtinId="8" hidden="1"/>
    <cellStyle name="Hyperlink" xfId="360" builtinId="8" hidden="1"/>
    <cellStyle name="Hyperlink" xfId="362" builtinId="8" hidden="1"/>
    <cellStyle name="Hyperlink" xfId="364" builtinId="8" hidden="1"/>
    <cellStyle name="Hyperlink" xfId="366" builtinId="8" hidden="1"/>
    <cellStyle name="Hyperlink" xfId="368" builtinId="8" hidden="1"/>
    <cellStyle name="Hyperlink" xfId="370" builtinId="8" hidden="1"/>
    <cellStyle name="Hyperlink" xfId="372" builtinId="8" hidden="1"/>
    <cellStyle name="Hyperlink" xfId="374" builtinId="8" hidden="1"/>
    <cellStyle name="Hyperlink" xfId="376" builtinId="8" hidden="1"/>
    <cellStyle name="Hyperlink" xfId="378" builtinId="8" hidden="1"/>
    <cellStyle name="Hyperlink" xfId="380" builtinId="8" hidden="1"/>
    <cellStyle name="Hyperlink" xfId="382" builtinId="8" hidden="1"/>
    <cellStyle name="Hyperlink" xfId="384" builtinId="8" hidden="1"/>
    <cellStyle name="Hyperlink" xfId="386" builtinId="8" hidden="1"/>
    <cellStyle name="Hyperlink" xfId="388" builtinId="8" hidden="1"/>
    <cellStyle name="Hyperlink" xfId="390" builtinId="8" hidden="1"/>
    <cellStyle name="Hyperlink" xfId="392" builtinId="8" hidden="1"/>
    <cellStyle name="Hyperlink" xfId="394" builtinId="8" hidden="1"/>
    <cellStyle name="Hyperlink" xfId="396" builtinId="8" hidden="1"/>
    <cellStyle name="Hyperlink" xfId="398" builtinId="8" hidden="1"/>
    <cellStyle name="Hyperlink" xfId="400" builtinId="8" hidden="1"/>
    <cellStyle name="Hyperlink" xfId="402" builtinId="8" hidden="1"/>
    <cellStyle name="Hyperlink" xfId="404" builtinId="8" hidden="1"/>
    <cellStyle name="Hyperlink" xfId="406" builtinId="8" hidden="1"/>
    <cellStyle name="Hyperlink" xfId="408" builtinId="8" hidden="1"/>
    <cellStyle name="Hyperlink" xfId="410" builtinId="8" hidden="1"/>
    <cellStyle name="Hyperlink" xfId="412" builtinId="8" hidden="1"/>
    <cellStyle name="Hyperlink" xfId="414" builtinId="8" hidden="1"/>
    <cellStyle name="Hyperlink" xfId="416" builtinId="8" hidden="1"/>
    <cellStyle name="Hyperlink" xfId="418" builtinId="8" hidden="1"/>
    <cellStyle name="Hyperlink" xfId="420" builtinId="8" hidden="1"/>
    <cellStyle name="Hyperlink" xfId="422" builtinId="8" hidden="1"/>
    <cellStyle name="Hyperlink" xfId="424" builtinId="8" hidden="1"/>
    <cellStyle name="Hyperlink" xfId="426" builtinId="8" hidden="1"/>
    <cellStyle name="Hyperlink" xfId="428" builtinId="8" hidden="1"/>
    <cellStyle name="Hyperlink" xfId="430" builtinId="8" hidden="1"/>
    <cellStyle name="Hyperlink" xfId="432" builtinId="8" hidden="1"/>
    <cellStyle name="Hyperlink" xfId="434" builtinId="8" hidden="1"/>
    <cellStyle name="Hyperlink" xfId="436" builtinId="8" hidden="1"/>
    <cellStyle name="Hyperlink" xfId="438" builtinId="8" hidden="1"/>
    <cellStyle name="Hyperlink" xfId="440" builtinId="8" hidden="1"/>
    <cellStyle name="Hyperlink" xfId="442" builtinId="8" hidden="1"/>
    <cellStyle name="Hyperlink" xfId="444" builtinId="8" hidden="1"/>
    <cellStyle name="Hyperlink" xfId="446" builtinId="8" hidden="1"/>
    <cellStyle name="Hyperlink" xfId="448" builtinId="8" hidden="1"/>
    <cellStyle name="Hyperlink" xfId="450" builtinId="8" hidden="1"/>
    <cellStyle name="Hyperlink" xfId="452" builtinId="8" hidden="1"/>
    <cellStyle name="Hyperlink" xfId="454" builtinId="8" hidden="1"/>
    <cellStyle name="Hyperlink" xfId="456" builtinId="8" hidden="1"/>
    <cellStyle name="Hyperlink" xfId="458" builtinId="8" hidden="1"/>
    <cellStyle name="Hyperlink" xfId="460" builtinId="8" hidden="1"/>
    <cellStyle name="Hyperlink" xfId="462" builtinId="8" hidden="1"/>
    <cellStyle name="Hyperlink" xfId="464" builtinId="8" hidden="1"/>
    <cellStyle name="Hyperlink" xfId="466" builtinId="8" hidden="1"/>
    <cellStyle name="Hyperlink" xfId="468" builtinId="8" hidden="1"/>
    <cellStyle name="Hyperlink" xfId="470" builtinId="8" hidden="1"/>
    <cellStyle name="Hyperlink" xfId="472" builtinId="8" hidden="1"/>
    <cellStyle name="Hyperlink" xfId="474" builtinId="8" hidden="1"/>
    <cellStyle name="Hyperlink" xfId="476" builtinId="8" hidden="1"/>
    <cellStyle name="Hyperlink" xfId="478" builtinId="8" hidden="1"/>
    <cellStyle name="Hyperlink" xfId="480" builtinId="8" hidden="1"/>
    <cellStyle name="Hyperlink" xfId="482" builtinId="8" hidden="1"/>
    <cellStyle name="Hyperlink" xfId="484" builtinId="8" hidden="1"/>
    <cellStyle name="Hyperlink" xfId="486" builtinId="8" hidden="1"/>
    <cellStyle name="Hyperlink" xfId="488" builtinId="8" hidden="1"/>
    <cellStyle name="Hyperlink" xfId="490" builtinId="8" hidden="1"/>
    <cellStyle name="Hyperlink" xfId="492" builtinId="8" hidden="1"/>
    <cellStyle name="Hyperlink" xfId="494" builtinId="8" hidden="1"/>
    <cellStyle name="Hyperlink" xfId="496" builtinId="8" hidden="1"/>
    <cellStyle name="Hyperlink" xfId="498" builtinId="8" hidden="1"/>
    <cellStyle name="Hyperlink" xfId="500" builtinId="8" hidden="1"/>
    <cellStyle name="Hyperlink" xfId="502" builtinId="8" hidden="1"/>
    <cellStyle name="Hyperlink" xfId="504" builtinId="8" hidden="1"/>
    <cellStyle name="Hyperlink" xfId="506" builtinId="8" hidden="1"/>
    <cellStyle name="Hyperlink" xfId="508" builtinId="8" hidden="1"/>
    <cellStyle name="Hyperlink" xfId="510" builtinId="8" hidden="1"/>
    <cellStyle name="Hyperlink" xfId="512" builtinId="8" hidden="1"/>
    <cellStyle name="Hyperlink" xfId="514" builtinId="8" hidden="1"/>
    <cellStyle name="Hyperlink" xfId="516" builtinId="8" hidden="1"/>
    <cellStyle name="Hyperlink" xfId="518" builtinId="8" hidden="1"/>
    <cellStyle name="Hyperlink" xfId="520" builtinId="8" hidden="1"/>
    <cellStyle name="Hyperlink" xfId="522" builtinId="8" hidden="1"/>
    <cellStyle name="Hyperlink" xfId="524" builtinId="8" hidden="1"/>
    <cellStyle name="Hyperlink" xfId="526" builtinId="8" hidden="1"/>
    <cellStyle name="Hyperlink" xfId="528" builtinId="8" hidden="1"/>
    <cellStyle name="Hyperlink" xfId="530" builtinId="8" hidden="1"/>
    <cellStyle name="Hyperlink" xfId="532" builtinId="8" hidden="1"/>
    <cellStyle name="Hyperlink" xfId="534" builtinId="8" hidden="1"/>
    <cellStyle name="Hyperlink" xfId="536" builtinId="8" hidden="1"/>
    <cellStyle name="Hyperlink" xfId="538" builtinId="8" hidden="1"/>
    <cellStyle name="Hyperlink" xfId="540" builtinId="8" hidden="1"/>
    <cellStyle name="Hyperlink" xfId="542" builtinId="8" hidden="1"/>
    <cellStyle name="Hyperlink" xfId="544" builtinId="8" hidden="1"/>
    <cellStyle name="Hyperlink" xfId="546" builtinId="8" hidden="1"/>
    <cellStyle name="Hyperlink" xfId="548" builtinId="8" hidden="1"/>
    <cellStyle name="Hyperlink" xfId="550" builtinId="8" hidden="1"/>
    <cellStyle name="Hyperlink" xfId="552" builtinId="8" hidden="1"/>
    <cellStyle name="Hyperlink" xfId="554" builtinId="8" hidden="1"/>
    <cellStyle name="Hyperlink" xfId="556" builtinId="8" hidden="1"/>
    <cellStyle name="Hyperlink" xfId="558" builtinId="8" hidden="1"/>
    <cellStyle name="Hyperlink" xfId="560" builtinId="8" hidden="1"/>
    <cellStyle name="Hyperlink" xfId="562" builtinId="8" hidden="1"/>
    <cellStyle name="Hyperlink" xfId="564" builtinId="8" hidden="1"/>
    <cellStyle name="Hyperlink" xfId="566" builtinId="8" hidden="1"/>
    <cellStyle name="Hyperlink" xfId="568" builtinId="8" hidden="1"/>
    <cellStyle name="Hyperlink" xfId="570" builtinId="8" hidden="1"/>
    <cellStyle name="Hyperlink" xfId="572" builtinId="8" hidden="1"/>
    <cellStyle name="Hyperlink" xfId="574" builtinId="8" hidden="1"/>
    <cellStyle name="Hyperlink" xfId="576" builtinId="8" hidden="1"/>
    <cellStyle name="Hyperlink" xfId="578" builtinId="8" hidden="1"/>
    <cellStyle name="Hyperlink" xfId="580" builtinId="8" hidden="1"/>
    <cellStyle name="Hyperlink" xfId="582" builtinId="8" hidden="1"/>
    <cellStyle name="Hyperlink" xfId="584" builtinId="8" hidden="1"/>
    <cellStyle name="Hyperlink" xfId="586" builtinId="8" hidden="1"/>
    <cellStyle name="Hyperlink" xfId="588" builtinId="8" hidden="1"/>
    <cellStyle name="Hyperlink" xfId="590" builtinId="8" hidden="1"/>
    <cellStyle name="Hyperlink" xfId="592" builtinId="8" hidden="1"/>
    <cellStyle name="Hyperlink" xfId="594" builtinId="8" hidden="1"/>
    <cellStyle name="Hyperlink" xfId="596" builtinId="8" hidden="1"/>
    <cellStyle name="Hyperlink" xfId="598" builtinId="8" hidden="1"/>
    <cellStyle name="Hyperlink" xfId="600" builtinId="8" hidden="1"/>
    <cellStyle name="Hyperlink" xfId="602" builtinId="8" hidden="1"/>
    <cellStyle name="Hyperlink" xfId="604" builtinId="8" hidden="1"/>
    <cellStyle name="Hyperlink" xfId="606" builtinId="8" hidden="1"/>
    <cellStyle name="Hyperlink" xfId="608" builtinId="8" hidden="1"/>
    <cellStyle name="Hyperlink" xfId="610" builtinId="8" hidden="1"/>
    <cellStyle name="Hyperlink" xfId="612" builtinId="8" hidden="1"/>
    <cellStyle name="Hyperlink" xfId="614" builtinId="8" hidden="1"/>
    <cellStyle name="Hyperlink" xfId="616" builtinId="8" hidden="1"/>
    <cellStyle name="Hyperlink" xfId="618" builtinId="8" hidden="1"/>
    <cellStyle name="Hyperlink" xfId="620" builtinId="8" hidden="1"/>
    <cellStyle name="Hyperlink" xfId="622" builtinId="8" hidden="1"/>
    <cellStyle name="Hyperlink" xfId="624" builtinId="8" hidden="1"/>
    <cellStyle name="Hyperlink" xfId="626" builtinId="8" hidden="1"/>
    <cellStyle name="Hyperlink" xfId="628" builtinId="8" hidden="1"/>
    <cellStyle name="Hyperlink" xfId="630" builtinId="8" hidden="1"/>
    <cellStyle name="Hyperlink" xfId="632" builtinId="8" hidden="1"/>
    <cellStyle name="Hyperlink" xfId="634" builtinId="8" hidden="1"/>
    <cellStyle name="Hyperlink" xfId="636" builtinId="8" hidden="1"/>
    <cellStyle name="Hyperlink" xfId="638" builtinId="8" hidden="1"/>
    <cellStyle name="Hyperlink" xfId="640" builtinId="8" hidden="1"/>
    <cellStyle name="Hyperlink" xfId="642" builtinId="8" hidden="1"/>
    <cellStyle name="Hyperlink" xfId="644" builtinId="8" hidden="1"/>
    <cellStyle name="Hyperlink" xfId="646" builtinId="8" hidden="1"/>
    <cellStyle name="Hyperlink" xfId="648" builtinId="8" hidden="1"/>
    <cellStyle name="Hyperlink" xfId="650" builtinId="8" hidden="1"/>
    <cellStyle name="Hyperlink" xfId="652" builtinId="8" hidden="1"/>
    <cellStyle name="Hyperlink" xfId="654" builtinId="8" hidden="1"/>
    <cellStyle name="Hyperlink" xfId="656" builtinId="8" hidden="1"/>
    <cellStyle name="Hyperlink" xfId="658" builtinId="8" hidden="1"/>
    <cellStyle name="Hyperlink" xfId="660" builtinId="8" hidden="1"/>
    <cellStyle name="Hyperlink" xfId="662" builtinId="8" hidden="1"/>
    <cellStyle name="Input" xfId="739" builtinId="20" customBuiltin="1"/>
    <cellStyle name="Input 2" xfId="703"/>
    <cellStyle name="Linked Cell" xfId="742" builtinId="24" customBuiltin="1"/>
    <cellStyle name="Linked Cell 2" xfId="704"/>
    <cellStyle name="Neutral" xfId="738" builtinId="28" customBuiltin="1"/>
    <cellStyle name="Neutral 2" xfId="705"/>
    <cellStyle name="Neutral 3" xfId="859"/>
    <cellStyle name="Normal" xfId="0" builtinId="0"/>
    <cellStyle name="Normal - Style1" xfId="706"/>
    <cellStyle name="Normal 10" xfId="707"/>
    <cellStyle name="Normal 10 2" xfId="809"/>
    <cellStyle name="Normal 11" xfId="708"/>
    <cellStyle name="Normal 12" xfId="709"/>
    <cellStyle name="Normal 12 2" xfId="810"/>
    <cellStyle name="Normal 13" xfId="668"/>
    <cellStyle name="Normal 13 2" xfId="811"/>
    <cellStyle name="Normal 14" xfId="724"/>
    <cellStyle name="Normal 14 2" xfId="812"/>
    <cellStyle name="Normal 15" xfId="725"/>
    <cellStyle name="Normal 15 2" xfId="813"/>
    <cellStyle name="Normal 16" xfId="664"/>
    <cellStyle name="Normal 16 2" xfId="814"/>
    <cellStyle name="Normal 17" xfId="726"/>
    <cellStyle name="Normal 17 2" xfId="815"/>
    <cellStyle name="Normal 18" xfId="728"/>
    <cellStyle name="Normal 18 2" xfId="816"/>
    <cellStyle name="Normal 19" xfId="729"/>
    <cellStyle name="Normal 19 2" xfId="817"/>
    <cellStyle name="Normal 2" xfId="7"/>
    <cellStyle name="Normal 2 2" xfId="20"/>
    <cellStyle name="Normal 2 2 2" xfId="8"/>
    <cellStyle name="Normal 2 2 3" xfId="710"/>
    <cellStyle name="Normal 2 2 4" xfId="780"/>
    <cellStyle name="Normal 2 2 5" xfId="818"/>
    <cellStyle name="Normal 2 3" xfId="23"/>
    <cellStyle name="Normal 2 3 2" xfId="819"/>
    <cellStyle name="Normal 2 4" xfId="665"/>
    <cellStyle name="Normal 2 5" xfId="796"/>
    <cellStyle name="Normal 20" xfId="730"/>
    <cellStyle name="Normal 20 2" xfId="820"/>
    <cellStyle name="Normal 21" xfId="771"/>
    <cellStyle name="Normal 21 2" xfId="821"/>
    <cellStyle name="Normal 22" xfId="773"/>
    <cellStyle name="Normal 22 2" xfId="822"/>
    <cellStyle name="Normal 23" xfId="774"/>
    <cellStyle name="Normal 23 2" xfId="823"/>
    <cellStyle name="Normal 24" xfId="775"/>
    <cellStyle name="Normal 24 2" xfId="824"/>
    <cellStyle name="Normal 25" xfId="781"/>
    <cellStyle name="Normal 25 2" xfId="825"/>
    <cellStyle name="Normal 26" xfId="782"/>
    <cellStyle name="Normal 26 2" xfId="826"/>
    <cellStyle name="Normal 27" xfId="785"/>
    <cellStyle name="Normal 27 2" xfId="827"/>
    <cellStyle name="Normal 28" xfId="786"/>
    <cellStyle name="Normal 28 2" xfId="828"/>
    <cellStyle name="Normal 29" xfId="787"/>
    <cellStyle name="Normal 29 2" xfId="829"/>
    <cellStyle name="Normal 3" xfId="9"/>
    <cellStyle name="Normal 3 2" xfId="711"/>
    <cellStyle name="Normal 3 2 2" xfId="831"/>
    <cellStyle name="Normal 3 3" xfId="799"/>
    <cellStyle name="Normal 3 3 2" xfId="832"/>
    <cellStyle name="Normal 3 4" xfId="830"/>
    <cellStyle name="Normal 3_agri planning 2009 year book(final)" xfId="856"/>
    <cellStyle name="Normal 30" xfId="788"/>
    <cellStyle name="Normal 30 2" xfId="833"/>
    <cellStyle name="Normal 31" xfId="790"/>
    <cellStyle name="Normal 31 2" xfId="834"/>
    <cellStyle name="Normal 32" xfId="793"/>
    <cellStyle name="Normal 32 2" xfId="835"/>
    <cellStyle name="Normal 33" xfId="797"/>
    <cellStyle name="Normal 33 2" xfId="836"/>
    <cellStyle name="Normal 34" xfId="837"/>
    <cellStyle name="Normal 35" xfId="838"/>
    <cellStyle name="Normal 36" xfId="839"/>
    <cellStyle name="Normal 37" xfId="840"/>
    <cellStyle name="Normal 38" xfId="841"/>
    <cellStyle name="Normal 39" xfId="842"/>
    <cellStyle name="Normal 4" xfId="10"/>
    <cellStyle name="Normal 4 2" xfId="712"/>
    <cellStyle name="Normal 4 2 2" xfId="843"/>
    <cellStyle name="Normal 4 3" xfId="800"/>
    <cellStyle name="Normal 4_agri planning 2009 year book(final)" xfId="855"/>
    <cellStyle name="Normal 40" xfId="844"/>
    <cellStyle name="Normal 41" xfId="845"/>
    <cellStyle name="Normal 42" xfId="846"/>
    <cellStyle name="Normal 43" xfId="847"/>
    <cellStyle name="Normal 44" xfId="848"/>
    <cellStyle name="Normal 45" xfId="850"/>
    <cellStyle name="Normal 46" xfId="851"/>
    <cellStyle name="Normal 47" xfId="852"/>
    <cellStyle name="Normal 48" xfId="853"/>
    <cellStyle name="Normal 49" xfId="857"/>
    <cellStyle name="Normal 5" xfId="11"/>
    <cellStyle name="Normal 5 2" xfId="713"/>
    <cellStyle name="Normal 6" xfId="16"/>
    <cellStyle name="Normal 6 2" xfId="714"/>
    <cellStyle name="Normal 7" xfId="18"/>
    <cellStyle name="Normal 7 2" xfId="715"/>
    <cellStyle name="Normal 8" xfId="21"/>
    <cellStyle name="Normal 8 2" xfId="716"/>
    <cellStyle name="Normal 9" xfId="666"/>
    <cellStyle name="Normal 9 2" xfId="717"/>
    <cellStyle name="Normal 9 3" xfId="849"/>
    <cellStyle name="Normal_13 Public Finance_done" xfId="12"/>
    <cellStyle name="Normal_Indicators" xfId="13"/>
    <cellStyle name="Normal_XII-1 (Commerce)" xfId="14"/>
    <cellStyle name="Note 2" xfId="718"/>
    <cellStyle name="Note 3" xfId="779"/>
    <cellStyle name="Note 4" xfId="860"/>
    <cellStyle name="Output" xfId="740" builtinId="21" customBuiltin="1"/>
    <cellStyle name="Output 2" xfId="719"/>
    <cellStyle name="Percent 2" xfId="720"/>
    <cellStyle name="Percent 2 2" xfId="778"/>
    <cellStyle name="Percent 3" xfId="789"/>
    <cellStyle name="Percent 4" xfId="795"/>
    <cellStyle name="Title" xfId="731" builtinId="15" customBuiltin="1"/>
    <cellStyle name="Title 2" xfId="721"/>
    <cellStyle name="Title 3" xfId="858"/>
    <cellStyle name="Total" xfId="746" builtinId="25" customBuiltin="1"/>
    <cellStyle name="Total 2" xfId="722"/>
    <cellStyle name="Warning Text" xfId="744" builtinId="11" customBuiltin="1"/>
    <cellStyle name="Warning Text 2" xfId="723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DE6F00"/>
      <color rgb="FFFFE7B7"/>
      <color rgb="FFFFC757"/>
      <color rgb="FFCC6600"/>
      <color rgb="FFFFFAEF"/>
      <color rgb="FFFFD9B3"/>
      <color rgb="FFFFF1D5"/>
      <color rgb="FFFFF7E7"/>
      <color rgb="FFFFE5F2"/>
      <color rgb="FFFF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Candara" panose="020E0502030303020204" pitchFamily="34" charset="0"/>
                <a:ea typeface="Calibri"/>
                <a:cs typeface="Consolas" pitchFamily="49" charset="0"/>
              </a:defRPr>
            </a:pPr>
            <a:r>
              <a:rPr lang="en-US" sz="1200">
                <a:latin typeface="Candara" panose="020E0502030303020204" pitchFamily="34" charset="0"/>
                <a:cs typeface="Consolas" pitchFamily="49" charset="0"/>
              </a:rPr>
              <a:t>Government Finance, 2006 - 2017</a:t>
            </a:r>
          </a:p>
        </c:rich>
      </c:tx>
      <c:layout>
        <c:manualLayout>
          <c:xMode val="edge"/>
          <c:yMode val="edge"/>
          <c:x val="0.30563890040060776"/>
          <c:y val="4.997856015986960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9.3603416679341939E-2"/>
          <c:y val="0.17161738116068825"/>
          <c:w val="0.8875350205339313"/>
          <c:h val="0.6914704094101165"/>
        </c:manualLayout>
      </c:layout>
      <c:lineChart>
        <c:grouping val="standard"/>
        <c:varyColors val="0"/>
        <c:ser>
          <c:idx val="0"/>
          <c:order val="0"/>
          <c:tx>
            <c:strRef>
              <c:f>Finance!$A$5</c:f>
              <c:strCache>
                <c:ptCount val="1"/>
                <c:pt idx="0">
                  <c:v>Revenue and Grants</c:v>
                </c:pt>
              </c:strCache>
            </c:strRef>
          </c:tx>
          <c:spPr>
            <a:ln>
              <a:solidFill>
                <a:schemeClr val="tx1">
                  <a:lumMod val="50000"/>
                  <a:lumOff val="50000"/>
                </a:schemeClr>
              </a:solidFill>
            </a:ln>
          </c:spPr>
          <c:marker>
            <c:symbol val="squar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6350">
                <a:solidFill>
                  <a:schemeClr val="tx2">
                    <a:lumMod val="75000"/>
                  </a:schemeClr>
                </a:solidFill>
              </a:ln>
            </c:spPr>
          </c:marker>
          <c:cat>
            <c:numRef>
              <c:f>Finance!$C$3:$N$3</c:f>
              <c:numCache>
                <c:formatCode>General</c:formatCode>
                <c:ptCount val="12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</c:numCache>
            </c:numRef>
          </c:cat>
          <c:val>
            <c:numRef>
              <c:f>Finance!$C$5:$N$5</c:f>
              <c:numCache>
                <c:formatCode>_(* #,##0.0_);_(* \(#,##0.0\);_(* "-"_);_(@_)</c:formatCode>
                <c:ptCount val="12"/>
                <c:pt idx="0">
                  <c:v>6154.1</c:v>
                </c:pt>
                <c:pt idx="1">
                  <c:v>7571.2000000000007</c:v>
                </c:pt>
                <c:pt idx="2">
                  <c:v>7456.54</c:v>
                </c:pt>
                <c:pt idx="3">
                  <c:v>5734.8352960000002</c:v>
                </c:pt>
                <c:pt idx="4">
                  <c:v>6546.9287702799966</c:v>
                </c:pt>
                <c:pt idx="5">
                  <c:v>9904.5614829999995</c:v>
                </c:pt>
                <c:pt idx="6">
                  <c:v>10138.11294952</c:v>
                </c:pt>
                <c:pt idx="7">
                  <c:v>11900.748051729999</c:v>
                </c:pt>
                <c:pt idx="8">
                  <c:v>15164.227912</c:v>
                </c:pt>
                <c:pt idx="9">
                  <c:v>17306.201467370003</c:v>
                </c:pt>
                <c:pt idx="10">
                  <c:v>18578.118781009995</c:v>
                </c:pt>
                <c:pt idx="11">
                  <c:v>20814.888965773465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ECF-410D-83C8-7E3C3ACB4220}"/>
            </c:ext>
          </c:extLst>
        </c:ser>
        <c:ser>
          <c:idx val="1"/>
          <c:order val="1"/>
          <c:tx>
            <c:strRef>
              <c:f>Finance!$A$10</c:f>
              <c:strCache>
                <c:ptCount val="1"/>
                <c:pt idx="0">
                  <c:v>Expenditure and Net Lending</c:v>
                </c:pt>
              </c:strCache>
            </c:strRef>
          </c:tx>
          <c:spPr>
            <a:ln>
              <a:solidFill>
                <a:schemeClr val="accent1">
                  <a:lumMod val="75000"/>
                </a:schemeClr>
              </a:solidFill>
            </a:ln>
          </c:spPr>
          <c:marker>
            <c:symbol val="diamond"/>
            <c:size val="8"/>
            <c:spPr>
              <a:solidFill>
                <a:schemeClr val="tx2">
                  <a:lumMod val="60000"/>
                  <a:lumOff val="40000"/>
                </a:schemeClr>
              </a:solidFill>
              <a:ln>
                <a:solidFill>
                  <a:schemeClr val="tx2">
                    <a:lumMod val="50000"/>
                  </a:schemeClr>
                </a:solidFill>
              </a:ln>
            </c:spPr>
          </c:marker>
          <c:cat>
            <c:numRef>
              <c:f>Finance!$C$3:$N$3</c:f>
              <c:numCache>
                <c:formatCode>General</c:formatCode>
                <c:ptCount val="12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</c:numCache>
            </c:numRef>
          </c:cat>
          <c:val>
            <c:numRef>
              <c:f>Finance!$C$10:$N$10</c:f>
              <c:numCache>
                <c:formatCode>_(* #,##0.0_);_(* \(#,##0.0\);_(* "-"_);_(@_)</c:formatCode>
                <c:ptCount val="12"/>
                <c:pt idx="0">
                  <c:v>6957.4163090000002</c:v>
                </c:pt>
                <c:pt idx="1">
                  <c:v>8283.2000000000007</c:v>
                </c:pt>
                <c:pt idx="2">
                  <c:v>10176.000000000002</c:v>
                </c:pt>
                <c:pt idx="3">
                  <c:v>10953.434156000003</c:v>
                </c:pt>
                <c:pt idx="4">
                  <c:v>10815.062102899999</c:v>
                </c:pt>
                <c:pt idx="5">
                  <c:v>12264.726665999999</c:v>
                </c:pt>
                <c:pt idx="6">
                  <c:v>13110.002924999999</c:v>
                </c:pt>
                <c:pt idx="7">
                  <c:v>13530.771002489999</c:v>
                </c:pt>
                <c:pt idx="8">
                  <c:v>16417.211596000001</c:v>
                </c:pt>
                <c:pt idx="9">
                  <c:v>21336.878134909999</c:v>
                </c:pt>
                <c:pt idx="10">
                  <c:v>25262.973192969996</c:v>
                </c:pt>
                <c:pt idx="11">
                  <c:v>22166.267867457802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ECF-410D-83C8-7E3C3ACB42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539336"/>
        <c:axId val="31535808"/>
      </c:lineChart>
      <c:catAx>
        <c:axId val="31539336"/>
        <c:scaling>
          <c:orientation val="minMax"/>
        </c:scaling>
        <c:delete val="0"/>
        <c:axPos val="b"/>
        <c:numFmt formatCode="@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1535808"/>
        <c:crosses val="autoZero"/>
        <c:auto val="1"/>
        <c:lblAlgn val="ctr"/>
        <c:lblOffset val="100"/>
        <c:noMultiLvlLbl val="0"/>
      </c:catAx>
      <c:valAx>
        <c:axId val="31535808"/>
        <c:scaling>
          <c:orientation val="minMax"/>
        </c:scaling>
        <c:delete val="0"/>
        <c:axPos val="l"/>
        <c:majorGridlines>
          <c:spPr>
            <a:ln>
              <a:solidFill>
                <a:schemeClr val="accent1">
                  <a:lumMod val="40000"/>
                  <a:lumOff val="60000"/>
                </a:schemeClr>
              </a:solidFill>
            </a:ln>
          </c:spPr>
        </c:majorGridlines>
        <c:title>
          <c:tx>
            <c:rich>
              <a:bodyPr rot="0" vert="horz"/>
              <a:lstStyle/>
              <a:p>
                <a:pPr algn="ctr">
                  <a:defRPr sz="8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 sz="800"/>
                  <a:t>In million MVR</a:t>
                </a:r>
              </a:p>
            </c:rich>
          </c:tx>
          <c:layout>
            <c:manualLayout>
              <c:xMode val="edge"/>
              <c:yMode val="edge"/>
              <c:x val="1.0461060367454068E-2"/>
              <c:y val="8.5596107055961074E-2"/>
            </c:manualLayout>
          </c:layout>
          <c:overlay val="0"/>
        </c:title>
        <c:numFmt formatCode="#,##0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1539336"/>
        <c:crosses val="autoZero"/>
        <c:crossBetween val="between"/>
      </c:valAx>
      <c:spPr>
        <a:solidFill>
          <a:schemeClr val="accent1">
            <a:lumMod val="20000"/>
            <a:lumOff val="80000"/>
          </a:schemeClr>
        </a:solidFill>
        <a:ln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12655778511557023"/>
          <c:y val="0.19215004187405924"/>
          <c:w val="0.67346289160663431"/>
          <c:h val="9.8130543900990463E-2"/>
        </c:manualLayout>
      </c:layout>
      <c:overlay val="0"/>
      <c:spPr>
        <a:noFill/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488" l="0.70000000000000062" r="0.70000000000000062" t="0.75000000000000488" header="0.30000000000000032" footer="0.30000000000000032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Candara" panose="020E0502030303020204" pitchFamily="34" charset="0"/>
                <a:ea typeface="Calibri"/>
                <a:cs typeface="Consolas" pitchFamily="49" charset="0"/>
              </a:defRPr>
            </a:pPr>
            <a:r>
              <a:rPr lang="en-US" sz="1200">
                <a:latin typeface="Candara" panose="020E0502030303020204" pitchFamily="34" charset="0"/>
                <a:cs typeface="Consolas" pitchFamily="49" charset="0"/>
              </a:rPr>
              <a:t>Government Revenue,</a:t>
            </a:r>
            <a:r>
              <a:rPr lang="en-US" sz="1200" baseline="0">
                <a:latin typeface="Candara" panose="020E0502030303020204" pitchFamily="34" charset="0"/>
                <a:cs typeface="Consolas" pitchFamily="49" charset="0"/>
              </a:rPr>
              <a:t> </a:t>
            </a:r>
            <a:r>
              <a:rPr lang="en-US" sz="1200">
                <a:latin typeface="Candara" panose="020E0502030303020204" pitchFamily="34" charset="0"/>
                <a:cs typeface="Consolas" pitchFamily="49" charset="0"/>
              </a:rPr>
              <a:t>2006</a:t>
            </a:r>
            <a:r>
              <a:rPr lang="en-US" sz="1200" baseline="0">
                <a:latin typeface="Candara" panose="020E0502030303020204" pitchFamily="34" charset="0"/>
                <a:cs typeface="Consolas" pitchFamily="49" charset="0"/>
              </a:rPr>
              <a:t> - </a:t>
            </a:r>
            <a:r>
              <a:rPr lang="en-US" sz="1200">
                <a:latin typeface="Candara" panose="020E0502030303020204" pitchFamily="34" charset="0"/>
                <a:cs typeface="Consolas" pitchFamily="49" charset="0"/>
              </a:rPr>
              <a:t>2017</a:t>
            </a:r>
          </a:p>
        </c:rich>
      </c:tx>
      <c:layout>
        <c:manualLayout>
          <c:xMode val="edge"/>
          <c:yMode val="edge"/>
          <c:x val="0.31683708957867868"/>
          <c:y val="5.70496308409858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0006781696666615"/>
          <c:y val="0.19113120516298504"/>
          <c:w val="0.87789092957606407"/>
          <c:h val="0.6386999331981801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Finance!$B$7</c:f>
              <c:strCache>
                <c:ptCount val="1"/>
                <c:pt idx="0">
                  <c:v>Tax Revenue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</c:spPr>
          <c:invertIfNegative val="0"/>
          <c:cat>
            <c:numRef>
              <c:f>Finance!$C$3:$N$3</c:f>
              <c:numCache>
                <c:formatCode>General</c:formatCode>
                <c:ptCount val="12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</c:numCache>
            </c:numRef>
          </c:cat>
          <c:val>
            <c:numRef>
              <c:f>Finance!$C$7:$N$7</c:f>
              <c:numCache>
                <c:formatCode>_(* #,##0.0_);_(* \(#,##0.0\);_(* "-"_);_(@_)</c:formatCode>
                <c:ptCount val="12"/>
                <c:pt idx="0">
                  <c:v>2370.3000000000002</c:v>
                </c:pt>
                <c:pt idx="1">
                  <c:v>2905.1000000000004</c:v>
                </c:pt>
                <c:pt idx="2">
                  <c:v>3366.8</c:v>
                </c:pt>
                <c:pt idx="3">
                  <c:v>2731.9902730000003</c:v>
                </c:pt>
                <c:pt idx="4">
                  <c:v>2931.0472653899988</c:v>
                </c:pt>
                <c:pt idx="5">
                  <c:v>4892.9547389999998</c:v>
                </c:pt>
                <c:pt idx="6">
                  <c:v>6880.0618489999988</c:v>
                </c:pt>
                <c:pt idx="7">
                  <c:v>8872.8437029999986</c:v>
                </c:pt>
                <c:pt idx="8">
                  <c:v>10837.855577</c:v>
                </c:pt>
                <c:pt idx="9">
                  <c:v>12270.646260000001</c:v>
                </c:pt>
                <c:pt idx="10">
                  <c:v>13293.027889009998</c:v>
                </c:pt>
                <c:pt idx="11">
                  <c:v>14595.288942225343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1C-4BA8-9817-FB8B2E39147A}"/>
            </c:ext>
          </c:extLst>
        </c:ser>
        <c:ser>
          <c:idx val="1"/>
          <c:order val="1"/>
          <c:tx>
            <c:v>Non-tax Revenue</c:v>
          </c:tx>
          <c:spPr>
            <a:solidFill>
              <a:schemeClr val="bg1">
                <a:lumMod val="65000"/>
              </a:schemeClr>
            </a:solidFill>
          </c:spPr>
          <c:invertIfNegative val="0"/>
          <c:cat>
            <c:numRef>
              <c:f>Finance!$C$3:$N$3</c:f>
              <c:numCache>
                <c:formatCode>General</c:formatCode>
                <c:ptCount val="12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</c:numCache>
            </c:numRef>
          </c:cat>
          <c:val>
            <c:numRef>
              <c:f>Finance!$C$8:$N$8</c:f>
              <c:numCache>
                <c:formatCode>_(* #,##0.0_);_(* \(#,##0.0\);_(* "-"_);_(@_)</c:formatCode>
                <c:ptCount val="12"/>
                <c:pt idx="0">
                  <c:v>2866.9</c:v>
                </c:pt>
                <c:pt idx="1">
                  <c:v>3585.6000000000004</c:v>
                </c:pt>
                <c:pt idx="2">
                  <c:v>3530.4399999999996</c:v>
                </c:pt>
                <c:pt idx="3">
                  <c:v>2567.4414229999993</c:v>
                </c:pt>
                <c:pt idx="4">
                  <c:v>3411.9841732599989</c:v>
                </c:pt>
                <c:pt idx="5">
                  <c:v>3744.7069500000007</c:v>
                </c:pt>
                <c:pt idx="6">
                  <c:v>2843.3084127999996</c:v>
                </c:pt>
                <c:pt idx="7">
                  <c:v>2642.1310951999999</c:v>
                </c:pt>
                <c:pt idx="8">
                  <c:v>4036.9878939999999</c:v>
                </c:pt>
                <c:pt idx="9">
                  <c:v>4278.3316969999996</c:v>
                </c:pt>
                <c:pt idx="10">
                  <c:v>4162.6040857599965</c:v>
                </c:pt>
                <c:pt idx="11">
                  <c:v>4953.8993844152292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31C-4BA8-9817-FB8B2E3914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26199744"/>
        <c:axId val="326205232"/>
      </c:barChart>
      <c:catAx>
        <c:axId val="326199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26205232"/>
        <c:crosses val="autoZero"/>
        <c:auto val="1"/>
        <c:lblAlgn val="ctr"/>
        <c:lblOffset val="100"/>
        <c:noMultiLvlLbl val="0"/>
      </c:catAx>
      <c:valAx>
        <c:axId val="326205232"/>
        <c:scaling>
          <c:orientation val="minMax"/>
        </c:scaling>
        <c:delete val="0"/>
        <c:axPos val="l"/>
        <c:majorGridlines>
          <c:spPr>
            <a:ln>
              <a:solidFill>
                <a:schemeClr val="accent1">
                  <a:lumMod val="40000"/>
                  <a:lumOff val="60000"/>
                </a:schemeClr>
              </a:solidFill>
            </a:ln>
          </c:spPr>
        </c:majorGridlines>
        <c:title>
          <c:tx>
            <c:rich>
              <a:bodyPr rot="0" vert="horz"/>
              <a:lstStyle/>
              <a:p>
                <a:pPr algn="ctr">
                  <a:defRPr sz="8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 sz="800"/>
                  <a:t>In million MVR</a:t>
                </a:r>
              </a:p>
            </c:rich>
          </c:tx>
          <c:layout>
            <c:manualLayout>
              <c:xMode val="edge"/>
              <c:yMode val="edge"/>
              <c:x val="1.6702985297569511E-2"/>
              <c:y val="0.10350812343361428"/>
            </c:manualLayout>
          </c:layout>
          <c:overlay val="0"/>
        </c:title>
        <c:numFmt formatCode="#,##0" sourceLinked="0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26199744"/>
        <c:crosses val="autoZero"/>
        <c:crossBetween val="between"/>
      </c:valAx>
      <c:spPr>
        <a:solidFill>
          <a:schemeClr val="accent1">
            <a:lumMod val="20000"/>
            <a:lumOff val="80000"/>
          </a:schemeClr>
        </a:solidFill>
        <a:ln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14813580009815847"/>
          <c:y val="0.26713952565727722"/>
          <c:w val="0.463083448842385"/>
          <c:h val="8.2443966989588738E-2"/>
        </c:manualLayout>
      </c:layout>
      <c:overlay val="0"/>
      <c:txPr>
        <a:bodyPr/>
        <a:lstStyle/>
        <a:p>
          <a:pPr>
            <a:defRPr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 orientation="landscape" horizontalDpi="1200" verticalDpi="1200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257175</xdr:colOff>
      <xdr:row>35</xdr:row>
      <xdr:rowOff>47626</xdr:rowOff>
    </xdr:from>
    <xdr:to>
      <xdr:col>13</xdr:col>
      <xdr:colOff>76200</xdr:colOff>
      <xdr:row>51</xdr:row>
      <xdr:rowOff>19051</xdr:rowOff>
    </xdr:to>
    <xdr:graphicFrame macro="">
      <xdr:nvGraphicFramePr>
        <xdr:cNvPr id="4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400050</xdr:colOff>
      <xdr:row>35</xdr:row>
      <xdr:rowOff>54850</xdr:rowOff>
    </xdr:from>
    <xdr:to>
      <xdr:col>5</xdr:col>
      <xdr:colOff>666750</xdr:colOff>
      <xdr:row>51</xdr:row>
      <xdr:rowOff>0</xdr:rowOff>
    </xdr:to>
    <xdr:graphicFrame macro="">
      <xdr:nvGraphicFramePr>
        <xdr:cNvPr id="5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7/RECEIVED/16.%20NATIONAL%20ACCOUN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6.1"/>
      <sheetName val="16.2"/>
      <sheetName val="16.3"/>
      <sheetName val="16.4"/>
      <sheetName val="16.5"/>
      <sheetName val="16.6"/>
      <sheetName val="16.7"/>
      <sheetName val="fig16.1 &amp; fig 16.2"/>
      <sheetName val="Fig 16.3"/>
    </sheetNames>
    <sheetDataSet>
      <sheetData sheetId="0" refreshError="1"/>
      <sheetData sheetId="1" refreshError="1"/>
      <sheetData sheetId="2" refreshError="1"/>
      <sheetData sheetId="3" refreshError="1">
        <row r="10">
          <cell r="C10">
            <v>13467.149516446438</v>
          </cell>
          <cell r="F10">
            <v>20162.565003966658</v>
          </cell>
          <cell r="G10">
            <v>23915.308285996416</v>
          </cell>
          <cell r="H10">
            <v>29077.071208252695</v>
          </cell>
          <cell r="I10">
            <v>30019.774446951735</v>
          </cell>
          <cell r="J10">
            <v>33128.653547666749</v>
          </cell>
          <cell r="K10">
            <v>40511.084367119765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noFill/>
        <a:ln w="19050">
          <a:solidFill>
            <a:srgbClr val="FF6600"/>
          </a:solidFill>
          <a:round/>
          <a:headEnd/>
          <a:tailEnd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  <pageSetUpPr fitToPage="1"/>
  </sheetPr>
  <dimension ref="A1:AO71"/>
  <sheetViews>
    <sheetView tabSelected="1" zoomScaleNormal="100" workbookViewId="0">
      <selection activeCell="Q14" sqref="Q14"/>
    </sheetView>
  </sheetViews>
  <sheetFormatPr defaultColWidth="9.140625" defaultRowHeight="12.75"/>
  <cols>
    <col min="1" max="1" width="10.140625" style="3" customWidth="1"/>
    <col min="2" max="2" width="34.28515625" style="3" customWidth="1"/>
    <col min="3" max="14" width="13.140625" style="3" customWidth="1"/>
    <col min="15" max="23" width="13.42578125" style="3" customWidth="1"/>
    <col min="24" max="24" width="10" style="3" customWidth="1"/>
    <col min="25" max="28" width="9.140625" style="3"/>
    <col min="29" max="29" width="19.7109375" style="3" bestFit="1" customWidth="1"/>
    <col min="30" max="30" width="22.7109375" style="3" bestFit="1" customWidth="1"/>
    <col min="31" max="16384" width="9.140625" style="3"/>
  </cols>
  <sheetData>
    <row r="1" spans="1:41" s="49" customFormat="1" ht="30" customHeight="1">
      <c r="A1" s="95" t="s">
        <v>13</v>
      </c>
      <c r="B1" s="95"/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  <c r="N1" s="95"/>
      <c r="O1" s="1"/>
      <c r="P1" s="1"/>
      <c r="Q1" s="1"/>
      <c r="R1" s="1"/>
      <c r="S1" s="1"/>
      <c r="T1" s="1"/>
      <c r="U1" s="1"/>
      <c r="V1" s="1"/>
      <c r="W1" s="1"/>
      <c r="X1" s="3"/>
    </row>
    <row r="2" spans="1:41" s="49" customFormat="1" ht="15" customHeight="1">
      <c r="A2" s="50"/>
      <c r="B2" s="6"/>
      <c r="C2" s="2"/>
      <c r="D2" s="2"/>
      <c r="E2" s="2"/>
      <c r="F2" s="2"/>
      <c r="G2" s="1"/>
      <c r="H2" s="1"/>
      <c r="I2" s="1"/>
      <c r="L2" s="17"/>
      <c r="M2" s="17"/>
      <c r="N2" s="17"/>
      <c r="O2" s="1"/>
      <c r="P2" s="1"/>
      <c r="Q2" s="1"/>
      <c r="R2" s="1"/>
      <c r="S2" s="1"/>
      <c r="T2" s="1"/>
      <c r="U2" s="1"/>
      <c r="V2" s="1"/>
      <c r="W2" s="1"/>
      <c r="X2" s="3"/>
    </row>
    <row r="3" spans="1:41" s="51" customFormat="1" ht="16.5" customHeight="1">
      <c r="A3" s="76"/>
      <c r="B3" s="76"/>
      <c r="C3" s="77">
        <v>2006</v>
      </c>
      <c r="D3" s="77">
        <v>2007</v>
      </c>
      <c r="E3" s="77">
        <v>2008</v>
      </c>
      <c r="F3" s="78">
        <v>2009</v>
      </c>
      <c r="G3" s="78">
        <v>2010</v>
      </c>
      <c r="H3" s="78">
        <v>2011</v>
      </c>
      <c r="I3" s="78">
        <v>2012</v>
      </c>
      <c r="J3" s="78">
        <v>2013</v>
      </c>
      <c r="K3" s="78">
        <v>2014</v>
      </c>
      <c r="L3" s="78">
        <v>2015</v>
      </c>
      <c r="M3" s="78">
        <v>2016</v>
      </c>
      <c r="N3" s="78">
        <v>2017</v>
      </c>
      <c r="O3" s="18"/>
      <c r="P3" s="18"/>
      <c r="Q3" s="18"/>
      <c r="R3" s="18"/>
      <c r="S3" s="18"/>
      <c r="T3" s="18"/>
      <c r="U3" s="18"/>
      <c r="V3" s="18"/>
      <c r="W3" s="18"/>
      <c r="X3" s="16"/>
    </row>
    <row r="4" spans="1:41" s="51" customFormat="1" ht="16.5" customHeight="1">
      <c r="A4" s="39" t="s">
        <v>2</v>
      </c>
      <c r="B4" s="39"/>
      <c r="C4" s="52"/>
      <c r="D4" s="52"/>
      <c r="E4" s="52"/>
      <c r="F4" s="52"/>
      <c r="G4" s="53"/>
      <c r="H4" s="53"/>
      <c r="I4" s="53"/>
      <c r="J4" s="53"/>
      <c r="K4" s="53"/>
      <c r="L4" s="54"/>
      <c r="M4" s="54" t="s">
        <v>20</v>
      </c>
      <c r="N4" s="54" t="s">
        <v>32</v>
      </c>
      <c r="O4" s="5"/>
      <c r="P4" s="5"/>
      <c r="Q4" s="5"/>
      <c r="R4" s="5"/>
      <c r="S4" s="5"/>
      <c r="T4" s="5"/>
      <c r="U4" s="5"/>
      <c r="V4" s="5"/>
      <c r="W4" s="5"/>
      <c r="X4" s="16"/>
    </row>
    <row r="5" spans="1:41" s="51" customFormat="1" ht="16.5" customHeight="1">
      <c r="A5" s="79" t="s">
        <v>3</v>
      </c>
      <c r="B5" s="80"/>
      <c r="C5" s="81">
        <v>6154.1</v>
      </c>
      <c r="D5" s="81">
        <v>7571.2000000000007</v>
      </c>
      <c r="E5" s="81">
        <v>7456.54</v>
      </c>
      <c r="F5" s="81">
        <v>5734.8352960000002</v>
      </c>
      <c r="G5" s="81">
        <v>6546.9287702799966</v>
      </c>
      <c r="H5" s="81">
        <v>9904.5614829999995</v>
      </c>
      <c r="I5" s="81">
        <v>10138.11294952</v>
      </c>
      <c r="J5" s="81">
        <v>11900.748051729999</v>
      </c>
      <c r="K5" s="81">
        <v>15164.227912</v>
      </c>
      <c r="L5" s="81">
        <v>17306.201467370003</v>
      </c>
      <c r="M5" s="81">
        <v>18578.118781009995</v>
      </c>
      <c r="N5" s="81">
        <v>20814.888965773465</v>
      </c>
      <c r="O5" s="7"/>
      <c r="P5" s="7"/>
      <c r="Q5" s="7"/>
      <c r="R5" s="7"/>
      <c r="S5" s="7"/>
      <c r="T5" s="7"/>
      <c r="U5" s="7"/>
      <c r="V5" s="7"/>
      <c r="W5" s="7"/>
      <c r="X5" s="16"/>
    </row>
    <row r="6" spans="1:41" s="51" customFormat="1" ht="16.5" customHeight="1">
      <c r="A6" s="93" t="s">
        <v>4</v>
      </c>
      <c r="B6" s="93"/>
      <c r="C6" s="55">
        <v>5286.7</v>
      </c>
      <c r="D6" s="55">
        <v>6527.2000000000007</v>
      </c>
      <c r="E6" s="55">
        <v>6939.54</v>
      </c>
      <c r="F6" s="55">
        <v>5313.319469</v>
      </c>
      <c r="G6" s="55">
        <v>6392.3855347199969</v>
      </c>
      <c r="H6" s="55">
        <v>9172.1262260000003</v>
      </c>
      <c r="I6" s="55">
        <v>9771.4430765199995</v>
      </c>
      <c r="J6" s="55">
        <v>11783.092824199999</v>
      </c>
      <c r="K6" s="55">
        <v>14998.954087</v>
      </c>
      <c r="L6" s="55">
        <v>16669.260271000003</v>
      </c>
      <c r="M6" s="55">
        <v>18324.993013089996</v>
      </c>
      <c r="N6" s="55">
        <v>20096.685463490805</v>
      </c>
      <c r="O6" s="7"/>
      <c r="P6" s="7"/>
      <c r="Q6" s="7"/>
      <c r="R6" s="7"/>
      <c r="S6" s="7"/>
      <c r="T6" s="7"/>
      <c r="U6" s="7"/>
      <c r="V6" s="7"/>
      <c r="W6" s="7"/>
      <c r="X6" s="16"/>
    </row>
    <row r="7" spans="1:41" s="51" customFormat="1" ht="16.5" customHeight="1">
      <c r="A7" s="80"/>
      <c r="B7" s="80" t="s">
        <v>5</v>
      </c>
      <c r="C7" s="82">
        <v>2370.3000000000002</v>
      </c>
      <c r="D7" s="82">
        <v>2905.1000000000004</v>
      </c>
      <c r="E7" s="82">
        <v>3366.8</v>
      </c>
      <c r="F7" s="82">
        <v>2731.9902730000003</v>
      </c>
      <c r="G7" s="82">
        <v>2931.0472653899988</v>
      </c>
      <c r="H7" s="82">
        <v>4892.9547389999998</v>
      </c>
      <c r="I7" s="82">
        <v>6880.0618489999988</v>
      </c>
      <c r="J7" s="82">
        <v>8872.8437029999986</v>
      </c>
      <c r="K7" s="82">
        <v>10837.855577</v>
      </c>
      <c r="L7" s="82">
        <v>12270.646260000001</v>
      </c>
      <c r="M7" s="82">
        <v>13293.027889009998</v>
      </c>
      <c r="N7" s="82">
        <v>14595.288942225343</v>
      </c>
      <c r="Q7" s="9"/>
      <c r="R7" s="9"/>
      <c r="S7" s="9"/>
      <c r="T7" s="9"/>
      <c r="U7" s="9"/>
      <c r="V7" s="9"/>
      <c r="W7" s="9"/>
      <c r="X7" s="16"/>
    </row>
    <row r="8" spans="1:41" s="51" customFormat="1" ht="16.5" customHeight="1">
      <c r="A8" s="39"/>
      <c r="B8" s="39" t="s">
        <v>18</v>
      </c>
      <c r="C8" s="56">
        <v>2866.9</v>
      </c>
      <c r="D8" s="56">
        <v>3585.6000000000004</v>
      </c>
      <c r="E8" s="56">
        <v>3530.4399999999996</v>
      </c>
      <c r="F8" s="56">
        <v>2567.4414229999993</v>
      </c>
      <c r="G8" s="28">
        <v>3411.9841732599989</v>
      </c>
      <c r="H8" s="28">
        <v>3744.7069500000007</v>
      </c>
      <c r="I8" s="28">
        <v>2843.3084127999996</v>
      </c>
      <c r="J8" s="28">
        <v>2642.1310951999999</v>
      </c>
      <c r="K8" s="28">
        <v>4036.9878939999999</v>
      </c>
      <c r="L8" s="28">
        <v>4278.3316969999996</v>
      </c>
      <c r="M8" s="28">
        <v>4162.6040857599965</v>
      </c>
      <c r="N8" s="28">
        <v>4953.8993844152292</v>
      </c>
      <c r="Q8" s="10"/>
      <c r="R8" s="10"/>
      <c r="S8" s="10"/>
      <c r="T8" s="10"/>
      <c r="U8" s="10"/>
      <c r="V8" s="10"/>
      <c r="W8" s="10"/>
      <c r="X8" s="16"/>
    </row>
    <row r="9" spans="1:41" s="51" customFormat="1" ht="16.5" customHeight="1">
      <c r="A9" s="94" t="s">
        <v>19</v>
      </c>
      <c r="B9" s="94"/>
      <c r="C9" s="83">
        <v>867.40000000000009</v>
      </c>
      <c r="D9" s="83">
        <v>1044</v>
      </c>
      <c r="E9" s="83">
        <v>517</v>
      </c>
      <c r="F9" s="83">
        <v>421.515827</v>
      </c>
      <c r="G9" s="81">
        <v>154.54323556</v>
      </c>
      <c r="H9" s="81">
        <v>732.43525699999998</v>
      </c>
      <c r="I9" s="81">
        <v>366.669873</v>
      </c>
      <c r="J9" s="81">
        <v>117.65522752999999</v>
      </c>
      <c r="K9" s="81">
        <v>165.27382499999999</v>
      </c>
      <c r="L9" s="81">
        <v>636.94119636999983</v>
      </c>
      <c r="M9" s="81">
        <v>253.12576791999993</v>
      </c>
      <c r="N9" s="81">
        <v>718.20350228266</v>
      </c>
      <c r="O9" s="7"/>
      <c r="P9" s="7"/>
      <c r="Q9" s="7"/>
      <c r="R9" s="7"/>
      <c r="S9" s="7"/>
      <c r="T9" s="7"/>
      <c r="U9" s="7"/>
      <c r="V9" s="7"/>
      <c r="W9" s="7"/>
      <c r="Y9" s="30"/>
      <c r="Z9" s="30"/>
      <c r="AA9" s="30"/>
      <c r="AB9" s="30"/>
      <c r="AC9" s="30"/>
      <c r="AD9" s="30"/>
      <c r="AE9" s="30"/>
      <c r="AF9" s="30"/>
      <c r="AG9" s="30"/>
      <c r="AH9" s="31"/>
      <c r="AI9" s="32"/>
      <c r="AJ9" s="32"/>
      <c r="AK9" s="32"/>
      <c r="AL9" s="32"/>
    </row>
    <row r="10" spans="1:41" s="51" customFormat="1" ht="16.5" customHeight="1">
      <c r="A10" s="57" t="s">
        <v>6</v>
      </c>
      <c r="B10" s="39"/>
      <c r="C10" s="58">
        <v>6957.4163090000002</v>
      </c>
      <c r="D10" s="58">
        <v>8283.2000000000007</v>
      </c>
      <c r="E10" s="58">
        <v>10176.000000000002</v>
      </c>
      <c r="F10" s="58">
        <v>10953.434156000003</v>
      </c>
      <c r="G10" s="58">
        <v>10815.062102899999</v>
      </c>
      <c r="H10" s="58">
        <v>12264.726665999999</v>
      </c>
      <c r="I10" s="58">
        <v>13110.002924999999</v>
      </c>
      <c r="J10" s="58">
        <v>13530.771002489999</v>
      </c>
      <c r="K10" s="58">
        <v>16417.211596000001</v>
      </c>
      <c r="L10" s="58">
        <v>21336.878134909999</v>
      </c>
      <c r="M10" s="58">
        <v>25262.973192969996</v>
      </c>
      <c r="N10" s="58">
        <v>22166.267867457802</v>
      </c>
      <c r="P10" s="11"/>
      <c r="Q10" s="11"/>
      <c r="R10" s="11"/>
      <c r="S10" s="11"/>
      <c r="T10" s="11"/>
      <c r="U10" s="11"/>
      <c r="V10" s="11"/>
      <c r="W10" s="11"/>
      <c r="X10" s="38"/>
      <c r="Y10" s="30"/>
      <c r="Z10" s="30"/>
      <c r="AA10" s="30"/>
      <c r="AB10" s="30"/>
      <c r="AC10" s="30"/>
      <c r="AD10" s="30"/>
      <c r="AE10" s="30"/>
      <c r="AF10" s="30"/>
      <c r="AG10" s="30"/>
      <c r="AH10" s="31"/>
      <c r="AI10" s="32"/>
      <c r="AJ10" s="31"/>
      <c r="AK10" s="31"/>
      <c r="AL10" s="31"/>
    </row>
    <row r="11" spans="1:41" s="51" customFormat="1" ht="16.5" customHeight="1">
      <c r="A11" s="80"/>
      <c r="B11" s="79" t="s">
        <v>7</v>
      </c>
      <c r="C11" s="84">
        <v>7066.2000000000007</v>
      </c>
      <c r="D11" s="84">
        <v>8325.4000000000015</v>
      </c>
      <c r="E11" s="84">
        <v>10342.400000000001</v>
      </c>
      <c r="F11" s="84">
        <v>11104.270489000002</v>
      </c>
      <c r="G11" s="84">
        <v>10996.362102899999</v>
      </c>
      <c r="H11" s="84">
        <v>12663.726665999999</v>
      </c>
      <c r="I11" s="84">
        <v>13200.234560999999</v>
      </c>
      <c r="J11" s="84">
        <v>13666.256009489998</v>
      </c>
      <c r="K11" s="84">
        <v>16539.373646</v>
      </c>
      <c r="L11" s="84">
        <v>21440.896380909999</v>
      </c>
      <c r="M11" s="84">
        <v>25306.509388119997</v>
      </c>
      <c r="N11" s="84">
        <v>22228.421934657803</v>
      </c>
      <c r="P11" s="12"/>
      <c r="Q11" s="12"/>
      <c r="R11" s="12"/>
      <c r="S11" s="12"/>
      <c r="T11" s="12"/>
      <c r="U11" s="12"/>
      <c r="V11" s="12"/>
      <c r="W11" s="12"/>
      <c r="X11" s="16"/>
    </row>
    <row r="12" spans="1:41" s="51" customFormat="1" ht="16.5" customHeight="1">
      <c r="A12" s="39"/>
      <c r="B12" s="39" t="s">
        <v>8</v>
      </c>
      <c r="C12" s="59">
        <v>5607.8000000000011</v>
      </c>
      <c r="D12" s="59">
        <v>6560.1</v>
      </c>
      <c r="E12" s="59">
        <v>7463.2000000000007</v>
      </c>
      <c r="F12" s="59">
        <v>8764.9308290000008</v>
      </c>
      <c r="G12" s="59">
        <v>8428.0733739999996</v>
      </c>
      <c r="H12" s="59">
        <v>9075.7434510000003</v>
      </c>
      <c r="I12" s="59">
        <v>10316.485255</v>
      </c>
      <c r="J12" s="59">
        <v>11573.214585849999</v>
      </c>
      <c r="K12" s="59">
        <v>13959.968519999999</v>
      </c>
      <c r="L12" s="59">
        <v>16733.74419112</v>
      </c>
      <c r="M12" s="59">
        <v>16141.004692499997</v>
      </c>
      <c r="N12" s="59">
        <v>15105.86330292419</v>
      </c>
      <c r="P12" s="9"/>
      <c r="Q12" s="9"/>
      <c r="R12" s="9"/>
      <c r="S12" s="9"/>
      <c r="T12" s="9"/>
      <c r="U12" s="9"/>
      <c r="V12" s="9"/>
      <c r="W12" s="9"/>
      <c r="X12" s="16"/>
      <c r="Y12" s="19"/>
    </row>
    <row r="13" spans="1:41" s="51" customFormat="1" ht="16.5" customHeight="1">
      <c r="A13" s="80"/>
      <c r="B13" s="80" t="s">
        <v>9</v>
      </c>
      <c r="C13" s="82">
        <v>1458.4</v>
      </c>
      <c r="D13" s="82">
        <v>1765.3000000000002</v>
      </c>
      <c r="E13" s="82">
        <v>2879.2</v>
      </c>
      <c r="F13" s="82">
        <v>2339.3396600000005</v>
      </c>
      <c r="G13" s="82">
        <v>2568.2887288999996</v>
      </c>
      <c r="H13" s="82">
        <v>3587.9832149999993</v>
      </c>
      <c r="I13" s="82">
        <v>2883.7493059999997</v>
      </c>
      <c r="J13" s="82">
        <v>2093.0414236399993</v>
      </c>
      <c r="K13" s="82">
        <v>2579.4051260000006</v>
      </c>
      <c r="L13" s="82">
        <v>4707.1521897899993</v>
      </c>
      <c r="M13" s="82">
        <v>9165.5046956200003</v>
      </c>
      <c r="N13" s="82">
        <v>7122.5586317336129</v>
      </c>
      <c r="O13" s="60"/>
      <c r="P13" s="60"/>
      <c r="Q13" s="60"/>
      <c r="R13" s="60"/>
      <c r="S13" s="60"/>
      <c r="T13" s="60"/>
      <c r="U13" s="60"/>
      <c r="V13" s="9"/>
      <c r="W13" s="9"/>
      <c r="X13" s="16"/>
      <c r="Y13" s="61">
        <v>1997</v>
      </c>
      <c r="Z13" s="61">
        <v>1998</v>
      </c>
      <c r="AA13" s="61">
        <v>1999</v>
      </c>
      <c r="AB13" s="61">
        <v>2000</v>
      </c>
      <c r="AC13" s="61">
        <v>2001</v>
      </c>
      <c r="AD13" s="61">
        <v>2002</v>
      </c>
      <c r="AE13" s="61">
        <v>2003</v>
      </c>
      <c r="AF13" s="61">
        <v>2004</v>
      </c>
      <c r="AG13" s="61">
        <v>2005</v>
      </c>
      <c r="AH13" s="61">
        <v>2006</v>
      </c>
      <c r="AI13" s="61">
        <v>2007</v>
      </c>
      <c r="AJ13" s="61">
        <v>2008</v>
      </c>
      <c r="AK13" s="61">
        <v>2009</v>
      </c>
      <c r="AL13" s="61">
        <v>2010</v>
      </c>
      <c r="AM13" s="61">
        <v>2011</v>
      </c>
      <c r="AN13" s="61">
        <v>2012</v>
      </c>
      <c r="AO13" s="51">
        <v>2013</v>
      </c>
    </row>
    <row r="14" spans="1:41" s="51" customFormat="1" ht="16.5" customHeight="1">
      <c r="A14" s="93" t="s">
        <v>10</v>
      </c>
      <c r="B14" s="93"/>
      <c r="C14" s="29">
        <v>-108.783691</v>
      </c>
      <c r="D14" s="29">
        <v>-42.2</v>
      </c>
      <c r="E14" s="29">
        <v>-166.4</v>
      </c>
      <c r="F14" s="29">
        <v>-150.836333</v>
      </c>
      <c r="G14" s="29">
        <v>-181.3</v>
      </c>
      <c r="H14" s="29">
        <v>-399</v>
      </c>
      <c r="I14" s="29">
        <v>-90.231635999999995</v>
      </c>
      <c r="J14" s="29">
        <v>-135.485007</v>
      </c>
      <c r="K14" s="29">
        <v>-122.16204999999999</v>
      </c>
      <c r="L14" s="29">
        <v>-104.018246</v>
      </c>
      <c r="M14" s="29">
        <v>-43.536195150000012</v>
      </c>
      <c r="N14" s="29">
        <v>-62.1540672</v>
      </c>
      <c r="P14" s="8"/>
      <c r="Q14" s="8"/>
      <c r="R14" s="8"/>
      <c r="S14" s="8"/>
      <c r="T14" s="8"/>
      <c r="U14" s="8"/>
      <c r="V14" s="8"/>
      <c r="W14" s="8"/>
      <c r="X14" s="16">
        <v>1998</v>
      </c>
      <c r="Y14" s="33">
        <v>1999</v>
      </c>
      <c r="Z14" s="16">
        <v>2000</v>
      </c>
      <c r="AA14" s="33">
        <v>2001</v>
      </c>
      <c r="AB14" s="16">
        <v>2002</v>
      </c>
      <c r="AC14" s="33">
        <v>2003</v>
      </c>
      <c r="AD14" s="16">
        <v>2004</v>
      </c>
      <c r="AE14" s="33">
        <v>2005</v>
      </c>
      <c r="AF14" s="33">
        <v>2006</v>
      </c>
      <c r="AG14" s="33">
        <v>2007</v>
      </c>
      <c r="AH14" s="33">
        <v>2008</v>
      </c>
    </row>
    <row r="15" spans="1:41" s="62" customFormat="1" ht="16.5" customHeight="1">
      <c r="A15" s="79" t="s">
        <v>21</v>
      </c>
      <c r="B15" s="80"/>
      <c r="C15" s="85">
        <v>-803.31630900000073</v>
      </c>
      <c r="D15" s="85">
        <v>-712</v>
      </c>
      <c r="E15" s="85">
        <v>-2719.4600000000019</v>
      </c>
      <c r="F15" s="85">
        <v>-5218.5988600000028</v>
      </c>
      <c r="G15" s="85">
        <v>-4268.1333326200029</v>
      </c>
      <c r="H15" s="85">
        <v>-2360.1651829999992</v>
      </c>
      <c r="I15" s="85">
        <v>-2971.8899754799986</v>
      </c>
      <c r="J15" s="85">
        <v>-1765.507957759999</v>
      </c>
      <c r="K15" s="85">
        <v>-1375.1457339999997</v>
      </c>
      <c r="L15" s="85">
        <v>-4134.6949135399955</v>
      </c>
      <c r="M15" s="85">
        <v>-6728.3906071100027</v>
      </c>
      <c r="N15" s="85">
        <v>-1413.5329688843376</v>
      </c>
      <c r="P15" s="13"/>
      <c r="Q15" s="13"/>
      <c r="R15" s="13"/>
      <c r="S15" s="13"/>
      <c r="T15" s="13"/>
      <c r="U15" s="13"/>
      <c r="V15" s="13"/>
      <c r="W15" s="13"/>
      <c r="X15" s="34" t="e">
        <f>((#REF!-#REF!)/#REF!)*100</f>
        <v>#REF!</v>
      </c>
      <c r="Y15" s="34" t="e">
        <f>((#REF!-#REF!)/#REF!)*100</f>
        <v>#REF!</v>
      </c>
      <c r="Z15" s="34" t="e">
        <f>((#REF!-#REF!)/#REF!)*100</f>
        <v>#REF!</v>
      </c>
      <c r="AA15" s="34" t="e">
        <f>((#REF!-#REF!)/#REF!)*100</f>
        <v>#REF!</v>
      </c>
      <c r="AB15" s="34" t="e">
        <f>((#REF!-#REF!)/#REF!)*100</f>
        <v>#REF!</v>
      </c>
      <c r="AC15" s="34" t="e">
        <f>((#REF!-#REF!)/#REF!)*100</f>
        <v>#REF!</v>
      </c>
      <c r="AD15" s="34" t="e">
        <f>((#REF!-#REF!)/#REF!)*100</f>
        <v>#REF!</v>
      </c>
      <c r="AE15" s="34" t="e">
        <f>((#REF!-#REF!)/#REF!)*100</f>
        <v>#REF!</v>
      </c>
      <c r="AF15" s="34" t="e">
        <f>((C6-#REF!)/#REF!)*100</f>
        <v>#REF!</v>
      </c>
      <c r="AG15" s="34">
        <f t="shared" ref="AG15:AH15" si="0">((D6-C6)/C6)*100</f>
        <v>23.464543098719446</v>
      </c>
      <c r="AH15" s="34">
        <f t="shared" si="0"/>
        <v>6.3172570167912614</v>
      </c>
    </row>
    <row r="16" spans="1:41" s="62" customFormat="1" ht="16.5" customHeight="1">
      <c r="A16" s="39" t="s">
        <v>22</v>
      </c>
      <c r="B16" s="39"/>
      <c r="C16" s="29">
        <v>-604.51630900000077</v>
      </c>
      <c r="D16" s="29">
        <v>-477.7</v>
      </c>
      <c r="E16" s="29">
        <v>-2439.4600000000019</v>
      </c>
      <c r="F16" s="29">
        <v>-4600.7200820000025</v>
      </c>
      <c r="G16" s="28">
        <v>-3592.3513126200028</v>
      </c>
      <c r="H16" s="28">
        <v>-1634.3804499999992</v>
      </c>
      <c r="I16" s="28">
        <v>-1864.8087464799987</v>
      </c>
      <c r="J16" s="28">
        <v>-808.78176075999909</v>
      </c>
      <c r="K16" s="28">
        <v>-396.79836499999976</v>
      </c>
      <c r="L16" s="28">
        <v>-2787.0450525399956</v>
      </c>
      <c r="M16" s="28">
        <v>-5546.1014912900027</v>
      </c>
      <c r="N16" s="28">
        <v>-147.71240388433762</v>
      </c>
      <c r="O16" s="14"/>
      <c r="P16" s="14"/>
      <c r="Q16" s="14"/>
      <c r="R16" s="14"/>
      <c r="S16" s="14"/>
      <c r="T16" s="14"/>
      <c r="U16" s="14"/>
      <c r="V16" s="14"/>
      <c r="W16" s="14"/>
      <c r="X16" s="16"/>
    </row>
    <row r="17" spans="1:34" s="62" customFormat="1" ht="16.5" customHeight="1">
      <c r="A17" s="79" t="s">
        <v>11</v>
      </c>
      <c r="B17" s="80"/>
      <c r="C17" s="85">
        <v>803.31717099999992</v>
      </c>
      <c r="D17" s="85">
        <v>712</v>
      </c>
      <c r="E17" s="85">
        <v>2719.5</v>
      </c>
      <c r="F17" s="85">
        <v>5218.5999999999995</v>
      </c>
      <c r="G17" s="85">
        <v>4268.1000000000004</v>
      </c>
      <c r="H17" s="85">
        <v>2360.1515939999999</v>
      </c>
      <c r="I17" s="85">
        <v>2971.889975</v>
      </c>
      <c r="J17" s="85">
        <v>1765.5079579999997</v>
      </c>
      <c r="K17" s="85">
        <v>1375.1457340000004</v>
      </c>
      <c r="L17" s="85">
        <v>4134.694913360001</v>
      </c>
      <c r="M17" s="85">
        <v>6728.4460148500111</v>
      </c>
      <c r="N17" s="85">
        <v>1413.5009544492557</v>
      </c>
      <c r="P17" s="13"/>
      <c r="Q17" s="13"/>
      <c r="R17" s="13"/>
      <c r="S17" s="13"/>
      <c r="T17" s="13"/>
      <c r="U17" s="13"/>
      <c r="V17" s="13"/>
      <c r="W17" s="13"/>
      <c r="X17" s="34" t="e">
        <f>((#REF!-#REF!)/#REF!)*100</f>
        <v>#REF!</v>
      </c>
      <c r="Y17" s="34" t="e">
        <f>((#REF!-#REF!)/#REF!)*100</f>
        <v>#REF!</v>
      </c>
      <c r="Z17" s="34" t="e">
        <f>((#REF!-#REF!)/#REF!)*100</f>
        <v>#REF!</v>
      </c>
      <c r="AA17" s="34" t="e">
        <f>((#REF!-#REF!)/#REF!)*100</f>
        <v>#REF!</v>
      </c>
      <c r="AB17" s="34" t="e">
        <f>((#REF!-#REF!)/#REF!)*100</f>
        <v>#REF!</v>
      </c>
      <c r="AC17" s="34" t="e">
        <f>((#REF!-#REF!)/#REF!)*100</f>
        <v>#REF!</v>
      </c>
      <c r="AD17" s="34" t="e">
        <f>((#REF!-#REF!)/#REF!)*100</f>
        <v>#REF!</v>
      </c>
      <c r="AE17" s="34" t="e">
        <f>((#REF!-#REF!)/#REF!)*100</f>
        <v>#REF!</v>
      </c>
      <c r="AF17" s="34" t="e">
        <f>((C10-#REF!)/#REF!)*100</f>
        <v>#REF!</v>
      </c>
      <c r="AG17" s="34">
        <f t="shared" ref="AG17:AH17" si="1">((D10-C10)/C10)*100</f>
        <v>19.055690102732367</v>
      </c>
      <c r="AH17" s="34">
        <f t="shared" si="1"/>
        <v>22.851072049449499</v>
      </c>
    </row>
    <row r="18" spans="1:34" s="62" customFormat="1" ht="16.5" customHeight="1">
      <c r="A18" s="39"/>
      <c r="B18" s="39" t="s">
        <v>12</v>
      </c>
      <c r="C18" s="29">
        <v>538.51717099999996</v>
      </c>
      <c r="D18" s="29">
        <v>697.4</v>
      </c>
      <c r="E18" s="29">
        <v>747.7</v>
      </c>
      <c r="F18" s="29">
        <v>1006.2</v>
      </c>
      <c r="G18" s="28">
        <v>1228.3</v>
      </c>
      <c r="H18" s="28">
        <v>968.02961600000003</v>
      </c>
      <c r="I18" s="28">
        <v>772.15054499999997</v>
      </c>
      <c r="J18" s="28">
        <v>472.55445400000008</v>
      </c>
      <c r="K18" s="28">
        <v>-370.60431500000004</v>
      </c>
      <c r="L18" s="28">
        <v>-297.77568000000008</v>
      </c>
      <c r="M18" s="28">
        <v>1931.9270714199997</v>
      </c>
      <c r="N18" s="28">
        <v>1449.5880209999998</v>
      </c>
      <c r="O18" s="14"/>
      <c r="P18" s="14"/>
      <c r="Q18" s="14"/>
      <c r="R18" s="14"/>
      <c r="S18" s="14"/>
      <c r="T18" s="14"/>
      <c r="U18" s="14"/>
      <c r="V18" s="14"/>
      <c r="W18" s="14"/>
      <c r="X18" s="16"/>
    </row>
    <row r="19" spans="1:34" s="62" customFormat="1" ht="16.5" customHeight="1">
      <c r="A19" s="80"/>
      <c r="B19" s="80" t="s">
        <v>23</v>
      </c>
      <c r="C19" s="86">
        <v>264.8</v>
      </c>
      <c r="D19" s="86">
        <v>14.6</v>
      </c>
      <c r="E19" s="86">
        <v>1971.8</v>
      </c>
      <c r="F19" s="86">
        <v>4212.3999999999996</v>
      </c>
      <c r="G19" s="82">
        <v>3039.8</v>
      </c>
      <c r="H19" s="82">
        <v>1392.1219780000001</v>
      </c>
      <c r="I19" s="82">
        <v>2199.7394300000001</v>
      </c>
      <c r="J19" s="82">
        <v>1292.9535039999996</v>
      </c>
      <c r="K19" s="82">
        <v>1745.7500490000004</v>
      </c>
      <c r="L19" s="82">
        <v>4432.4705933600007</v>
      </c>
      <c r="M19" s="82">
        <v>4796.5189434300109</v>
      </c>
      <c r="N19" s="82">
        <v>-36.087066550744112</v>
      </c>
      <c r="O19" s="63"/>
      <c r="P19" s="63"/>
      <c r="Q19" s="63"/>
      <c r="R19" s="63"/>
      <c r="S19" s="63"/>
      <c r="T19" s="63"/>
      <c r="U19" s="63"/>
      <c r="V19" s="63"/>
      <c r="W19" s="63"/>
      <c r="X19" s="63"/>
      <c r="Y19" s="63"/>
      <c r="Z19" s="63"/>
      <c r="AA19" s="63"/>
      <c r="AB19" s="63"/>
      <c r="AC19" s="63"/>
      <c r="AD19" s="63"/>
    </row>
    <row r="20" spans="1:34" s="51" customFormat="1" ht="8.25" customHeight="1">
      <c r="A20" s="64"/>
      <c r="B20" s="3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9"/>
      <c r="R20" s="9"/>
      <c r="S20" s="9"/>
      <c r="T20" s="9"/>
      <c r="U20" s="9"/>
      <c r="V20" s="9"/>
      <c r="W20" s="9"/>
      <c r="X20" s="16"/>
      <c r="AB20" s="35"/>
      <c r="AC20" s="36"/>
      <c r="AD20" s="36"/>
    </row>
    <row r="21" spans="1:34" s="62" customFormat="1" ht="16.5" customHeight="1">
      <c r="A21" s="79" t="s">
        <v>24</v>
      </c>
      <c r="B21" s="80"/>
      <c r="C21" s="85">
        <v>6344.9561400000002</v>
      </c>
      <c r="D21" s="85">
        <v>7336.4472139999998</v>
      </c>
      <c r="E21" s="85">
        <v>9710.6553260000001</v>
      </c>
      <c r="F21" s="85">
        <v>14222.172291999999</v>
      </c>
      <c r="G21" s="85">
        <v>17016.995846000002</v>
      </c>
      <c r="H21" s="85">
        <v>23132.6</v>
      </c>
      <c r="I21" s="85">
        <v>25533.800000000003</v>
      </c>
      <c r="J21" s="85">
        <v>28425.399999999998</v>
      </c>
      <c r="K21" s="85">
        <v>31393.5</v>
      </c>
      <c r="L21" s="85">
        <v>33313.5</v>
      </c>
      <c r="M21" s="85">
        <v>38201.9</v>
      </c>
      <c r="N21" s="85">
        <v>43494.400000000001</v>
      </c>
      <c r="P21" s="13"/>
      <c r="Q21" s="13"/>
      <c r="R21" s="13"/>
      <c r="S21" s="13"/>
      <c r="T21" s="13"/>
      <c r="U21" s="13"/>
      <c r="V21" s="13"/>
      <c r="W21" s="13"/>
      <c r="X21" s="34"/>
      <c r="Y21" s="34"/>
      <c r="Z21" s="34"/>
      <c r="AA21" s="34"/>
      <c r="AB21" s="34"/>
      <c r="AC21" s="34"/>
      <c r="AD21" s="34"/>
      <c r="AE21" s="34"/>
      <c r="AF21" s="34"/>
      <c r="AG21" s="34"/>
      <c r="AH21" s="34"/>
    </row>
    <row r="22" spans="1:34" s="62" customFormat="1" ht="16.5" customHeight="1">
      <c r="A22" s="64" t="s">
        <v>25</v>
      </c>
      <c r="B22" s="39"/>
      <c r="C22" s="29">
        <v>4368.7</v>
      </c>
      <c r="D22" s="29">
        <v>4966.6000000000004</v>
      </c>
      <c r="E22" s="29">
        <v>5616.5</v>
      </c>
      <c r="F22" s="29">
        <v>6612.8</v>
      </c>
      <c r="G22" s="28">
        <v>7859.3</v>
      </c>
      <c r="H22" s="28">
        <v>10349.700000000001</v>
      </c>
      <c r="I22" s="28">
        <v>11081.6</v>
      </c>
      <c r="J22" s="28">
        <v>11517.8</v>
      </c>
      <c r="K22" s="28">
        <v>10749.2</v>
      </c>
      <c r="L22" s="28">
        <v>10204.200000000001</v>
      </c>
      <c r="M22" s="28">
        <v>11725.9</v>
      </c>
      <c r="N22" s="28">
        <v>17408.400000000001</v>
      </c>
      <c r="O22" s="14"/>
      <c r="P22" s="14"/>
      <c r="Q22" s="14"/>
      <c r="R22" s="14"/>
      <c r="S22" s="14"/>
      <c r="T22" s="14"/>
      <c r="U22" s="14"/>
      <c r="V22" s="14"/>
      <c r="W22" s="14"/>
      <c r="X22" s="16"/>
    </row>
    <row r="23" spans="1:34" s="62" customFormat="1" ht="16.5" customHeight="1">
      <c r="A23" s="87" t="s">
        <v>26</v>
      </c>
      <c r="B23" s="80"/>
      <c r="C23" s="86">
        <v>1976.25614</v>
      </c>
      <c r="D23" s="86">
        <v>2369.8472139999999</v>
      </c>
      <c r="E23" s="86">
        <v>4094.1553260000001</v>
      </c>
      <c r="F23" s="86">
        <v>7609.372292</v>
      </c>
      <c r="G23" s="82">
        <v>9157.6958460000005</v>
      </c>
      <c r="H23" s="82">
        <v>12782.9</v>
      </c>
      <c r="I23" s="82">
        <v>14452.2</v>
      </c>
      <c r="J23" s="82">
        <v>16907.599999999999</v>
      </c>
      <c r="K23" s="82">
        <v>20644.3</v>
      </c>
      <c r="L23" s="82">
        <v>23109.3</v>
      </c>
      <c r="M23" s="82">
        <v>26476</v>
      </c>
      <c r="N23" s="82">
        <v>26086</v>
      </c>
      <c r="O23" s="63"/>
      <c r="P23" s="63"/>
      <c r="Q23" s="63"/>
      <c r="R23" s="63"/>
      <c r="S23" s="63"/>
      <c r="T23" s="63"/>
      <c r="U23" s="63"/>
      <c r="V23" s="63"/>
      <c r="W23" s="63"/>
      <c r="X23" s="63"/>
      <c r="Y23" s="63"/>
      <c r="Z23" s="63"/>
      <c r="AA23" s="63"/>
      <c r="AB23" s="63"/>
      <c r="AC23" s="63"/>
      <c r="AD23" s="63"/>
    </row>
    <row r="24" spans="1:34" s="51" customFormat="1" ht="16.5" customHeight="1">
      <c r="A24" s="64"/>
      <c r="B24" s="3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9"/>
      <c r="R24" s="9"/>
      <c r="S24" s="9"/>
      <c r="T24" s="9"/>
      <c r="U24" s="9"/>
      <c r="V24" s="9"/>
      <c r="W24" s="9"/>
      <c r="X24" s="16"/>
      <c r="AB24" s="35"/>
      <c r="AC24" s="36"/>
      <c r="AD24" s="36"/>
    </row>
    <row r="25" spans="1:34" s="42" customFormat="1" ht="16.5" customHeight="1">
      <c r="A25" s="88" t="s">
        <v>0</v>
      </c>
      <c r="B25" s="88"/>
      <c r="C25" s="89">
        <f t="shared" ref="C25:M25" si="2">C6/C32*100</f>
        <v>26.220374237900423</v>
      </c>
      <c r="D25" s="89">
        <f t="shared" si="2"/>
        <v>27.292978714483041</v>
      </c>
      <c r="E25" s="89">
        <f t="shared" si="2"/>
        <v>23.866021272563415</v>
      </c>
      <c r="F25" s="89">
        <f t="shared" si="2"/>
        <v>17.699398369528804</v>
      </c>
      <c r="G25" s="89">
        <f t="shared" si="2"/>
        <v>19.295639424410631</v>
      </c>
      <c r="H25" s="89">
        <f t="shared" si="2"/>
        <v>22.641028669784074</v>
      </c>
      <c r="I25" s="89">
        <f t="shared" si="2"/>
        <v>22.034834902622354</v>
      </c>
      <c r="J25" s="89">
        <f t="shared" si="2"/>
        <v>23.271360141918787</v>
      </c>
      <c r="K25" s="89">
        <f t="shared" si="2"/>
        <v>26.375614960852239</v>
      </c>
      <c r="L25" s="89">
        <f t="shared" si="2"/>
        <v>27.075625101642526</v>
      </c>
      <c r="M25" s="89">
        <f t="shared" si="2"/>
        <v>28.227323662520025</v>
      </c>
      <c r="N25" s="89">
        <f>N6/N32*100</f>
        <v>28.037930402343449</v>
      </c>
      <c r="O25" s="40"/>
      <c r="P25" s="40"/>
      <c r="Q25" s="40"/>
      <c r="R25" s="40"/>
      <c r="S25" s="40"/>
      <c r="T25" s="40"/>
      <c r="U25" s="40"/>
      <c r="V25" s="40"/>
      <c r="W25" s="40"/>
      <c r="X25" s="41"/>
    </row>
    <row r="26" spans="1:34" s="42" customFormat="1" ht="16.5" customHeight="1">
      <c r="A26" s="65" t="s">
        <v>1</v>
      </c>
      <c r="B26" s="73"/>
      <c r="C26" s="44">
        <f t="shared" ref="C26:N26" si="3">C11/C32*100</f>
        <v>35.046136236187415</v>
      </c>
      <c r="D26" s="44">
        <f t="shared" si="3"/>
        <v>34.812012040317001</v>
      </c>
      <c r="E26" s="44">
        <f t="shared" si="3"/>
        <v>35.568919324531585</v>
      </c>
      <c r="F26" s="44">
        <f t="shared" si="3"/>
        <v>36.989853167026546</v>
      </c>
      <c r="G26" s="44">
        <f t="shared" si="3"/>
        <v>33.192903801773951</v>
      </c>
      <c r="H26" s="44">
        <f t="shared" si="3"/>
        <v>31.259905440295565</v>
      </c>
      <c r="I26" s="44">
        <f t="shared" si="3"/>
        <v>29.766840675401372</v>
      </c>
      <c r="J26" s="44">
        <f t="shared" si="3"/>
        <v>26.990567768025382</v>
      </c>
      <c r="K26" s="44">
        <f t="shared" si="3"/>
        <v>29.084438051494573</v>
      </c>
      <c r="L26" s="44">
        <f t="shared" si="3"/>
        <v>34.826120824487973</v>
      </c>
      <c r="M26" s="44">
        <f t="shared" si="3"/>
        <v>38.981462680875111</v>
      </c>
      <c r="N26" s="44">
        <f t="shared" si="3"/>
        <v>31.012026748892701</v>
      </c>
      <c r="O26" s="40"/>
      <c r="P26" s="40"/>
      <c r="Q26" s="40"/>
      <c r="R26" s="40"/>
      <c r="S26" s="40"/>
      <c r="T26" s="40"/>
      <c r="U26" s="40"/>
      <c r="V26" s="40"/>
      <c r="W26" s="40"/>
      <c r="X26" s="41"/>
      <c r="AB26" s="45"/>
      <c r="AC26" s="46"/>
      <c r="AD26" s="46"/>
    </row>
    <row r="27" spans="1:34" s="42" customFormat="1" ht="16.5" customHeight="1">
      <c r="A27" s="88" t="s">
        <v>27</v>
      </c>
      <c r="B27" s="88"/>
      <c r="C27" s="89">
        <v>35.046136236187415</v>
      </c>
      <c r="D27" s="89">
        <v>34.812012040317001</v>
      </c>
      <c r="E27" s="89">
        <v>35.568919324531571</v>
      </c>
      <c r="F27" s="89">
        <v>37.077010727274818</v>
      </c>
      <c r="G27" s="89">
        <v>33.370863618085757</v>
      </c>
      <c r="H27" s="89">
        <v>31.259905440295565</v>
      </c>
      <c r="I27" s="89">
        <f t="shared" ref="I27:N27" si="4">I15/I32*100</f>
        <v>-6.7016820796731311</v>
      </c>
      <c r="J27" s="89">
        <f t="shared" si="4"/>
        <v>-3.4868410298928421</v>
      </c>
      <c r="K27" s="89">
        <f t="shared" si="4"/>
        <v>-2.4181895740636334</v>
      </c>
      <c r="L27" s="89">
        <f t="shared" si="4"/>
        <v>-6.7159218566788415</v>
      </c>
      <c r="M27" s="89">
        <f t="shared" si="4"/>
        <v>-10.364230930897815</v>
      </c>
      <c r="N27" s="89">
        <f t="shared" si="4"/>
        <v>-1.9720933123522535</v>
      </c>
      <c r="O27" s="40"/>
      <c r="P27" s="40"/>
      <c r="Q27" s="40"/>
      <c r="R27" s="40"/>
      <c r="S27" s="40"/>
      <c r="T27" s="40"/>
      <c r="U27" s="40"/>
      <c r="V27" s="40"/>
      <c r="W27" s="40"/>
      <c r="X27" s="41"/>
    </row>
    <row r="28" spans="1:34" s="42" customFormat="1" ht="16.5" customHeight="1">
      <c r="A28" s="65" t="s">
        <v>28</v>
      </c>
      <c r="B28" s="73"/>
      <c r="C28" s="44">
        <v>35.046136236187415</v>
      </c>
      <c r="D28" s="44">
        <v>34.812012040317001</v>
      </c>
      <c r="E28" s="44">
        <v>35.568919324531571</v>
      </c>
      <c r="F28" s="44">
        <v>37.077010727274818</v>
      </c>
      <c r="G28" s="44">
        <v>33.370863618085757</v>
      </c>
      <c r="H28" s="44">
        <v>31.259905440295565</v>
      </c>
      <c r="I28" s="44">
        <f t="shared" ref="I28:N28" si="5">I16/I32*100</f>
        <v>-4.2051877631453154</v>
      </c>
      <c r="J28" s="44">
        <f t="shared" si="5"/>
        <v>-1.5973269422274117</v>
      </c>
      <c r="K28" s="44">
        <f t="shared" si="5"/>
        <v>-0.69776871318025391</v>
      </c>
      <c r="L28" s="44">
        <f t="shared" si="5"/>
        <v>-4.5269547512700488</v>
      </c>
      <c r="M28" s="44">
        <f t="shared" si="5"/>
        <v>-8.543064750311185</v>
      </c>
      <c r="N28" s="44">
        <f t="shared" si="5"/>
        <v>-0.20608125191568355</v>
      </c>
      <c r="O28" s="40"/>
      <c r="P28" s="40"/>
      <c r="Q28" s="40"/>
      <c r="R28" s="40"/>
      <c r="S28" s="40"/>
      <c r="T28" s="40"/>
      <c r="U28" s="40"/>
      <c r="V28" s="40"/>
      <c r="W28" s="40"/>
      <c r="X28" s="41"/>
      <c r="AB28" s="45"/>
      <c r="AC28" s="46"/>
      <c r="AD28" s="46"/>
    </row>
    <row r="29" spans="1:34" s="42" customFormat="1" ht="16.5" customHeight="1">
      <c r="A29" s="88" t="s">
        <v>29</v>
      </c>
      <c r="B29" s="88"/>
      <c r="C29" s="89">
        <f t="shared" ref="C29:N29" si="6">C21/C32*100</f>
        <v>31.468992852604483</v>
      </c>
      <c r="D29" s="89">
        <f t="shared" si="6"/>
        <v>30.676782946995708</v>
      </c>
      <c r="E29" s="89">
        <f t="shared" si="6"/>
        <v>33.396263524793753</v>
      </c>
      <c r="F29" s="89">
        <f t="shared" si="6"/>
        <v>47.376013158034056</v>
      </c>
      <c r="G29" s="89">
        <f t="shared" si="6"/>
        <v>51.36639743452087</v>
      </c>
      <c r="H29" s="89">
        <f t="shared" si="6"/>
        <v>57.101902754237898</v>
      </c>
      <c r="I29" s="89">
        <f t="shared" si="6"/>
        <v>57.579322013197952</v>
      </c>
      <c r="J29" s="89">
        <f t="shared" si="6"/>
        <v>56.139566279196309</v>
      </c>
      <c r="K29" s="89">
        <f t="shared" si="6"/>
        <v>55.205373886115474</v>
      </c>
      <c r="L29" s="89">
        <f t="shared" si="6"/>
        <v>54.110609718703351</v>
      </c>
      <c r="M29" s="89">
        <f t="shared" si="6"/>
        <v>58.845173640881654</v>
      </c>
      <c r="N29" s="89">
        <f t="shared" si="6"/>
        <v>60.681298033305652</v>
      </c>
      <c r="O29" s="40"/>
      <c r="P29" s="40"/>
      <c r="Q29" s="40"/>
      <c r="R29" s="40"/>
      <c r="S29" s="40"/>
      <c r="T29" s="40"/>
      <c r="U29" s="40"/>
      <c r="V29" s="40"/>
      <c r="W29" s="40"/>
      <c r="X29" s="41"/>
    </row>
    <row r="30" spans="1:34" s="42" customFormat="1" ht="16.5" customHeight="1">
      <c r="A30" s="66" t="s">
        <v>30</v>
      </c>
      <c r="B30" s="73"/>
      <c r="C30" s="44">
        <f t="shared" ref="C30:N30" si="7">C22/C32*100</f>
        <v>21.667382097171313</v>
      </c>
      <c r="D30" s="44">
        <f t="shared" si="7"/>
        <v>20.767451293564079</v>
      </c>
      <c r="E30" s="44">
        <f t="shared" si="7"/>
        <v>19.315906886818496</v>
      </c>
      <c r="F30" s="44">
        <f t="shared" si="7"/>
        <v>22.028146852620594</v>
      </c>
      <c r="G30" s="44">
        <f t="shared" si="7"/>
        <v>23.723572069392272</v>
      </c>
      <c r="H30" s="44">
        <f t="shared" si="7"/>
        <v>25.547822680353093</v>
      </c>
      <c r="I30" s="44">
        <f t="shared" si="7"/>
        <v>24.989269706093665</v>
      </c>
      <c r="J30" s="44">
        <f t="shared" si="7"/>
        <v>22.747412401954843</v>
      </c>
      <c r="K30" s="44">
        <f t="shared" si="7"/>
        <v>18.90243537600562</v>
      </c>
      <c r="L30" s="44">
        <f t="shared" si="7"/>
        <v>16.57452635392837</v>
      </c>
      <c r="M30" s="44">
        <f t="shared" si="7"/>
        <v>18.062259248770719</v>
      </c>
      <c r="N30" s="44">
        <f t="shared" si="7"/>
        <v>24.287363630329381</v>
      </c>
      <c r="O30" s="40"/>
      <c r="P30" s="40"/>
      <c r="Q30" s="40"/>
      <c r="R30" s="40"/>
      <c r="S30" s="40"/>
      <c r="T30" s="40"/>
      <c r="U30" s="40"/>
      <c r="V30" s="40"/>
      <c r="W30" s="40"/>
      <c r="X30" s="43"/>
      <c r="AB30" s="45"/>
      <c r="AC30" s="46"/>
      <c r="AD30" s="46"/>
    </row>
    <row r="31" spans="1:34" s="42" customFormat="1" ht="16.5" customHeight="1">
      <c r="A31" s="66" t="s">
        <v>31</v>
      </c>
      <c r="B31" s="73"/>
      <c r="C31" s="44">
        <f t="shared" ref="C31:N31" si="8">C23/C32*100</f>
        <v>9.8016107554331686</v>
      </c>
      <c r="D31" s="44">
        <f t="shared" si="8"/>
        <v>9.9093316534316287</v>
      </c>
      <c r="E31" s="44">
        <f t="shared" si="8"/>
        <v>14.080356637975255</v>
      </c>
      <c r="F31" s="44">
        <f t="shared" si="8"/>
        <v>25.347866305413465</v>
      </c>
      <c r="G31" s="44">
        <f t="shared" si="8"/>
        <v>27.642825365128605</v>
      </c>
      <c r="H31" s="44">
        <f t="shared" si="8"/>
        <v>31.554080073884805</v>
      </c>
      <c r="I31" s="44">
        <f t="shared" si="8"/>
        <v>32.590052307104287</v>
      </c>
      <c r="J31" s="44">
        <f t="shared" si="8"/>
        <v>33.392153877241462</v>
      </c>
      <c r="K31" s="44">
        <f t="shared" si="8"/>
        <v>36.302938510109847</v>
      </c>
      <c r="L31" s="44">
        <f t="shared" si="8"/>
        <v>37.536083364774981</v>
      </c>
      <c r="M31" s="44">
        <f t="shared" si="8"/>
        <v>40.782914392110932</v>
      </c>
      <c r="N31" s="44">
        <f t="shared" si="8"/>
        <v>36.393934402976278</v>
      </c>
      <c r="O31" s="40"/>
      <c r="P31" s="40"/>
      <c r="Q31" s="40"/>
      <c r="R31" s="40"/>
      <c r="S31" s="40"/>
      <c r="T31" s="40"/>
      <c r="U31" s="40"/>
      <c r="V31" s="40"/>
      <c r="W31" s="40"/>
      <c r="X31" s="43"/>
      <c r="AB31" s="45"/>
      <c r="AC31" s="46"/>
      <c r="AD31" s="46"/>
    </row>
    <row r="32" spans="1:34" s="42" customFormat="1" ht="16.5" customHeight="1">
      <c r="A32" s="90" t="s">
        <v>37</v>
      </c>
      <c r="B32" s="91"/>
      <c r="C32" s="92">
        <f>'[1]16.4'!F10</f>
        <v>20162.565003966658</v>
      </c>
      <c r="D32" s="92">
        <f>'[1]16.4'!G10</f>
        <v>23915.308285996416</v>
      </c>
      <c r="E32" s="92">
        <f>'[1]16.4'!H10</f>
        <v>29077.071208252695</v>
      </c>
      <c r="F32" s="92">
        <f>'[1]16.4'!I10</f>
        <v>30019.774446951735</v>
      </c>
      <c r="G32" s="92">
        <f>'[1]16.4'!J10</f>
        <v>33128.653547666749</v>
      </c>
      <c r="H32" s="92">
        <f>'[1]16.4'!K10</f>
        <v>40511.084367119765</v>
      </c>
      <c r="I32" s="92">
        <v>44345.433581429308</v>
      </c>
      <c r="J32" s="92">
        <v>50633.451385486791</v>
      </c>
      <c r="K32" s="92">
        <v>56866.746459796515</v>
      </c>
      <c r="L32" s="92">
        <v>61565.560198234431</v>
      </c>
      <c r="M32" s="92">
        <v>64919.342804793596</v>
      </c>
      <c r="N32" s="92">
        <v>71676.779188420755</v>
      </c>
      <c r="O32" s="47"/>
      <c r="P32" s="47"/>
      <c r="Q32" s="47"/>
      <c r="R32" s="47"/>
      <c r="S32" s="47"/>
      <c r="T32" s="47"/>
      <c r="U32" s="47"/>
      <c r="V32" s="47"/>
      <c r="W32" s="47"/>
      <c r="X32" s="41"/>
      <c r="AB32" s="45"/>
      <c r="AC32" s="46"/>
      <c r="AD32" s="46"/>
    </row>
    <row r="33" spans="1:31" s="51" customFormat="1" ht="16.5" customHeight="1">
      <c r="A33" s="74" t="s">
        <v>33</v>
      </c>
      <c r="B33" s="26"/>
      <c r="C33" s="26"/>
      <c r="D33" s="26"/>
      <c r="E33" s="74" t="s">
        <v>34</v>
      </c>
      <c r="F33" s="26"/>
      <c r="G33" s="27"/>
      <c r="H33" s="27"/>
      <c r="I33" s="27"/>
      <c r="J33" s="27"/>
      <c r="K33" s="75"/>
      <c r="L33" s="27"/>
      <c r="M33" s="27"/>
      <c r="N33" s="27"/>
      <c r="O33" s="5"/>
      <c r="P33" s="5"/>
      <c r="Q33" s="5"/>
      <c r="R33" s="5"/>
      <c r="S33" s="5"/>
      <c r="T33" s="5"/>
      <c r="U33" s="5"/>
      <c r="V33" s="5"/>
      <c r="W33" s="5"/>
      <c r="X33" s="16"/>
      <c r="AB33" s="35"/>
      <c r="AC33" s="37"/>
      <c r="AD33" s="37"/>
    </row>
    <row r="34" spans="1:31" s="51" customFormat="1" ht="16.5" customHeight="1">
      <c r="A34" s="74" t="s">
        <v>35</v>
      </c>
      <c r="B34" s="26"/>
      <c r="C34" s="26"/>
      <c r="D34" s="26"/>
      <c r="E34" s="48"/>
      <c r="F34" s="26"/>
      <c r="G34" s="27"/>
      <c r="H34" s="27"/>
      <c r="I34" s="27"/>
      <c r="J34" s="27"/>
      <c r="K34" s="27"/>
      <c r="L34" s="27"/>
      <c r="M34" s="27"/>
      <c r="N34" s="27"/>
      <c r="O34" s="5"/>
      <c r="P34" s="5"/>
      <c r="Q34" s="5"/>
      <c r="R34" s="5"/>
      <c r="S34" s="5"/>
      <c r="T34" s="5"/>
      <c r="U34" s="5"/>
      <c r="V34" s="5"/>
      <c r="W34" s="5"/>
      <c r="X34" s="16"/>
      <c r="AB34" s="35"/>
      <c r="AC34" s="37"/>
      <c r="AD34" s="35"/>
    </row>
    <row r="35" spans="1:31" s="51" customFormat="1" ht="16.5" customHeight="1">
      <c r="A35" s="74" t="s">
        <v>36</v>
      </c>
      <c r="B35" s="26"/>
      <c r="C35" s="26"/>
      <c r="D35" s="26"/>
      <c r="F35" s="26"/>
      <c r="G35" s="27"/>
      <c r="H35" s="27"/>
      <c r="I35" s="27"/>
      <c r="J35" s="27"/>
      <c r="K35" s="27"/>
      <c r="L35" s="27"/>
      <c r="M35" s="27"/>
      <c r="N35" s="27"/>
      <c r="O35" s="5"/>
      <c r="P35" s="5"/>
      <c r="Q35" s="5"/>
      <c r="R35" s="5"/>
      <c r="S35" s="5"/>
      <c r="T35" s="5"/>
      <c r="U35" s="5"/>
      <c r="V35" s="5"/>
      <c r="W35" s="5"/>
      <c r="X35" s="16"/>
      <c r="AB35" s="35"/>
      <c r="AC35" s="37"/>
      <c r="AD35" s="35"/>
    </row>
    <row r="36" spans="1:31" s="51" customFormat="1" ht="16.5" customHeight="1">
      <c r="B36" s="26"/>
      <c r="C36" s="26"/>
      <c r="D36" s="26"/>
      <c r="E36" s="48"/>
      <c r="F36" s="26"/>
      <c r="G36" s="27"/>
      <c r="H36" s="27"/>
      <c r="I36" s="27"/>
      <c r="J36" s="27"/>
      <c r="K36" s="27"/>
      <c r="L36" s="27"/>
      <c r="M36" s="27"/>
      <c r="N36" s="27"/>
      <c r="O36" s="5"/>
      <c r="P36" s="5"/>
      <c r="Q36" s="5"/>
      <c r="R36" s="5"/>
      <c r="S36" s="5"/>
      <c r="T36" s="5"/>
      <c r="U36" s="5"/>
      <c r="V36" s="5"/>
      <c r="W36" s="5"/>
      <c r="X36" s="16"/>
      <c r="AB36" s="35"/>
      <c r="AC36" s="37"/>
      <c r="AD36" s="35"/>
    </row>
    <row r="37" spans="1:31">
      <c r="AB37" s="67"/>
      <c r="AC37" s="15"/>
      <c r="AD37" s="4"/>
    </row>
    <row r="38" spans="1:31">
      <c r="AB38" s="67"/>
      <c r="AC38" s="20"/>
      <c r="AD38" s="20"/>
    </row>
    <row r="39" spans="1:31">
      <c r="AB39" s="67"/>
      <c r="AC39" s="4"/>
      <c r="AD39" s="4"/>
    </row>
    <row r="42" spans="1:31">
      <c r="AE42" s="3">
        <v>309575</v>
      </c>
    </row>
    <row r="44" spans="1:31">
      <c r="AE44" s="3">
        <v>1255.5999999999999</v>
      </c>
    </row>
    <row r="48" spans="1:31">
      <c r="AE48" s="3">
        <f>AE44/AE42*100</f>
        <v>0.40558830654930145</v>
      </c>
    </row>
    <row r="53" spans="1:30" ht="5.25" customHeight="1"/>
    <row r="54" spans="1:30" ht="37.9" customHeight="1">
      <c r="AB54" s="21" t="s">
        <v>14</v>
      </c>
      <c r="AC54" s="22" t="s">
        <v>16</v>
      </c>
      <c r="AD54" s="22" t="s">
        <v>17</v>
      </c>
    </row>
    <row r="55" spans="1:30">
      <c r="AB55" s="21">
        <v>1998</v>
      </c>
      <c r="AC55" s="23">
        <v>1930.2</v>
      </c>
      <c r="AD55" s="23">
        <v>2053.3000000000002</v>
      </c>
    </row>
    <row r="56" spans="1:30">
      <c r="AB56" s="21">
        <v>1999</v>
      </c>
      <c r="AC56" s="23">
        <v>2225.3000000000002</v>
      </c>
      <c r="AD56" s="23">
        <v>2506.4</v>
      </c>
    </row>
    <row r="57" spans="1:30">
      <c r="AB57" s="21">
        <v>2000</v>
      </c>
      <c r="AC57" s="23">
        <v>2372.6999999999998</v>
      </c>
      <c r="AD57" s="23">
        <v>2694.2</v>
      </c>
    </row>
    <row r="58" spans="1:30">
      <c r="AB58" s="21">
        <v>2001</v>
      </c>
      <c r="AC58" s="23">
        <v>2522.6</v>
      </c>
      <c r="AD58" s="23">
        <v>2885.9</v>
      </c>
    </row>
    <row r="59" spans="1:30">
      <c r="AB59" s="21">
        <v>2002</v>
      </c>
      <c r="AC59" s="23">
        <v>2714.9</v>
      </c>
      <c r="AD59" s="23">
        <v>3117.3</v>
      </c>
    </row>
    <row r="60" spans="1:30">
      <c r="AB60" s="21">
        <v>2003</v>
      </c>
      <c r="AC60" s="23">
        <v>3087.9</v>
      </c>
      <c r="AD60" s="23">
        <v>3388.2</v>
      </c>
    </row>
    <row r="61" spans="1:30">
      <c r="A61" s="4"/>
      <c r="B61" s="4"/>
      <c r="AB61" s="21">
        <v>2004</v>
      </c>
      <c r="AC61" s="23">
        <v>3424.7</v>
      </c>
      <c r="AD61" s="23">
        <v>3582.6</v>
      </c>
    </row>
    <row r="62" spans="1:30">
      <c r="A62" s="4"/>
      <c r="B62" s="4"/>
      <c r="AB62" s="21">
        <v>2005</v>
      </c>
      <c r="AC62" s="23">
        <v>4612.8999999999996</v>
      </c>
      <c r="AD62" s="3">
        <v>5657.5999999999995</v>
      </c>
    </row>
    <row r="63" spans="1:30" s="70" customFormat="1">
      <c r="A63" s="68"/>
      <c r="B63" s="69"/>
      <c r="AB63" s="21">
        <v>2006</v>
      </c>
      <c r="AC63" s="24">
        <v>6154.1</v>
      </c>
      <c r="AD63" s="3">
        <v>6948.1</v>
      </c>
    </row>
    <row r="64" spans="1:30" s="70" customFormat="1">
      <c r="A64" s="68"/>
      <c r="B64" s="69"/>
      <c r="AB64" s="21">
        <v>2007</v>
      </c>
      <c r="AC64" s="25">
        <v>7571.2000000000007</v>
      </c>
      <c r="AD64" s="3">
        <v>8200.9000000000015</v>
      </c>
    </row>
    <row r="65" spans="1:30" s="70" customFormat="1">
      <c r="A65" s="68"/>
      <c r="B65" s="71"/>
      <c r="AB65" s="72" t="s">
        <v>15</v>
      </c>
      <c r="AC65" s="25">
        <v>7757.4000000000005</v>
      </c>
      <c r="AD65" s="3">
        <v>9788.6</v>
      </c>
    </row>
    <row r="66" spans="1:30" s="70" customFormat="1">
      <c r="A66" s="68"/>
      <c r="B66" s="71"/>
    </row>
    <row r="67" spans="1:30" s="70" customFormat="1">
      <c r="A67" s="68"/>
      <c r="B67" s="71"/>
    </row>
    <row r="68" spans="1:30">
      <c r="A68" s="4"/>
      <c r="B68" s="4"/>
    </row>
    <row r="69" spans="1:30">
      <c r="A69" s="4"/>
      <c r="B69" s="4"/>
    </row>
    <row r="70" spans="1:30">
      <c r="A70" s="4"/>
      <c r="B70" s="4"/>
    </row>
    <row r="71" spans="1:30">
      <c r="A71" s="4"/>
      <c r="B71" s="4"/>
    </row>
  </sheetData>
  <mergeCells count="4">
    <mergeCell ref="A6:B6"/>
    <mergeCell ref="A9:B9"/>
    <mergeCell ref="A14:B14"/>
    <mergeCell ref="A1:N1"/>
  </mergeCells>
  <phoneticPr fontId="19" type="noConversion"/>
  <printOptions horizontalCentered="1" verticalCentered="1"/>
  <pageMargins left="7.8740157480315001E-2" right="0.511811023622047" top="0.196850393700787" bottom="0.27559055118110198" header="0.15748031496063" footer="0.27559055118110198"/>
  <pageSetup paperSize="9" scale="70" orientation="landscape" horizontalDpi="4294967295" verticalDpi="4294967295" r:id="rId1"/>
  <headerFooter alignWithMargins="0"/>
  <drawing r:id="rId2"/>
  <webPublishItems count="2">
    <webPublishItem id="889" divId="Indicators2009_889" sourceType="range" sourceRef="A1:E50" destinationFile="\\Server04\mpnd\IT\Information for MPND Website\Statistical Yearbook 2009\Key Indicators 2009\Finance.htm"/>
    <webPublishItem id="10525" divId="Indicators 2010_10525" sourceType="range" sourceRef="A1:G48" destinationFile="\\Server\dp unit\Publications\Statistical  Year Book\Yearbook 2011\YRB 2011 CD\final chapters\CD WEB\Indicators\Finance.htm"/>
  </webPublishItem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Finance</vt:lpstr>
      <vt:lpstr>Finance!Print_Area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DP2</dc:creator>
  <cp:lastModifiedBy>Fathimath Shifaza</cp:lastModifiedBy>
  <cp:lastPrinted>2018-05-28T05:53:52Z</cp:lastPrinted>
  <dcterms:created xsi:type="dcterms:W3CDTF">2005-04-13T08:56:22Z</dcterms:created>
  <dcterms:modified xsi:type="dcterms:W3CDTF">2018-05-28T05:54:01Z</dcterms:modified>
</cp:coreProperties>
</file>