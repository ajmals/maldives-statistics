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Indicator\"/>
    </mc:Choice>
  </mc:AlternateContent>
  <bookViews>
    <workbookView xWindow="15795" yWindow="30" windowWidth="10650" windowHeight="10665" tabRatio="927"/>
  </bookViews>
  <sheets>
    <sheet name="11Transp" sheetId="17" r:id="rId1"/>
  </sheets>
  <definedNames>
    <definedName name="_xlnm.Print_Area" localSheetId="0">'11Transp'!$A$1:$P$54</definedName>
  </definedNames>
  <calcPr calcId="162913"/>
</workbook>
</file>

<file path=xl/calcChain.xml><?xml version="1.0" encoding="utf-8"?>
<calcChain xmlns="http://schemas.openxmlformats.org/spreadsheetml/2006/main">
  <c r="F14" i="17" l="1"/>
  <c r="G14" i="17"/>
  <c r="H14" i="17"/>
  <c r="I14" i="17"/>
  <c r="J14" i="17"/>
  <c r="K14" i="17"/>
  <c r="L14" i="17"/>
  <c r="M14" i="17"/>
  <c r="N14" i="17"/>
  <c r="O14" i="17"/>
  <c r="E14" i="17"/>
  <c r="F9" i="17"/>
  <c r="G9" i="17"/>
  <c r="H9" i="17"/>
  <c r="I9" i="17"/>
  <c r="J9" i="17"/>
  <c r="K9" i="17"/>
  <c r="L9" i="17"/>
  <c r="M9" i="17"/>
  <c r="N9" i="17"/>
  <c r="O9" i="17"/>
  <c r="E9" i="17"/>
</calcChain>
</file>

<file path=xl/sharedStrings.xml><?xml version="1.0" encoding="utf-8"?>
<sst xmlns="http://schemas.openxmlformats.org/spreadsheetml/2006/main" count="51" uniqueCount="35">
  <si>
    <t>-</t>
  </si>
  <si>
    <t>Total Number of International Flights</t>
  </si>
  <si>
    <t>Chartered Flights</t>
  </si>
  <si>
    <t>Non Scheduled Flights</t>
  </si>
  <si>
    <t>Passenger Movement of International Flights</t>
  </si>
  <si>
    <t>Arrivals</t>
  </si>
  <si>
    <t>Departures</t>
  </si>
  <si>
    <t>Direct Transit</t>
  </si>
  <si>
    <t>Passenger Movement of Domestic Flights</t>
  </si>
  <si>
    <t>Registered  Vehicles / Vessels</t>
  </si>
  <si>
    <t xml:space="preserve">Sea Transport </t>
  </si>
  <si>
    <t>Number of Yacht Dhoni</t>
  </si>
  <si>
    <t>Number of Launches</t>
  </si>
  <si>
    <t>Number of Boats</t>
  </si>
  <si>
    <t>Land Transport</t>
  </si>
  <si>
    <t>Number of Motor Cars</t>
  </si>
  <si>
    <t>Number of Motor Cycles/Auto Cycles</t>
  </si>
  <si>
    <t>na</t>
  </si>
  <si>
    <t>International telephone calls</t>
  </si>
  <si>
    <t>National telephone calls</t>
  </si>
  <si>
    <t>Mobile calls</t>
  </si>
  <si>
    <t>Fixed telephone lines</t>
  </si>
  <si>
    <t>Phone Calls ( '000 minutes)</t>
  </si>
  <si>
    <t xml:space="preserve">Phone lines </t>
  </si>
  <si>
    <t>Scheduled Flights</t>
  </si>
  <si>
    <t xml:space="preserve">TRANSPORT AND COMMUNICATION </t>
  </si>
  <si>
    <t>Post-paid</t>
  </si>
  <si>
    <t>Pre-paid</t>
  </si>
  <si>
    <t>Considerable increase in 2008 mobile &amp; international minutes as call minutes from pre-paid phones were not included in previous years</t>
  </si>
  <si>
    <t>Aircraft Movement at Velanaa  International Airport</t>
  </si>
  <si>
    <t>Mobile phone subscriptions</t>
  </si>
  <si>
    <t>Passenger Movement of International Flights ('000)</t>
  </si>
  <si>
    <t>Passenger Movement of Domestic Flights ('000)</t>
  </si>
  <si>
    <t xml:space="preserve">Note: </t>
  </si>
  <si>
    <t>On 1st January 2017 INIA was rebranded to Velanaa International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</si>
</sst>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-* #,##0.00\ _ރ_._-;_-* #,##0.00\ _ރ_.\-;_-* &quot;-&quot;??\ _ރ_._-;_-@_-"/>
    <numFmt numFmtId="169" formatCode="0.00_)"/>
    <numFmt numFmtId="170" formatCode="_-* #,##0_-;\-* #,##0_-;_-* &quot;-&quot;??_-;_-@_-"/>
    <numFmt numFmtId="171" formatCode="[$-409]mmm\-yy;@"/>
    <numFmt numFmtId="172" formatCode="_-* #,##0.00_-;\-* #,##0.00_-;_-* &quot;-&quot;??_-;_-@_-"/>
    <numFmt numFmtId="173" formatCode="[$-409]mmmm\ d\,\ yyyy;@"/>
    <numFmt numFmtId="174" formatCode="#,##0,"/>
  </numFmts>
  <fonts count="8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FF0000"/>
      <name val="Arial"/>
      <family val="2"/>
    </font>
    <font>
      <b/>
      <sz val="14"/>
      <name val="Candara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20"/>
      <color theme="0"/>
      <name val="Candara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b/>
      <sz val="12"/>
      <name val="Candara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sz val="12"/>
      <name val="Candara"/>
      <family val="2"/>
    </font>
    <font>
      <b/>
      <u/>
      <sz val="12"/>
      <name val="Candara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9"/>
      <color rgb="FFFF0000"/>
      <name val="Arial"/>
      <family val="2"/>
    </font>
    <font>
      <sz val="12"/>
      <color rgb="FFFF0000"/>
      <name val="Candara"/>
      <family val="2"/>
    </font>
    <font>
      <sz val="12"/>
      <color rgb="FFFF000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9F3F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7B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6">
    <xf numFmtId="0" fontId="0" fillId="0" borderId="0"/>
    <xf numFmtId="0" fontId="21" fillId="0" borderId="0"/>
    <xf numFmtId="0" fontId="18" fillId="0" borderId="0"/>
    <xf numFmtId="0" fontId="18" fillId="0" borderId="0"/>
    <xf numFmtId="43" fontId="1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8" fillId="0" borderId="0"/>
    <xf numFmtId="0" fontId="22" fillId="0" borderId="0"/>
    <xf numFmtId="164" fontId="22" fillId="0" borderId="0"/>
    <xf numFmtId="164" fontId="22" fillId="0" borderId="0"/>
    <xf numFmtId="0" fontId="23" fillId="0" borderId="0"/>
    <xf numFmtId="166" fontId="22" fillId="0" borderId="0" applyFont="0" applyFill="0" applyBorder="0" applyAlignment="0" applyProtection="0"/>
    <xf numFmtId="0" fontId="13" fillId="0" borderId="0"/>
    <xf numFmtId="0" fontId="18" fillId="0" borderId="0"/>
    <xf numFmtId="0" fontId="30" fillId="0" borderId="0"/>
    <xf numFmtId="43" fontId="30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1" fillId="0" borderId="0"/>
    <xf numFmtId="0" fontId="11" fillId="0" borderId="0"/>
    <xf numFmtId="165" fontId="22" fillId="0" borderId="0"/>
    <xf numFmtId="168" fontId="30" fillId="0" borderId="0" applyFont="0" applyFill="0" applyBorder="0" applyAlignment="0" applyProtection="0"/>
    <xf numFmtId="0" fontId="30" fillId="0" borderId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7" borderId="0" applyNumberFormat="0" applyBorder="0" applyAlignment="0" applyProtection="0"/>
    <xf numFmtId="0" fontId="40" fillId="10" borderId="0" applyNumberFormat="0" applyBorder="0" applyAlignment="0" applyProtection="0"/>
    <xf numFmtId="0" fontId="40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21" borderId="0" applyNumberFormat="0" applyBorder="0" applyAlignment="0" applyProtection="0"/>
    <xf numFmtId="0" fontId="42" fillId="5" borderId="0" applyNumberFormat="0" applyBorder="0" applyAlignment="0" applyProtection="0"/>
    <xf numFmtId="0" fontId="43" fillId="22" borderId="1" applyNumberFormat="0" applyAlignment="0" applyProtection="0"/>
    <xf numFmtId="0" fontId="44" fillId="23" borderId="2" applyNumberFormat="0" applyAlignment="0" applyProtection="0"/>
    <xf numFmtId="40" fontId="38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6" borderId="0" applyNumberFormat="0" applyBorder="0" applyAlignment="0" applyProtection="0"/>
    <xf numFmtId="0" fontId="47" fillId="0" borderId="3" applyNumberFormat="0" applyFill="0" applyAlignment="0" applyProtection="0"/>
    <xf numFmtId="0" fontId="48" fillId="0" borderId="4" applyNumberFormat="0" applyFill="0" applyAlignment="0" applyProtection="0"/>
    <xf numFmtId="0" fontId="49" fillId="0" borderId="5" applyNumberFormat="0" applyFill="0" applyAlignment="0" applyProtection="0"/>
    <xf numFmtId="0" fontId="49" fillId="0" borderId="0" applyNumberFormat="0" applyFill="0" applyBorder="0" applyAlignment="0" applyProtection="0"/>
    <xf numFmtId="0" fontId="50" fillId="9" borderId="1" applyNumberFormat="0" applyAlignment="0" applyProtection="0"/>
    <xf numFmtId="0" fontId="51" fillId="0" borderId="6" applyNumberFormat="0" applyFill="0" applyAlignment="0" applyProtection="0"/>
    <xf numFmtId="0" fontId="52" fillId="24" borderId="0" applyNumberFormat="0" applyBorder="0" applyAlignment="0" applyProtection="0"/>
    <xf numFmtId="169" fontId="39" fillId="0" borderId="0"/>
    <xf numFmtId="0" fontId="30" fillId="0" borderId="0"/>
    <xf numFmtId="0" fontId="30" fillId="0" borderId="0"/>
    <xf numFmtId="0" fontId="30" fillId="0" borderId="0"/>
    <xf numFmtId="0" fontId="14" fillId="0" borderId="0"/>
    <xf numFmtId="165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40" fillId="25" borderId="7" applyNumberFormat="0" applyFont="0" applyAlignment="0" applyProtection="0"/>
    <xf numFmtId="0" fontId="53" fillId="22" borderId="8" applyNumberFormat="0" applyAlignment="0" applyProtection="0"/>
    <xf numFmtId="9" fontId="38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55" fillId="0" borderId="0" applyNumberFormat="0" applyFill="0" applyBorder="0" applyAlignment="0" applyProtection="0"/>
    <xf numFmtId="165" fontId="22" fillId="0" borderId="0"/>
    <xf numFmtId="165" fontId="22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6" fillId="0" borderId="0" applyNumberFormat="0" applyFill="0" applyBorder="0" applyAlignment="0" applyProtection="0"/>
    <xf numFmtId="0" fontId="57" fillId="0" borderId="10" applyNumberFormat="0" applyFill="0" applyAlignment="0" applyProtection="0"/>
    <xf numFmtId="0" fontId="58" fillId="0" borderId="11" applyNumberFormat="0" applyFill="0" applyAlignment="0" applyProtection="0"/>
    <xf numFmtId="0" fontId="59" fillId="0" borderId="12" applyNumberFormat="0" applyFill="0" applyAlignment="0" applyProtection="0"/>
    <xf numFmtId="0" fontId="59" fillId="0" borderId="0" applyNumberFormat="0" applyFill="0" applyBorder="0" applyAlignment="0" applyProtection="0"/>
    <xf numFmtId="0" fontId="60" fillId="26" borderId="0" applyNumberFormat="0" applyBorder="0" applyAlignment="0" applyProtection="0"/>
    <xf numFmtId="0" fontId="61" fillId="27" borderId="0" applyNumberFormat="0" applyBorder="0" applyAlignment="0" applyProtection="0"/>
    <xf numFmtId="0" fontId="62" fillId="28" borderId="0" applyNumberFormat="0" applyBorder="0" applyAlignment="0" applyProtection="0"/>
    <xf numFmtId="0" fontId="63" fillId="29" borderId="13" applyNumberFormat="0" applyAlignment="0" applyProtection="0"/>
    <xf numFmtId="0" fontId="64" fillId="30" borderId="14" applyNumberFormat="0" applyAlignment="0" applyProtection="0"/>
    <xf numFmtId="0" fontId="65" fillId="30" borderId="13" applyNumberFormat="0" applyAlignment="0" applyProtection="0"/>
    <xf numFmtId="0" fontId="66" fillId="0" borderId="15" applyNumberFormat="0" applyFill="0" applyAlignment="0" applyProtection="0"/>
    <xf numFmtId="0" fontId="67" fillId="31" borderId="16" applyNumberFormat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3" fillId="0" borderId="18" applyNumberFormat="0" applyFill="0" applyAlignment="0" applyProtection="0"/>
    <xf numFmtId="0" fontId="70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70" fillId="36" borderId="0" applyNumberFormat="0" applyBorder="0" applyAlignment="0" applyProtection="0"/>
    <xf numFmtId="0" fontId="70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70" fillId="40" borderId="0" applyNumberFormat="0" applyBorder="0" applyAlignment="0" applyProtection="0"/>
    <xf numFmtId="0" fontId="70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70" fillId="44" borderId="0" applyNumberFormat="0" applyBorder="0" applyAlignment="0" applyProtection="0"/>
    <xf numFmtId="0" fontId="70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70" fillId="48" borderId="0" applyNumberFormat="0" applyBorder="0" applyAlignment="0" applyProtection="0"/>
    <xf numFmtId="0" fontId="70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70" fillId="52" borderId="0" applyNumberFormat="0" applyBorder="0" applyAlignment="0" applyProtection="0"/>
    <xf numFmtId="0" fontId="70" fillId="53" borderId="0" applyNumberFormat="0" applyBorder="0" applyAlignment="0" applyProtection="0"/>
    <xf numFmtId="0" fontId="9" fillId="54" borderId="0" applyNumberFormat="0" applyBorder="0" applyAlignment="0" applyProtection="0"/>
    <xf numFmtId="0" fontId="9" fillId="55" borderId="0" applyNumberFormat="0" applyBorder="0" applyAlignment="0" applyProtection="0"/>
    <xf numFmtId="0" fontId="70" fillId="56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1" fillId="0" borderId="10" applyNumberFormat="0" applyFill="0" applyAlignment="0" applyProtection="0"/>
    <xf numFmtId="170" fontId="40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9" fillId="32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1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72" fillId="0" borderId="0"/>
    <xf numFmtId="0" fontId="5" fillId="0" borderId="0"/>
    <xf numFmtId="165" fontId="22" fillId="0" borderId="0"/>
    <xf numFmtId="0" fontId="79" fillId="0" borderId="0"/>
    <xf numFmtId="43" fontId="79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30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38" fillId="0" borderId="0" applyFont="0" applyFill="0" applyBorder="0" applyAlignment="0" applyProtection="0"/>
    <xf numFmtId="173" fontId="22" fillId="0" borderId="0"/>
    <xf numFmtId="173" fontId="22" fillId="0" borderId="0"/>
    <xf numFmtId="0" fontId="1" fillId="0" borderId="0"/>
    <xf numFmtId="0" fontId="84" fillId="0" borderId="0" applyNumberFormat="0" applyFill="0" applyBorder="0" applyAlignment="0" applyProtection="0"/>
    <xf numFmtId="0" fontId="85" fillId="28" borderId="0" applyNumberFormat="0" applyBorder="0" applyAlignment="0" applyProtection="0"/>
    <xf numFmtId="0" fontId="1" fillId="32" borderId="17" applyNumberFormat="0" applyFont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</cellStyleXfs>
  <cellXfs count="75">
    <xf numFmtId="0" fontId="0" fillId="0" borderId="0" xfId="0"/>
    <xf numFmtId="0" fontId="0" fillId="2" borderId="0" xfId="0" applyFill="1"/>
    <xf numFmtId="0" fontId="28" fillId="2" borderId="0" xfId="1" applyFont="1" applyFill="1" applyAlignment="1">
      <alignment vertical="center"/>
    </xf>
    <xf numFmtId="0" fontId="24" fillId="2" borderId="0" xfId="1" applyFont="1" applyFill="1" applyAlignment="1">
      <alignment vertical="center"/>
    </xf>
    <xf numFmtId="0" fontId="26" fillId="2" borderId="0" xfId="1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0" fillId="2" borderId="0" xfId="0" applyFill="1" applyAlignment="1"/>
    <xf numFmtId="0" fontId="0" fillId="2" borderId="0" xfId="1" applyFont="1" applyFill="1"/>
    <xf numFmtId="0" fontId="17" fillId="2" borderId="0" xfId="1" applyFont="1" applyFill="1"/>
    <xf numFmtId="0" fontId="31" fillId="2" borderId="0" xfId="1" applyFont="1" applyFill="1" applyAlignment="1">
      <alignment vertical="center"/>
    </xf>
    <xf numFmtId="1" fontId="0" fillId="2" borderId="0" xfId="0" applyNumberFormat="1" applyFill="1"/>
    <xf numFmtId="0" fontId="20" fillId="2" borderId="0" xfId="1" applyFont="1" applyFill="1"/>
    <xf numFmtId="0" fontId="20" fillId="2" borderId="0" xfId="1" applyFont="1" applyFill="1" applyAlignment="1"/>
    <xf numFmtId="0" fontId="17" fillId="2" borderId="0" xfId="1" applyFont="1" applyFill="1" applyAlignment="1"/>
    <xf numFmtId="0" fontId="18" fillId="2" borderId="0" xfId="0" applyFont="1" applyFill="1" applyAlignment="1"/>
    <xf numFmtId="3" fontId="16" fillId="2" borderId="0" xfId="1" applyNumberFormat="1" applyFont="1" applyFill="1" applyAlignment="1">
      <alignment horizontal="right"/>
    </xf>
    <xf numFmtId="3" fontId="15" fillId="2" borderId="0" xfId="1" applyNumberFormat="1" applyFont="1" applyFill="1" applyAlignment="1">
      <alignment horizontal="right"/>
    </xf>
    <xf numFmtId="0" fontId="18" fillId="2" borderId="0" xfId="1" applyFont="1" applyFill="1" applyBorder="1" applyAlignment="1"/>
    <xf numFmtId="3" fontId="16" fillId="2" borderId="0" xfId="1" applyNumberFormat="1" applyFont="1" applyFill="1" applyAlignment="1"/>
    <xf numFmtId="167" fontId="16" fillId="2" borderId="0" xfId="4" applyNumberFormat="1" applyFont="1" applyFill="1" applyAlignment="1"/>
    <xf numFmtId="0" fontId="15" fillId="2" borderId="0" xfId="1" applyFont="1" applyFill="1" applyAlignment="1"/>
    <xf numFmtId="3" fontId="15" fillId="2" borderId="0" xfId="1" applyNumberFormat="1" applyFont="1" applyFill="1" applyAlignment="1"/>
    <xf numFmtId="167" fontId="15" fillId="2" borderId="0" xfId="4" applyNumberFormat="1" applyFont="1" applyFill="1" applyAlignment="1"/>
    <xf numFmtId="0" fontId="24" fillId="2" borderId="0" xfId="1" applyFont="1" applyFill="1" applyBorder="1" applyAlignment="1"/>
    <xf numFmtId="3" fontId="24" fillId="2" borderId="0" xfId="1" applyNumberFormat="1" applyFont="1" applyFill="1" applyAlignment="1">
      <alignment horizontal="right"/>
    </xf>
    <xf numFmtId="167" fontId="24" fillId="2" borderId="0" xfId="4" applyNumberFormat="1" applyFont="1" applyFill="1" applyAlignment="1">
      <alignment horizontal="right"/>
    </xf>
    <xf numFmtId="0" fontId="24" fillId="2" borderId="0" xfId="1" applyFont="1" applyFill="1" applyAlignment="1"/>
    <xf numFmtId="167" fontId="24" fillId="2" borderId="0" xfId="4" applyNumberFormat="1" applyFont="1" applyFill="1" applyAlignment="1"/>
    <xf numFmtId="0" fontId="0" fillId="2" borderId="0" xfId="1" applyFont="1" applyFill="1" applyAlignment="1"/>
    <xf numFmtId="3" fontId="0" fillId="2" borderId="0" xfId="0" applyNumberFormat="1" applyFill="1" applyAlignment="1"/>
    <xf numFmtId="0" fontId="32" fillId="2" borderId="0" xfId="0" applyFont="1" applyFill="1"/>
    <xf numFmtId="0" fontId="25" fillId="2" borderId="0" xfId="1" applyFont="1" applyFill="1" applyBorder="1" applyAlignment="1">
      <alignment vertical="center"/>
    </xf>
    <xf numFmtId="0" fontId="74" fillId="3" borderId="0" xfId="1" applyFont="1" applyFill="1" applyAlignment="1">
      <alignment vertical="center"/>
    </xf>
    <xf numFmtId="0" fontId="73" fillId="2" borderId="0" xfId="1" applyFont="1" applyFill="1" applyBorder="1" applyAlignment="1">
      <alignment vertical="center"/>
    </xf>
    <xf numFmtId="0" fontId="75" fillId="2" borderId="0" xfId="1" applyFont="1" applyFill="1" applyBorder="1" applyAlignment="1">
      <alignment vertical="center"/>
    </xf>
    <xf numFmtId="0" fontId="74" fillId="2" borderId="0" xfId="1" applyFont="1" applyFill="1" applyAlignment="1">
      <alignment vertical="center"/>
    </xf>
    <xf numFmtId="0" fontId="74" fillId="2" borderId="0" xfId="0" applyFont="1" applyFill="1" applyAlignment="1">
      <alignment vertical="center"/>
    </xf>
    <xf numFmtId="0" fontId="76" fillId="2" borderId="0" xfId="0" applyFont="1" applyFill="1" applyAlignment="1"/>
    <xf numFmtId="3" fontId="74" fillId="3" borderId="0" xfId="1" applyNumberFormat="1" applyFont="1" applyFill="1" applyAlignment="1">
      <alignment horizontal="right" vertical="center"/>
    </xf>
    <xf numFmtId="0" fontId="77" fillId="2" borderId="0" xfId="1" applyFont="1" applyFill="1" applyBorder="1" applyAlignment="1">
      <alignment vertical="center"/>
    </xf>
    <xf numFmtId="0" fontId="74" fillId="2" borderId="0" xfId="1" applyFont="1" applyFill="1" applyBorder="1" applyAlignment="1">
      <alignment vertical="center"/>
    </xf>
    <xf numFmtId="3" fontId="74" fillId="2" borderId="0" xfId="1" applyNumberFormat="1" applyFont="1" applyFill="1" applyAlignment="1">
      <alignment horizontal="right" vertical="center"/>
    </xf>
    <xf numFmtId="0" fontId="77" fillId="2" borderId="0" xfId="1" applyFont="1" applyFill="1" applyAlignment="1">
      <alignment vertical="center"/>
    </xf>
    <xf numFmtId="0" fontId="77" fillId="3" borderId="0" xfId="1" applyFont="1" applyFill="1" applyBorder="1" applyAlignment="1">
      <alignment vertical="center"/>
    </xf>
    <xf numFmtId="0" fontId="74" fillId="3" borderId="0" xfId="1" applyFont="1" applyFill="1" applyBorder="1" applyAlignment="1">
      <alignment vertical="center"/>
    </xf>
    <xf numFmtId="0" fontId="76" fillId="2" borderId="0" xfId="1" applyFont="1" applyFill="1" applyAlignment="1"/>
    <xf numFmtId="0" fontId="34" fillId="2" borderId="0" xfId="1" applyFont="1" applyFill="1" applyBorder="1" applyAlignment="1">
      <alignment vertical="center"/>
    </xf>
    <xf numFmtId="0" fontId="34" fillId="2" borderId="0" xfId="0" applyFont="1" applyFill="1" applyAlignment="1">
      <alignment vertical="center"/>
    </xf>
    <xf numFmtId="0" fontId="77" fillId="2" borderId="0" xfId="1" applyFont="1" applyFill="1" applyBorder="1" applyAlignment="1">
      <alignment horizontal="left" vertical="center" indent="1"/>
    </xf>
    <xf numFmtId="0" fontId="77" fillId="3" borderId="0" xfId="1" applyFont="1" applyFill="1" applyAlignment="1">
      <alignment horizontal="left" vertical="center" indent="1"/>
    </xf>
    <xf numFmtId="0" fontId="77" fillId="2" borderId="0" xfId="1" applyFont="1" applyFill="1" applyAlignment="1">
      <alignment horizontal="left" vertical="center" indent="1"/>
    </xf>
    <xf numFmtId="0" fontId="82" fillId="2" borderId="0" xfId="1" applyFont="1" applyFill="1" applyAlignment="1">
      <alignment horizontal="left" vertical="center" indent="1"/>
    </xf>
    <xf numFmtId="0" fontId="83" fillId="2" borderId="0" xfId="1" applyFont="1" applyFill="1" applyAlignment="1">
      <alignment vertical="center"/>
    </xf>
    <xf numFmtId="3" fontId="83" fillId="2" borderId="0" xfId="1" applyNumberFormat="1" applyFont="1" applyFill="1" applyAlignment="1">
      <alignment horizontal="right" vertical="center"/>
    </xf>
    <xf numFmtId="0" fontId="27" fillId="2" borderId="0" xfId="0" applyFont="1" applyFill="1" applyAlignment="1"/>
    <xf numFmtId="0" fontId="82" fillId="57" borderId="0" xfId="1" applyFont="1" applyFill="1" applyAlignment="1">
      <alignment horizontal="left" vertical="center" indent="1"/>
    </xf>
    <xf numFmtId="0" fontId="83" fillId="57" borderId="0" xfId="1" applyFont="1" applyFill="1" applyAlignment="1">
      <alignment vertical="center"/>
    </xf>
    <xf numFmtId="3" fontId="83" fillId="57" borderId="0" xfId="1" applyNumberFormat="1" applyFont="1" applyFill="1" applyAlignment="1">
      <alignment horizontal="right" vertical="center"/>
    </xf>
    <xf numFmtId="0" fontId="81" fillId="2" borderId="0" xfId="1" applyFont="1" applyFill="1" applyAlignment="1"/>
    <xf numFmtId="0" fontId="73" fillId="59" borderId="0" xfId="1" applyFont="1" applyFill="1" applyAlignment="1">
      <alignment vertical="center"/>
    </xf>
    <xf numFmtId="0" fontId="74" fillId="59" borderId="0" xfId="1" applyFont="1" applyFill="1" applyAlignment="1">
      <alignment vertical="center"/>
    </xf>
    <xf numFmtId="0" fontId="75" fillId="59" borderId="0" xfId="1" applyFont="1" applyFill="1" applyAlignment="1">
      <alignment vertical="center"/>
    </xf>
    <xf numFmtId="0" fontId="77" fillId="59" borderId="0" xfId="1" applyFont="1" applyFill="1" applyAlignment="1">
      <alignment horizontal="left" vertical="center" indent="1"/>
    </xf>
    <xf numFmtId="3" fontId="74" fillId="59" borderId="0" xfId="1" applyNumberFormat="1" applyFont="1" applyFill="1" applyAlignment="1">
      <alignment horizontal="right" vertical="center"/>
    </xf>
    <xf numFmtId="0" fontId="0" fillId="59" borderId="0" xfId="0" applyFill="1" applyAlignment="1"/>
    <xf numFmtId="0" fontId="78" fillId="59" borderId="0" xfId="1" applyFont="1" applyFill="1" applyAlignment="1">
      <alignment horizontal="left" vertical="center" indent="1"/>
    </xf>
    <xf numFmtId="0" fontId="76" fillId="59" borderId="0" xfId="0" applyFont="1" applyFill="1" applyAlignment="1"/>
    <xf numFmtId="0" fontId="0" fillId="59" borderId="0" xfId="1" applyFont="1" applyFill="1" applyAlignment="1"/>
    <xf numFmtId="0" fontId="78" fillId="59" borderId="0" xfId="1" applyFont="1" applyFill="1" applyBorder="1" applyAlignment="1">
      <alignment horizontal="left" vertical="center" indent="1"/>
    </xf>
    <xf numFmtId="0" fontId="76" fillId="59" borderId="0" xfId="1" applyFont="1" applyFill="1" applyAlignment="1"/>
    <xf numFmtId="0" fontId="77" fillId="59" borderId="0" xfId="1" applyFont="1" applyFill="1" applyAlignment="1">
      <alignment vertical="center"/>
    </xf>
    <xf numFmtId="174" fontId="29" fillId="2" borderId="0" xfId="12" applyNumberFormat="1" applyFont="1" applyFill="1" applyBorder="1" applyAlignment="1">
      <alignment horizontal="right" vertical="center"/>
    </xf>
    <xf numFmtId="174" fontId="0" fillId="2" borderId="0" xfId="1" applyNumberFormat="1" applyFont="1" applyFill="1" applyAlignment="1"/>
    <xf numFmtId="167" fontId="0" fillId="2" borderId="0" xfId="4" applyNumberFormat="1" applyFont="1" applyFill="1" applyAlignment="1"/>
    <xf numFmtId="0" fontId="31" fillId="58" borderId="0" xfId="1" applyFont="1" applyFill="1" applyAlignment="1">
      <alignment horizontal="left" vertical="center"/>
    </xf>
  </cellXfs>
  <cellStyles count="876">
    <cellStyle name="1" xfId="1"/>
    <cellStyle name="1 2" xfId="14"/>
    <cellStyle name="1 3" xfId="780"/>
    <cellStyle name="1 4" xfId="795"/>
    <cellStyle name="1 5" xfId="798"/>
    <cellStyle name="1_Indicators 2007" xfId="2"/>
    <cellStyle name="1_Indicators2007" xfId="3"/>
    <cellStyle name="1_Indicators2007 2" xfId="789"/>
    <cellStyle name="20% - Accent1" xfId="745" builtinId="30" customBuiltin="1"/>
    <cellStyle name="20% - Accent1 2" xfId="666"/>
    <cellStyle name="20% - Accent1 3" xfId="858"/>
    <cellStyle name="20% - Accent2" xfId="749" builtinId="34" customBuiltin="1"/>
    <cellStyle name="20% - Accent2 2" xfId="667"/>
    <cellStyle name="20% - Accent2 3" xfId="861"/>
    <cellStyle name="20% - Accent3" xfId="753" builtinId="38" customBuiltin="1"/>
    <cellStyle name="20% - Accent3 2" xfId="668"/>
    <cellStyle name="20% - Accent3 3" xfId="864"/>
    <cellStyle name="20% - Accent4" xfId="757" builtinId="42" customBuiltin="1"/>
    <cellStyle name="20% - Accent4 2" xfId="669"/>
    <cellStyle name="20% - Accent4 3" xfId="867"/>
    <cellStyle name="20% - Accent5" xfId="761" builtinId="46" customBuiltin="1"/>
    <cellStyle name="20% - Accent5 2" xfId="670"/>
    <cellStyle name="20% - Accent5 3" xfId="870"/>
    <cellStyle name="20% - Accent6" xfId="765" builtinId="50" customBuiltin="1"/>
    <cellStyle name="20% - Accent6 2" xfId="671"/>
    <cellStyle name="20% - Accent6 3" xfId="873"/>
    <cellStyle name="40% - Accent1" xfId="746" builtinId="31" customBuiltin="1"/>
    <cellStyle name="40% - Accent1 2" xfId="672"/>
    <cellStyle name="40% - Accent1 3" xfId="859"/>
    <cellStyle name="40% - Accent2" xfId="750" builtinId="35" customBuiltin="1"/>
    <cellStyle name="40% - Accent2 2" xfId="673"/>
    <cellStyle name="40% - Accent2 3" xfId="862"/>
    <cellStyle name="40% - Accent3" xfId="754" builtinId="39" customBuiltin="1"/>
    <cellStyle name="40% - Accent3 2" xfId="674"/>
    <cellStyle name="40% - Accent3 3" xfId="865"/>
    <cellStyle name="40% - Accent4" xfId="758" builtinId="43" customBuiltin="1"/>
    <cellStyle name="40% - Accent4 2" xfId="675"/>
    <cellStyle name="40% - Accent4 3" xfId="868"/>
    <cellStyle name="40% - Accent5" xfId="762" builtinId="47" customBuiltin="1"/>
    <cellStyle name="40% - Accent5 2" xfId="676"/>
    <cellStyle name="40% - Accent5 3" xfId="871"/>
    <cellStyle name="40% - Accent6" xfId="766" builtinId="51" customBuiltin="1"/>
    <cellStyle name="40% - Accent6 2" xfId="677"/>
    <cellStyle name="40% - Accent6 3" xfId="874"/>
    <cellStyle name="60% - Accent1" xfId="747" builtinId="32" customBuiltin="1"/>
    <cellStyle name="60% - Accent1 2" xfId="678"/>
    <cellStyle name="60% - Accent1 3" xfId="860"/>
    <cellStyle name="60% - Accent2" xfId="751" builtinId="36" customBuiltin="1"/>
    <cellStyle name="60% - Accent2 2" xfId="679"/>
    <cellStyle name="60% - Accent2 3" xfId="863"/>
    <cellStyle name="60% - Accent3" xfId="755" builtinId="40" customBuiltin="1"/>
    <cellStyle name="60% - Accent3 2" xfId="680"/>
    <cellStyle name="60% - Accent3 3" xfId="866"/>
    <cellStyle name="60% - Accent4" xfId="759" builtinId="44" customBuiltin="1"/>
    <cellStyle name="60% - Accent4 2" xfId="681"/>
    <cellStyle name="60% - Accent4 3" xfId="869"/>
    <cellStyle name="60% - Accent5" xfId="763" builtinId="48" customBuiltin="1"/>
    <cellStyle name="60% - Accent5 2" xfId="682"/>
    <cellStyle name="60% - Accent5 3" xfId="872"/>
    <cellStyle name="60% - Accent6" xfId="767" builtinId="52" customBuiltin="1"/>
    <cellStyle name="60% - Accent6 2" xfId="683"/>
    <cellStyle name="60% - Accent6 3" xfId="875"/>
    <cellStyle name="Accent1" xfId="744" builtinId="29" customBuiltin="1"/>
    <cellStyle name="Accent1 2" xfId="684"/>
    <cellStyle name="Accent2" xfId="748" builtinId="33" customBuiltin="1"/>
    <cellStyle name="Accent2 2" xfId="685"/>
    <cellStyle name="Accent3" xfId="752" builtinId="37" customBuiltin="1"/>
    <cellStyle name="Accent3 2" xfId="686"/>
    <cellStyle name="Accent4" xfId="756" builtinId="41" customBuiltin="1"/>
    <cellStyle name="Accent4 2" xfId="687"/>
    <cellStyle name="Accent5" xfId="760" builtinId="45" customBuiltin="1"/>
    <cellStyle name="Accent5 2" xfId="688"/>
    <cellStyle name="Accent6" xfId="764" builtinId="49" customBuiltin="1"/>
    <cellStyle name="Accent6 2" xfId="689"/>
    <cellStyle name="Bad" xfId="734" builtinId="27" customBuiltin="1"/>
    <cellStyle name="Bad 2" xfId="690"/>
    <cellStyle name="Calculation" xfId="738" builtinId="22" customBuiltin="1"/>
    <cellStyle name="Calculation 2" xfId="691"/>
    <cellStyle name="Check Cell" xfId="740" builtinId="23" customBuiltin="1"/>
    <cellStyle name="Check Cell 2" xfId="692"/>
    <cellStyle name="Comma" xfId="4" builtinId="3"/>
    <cellStyle name="Comma 10" xfId="791"/>
    <cellStyle name="Comma 11" xfId="799"/>
    <cellStyle name="Comma 2" xfId="5"/>
    <cellStyle name="Comma 2 2" xfId="664"/>
    <cellStyle name="Comma 2 2 2" xfId="801"/>
    <cellStyle name="Comma 2 3" xfId="774"/>
    <cellStyle name="Comma 2 4" xfId="781"/>
    <cellStyle name="Comma 2 5" xfId="800"/>
    <cellStyle name="Comma 2 6" xfId="851"/>
    <cellStyle name="Comma 3" xfId="6"/>
    <cellStyle name="Comma 3 2" xfId="693"/>
    <cellStyle name="Comma 3 3" xfId="802"/>
    <cellStyle name="Comma 4" xfId="12"/>
    <cellStyle name="Comma 4 2" xfId="803"/>
    <cellStyle name="Comma 5" xfId="16"/>
    <cellStyle name="Comma 5 2" xfId="804"/>
    <cellStyle name="Comma 6" xfId="19"/>
    <cellStyle name="Comma 6 2" xfId="805"/>
    <cellStyle name="Comma 7" xfId="724"/>
    <cellStyle name="Comma 8" xfId="769"/>
    <cellStyle name="Comma 9" xfId="788"/>
    <cellStyle name="Explanatory Text" xfId="742" builtinId="53" customBuiltin="1"/>
    <cellStyle name="Explanatory Text 2" xfId="694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Good" xfId="733" builtinId="26" customBuiltin="1"/>
    <cellStyle name="Good 2" xfId="695"/>
    <cellStyle name="Heading 1" xfId="729" builtinId="16" customBuiltin="1"/>
    <cellStyle name="Heading 1 2" xfId="696"/>
    <cellStyle name="Heading 1 2 2" xfId="773"/>
    <cellStyle name="Heading 2" xfId="730" builtinId="17" customBuiltin="1"/>
    <cellStyle name="Heading 2 2" xfId="697"/>
    <cellStyle name="Heading 3" xfId="731" builtinId="18" customBuiltin="1"/>
    <cellStyle name="Heading 3 2" xfId="698"/>
    <cellStyle name="Heading 4" xfId="732" builtinId="19" customBuiltin="1"/>
    <cellStyle name="Heading 4 2" xfId="699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Input" xfId="736" builtinId="20" customBuiltin="1"/>
    <cellStyle name="Input 2" xfId="700"/>
    <cellStyle name="Linked Cell" xfId="739" builtinId="24" customBuiltin="1"/>
    <cellStyle name="Linked Cell 2" xfId="701"/>
    <cellStyle name="Neutral" xfId="735" builtinId="28" customBuiltin="1"/>
    <cellStyle name="Neutral 2" xfId="702"/>
    <cellStyle name="Neutral 3" xfId="856"/>
    <cellStyle name="Normal" xfId="0" builtinId="0"/>
    <cellStyle name="Normal - Style1" xfId="703"/>
    <cellStyle name="Normal 10" xfId="704"/>
    <cellStyle name="Normal 10 2" xfId="806"/>
    <cellStyle name="Normal 11" xfId="705"/>
    <cellStyle name="Normal 12" xfId="706"/>
    <cellStyle name="Normal 12 2" xfId="807"/>
    <cellStyle name="Normal 13" xfId="665"/>
    <cellStyle name="Normal 13 2" xfId="808"/>
    <cellStyle name="Normal 14" xfId="721"/>
    <cellStyle name="Normal 14 2" xfId="809"/>
    <cellStyle name="Normal 15" xfId="722"/>
    <cellStyle name="Normal 15 2" xfId="810"/>
    <cellStyle name="Normal 16" xfId="661"/>
    <cellStyle name="Normal 16 2" xfId="811"/>
    <cellStyle name="Normal 17" xfId="723"/>
    <cellStyle name="Normal 17 2" xfId="812"/>
    <cellStyle name="Normal 18" xfId="725"/>
    <cellStyle name="Normal 18 2" xfId="813"/>
    <cellStyle name="Normal 19" xfId="726"/>
    <cellStyle name="Normal 19 2" xfId="814"/>
    <cellStyle name="Normal 2" xfId="7"/>
    <cellStyle name="Normal 2 2" xfId="17"/>
    <cellStyle name="Normal 2 2 2" xfId="8"/>
    <cellStyle name="Normal 2 2 3" xfId="707"/>
    <cellStyle name="Normal 2 2 4" xfId="777"/>
    <cellStyle name="Normal 2 2 5" xfId="815"/>
    <cellStyle name="Normal 2 3" xfId="20"/>
    <cellStyle name="Normal 2 3 2" xfId="816"/>
    <cellStyle name="Normal 2 4" xfId="662"/>
    <cellStyle name="Normal 2 5" xfId="793"/>
    <cellStyle name="Normal 20" xfId="727"/>
    <cellStyle name="Normal 20 2" xfId="817"/>
    <cellStyle name="Normal 21" xfId="768"/>
    <cellStyle name="Normal 21 2" xfId="818"/>
    <cellStyle name="Normal 22" xfId="770"/>
    <cellStyle name="Normal 22 2" xfId="819"/>
    <cellStyle name="Normal 23" xfId="771"/>
    <cellStyle name="Normal 23 2" xfId="820"/>
    <cellStyle name="Normal 24" xfId="772"/>
    <cellStyle name="Normal 24 2" xfId="821"/>
    <cellStyle name="Normal 25" xfId="778"/>
    <cellStyle name="Normal 25 2" xfId="822"/>
    <cellStyle name="Normal 26" xfId="779"/>
    <cellStyle name="Normal 26 2" xfId="823"/>
    <cellStyle name="Normal 27" xfId="782"/>
    <cellStyle name="Normal 27 2" xfId="824"/>
    <cellStyle name="Normal 28" xfId="783"/>
    <cellStyle name="Normal 28 2" xfId="825"/>
    <cellStyle name="Normal 29" xfId="784"/>
    <cellStyle name="Normal 29 2" xfId="826"/>
    <cellStyle name="Normal 3" xfId="9"/>
    <cellStyle name="Normal 3 2" xfId="708"/>
    <cellStyle name="Normal 3 2 2" xfId="828"/>
    <cellStyle name="Normal 3 3" xfId="796"/>
    <cellStyle name="Normal 3 3 2" xfId="829"/>
    <cellStyle name="Normal 3 4" xfId="827"/>
    <cellStyle name="Normal 3_agri planning 2009 year book(final)" xfId="853"/>
    <cellStyle name="Normal 30" xfId="785"/>
    <cellStyle name="Normal 30 2" xfId="830"/>
    <cellStyle name="Normal 31" xfId="787"/>
    <cellStyle name="Normal 31 2" xfId="831"/>
    <cellStyle name="Normal 32" xfId="790"/>
    <cellStyle name="Normal 32 2" xfId="832"/>
    <cellStyle name="Normal 33" xfId="794"/>
    <cellStyle name="Normal 33 2" xfId="833"/>
    <cellStyle name="Normal 34" xfId="834"/>
    <cellStyle name="Normal 35" xfId="835"/>
    <cellStyle name="Normal 36" xfId="836"/>
    <cellStyle name="Normal 37" xfId="837"/>
    <cellStyle name="Normal 38" xfId="838"/>
    <cellStyle name="Normal 39" xfId="839"/>
    <cellStyle name="Normal 4" xfId="10"/>
    <cellStyle name="Normal 4 2" xfId="709"/>
    <cellStyle name="Normal 4 2 2" xfId="840"/>
    <cellStyle name="Normal 4 3" xfId="797"/>
    <cellStyle name="Normal 4_agri planning 2009 year book(final)" xfId="852"/>
    <cellStyle name="Normal 40" xfId="841"/>
    <cellStyle name="Normal 41" xfId="842"/>
    <cellStyle name="Normal 42" xfId="843"/>
    <cellStyle name="Normal 43" xfId="844"/>
    <cellStyle name="Normal 44" xfId="845"/>
    <cellStyle name="Normal 45" xfId="847"/>
    <cellStyle name="Normal 46" xfId="848"/>
    <cellStyle name="Normal 47" xfId="849"/>
    <cellStyle name="Normal 48" xfId="850"/>
    <cellStyle name="Normal 49" xfId="854"/>
    <cellStyle name="Normal 5" xfId="11"/>
    <cellStyle name="Normal 5 2" xfId="710"/>
    <cellStyle name="Normal 6" xfId="13"/>
    <cellStyle name="Normal 6 2" xfId="711"/>
    <cellStyle name="Normal 7" xfId="15"/>
    <cellStyle name="Normal 7 2" xfId="712"/>
    <cellStyle name="Normal 8" xfId="18"/>
    <cellStyle name="Normal 8 2" xfId="713"/>
    <cellStyle name="Normal 9" xfId="663"/>
    <cellStyle name="Normal 9 2" xfId="714"/>
    <cellStyle name="Normal 9 3" xfId="846"/>
    <cellStyle name="Note 2" xfId="715"/>
    <cellStyle name="Note 3" xfId="776"/>
    <cellStyle name="Note 4" xfId="857"/>
    <cellStyle name="Output" xfId="737" builtinId="21" customBuiltin="1"/>
    <cellStyle name="Output 2" xfId="716"/>
    <cellStyle name="Percent 2" xfId="717"/>
    <cellStyle name="Percent 2 2" xfId="775"/>
    <cellStyle name="Percent 3" xfId="786"/>
    <cellStyle name="Percent 4" xfId="792"/>
    <cellStyle name="Title" xfId="728" builtinId="15" customBuiltin="1"/>
    <cellStyle name="Title 2" xfId="718"/>
    <cellStyle name="Title 3" xfId="855"/>
    <cellStyle name="Total" xfId="743" builtinId="25" customBuiltin="1"/>
    <cellStyle name="Total 2" xfId="719"/>
    <cellStyle name="Warning Text" xfId="741" builtinId="11" customBuiltin="1"/>
    <cellStyle name="Warning Text 2" xfId="72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E6F00"/>
      <color rgb="FFFFE7B7"/>
      <color rgb="FFFFC757"/>
      <color rgb="FFCC66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436797385260652E-2"/>
          <c:y val="0.16103368894782444"/>
          <c:w val="0.88506076586433835"/>
          <c:h val="0.758977491600645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'11Transp'!$A$9</c:f>
              <c:strCache>
                <c:ptCount val="1"/>
                <c:pt idx="0">
                  <c:v>Passenger Movement of International Flights ('000)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</c:spPr>
          <c:invertIfNegative val="0"/>
          <c:cat>
            <c:numRef>
              <c:f>'11Transp'!$E$3:$P$3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'11Transp'!$E$9:$P$9</c:f>
              <c:numCache>
                <c:formatCode>#,##0</c:formatCode>
                <c:ptCount val="12"/>
                <c:pt idx="0">
                  <c:v>1572.345</c:v>
                </c:pt>
                <c:pt idx="1">
                  <c:v>1782.481</c:v>
                </c:pt>
                <c:pt idx="2">
                  <c:v>1774.577</c:v>
                </c:pt>
                <c:pt idx="3">
                  <c:v>1792.4929999999999</c:v>
                </c:pt>
                <c:pt idx="4">
                  <c:v>2173.6</c:v>
                </c:pt>
                <c:pt idx="5">
                  <c:v>2409.1179999999999</c:v>
                </c:pt>
                <c:pt idx="6">
                  <c:v>2424.9180000000001</c:v>
                </c:pt>
                <c:pt idx="7">
                  <c:v>2863.806</c:v>
                </c:pt>
                <c:pt idx="8">
                  <c:v>3133.0369999999998</c:v>
                </c:pt>
                <c:pt idx="9">
                  <c:v>3174.0169999999998</c:v>
                </c:pt>
                <c:pt idx="10">
                  <c:v>3957.0704000000001</c:v>
                </c:pt>
                <c:pt idx="11">
                  <c:v>3557.2750000000001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A-43D0-BF62-EDBC1E291441}"/>
            </c:ext>
          </c:extLst>
        </c:ser>
        <c:ser>
          <c:idx val="1"/>
          <c:order val="1"/>
          <c:tx>
            <c:strRef>
              <c:f>'11Transp'!$A$10</c:f>
              <c:strCache>
                <c:ptCount val="1"/>
                <c:pt idx="0">
                  <c:v>Passenger Movement of International Flights</c:v>
                </c:pt>
              </c:strCache>
            </c:strRef>
          </c:tx>
          <c:invertIfNegative val="0"/>
          <c:cat>
            <c:numRef>
              <c:f>'11Transp'!$E$3:$P$3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'11Transp'!$B$10:$O$10</c:f>
            </c:numRef>
          </c:val>
          <c:extLst>
            <c:ext xmlns:c16="http://schemas.microsoft.com/office/drawing/2014/chart" uri="{C3380CC4-5D6E-409C-BE32-E72D297353CC}">
              <c16:uniqueId val="{00000001-CFBA-43D0-BF62-EDBC1E291441}"/>
            </c:ext>
          </c:extLst>
        </c:ser>
        <c:ser>
          <c:idx val="2"/>
          <c:order val="2"/>
          <c:tx>
            <c:strRef>
              <c:f>'11Transp'!$A$11</c:f>
              <c:strCache>
                <c:ptCount val="1"/>
              </c:strCache>
            </c:strRef>
          </c:tx>
          <c:invertIfNegative val="0"/>
          <c:cat>
            <c:numRef>
              <c:f>'11Transp'!$E$3:$P$3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'11Transp'!$B$11:$O$11</c:f>
            </c:numRef>
          </c:val>
          <c:extLst>
            <c:ext xmlns:c16="http://schemas.microsoft.com/office/drawing/2014/chart" uri="{C3380CC4-5D6E-409C-BE32-E72D297353CC}">
              <c16:uniqueId val="{00000002-CFBA-43D0-BF62-EDBC1E291441}"/>
            </c:ext>
          </c:extLst>
        </c:ser>
        <c:ser>
          <c:idx val="3"/>
          <c:order val="3"/>
          <c:tx>
            <c:strRef>
              <c:f>'11Transp'!$A$12</c:f>
              <c:strCache>
                <c:ptCount val="1"/>
              </c:strCache>
            </c:strRef>
          </c:tx>
          <c:invertIfNegative val="0"/>
          <c:cat>
            <c:numRef>
              <c:f>'11Transp'!$E$3:$P$3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'11Transp'!$B$12:$O$12</c:f>
            </c:numRef>
          </c:val>
          <c:extLst>
            <c:ext xmlns:c16="http://schemas.microsoft.com/office/drawing/2014/chart" uri="{C3380CC4-5D6E-409C-BE32-E72D297353CC}">
              <c16:uniqueId val="{00000003-CFBA-43D0-BF62-EDBC1E291441}"/>
            </c:ext>
          </c:extLst>
        </c:ser>
        <c:ser>
          <c:idx val="4"/>
          <c:order val="4"/>
          <c:tx>
            <c:strRef>
              <c:f>'11Transp'!$A$13</c:f>
              <c:strCache>
                <c:ptCount val="1"/>
              </c:strCache>
            </c:strRef>
          </c:tx>
          <c:spPr>
            <a:solidFill>
              <a:srgbClr val="DE6F00"/>
            </a:solidFill>
          </c:spPr>
          <c:invertIfNegative val="0"/>
          <c:cat>
            <c:numRef>
              <c:f>'11Transp'!$E$3:$P$3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'11Transp'!$B$13:$O$13</c:f>
            </c:numRef>
          </c:val>
          <c:extLst>
            <c:ext xmlns:c16="http://schemas.microsoft.com/office/drawing/2014/chart" uri="{C3380CC4-5D6E-409C-BE32-E72D297353CC}">
              <c16:uniqueId val="{00000004-CFBA-43D0-BF62-EDBC1E291441}"/>
            </c:ext>
          </c:extLst>
        </c:ser>
        <c:ser>
          <c:idx val="5"/>
          <c:order val="5"/>
          <c:tx>
            <c:strRef>
              <c:f>'11Transp'!$A$14</c:f>
              <c:strCache>
                <c:ptCount val="1"/>
                <c:pt idx="0">
                  <c:v>Passenger Movement of Domestic Flights ('000)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'11Transp'!$E$3:$P$3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'11Transp'!$E$14:$P$14</c:f>
              <c:numCache>
                <c:formatCode>#,##0</c:formatCode>
                <c:ptCount val="12"/>
                <c:pt idx="0">
                  <c:v>716.20600000000002</c:v>
                </c:pt>
                <c:pt idx="1">
                  <c:v>809.59500000000003</c:v>
                </c:pt>
                <c:pt idx="2">
                  <c:v>845.35699999999997</c:v>
                </c:pt>
                <c:pt idx="3">
                  <c:v>823.11699999999996</c:v>
                </c:pt>
                <c:pt idx="4">
                  <c:v>1041.204</c:v>
                </c:pt>
                <c:pt idx="5">
                  <c:v>1144.7850000000001</c:v>
                </c:pt>
                <c:pt idx="6">
                  <c:v>796.51900000000001</c:v>
                </c:pt>
                <c:pt idx="7">
                  <c:v>1366.8330000000001</c:v>
                </c:pt>
                <c:pt idx="8">
                  <c:v>1343.6489999999999</c:v>
                </c:pt>
                <c:pt idx="9">
                  <c:v>1642.6379999999999</c:v>
                </c:pt>
                <c:pt idx="10">
                  <c:v>1820.856</c:v>
                </c:pt>
                <c:pt idx="11">
                  <c:v>2025.68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BA-43D0-BF62-EDBC1E291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355648"/>
        <c:axId val="97357184"/>
      </c:barChart>
      <c:catAx>
        <c:axId val="9735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57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735718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5564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8787638422093427E-2"/>
          <c:y val="0.25671887788220027"/>
          <c:w val="0.55709198813056382"/>
          <c:h val="0.14334020075447559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78" r="0.75000000000000078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30870712401055"/>
          <c:y val="0.15808236060549199"/>
          <c:w val="0.84948882142744209"/>
          <c:h val="0.750228016358052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'11Transp'!$B$25</c:f>
              <c:strCache>
                <c:ptCount val="1"/>
                <c:pt idx="0">
                  <c:v>Number of Motor Cars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'11Transp'!$I$3:$O$3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'11Transp'!$I$25:$O$25</c:f>
              <c:numCache>
                <c:formatCode>#,##0</c:formatCode>
                <c:ptCount val="7"/>
                <c:pt idx="0">
                  <c:v>3348</c:v>
                </c:pt>
                <c:pt idx="1">
                  <c:v>3510</c:v>
                </c:pt>
                <c:pt idx="2">
                  <c:v>3708</c:v>
                </c:pt>
                <c:pt idx="3">
                  <c:v>3994</c:v>
                </c:pt>
                <c:pt idx="4">
                  <c:v>4495</c:v>
                </c:pt>
                <c:pt idx="5">
                  <c:v>5269</c:v>
                </c:pt>
                <c:pt idx="6">
                  <c:v>5754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4-4668-BAC1-E6B431D0786B}"/>
            </c:ext>
          </c:extLst>
        </c:ser>
        <c:ser>
          <c:idx val="1"/>
          <c:order val="1"/>
          <c:tx>
            <c:strRef>
              <c:f>'11Transp'!$B$26</c:f>
              <c:strCache>
                <c:ptCount val="1"/>
                <c:pt idx="0">
                  <c:v>Number of Motor Cycles/Auto Cycles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'11Transp'!$I$3:$O$3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'11Transp'!$I$26:$O$26</c:f>
              <c:numCache>
                <c:formatCode>#,##0</c:formatCode>
                <c:ptCount val="7"/>
                <c:pt idx="0">
                  <c:v>38860</c:v>
                </c:pt>
                <c:pt idx="1">
                  <c:v>42570</c:v>
                </c:pt>
                <c:pt idx="2">
                  <c:v>46409</c:v>
                </c:pt>
                <c:pt idx="3">
                  <c:v>50778</c:v>
                </c:pt>
                <c:pt idx="4">
                  <c:v>56503</c:v>
                </c:pt>
                <c:pt idx="5">
                  <c:v>66527</c:v>
                </c:pt>
                <c:pt idx="6">
                  <c:v>74354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74-4668-BAC1-E6B431D07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395840"/>
        <c:axId val="97397376"/>
      </c:barChart>
      <c:catAx>
        <c:axId val="97395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97376"/>
        <c:crosses val="autoZero"/>
        <c:auto val="1"/>
        <c:lblAlgn val="ctr"/>
        <c:lblOffset val="100"/>
        <c:noMultiLvlLbl val="0"/>
      </c:catAx>
      <c:valAx>
        <c:axId val="9739737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9584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2849659091046003"/>
          <c:y val="0.27440823915509532"/>
          <c:w val="0.50821473709829201"/>
          <c:h val="5.9936514303868725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78" r="0.75000000000000078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847725</xdr:colOff>
      <xdr:row>39</xdr:row>
      <xdr:rowOff>95250</xdr:rowOff>
    </xdr:from>
    <xdr:to>
      <xdr:col>14</xdr:col>
      <xdr:colOff>733425</xdr:colOff>
      <xdr:row>52</xdr:row>
      <xdr:rowOff>76200</xdr:rowOff>
    </xdr:to>
    <xdr:graphicFrame macro="">
      <xdr:nvGraphicFramePr>
        <xdr:cNvPr id="6286790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246679</xdr:colOff>
      <xdr:row>39</xdr:row>
      <xdr:rowOff>128559</xdr:rowOff>
    </xdr:from>
    <xdr:to>
      <xdr:col>7</xdr:col>
      <xdr:colOff>571500</xdr:colOff>
      <xdr:row>52</xdr:row>
      <xdr:rowOff>89586</xdr:rowOff>
    </xdr:to>
    <xdr:graphicFrame macro="">
      <xdr:nvGraphicFramePr>
        <xdr:cNvPr id="6286790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</xdr:col>
      <xdr:colOff>90620</xdr:colOff>
      <xdr:row>40</xdr:row>
      <xdr:rowOff>5689</xdr:rowOff>
    </xdr:from>
    <xdr:ext cx="4080281" cy="195374"/>
    <xdr:sp macro="" textlink="">
      <xdr:nvSpPr>
        <xdr:cNvPr id="6" name="TextBox 5"/>
        <xdr:cNvSpPr txBox="1"/>
      </xdr:nvSpPr>
      <xdr:spPr>
        <a:xfrm>
          <a:off x="1538420" y="5739739"/>
          <a:ext cx="4080281" cy="195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>
              <a:solidFill>
                <a:schemeClr val="tx1"/>
              </a:solidFill>
              <a:latin typeface="Candara" pitchFamily="34" charset="0"/>
              <a:ea typeface="+mn-ea"/>
              <a:cs typeface="+mn-cs"/>
            </a:rPr>
            <a:t>Registered Vehicles  by main types, 2010</a:t>
          </a:r>
          <a:r>
            <a:rPr lang="en-US" sz="1200" b="1" i="0" baseline="0">
              <a:solidFill>
                <a:schemeClr val="tx1"/>
              </a:solidFill>
              <a:latin typeface="Candara" pitchFamily="34" charset="0"/>
              <a:ea typeface="+mn-ea"/>
              <a:cs typeface="+mn-cs"/>
            </a:rPr>
            <a:t> - 2016</a:t>
          </a:r>
          <a:endParaRPr lang="en-US" sz="1200">
            <a:latin typeface="Candara" pitchFamily="34" charset="0"/>
          </a:endParaRPr>
        </a:p>
      </xdr:txBody>
    </xdr:sp>
    <xdr:clientData/>
  </xdr:oneCellAnchor>
  <xdr:twoCellAnchor>
    <xdr:from>
      <xdr:col>0</xdr:col>
      <xdr:colOff>392429</xdr:colOff>
      <xdr:row>40</xdr:row>
      <xdr:rowOff>70434</xdr:rowOff>
    </xdr:from>
    <xdr:to>
      <xdr:col>1</xdr:col>
      <xdr:colOff>331396</xdr:colOff>
      <xdr:row>40</xdr:row>
      <xdr:rowOff>190266</xdr:rowOff>
    </xdr:to>
    <xdr:sp macro="" textlink="">
      <xdr:nvSpPr>
        <xdr:cNvPr id="7" name="TextBox 6"/>
        <xdr:cNvSpPr txBox="1"/>
      </xdr:nvSpPr>
      <xdr:spPr>
        <a:xfrm>
          <a:off x="392429" y="5804484"/>
          <a:ext cx="796217" cy="11983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In numbers </a:t>
          </a:r>
          <a:endParaRPr lang="en-US" sz="11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0.10386</cdr:x>
      <cdr:y>0.04301</cdr:y>
    </cdr:from>
    <cdr:to>
      <cdr:x>0.91694</cdr:x>
      <cdr:y>0.13177</cdr:y>
    </cdr:to>
    <cdr:sp macro="" textlink="">
      <cdr:nvSpPr>
        <cdr:cNvPr id="2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66750" y="114301"/>
          <a:ext cx="5219867" cy="2358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Passenger Movement of International  and Domestic Flights, an Arrivals, 2006 - 2017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V87"/>
  <sheetViews>
    <sheetView tabSelected="1" topLeftCell="A22" zoomScaleNormal="100" zoomScaleSheetLayoutView="67" workbookViewId="0">
      <selection activeCell="AD5" sqref="AD5:AV9"/>
    </sheetView>
  </sheetViews>
  <sheetFormatPr defaultColWidth="9.140625" defaultRowHeight="12.75"/>
  <cols>
    <col min="1" max="1" width="12.85546875" style="1" customWidth="1"/>
    <col min="2" max="3" width="8.85546875" style="1" customWidth="1"/>
    <col min="4" max="4" width="22.140625" style="1" customWidth="1"/>
    <col min="5" max="15" width="14" style="1" customWidth="1"/>
    <col min="16" max="16" width="12.42578125" style="1" customWidth="1"/>
    <col min="17" max="17" width="9.140625" style="1"/>
    <col min="18" max="18" width="12.85546875" style="1" bestFit="1" customWidth="1"/>
    <col min="19" max="26" width="9.140625" style="1"/>
    <col min="27" max="27" width="30.140625" style="1" bestFit="1" customWidth="1"/>
    <col min="28" max="46" width="9.140625" style="1"/>
    <col min="47" max="47" width="10.42578125" style="1" customWidth="1"/>
    <col min="48" max="16384" width="9.140625" style="1"/>
  </cols>
  <sheetData>
    <row r="1" spans="1:48" s="11" customFormat="1" ht="30" customHeight="1">
      <c r="A1" s="74" t="s">
        <v>25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9"/>
      <c r="R1" s="9"/>
      <c r="S1" s="9"/>
    </row>
    <row r="2" spans="1:48" s="12" customFormat="1" ht="15" customHeight="1">
      <c r="A2" s="2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</row>
    <row r="3" spans="1:48" s="6" customFormat="1" ht="15" customHeight="1">
      <c r="A3" s="59"/>
      <c r="B3" s="60"/>
      <c r="C3" s="60"/>
      <c r="D3" s="60"/>
      <c r="E3" s="61">
        <v>2006</v>
      </c>
      <c r="F3" s="61">
        <v>2007</v>
      </c>
      <c r="G3" s="61">
        <v>2008</v>
      </c>
      <c r="H3" s="61">
        <v>2009</v>
      </c>
      <c r="I3" s="61">
        <v>2010</v>
      </c>
      <c r="J3" s="61">
        <v>2011</v>
      </c>
      <c r="K3" s="61">
        <v>2012</v>
      </c>
      <c r="L3" s="61">
        <v>2013</v>
      </c>
      <c r="M3" s="61">
        <v>2014</v>
      </c>
      <c r="N3" s="61">
        <v>2015</v>
      </c>
      <c r="O3" s="61">
        <v>2016</v>
      </c>
      <c r="P3" s="61">
        <v>2017</v>
      </c>
    </row>
    <row r="4" spans="1:48" s="6" customFormat="1" ht="15" customHeight="1">
      <c r="A4" s="33" t="s">
        <v>29</v>
      </c>
      <c r="B4" s="34"/>
      <c r="C4" s="34"/>
      <c r="D4" s="34"/>
      <c r="E4" s="35"/>
      <c r="F4" s="35"/>
      <c r="G4" s="35"/>
      <c r="H4" s="35"/>
      <c r="I4" s="36"/>
      <c r="J4" s="36"/>
      <c r="K4" s="36"/>
      <c r="L4" s="36"/>
      <c r="M4" s="36"/>
      <c r="N4" s="37"/>
      <c r="O4" s="37"/>
    </row>
    <row r="5" spans="1:48" s="6" customFormat="1" ht="15.75" customHeight="1">
      <c r="A5" s="62" t="s">
        <v>1</v>
      </c>
      <c r="B5" s="60"/>
      <c r="C5" s="60"/>
      <c r="D5" s="60"/>
      <c r="E5" s="63">
        <v>10470</v>
      </c>
      <c r="F5" s="63">
        <v>12645</v>
      </c>
      <c r="G5" s="63">
        <v>13297</v>
      </c>
      <c r="H5" s="63">
        <v>13782</v>
      </c>
      <c r="I5" s="63">
        <v>16866</v>
      </c>
      <c r="J5" s="63">
        <v>19435</v>
      </c>
      <c r="K5" s="63">
        <v>19282</v>
      </c>
      <c r="L5" s="63">
        <v>22106</v>
      </c>
      <c r="M5" s="63">
        <v>23821</v>
      </c>
      <c r="N5" s="63">
        <v>23488</v>
      </c>
      <c r="O5" s="63">
        <v>23718</v>
      </c>
      <c r="P5" s="63">
        <v>23384</v>
      </c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spans="1:48" s="6" customFormat="1" ht="26.25" hidden="1" customHeight="1">
      <c r="A6" s="48"/>
      <c r="B6" s="40" t="s">
        <v>24</v>
      </c>
      <c r="C6" s="40"/>
      <c r="D6" s="40"/>
      <c r="E6" s="41">
        <v>8114</v>
      </c>
      <c r="F6" s="41">
        <v>9414</v>
      </c>
      <c r="G6" s="41">
        <v>9993</v>
      </c>
      <c r="H6" s="41">
        <v>10855</v>
      </c>
      <c r="I6" s="41">
        <v>13624</v>
      </c>
      <c r="J6" s="41">
        <v>16279</v>
      </c>
      <c r="K6" s="41">
        <v>15468</v>
      </c>
      <c r="L6" s="41">
        <v>19960</v>
      </c>
      <c r="M6" s="41">
        <v>21436</v>
      </c>
      <c r="N6" s="41">
        <v>21376</v>
      </c>
      <c r="O6" s="41"/>
      <c r="P6" s="41"/>
      <c r="AC6" s="14" t="s">
        <v>5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6"/>
      <c r="AO6" s="16"/>
      <c r="AP6" s="16"/>
      <c r="AQ6" s="16"/>
      <c r="AR6" s="16"/>
      <c r="AU6" s="29"/>
      <c r="AV6" s="29"/>
    </row>
    <row r="7" spans="1:48" s="6" customFormat="1" ht="20.25" hidden="1" customHeight="1">
      <c r="A7" s="49"/>
      <c r="B7" s="32" t="s">
        <v>2</v>
      </c>
      <c r="C7" s="32"/>
      <c r="D7" s="32"/>
      <c r="E7" s="38">
        <v>1073</v>
      </c>
      <c r="F7" s="38">
        <v>1325</v>
      </c>
      <c r="G7" s="38">
        <v>1163</v>
      </c>
      <c r="H7" s="38">
        <v>1091</v>
      </c>
      <c r="I7" s="38">
        <v>1396</v>
      </c>
      <c r="J7" s="38">
        <v>970</v>
      </c>
      <c r="K7" s="38">
        <v>1836</v>
      </c>
      <c r="L7" s="38">
        <v>360</v>
      </c>
      <c r="M7" s="38">
        <v>244</v>
      </c>
      <c r="N7" s="38">
        <v>196</v>
      </c>
      <c r="O7" s="38"/>
      <c r="P7" s="38"/>
    </row>
    <row r="8" spans="1:48" s="6" customFormat="1" ht="15" hidden="1" customHeight="1">
      <c r="A8" s="48"/>
      <c r="B8" s="40" t="s">
        <v>3</v>
      </c>
      <c r="C8" s="40"/>
      <c r="D8" s="40"/>
      <c r="E8" s="41">
        <v>1283</v>
      </c>
      <c r="F8" s="41">
        <v>1906</v>
      </c>
      <c r="G8" s="41">
        <v>2141</v>
      </c>
      <c r="H8" s="41">
        <v>1836</v>
      </c>
      <c r="I8" s="41">
        <v>1846</v>
      </c>
      <c r="J8" s="41">
        <v>2186</v>
      </c>
      <c r="K8" s="41">
        <v>1978</v>
      </c>
      <c r="L8" s="41">
        <v>1786</v>
      </c>
      <c r="M8" s="41">
        <v>2141</v>
      </c>
      <c r="N8" s="41">
        <v>1916</v>
      </c>
      <c r="O8" s="41"/>
      <c r="P8" s="41"/>
    </row>
    <row r="9" spans="1:48" s="6" customFormat="1" ht="15" customHeight="1">
      <c r="A9" s="50" t="s">
        <v>31</v>
      </c>
      <c r="B9" s="40"/>
      <c r="C9" s="40"/>
      <c r="D9" s="40"/>
      <c r="E9" s="41">
        <f>E10/1000</f>
        <v>1572.345</v>
      </c>
      <c r="F9" s="41">
        <f t="shared" ref="F9:O9" si="0">F10/1000</f>
        <v>1782.481</v>
      </c>
      <c r="G9" s="41">
        <f t="shared" si="0"/>
        <v>1774.577</v>
      </c>
      <c r="H9" s="41">
        <f t="shared" si="0"/>
        <v>1792.4929999999999</v>
      </c>
      <c r="I9" s="41">
        <f t="shared" si="0"/>
        <v>2173.6</v>
      </c>
      <c r="J9" s="41">
        <f t="shared" si="0"/>
        <v>2409.1179999999999</v>
      </c>
      <c r="K9" s="41">
        <f t="shared" si="0"/>
        <v>2424.9180000000001</v>
      </c>
      <c r="L9" s="41">
        <f t="shared" si="0"/>
        <v>2863.806</v>
      </c>
      <c r="M9" s="41">
        <f t="shared" si="0"/>
        <v>3133.0369999999998</v>
      </c>
      <c r="N9" s="41">
        <f t="shared" si="0"/>
        <v>3174.0169999999998</v>
      </c>
      <c r="O9" s="41">
        <f t="shared" si="0"/>
        <v>3957.0704000000001</v>
      </c>
      <c r="P9" s="41">
        <v>3557.2750000000001</v>
      </c>
    </row>
    <row r="10" spans="1:48" s="54" customFormat="1" ht="15" hidden="1" customHeight="1">
      <c r="A10" s="51" t="s">
        <v>4</v>
      </c>
      <c r="B10" s="52"/>
      <c r="C10" s="52"/>
      <c r="D10" s="52"/>
      <c r="E10" s="53">
        <v>1572345</v>
      </c>
      <c r="F10" s="53">
        <v>1782481</v>
      </c>
      <c r="G10" s="53">
        <v>1774577</v>
      </c>
      <c r="H10" s="53">
        <v>1792493</v>
      </c>
      <c r="I10" s="53">
        <v>2173600</v>
      </c>
      <c r="J10" s="53">
        <v>2409118</v>
      </c>
      <c r="K10" s="53">
        <v>2424918</v>
      </c>
      <c r="L10" s="53">
        <v>2863806</v>
      </c>
      <c r="M10" s="53">
        <v>3133037</v>
      </c>
      <c r="N10" s="53">
        <v>3174017</v>
      </c>
      <c r="O10" s="53">
        <v>3957070.4</v>
      </c>
      <c r="P10" s="53">
        <v>0</v>
      </c>
    </row>
    <row r="11" spans="1:48" s="6" customFormat="1" ht="21.75" hidden="1" customHeight="1">
      <c r="A11" s="48"/>
      <c r="B11" s="40" t="s">
        <v>5</v>
      </c>
      <c r="C11" s="40"/>
      <c r="D11" s="40"/>
      <c r="E11" s="41">
        <v>734733</v>
      </c>
      <c r="F11" s="41">
        <v>833436</v>
      </c>
      <c r="G11" s="41">
        <v>838733</v>
      </c>
      <c r="H11" s="41">
        <v>831924</v>
      </c>
      <c r="I11" s="41">
        <v>1008743</v>
      </c>
      <c r="J11" s="41">
        <v>1128238</v>
      </c>
      <c r="K11" s="41">
        <v>1165695</v>
      </c>
      <c r="L11" s="41">
        <v>1363930</v>
      </c>
      <c r="M11" s="41">
        <v>1495338</v>
      </c>
      <c r="N11" s="41">
        <v>1533318</v>
      </c>
      <c r="O11" s="41"/>
      <c r="P11" s="41">
        <v>0</v>
      </c>
    </row>
    <row r="12" spans="1:48" s="6" customFormat="1" ht="21" hidden="1" customHeight="1">
      <c r="A12" s="49"/>
      <c r="B12" s="32" t="s">
        <v>6</v>
      </c>
      <c r="C12" s="32"/>
      <c r="D12" s="32"/>
      <c r="E12" s="38">
        <v>723758</v>
      </c>
      <c r="F12" s="38">
        <v>824592</v>
      </c>
      <c r="G12" s="38">
        <v>819599</v>
      </c>
      <c r="H12" s="38">
        <v>845399</v>
      </c>
      <c r="I12" s="38">
        <v>1009847</v>
      </c>
      <c r="J12" s="38">
        <v>1146175</v>
      </c>
      <c r="K12" s="38">
        <v>1181635</v>
      </c>
      <c r="L12" s="38">
        <v>1375979</v>
      </c>
      <c r="M12" s="38">
        <v>1502105</v>
      </c>
      <c r="N12" s="38">
        <v>1521251</v>
      </c>
      <c r="O12" s="38"/>
      <c r="P12" s="38">
        <v>0</v>
      </c>
    </row>
    <row r="13" spans="1:48" s="6" customFormat="1" ht="22.5" hidden="1" customHeight="1">
      <c r="A13" s="48"/>
      <c r="B13" s="40" t="s">
        <v>7</v>
      </c>
      <c r="C13" s="40"/>
      <c r="D13" s="40"/>
      <c r="E13" s="41">
        <v>113854</v>
      </c>
      <c r="F13" s="41">
        <v>124453</v>
      </c>
      <c r="G13" s="41">
        <v>116245</v>
      </c>
      <c r="H13" s="41">
        <v>115170</v>
      </c>
      <c r="I13" s="41">
        <v>155010</v>
      </c>
      <c r="J13" s="41">
        <v>134705</v>
      </c>
      <c r="K13" s="41">
        <v>77588</v>
      </c>
      <c r="L13" s="41">
        <v>123897</v>
      </c>
      <c r="M13" s="41">
        <v>135594</v>
      </c>
      <c r="N13" s="41">
        <v>119448</v>
      </c>
      <c r="O13" s="41"/>
      <c r="P13" s="41">
        <v>0</v>
      </c>
    </row>
    <row r="14" spans="1:48" s="6" customFormat="1" ht="15" customHeight="1">
      <c r="A14" s="62" t="s">
        <v>32</v>
      </c>
      <c r="B14" s="62"/>
      <c r="C14" s="62"/>
      <c r="D14" s="62"/>
      <c r="E14" s="63">
        <f>E15/1000</f>
        <v>716.20600000000002</v>
      </c>
      <c r="F14" s="63">
        <f t="shared" ref="F14:O14" si="1">F15/1000</f>
        <v>809.59500000000003</v>
      </c>
      <c r="G14" s="63">
        <f t="shared" si="1"/>
        <v>845.35699999999997</v>
      </c>
      <c r="H14" s="63">
        <f t="shared" si="1"/>
        <v>823.11699999999996</v>
      </c>
      <c r="I14" s="63">
        <f t="shared" si="1"/>
        <v>1041.204</v>
      </c>
      <c r="J14" s="63">
        <f t="shared" si="1"/>
        <v>1144.7850000000001</v>
      </c>
      <c r="K14" s="63">
        <f t="shared" si="1"/>
        <v>796.51900000000001</v>
      </c>
      <c r="L14" s="63">
        <f t="shared" si="1"/>
        <v>1366.8330000000001</v>
      </c>
      <c r="M14" s="63">
        <f t="shared" si="1"/>
        <v>1343.6489999999999</v>
      </c>
      <c r="N14" s="63">
        <f t="shared" si="1"/>
        <v>1642.6379999999999</v>
      </c>
      <c r="O14" s="63">
        <f t="shared" si="1"/>
        <v>1820.856</v>
      </c>
      <c r="P14" s="63">
        <v>2025.68</v>
      </c>
    </row>
    <row r="15" spans="1:48" s="54" customFormat="1" ht="15" hidden="1" customHeight="1">
      <c r="A15" s="55" t="s">
        <v>8</v>
      </c>
      <c r="B15" s="56"/>
      <c r="C15" s="56"/>
      <c r="D15" s="56"/>
      <c r="E15" s="57">
        <v>716206</v>
      </c>
      <c r="F15" s="57">
        <v>809595</v>
      </c>
      <c r="G15" s="57">
        <v>845357</v>
      </c>
      <c r="H15" s="57">
        <v>823117</v>
      </c>
      <c r="I15" s="57">
        <v>1041204</v>
      </c>
      <c r="J15" s="57">
        <v>1144785</v>
      </c>
      <c r="K15" s="57">
        <v>796519</v>
      </c>
      <c r="L15" s="57">
        <v>1366833</v>
      </c>
      <c r="M15" s="57">
        <v>1343649</v>
      </c>
      <c r="N15" s="57">
        <v>1642638</v>
      </c>
      <c r="O15" s="57">
        <v>1820856</v>
      </c>
      <c r="AB15" s="54">
        <v>1995</v>
      </c>
      <c r="AC15" s="58">
        <v>1996</v>
      </c>
      <c r="AD15" s="58">
        <v>1997</v>
      </c>
      <c r="AE15" s="58">
        <v>1998</v>
      </c>
      <c r="AF15" s="58">
        <v>1999</v>
      </c>
      <c r="AG15" s="58">
        <v>2000</v>
      </c>
      <c r="AH15" s="58">
        <v>2001</v>
      </c>
      <c r="AI15" s="58">
        <v>2002</v>
      </c>
      <c r="AJ15" s="58">
        <v>2003</v>
      </c>
      <c r="AK15" s="58">
        <v>2004</v>
      </c>
      <c r="AL15" s="58">
        <v>2005</v>
      </c>
      <c r="AM15" s="58">
        <v>2006</v>
      </c>
      <c r="AN15" s="58">
        <v>2007</v>
      </c>
      <c r="AO15" s="58">
        <v>2008</v>
      </c>
      <c r="AP15" s="58">
        <v>2009</v>
      </c>
      <c r="AQ15" s="58">
        <v>2010</v>
      </c>
    </row>
    <row r="16" spans="1:48" s="6" customFormat="1" ht="15" hidden="1" customHeight="1">
      <c r="A16" s="43"/>
      <c r="B16" s="44" t="s">
        <v>5</v>
      </c>
      <c r="C16" s="44"/>
      <c r="D16" s="44"/>
      <c r="E16" s="38">
        <v>355015</v>
      </c>
      <c r="F16" s="38">
        <v>398430</v>
      </c>
      <c r="G16" s="38">
        <v>418002</v>
      </c>
      <c r="H16" s="38">
        <v>408603</v>
      </c>
      <c r="I16" s="38">
        <v>502075</v>
      </c>
      <c r="J16" s="38">
        <v>565097</v>
      </c>
      <c r="K16" s="38">
        <v>398159</v>
      </c>
      <c r="L16" s="38">
        <v>676264</v>
      </c>
      <c r="M16" s="38">
        <v>664527</v>
      </c>
      <c r="N16" s="38">
        <v>751882</v>
      </c>
      <c r="O16" s="38"/>
      <c r="AA16" s="17" t="s">
        <v>15</v>
      </c>
      <c r="AB16" s="18">
        <v>623</v>
      </c>
      <c r="AC16" s="18">
        <v>787</v>
      </c>
      <c r="AD16" s="18">
        <v>967</v>
      </c>
      <c r="AE16" s="18">
        <v>1172</v>
      </c>
      <c r="AF16" s="18">
        <v>1545</v>
      </c>
      <c r="AG16" s="18">
        <v>1860</v>
      </c>
      <c r="AH16" s="18">
        <v>1937</v>
      </c>
      <c r="AI16" s="15">
        <v>1361</v>
      </c>
      <c r="AJ16" s="15">
        <v>1507</v>
      </c>
      <c r="AK16" s="15">
        <v>1773</v>
      </c>
      <c r="AL16" s="18">
        <v>2082</v>
      </c>
      <c r="AM16" s="19">
        <v>2372</v>
      </c>
      <c r="AN16" s="20">
        <v>2727</v>
      </c>
      <c r="AO16" s="20">
        <v>3002</v>
      </c>
      <c r="AP16" s="20">
        <v>3219</v>
      </c>
      <c r="AQ16" s="20">
        <v>3348</v>
      </c>
    </row>
    <row r="17" spans="1:44" s="6" customFormat="1" ht="15" hidden="1" customHeight="1">
      <c r="A17" s="42"/>
      <c r="B17" s="35" t="s">
        <v>6</v>
      </c>
      <c r="C17" s="35"/>
      <c r="D17" s="35"/>
      <c r="E17" s="41">
        <v>361191</v>
      </c>
      <c r="F17" s="41">
        <v>411112</v>
      </c>
      <c r="G17" s="41">
        <v>427355</v>
      </c>
      <c r="H17" s="41">
        <v>414514</v>
      </c>
      <c r="I17" s="41">
        <v>539129</v>
      </c>
      <c r="J17" s="41">
        <v>579571</v>
      </c>
      <c r="K17" s="41">
        <v>398174</v>
      </c>
      <c r="L17" s="41">
        <v>690569</v>
      </c>
      <c r="M17" s="41">
        <v>679122</v>
      </c>
      <c r="N17" s="41">
        <v>890756</v>
      </c>
      <c r="O17" s="41"/>
      <c r="AA17" s="20" t="s">
        <v>16</v>
      </c>
      <c r="AB17" s="21">
        <v>2943</v>
      </c>
      <c r="AC17" s="21">
        <v>5319</v>
      </c>
      <c r="AD17" s="21">
        <v>6087</v>
      </c>
      <c r="AE17" s="21">
        <v>7542</v>
      </c>
      <c r="AF17" s="21">
        <v>9394</v>
      </c>
      <c r="AG17" s="21">
        <v>10880</v>
      </c>
      <c r="AH17" s="21">
        <v>12647</v>
      </c>
      <c r="AI17" s="16">
        <v>8889</v>
      </c>
      <c r="AJ17" s="16">
        <v>11484</v>
      </c>
      <c r="AK17" s="16">
        <v>14517</v>
      </c>
      <c r="AL17" s="21">
        <v>18311</v>
      </c>
      <c r="AM17" s="22">
        <v>22113</v>
      </c>
      <c r="AN17" s="16">
        <v>26777</v>
      </c>
      <c r="AO17" s="16">
        <v>31414</v>
      </c>
      <c r="AP17" s="16">
        <v>35794</v>
      </c>
      <c r="AQ17" s="16">
        <v>38860</v>
      </c>
    </row>
    <row r="18" spans="1:44" s="6" customFormat="1" ht="15" hidden="1" customHeight="1">
      <c r="A18" s="43"/>
      <c r="B18" s="44" t="s">
        <v>7</v>
      </c>
      <c r="C18" s="44"/>
      <c r="D18" s="44"/>
      <c r="E18" s="38" t="s">
        <v>0</v>
      </c>
      <c r="F18" s="38">
        <v>53</v>
      </c>
      <c r="G18" s="38" t="s">
        <v>0</v>
      </c>
      <c r="H18" s="38" t="s">
        <v>0</v>
      </c>
      <c r="I18" s="38" t="s">
        <v>0</v>
      </c>
      <c r="J18" s="38">
        <v>117</v>
      </c>
      <c r="K18" s="38">
        <v>186</v>
      </c>
      <c r="L18" s="38" t="s">
        <v>0</v>
      </c>
      <c r="M18" s="38" t="s">
        <v>0</v>
      </c>
      <c r="N18" s="38" t="s">
        <v>0</v>
      </c>
      <c r="O18" s="38"/>
      <c r="AA18" s="23"/>
      <c r="AB18" s="24"/>
      <c r="AC18" s="24"/>
      <c r="AD18" s="24"/>
      <c r="AE18" s="24"/>
      <c r="AF18" s="24"/>
      <c r="AG18" s="24"/>
      <c r="AH18" s="24"/>
      <c r="AI18" s="25"/>
      <c r="AJ18" s="25"/>
      <c r="AK18" s="25"/>
      <c r="AL18" s="25"/>
      <c r="AM18" s="25"/>
      <c r="AN18" s="25"/>
      <c r="AO18" s="26"/>
      <c r="AP18" s="26"/>
      <c r="AQ18" s="26"/>
      <c r="AR18" s="26"/>
    </row>
    <row r="19" spans="1:44" s="6" customFormat="1" ht="15" customHeight="1">
      <c r="A19" s="33" t="s">
        <v>9</v>
      </c>
      <c r="B19" s="34"/>
      <c r="C19" s="34"/>
      <c r="D19" s="40"/>
      <c r="E19" s="41"/>
      <c r="F19" s="41"/>
      <c r="G19" s="41"/>
      <c r="H19" s="41"/>
      <c r="I19" s="41"/>
      <c r="J19" s="41"/>
      <c r="K19" s="41"/>
      <c r="L19" s="41"/>
      <c r="M19" s="41"/>
      <c r="N19" s="37"/>
      <c r="O19" s="37"/>
      <c r="AA19" s="26"/>
      <c r="AB19" s="26"/>
      <c r="AC19" s="26"/>
      <c r="AD19" s="26"/>
      <c r="AE19" s="26"/>
      <c r="AF19" s="26"/>
      <c r="AG19" s="26"/>
      <c r="AH19" s="26"/>
      <c r="AI19" s="27"/>
      <c r="AJ19" s="27"/>
      <c r="AK19" s="27"/>
      <c r="AL19" s="27"/>
      <c r="AM19" s="27"/>
      <c r="AN19" s="25"/>
      <c r="AO19" s="24"/>
      <c r="AP19" s="24"/>
      <c r="AQ19" s="24"/>
      <c r="AR19" s="27"/>
    </row>
    <row r="20" spans="1:44" s="6" customFormat="1" ht="15" customHeight="1">
      <c r="A20" s="65" t="s">
        <v>10</v>
      </c>
      <c r="B20" s="60"/>
      <c r="C20" s="60"/>
      <c r="D20" s="60"/>
      <c r="E20" s="63"/>
      <c r="F20" s="63"/>
      <c r="G20" s="63"/>
      <c r="H20" s="63"/>
      <c r="I20" s="63"/>
      <c r="J20" s="63"/>
      <c r="K20" s="63"/>
      <c r="L20" s="63"/>
      <c r="M20" s="63"/>
      <c r="N20" s="66"/>
      <c r="O20" s="66"/>
      <c r="P20" s="64"/>
      <c r="AA20" s="23"/>
      <c r="AB20" s="24"/>
      <c r="AC20" s="24"/>
      <c r="AD20" s="24"/>
      <c r="AE20" s="24"/>
      <c r="AF20" s="24"/>
      <c r="AG20" s="24"/>
      <c r="AH20" s="24"/>
      <c r="AI20" s="25"/>
      <c r="AJ20" s="25"/>
      <c r="AK20" s="25"/>
      <c r="AL20" s="25"/>
      <c r="AM20" s="25"/>
      <c r="AN20" s="25"/>
      <c r="AO20" s="26"/>
      <c r="AP20" s="26"/>
      <c r="AQ20" s="26"/>
      <c r="AR20" s="26"/>
    </row>
    <row r="21" spans="1:44" s="6" customFormat="1" ht="15" customHeight="1">
      <c r="A21" s="48"/>
      <c r="B21" s="40" t="s">
        <v>11</v>
      </c>
      <c r="C21" s="40"/>
      <c r="D21" s="40"/>
      <c r="E21" s="41">
        <v>88</v>
      </c>
      <c r="F21" s="41">
        <v>101</v>
      </c>
      <c r="G21" s="41">
        <v>113</v>
      </c>
      <c r="H21" s="41">
        <v>118</v>
      </c>
      <c r="I21" s="41">
        <v>124</v>
      </c>
      <c r="J21" s="41">
        <v>130</v>
      </c>
      <c r="K21" s="41">
        <v>136</v>
      </c>
      <c r="L21" s="41">
        <v>140</v>
      </c>
      <c r="M21" s="41">
        <v>157</v>
      </c>
      <c r="N21" s="41">
        <v>161</v>
      </c>
      <c r="O21" s="41">
        <v>220</v>
      </c>
      <c r="P21" s="41" t="s">
        <v>17</v>
      </c>
    </row>
    <row r="22" spans="1:44" s="28" customFormat="1" ht="15" customHeight="1">
      <c r="A22" s="62"/>
      <c r="B22" s="60" t="s">
        <v>12</v>
      </c>
      <c r="C22" s="60"/>
      <c r="D22" s="60"/>
      <c r="E22" s="63">
        <v>1210</v>
      </c>
      <c r="F22" s="63">
        <v>1428</v>
      </c>
      <c r="G22" s="63">
        <v>1682</v>
      </c>
      <c r="H22" s="63">
        <v>1841</v>
      </c>
      <c r="I22" s="63">
        <v>1968</v>
      </c>
      <c r="J22" s="63">
        <v>2104</v>
      </c>
      <c r="K22" s="63">
        <v>2253</v>
      </c>
      <c r="L22" s="63">
        <v>2378</v>
      </c>
      <c r="M22" s="63">
        <v>2540</v>
      </c>
      <c r="N22" s="63">
        <v>2794</v>
      </c>
      <c r="O22" s="63">
        <v>3081</v>
      </c>
      <c r="P22" s="63" t="s">
        <v>17</v>
      </c>
    </row>
    <row r="23" spans="1:44" s="28" customFormat="1" ht="15" customHeight="1">
      <c r="A23" s="48"/>
      <c r="B23" s="40" t="s">
        <v>13</v>
      </c>
      <c r="C23" s="40"/>
      <c r="D23" s="40"/>
      <c r="E23" s="41">
        <v>416</v>
      </c>
      <c r="F23" s="41">
        <v>456</v>
      </c>
      <c r="G23" s="41">
        <v>480</v>
      </c>
      <c r="H23" s="41">
        <v>494</v>
      </c>
      <c r="I23" s="41">
        <v>508</v>
      </c>
      <c r="J23" s="41">
        <v>523</v>
      </c>
      <c r="K23" s="41">
        <v>537</v>
      </c>
      <c r="L23" s="41">
        <v>561</v>
      </c>
      <c r="M23" s="41">
        <v>567</v>
      </c>
      <c r="N23" s="41">
        <v>600</v>
      </c>
      <c r="O23" s="41">
        <v>582</v>
      </c>
      <c r="P23" s="41" t="s">
        <v>17</v>
      </c>
    </row>
    <row r="24" spans="1:44" s="28" customFormat="1" ht="15" customHeight="1">
      <c r="A24" s="68" t="s">
        <v>14</v>
      </c>
      <c r="B24" s="60"/>
      <c r="C24" s="60"/>
      <c r="D24" s="60"/>
      <c r="E24" s="63"/>
      <c r="F24" s="63"/>
      <c r="G24" s="63"/>
      <c r="H24" s="63"/>
      <c r="I24" s="63"/>
      <c r="J24" s="63"/>
      <c r="K24" s="63"/>
      <c r="L24" s="63"/>
      <c r="M24" s="63"/>
      <c r="N24" s="69"/>
      <c r="O24" s="69"/>
      <c r="P24" s="67"/>
    </row>
    <row r="25" spans="1:44" s="28" customFormat="1" ht="15" customHeight="1">
      <c r="A25" s="39"/>
      <c r="B25" s="40" t="s">
        <v>15</v>
      </c>
      <c r="C25" s="40"/>
      <c r="D25" s="40"/>
      <c r="E25" s="41">
        <v>2372</v>
      </c>
      <c r="F25" s="41">
        <v>2727</v>
      </c>
      <c r="G25" s="41">
        <v>3002</v>
      </c>
      <c r="H25" s="41">
        <v>3219</v>
      </c>
      <c r="I25" s="41">
        <v>3348</v>
      </c>
      <c r="J25" s="41">
        <v>3510</v>
      </c>
      <c r="K25" s="41">
        <v>3708</v>
      </c>
      <c r="L25" s="41">
        <v>3994</v>
      </c>
      <c r="M25" s="41">
        <v>4495</v>
      </c>
      <c r="N25" s="41">
        <v>5269</v>
      </c>
      <c r="O25" s="41">
        <v>5754</v>
      </c>
      <c r="P25" s="41" t="s">
        <v>17</v>
      </c>
    </row>
    <row r="26" spans="1:44" s="28" customFormat="1" ht="15" customHeight="1">
      <c r="A26" s="70"/>
      <c r="B26" s="60" t="s">
        <v>16</v>
      </c>
      <c r="C26" s="60"/>
      <c r="D26" s="60"/>
      <c r="E26" s="63">
        <v>22113</v>
      </c>
      <c r="F26" s="63">
        <v>26777</v>
      </c>
      <c r="G26" s="63">
        <v>31414</v>
      </c>
      <c r="H26" s="63">
        <v>35794</v>
      </c>
      <c r="I26" s="63">
        <v>38860</v>
      </c>
      <c r="J26" s="63">
        <v>42570</v>
      </c>
      <c r="K26" s="63">
        <v>46409</v>
      </c>
      <c r="L26" s="63">
        <v>50778</v>
      </c>
      <c r="M26" s="63">
        <v>56503</v>
      </c>
      <c r="N26" s="63">
        <v>66527</v>
      </c>
      <c r="O26" s="63">
        <v>74354</v>
      </c>
      <c r="P26" s="63" t="s">
        <v>17</v>
      </c>
    </row>
    <row r="27" spans="1:44" s="28" customFormat="1" ht="15" customHeight="1">
      <c r="A27" s="33" t="s">
        <v>22</v>
      </c>
      <c r="B27" s="40"/>
      <c r="C27" s="40"/>
      <c r="D27" s="40"/>
      <c r="E27" s="41"/>
      <c r="F27" s="41"/>
      <c r="G27" s="41"/>
      <c r="H27" s="41"/>
      <c r="I27" s="41"/>
      <c r="J27" s="41"/>
      <c r="K27" s="41"/>
      <c r="L27" s="41"/>
      <c r="M27" s="41"/>
      <c r="N27" s="45"/>
      <c r="O27" s="45"/>
    </row>
    <row r="28" spans="1:44" s="28" customFormat="1" ht="15" customHeight="1">
      <c r="A28" s="62" t="s">
        <v>18</v>
      </c>
      <c r="B28" s="60"/>
      <c r="C28" s="60"/>
      <c r="D28" s="60"/>
      <c r="E28" s="63">
        <v>12037</v>
      </c>
      <c r="F28" s="63">
        <v>26991</v>
      </c>
      <c r="G28" s="63">
        <v>120906</v>
      </c>
      <c r="H28" s="63">
        <v>140386</v>
      </c>
      <c r="I28" s="63">
        <v>135384</v>
      </c>
      <c r="J28" s="63">
        <v>108744</v>
      </c>
      <c r="K28" s="63">
        <v>211865</v>
      </c>
      <c r="L28" s="63">
        <v>249201</v>
      </c>
      <c r="M28" s="63">
        <v>265736</v>
      </c>
      <c r="N28" s="63">
        <v>227780.79800000001</v>
      </c>
      <c r="O28" s="63">
        <v>226471.87100000001</v>
      </c>
      <c r="P28" s="63">
        <v>171262</v>
      </c>
      <c r="S28" s="72"/>
    </row>
    <row r="29" spans="1:44" s="28" customFormat="1" ht="15" customHeight="1">
      <c r="A29" s="48" t="s">
        <v>19</v>
      </c>
      <c r="B29" s="40"/>
      <c r="C29" s="40"/>
      <c r="D29" s="40"/>
      <c r="E29" s="41">
        <v>123281</v>
      </c>
      <c r="F29" s="41">
        <v>122725</v>
      </c>
      <c r="G29" s="41">
        <v>95124</v>
      </c>
      <c r="H29" s="41">
        <v>86305</v>
      </c>
      <c r="I29" s="41">
        <v>77503</v>
      </c>
      <c r="J29" s="41">
        <v>75974</v>
      </c>
      <c r="K29" s="41">
        <v>69830</v>
      </c>
      <c r="L29" s="41">
        <v>66557</v>
      </c>
      <c r="M29" s="41">
        <v>41974</v>
      </c>
      <c r="N29" s="41">
        <v>59160.502999999997</v>
      </c>
      <c r="O29" s="41">
        <v>52971.925082999995</v>
      </c>
      <c r="P29" s="41">
        <v>52968</v>
      </c>
      <c r="Q29" s="71"/>
    </row>
    <row r="30" spans="1:44" s="28" customFormat="1" ht="15" customHeight="1">
      <c r="A30" s="62" t="s">
        <v>20</v>
      </c>
      <c r="B30" s="60"/>
      <c r="C30" s="60"/>
      <c r="D30" s="60"/>
      <c r="E30" s="63">
        <v>216318</v>
      </c>
      <c r="F30" s="63">
        <v>219839</v>
      </c>
      <c r="G30" s="63">
        <v>969281</v>
      </c>
      <c r="H30" s="63">
        <v>1165371</v>
      </c>
      <c r="I30" s="63">
        <v>1241516</v>
      </c>
      <c r="J30" s="63">
        <v>1094741</v>
      </c>
      <c r="K30" s="63">
        <v>1468840</v>
      </c>
      <c r="L30" s="63">
        <v>1571320</v>
      </c>
      <c r="M30" s="63">
        <v>1687209</v>
      </c>
      <c r="N30" s="63">
        <v>1608503.1170000001</v>
      </c>
      <c r="O30" s="63">
        <v>1578927.9920000001</v>
      </c>
      <c r="P30" s="63">
        <v>1549661</v>
      </c>
    </row>
    <row r="31" spans="1:44" s="28" customFormat="1" ht="15" customHeight="1">
      <c r="A31" s="33" t="s">
        <v>23</v>
      </c>
      <c r="B31" s="40"/>
      <c r="C31" s="40"/>
      <c r="D31" s="40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73"/>
    </row>
    <row r="32" spans="1:44" s="28" customFormat="1" ht="15" customHeight="1">
      <c r="A32" s="62" t="s">
        <v>21</v>
      </c>
      <c r="B32" s="60"/>
      <c r="C32" s="60"/>
      <c r="D32" s="60"/>
      <c r="E32" s="63">
        <v>32181</v>
      </c>
      <c r="F32" s="63">
        <v>33063</v>
      </c>
      <c r="G32" s="63">
        <v>46925</v>
      </c>
      <c r="H32" s="63">
        <v>49025</v>
      </c>
      <c r="I32" s="63">
        <v>48019</v>
      </c>
      <c r="J32" s="63">
        <v>24084</v>
      </c>
      <c r="K32" s="63">
        <v>23140</v>
      </c>
      <c r="L32" s="63">
        <v>22557</v>
      </c>
      <c r="M32" s="63">
        <v>21478</v>
      </c>
      <c r="N32" s="63">
        <v>21911</v>
      </c>
      <c r="O32" s="63">
        <v>21136</v>
      </c>
      <c r="P32" s="63">
        <v>20377.28</v>
      </c>
    </row>
    <row r="33" spans="1:17" s="28" customFormat="1" ht="15" customHeight="1">
      <c r="A33" s="50" t="s">
        <v>30</v>
      </c>
      <c r="B33" s="35"/>
      <c r="C33" s="35"/>
      <c r="D33" s="35"/>
      <c r="E33" s="41">
        <v>271053</v>
      </c>
      <c r="F33" s="41">
        <v>313539</v>
      </c>
      <c r="G33" s="41">
        <v>435627</v>
      </c>
      <c r="H33" s="41">
        <v>457770</v>
      </c>
      <c r="I33" s="41">
        <v>494351</v>
      </c>
      <c r="J33" s="41">
        <v>527844</v>
      </c>
      <c r="K33" s="41">
        <v>560547</v>
      </c>
      <c r="L33" s="41">
        <v>625161</v>
      </c>
      <c r="M33" s="41">
        <v>665818</v>
      </c>
      <c r="N33" s="41">
        <v>739790</v>
      </c>
      <c r="O33" s="41">
        <v>812128</v>
      </c>
      <c r="P33" s="41">
        <v>900120</v>
      </c>
    </row>
    <row r="34" spans="1:17" s="28" customFormat="1" ht="15" customHeight="1">
      <c r="A34" s="62" t="s">
        <v>26</v>
      </c>
      <c r="B34" s="60"/>
      <c r="C34" s="60"/>
      <c r="D34" s="60"/>
      <c r="E34" s="63">
        <v>29038</v>
      </c>
      <c r="F34" s="63">
        <v>29479</v>
      </c>
      <c r="G34" s="63">
        <v>55282</v>
      </c>
      <c r="H34" s="63">
        <v>68360</v>
      </c>
      <c r="I34" s="63">
        <v>71803</v>
      </c>
      <c r="J34" s="63">
        <v>72751</v>
      </c>
      <c r="K34" s="63">
        <v>71463</v>
      </c>
      <c r="L34" s="63">
        <v>73751</v>
      </c>
      <c r="M34" s="63">
        <v>78656</v>
      </c>
      <c r="N34" s="63">
        <v>87051</v>
      </c>
      <c r="O34" s="63">
        <v>97761</v>
      </c>
      <c r="P34" s="63">
        <v>113186</v>
      </c>
    </row>
    <row r="35" spans="1:17" s="28" customFormat="1" ht="15" customHeight="1">
      <c r="A35" s="50" t="s">
        <v>27</v>
      </c>
      <c r="B35" s="35"/>
      <c r="C35" s="35"/>
      <c r="D35" s="35"/>
      <c r="E35" s="41">
        <v>242015</v>
      </c>
      <c r="F35" s="41">
        <v>284060</v>
      </c>
      <c r="G35" s="41">
        <v>380345</v>
      </c>
      <c r="H35" s="41">
        <v>389410</v>
      </c>
      <c r="I35" s="41">
        <v>422548</v>
      </c>
      <c r="J35" s="41">
        <v>455093</v>
      </c>
      <c r="K35" s="41">
        <v>489084</v>
      </c>
      <c r="L35" s="41">
        <v>551410</v>
      </c>
      <c r="M35" s="41">
        <v>587162</v>
      </c>
      <c r="N35" s="41">
        <v>652739</v>
      </c>
      <c r="O35" s="41">
        <v>714367</v>
      </c>
      <c r="P35" s="41">
        <v>786934</v>
      </c>
    </row>
    <row r="36" spans="1:17" s="28" customFormat="1" ht="13.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3"/>
    </row>
    <row r="37" spans="1:17" s="28" customFormat="1" ht="13.5" customHeight="1">
      <c r="A37" s="46" t="s">
        <v>33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</row>
    <row r="38" spans="1:17" ht="15.75" customHeight="1">
      <c r="A38" s="46" t="s">
        <v>28</v>
      </c>
      <c r="B38" s="31"/>
      <c r="C38" s="31"/>
      <c r="D38" s="31"/>
      <c r="E38" s="31"/>
      <c r="F38" s="31"/>
      <c r="G38" s="31"/>
      <c r="H38" s="31"/>
      <c r="I38" s="5"/>
      <c r="J38" s="5"/>
      <c r="K38" s="5"/>
      <c r="L38" s="5"/>
      <c r="Q38" s="28"/>
    </row>
    <row r="39" spans="1:17" ht="16.5" customHeight="1">
      <c r="A39" s="47" t="s">
        <v>34</v>
      </c>
      <c r="B39" s="30"/>
      <c r="C39" s="30"/>
      <c r="D39" s="30"/>
      <c r="E39" s="30"/>
      <c r="F39" s="30"/>
      <c r="G39" s="30"/>
      <c r="H39" s="30"/>
      <c r="Q39" s="28"/>
    </row>
    <row r="40" spans="1:17" ht="16.5" customHeight="1">
      <c r="Q40" s="28"/>
    </row>
    <row r="41" spans="1:17" ht="16.5" customHeight="1"/>
    <row r="42" spans="1:17" ht="16.5" customHeight="1"/>
    <row r="43" spans="1:17" ht="16.5" customHeight="1"/>
    <row r="44" spans="1:17" ht="16.5" customHeight="1"/>
    <row r="45" spans="1:17" ht="16.5" customHeight="1"/>
    <row r="46" spans="1:17" ht="16.5" customHeight="1"/>
    <row r="47" spans="1:17" ht="16.5" customHeight="1"/>
    <row r="48" spans="1:17" ht="16.5" customHeight="1"/>
    <row r="49" ht="16.5" customHeight="1"/>
    <row r="50" ht="16.5" customHeight="1"/>
    <row r="51" ht="16.5" customHeight="1"/>
    <row r="73" spans="1:4">
      <c r="B73" s="8"/>
      <c r="C73" s="8"/>
      <c r="D73" s="8"/>
    </row>
    <row r="74" spans="1:4">
      <c r="A74" s="7"/>
    </row>
    <row r="75" spans="1:4">
      <c r="A75" s="7"/>
    </row>
    <row r="76" spans="1:4">
      <c r="A76" s="7"/>
    </row>
    <row r="87" spans="5:8">
      <c r="E87" s="10"/>
      <c r="F87" s="10"/>
      <c r="G87" s="10"/>
      <c r="H87" s="10"/>
    </row>
  </sheetData>
  <mergeCells count="1">
    <mergeCell ref="A1:P1"/>
  </mergeCells>
  <phoneticPr fontId="19" type="noConversion"/>
  <printOptions horizontalCentered="1" verticalCentered="1"/>
  <pageMargins left="0.31496062992126" right="0.35433070866141703" top="0.15748031496063" bottom="0.118110236220472" header="0.118110236220472" footer="0.118110236220472"/>
  <pageSetup paperSize="9" scale="65" orientation="landscape" horizontalDpi="4294967295" verticalDpi="4294967295" r:id="rId1"/>
  <headerFooter alignWithMargins="0"/>
  <colBreaks count="1" manualBreakCount="1">
    <brk id="12" max="53" man="1"/>
  </colBreaks>
  <drawing r:id="rId2"/>
  <webPublishItems count="2">
    <webPublishItem id="32459" divId="Indicators2009_32459" sourceType="range" sourceRef="A1:G52" destinationFile="\\Server04\mpnd\IT\Information for MPND Website\Statistical Yearbook 2009\Key Indicators 2009\Transport and Communication.htm"/>
    <webPublishItem id="146" divId="Indicators   2011_146" sourceType="range" sourceRef="A1:I40" destinationFile="\\Server\dp unit\Publications\Statistical  Year Book\Yearbook 2011\YRB 2011 CD\final chapters\CD WEB\Indicators\Trans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11Transp</vt:lpstr>
      <vt:lpstr>'11Transp'!Print_Area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2018-05-28T05:54:24Z</cp:lastPrinted>
  <dcterms:created xsi:type="dcterms:W3CDTF">2005-04-13T08:56:22Z</dcterms:created>
  <dcterms:modified xsi:type="dcterms:W3CDTF">2018-05-28T05:54:43Z</dcterms:modified>
</cp:coreProperties>
</file>