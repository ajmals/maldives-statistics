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942"/>
  </bookViews>
  <sheets>
    <sheet name="8.20" sheetId="63" r:id="rId1"/>
    <sheet name="8.20 workings" sheetId="36" state="hidden" r:id="rId2"/>
  </sheets>
  <externalReferences>
    <externalReference r:id="rId3"/>
  </externalReferences>
  <definedNames>
    <definedName name="_xlnm.Print_Area" localSheetId="0">'8.20'!$A$1:$J$58</definedName>
  </definedNames>
  <calcPr calcId="162913"/>
</workbook>
</file>

<file path=xl/calcChain.xml><?xml version="1.0" encoding="utf-8"?>
<calcChain xmlns="http://schemas.openxmlformats.org/spreadsheetml/2006/main">
  <c r="I25" i="63" l="1"/>
  <c r="H25" i="63"/>
  <c r="G25" i="63"/>
  <c r="F25" i="63"/>
  <c r="E25" i="63"/>
  <c r="D25" i="63"/>
  <c r="C25" i="63"/>
  <c r="I24" i="63"/>
  <c r="H24" i="63"/>
  <c r="G24" i="63"/>
  <c r="F24" i="63"/>
  <c r="E24" i="63"/>
  <c r="D24" i="63"/>
  <c r="C24" i="63"/>
  <c r="I23" i="63"/>
  <c r="H23" i="63"/>
  <c r="G23" i="63"/>
  <c r="F23" i="63"/>
  <c r="E23" i="63"/>
  <c r="D23" i="63"/>
  <c r="C23" i="63"/>
  <c r="I22" i="63"/>
  <c r="H22" i="63"/>
  <c r="G22" i="63"/>
  <c r="F22" i="63"/>
  <c r="E22" i="63"/>
  <c r="D22" i="63"/>
  <c r="C22" i="63"/>
  <c r="I21" i="63"/>
  <c r="H21" i="63"/>
  <c r="G21" i="63"/>
  <c r="F21" i="63"/>
  <c r="E21" i="63"/>
  <c r="D21" i="63"/>
  <c r="C21" i="63"/>
  <c r="I20" i="63"/>
  <c r="H20" i="63"/>
  <c r="G20" i="63"/>
  <c r="F20" i="63"/>
  <c r="E20" i="63"/>
  <c r="I5" i="63"/>
  <c r="I17" i="63" s="1"/>
  <c r="H5" i="63"/>
  <c r="H18" i="63" s="1"/>
  <c r="G5" i="63"/>
  <c r="F5" i="63"/>
  <c r="F18" i="63" s="1"/>
  <c r="E5" i="63"/>
  <c r="E18" i="63" s="1"/>
  <c r="D5" i="63"/>
  <c r="D18" i="63" s="1"/>
  <c r="C5" i="63"/>
  <c r="C14" i="63" s="1"/>
  <c r="B5" i="63"/>
  <c r="B18" i="63" s="1"/>
  <c r="H19" i="63" l="1"/>
  <c r="C19" i="63"/>
  <c r="C17" i="63"/>
  <c r="D19" i="63"/>
  <c r="C18" i="63"/>
  <c r="C15" i="63"/>
  <c r="C16" i="63"/>
  <c r="D13" i="63"/>
  <c r="D14" i="63"/>
  <c r="D15" i="63"/>
  <c r="D16" i="63"/>
  <c r="D17" i="63"/>
  <c r="E19" i="63"/>
  <c r="E13" i="63"/>
  <c r="E14" i="63"/>
  <c r="E15" i="63"/>
  <c r="E16" i="63"/>
  <c r="E17" i="63"/>
  <c r="F19" i="63"/>
  <c r="F13" i="63"/>
  <c r="F14" i="63"/>
  <c r="F15" i="63"/>
  <c r="F16" i="63"/>
  <c r="F17" i="63"/>
  <c r="G19" i="63"/>
  <c r="G13" i="63"/>
  <c r="G14" i="63"/>
  <c r="G15" i="63"/>
  <c r="G16" i="63"/>
  <c r="G17" i="63"/>
  <c r="G18" i="63"/>
  <c r="H13" i="63"/>
  <c r="H14" i="63"/>
  <c r="H15" i="63"/>
  <c r="H16" i="63"/>
  <c r="H17" i="63"/>
  <c r="I19" i="63"/>
  <c r="I18" i="63"/>
  <c r="I13" i="63"/>
  <c r="I14" i="63"/>
  <c r="I15" i="63"/>
  <c r="I16" i="63"/>
  <c r="B14" i="63"/>
  <c r="B15" i="63"/>
  <c r="B16" i="63"/>
  <c r="B17" i="63"/>
  <c r="C12" i="63" l="1"/>
  <c r="G12" i="63"/>
  <c r="D12" i="63"/>
  <c r="F12" i="63"/>
  <c r="I12" i="63"/>
  <c r="E12" i="63"/>
  <c r="H12" i="63"/>
  <c r="B12" i="63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<sst xmlns="http://schemas.openxmlformats.org/spreadsheetml/2006/main" count="210" uniqueCount="86">
  <si>
    <t>Total</t>
  </si>
  <si>
    <t>wlcmuj</t>
  </si>
  <si>
    <t>Source: Department of Judicial Administration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</si>
  <si>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</si>
  <si>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</si>
  <si>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</si>
  <si>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</si>
  <si>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</si>
  <si>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</si>
  <si>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</si>
  <si>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</si>
  <si>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</si>
  <si>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</si>
  <si>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</si>
  <si>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</si>
  <si>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</si>
  <si>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</si>
  <si>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</si>
  <si>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</si>
  <si>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</si>
  <si>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</si>
  <si>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</si>
  <si>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</si>
  <si>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</si>
  <si>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</si>
  <si>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</si>
  <si>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</si>
  <si>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</si>
  <si>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</si>
  <si>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</si>
  <si>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</si>
  <si>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</si>
  <si>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</si>
  <si>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</si>
  <si>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</si>
  <si>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</si>
  <si>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</si>
  <si>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</si>
  <si>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</si>
  <si>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</si>
  <si>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</si>
  <si>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</si>
  <si>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</si>
  <si>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</si>
  <si>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</si>
  <si>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</si>
  <si>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</si>
  <si>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</si>
  <si>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</si>
  <si>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</si>
  <si>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</si>
  <si>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</si>
  <si>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</si>
  <si>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</si>
  <si>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</si>
  <si>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</si>
  <si>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</si>
  <si>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</si>
  <si>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</si>
  <si>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</si>
  <si>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</si>
  <si>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</si>
  <si>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</si>
  <si>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</si>
  <si>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Percentage share</t>
  </si>
  <si>
    <t>Court</t>
  </si>
  <si>
    <t>ކޯޓުތައް</t>
  </si>
  <si>
    <t>Drug court</t>
  </si>
  <si>
    <t>ޑްރަގް ކޯޓު</t>
  </si>
  <si>
    <t>Juvenile court</t>
  </si>
  <si>
    <t>ޖުވެނައިލް ކޯޓު</t>
  </si>
  <si>
    <t>Family court</t>
  </si>
  <si>
    <t>ފެމިލީ ކޯޓު</t>
  </si>
  <si>
    <t>Criminal court</t>
  </si>
  <si>
    <t>ކްރިމިނަލް ކޯޓު</t>
  </si>
  <si>
    <t>Civil court</t>
  </si>
  <si>
    <t>ސިވިލް ކޯޓު</t>
  </si>
  <si>
    <t>Magistrate Courts</t>
  </si>
  <si>
    <t>މެޖިސްޓްރޭޓް ކޯޓުތައް</t>
  </si>
  <si>
    <t>cniawtcaws ctogWviawfiheb</t>
  </si>
  <si>
    <t>_</t>
  </si>
  <si>
    <t>އަތޮޅުތަކުގައި ހުރިމެޖިސްޓްރޭޓް ކޯޓުތައް</t>
  </si>
  <si>
    <t>% Change over previous year</t>
  </si>
  <si>
    <t>urwvcnim ivurutia eruvcSwrwhwa Iruk</t>
  </si>
  <si>
    <t>Table 8.20 : CASES DEALT BY JUDICIAL COURTS IN MALE' AND ISLANDS, 2010 - 2017</t>
  </si>
  <si>
    <t>2017 - 2010 ,udwdwAeg WycaiFwq unumcnin iawgukwtuTOkuSwr iaWaelWm : 8.20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</si>
</sst>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name val="A_Randhoo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A_Randhoo"/>
    </font>
    <font>
      <b/>
      <sz val="9"/>
      <name val="Calibri"/>
      <family val="2"/>
      <scheme val="minor"/>
    </font>
    <font>
      <b/>
      <sz val="9"/>
      <name val="Faruma"/>
    </font>
    <font>
      <sz val="9"/>
      <name val="Arial"/>
      <family val="2"/>
    </font>
    <font>
      <sz val="9"/>
      <name val="Faruma"/>
    </font>
    <font>
      <b/>
      <sz val="9"/>
      <name val="Courier"/>
      <family val="3"/>
    </font>
    <font>
      <b/>
      <sz val="9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3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theme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hair">
        <color theme="1"/>
      </bottom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10" fillId="0" borderId="0"/>
    <xf numFmtId="0" fontId="15" fillId="0" borderId="8" applyNumberFormat="0" applyFill="0" applyAlignment="0" applyProtection="0"/>
    <xf numFmtId="0" fontId="11" fillId="0" borderId="0"/>
    <xf numFmtId="166" fontId="16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11" applyNumberFormat="0" applyFill="0" applyAlignment="0" applyProtection="0"/>
    <xf numFmtId="0" fontId="21" fillId="0" borderId="12" applyNumberFormat="0" applyFill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13" applyNumberFormat="0" applyAlignment="0" applyProtection="0"/>
    <xf numFmtId="0" fontId="26" fillId="8" borderId="14" applyNumberFormat="0" applyAlignment="0" applyProtection="0"/>
    <xf numFmtId="0" fontId="27" fillId="8" borderId="13" applyNumberFormat="0" applyAlignment="0" applyProtection="0"/>
    <xf numFmtId="0" fontId="28" fillId="0" borderId="15" applyNumberFormat="0" applyFill="0" applyAlignment="0" applyProtection="0"/>
    <xf numFmtId="0" fontId="29" fillId="9" borderId="16" applyNumberFormat="0" applyAlignment="0" applyProtection="0"/>
    <xf numFmtId="0" fontId="17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30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3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1" fillId="34" borderId="0" applyNumberFormat="0" applyBorder="0" applyAlignment="0" applyProtection="0"/>
    <xf numFmtId="0" fontId="1" fillId="0" borderId="0"/>
    <xf numFmtId="0" fontId="11" fillId="0" borderId="0"/>
    <xf numFmtId="0" fontId="32" fillId="0" borderId="0" applyNumberFormat="0" applyFill="0" applyBorder="0" applyAlignment="0" applyProtection="0"/>
  </cellStyleXfs>
  <cellXfs count="110">
    <xf numFmtId="0" fontId="0" fillId="0" borderId="0" xfId="0"/>
    <xf numFmtId="164" fontId="8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9" fillId="2" borderId="1" xfId="0" applyNumberFormat="1" applyFont="1" applyFill="1" applyBorder="1" applyAlignment="1">
      <alignment horizontal="right" vertical="center"/>
    </xf>
    <xf numFmtId="166" fontId="3" fillId="2" borderId="4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5" xfId="1" applyNumberFormat="1" applyFont="1" applyFill="1" applyBorder="1" applyAlignment="1">
      <alignment horizontal="right" vertical="center" wrapText="1"/>
    </xf>
    <xf numFmtId="166" fontId="3" fillId="2" borderId="5" xfId="1" applyNumberFormat="1" applyFont="1" applyFill="1" applyBorder="1" applyAlignment="1">
      <alignment horizontal="right" vertical="top" wrapText="1"/>
    </xf>
    <xf numFmtId="0" fontId="5" fillId="2" borderId="9" xfId="0" applyNumberFormat="1" applyFont="1" applyFill="1" applyBorder="1" applyAlignment="1">
      <alignment horizontal="center" vertical="center"/>
    </xf>
    <xf numFmtId="0" fontId="5" fillId="2" borderId="9" xfId="0" applyNumberFormat="1" applyFont="1" applyFill="1" applyBorder="1" applyAlignment="1">
      <alignment horizontal="left" vertical="center" wrapText="1"/>
    </xf>
    <xf numFmtId="3" fontId="5" fillId="2" borderId="9" xfId="1" applyNumberFormat="1" applyFont="1" applyFill="1" applyBorder="1" applyAlignment="1"/>
    <xf numFmtId="3" fontId="3" fillId="2" borderId="9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2" fillId="2" borderId="6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7" xfId="1" applyNumberFormat="1" applyFont="1" applyFill="1" applyBorder="1" applyAlignment="1">
      <alignment horizontal="center" vertical="center" wrapText="1"/>
    </xf>
    <xf numFmtId="166" fontId="3" fillId="3" borderId="5" xfId="1" applyNumberFormat="1" applyFont="1" applyFill="1" applyBorder="1" applyAlignment="1">
      <alignment horizontal="right" vertical="center" wrapText="1"/>
    </xf>
    <xf numFmtId="166" fontId="3" fillId="3" borderId="5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9" fillId="2" borderId="19" xfId="0" applyNumberFormat="1" applyFont="1" applyFill="1" applyBorder="1" applyAlignment="1">
      <alignment horizontal="right" vertical="center"/>
    </xf>
    <xf numFmtId="164" fontId="0" fillId="2" borderId="0" xfId="0" applyNumberFormat="1" applyFont="1" applyFill="1" applyBorder="1" applyAlignment="1">
      <alignment vertical="center"/>
    </xf>
    <xf numFmtId="164" fontId="0" fillId="2" borderId="20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vertical="top"/>
    </xf>
    <xf numFmtId="164" fontId="5" fillId="2" borderId="0" xfId="0" applyNumberFormat="1" applyFont="1" applyFill="1" applyBorder="1" applyAlignment="1">
      <alignment vertical="top"/>
    </xf>
    <xf numFmtId="164" fontId="34" fillId="2" borderId="21" xfId="0" applyNumberFormat="1" applyFont="1" applyFill="1" applyBorder="1" applyAlignment="1" applyProtection="1">
      <alignment horizontal="left" vertical="center"/>
    </xf>
    <xf numFmtId="164" fontId="34" fillId="2" borderId="21" xfId="0" applyNumberFormat="1" applyFont="1" applyFill="1" applyBorder="1" applyAlignment="1">
      <alignment horizontal="right" vertical="center"/>
    </xf>
    <xf numFmtId="164" fontId="3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164" fontId="7" fillId="2" borderId="20" xfId="0" applyNumberFormat="1" applyFont="1" applyFill="1" applyBorder="1" applyAlignment="1">
      <alignment vertical="center"/>
    </xf>
    <xf numFmtId="164" fontId="34" fillId="2" borderId="1" xfId="0" applyNumberFormat="1" applyFont="1" applyFill="1" applyBorder="1" applyAlignment="1" applyProtection="1">
      <alignment horizontal="left" vertical="center"/>
    </xf>
    <xf numFmtId="3" fontId="34" fillId="2" borderId="1" xfId="0" applyNumberFormat="1" applyFont="1" applyFill="1" applyBorder="1" applyAlignment="1">
      <alignment vertical="center"/>
    </xf>
    <xf numFmtId="164" fontId="4" fillId="2" borderId="20" xfId="0" applyNumberFormat="1" applyFont="1" applyFill="1" applyBorder="1" applyAlignment="1" applyProtection="1">
      <alignment horizontal="left" vertical="center"/>
    </xf>
    <xf numFmtId="3" fontId="34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164" fontId="4" fillId="2" borderId="22" xfId="0" applyNumberFormat="1" applyFont="1" applyFill="1" applyBorder="1" applyAlignment="1" applyProtection="1">
      <alignment horizontal="left" vertical="center"/>
    </xf>
    <xf numFmtId="3" fontId="4" fillId="2" borderId="9" xfId="0" applyNumberFormat="1" applyFont="1" applyFill="1" applyBorder="1" applyAlignment="1">
      <alignment vertical="center"/>
    </xf>
    <xf numFmtId="3" fontId="34" fillId="2" borderId="1" xfId="0" applyNumberFormat="1" applyFont="1" applyFill="1" applyBorder="1" applyAlignment="1" applyProtection="1">
      <alignment horizontal="right" vertical="center"/>
    </xf>
    <xf numFmtId="164" fontId="4" fillId="2" borderId="1" xfId="0" applyNumberFormat="1" applyFont="1" applyFill="1" applyBorder="1" applyAlignment="1" applyProtection="1">
      <alignment horizontal="left" vertical="center"/>
    </xf>
    <xf numFmtId="165" fontId="4" fillId="2" borderId="1" xfId="0" applyNumberFormat="1" applyFont="1" applyFill="1" applyBorder="1" applyAlignment="1" applyProtection="1">
      <alignment horizontal="right" vertical="center"/>
    </xf>
    <xf numFmtId="165" fontId="4" fillId="2" borderId="20" xfId="0" applyNumberFormat="1" applyFont="1" applyFill="1" applyBorder="1" applyAlignment="1" applyProtection="1">
      <alignment horizontal="right" vertical="center"/>
    </xf>
    <xf numFmtId="167" fontId="4" fillId="2" borderId="20" xfId="0" applyNumberFormat="1" applyFont="1" applyFill="1" applyBorder="1" applyAlignment="1" applyProtection="1">
      <alignment horizontal="right" vertical="center"/>
    </xf>
    <xf numFmtId="164" fontId="4" fillId="2" borderId="23" xfId="0" applyNumberFormat="1" applyFont="1" applyFill="1" applyBorder="1" applyAlignment="1" applyProtection="1">
      <alignment horizontal="left" vertical="center"/>
    </xf>
    <xf numFmtId="167" fontId="4" fillId="2" borderId="23" xfId="0" applyNumberFormat="1" applyFont="1" applyFill="1" applyBorder="1" applyAlignment="1" applyProtection="1">
      <alignment horizontal="right" vertical="center"/>
    </xf>
    <xf numFmtId="164" fontId="7" fillId="2" borderId="23" xfId="0" applyNumberFormat="1" applyFont="1" applyFill="1" applyBorder="1" applyAlignment="1">
      <alignment vertical="center"/>
    </xf>
    <xf numFmtId="164" fontId="4" fillId="2" borderId="10" xfId="0" applyNumberFormat="1" applyFont="1" applyFill="1" applyBorder="1" applyAlignment="1" applyProtection="1">
      <alignment horizontal="left" vertical="center"/>
    </xf>
    <xf numFmtId="167" fontId="4" fillId="2" borderId="22" xfId="0" applyNumberFormat="1" applyFont="1" applyFill="1" applyBorder="1" applyAlignment="1" applyProtection="1">
      <alignment horizontal="right" vertical="center"/>
    </xf>
    <xf numFmtId="164" fontId="37" fillId="2" borderId="10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Border="1"/>
    <xf numFmtId="167" fontId="34" fillId="2" borderId="1" xfId="0" applyNumberFormat="1" applyFont="1" applyFill="1" applyBorder="1" applyAlignment="1" applyProtection="1">
      <alignment horizontal="right" vertical="center"/>
    </xf>
    <xf numFmtId="164" fontId="39" fillId="2" borderId="0" xfId="0" applyNumberFormat="1" applyFont="1" applyFill="1" applyBorder="1" applyAlignment="1">
      <alignment vertical="center"/>
    </xf>
    <xf numFmtId="165" fontId="34" fillId="2" borderId="0" xfId="0" applyNumberFormat="1" applyFont="1" applyFill="1" applyBorder="1" applyAlignment="1" applyProtection="1">
      <alignment horizontal="right" vertical="center"/>
    </xf>
    <xf numFmtId="164" fontId="38" fillId="2" borderId="0" xfId="0" applyNumberFormat="1" applyFont="1" applyFill="1" applyBorder="1" applyAlignment="1">
      <alignment vertical="center"/>
    </xf>
    <xf numFmtId="164" fontId="38" fillId="2" borderId="20" xfId="0" applyNumberFormat="1" applyFont="1" applyFill="1" applyBorder="1" applyAlignment="1">
      <alignment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24" xfId="0" applyNumberFormat="1" applyFont="1" applyFill="1" applyBorder="1" applyAlignment="1" applyProtection="1">
      <alignment horizontal="left" vertical="center"/>
    </xf>
    <xf numFmtId="167" fontId="4" fillId="2" borderId="24" xfId="0" applyNumberFormat="1" applyFont="1" applyFill="1" applyBorder="1" applyAlignment="1" applyProtection="1">
      <alignment horizontal="right" vertical="center"/>
    </xf>
    <xf numFmtId="164" fontId="37" fillId="2" borderId="5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 applyProtection="1">
      <alignment horizontal="fill" vertical="center"/>
    </xf>
    <xf numFmtId="164" fontId="36" fillId="2" borderId="20" xfId="0" applyNumberFormat="1" applyFont="1" applyFill="1" applyBorder="1" applyAlignment="1">
      <alignment vertical="center"/>
    </xf>
    <xf numFmtId="164" fontId="39" fillId="2" borderId="0" xfId="0" applyNumberFormat="1" applyFont="1" applyFill="1" applyBorder="1" applyAlignment="1" applyProtection="1">
      <alignment horizontal="left" vertical="center"/>
    </xf>
    <xf numFmtId="164" fontId="39" fillId="2" borderId="0" xfId="0" applyNumberFormat="1" applyFont="1" applyFill="1" applyBorder="1" applyAlignment="1">
      <alignment horizontal="right" vertical="center"/>
    </xf>
    <xf numFmtId="3" fontId="39" fillId="2" borderId="0" xfId="0" applyNumberFormat="1" applyFont="1" applyFill="1" applyBorder="1" applyAlignment="1">
      <alignment vertical="center"/>
    </xf>
    <xf numFmtId="164" fontId="36" fillId="2" borderId="0" xfId="0" applyNumberFormat="1" applyFont="1" applyFill="1" applyBorder="1" applyAlignment="1" applyProtection="1">
      <alignment horizontal="left" vertical="center"/>
    </xf>
    <xf numFmtId="3" fontId="36" fillId="2" borderId="0" xfId="0" applyNumberFormat="1" applyFont="1" applyFill="1" applyBorder="1" applyAlignment="1">
      <alignment vertical="center"/>
    </xf>
    <xf numFmtId="164" fontId="36" fillId="2" borderId="23" xfId="0" applyNumberFormat="1" applyFont="1" applyFill="1" applyBorder="1" applyAlignment="1">
      <alignment vertical="center"/>
    </xf>
    <xf numFmtId="164" fontId="0" fillId="2" borderId="23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164" fontId="34" fillId="2" borderId="0" xfId="0" applyNumberFormat="1" applyFont="1" applyFill="1" applyBorder="1" applyAlignment="1">
      <alignment horizontal="right" vertical="center"/>
    </xf>
    <xf numFmtId="164" fontId="14" fillId="2" borderId="25" xfId="0" applyNumberFormat="1" applyFont="1" applyFill="1" applyBorder="1" applyAlignment="1" applyProtection="1">
      <alignment horizontal="center" vertical="center"/>
    </xf>
    <xf numFmtId="164" fontId="14" fillId="2" borderId="5" xfId="0" applyNumberFormat="1" applyFont="1" applyFill="1" applyBorder="1" applyAlignment="1" applyProtection="1">
      <alignment horizontal="center" vertical="center"/>
    </xf>
    <xf numFmtId="164" fontId="0" fillId="2" borderId="26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top"/>
    </xf>
    <xf numFmtId="164" fontId="35" fillId="2" borderId="28" xfId="0" applyNumberFormat="1" applyFont="1" applyFill="1" applyBorder="1" applyAlignment="1">
      <alignment horizontal="right" vertical="center"/>
    </xf>
    <xf numFmtId="164" fontId="6" fillId="2" borderId="3" xfId="0" applyNumberFormat="1" applyFont="1" applyFill="1" applyBorder="1" applyAlignment="1">
      <alignment horizontal="right" vertical="center"/>
    </xf>
    <xf numFmtId="164" fontId="37" fillId="2" borderId="29" xfId="0" applyNumberFormat="1" applyFont="1" applyFill="1" applyBorder="1" applyAlignment="1">
      <alignment horizontal="right" vertical="center"/>
    </xf>
    <xf numFmtId="164" fontId="37" fillId="2" borderId="30" xfId="0" applyNumberFormat="1" applyFont="1" applyFill="1" applyBorder="1" applyAlignment="1">
      <alignment horizontal="right" vertical="center"/>
    </xf>
    <xf numFmtId="164" fontId="37" fillId="2" borderId="31" xfId="0" applyNumberFormat="1" applyFont="1" applyFill="1" applyBorder="1" applyAlignment="1">
      <alignment horizontal="right" vertical="center"/>
    </xf>
    <xf numFmtId="164" fontId="36" fillId="2" borderId="32" xfId="0" applyNumberFormat="1" applyFont="1" applyFill="1" applyBorder="1" applyAlignment="1">
      <alignment vertical="center"/>
    </xf>
    <xf numFmtId="164" fontId="36" fillId="2" borderId="27" xfId="0" applyNumberFormat="1" applyFont="1" applyFill="1" applyBorder="1" applyAlignment="1">
      <alignment vertical="center"/>
    </xf>
    <xf numFmtId="164" fontId="0" fillId="2" borderId="32" xfId="0" applyNumberFormat="1" applyFont="1" applyFill="1" applyBorder="1" applyAlignment="1">
      <alignment vertical="center"/>
    </xf>
    <xf numFmtId="164" fontId="32" fillId="2" borderId="0" xfId="50" applyNumberFormat="1" applyFill="1" applyBorder="1" applyAlignment="1" applyProtection="1"/>
    <xf numFmtId="164" fontId="38" fillId="2" borderId="0" xfId="0" applyNumberFormat="1" applyFont="1" applyFill="1" applyBorder="1"/>
    <xf numFmtId="164" fontId="33" fillId="2" borderId="26" xfId="0" applyNumberFormat="1" applyFont="1" applyFill="1" applyBorder="1" applyAlignment="1">
      <alignment horizontal="center" vertical="center"/>
    </xf>
    <xf numFmtId="164" fontId="14" fillId="2" borderId="0" xfId="0" applyNumberFormat="1" applyFont="1" applyFill="1" applyBorder="1" applyAlignment="1" applyProtection="1">
      <alignment horizontal="center" vertical="center"/>
    </xf>
    <xf numFmtId="164" fontId="13" fillId="2" borderId="0" xfId="0" applyNumberFormat="1" applyFont="1" applyFill="1" applyAlignment="1">
      <alignment horizont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Hyperlink" xfId="50" builtinId="8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BC497"/>
      <color rgb="FFCE2049"/>
      <color rgb="FF953735"/>
      <color rgb="FFF8A45E"/>
      <color rgb="FFF27A16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270105089536557E-2"/>
          <c:y val="0.13228486439195103"/>
          <c:w val="0.87949545780462135"/>
          <c:h val="0.7652321959755030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'8.20'!$A$6</c:f>
              <c:strCache>
                <c:ptCount val="1"/>
                <c:pt idx="0">
                  <c:v>Drug court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'8.20'!$G$4:$I$4</c:f>
              <c:numCache>
                <c:formatCode>General_)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'8.20'!$G$6:$I$6</c:f>
              <c:numCache>
                <c:formatCode>#,##0</c:formatCode>
                <c:ptCount val="3"/>
                <c:pt idx="0">
                  <c:v>1271</c:v>
                </c:pt>
                <c:pt idx="1">
                  <c:v>1302</c:v>
                </c:pt>
                <c:pt idx="2">
                  <c:v>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D-4A05-B8A6-731A91C11F3E}"/>
            </c:ext>
          </c:extLst>
        </c:ser>
        <c:ser>
          <c:idx val="0"/>
          <c:order val="1"/>
          <c:tx>
            <c:strRef>
              <c:f>'8.20'!$A$7</c:f>
              <c:strCache>
                <c:ptCount val="1"/>
                <c:pt idx="0">
                  <c:v>Juvenile court</c:v>
                </c:pt>
              </c:strCache>
            </c:strRef>
          </c:tx>
          <c:spPr>
            <a:solidFill>
              <a:srgbClr val="542804"/>
            </a:solidFill>
          </c:spPr>
          <c:invertIfNegative val="0"/>
          <c:cat>
            <c:numRef>
              <c:f>'8.20'!$G$4:$I$4</c:f>
              <c:numCache>
                <c:formatCode>General_)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'8.20'!$G$7:$I$7</c:f>
              <c:numCache>
                <c:formatCode>#,##0</c:formatCode>
                <c:ptCount val="3"/>
                <c:pt idx="0">
                  <c:v>26</c:v>
                </c:pt>
                <c:pt idx="1">
                  <c:v>31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D-4A05-B8A6-731A91C11F3E}"/>
            </c:ext>
          </c:extLst>
        </c:ser>
        <c:ser>
          <c:idx val="2"/>
          <c:order val="2"/>
          <c:tx>
            <c:strRef>
              <c:f>'8.20'!$A$8</c:f>
              <c:strCache>
                <c:ptCount val="1"/>
                <c:pt idx="0">
                  <c:v>Family court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</c:spPr>
          <c:invertIfNegative val="0"/>
          <c:cat>
            <c:numRef>
              <c:f>'8.20'!$G$4:$I$4</c:f>
              <c:numCache>
                <c:formatCode>General_)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'8.20'!$G$8:$I$8</c:f>
              <c:numCache>
                <c:formatCode>#,##0</c:formatCode>
                <c:ptCount val="3"/>
                <c:pt idx="0">
                  <c:v>2553</c:v>
                </c:pt>
                <c:pt idx="1">
                  <c:v>2562</c:v>
                </c:pt>
                <c:pt idx="2">
                  <c:v>2543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AD-4A05-B8A6-731A91C11F3E}"/>
            </c:ext>
          </c:extLst>
        </c:ser>
        <c:ser>
          <c:idx val="3"/>
          <c:order val="3"/>
          <c:tx>
            <c:strRef>
              <c:f>'8.20'!$A$9</c:f>
              <c:strCache>
                <c:ptCount val="1"/>
                <c:pt idx="0">
                  <c:v>Criminal court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</c:spPr>
          <c:invertIfNegative val="0"/>
          <c:cat>
            <c:numRef>
              <c:f>'8.20'!$G$4:$I$4</c:f>
              <c:numCache>
                <c:formatCode>General_)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'8.20'!$G$9:$I$9</c:f>
              <c:numCache>
                <c:formatCode>#,##0</c:formatCode>
                <c:ptCount val="3"/>
                <c:pt idx="0">
                  <c:v>1069</c:v>
                </c:pt>
                <c:pt idx="1">
                  <c:v>860</c:v>
                </c:pt>
                <c:pt idx="2">
                  <c:v>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AD-4A05-B8A6-731A91C11F3E}"/>
            </c:ext>
          </c:extLst>
        </c:ser>
        <c:ser>
          <c:idx val="4"/>
          <c:order val="4"/>
          <c:tx>
            <c:strRef>
              <c:f>'8.20'!$A$10</c:f>
              <c:strCache>
                <c:ptCount val="1"/>
                <c:pt idx="0">
                  <c:v>Civil court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numRef>
              <c:f>'8.20'!$G$4:$I$4</c:f>
              <c:numCache>
                <c:formatCode>General_)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'8.20'!$G$10:$I$10</c:f>
              <c:numCache>
                <c:formatCode>#,##0</c:formatCode>
                <c:ptCount val="3"/>
                <c:pt idx="0">
                  <c:v>2283</c:v>
                </c:pt>
                <c:pt idx="1">
                  <c:v>3326</c:v>
                </c:pt>
                <c:pt idx="2">
                  <c:v>3044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AD-4A05-B8A6-731A91C11F3E}"/>
            </c:ext>
          </c:extLst>
        </c:ser>
        <c:ser>
          <c:idx val="5"/>
          <c:order val="5"/>
          <c:tx>
            <c:strRef>
              <c:f>'8.20'!$A$11</c:f>
              <c:strCache>
                <c:ptCount val="1"/>
                <c:pt idx="0">
                  <c:v>Magistrate Courts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'8.20'!$G$4:$I$4</c:f>
              <c:numCache>
                <c:formatCode>General_)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'8.20'!$G$11:$I$11</c:f>
              <c:numCache>
                <c:formatCode>#,##0</c:formatCode>
                <c:ptCount val="3"/>
                <c:pt idx="0">
                  <c:v>12170</c:v>
                </c:pt>
                <c:pt idx="1">
                  <c:v>12617</c:v>
                </c:pt>
                <c:pt idx="2">
                  <c:v>10259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AD-4A05-B8A6-731A91C11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83244928"/>
        <c:axId val="83246464"/>
      </c:barChart>
      <c:catAx>
        <c:axId val="83244928"/>
        <c:scaling>
          <c:orientation val="minMax"/>
        </c:scaling>
        <c:delete val="0"/>
        <c:axPos val="b"/>
        <c:numFmt formatCode="General_)" sourceLinked="1"/>
        <c:majorTickMark val="none"/>
        <c:minorTickMark val="in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83246464"/>
        <c:crosses val="autoZero"/>
        <c:auto val="1"/>
        <c:lblAlgn val="ctr"/>
        <c:lblOffset val="100"/>
        <c:noMultiLvlLbl val="0"/>
      </c:catAx>
      <c:valAx>
        <c:axId val="83246464"/>
        <c:scaling>
          <c:orientation val="minMax"/>
          <c:max val="13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244928"/>
        <c:crossesAt val="1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5000359309714696E-2"/>
          <c:y val="0.19949746281714786"/>
          <c:w val="0.20128749225773113"/>
          <c:h val="0.36162239720034989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299047682969238"/>
          <c:y val="0.15293597431933173"/>
          <c:w val="0.40318325702800056"/>
          <c:h val="0.82604898578643893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7F66-43D6-9910-AD2B12409C5D}"/>
              </c:ext>
            </c:extLst>
          </c:dPt>
          <c:dPt>
            <c:idx val="1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7F66-43D6-9910-AD2B12409C5D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7F66-43D6-9910-AD2B12409C5D}"/>
              </c:ext>
            </c:extLst>
          </c:dPt>
          <c:dPt>
            <c:idx val="3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7F66-43D6-9910-AD2B12409C5D}"/>
              </c:ext>
            </c:extLst>
          </c:dPt>
          <c:dPt>
            <c:idx val="4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7F66-43D6-9910-AD2B12409C5D}"/>
              </c:ext>
            </c:extLst>
          </c:dPt>
          <c:dPt>
            <c:idx val="5"/>
            <c:bubble3D val="0"/>
            <c:spPr>
              <a:solidFill>
                <a:schemeClr val="tx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7F66-43D6-9910-AD2B12409C5D}"/>
              </c:ext>
            </c:extLst>
          </c:dPt>
          <c:dLbls>
            <c:dLbl>
              <c:idx val="0"/>
              <c:layout>
                <c:manualLayout>
                  <c:x val="6.3018545098107856E-3"/>
                  <c:y val="-8.094012409562718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F66-43D6-9910-AD2B12409C5D}"/>
                </c:ext>
              </c:extLst>
            </c:dLbl>
            <c:dLbl>
              <c:idx val="1"/>
              <c:layout>
                <c:manualLayout>
                  <c:x val="7.5809597679018334E-2"/>
                  <c:y val="-9.613249430325379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F66-43D6-9910-AD2B12409C5D}"/>
                </c:ext>
              </c:extLst>
            </c:dLbl>
            <c:dLbl>
              <c:idx val="2"/>
              <c:layout>
                <c:manualLayout>
                  <c:x val="3.1164669793975883E-4"/>
                  <c:y val="1.01607024233353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7F66-43D6-9910-AD2B12409C5D}"/>
                </c:ext>
              </c:extLst>
            </c:dLbl>
            <c:dLbl>
              <c:idx val="3"/>
              <c:layout>
                <c:manualLayout>
                  <c:x val="1.7928915562478577E-3"/>
                  <c:y val="9.8243156444978354E-3"/>
                </c:manualLayout>
              </c:layout>
              <c:tx>
                <c:rich>
                  <a:bodyPr/>
                  <a:lstStyle/>
                  <a:p>
                    <a:fld id="{1B1D9C16-3675-43D3-8839-6E8B159F535B}" type="CATEGORYNAME">
                      <a:rPr lang="en-US" sz="800"/>
                      <a:pPr/>
                      <a:t>[CATEGORY NAME]</a:t>
                    </a:fld>
                    <a:r>
                      <a:rPr lang="en-US" sz="800" baseline="0"/>
                      <a:t>
</a:t>
                    </a:r>
                    <a:fld id="{FE1EBAF4-A09F-4C10-9080-264D75473260}" type="PERCENTAGE">
                      <a:rPr lang="en-US" sz="800" baseline="0"/>
                      <a:pPr/>
                      <a:t>[PERCENTAGE]</a:t>
                    </a:fld>
                    <a:endParaRPr lang="en-US" sz="800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7F66-43D6-9910-AD2B12409C5D}"/>
                </c:ext>
              </c:extLst>
            </c:dLbl>
            <c:dLbl>
              <c:idx val="4"/>
              <c:layout>
                <c:manualLayout>
                  <c:x val="6.9467539514449245E-3"/>
                  <c:y val="-2.3933401071349635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chemeClr val="bg1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7F66-43D6-9910-AD2B12409C5D}"/>
                </c:ext>
              </c:extLst>
            </c:dLbl>
            <c:dLbl>
              <c:idx val="5"/>
              <c:layout>
                <c:manualLayout>
                  <c:x val="6.0048397542490035E-2"/>
                  <c:y val="0.2031681918189856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 sz="800">
                      <a:solidFill>
                        <a:schemeClr val="bg1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F66-43D6-9910-AD2B12409C5D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+mn-lt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'8.20'!$A$13:$A$18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'8.20'!$I$13:$I$18</c:f>
              <c:numCache>
                <c:formatCode>0.0</c:formatCode>
                <c:ptCount val="6"/>
                <c:pt idx="0" formatCode="#,##0.0">
                  <c:v>8.768971332209107</c:v>
                </c:pt>
                <c:pt idx="1">
                  <c:v>0.23935157482456618</c:v>
                </c:pt>
                <c:pt idx="2">
                  <c:v>13.833433063156178</c:v>
                </c:pt>
                <c:pt idx="3">
                  <c:v>4.7924713050100642</c:v>
                </c:pt>
                <c:pt idx="4">
                  <c:v>16.558777131044987</c:v>
                </c:pt>
                <c:pt idx="5">
                  <c:v>55.806995593755104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F66-43D6-9910-AD2B12409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26</xdr:row>
      <xdr:rowOff>152400</xdr:rowOff>
    </xdr:from>
    <xdr:to>
      <xdr:col>9</xdr:col>
      <xdr:colOff>1447800</xdr:colOff>
      <xdr:row>41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304799</xdr:colOff>
      <xdr:row>27</xdr:row>
      <xdr:rowOff>9525</xdr:rowOff>
    </xdr:from>
    <xdr:to>
      <xdr:col>9</xdr:col>
      <xdr:colOff>438150</xdr:colOff>
      <xdr:row>28</xdr:row>
      <xdr:rowOff>85724</xdr:rowOff>
    </xdr:to>
    <xdr:sp macro="" textlink="">
      <xdr:nvSpPr>
        <xdr:cNvPr id="3" name="TextBox 2"/>
        <xdr:cNvSpPr txBox="1"/>
      </xdr:nvSpPr>
      <xdr:spPr>
        <a:xfrm>
          <a:off x="1838324" y="5581650"/>
          <a:ext cx="4895851" cy="2666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j-lt"/>
              <a:ea typeface="+mn-ea"/>
              <a:cs typeface="Consolas" pitchFamily="49" charset="0"/>
            </a:rPr>
            <a:t>Figure 8.23: Number of cases dealt by judicial court in Male', 2015 - 2017</a:t>
          </a:r>
          <a:endParaRPr lang="en-US">
            <a:effectLst/>
            <a:latin typeface="+mj-lt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</xdr:col>
      <xdr:colOff>333375</xdr:colOff>
      <xdr:row>28</xdr:row>
      <xdr:rowOff>66674</xdr:rowOff>
    </xdr:from>
    <xdr:to>
      <xdr:col>9</xdr:col>
      <xdr:colOff>381000</xdr:colOff>
      <xdr:row>28</xdr:row>
      <xdr:rowOff>69055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866900" y="5829299"/>
          <a:ext cx="4810125" cy="2381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422671</xdr:colOff>
      <xdr:row>42</xdr:row>
      <xdr:rowOff>117870</xdr:rowOff>
    </xdr:from>
    <xdr:to>
      <xdr:col>9</xdr:col>
      <xdr:colOff>1440656</xdr:colOff>
      <xdr:row>57</xdr:row>
      <xdr:rowOff>175020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1440656</xdr:colOff>
      <xdr:row>43</xdr:row>
      <xdr:rowOff>29765</xdr:rowOff>
    </xdr:from>
    <xdr:to>
      <xdr:col>9</xdr:col>
      <xdr:colOff>708422</xdr:colOff>
      <xdr:row>44</xdr:row>
      <xdr:rowOff>89296</xdr:rowOff>
    </xdr:to>
    <xdr:sp macro="" textlink="">
      <xdr:nvSpPr>
        <xdr:cNvPr id="6" name="TextBox 5"/>
        <xdr:cNvSpPr txBox="1"/>
      </xdr:nvSpPr>
      <xdr:spPr>
        <a:xfrm>
          <a:off x="1440656" y="8611790"/>
          <a:ext cx="5563791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Figure 8.24</a:t>
          </a:r>
          <a:r>
            <a:rPr lang="en-US" sz="1100" b="1" i="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: Percentage of cases dealt by judicial courts in Male' and islands, 2017</a:t>
          </a:r>
          <a:endParaRPr lang="en-US">
            <a:effectLst/>
            <a:latin typeface="+mj-lt"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1470422</xdr:colOff>
      <xdr:row>44</xdr:row>
      <xdr:rowOff>83342</xdr:rowOff>
    </xdr:from>
    <xdr:to>
      <xdr:col>9</xdr:col>
      <xdr:colOff>601265</xdr:colOff>
      <xdr:row>44</xdr:row>
      <xdr:rowOff>86913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1470422" y="8855867"/>
          <a:ext cx="5426868" cy="3571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E2215"/>
  <sheetViews>
    <sheetView tabSelected="1" zoomScale="118" zoomScaleNormal="118" workbookViewId="0">
      <selection activeCell="N18" sqref="N18"/>
    </sheetView>
  </sheetViews>
  <sheetFormatPr defaultRowHeight="15"/>
  <cols>
    <col min="1" max="1" width="23" style="41" customWidth="1"/>
    <col min="2" max="5" width="9.140625" style="41"/>
    <col min="6" max="9" width="8.7109375" style="41" customWidth="1"/>
    <col min="10" max="10" width="29.7109375" style="99" customWidth="1"/>
    <col min="11" max="11" width="6.5703125" style="40" customWidth="1"/>
    <col min="12" max="12" width="1.28515625" style="40" customWidth="1"/>
    <col min="13" max="135" width="9.140625" style="40"/>
    <col min="136" max="16384" width="9.140625" style="41"/>
  </cols>
  <sheetData>
    <row r="1" spans="1:135" s="90" customFormat="1" ht="18">
      <c r="A1" s="102" t="s">
        <v>85</v>
      </c>
      <c r="B1" s="102"/>
      <c r="C1" s="102"/>
      <c r="D1" s="102"/>
      <c r="E1" s="102"/>
      <c r="F1" s="102"/>
      <c r="G1" s="102"/>
      <c r="H1" s="102"/>
      <c r="I1" s="102"/>
      <c r="J1" s="102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</row>
    <row r="2" spans="1:135" s="43" customFormat="1">
      <c r="A2" s="103" t="s">
        <v>84</v>
      </c>
      <c r="B2" s="103"/>
      <c r="C2" s="103"/>
      <c r="D2" s="103"/>
      <c r="E2" s="103"/>
      <c r="F2" s="103"/>
      <c r="G2" s="103"/>
      <c r="H2" s="103"/>
      <c r="I2" s="103"/>
      <c r="J2" s="103"/>
      <c r="K2" s="42"/>
      <c r="L2" s="42"/>
      <c r="M2" s="42"/>
      <c r="N2" s="42"/>
      <c r="O2" s="42"/>
      <c r="P2" s="42"/>
      <c r="Q2" s="42"/>
      <c r="R2" s="42"/>
      <c r="S2" s="42"/>
    </row>
    <row r="3" spans="1:135" s="91" customFormat="1" ht="3" customHeight="1">
      <c r="A3" s="88"/>
      <c r="B3" s="89"/>
      <c r="C3" s="89"/>
      <c r="D3" s="89"/>
      <c r="E3" s="89"/>
      <c r="F3" s="89"/>
      <c r="G3" s="89"/>
      <c r="H3" s="89"/>
      <c r="I3" s="89"/>
      <c r="J3" s="89"/>
      <c r="K3" s="42"/>
      <c r="L3" s="42"/>
      <c r="M3" s="42"/>
      <c r="N3" s="42"/>
      <c r="O3" s="42"/>
      <c r="P3" s="42"/>
      <c r="Q3" s="42"/>
      <c r="R3" s="42"/>
      <c r="S3" s="42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</row>
    <row r="4" spans="1:135" s="48" customFormat="1" ht="17.25">
      <c r="A4" s="44" t="s">
        <v>65</v>
      </c>
      <c r="B4" s="45">
        <v>2010</v>
      </c>
      <c r="C4" s="45">
        <v>2011</v>
      </c>
      <c r="D4" s="45">
        <v>2012</v>
      </c>
      <c r="E4" s="45">
        <v>2013</v>
      </c>
      <c r="F4" s="45">
        <v>2014</v>
      </c>
      <c r="G4" s="45">
        <v>2015</v>
      </c>
      <c r="H4" s="45">
        <v>2016</v>
      </c>
      <c r="I4" s="45">
        <v>2017</v>
      </c>
      <c r="J4" s="92" t="s">
        <v>66</v>
      </c>
      <c r="K4" s="46"/>
      <c r="L4" s="46"/>
      <c r="M4" s="46"/>
      <c r="N4" s="46"/>
      <c r="O4" s="46"/>
      <c r="P4" s="46"/>
      <c r="Q4" s="46"/>
      <c r="R4" s="46"/>
      <c r="S4" s="46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</row>
    <row r="5" spans="1:135" s="48" customFormat="1">
      <c r="A5" s="49" t="s">
        <v>0</v>
      </c>
      <c r="B5" s="50">
        <f t="shared" ref="B5:C5" si="0">SUM(B7:B11)</f>
        <v>15036</v>
      </c>
      <c r="C5" s="50">
        <f t="shared" si="0"/>
        <v>14710</v>
      </c>
      <c r="D5" s="50">
        <f t="shared" ref="D5:G5" si="1">SUM(D6:D11)</f>
        <v>14329</v>
      </c>
      <c r="E5" s="50">
        <f t="shared" si="1"/>
        <v>16654</v>
      </c>
      <c r="F5" s="50">
        <f t="shared" si="1"/>
        <v>19579</v>
      </c>
      <c r="G5" s="50">
        <f t="shared" si="1"/>
        <v>19372</v>
      </c>
      <c r="H5" s="50">
        <f>SUM(H6:H11)</f>
        <v>20698</v>
      </c>
      <c r="I5" s="50">
        <f>SUM(I6:I11)</f>
        <v>18383</v>
      </c>
      <c r="J5" s="93" t="s">
        <v>1</v>
      </c>
      <c r="K5" s="67"/>
      <c r="L5" s="46"/>
      <c r="M5" s="46"/>
      <c r="N5" s="46"/>
      <c r="O5" s="46"/>
      <c r="P5" s="46"/>
      <c r="Q5" s="46"/>
      <c r="R5" s="46"/>
      <c r="S5" s="46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</row>
    <row r="6" spans="1:135" s="48" customFormat="1" ht="17.25">
      <c r="A6" s="51" t="s">
        <v>67</v>
      </c>
      <c r="B6" s="52">
        <v>0</v>
      </c>
      <c r="C6" s="52">
        <v>0</v>
      </c>
      <c r="D6" s="53">
        <v>97</v>
      </c>
      <c r="E6" s="53">
        <v>465</v>
      </c>
      <c r="F6" s="53">
        <v>677</v>
      </c>
      <c r="G6" s="53">
        <v>1271</v>
      </c>
      <c r="H6" s="53">
        <v>1302</v>
      </c>
      <c r="I6" s="53">
        <v>1612</v>
      </c>
      <c r="J6" s="94" t="s">
        <v>68</v>
      </c>
      <c r="K6" s="67"/>
      <c r="L6" s="46"/>
      <c r="M6" s="46"/>
      <c r="N6" s="46"/>
      <c r="O6" s="46"/>
      <c r="P6" s="46"/>
      <c r="Q6" s="46"/>
      <c r="R6" s="46"/>
      <c r="S6" s="46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</row>
    <row r="7" spans="1:135" s="48" customFormat="1" ht="17.25">
      <c r="A7" s="51" t="s">
        <v>69</v>
      </c>
      <c r="B7" s="53">
        <v>211</v>
      </c>
      <c r="C7" s="53">
        <v>123</v>
      </c>
      <c r="D7" s="53">
        <v>94</v>
      </c>
      <c r="E7" s="53">
        <v>122</v>
      </c>
      <c r="F7" s="53">
        <v>81</v>
      </c>
      <c r="G7" s="53">
        <v>26</v>
      </c>
      <c r="H7" s="53">
        <v>31</v>
      </c>
      <c r="I7" s="53">
        <v>44</v>
      </c>
      <c r="J7" s="94" t="s">
        <v>70</v>
      </c>
      <c r="K7" s="100"/>
      <c r="L7" s="46"/>
      <c r="M7" s="46"/>
      <c r="N7" s="46"/>
      <c r="O7" s="46"/>
      <c r="P7" s="46"/>
      <c r="Q7" s="46"/>
      <c r="R7" s="46"/>
      <c r="S7" s="46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</row>
    <row r="8" spans="1:135" s="48" customFormat="1" ht="17.25">
      <c r="A8" s="51" t="s">
        <v>71</v>
      </c>
      <c r="B8" s="53">
        <v>2044</v>
      </c>
      <c r="C8" s="53">
        <v>1996</v>
      </c>
      <c r="D8" s="53">
        <v>2194</v>
      </c>
      <c r="E8" s="53">
        <v>2590</v>
      </c>
      <c r="F8" s="53">
        <v>2616</v>
      </c>
      <c r="G8" s="53">
        <v>2553</v>
      </c>
      <c r="H8" s="53">
        <v>2562</v>
      </c>
      <c r="I8" s="53">
        <v>2543</v>
      </c>
      <c r="J8" s="94" t="s">
        <v>72</v>
      </c>
      <c r="K8" s="67"/>
      <c r="L8" s="46"/>
      <c r="M8" s="46"/>
      <c r="N8" s="46"/>
      <c r="O8" s="46"/>
      <c r="P8" s="46"/>
      <c r="Q8" s="46"/>
      <c r="R8" s="46"/>
      <c r="S8" s="46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</row>
    <row r="9" spans="1:135" s="48" customFormat="1" ht="17.25">
      <c r="A9" s="51" t="s">
        <v>73</v>
      </c>
      <c r="B9" s="53">
        <v>1433</v>
      </c>
      <c r="C9" s="53">
        <v>1036</v>
      </c>
      <c r="D9" s="53">
        <v>990</v>
      </c>
      <c r="E9" s="53">
        <v>1669</v>
      </c>
      <c r="F9" s="53">
        <v>1957</v>
      </c>
      <c r="G9" s="53">
        <v>1069</v>
      </c>
      <c r="H9" s="53">
        <v>860</v>
      </c>
      <c r="I9" s="53">
        <v>881</v>
      </c>
      <c r="J9" s="94" t="s">
        <v>74</v>
      </c>
      <c r="K9" s="67"/>
      <c r="L9" s="46"/>
      <c r="M9" s="46"/>
      <c r="N9" s="46"/>
      <c r="O9" s="46"/>
      <c r="P9" s="46"/>
      <c r="Q9" s="46"/>
      <c r="R9" s="46"/>
      <c r="S9" s="46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</row>
    <row r="10" spans="1:135" s="48" customFormat="1" ht="17.25">
      <c r="A10" s="51" t="s">
        <v>75</v>
      </c>
      <c r="B10" s="53">
        <v>2493</v>
      </c>
      <c r="C10" s="53">
        <v>2262</v>
      </c>
      <c r="D10" s="53">
        <v>2412</v>
      </c>
      <c r="E10" s="53">
        <v>2154</v>
      </c>
      <c r="F10" s="53">
        <v>3203</v>
      </c>
      <c r="G10" s="53">
        <v>2283</v>
      </c>
      <c r="H10" s="53">
        <v>3326</v>
      </c>
      <c r="I10" s="53">
        <v>3044</v>
      </c>
      <c r="J10" s="94" t="s">
        <v>76</v>
      </c>
      <c r="K10" s="47"/>
      <c r="L10" s="46"/>
      <c r="M10" s="53"/>
      <c r="N10" s="46"/>
      <c r="O10" s="46"/>
      <c r="P10" s="46"/>
      <c r="Q10" s="46"/>
      <c r="R10" s="46"/>
      <c r="S10" s="46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</row>
    <row r="11" spans="1:135" s="48" customFormat="1" ht="17.25">
      <c r="A11" s="54" t="s">
        <v>77</v>
      </c>
      <c r="B11" s="55">
        <v>8855</v>
      </c>
      <c r="C11" s="55">
        <v>9293</v>
      </c>
      <c r="D11" s="55">
        <v>8542</v>
      </c>
      <c r="E11" s="55">
        <v>9654</v>
      </c>
      <c r="F11" s="55">
        <v>11045</v>
      </c>
      <c r="G11" s="55">
        <v>12170</v>
      </c>
      <c r="H11" s="55">
        <v>12617</v>
      </c>
      <c r="I11" s="55">
        <v>10259</v>
      </c>
      <c r="J11" s="95" t="s">
        <v>78</v>
      </c>
      <c r="K11" s="47"/>
      <c r="L11" s="46"/>
      <c r="M11" s="53"/>
      <c r="N11" s="46"/>
      <c r="O11" s="46"/>
      <c r="P11" s="46"/>
      <c r="Q11" s="46"/>
      <c r="R11" s="46"/>
      <c r="S11" s="46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</row>
    <row r="12" spans="1:135" s="48" customFormat="1">
      <c r="A12" s="49" t="s">
        <v>64</v>
      </c>
      <c r="B12" s="56">
        <f>SUM(B13:B18)</f>
        <v>100</v>
      </c>
      <c r="C12" s="56">
        <f t="shared" ref="C12:G12" si="2">SUM(C13:C18)</f>
        <v>100</v>
      </c>
      <c r="D12" s="56">
        <f t="shared" si="2"/>
        <v>100</v>
      </c>
      <c r="E12" s="56">
        <f t="shared" si="2"/>
        <v>100</v>
      </c>
      <c r="F12" s="56">
        <f t="shared" si="2"/>
        <v>100</v>
      </c>
      <c r="G12" s="56">
        <f t="shared" si="2"/>
        <v>100</v>
      </c>
      <c r="H12" s="56">
        <f>SUM(H13:H18)</f>
        <v>100</v>
      </c>
      <c r="I12" s="56">
        <f>SUM(I13:I18)</f>
        <v>100</v>
      </c>
      <c r="J12" s="93" t="s">
        <v>79</v>
      </c>
      <c r="K12" s="67"/>
      <c r="L12" s="46"/>
      <c r="M12" s="46"/>
      <c r="N12" s="46"/>
      <c r="O12" s="46"/>
      <c r="P12" s="46"/>
      <c r="Q12" s="46"/>
      <c r="R12" s="46"/>
      <c r="S12" s="46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</row>
    <row r="13" spans="1:135" s="48" customFormat="1" ht="17.25">
      <c r="A13" s="57" t="s">
        <v>67</v>
      </c>
      <c r="B13" s="56" t="s">
        <v>80</v>
      </c>
      <c r="C13" s="56" t="s">
        <v>80</v>
      </c>
      <c r="D13" s="58">
        <f t="shared" ref="D13:G13" si="3">SUM(D6/D5)*100</f>
        <v>0.67694884499965102</v>
      </c>
      <c r="E13" s="58">
        <f t="shared" si="3"/>
        <v>2.7921220127296746</v>
      </c>
      <c r="F13" s="58">
        <f t="shared" si="3"/>
        <v>3.4577864037999895</v>
      </c>
      <c r="G13" s="58">
        <f t="shared" si="3"/>
        <v>6.5610158992360113</v>
      </c>
      <c r="H13" s="59">
        <f>SUM(H6/H5)*100</f>
        <v>6.2904628466518506</v>
      </c>
      <c r="I13" s="59">
        <f>SUM(I6/I5)*100</f>
        <v>8.768971332209107</v>
      </c>
      <c r="J13" s="94" t="s">
        <v>68</v>
      </c>
      <c r="K13" s="67"/>
      <c r="L13" s="46"/>
      <c r="M13" s="46"/>
      <c r="N13" s="46"/>
      <c r="O13" s="46"/>
      <c r="P13" s="46"/>
      <c r="Q13" s="46"/>
      <c r="R13" s="46"/>
      <c r="S13" s="46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</row>
    <row r="14" spans="1:135" s="48" customFormat="1" ht="17.25">
      <c r="A14" s="51" t="s">
        <v>69</v>
      </c>
      <c r="B14" s="60">
        <f t="shared" ref="B14:I14" si="4">SUM(B7/B5)*100</f>
        <v>1.4032987496674647</v>
      </c>
      <c r="C14" s="60">
        <f t="shared" si="4"/>
        <v>0.83616587355540462</v>
      </c>
      <c r="D14" s="60">
        <f t="shared" si="4"/>
        <v>0.65601228278316703</v>
      </c>
      <c r="E14" s="60">
        <f t="shared" si="4"/>
        <v>0.73255674312477481</v>
      </c>
      <c r="F14" s="60">
        <f t="shared" si="4"/>
        <v>0.41370856529955563</v>
      </c>
      <c r="G14" s="60">
        <f t="shared" si="4"/>
        <v>0.13421432996076813</v>
      </c>
      <c r="H14" s="60">
        <f t="shared" si="4"/>
        <v>0.14977292492028216</v>
      </c>
      <c r="I14" s="60">
        <f t="shared" si="4"/>
        <v>0.23935157482456618</v>
      </c>
      <c r="J14" s="94" t="s">
        <v>70</v>
      </c>
      <c r="K14" s="67"/>
      <c r="L14" s="46"/>
      <c r="M14" s="46"/>
      <c r="N14" s="46"/>
      <c r="O14" s="46"/>
      <c r="P14" s="46"/>
      <c r="Q14" s="46"/>
      <c r="R14" s="46"/>
      <c r="S14" s="46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</row>
    <row r="15" spans="1:135" s="48" customFormat="1" ht="17.25">
      <c r="A15" s="51" t="s">
        <v>71</v>
      </c>
      <c r="B15" s="60">
        <f t="shared" ref="B15:I15" si="5">SUM(B8/B5)*100</f>
        <v>13.594040968342643</v>
      </c>
      <c r="C15" s="60">
        <f t="shared" si="5"/>
        <v>13.569000679809653</v>
      </c>
      <c r="D15" s="60">
        <f t="shared" si="5"/>
        <v>15.311605834322004</v>
      </c>
      <c r="E15" s="60">
        <f t="shared" si="5"/>
        <v>15.551819382730875</v>
      </c>
      <c r="F15" s="60">
        <f t="shared" si="5"/>
        <v>13.361254405230094</v>
      </c>
      <c r="G15" s="60">
        <f t="shared" si="5"/>
        <v>13.178814784224654</v>
      </c>
      <c r="H15" s="60">
        <f t="shared" si="5"/>
        <v>12.378007536960093</v>
      </c>
      <c r="I15" s="60">
        <f t="shared" si="5"/>
        <v>13.833433063156178</v>
      </c>
      <c r="J15" s="94" t="s">
        <v>72</v>
      </c>
      <c r="K15" s="67"/>
      <c r="L15" s="46"/>
      <c r="M15" s="46"/>
      <c r="N15" s="46"/>
      <c r="O15" s="46"/>
      <c r="P15" s="46"/>
      <c r="Q15" s="46"/>
      <c r="R15" s="46"/>
      <c r="S15" s="46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</row>
    <row r="16" spans="1:135" s="48" customFormat="1" ht="17.25">
      <c r="A16" s="51" t="s">
        <v>73</v>
      </c>
      <c r="B16" s="60">
        <f t="shared" ref="B16:I16" si="6">SUM(B9/B5)*100</f>
        <v>9.5304602287842517</v>
      </c>
      <c r="C16" s="60">
        <f t="shared" si="6"/>
        <v>7.0428280081577155</v>
      </c>
      <c r="D16" s="60">
        <f t="shared" si="6"/>
        <v>6.9090655314397367</v>
      </c>
      <c r="E16" s="60">
        <f t="shared" si="6"/>
        <v>10.02161642848565</v>
      </c>
      <c r="F16" s="60">
        <f t="shared" si="6"/>
        <v>9.9954032381633375</v>
      </c>
      <c r="G16" s="60">
        <f t="shared" si="6"/>
        <v>5.5182737972331193</v>
      </c>
      <c r="H16" s="60">
        <f t="shared" si="6"/>
        <v>4.1549908203691182</v>
      </c>
      <c r="I16" s="60">
        <f t="shared" si="6"/>
        <v>4.7924713050100642</v>
      </c>
      <c r="J16" s="94" t="s">
        <v>74</v>
      </c>
      <c r="K16" s="67"/>
      <c r="L16" s="46"/>
      <c r="M16" s="46"/>
      <c r="N16" s="46"/>
      <c r="O16" s="46"/>
      <c r="P16" s="46"/>
      <c r="Q16" s="46"/>
      <c r="R16" s="46"/>
      <c r="S16" s="46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</row>
    <row r="17" spans="1:135" s="63" customFormat="1" ht="17.25">
      <c r="A17" s="61" t="s">
        <v>75</v>
      </c>
      <c r="B17" s="62">
        <f t="shared" ref="B17:I17" si="7">SUM(B10/B5)*100</f>
        <v>16.580207501995211</v>
      </c>
      <c r="C17" s="62">
        <f t="shared" si="7"/>
        <v>15.377294357579876</v>
      </c>
      <c r="D17" s="62">
        <f t="shared" si="7"/>
        <v>16.83299602205318</v>
      </c>
      <c r="E17" s="62">
        <f t="shared" si="7"/>
        <v>12.933829710580042</v>
      </c>
      <c r="F17" s="62">
        <f t="shared" si="7"/>
        <v>16.359364625363909</v>
      </c>
      <c r="G17" s="62">
        <f t="shared" si="7"/>
        <v>11.785050588478216</v>
      </c>
      <c r="H17" s="62">
        <f t="shared" si="7"/>
        <v>16.069185428543818</v>
      </c>
      <c r="I17" s="62">
        <f t="shared" si="7"/>
        <v>16.558777131044987</v>
      </c>
      <c r="J17" s="96" t="s">
        <v>76</v>
      </c>
      <c r="K17" s="67"/>
      <c r="L17" s="46"/>
      <c r="M17" s="46"/>
      <c r="N17" s="46"/>
      <c r="O17" s="46"/>
      <c r="P17" s="46"/>
      <c r="Q17" s="46"/>
      <c r="R17" s="46"/>
      <c r="S17" s="46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</row>
    <row r="18" spans="1:135" s="47" customFormat="1" ht="17.25">
      <c r="A18" s="64" t="s">
        <v>77</v>
      </c>
      <c r="B18" s="65">
        <f t="shared" ref="B18:I18" si="8">SUM(B11/B5)*100</f>
        <v>58.891992551210429</v>
      </c>
      <c r="C18" s="65">
        <f t="shared" si="8"/>
        <v>63.174711080897353</v>
      </c>
      <c r="D18" s="65">
        <f t="shared" si="8"/>
        <v>59.613371484402265</v>
      </c>
      <c r="E18" s="65">
        <f t="shared" si="8"/>
        <v>57.968055722348986</v>
      </c>
      <c r="F18" s="65">
        <f t="shared" si="8"/>
        <v>56.412482762143114</v>
      </c>
      <c r="G18" s="65">
        <f t="shared" si="8"/>
        <v>62.822630600867235</v>
      </c>
      <c r="H18" s="65">
        <f t="shared" si="8"/>
        <v>60.957580442554836</v>
      </c>
      <c r="I18" s="65">
        <f t="shared" si="8"/>
        <v>55.806995593755104</v>
      </c>
      <c r="J18" s="66" t="s">
        <v>81</v>
      </c>
      <c r="K18" s="67"/>
      <c r="L18" s="46"/>
      <c r="M18" s="46"/>
      <c r="N18" s="46"/>
      <c r="O18" s="46"/>
      <c r="P18" s="46"/>
      <c r="Q18" s="46"/>
      <c r="R18" s="46"/>
      <c r="S18" s="46"/>
    </row>
    <row r="19" spans="1:135" s="72" customFormat="1">
      <c r="A19" s="49" t="s">
        <v>82</v>
      </c>
      <c r="B19" s="68">
        <v>-6.0073763830718256</v>
      </c>
      <c r="C19" s="68">
        <f t="shared" ref="C19:I25" si="9">(C5-B5)*100/B5</f>
        <v>-2.1681298217611067</v>
      </c>
      <c r="D19" s="68">
        <f t="shared" si="9"/>
        <v>-2.5900747790618626</v>
      </c>
      <c r="E19" s="68">
        <f t="shared" si="9"/>
        <v>16.225835717775141</v>
      </c>
      <c r="F19" s="68">
        <f t="shared" si="9"/>
        <v>17.563348144589888</v>
      </c>
      <c r="G19" s="68">
        <f t="shared" si="9"/>
        <v>-1.0572552224321978</v>
      </c>
      <c r="H19" s="68">
        <f t="shared" si="9"/>
        <v>6.8449308279991739</v>
      </c>
      <c r="I19" s="68">
        <f t="shared" si="9"/>
        <v>-11.184655522272683</v>
      </c>
      <c r="J19" s="93" t="s">
        <v>83</v>
      </c>
      <c r="K19" s="101"/>
      <c r="L19" s="69"/>
      <c r="M19" s="70"/>
      <c r="N19" s="69"/>
      <c r="O19" s="69"/>
      <c r="P19" s="69"/>
      <c r="Q19" s="69"/>
      <c r="R19" s="69"/>
      <c r="S19" s="69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1"/>
      <c r="DE19" s="71"/>
      <c r="DF19" s="71"/>
      <c r="DG19" s="71"/>
      <c r="DH19" s="71"/>
      <c r="DI19" s="71"/>
      <c r="DJ19" s="71"/>
      <c r="DK19" s="71"/>
      <c r="DL19" s="71"/>
      <c r="DM19" s="71"/>
      <c r="DN19" s="71"/>
      <c r="DO19" s="71"/>
      <c r="DP19" s="71"/>
      <c r="DQ19" s="71"/>
      <c r="DR19" s="71"/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</row>
    <row r="20" spans="1:135" s="48" customFormat="1" ht="17.25">
      <c r="A20" s="57" t="s">
        <v>67</v>
      </c>
      <c r="B20" s="56" t="s">
        <v>80</v>
      </c>
      <c r="C20" s="56" t="s">
        <v>80</v>
      </c>
      <c r="D20" s="56" t="s">
        <v>80</v>
      </c>
      <c r="E20" s="60">
        <f t="shared" si="9"/>
        <v>379.38144329896909</v>
      </c>
      <c r="F20" s="60">
        <f t="shared" si="9"/>
        <v>45.591397849462368</v>
      </c>
      <c r="G20" s="60">
        <f t="shared" si="9"/>
        <v>87.740029542097489</v>
      </c>
      <c r="H20" s="60">
        <f t="shared" si="9"/>
        <v>2.4390243902439024</v>
      </c>
      <c r="I20" s="60">
        <f t="shared" si="9"/>
        <v>23.80952380952381</v>
      </c>
      <c r="J20" s="94" t="s">
        <v>68</v>
      </c>
      <c r="K20" s="67"/>
      <c r="L20" s="46"/>
      <c r="M20" s="73"/>
      <c r="N20" s="46"/>
      <c r="O20" s="46"/>
      <c r="P20" s="46"/>
      <c r="Q20" s="46"/>
      <c r="R20" s="46"/>
      <c r="S20" s="46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</row>
    <row r="21" spans="1:135" s="48" customFormat="1" ht="17.25">
      <c r="A21" s="51" t="s">
        <v>69</v>
      </c>
      <c r="B21" s="60">
        <v>100.95238095238095</v>
      </c>
      <c r="C21" s="60">
        <f t="shared" si="9"/>
        <v>-41.706161137440759</v>
      </c>
      <c r="D21" s="60">
        <f t="shared" si="9"/>
        <v>-23.577235772357724</v>
      </c>
      <c r="E21" s="60">
        <f t="shared" si="9"/>
        <v>29.787234042553191</v>
      </c>
      <c r="F21" s="60">
        <f t="shared" si="9"/>
        <v>-33.606557377049178</v>
      </c>
      <c r="G21" s="60">
        <f t="shared" si="9"/>
        <v>-67.901234567901241</v>
      </c>
      <c r="H21" s="60">
        <f t="shared" si="9"/>
        <v>19.23076923076923</v>
      </c>
      <c r="I21" s="60">
        <f t="shared" si="9"/>
        <v>41.935483870967744</v>
      </c>
      <c r="J21" s="94" t="s">
        <v>70</v>
      </c>
      <c r="K21" s="67"/>
      <c r="L21" s="46"/>
      <c r="M21" s="73"/>
      <c r="N21" s="46"/>
      <c r="O21" s="46"/>
      <c r="P21" s="46"/>
      <c r="Q21" s="46"/>
      <c r="R21" s="46"/>
      <c r="S21" s="46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</row>
    <row r="22" spans="1:135" s="48" customFormat="1" ht="17.25">
      <c r="A22" s="51" t="s">
        <v>71</v>
      </c>
      <c r="B22" s="60">
        <v>-2.15414073719483</v>
      </c>
      <c r="C22" s="60">
        <f t="shared" si="9"/>
        <v>-2.3483365949119372</v>
      </c>
      <c r="D22" s="60">
        <f t="shared" si="9"/>
        <v>9.9198396793587182</v>
      </c>
      <c r="E22" s="60">
        <f t="shared" si="9"/>
        <v>18.049225159525982</v>
      </c>
      <c r="F22" s="60">
        <f t="shared" si="9"/>
        <v>1.0038610038610039</v>
      </c>
      <c r="G22" s="60">
        <f t="shared" si="9"/>
        <v>-2.4082568807339451</v>
      </c>
      <c r="H22" s="60">
        <f t="shared" si="9"/>
        <v>0.3525264394829612</v>
      </c>
      <c r="I22" s="60">
        <f t="shared" si="9"/>
        <v>-0.74160811865729903</v>
      </c>
      <c r="J22" s="94" t="s">
        <v>72</v>
      </c>
      <c r="K22" s="67"/>
      <c r="L22" s="46"/>
      <c r="M22" s="73"/>
      <c r="N22" s="46"/>
      <c r="O22" s="46"/>
      <c r="P22" s="46"/>
      <c r="Q22" s="46"/>
      <c r="R22" s="46"/>
      <c r="S22" s="46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</row>
    <row r="23" spans="1:135" s="48" customFormat="1" ht="17.25">
      <c r="A23" s="51" t="s">
        <v>73</v>
      </c>
      <c r="B23" s="60">
        <v>-38.603256212510708</v>
      </c>
      <c r="C23" s="60">
        <f t="shared" si="9"/>
        <v>-27.704117236566642</v>
      </c>
      <c r="D23" s="60">
        <f t="shared" si="9"/>
        <v>-4.4401544401544397</v>
      </c>
      <c r="E23" s="60">
        <f t="shared" si="9"/>
        <v>68.585858585858588</v>
      </c>
      <c r="F23" s="60">
        <f t="shared" si="9"/>
        <v>17.25584182144997</v>
      </c>
      <c r="G23" s="60">
        <f t="shared" si="9"/>
        <v>-45.375574859478796</v>
      </c>
      <c r="H23" s="60">
        <f t="shared" si="9"/>
        <v>-19.550982226379794</v>
      </c>
      <c r="I23" s="60">
        <f t="shared" si="9"/>
        <v>2.441860465116279</v>
      </c>
      <c r="J23" s="94" t="s">
        <v>74</v>
      </c>
      <c r="K23" s="67"/>
      <c r="L23" s="46"/>
      <c r="M23" s="73"/>
      <c r="N23" s="46"/>
      <c r="O23" s="46"/>
      <c r="P23" s="46"/>
      <c r="Q23" s="46"/>
      <c r="R23" s="46"/>
      <c r="S23" s="46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</row>
    <row r="24" spans="1:135" s="63" customFormat="1" ht="17.25">
      <c r="A24" s="61" t="s">
        <v>75</v>
      </c>
      <c r="B24" s="62">
        <v>-9.477124183006536</v>
      </c>
      <c r="C24" s="62">
        <f t="shared" si="9"/>
        <v>-9.2659446450060177</v>
      </c>
      <c r="D24" s="62">
        <f t="shared" si="9"/>
        <v>6.6312997347480103</v>
      </c>
      <c r="E24" s="62">
        <f t="shared" si="9"/>
        <v>-10.696517412935323</v>
      </c>
      <c r="F24" s="62">
        <f t="shared" si="9"/>
        <v>48.700092850510678</v>
      </c>
      <c r="G24" s="62">
        <f t="shared" si="9"/>
        <v>-28.723072119887604</v>
      </c>
      <c r="H24" s="62">
        <f t="shared" si="9"/>
        <v>45.685501533070521</v>
      </c>
      <c r="I24" s="62">
        <f t="shared" si="9"/>
        <v>-8.4786530366806971</v>
      </c>
      <c r="J24" s="96" t="s">
        <v>76</v>
      </c>
      <c r="K24" s="67"/>
      <c r="L24" s="46"/>
      <c r="M24" s="73"/>
      <c r="N24" s="46"/>
      <c r="O24" s="46"/>
      <c r="P24" s="46"/>
      <c r="Q24" s="46"/>
      <c r="R24" s="46"/>
      <c r="S24" s="46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</row>
    <row r="25" spans="1:135" s="47" customFormat="1" ht="17.25">
      <c r="A25" s="74" t="s">
        <v>77</v>
      </c>
      <c r="B25" s="75">
        <v>1.606425702811245</v>
      </c>
      <c r="C25" s="75">
        <f t="shared" si="9"/>
        <v>4.9463579898362511</v>
      </c>
      <c r="D25" s="75">
        <f t="shared" si="9"/>
        <v>-8.0813515549338213</v>
      </c>
      <c r="E25" s="75">
        <f t="shared" si="9"/>
        <v>13.018028564738938</v>
      </c>
      <c r="F25" s="75">
        <f t="shared" si="9"/>
        <v>14.40853532214626</v>
      </c>
      <c r="G25" s="75">
        <f t="shared" si="9"/>
        <v>10.185604345857854</v>
      </c>
      <c r="H25" s="75">
        <f t="shared" si="9"/>
        <v>3.6729663105998358</v>
      </c>
      <c r="I25" s="75">
        <f t="shared" si="9"/>
        <v>-18.689070301973526</v>
      </c>
      <c r="J25" s="76" t="s">
        <v>81</v>
      </c>
      <c r="K25" s="67"/>
      <c r="L25" s="46"/>
      <c r="M25" s="73"/>
      <c r="N25" s="46"/>
      <c r="O25" s="46"/>
      <c r="P25" s="46"/>
      <c r="Q25" s="46"/>
      <c r="R25" s="46"/>
      <c r="S25" s="46"/>
    </row>
    <row r="26" spans="1:135" s="48" customFormat="1">
      <c r="A26" s="1" t="s">
        <v>2</v>
      </c>
      <c r="B26" s="77"/>
      <c r="C26" s="77"/>
      <c r="D26" s="77"/>
      <c r="E26" s="77"/>
      <c r="F26" s="77"/>
      <c r="G26" s="77"/>
      <c r="H26" s="77"/>
      <c r="I26" s="77"/>
      <c r="J26" s="39" t="s">
        <v>43</v>
      </c>
      <c r="K26" s="46"/>
      <c r="L26" s="46"/>
      <c r="M26" s="46"/>
      <c r="N26" s="46"/>
      <c r="O26" s="46"/>
      <c r="P26" s="46"/>
      <c r="Q26" s="46"/>
      <c r="R26" s="46"/>
      <c r="S26" s="46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</row>
    <row r="27" spans="1:135" s="48" customFormat="1">
      <c r="A27" s="1"/>
      <c r="B27" s="77"/>
      <c r="C27" s="77"/>
      <c r="D27" s="77"/>
      <c r="E27" s="77"/>
      <c r="F27" s="77"/>
      <c r="G27" s="77"/>
      <c r="H27" s="77"/>
      <c r="I27" s="77"/>
      <c r="J27" s="39"/>
      <c r="K27" s="46"/>
      <c r="L27" s="46"/>
      <c r="M27" s="46"/>
      <c r="N27" s="46"/>
      <c r="O27" s="46"/>
      <c r="P27" s="46"/>
      <c r="Q27" s="46"/>
      <c r="R27" s="46"/>
      <c r="S27" s="46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</row>
    <row r="28" spans="1:135">
      <c r="A28" s="78"/>
      <c r="B28" s="78"/>
      <c r="C28" s="78"/>
      <c r="D28" s="78"/>
      <c r="E28" s="78"/>
      <c r="F28" s="78"/>
      <c r="G28" s="78"/>
      <c r="H28" s="78"/>
      <c r="I28" s="78"/>
      <c r="J28" s="97"/>
      <c r="K28" s="46"/>
      <c r="L28" s="46"/>
      <c r="M28" s="46"/>
      <c r="N28" s="46"/>
      <c r="O28" s="46"/>
      <c r="P28" s="46"/>
      <c r="Q28" s="46"/>
      <c r="R28" s="46"/>
      <c r="S28" s="46"/>
    </row>
    <row r="29" spans="1:135">
      <c r="A29" s="78"/>
      <c r="B29" s="78"/>
      <c r="C29" s="78"/>
      <c r="D29" s="78"/>
      <c r="E29" s="78"/>
      <c r="F29" s="78"/>
      <c r="G29" s="78"/>
      <c r="H29" s="78"/>
      <c r="I29" s="78"/>
      <c r="J29" s="97"/>
      <c r="K29" s="46"/>
      <c r="L29" s="46"/>
      <c r="M29" s="46"/>
      <c r="N29" s="46"/>
      <c r="O29" s="46"/>
      <c r="P29" s="46"/>
      <c r="Q29" s="46"/>
      <c r="R29" s="46"/>
      <c r="S29" s="46"/>
    </row>
    <row r="30" spans="1:135">
      <c r="A30" s="78"/>
      <c r="B30" s="78"/>
      <c r="C30" s="78"/>
      <c r="D30" s="78"/>
      <c r="E30" s="78"/>
      <c r="F30" s="78"/>
      <c r="G30" s="78"/>
      <c r="H30" s="78"/>
      <c r="I30" s="78"/>
      <c r="J30" s="97"/>
      <c r="K30" s="46"/>
      <c r="L30" s="46"/>
      <c r="M30" s="46"/>
      <c r="N30" s="46"/>
      <c r="O30" s="46"/>
      <c r="P30" s="46"/>
      <c r="Q30" s="46"/>
      <c r="R30" s="46"/>
      <c r="S30" s="46"/>
    </row>
    <row r="31" spans="1:135">
      <c r="A31" s="78"/>
      <c r="B31" s="78"/>
      <c r="C31" s="78"/>
      <c r="D31" s="78"/>
      <c r="E31" s="78"/>
      <c r="F31" s="78"/>
      <c r="G31" s="78"/>
      <c r="H31" s="78"/>
      <c r="I31" s="78"/>
      <c r="J31" s="97"/>
      <c r="K31" s="46"/>
      <c r="L31" s="46"/>
      <c r="M31" s="46"/>
      <c r="N31" s="46"/>
      <c r="O31" s="46"/>
      <c r="P31" s="46"/>
      <c r="Q31" s="46"/>
      <c r="R31" s="46"/>
      <c r="S31" s="46"/>
    </row>
    <row r="32" spans="1:135">
      <c r="A32" s="78"/>
      <c r="B32" s="78"/>
      <c r="C32" s="78"/>
      <c r="D32" s="78"/>
      <c r="E32" s="78"/>
      <c r="F32" s="78"/>
      <c r="G32" s="78"/>
      <c r="H32" s="78"/>
      <c r="I32" s="78"/>
      <c r="J32" s="97"/>
      <c r="K32" s="46"/>
      <c r="L32" s="46"/>
      <c r="M32" s="46"/>
      <c r="N32" s="46"/>
      <c r="O32" s="46"/>
      <c r="P32" s="46"/>
      <c r="Q32" s="46"/>
      <c r="R32" s="46"/>
      <c r="S32" s="46"/>
    </row>
    <row r="33" spans="1:135">
      <c r="A33" s="78"/>
      <c r="B33" s="78"/>
      <c r="C33" s="78"/>
      <c r="D33" s="78"/>
      <c r="E33" s="78"/>
      <c r="F33" s="78"/>
      <c r="G33" s="78"/>
      <c r="H33" s="78"/>
      <c r="I33" s="78"/>
      <c r="J33" s="97"/>
      <c r="K33" s="46"/>
      <c r="L33" s="46"/>
      <c r="M33" s="46"/>
      <c r="N33" s="46"/>
      <c r="O33" s="46"/>
      <c r="P33" s="46"/>
      <c r="Q33" s="46"/>
      <c r="R33" s="46"/>
      <c r="S33" s="46"/>
    </row>
    <row r="34" spans="1:135">
      <c r="A34" s="78"/>
      <c r="B34" s="78"/>
      <c r="C34" s="78"/>
      <c r="D34" s="78"/>
      <c r="E34" s="78"/>
      <c r="F34" s="78"/>
      <c r="G34" s="78"/>
      <c r="H34" s="78"/>
      <c r="I34" s="78"/>
      <c r="J34" s="97"/>
      <c r="K34" s="46"/>
      <c r="L34" s="79"/>
      <c r="M34" s="80"/>
      <c r="N34" s="80"/>
      <c r="O34" s="80"/>
      <c r="P34" s="80"/>
      <c r="Q34" s="80"/>
      <c r="R34" s="46"/>
      <c r="S34" s="46"/>
    </row>
    <row r="35" spans="1:135">
      <c r="A35" s="78"/>
      <c r="B35" s="78"/>
      <c r="C35" s="78"/>
      <c r="D35" s="78"/>
      <c r="E35" s="78"/>
      <c r="F35" s="78"/>
      <c r="G35" s="78"/>
      <c r="H35" s="78"/>
      <c r="I35" s="78"/>
      <c r="J35" s="97"/>
      <c r="K35" s="46"/>
      <c r="L35" s="79"/>
      <c r="M35" s="81"/>
      <c r="N35" s="81"/>
      <c r="O35" s="81"/>
      <c r="P35" s="81"/>
      <c r="Q35" s="81"/>
      <c r="R35" s="46"/>
      <c r="S35" s="46"/>
    </row>
    <row r="36" spans="1:135">
      <c r="A36" s="78"/>
      <c r="B36" s="78"/>
      <c r="C36" s="78"/>
      <c r="D36" s="78"/>
      <c r="E36" s="78"/>
      <c r="F36" s="78"/>
      <c r="G36" s="78"/>
      <c r="H36" s="78"/>
      <c r="I36" s="78"/>
      <c r="J36" s="97"/>
      <c r="K36" s="46"/>
      <c r="L36" s="82"/>
      <c r="M36" s="83"/>
      <c r="N36" s="83"/>
      <c r="O36" s="83"/>
      <c r="P36" s="83"/>
      <c r="Q36" s="83"/>
      <c r="R36" s="46"/>
      <c r="S36" s="46"/>
    </row>
    <row r="37" spans="1:135">
      <c r="A37" s="78"/>
      <c r="B37" s="78"/>
      <c r="C37" s="78"/>
      <c r="D37" s="78"/>
      <c r="E37" s="78"/>
      <c r="F37" s="78"/>
      <c r="G37" s="78"/>
      <c r="H37" s="78"/>
      <c r="I37" s="78"/>
      <c r="J37" s="97"/>
      <c r="K37" s="46"/>
      <c r="L37" s="82"/>
      <c r="M37" s="83"/>
      <c r="N37" s="83"/>
      <c r="O37" s="83"/>
      <c r="P37" s="83"/>
      <c r="Q37" s="83"/>
      <c r="R37" s="46"/>
      <c r="S37" s="46"/>
    </row>
    <row r="38" spans="1:135">
      <c r="A38" s="78"/>
      <c r="B38" s="78"/>
      <c r="C38" s="78"/>
      <c r="D38" s="78"/>
      <c r="E38" s="78"/>
      <c r="F38" s="78"/>
      <c r="G38" s="78"/>
      <c r="H38" s="78"/>
      <c r="I38" s="78"/>
      <c r="J38" s="97"/>
      <c r="K38" s="46"/>
      <c r="L38" s="82"/>
      <c r="M38" s="83"/>
      <c r="N38" s="83"/>
      <c r="O38" s="83"/>
      <c r="P38" s="83"/>
      <c r="Q38" s="83"/>
      <c r="R38" s="46"/>
      <c r="S38" s="46"/>
    </row>
    <row r="39" spans="1:135">
      <c r="A39" s="78"/>
      <c r="B39" s="78"/>
      <c r="C39" s="78"/>
      <c r="D39" s="78"/>
      <c r="E39" s="78"/>
      <c r="F39" s="78"/>
      <c r="G39" s="78"/>
      <c r="H39" s="78"/>
      <c r="I39" s="78"/>
      <c r="J39" s="97"/>
      <c r="K39" s="46"/>
      <c r="L39" s="82"/>
      <c r="M39" s="83"/>
      <c r="N39" s="83"/>
      <c r="O39" s="83"/>
      <c r="P39" s="83"/>
      <c r="Q39" s="83"/>
      <c r="R39" s="46"/>
      <c r="S39" s="46"/>
    </row>
    <row r="40" spans="1:135">
      <c r="A40" s="78"/>
      <c r="B40" s="78"/>
      <c r="C40" s="78"/>
      <c r="D40" s="78"/>
      <c r="E40" s="78"/>
      <c r="F40" s="78"/>
      <c r="G40" s="78"/>
      <c r="H40" s="78"/>
      <c r="I40" s="78"/>
      <c r="J40" s="97"/>
      <c r="K40" s="46"/>
      <c r="L40" s="82"/>
      <c r="M40" s="83"/>
      <c r="N40" s="83"/>
      <c r="O40" s="83"/>
      <c r="P40" s="83"/>
      <c r="Q40" s="83"/>
      <c r="R40" s="46"/>
      <c r="S40" s="46"/>
    </row>
    <row r="41" spans="1:135">
      <c r="A41" s="78"/>
      <c r="B41" s="78"/>
      <c r="C41" s="78"/>
      <c r="D41" s="78"/>
      <c r="E41" s="78"/>
      <c r="F41" s="78"/>
      <c r="G41" s="78"/>
      <c r="H41" s="78"/>
      <c r="I41" s="78"/>
      <c r="J41" s="97"/>
      <c r="K41" s="46"/>
      <c r="L41" s="46"/>
      <c r="M41" s="46"/>
      <c r="N41" s="46"/>
      <c r="O41" s="46"/>
      <c r="P41" s="46"/>
      <c r="Q41" s="46"/>
      <c r="R41" s="46"/>
      <c r="S41" s="46"/>
    </row>
    <row r="42" spans="1:135" s="85" customFormat="1">
      <c r="A42" s="84"/>
      <c r="B42" s="84"/>
      <c r="C42" s="84"/>
      <c r="D42" s="84"/>
      <c r="E42" s="84"/>
      <c r="F42" s="84"/>
      <c r="G42" s="84"/>
      <c r="H42" s="84"/>
      <c r="I42" s="84"/>
      <c r="J42" s="98"/>
      <c r="K42" s="46"/>
      <c r="L42" s="46"/>
      <c r="M42" s="46"/>
      <c r="N42" s="46"/>
      <c r="O42" s="46"/>
      <c r="P42" s="46"/>
      <c r="Q42" s="46"/>
      <c r="R42" s="46"/>
      <c r="S42" s="46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/>
      <c r="DU42" s="40"/>
      <c r="DV42" s="40"/>
      <c r="DW42" s="40"/>
      <c r="DX42" s="40"/>
      <c r="DY42" s="40"/>
      <c r="DZ42" s="40"/>
      <c r="EA42" s="40"/>
      <c r="EB42" s="40"/>
      <c r="EC42" s="40"/>
      <c r="ED42" s="40"/>
      <c r="EE42" s="40"/>
    </row>
    <row r="43" spans="1:135" s="40" customForma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R43" s="46"/>
      <c r="S43" s="46"/>
    </row>
    <row r="44" spans="1:135" s="40" customForma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S44" s="46"/>
      <c r="T44" s="46"/>
    </row>
    <row r="45" spans="1:135" s="40" customForma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79"/>
      <c r="N45" s="80"/>
      <c r="O45" s="80"/>
      <c r="P45" s="80"/>
      <c r="Q45" s="80"/>
      <c r="R45" s="80"/>
      <c r="S45" s="80"/>
      <c r="T45" s="80"/>
    </row>
    <row r="46" spans="1:135" s="40" customForma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82"/>
      <c r="N46" s="83"/>
      <c r="O46" s="83"/>
      <c r="P46" s="83"/>
      <c r="Q46" s="83"/>
      <c r="R46" s="83"/>
      <c r="S46" s="83"/>
      <c r="T46" s="46"/>
      <c r="U46" s="86"/>
      <c r="V46" s="53"/>
    </row>
    <row r="47" spans="1:135" s="40" customForma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82"/>
      <c r="N47" s="83"/>
      <c r="O47" s="83"/>
      <c r="P47" s="83"/>
      <c r="Q47" s="83"/>
      <c r="R47" s="83"/>
      <c r="S47" s="83"/>
      <c r="T47" s="46"/>
      <c r="U47" s="86"/>
      <c r="V47" s="53"/>
    </row>
    <row r="48" spans="1:135" s="40" customFormat="1" ht="35.2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82"/>
      <c r="N48" s="83"/>
      <c r="O48" s="83"/>
      <c r="P48" s="83"/>
      <c r="Q48" s="83"/>
      <c r="R48" s="83"/>
      <c r="S48" s="83"/>
      <c r="T48" s="46"/>
      <c r="U48" s="86"/>
      <c r="V48" s="53"/>
    </row>
    <row r="49" spans="1:22" s="40" customForma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82"/>
      <c r="N49" s="83"/>
      <c r="O49" s="83"/>
      <c r="P49" s="83"/>
      <c r="Q49" s="83"/>
      <c r="R49" s="83"/>
      <c r="S49" s="83"/>
      <c r="T49" s="46"/>
      <c r="U49" s="86"/>
      <c r="V49" s="53"/>
    </row>
    <row r="50" spans="1:22" s="40" customForma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82"/>
      <c r="N50" s="83"/>
      <c r="O50" s="83"/>
      <c r="P50" s="83"/>
      <c r="Q50" s="83"/>
      <c r="R50" s="83"/>
      <c r="S50" s="83"/>
      <c r="T50" s="46"/>
      <c r="U50" s="86"/>
      <c r="V50" s="53"/>
    </row>
    <row r="51" spans="1:22" s="40" customForma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</row>
    <row r="52" spans="1:22" s="40" customForma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79"/>
      <c r="N52" s="81"/>
      <c r="O52" s="81"/>
      <c r="P52" s="81"/>
      <c r="Q52" s="81"/>
      <c r="R52" s="81"/>
      <c r="S52" s="81"/>
      <c r="T52" s="81"/>
    </row>
    <row r="53" spans="1:22" s="40" customForma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</row>
    <row r="54" spans="1:22" s="40" customForma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</row>
    <row r="55" spans="1:22" s="40" customForma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</row>
    <row r="56" spans="1:22" s="40" customForma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</row>
    <row r="57" spans="1:22" s="40" customForma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</row>
    <row r="58" spans="1:22" s="40" customForma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</row>
    <row r="59" spans="1:22" s="40" customFormat="1" ht="9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</row>
    <row r="60" spans="1:22" s="40" customForma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</row>
    <row r="61" spans="1:22" s="40" customForma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</row>
    <row r="62" spans="1:22" s="40" customForma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</row>
    <row r="63" spans="1:22" s="40" customForma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</row>
    <row r="64" spans="1:22" s="40" customForma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</row>
    <row r="65" spans="1:19" s="40" customForma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</row>
    <row r="66" spans="1:19" s="40" customForma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</row>
    <row r="67" spans="1:19" s="40" customForma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</row>
    <row r="68" spans="1:19" s="40" customForma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</row>
    <row r="69" spans="1:19" s="40" customForma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</row>
    <row r="70" spans="1:19" s="40" customFormat="1">
      <c r="A70" s="46"/>
      <c r="B70" s="87"/>
      <c r="C70" s="87"/>
      <c r="D70" s="87"/>
      <c r="E70" s="87"/>
      <c r="F70" s="87"/>
      <c r="G70" s="87"/>
      <c r="H70" s="87"/>
      <c r="I70" s="87"/>
      <c r="J70" s="46"/>
      <c r="K70" s="46"/>
      <c r="L70" s="46"/>
      <c r="M70" s="46"/>
      <c r="N70" s="46"/>
      <c r="O70" s="46"/>
      <c r="P70" s="46"/>
      <c r="Q70" s="46"/>
      <c r="R70" s="46"/>
      <c r="S70" s="46"/>
    </row>
    <row r="71" spans="1:19" s="40" customFormat="1">
      <c r="A71" s="46"/>
      <c r="B71" s="53"/>
      <c r="C71" s="53"/>
      <c r="D71" s="53"/>
      <c r="E71" s="53"/>
      <c r="F71" s="53"/>
      <c r="G71" s="53"/>
      <c r="H71" s="53"/>
      <c r="I71" s="53"/>
      <c r="J71" s="53"/>
      <c r="K71" s="46"/>
      <c r="M71" s="46"/>
      <c r="N71" s="46"/>
      <c r="O71" s="46"/>
      <c r="P71" s="46"/>
      <c r="Q71" s="46"/>
      <c r="R71" s="46"/>
      <c r="S71" s="46"/>
    </row>
    <row r="72" spans="1:19" s="40" customFormat="1">
      <c r="A72" s="46"/>
      <c r="B72" s="53"/>
      <c r="C72" s="53"/>
      <c r="D72" s="53"/>
      <c r="E72" s="53"/>
      <c r="F72" s="53"/>
      <c r="G72" s="53"/>
      <c r="H72" s="53"/>
      <c r="I72" s="53"/>
      <c r="J72" s="53"/>
      <c r="K72" s="46"/>
      <c r="M72" s="46"/>
      <c r="N72" s="46"/>
      <c r="O72" s="46"/>
      <c r="P72" s="46"/>
      <c r="Q72" s="46"/>
      <c r="R72" s="46"/>
      <c r="S72" s="46"/>
    </row>
    <row r="73" spans="1:19" s="40" customFormat="1">
      <c r="A73" s="46"/>
      <c r="B73" s="53"/>
      <c r="C73" s="53"/>
      <c r="D73" s="53"/>
      <c r="E73" s="53"/>
      <c r="F73" s="53"/>
      <c r="G73" s="53"/>
      <c r="H73" s="53"/>
      <c r="I73" s="53"/>
      <c r="J73" s="53"/>
      <c r="K73" s="46"/>
      <c r="M73" s="46"/>
      <c r="N73" s="46"/>
      <c r="O73" s="46"/>
      <c r="P73" s="46"/>
      <c r="Q73" s="46"/>
      <c r="R73" s="46"/>
      <c r="S73" s="46"/>
    </row>
    <row r="74" spans="1:19" s="40" customFormat="1">
      <c r="A74" s="46"/>
      <c r="B74" s="53"/>
      <c r="C74" s="53"/>
      <c r="D74" s="53"/>
      <c r="E74" s="53"/>
      <c r="F74" s="53"/>
      <c r="G74" s="53"/>
      <c r="H74" s="53"/>
      <c r="I74" s="53"/>
      <c r="J74" s="53"/>
      <c r="K74" s="46"/>
      <c r="M74" s="46"/>
      <c r="N74" s="46"/>
      <c r="O74" s="46"/>
      <c r="P74" s="46"/>
      <c r="Q74" s="46"/>
      <c r="R74" s="46"/>
      <c r="S74" s="46"/>
    </row>
    <row r="75" spans="1:19" s="40" customFormat="1">
      <c r="A75" s="46"/>
      <c r="B75" s="53"/>
      <c r="C75" s="53"/>
      <c r="D75" s="53"/>
      <c r="E75" s="53"/>
      <c r="F75" s="53"/>
      <c r="G75" s="53"/>
      <c r="H75" s="53"/>
      <c r="I75" s="53"/>
      <c r="J75" s="53"/>
      <c r="K75" s="46"/>
      <c r="M75" s="46"/>
      <c r="N75" s="46"/>
      <c r="O75" s="46"/>
      <c r="P75" s="46"/>
      <c r="Q75" s="46"/>
      <c r="R75" s="46"/>
      <c r="S75" s="46"/>
    </row>
    <row r="76" spans="1:19" s="40" customFormat="1">
      <c r="A76" s="46"/>
      <c r="B76" s="53"/>
      <c r="C76" s="53"/>
      <c r="D76" s="53"/>
      <c r="E76" s="53"/>
      <c r="F76" s="53"/>
      <c r="G76" s="53"/>
      <c r="H76" s="53"/>
      <c r="I76" s="53"/>
      <c r="J76" s="53"/>
      <c r="K76" s="46"/>
      <c r="M76" s="46"/>
      <c r="N76" s="46"/>
      <c r="O76" s="46"/>
      <c r="P76" s="46"/>
      <c r="Q76" s="46"/>
      <c r="R76" s="46"/>
      <c r="S76" s="46"/>
    </row>
    <row r="77" spans="1:19" s="40" customForma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</row>
    <row r="78" spans="1:19" s="40" customForma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</row>
    <row r="79" spans="1:19" s="40" customForma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</row>
    <row r="80" spans="1:19" s="40" customForma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</row>
    <row r="81" spans="1:19" s="40" customForma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</row>
    <row r="82" spans="1:19" s="40" customForma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</row>
    <row r="83" spans="1:19" s="40" customForma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</row>
    <row r="84" spans="1:19" s="40" customForma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</row>
    <row r="85" spans="1:19" s="40" customForma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</row>
    <row r="86" spans="1:19" s="40" customForma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</row>
    <row r="87" spans="1:19" s="40" customForma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</row>
    <row r="88" spans="1:19" s="40" customFormat="1">
      <c r="A88" s="46"/>
      <c r="B88" s="46"/>
      <c r="C88" s="46"/>
      <c r="D88" s="46"/>
      <c r="E88" s="46"/>
      <c r="F88" s="46"/>
      <c r="G88" s="46"/>
      <c r="H88" s="46"/>
      <c r="I88" s="46"/>
      <c r="J88" s="46"/>
      <c r="L88" s="46"/>
      <c r="M88" s="46"/>
      <c r="N88" s="46"/>
      <c r="O88" s="46"/>
      <c r="P88" s="46"/>
      <c r="Q88" s="46"/>
      <c r="R88" s="46"/>
      <c r="S88" s="46"/>
    </row>
    <row r="89" spans="1:19" s="40" customFormat="1">
      <c r="B89" s="46"/>
      <c r="C89" s="46"/>
      <c r="D89" s="46"/>
      <c r="E89" s="46"/>
      <c r="F89" s="46"/>
      <c r="G89" s="46"/>
      <c r="H89" s="46"/>
      <c r="I89" s="46"/>
      <c r="L89" s="46"/>
      <c r="M89" s="46"/>
      <c r="N89" s="46"/>
      <c r="O89" s="46"/>
      <c r="P89" s="46"/>
      <c r="Q89" s="46"/>
      <c r="R89" s="46"/>
      <c r="S89" s="46"/>
    </row>
    <row r="90" spans="1:19" s="40" customFormat="1"/>
    <row r="91" spans="1:19" s="40" customFormat="1"/>
    <row r="92" spans="1:19" s="40" customFormat="1"/>
    <row r="93" spans="1:19" s="40" customFormat="1"/>
    <row r="94" spans="1:19" s="40" customFormat="1"/>
    <row r="95" spans="1:19" s="40" customFormat="1"/>
    <row r="96" spans="1:19" s="40" customFormat="1"/>
    <row r="97" s="40" customFormat="1"/>
    <row r="98" s="40" customFormat="1"/>
    <row r="99" s="40" customFormat="1"/>
    <row r="100" s="40" customFormat="1"/>
    <row r="101" s="40" customFormat="1"/>
    <row r="102" s="40" customFormat="1"/>
    <row r="103" s="40" customFormat="1"/>
    <row r="104" s="40" customFormat="1"/>
    <row r="105" s="40" customFormat="1"/>
    <row r="106" s="40" customFormat="1"/>
    <row r="107" s="40" customFormat="1"/>
    <row r="108" s="40" customFormat="1"/>
    <row r="109" s="40" customFormat="1"/>
    <row r="110" s="40" customFormat="1"/>
    <row r="111" s="40" customFormat="1"/>
    <row r="112" s="40" customFormat="1"/>
    <row r="113" s="40" customFormat="1"/>
    <row r="114" s="40" customFormat="1"/>
    <row r="115" s="40" customFormat="1"/>
    <row r="116" s="40" customFormat="1"/>
    <row r="117" s="40" customFormat="1"/>
    <row r="118" s="40" customFormat="1"/>
    <row r="119" s="40" customFormat="1"/>
    <row r="120" s="40" customFormat="1"/>
    <row r="121" s="40" customFormat="1"/>
    <row r="122" s="40" customFormat="1"/>
    <row r="123" s="40" customFormat="1"/>
    <row r="124" s="40" customFormat="1"/>
    <row r="125" s="40" customFormat="1"/>
    <row r="126" s="40" customFormat="1"/>
    <row r="127" s="40" customFormat="1"/>
    <row r="128" s="40" customFormat="1"/>
    <row r="129" s="40" customFormat="1"/>
    <row r="130" s="40" customFormat="1"/>
    <row r="131" s="40" customFormat="1"/>
    <row r="132" s="40" customFormat="1"/>
    <row r="133" s="40" customFormat="1"/>
    <row r="134" s="40" customFormat="1"/>
    <row r="135" s="40" customFormat="1"/>
    <row r="136" s="40" customFormat="1"/>
    <row r="137" s="40" customFormat="1"/>
    <row r="138" s="40" customFormat="1"/>
    <row r="139" s="40" customFormat="1"/>
    <row r="140" s="40" customFormat="1"/>
    <row r="141" s="40" customFormat="1"/>
    <row r="142" s="40" customFormat="1"/>
    <row r="143" s="40" customFormat="1"/>
    <row r="144" s="40" customFormat="1"/>
    <row r="145" s="40" customFormat="1"/>
    <row r="146" s="40" customFormat="1"/>
    <row r="147" s="40" customFormat="1"/>
    <row r="148" s="40" customFormat="1"/>
    <row r="149" s="40" customFormat="1"/>
    <row r="150" s="40" customFormat="1"/>
    <row r="151" s="40" customFormat="1"/>
    <row r="152" s="40" customFormat="1"/>
    <row r="153" s="40" customFormat="1"/>
    <row r="154" s="40" customFormat="1"/>
    <row r="155" s="40" customFormat="1"/>
    <row r="156" s="40" customFormat="1"/>
    <row r="157" s="40" customFormat="1"/>
    <row r="158" s="40" customFormat="1"/>
    <row r="159" s="40" customFormat="1"/>
    <row r="160" s="40" customFormat="1"/>
    <row r="161" s="40" customFormat="1"/>
    <row r="162" s="40" customFormat="1"/>
    <row r="163" s="40" customFormat="1"/>
    <row r="164" s="40" customFormat="1"/>
    <row r="165" s="40" customFormat="1"/>
    <row r="166" s="40" customFormat="1"/>
    <row r="167" s="40" customFormat="1"/>
    <row r="168" s="40" customFormat="1"/>
    <row r="169" s="40" customFormat="1"/>
    <row r="170" s="40" customFormat="1"/>
    <row r="171" s="40" customFormat="1"/>
    <row r="172" s="40" customFormat="1"/>
    <row r="173" s="40" customFormat="1"/>
    <row r="174" s="40" customFormat="1"/>
    <row r="175" s="40" customFormat="1"/>
    <row r="176" s="40" customFormat="1"/>
    <row r="177" s="40" customFormat="1"/>
    <row r="178" s="40" customFormat="1"/>
    <row r="179" s="40" customFormat="1"/>
    <row r="180" s="40" customFormat="1"/>
    <row r="181" s="40" customFormat="1"/>
    <row r="182" s="40" customFormat="1"/>
    <row r="183" s="40" customFormat="1"/>
    <row r="184" s="40" customFormat="1"/>
    <row r="185" s="40" customFormat="1"/>
    <row r="186" s="40" customFormat="1"/>
    <row r="187" s="40" customFormat="1"/>
    <row r="188" s="40" customFormat="1"/>
    <row r="189" s="40" customFormat="1"/>
    <row r="190" s="40" customFormat="1"/>
    <row r="191" s="40" customFormat="1"/>
    <row r="192" s="40" customFormat="1"/>
    <row r="193" s="40" customFormat="1"/>
    <row r="194" s="40" customFormat="1"/>
    <row r="195" s="40" customFormat="1"/>
    <row r="196" s="40" customFormat="1"/>
    <row r="197" s="40" customFormat="1"/>
    <row r="198" s="40" customFormat="1"/>
    <row r="199" s="40" customFormat="1"/>
    <row r="200" s="40" customFormat="1"/>
    <row r="201" s="40" customFormat="1"/>
    <row r="202" s="40" customFormat="1"/>
    <row r="203" s="40" customFormat="1"/>
    <row r="204" s="40" customFormat="1"/>
    <row r="205" s="40" customFormat="1"/>
    <row r="206" s="40" customFormat="1"/>
    <row r="207" s="40" customFormat="1"/>
    <row r="208" s="40" customFormat="1"/>
    <row r="209" s="40" customFormat="1"/>
    <row r="210" s="40" customFormat="1"/>
    <row r="211" s="40" customFormat="1"/>
    <row r="212" s="40" customFormat="1"/>
    <row r="213" s="40" customFormat="1"/>
    <row r="214" s="40" customFormat="1"/>
    <row r="215" s="40" customFormat="1"/>
    <row r="216" s="40" customFormat="1"/>
    <row r="217" s="40" customFormat="1"/>
    <row r="218" s="40" customFormat="1"/>
    <row r="219" s="40" customFormat="1"/>
    <row r="220" s="40" customFormat="1"/>
    <row r="221" s="40" customFormat="1"/>
    <row r="222" s="40" customFormat="1"/>
    <row r="223" s="40" customFormat="1"/>
    <row r="224" s="40" customFormat="1"/>
    <row r="225" s="40" customFormat="1"/>
    <row r="226" s="40" customFormat="1"/>
    <row r="227" s="40" customFormat="1"/>
    <row r="228" s="40" customFormat="1"/>
    <row r="229" s="40" customFormat="1"/>
    <row r="230" s="40" customFormat="1"/>
    <row r="231" s="40" customFormat="1"/>
    <row r="232" s="40" customFormat="1"/>
    <row r="233" s="40" customFormat="1"/>
    <row r="234" s="40" customFormat="1"/>
    <row r="235" s="40" customFormat="1"/>
    <row r="236" s="40" customFormat="1"/>
    <row r="237" s="40" customFormat="1"/>
    <row r="238" s="40" customFormat="1"/>
    <row r="239" s="40" customFormat="1"/>
    <row r="240" s="40" customFormat="1"/>
    <row r="241" s="40" customFormat="1"/>
    <row r="242" s="40" customFormat="1"/>
    <row r="243" s="40" customFormat="1"/>
    <row r="244" s="40" customFormat="1"/>
    <row r="245" s="40" customFormat="1"/>
    <row r="246" s="40" customFormat="1"/>
    <row r="247" s="40" customFormat="1"/>
    <row r="248" s="40" customFormat="1"/>
    <row r="249" s="40" customFormat="1"/>
    <row r="250" s="40" customFormat="1"/>
    <row r="251" s="40" customFormat="1"/>
    <row r="252" s="40" customFormat="1"/>
    <row r="253" s="40" customFormat="1"/>
    <row r="254" s="40" customFormat="1"/>
    <row r="255" s="40" customFormat="1"/>
    <row r="256" s="40" customFormat="1"/>
    <row r="257" s="40" customFormat="1"/>
    <row r="258" s="40" customFormat="1"/>
    <row r="259" s="40" customFormat="1"/>
    <row r="260" s="40" customFormat="1"/>
    <row r="261" s="40" customFormat="1"/>
    <row r="262" s="40" customFormat="1"/>
    <row r="263" s="40" customFormat="1"/>
    <row r="264" s="40" customFormat="1"/>
    <row r="265" s="40" customFormat="1"/>
    <row r="266" s="40" customFormat="1"/>
    <row r="267" s="40" customFormat="1"/>
    <row r="268" s="40" customFormat="1"/>
    <row r="269" s="40" customFormat="1"/>
    <row r="270" s="40" customFormat="1"/>
    <row r="271" s="40" customFormat="1"/>
    <row r="272" s="40" customFormat="1"/>
    <row r="273" s="40" customFormat="1"/>
    <row r="274" s="40" customFormat="1"/>
    <row r="275" s="40" customFormat="1"/>
    <row r="276" s="40" customFormat="1"/>
    <row r="277" s="40" customFormat="1"/>
    <row r="278" s="40" customFormat="1"/>
    <row r="279" s="40" customFormat="1"/>
    <row r="280" s="40" customFormat="1"/>
    <row r="281" s="40" customFormat="1"/>
    <row r="282" s="40" customFormat="1"/>
    <row r="283" s="40" customFormat="1"/>
    <row r="284" s="40" customFormat="1"/>
    <row r="285" s="40" customFormat="1"/>
    <row r="286" s="40" customFormat="1"/>
    <row r="287" s="40" customFormat="1"/>
    <row r="288" s="40" customFormat="1"/>
    <row r="289" s="40" customFormat="1"/>
    <row r="290" s="40" customFormat="1"/>
    <row r="291" s="40" customFormat="1"/>
    <row r="292" s="40" customFormat="1"/>
    <row r="293" s="40" customFormat="1"/>
    <row r="294" s="40" customFormat="1"/>
    <row r="295" s="40" customFormat="1"/>
    <row r="296" s="40" customFormat="1"/>
    <row r="297" s="40" customFormat="1"/>
    <row r="298" s="40" customFormat="1"/>
    <row r="299" s="40" customFormat="1"/>
    <row r="300" s="40" customFormat="1"/>
    <row r="301" s="40" customFormat="1"/>
    <row r="302" s="40" customFormat="1"/>
    <row r="303" s="40" customFormat="1"/>
    <row r="304" s="40" customFormat="1"/>
    <row r="305" s="40" customFormat="1"/>
    <row r="306" s="40" customFormat="1"/>
    <row r="307" s="40" customFormat="1"/>
    <row r="308" s="40" customFormat="1"/>
    <row r="309" s="40" customFormat="1"/>
    <row r="310" s="40" customFormat="1"/>
    <row r="311" s="40" customFormat="1"/>
    <row r="312" s="40" customFormat="1"/>
    <row r="313" s="40" customFormat="1"/>
    <row r="314" s="40" customFormat="1"/>
    <row r="315" s="40" customFormat="1"/>
    <row r="316" s="40" customFormat="1"/>
    <row r="317" s="40" customFormat="1"/>
    <row r="318" s="40" customFormat="1"/>
    <row r="319" s="40" customFormat="1"/>
    <row r="320" s="40" customFormat="1"/>
    <row r="321" s="40" customFormat="1"/>
    <row r="322" s="40" customFormat="1"/>
    <row r="323" s="40" customFormat="1"/>
    <row r="324" s="40" customFormat="1"/>
    <row r="325" s="40" customFormat="1"/>
    <row r="326" s="40" customFormat="1"/>
    <row r="327" s="40" customFormat="1"/>
    <row r="328" s="40" customFormat="1"/>
    <row r="329" s="40" customFormat="1"/>
    <row r="330" s="40" customFormat="1"/>
    <row r="331" s="40" customFormat="1"/>
    <row r="332" s="40" customFormat="1"/>
    <row r="333" s="40" customFormat="1"/>
    <row r="334" s="40" customFormat="1"/>
    <row r="335" s="40" customFormat="1"/>
    <row r="336" s="40" customFormat="1"/>
    <row r="337" s="40" customFormat="1"/>
    <row r="338" s="40" customFormat="1"/>
    <row r="339" s="40" customFormat="1"/>
    <row r="340" s="40" customFormat="1"/>
    <row r="341" s="40" customFormat="1"/>
    <row r="342" s="40" customFormat="1"/>
    <row r="343" s="40" customFormat="1"/>
    <row r="344" s="40" customFormat="1"/>
    <row r="345" s="40" customFormat="1"/>
    <row r="346" s="40" customFormat="1"/>
    <row r="347" s="40" customFormat="1"/>
    <row r="348" s="40" customFormat="1"/>
    <row r="349" s="40" customFormat="1"/>
    <row r="350" s="40" customFormat="1"/>
    <row r="351" s="40" customFormat="1"/>
    <row r="352" s="40" customFormat="1"/>
    <row r="353" s="40" customFormat="1"/>
    <row r="354" s="40" customFormat="1"/>
    <row r="355" s="40" customFormat="1"/>
    <row r="356" s="40" customFormat="1"/>
    <row r="357" s="40" customFormat="1"/>
    <row r="358" s="40" customFormat="1"/>
    <row r="359" s="40" customFormat="1"/>
    <row r="360" s="40" customFormat="1"/>
    <row r="361" s="40" customFormat="1"/>
    <row r="362" s="40" customFormat="1"/>
    <row r="363" s="40" customFormat="1"/>
    <row r="364" s="40" customFormat="1"/>
    <row r="365" s="40" customFormat="1"/>
    <row r="366" s="40" customFormat="1"/>
    <row r="367" s="40" customFormat="1"/>
    <row r="368" s="40" customFormat="1"/>
    <row r="369" s="40" customFormat="1"/>
    <row r="370" s="40" customFormat="1"/>
    <row r="371" s="40" customFormat="1"/>
    <row r="372" s="40" customFormat="1"/>
    <row r="373" s="40" customFormat="1"/>
    <row r="374" s="40" customFormat="1"/>
    <row r="375" s="40" customFormat="1"/>
    <row r="376" s="40" customFormat="1"/>
    <row r="377" s="40" customFormat="1"/>
    <row r="378" s="40" customFormat="1"/>
    <row r="379" s="40" customFormat="1"/>
    <row r="380" s="40" customFormat="1"/>
    <row r="381" s="40" customFormat="1"/>
    <row r="382" s="40" customFormat="1"/>
    <row r="383" s="40" customFormat="1"/>
    <row r="384" s="40" customFormat="1"/>
    <row r="385" s="40" customFormat="1"/>
    <row r="386" s="40" customFormat="1"/>
    <row r="387" s="40" customFormat="1"/>
    <row r="388" s="40" customFormat="1"/>
    <row r="389" s="40" customFormat="1"/>
    <row r="390" s="40" customFormat="1"/>
    <row r="391" s="40" customFormat="1"/>
    <row r="392" s="40" customFormat="1"/>
    <row r="393" s="40" customFormat="1"/>
    <row r="394" s="40" customFormat="1"/>
    <row r="395" s="40" customFormat="1"/>
    <row r="396" s="40" customFormat="1"/>
    <row r="397" s="40" customFormat="1"/>
    <row r="398" s="40" customFormat="1"/>
    <row r="399" s="40" customFormat="1"/>
    <row r="400" s="40" customFormat="1"/>
    <row r="401" s="40" customFormat="1"/>
    <row r="402" s="40" customFormat="1"/>
    <row r="403" s="40" customFormat="1"/>
    <row r="404" s="40" customFormat="1"/>
    <row r="405" s="40" customFormat="1"/>
    <row r="406" s="40" customFormat="1"/>
    <row r="407" s="40" customFormat="1"/>
    <row r="408" s="40" customFormat="1"/>
    <row r="409" s="40" customFormat="1"/>
    <row r="410" s="40" customFormat="1"/>
    <row r="411" s="40" customFormat="1"/>
    <row r="412" s="40" customFormat="1"/>
    <row r="413" s="40" customFormat="1"/>
    <row r="414" s="40" customFormat="1"/>
    <row r="415" s="40" customFormat="1"/>
    <row r="416" s="40" customFormat="1"/>
    <row r="417" s="40" customFormat="1"/>
    <row r="418" s="40" customFormat="1"/>
    <row r="419" s="40" customFormat="1"/>
    <row r="420" s="40" customFormat="1"/>
    <row r="421" s="40" customFormat="1"/>
    <row r="422" s="40" customFormat="1"/>
    <row r="423" s="40" customFormat="1"/>
    <row r="424" s="40" customFormat="1"/>
    <row r="425" s="40" customFormat="1"/>
    <row r="426" s="40" customFormat="1"/>
    <row r="427" s="40" customFormat="1"/>
    <row r="428" s="40" customFormat="1"/>
    <row r="429" s="40" customFormat="1"/>
    <row r="430" s="40" customFormat="1"/>
    <row r="431" s="40" customFormat="1"/>
    <row r="432" s="40" customFormat="1"/>
    <row r="433" s="40" customFormat="1"/>
    <row r="434" s="40" customFormat="1"/>
    <row r="435" s="40" customFormat="1"/>
    <row r="436" s="40" customFormat="1"/>
    <row r="437" s="40" customFormat="1"/>
    <row r="438" s="40" customFormat="1"/>
    <row r="439" s="40" customFormat="1"/>
    <row r="440" s="40" customFormat="1"/>
    <row r="441" s="40" customFormat="1"/>
    <row r="442" s="40" customFormat="1"/>
    <row r="443" s="40" customFormat="1"/>
    <row r="444" s="40" customFormat="1"/>
    <row r="445" s="40" customFormat="1"/>
    <row r="446" s="40" customFormat="1"/>
    <row r="447" s="40" customFormat="1"/>
    <row r="448" s="40" customFormat="1"/>
    <row r="449" s="40" customFormat="1"/>
    <row r="450" s="40" customFormat="1"/>
    <row r="451" s="40" customFormat="1"/>
    <row r="452" s="40" customFormat="1"/>
    <row r="453" s="40" customFormat="1"/>
    <row r="454" s="40" customFormat="1"/>
    <row r="455" s="40" customFormat="1"/>
    <row r="456" s="40" customFormat="1"/>
    <row r="457" s="40" customFormat="1"/>
    <row r="458" s="40" customFormat="1"/>
    <row r="459" s="40" customFormat="1"/>
    <row r="460" s="40" customFormat="1"/>
    <row r="461" s="40" customFormat="1"/>
    <row r="462" s="40" customFormat="1"/>
    <row r="463" s="40" customFormat="1"/>
    <row r="464" s="40" customFormat="1"/>
    <row r="465" s="40" customFormat="1"/>
    <row r="466" s="40" customFormat="1"/>
    <row r="467" s="40" customFormat="1"/>
    <row r="468" s="40" customFormat="1"/>
    <row r="469" s="40" customFormat="1"/>
    <row r="470" s="40" customFormat="1"/>
    <row r="471" s="40" customFormat="1"/>
    <row r="472" s="40" customFormat="1"/>
    <row r="473" s="40" customFormat="1"/>
    <row r="474" s="40" customFormat="1"/>
    <row r="475" s="40" customFormat="1"/>
    <row r="476" s="40" customFormat="1"/>
    <row r="477" s="40" customFormat="1"/>
    <row r="478" s="40" customFormat="1"/>
    <row r="479" s="40" customFormat="1"/>
    <row r="480" s="40" customFormat="1"/>
    <row r="481" s="40" customFormat="1"/>
    <row r="482" s="40" customFormat="1"/>
    <row r="483" s="40" customFormat="1"/>
    <row r="484" s="40" customFormat="1"/>
    <row r="485" s="40" customFormat="1"/>
    <row r="486" s="40" customFormat="1"/>
    <row r="487" s="40" customFormat="1"/>
    <row r="488" s="40" customFormat="1"/>
    <row r="489" s="40" customFormat="1"/>
    <row r="490" s="40" customFormat="1"/>
    <row r="491" s="40" customFormat="1"/>
    <row r="492" s="40" customFormat="1"/>
    <row r="493" s="40" customFormat="1"/>
    <row r="494" s="40" customFormat="1"/>
    <row r="495" s="40" customFormat="1"/>
    <row r="496" s="40" customFormat="1"/>
    <row r="497" s="40" customFormat="1"/>
    <row r="498" s="40" customFormat="1"/>
    <row r="499" s="40" customFormat="1"/>
    <row r="500" s="40" customFormat="1"/>
    <row r="501" s="40" customFormat="1"/>
    <row r="502" s="40" customFormat="1"/>
    <row r="503" s="40" customFormat="1"/>
    <row r="504" s="40" customFormat="1"/>
    <row r="505" s="40" customFormat="1"/>
    <row r="506" s="40" customFormat="1"/>
    <row r="507" s="40" customFormat="1"/>
    <row r="508" s="40" customFormat="1"/>
    <row r="509" s="40" customFormat="1"/>
    <row r="510" s="40" customFormat="1"/>
    <row r="511" s="40" customFormat="1"/>
    <row r="512" s="40" customFormat="1"/>
    <row r="513" s="40" customFormat="1"/>
    <row r="514" s="40" customFormat="1"/>
    <row r="515" s="40" customFormat="1"/>
    <row r="516" s="40" customFormat="1"/>
    <row r="517" s="40" customFormat="1"/>
    <row r="518" s="40" customFormat="1"/>
    <row r="519" s="40" customFormat="1"/>
    <row r="520" s="40" customFormat="1"/>
    <row r="521" s="40" customFormat="1"/>
    <row r="522" s="40" customFormat="1"/>
    <row r="523" s="40" customFormat="1"/>
    <row r="524" s="40" customFormat="1"/>
    <row r="525" s="40" customFormat="1"/>
    <row r="526" s="40" customFormat="1"/>
    <row r="527" s="40" customFormat="1"/>
    <row r="528" s="40" customFormat="1"/>
    <row r="529" s="40" customFormat="1"/>
    <row r="530" s="40" customFormat="1"/>
    <row r="531" s="40" customFormat="1"/>
    <row r="532" s="40" customFormat="1"/>
    <row r="533" s="40" customFormat="1"/>
    <row r="534" s="40" customFormat="1"/>
    <row r="535" s="40" customFormat="1"/>
    <row r="536" s="40" customFormat="1"/>
    <row r="537" s="40" customFormat="1"/>
    <row r="538" s="40" customFormat="1"/>
    <row r="539" s="40" customFormat="1"/>
    <row r="540" s="40" customFormat="1"/>
    <row r="541" s="40" customFormat="1"/>
    <row r="542" s="40" customFormat="1"/>
    <row r="543" s="40" customFormat="1"/>
    <row r="544" s="40" customFormat="1"/>
    <row r="545" s="40" customFormat="1"/>
    <row r="546" s="40" customFormat="1"/>
    <row r="547" s="40" customFormat="1"/>
    <row r="548" s="40" customFormat="1"/>
    <row r="549" s="40" customFormat="1"/>
    <row r="550" s="40" customFormat="1"/>
    <row r="551" s="40" customFormat="1"/>
    <row r="552" s="40" customFormat="1"/>
    <row r="553" s="40" customFormat="1"/>
    <row r="554" s="40" customFormat="1"/>
    <row r="555" s="40" customFormat="1"/>
    <row r="556" s="40" customFormat="1"/>
    <row r="557" s="40" customFormat="1"/>
    <row r="558" s="40" customFormat="1"/>
    <row r="559" s="40" customFormat="1"/>
    <row r="560" s="40" customFormat="1"/>
    <row r="561" s="40" customFormat="1"/>
    <row r="562" s="40" customFormat="1"/>
    <row r="563" s="40" customFormat="1"/>
    <row r="564" s="40" customFormat="1"/>
    <row r="565" s="40" customFormat="1"/>
    <row r="566" s="40" customFormat="1"/>
    <row r="567" s="40" customFormat="1"/>
    <row r="568" s="40" customFormat="1"/>
    <row r="569" s="40" customFormat="1"/>
    <row r="570" s="40" customFormat="1"/>
    <row r="571" s="40" customFormat="1"/>
    <row r="572" s="40" customFormat="1"/>
    <row r="573" s="40" customFormat="1"/>
    <row r="574" s="40" customFormat="1"/>
    <row r="575" s="40" customFormat="1"/>
    <row r="576" s="40" customFormat="1"/>
    <row r="577" s="40" customFormat="1"/>
    <row r="578" s="40" customFormat="1"/>
    <row r="579" s="40" customFormat="1"/>
    <row r="580" s="40" customFormat="1"/>
    <row r="581" s="40" customFormat="1"/>
    <row r="582" s="40" customFormat="1"/>
    <row r="583" s="40" customFormat="1"/>
    <row r="584" s="40" customFormat="1"/>
    <row r="585" s="40" customFormat="1"/>
    <row r="586" s="40" customFormat="1"/>
    <row r="587" s="40" customFormat="1"/>
    <row r="588" s="40" customFormat="1"/>
    <row r="589" s="40" customFormat="1"/>
    <row r="590" s="40" customFormat="1"/>
    <row r="591" s="40" customFormat="1"/>
    <row r="592" s="40" customFormat="1"/>
    <row r="593" s="40" customFormat="1"/>
    <row r="594" s="40" customFormat="1"/>
    <row r="595" s="40" customFormat="1"/>
    <row r="596" s="40" customFormat="1"/>
    <row r="597" s="40" customFormat="1"/>
    <row r="598" s="40" customFormat="1"/>
    <row r="599" s="40" customFormat="1"/>
    <row r="600" s="40" customFormat="1"/>
    <row r="601" s="40" customFormat="1"/>
    <row r="602" s="40" customFormat="1"/>
    <row r="603" s="40" customFormat="1"/>
    <row r="604" s="40" customFormat="1"/>
    <row r="605" s="40" customFormat="1"/>
    <row r="606" s="40" customFormat="1"/>
    <row r="607" s="40" customFormat="1"/>
    <row r="608" s="40" customFormat="1"/>
    <row r="609" s="40" customFormat="1"/>
    <row r="610" s="40" customFormat="1"/>
    <row r="611" s="40" customFormat="1"/>
    <row r="612" s="40" customFormat="1"/>
    <row r="613" s="40" customFormat="1"/>
    <row r="614" s="40" customFormat="1"/>
    <row r="615" s="40" customFormat="1"/>
    <row r="616" s="40" customFormat="1"/>
    <row r="617" s="40" customFormat="1"/>
    <row r="618" s="40" customFormat="1"/>
    <row r="619" s="40" customFormat="1"/>
    <row r="620" s="40" customFormat="1"/>
    <row r="621" s="40" customFormat="1"/>
    <row r="622" s="40" customFormat="1"/>
    <row r="623" s="40" customFormat="1"/>
    <row r="624" s="40" customFormat="1"/>
    <row r="625" s="40" customFormat="1"/>
    <row r="626" s="40" customFormat="1"/>
    <row r="627" s="40" customFormat="1"/>
    <row r="628" s="40" customFormat="1"/>
    <row r="629" s="40" customFormat="1"/>
    <row r="630" s="40" customFormat="1"/>
    <row r="631" s="40" customFormat="1"/>
    <row r="632" s="40" customFormat="1"/>
    <row r="633" s="40" customFormat="1"/>
    <row r="634" s="40" customFormat="1"/>
    <row r="635" s="40" customFormat="1"/>
    <row r="636" s="40" customFormat="1"/>
    <row r="637" s="40" customFormat="1"/>
    <row r="638" s="40" customFormat="1"/>
    <row r="639" s="40" customFormat="1"/>
    <row r="640" s="40" customFormat="1"/>
    <row r="641" s="40" customFormat="1"/>
    <row r="642" s="40" customFormat="1"/>
    <row r="643" s="40" customFormat="1"/>
    <row r="644" s="40" customFormat="1"/>
    <row r="645" s="40" customFormat="1"/>
    <row r="646" s="40" customFormat="1"/>
    <row r="647" s="40" customFormat="1"/>
    <row r="648" s="40" customFormat="1"/>
    <row r="649" s="40" customFormat="1"/>
    <row r="650" s="40" customFormat="1"/>
    <row r="651" s="40" customFormat="1"/>
    <row r="652" s="40" customFormat="1"/>
    <row r="653" s="40" customFormat="1"/>
    <row r="654" s="40" customFormat="1"/>
    <row r="655" s="40" customFormat="1"/>
    <row r="656" s="40" customFormat="1"/>
    <row r="657" s="40" customFormat="1"/>
    <row r="658" s="40" customFormat="1"/>
    <row r="659" s="40" customFormat="1"/>
    <row r="660" s="40" customFormat="1"/>
    <row r="661" s="40" customFormat="1"/>
    <row r="662" s="40" customFormat="1"/>
    <row r="663" s="40" customFormat="1"/>
    <row r="664" s="40" customFormat="1"/>
    <row r="665" s="40" customFormat="1"/>
    <row r="666" s="40" customFormat="1"/>
    <row r="667" s="40" customFormat="1"/>
    <row r="668" s="40" customFormat="1"/>
    <row r="669" s="40" customFormat="1"/>
    <row r="670" s="40" customFormat="1"/>
    <row r="671" s="40" customFormat="1"/>
    <row r="672" s="40" customFormat="1"/>
    <row r="673" s="40" customFormat="1"/>
    <row r="674" s="40" customFormat="1"/>
    <row r="675" s="40" customFormat="1"/>
    <row r="676" s="40" customFormat="1"/>
    <row r="677" s="40" customFormat="1"/>
    <row r="678" s="40" customFormat="1"/>
    <row r="679" s="40" customFormat="1"/>
    <row r="680" s="40" customFormat="1"/>
    <row r="681" s="40" customFormat="1"/>
    <row r="682" s="40" customFormat="1"/>
    <row r="683" s="40" customFormat="1"/>
    <row r="684" s="40" customFormat="1"/>
    <row r="685" s="40" customFormat="1"/>
    <row r="686" s="40" customFormat="1"/>
    <row r="687" s="40" customFormat="1"/>
    <row r="688" s="40" customFormat="1"/>
    <row r="689" s="40" customFormat="1"/>
    <row r="690" s="40" customFormat="1"/>
    <row r="691" s="40" customFormat="1"/>
    <row r="692" s="40" customFormat="1"/>
    <row r="693" s="40" customFormat="1"/>
    <row r="694" s="40" customFormat="1"/>
    <row r="695" s="40" customFormat="1"/>
    <row r="696" s="40" customFormat="1"/>
    <row r="697" s="40" customFormat="1"/>
    <row r="698" s="40" customFormat="1"/>
    <row r="699" s="40" customFormat="1"/>
    <row r="700" s="40" customFormat="1"/>
    <row r="701" s="40" customFormat="1"/>
    <row r="702" s="40" customFormat="1"/>
    <row r="703" s="40" customFormat="1"/>
    <row r="704" s="40" customFormat="1"/>
    <row r="705" s="40" customFormat="1"/>
    <row r="706" s="40" customFormat="1"/>
    <row r="707" s="40" customFormat="1"/>
    <row r="708" s="40" customFormat="1"/>
    <row r="709" s="40" customFormat="1"/>
    <row r="710" s="40" customFormat="1"/>
    <row r="711" s="40" customFormat="1"/>
    <row r="712" s="40" customFormat="1"/>
    <row r="713" s="40" customFormat="1"/>
    <row r="714" s="40" customFormat="1"/>
    <row r="715" s="40" customFormat="1"/>
    <row r="716" s="40" customFormat="1"/>
    <row r="717" s="40" customFormat="1"/>
    <row r="718" s="40" customFormat="1"/>
    <row r="719" s="40" customFormat="1"/>
    <row r="720" s="40" customFormat="1"/>
    <row r="721" s="40" customFormat="1"/>
    <row r="722" s="40" customFormat="1"/>
    <row r="723" s="40" customFormat="1"/>
    <row r="724" s="40" customFormat="1"/>
    <row r="725" s="40" customFormat="1"/>
    <row r="726" s="40" customFormat="1"/>
    <row r="727" s="40" customFormat="1"/>
    <row r="728" s="40" customFormat="1"/>
    <row r="729" s="40" customFormat="1"/>
    <row r="730" s="40" customFormat="1"/>
    <row r="731" s="40" customFormat="1"/>
    <row r="732" s="40" customFormat="1"/>
    <row r="733" s="40" customFormat="1"/>
    <row r="734" s="40" customFormat="1"/>
    <row r="735" s="40" customFormat="1"/>
    <row r="736" s="40" customFormat="1"/>
    <row r="737" s="40" customFormat="1"/>
    <row r="738" s="40" customFormat="1"/>
    <row r="739" s="40" customFormat="1"/>
    <row r="740" s="40" customFormat="1"/>
    <row r="741" s="40" customFormat="1"/>
    <row r="742" s="40" customFormat="1"/>
    <row r="743" s="40" customFormat="1"/>
    <row r="744" s="40" customFormat="1"/>
    <row r="745" s="40" customFormat="1"/>
    <row r="746" s="40" customFormat="1"/>
    <row r="747" s="40" customFormat="1"/>
    <row r="748" s="40" customFormat="1"/>
    <row r="749" s="40" customFormat="1"/>
    <row r="750" s="40" customFormat="1"/>
    <row r="751" s="40" customFormat="1"/>
    <row r="752" s="40" customFormat="1"/>
    <row r="753" s="40" customFormat="1"/>
    <row r="754" s="40" customFormat="1"/>
    <row r="755" s="40" customFormat="1"/>
    <row r="756" s="40" customFormat="1"/>
    <row r="757" s="40" customFormat="1"/>
    <row r="758" s="40" customFormat="1"/>
    <row r="759" s="40" customFormat="1"/>
    <row r="760" s="40" customFormat="1"/>
    <row r="761" s="40" customFormat="1"/>
    <row r="762" s="40" customFormat="1"/>
    <row r="763" s="40" customFormat="1"/>
    <row r="764" s="40" customFormat="1"/>
    <row r="765" s="40" customFormat="1"/>
    <row r="766" s="40" customFormat="1"/>
    <row r="767" s="40" customFormat="1"/>
    <row r="768" s="40" customFormat="1"/>
    <row r="769" s="40" customFormat="1"/>
    <row r="770" s="40" customFormat="1"/>
    <row r="771" s="40" customFormat="1"/>
    <row r="772" s="40" customFormat="1"/>
    <row r="773" s="40" customFormat="1"/>
    <row r="774" s="40" customFormat="1"/>
    <row r="775" s="40" customFormat="1"/>
    <row r="776" s="40" customFormat="1"/>
    <row r="777" s="40" customFormat="1"/>
    <row r="778" s="40" customFormat="1"/>
    <row r="779" s="40" customFormat="1"/>
    <row r="780" s="40" customFormat="1"/>
    <row r="781" s="40" customFormat="1"/>
    <row r="782" s="40" customFormat="1"/>
    <row r="783" s="40" customFormat="1"/>
    <row r="784" s="40" customFormat="1"/>
    <row r="785" s="40" customFormat="1"/>
    <row r="786" s="40" customFormat="1"/>
    <row r="787" s="40" customFormat="1"/>
    <row r="788" s="40" customFormat="1"/>
    <row r="789" s="40" customFormat="1"/>
    <row r="790" s="40" customFormat="1"/>
    <row r="791" s="40" customFormat="1"/>
    <row r="792" s="40" customFormat="1"/>
    <row r="793" s="40" customFormat="1"/>
    <row r="794" s="40" customFormat="1"/>
    <row r="795" s="40" customFormat="1"/>
    <row r="796" s="40" customFormat="1"/>
    <row r="797" s="40" customFormat="1"/>
    <row r="798" s="40" customFormat="1"/>
    <row r="799" s="40" customFormat="1"/>
    <row r="800" s="40" customFormat="1"/>
    <row r="801" s="40" customFormat="1"/>
    <row r="802" s="40" customFormat="1"/>
    <row r="803" s="40" customFormat="1"/>
    <row r="804" s="40" customFormat="1"/>
    <row r="805" s="40" customFormat="1"/>
    <row r="806" s="40" customFormat="1"/>
    <row r="807" s="40" customFormat="1"/>
    <row r="808" s="40" customFormat="1"/>
    <row r="809" s="40" customFormat="1"/>
    <row r="810" s="40" customFormat="1"/>
    <row r="811" s="40" customFormat="1"/>
    <row r="812" s="40" customFormat="1"/>
    <row r="813" s="40" customFormat="1"/>
    <row r="814" s="40" customFormat="1"/>
    <row r="815" s="40" customFormat="1"/>
    <row r="816" s="40" customFormat="1"/>
    <row r="817" s="40" customFormat="1"/>
    <row r="818" s="40" customFormat="1"/>
    <row r="819" s="40" customFormat="1"/>
    <row r="820" s="40" customFormat="1"/>
    <row r="821" s="40" customFormat="1"/>
    <row r="822" s="40" customFormat="1"/>
    <row r="823" s="40" customFormat="1"/>
    <row r="824" s="40" customFormat="1"/>
    <row r="825" s="40" customFormat="1"/>
    <row r="826" s="40" customFormat="1"/>
    <row r="827" s="40" customFormat="1"/>
    <row r="828" s="40" customFormat="1"/>
    <row r="829" s="40" customFormat="1"/>
    <row r="830" s="40" customFormat="1"/>
    <row r="831" s="40" customFormat="1"/>
    <row r="832" s="40" customFormat="1"/>
    <row r="833" s="40" customFormat="1"/>
    <row r="834" s="40" customFormat="1"/>
    <row r="835" s="40" customFormat="1"/>
    <row r="836" s="40" customFormat="1"/>
    <row r="837" s="40" customFormat="1"/>
    <row r="838" s="40" customFormat="1"/>
    <row r="839" s="40" customFormat="1"/>
    <row r="840" s="40" customFormat="1"/>
    <row r="841" s="40" customFormat="1"/>
    <row r="842" s="40" customFormat="1"/>
    <row r="843" s="40" customFormat="1"/>
    <row r="844" s="40" customFormat="1"/>
    <row r="845" s="40" customFormat="1"/>
    <row r="846" s="40" customFormat="1"/>
    <row r="847" s="40" customFormat="1"/>
    <row r="848" s="40" customFormat="1"/>
    <row r="849" s="40" customFormat="1"/>
    <row r="850" s="40" customFormat="1"/>
    <row r="851" s="40" customFormat="1"/>
    <row r="852" s="40" customFormat="1"/>
    <row r="853" s="40" customFormat="1"/>
    <row r="854" s="40" customFormat="1"/>
    <row r="855" s="40" customFormat="1"/>
    <row r="856" s="40" customFormat="1"/>
    <row r="857" s="40" customFormat="1"/>
    <row r="858" s="40" customFormat="1"/>
    <row r="859" s="40" customFormat="1"/>
    <row r="860" s="40" customFormat="1"/>
    <row r="861" s="40" customFormat="1"/>
    <row r="862" s="40" customFormat="1"/>
    <row r="863" s="40" customFormat="1"/>
    <row r="864" s="40" customFormat="1"/>
    <row r="865" s="40" customFormat="1"/>
    <row r="866" s="40" customFormat="1"/>
    <row r="867" s="40" customFormat="1"/>
    <row r="868" s="40" customFormat="1"/>
    <row r="869" s="40" customFormat="1"/>
    <row r="870" s="40" customFormat="1"/>
    <row r="871" s="40" customFormat="1"/>
    <row r="872" s="40" customFormat="1"/>
    <row r="873" s="40" customFormat="1"/>
    <row r="874" s="40" customFormat="1"/>
    <row r="875" s="40" customFormat="1"/>
    <row r="876" s="40" customFormat="1"/>
    <row r="877" s="40" customFormat="1"/>
    <row r="878" s="40" customFormat="1"/>
    <row r="879" s="40" customFormat="1"/>
    <row r="880" s="40" customFormat="1"/>
    <row r="881" s="40" customFormat="1"/>
    <row r="882" s="40" customFormat="1"/>
    <row r="883" s="40" customFormat="1"/>
    <row r="884" s="40" customFormat="1"/>
    <row r="885" s="40" customFormat="1"/>
    <row r="886" s="40" customFormat="1"/>
    <row r="887" s="40" customFormat="1"/>
    <row r="888" s="40" customFormat="1"/>
    <row r="889" s="40" customFormat="1"/>
    <row r="890" s="40" customFormat="1"/>
    <row r="891" s="40" customFormat="1"/>
    <row r="892" s="40" customFormat="1"/>
    <row r="893" s="40" customFormat="1"/>
    <row r="894" s="40" customFormat="1"/>
    <row r="895" s="40" customFormat="1"/>
    <row r="896" s="40" customFormat="1"/>
    <row r="897" s="40" customFormat="1"/>
    <row r="898" s="40" customFormat="1"/>
    <row r="899" s="40" customFormat="1"/>
    <row r="900" s="40" customFormat="1"/>
    <row r="901" s="40" customFormat="1"/>
    <row r="902" s="40" customFormat="1"/>
    <row r="903" s="40" customFormat="1"/>
    <row r="904" s="40" customFormat="1"/>
    <row r="905" s="40" customFormat="1"/>
    <row r="906" s="40" customFormat="1"/>
    <row r="907" s="40" customFormat="1"/>
    <row r="908" s="40" customFormat="1"/>
    <row r="909" s="40" customFormat="1"/>
    <row r="910" s="40" customFormat="1"/>
    <row r="911" s="40" customFormat="1"/>
    <row r="912" s="40" customFormat="1"/>
    <row r="913" s="40" customFormat="1"/>
    <row r="914" s="40" customFormat="1"/>
    <row r="915" s="40" customFormat="1"/>
    <row r="916" s="40" customFormat="1"/>
    <row r="917" s="40" customFormat="1"/>
    <row r="918" s="40" customFormat="1"/>
    <row r="919" s="40" customFormat="1"/>
    <row r="920" s="40" customFormat="1"/>
    <row r="921" s="40" customFormat="1"/>
    <row r="922" s="40" customFormat="1"/>
    <row r="923" s="40" customFormat="1"/>
    <row r="924" s="40" customFormat="1"/>
    <row r="925" s="40" customFormat="1"/>
    <row r="926" s="40" customFormat="1"/>
    <row r="927" s="40" customFormat="1"/>
    <row r="928" s="40" customFormat="1"/>
    <row r="929" s="40" customFormat="1"/>
    <row r="930" s="40" customFormat="1"/>
    <row r="931" s="40" customFormat="1"/>
    <row r="932" s="40" customFormat="1"/>
    <row r="933" s="40" customFormat="1"/>
    <row r="934" s="40" customFormat="1"/>
    <row r="935" s="40" customFormat="1"/>
    <row r="936" s="40" customFormat="1"/>
    <row r="937" s="40" customFormat="1"/>
    <row r="938" s="40" customFormat="1"/>
    <row r="939" s="40" customFormat="1"/>
    <row r="940" s="40" customFormat="1"/>
    <row r="941" s="40" customFormat="1"/>
    <row r="942" s="40" customFormat="1"/>
    <row r="943" s="40" customFormat="1"/>
    <row r="944" s="40" customFormat="1"/>
    <row r="945" s="40" customFormat="1"/>
    <row r="946" s="40" customFormat="1"/>
    <row r="947" s="40" customFormat="1"/>
    <row r="948" s="40" customFormat="1"/>
    <row r="949" s="40" customFormat="1"/>
    <row r="950" s="40" customFormat="1"/>
    <row r="951" s="40" customFormat="1"/>
    <row r="952" s="40" customFormat="1"/>
    <row r="953" s="40" customFormat="1"/>
    <row r="954" s="40" customFormat="1"/>
    <row r="955" s="40" customFormat="1"/>
    <row r="956" s="40" customFormat="1"/>
    <row r="957" s="40" customFormat="1"/>
    <row r="958" s="40" customFormat="1"/>
    <row r="959" s="40" customFormat="1"/>
    <row r="960" s="40" customFormat="1"/>
    <row r="961" s="40" customFormat="1"/>
    <row r="962" s="40" customFormat="1"/>
    <row r="963" s="40" customFormat="1"/>
    <row r="964" s="40" customFormat="1"/>
    <row r="965" s="40" customFormat="1"/>
    <row r="966" s="40" customFormat="1"/>
    <row r="967" s="40" customFormat="1"/>
    <row r="968" s="40" customFormat="1"/>
    <row r="969" s="40" customFormat="1"/>
    <row r="970" s="40" customFormat="1"/>
    <row r="971" s="40" customFormat="1"/>
    <row r="972" s="40" customFormat="1"/>
    <row r="973" s="40" customFormat="1"/>
    <row r="974" s="40" customFormat="1"/>
    <row r="975" s="40" customFormat="1"/>
    <row r="976" s="40" customFormat="1"/>
    <row r="977" s="40" customFormat="1"/>
    <row r="978" s="40" customFormat="1"/>
    <row r="979" s="40" customFormat="1"/>
    <row r="980" s="40" customFormat="1"/>
    <row r="981" s="40" customFormat="1"/>
    <row r="982" s="40" customFormat="1"/>
    <row r="983" s="40" customFormat="1"/>
    <row r="984" s="40" customFormat="1"/>
    <row r="985" s="40" customFormat="1"/>
    <row r="986" s="40" customFormat="1"/>
    <row r="987" s="40" customFormat="1"/>
    <row r="988" s="40" customFormat="1"/>
    <row r="989" s="40" customFormat="1"/>
    <row r="990" s="40" customFormat="1"/>
    <row r="991" s="40" customFormat="1"/>
    <row r="992" s="40" customFormat="1"/>
    <row r="993" s="40" customFormat="1"/>
    <row r="994" s="40" customFormat="1"/>
    <row r="995" s="40" customFormat="1"/>
    <row r="996" s="40" customFormat="1"/>
    <row r="997" s="40" customFormat="1"/>
    <row r="998" s="40" customFormat="1"/>
    <row r="999" s="40" customFormat="1"/>
    <row r="1000" s="40" customFormat="1"/>
    <row r="1001" s="40" customFormat="1"/>
    <row r="1002" s="40" customFormat="1"/>
    <row r="1003" s="40" customFormat="1"/>
    <row r="1004" s="40" customFormat="1"/>
    <row r="1005" s="40" customFormat="1"/>
    <row r="1006" s="40" customFormat="1"/>
    <row r="1007" s="40" customFormat="1"/>
    <row r="1008" s="40" customFormat="1"/>
    <row r="1009" s="40" customFormat="1"/>
    <row r="1010" s="40" customFormat="1"/>
    <row r="1011" s="40" customFormat="1"/>
    <row r="1012" s="40" customFormat="1"/>
    <row r="1013" s="40" customFormat="1"/>
    <row r="1014" s="40" customFormat="1"/>
    <row r="1015" s="40" customFormat="1"/>
    <row r="1016" s="40" customFormat="1"/>
    <row r="1017" s="40" customFormat="1"/>
    <row r="1018" s="40" customFormat="1"/>
    <row r="1019" s="40" customFormat="1"/>
    <row r="1020" s="40" customFormat="1"/>
    <row r="1021" s="40" customFormat="1"/>
    <row r="1022" s="40" customFormat="1"/>
    <row r="1023" s="40" customFormat="1"/>
    <row r="1024" s="40" customFormat="1"/>
    <row r="1025" s="40" customFormat="1"/>
    <row r="1026" s="40" customFormat="1"/>
    <row r="1027" s="40" customFormat="1"/>
    <row r="1028" s="40" customFormat="1"/>
    <row r="1029" s="40" customFormat="1"/>
    <row r="1030" s="40" customFormat="1"/>
    <row r="1031" s="40" customFormat="1"/>
    <row r="1032" s="40" customFormat="1"/>
    <row r="1033" s="40" customFormat="1"/>
    <row r="1034" s="40" customFormat="1"/>
    <row r="1035" s="40" customFormat="1"/>
    <row r="1036" s="40" customFormat="1"/>
    <row r="1037" s="40" customFormat="1"/>
    <row r="1038" s="40" customFormat="1"/>
    <row r="1039" s="40" customFormat="1"/>
    <row r="1040" s="40" customFormat="1"/>
    <row r="1041" s="40" customFormat="1"/>
    <row r="1042" s="40" customFormat="1"/>
    <row r="1043" s="40" customFormat="1"/>
    <row r="1044" s="40" customFormat="1"/>
    <row r="1045" s="40" customFormat="1"/>
    <row r="1046" s="40" customFormat="1"/>
    <row r="1047" s="40" customFormat="1"/>
    <row r="1048" s="40" customFormat="1"/>
    <row r="1049" s="40" customFormat="1"/>
    <row r="1050" s="40" customFormat="1"/>
    <row r="1051" s="40" customFormat="1"/>
    <row r="1052" s="40" customFormat="1"/>
    <row r="1053" s="40" customFormat="1"/>
    <row r="1054" s="40" customFormat="1"/>
    <row r="1055" s="40" customFormat="1"/>
    <row r="1056" s="40" customFormat="1"/>
    <row r="1057" s="40" customFormat="1"/>
    <row r="1058" s="40" customFormat="1"/>
    <row r="1059" s="40" customFormat="1"/>
    <row r="1060" s="40" customFormat="1"/>
    <row r="1061" s="40" customFormat="1"/>
    <row r="1062" s="40" customFormat="1"/>
    <row r="1063" s="40" customFormat="1"/>
    <row r="1064" s="40" customFormat="1"/>
    <row r="1065" s="40" customFormat="1"/>
    <row r="1066" s="40" customFormat="1"/>
    <row r="1067" s="40" customFormat="1"/>
    <row r="1068" s="40" customFormat="1"/>
    <row r="1069" s="40" customFormat="1"/>
    <row r="1070" s="40" customFormat="1"/>
    <row r="1071" s="40" customFormat="1"/>
    <row r="1072" s="40" customFormat="1"/>
    <row r="1073" s="40" customFormat="1"/>
    <row r="1074" s="40" customFormat="1"/>
    <row r="1075" s="40" customFormat="1"/>
    <row r="1076" s="40" customFormat="1"/>
    <row r="1077" s="40" customFormat="1"/>
    <row r="1078" s="40" customFormat="1"/>
    <row r="1079" s="40" customFormat="1"/>
    <row r="1080" s="40" customFormat="1"/>
    <row r="1081" s="40" customFormat="1"/>
    <row r="1082" s="40" customFormat="1"/>
    <row r="1083" s="40" customFormat="1"/>
    <row r="1084" s="40" customFormat="1"/>
    <row r="1085" s="40" customFormat="1"/>
    <row r="1086" s="40" customFormat="1"/>
    <row r="1087" s="40" customFormat="1"/>
    <row r="1088" s="40" customFormat="1"/>
    <row r="1089" s="40" customFormat="1"/>
    <row r="1090" s="40" customFormat="1"/>
    <row r="1091" s="40" customFormat="1"/>
    <row r="1092" s="40" customFormat="1"/>
    <row r="1093" s="40" customFormat="1"/>
    <row r="1094" s="40" customFormat="1"/>
    <row r="1095" s="40" customFormat="1"/>
    <row r="1096" s="40" customFormat="1"/>
    <row r="1097" s="40" customFormat="1"/>
    <row r="1098" s="40" customFormat="1"/>
    <row r="1099" s="40" customFormat="1"/>
    <row r="1100" s="40" customFormat="1"/>
    <row r="1101" s="40" customFormat="1"/>
    <row r="1102" s="40" customFormat="1"/>
    <row r="1103" s="40" customFormat="1"/>
    <row r="1104" s="40" customFormat="1"/>
    <row r="1105" s="40" customFormat="1"/>
    <row r="1106" s="40" customFormat="1"/>
    <row r="1107" s="40" customFormat="1"/>
    <row r="1108" s="40" customFormat="1"/>
    <row r="1109" s="40" customFormat="1"/>
    <row r="1110" s="40" customFormat="1"/>
    <row r="1111" s="40" customFormat="1"/>
    <row r="1112" s="40" customFormat="1"/>
    <row r="1113" s="40" customFormat="1"/>
    <row r="1114" s="40" customFormat="1"/>
    <row r="1115" s="40" customFormat="1"/>
    <row r="1116" s="40" customFormat="1"/>
    <row r="1117" s="40" customFormat="1"/>
    <row r="1118" s="40" customFormat="1"/>
    <row r="1119" s="40" customFormat="1"/>
    <row r="1120" s="40" customFormat="1"/>
    <row r="1121" s="40" customFormat="1"/>
    <row r="1122" s="40" customFormat="1"/>
    <row r="1123" s="40" customFormat="1"/>
    <row r="1124" s="40" customFormat="1"/>
    <row r="1125" s="40" customFormat="1"/>
    <row r="1126" s="40" customFormat="1"/>
    <row r="1127" s="40" customFormat="1"/>
    <row r="1128" s="40" customFormat="1"/>
    <row r="1129" s="40" customFormat="1"/>
    <row r="1130" s="40" customFormat="1"/>
    <row r="1131" s="40" customFormat="1"/>
    <row r="1132" s="40" customFormat="1"/>
    <row r="1133" s="40" customFormat="1"/>
    <row r="1134" s="40" customFormat="1"/>
    <row r="1135" s="40" customFormat="1"/>
    <row r="1136" s="40" customFormat="1"/>
    <row r="1137" s="40" customFormat="1"/>
    <row r="1138" s="40" customFormat="1"/>
    <row r="1139" s="40" customFormat="1"/>
    <row r="1140" s="40" customFormat="1"/>
    <row r="1141" s="40" customFormat="1"/>
    <row r="1142" s="40" customFormat="1"/>
    <row r="1143" s="40" customFormat="1"/>
    <row r="1144" s="40" customFormat="1"/>
    <row r="1145" s="40" customFormat="1"/>
    <row r="1146" s="40" customFormat="1"/>
    <row r="1147" s="40" customFormat="1"/>
    <row r="1148" s="40" customFormat="1"/>
    <row r="1149" s="40" customFormat="1"/>
    <row r="1150" s="40" customFormat="1"/>
    <row r="1151" s="40" customFormat="1"/>
    <row r="1152" s="40" customFormat="1"/>
    <row r="1153" s="40" customFormat="1"/>
    <row r="1154" s="40" customFormat="1"/>
    <row r="1155" s="40" customFormat="1"/>
    <row r="1156" s="40" customFormat="1"/>
    <row r="1157" s="40" customFormat="1"/>
    <row r="1158" s="40" customFormat="1"/>
    <row r="1159" s="40" customFormat="1"/>
    <row r="1160" s="40" customFormat="1"/>
    <row r="1161" s="40" customFormat="1"/>
    <row r="1162" s="40" customFormat="1"/>
    <row r="1163" s="40" customFormat="1"/>
    <row r="1164" s="40" customFormat="1"/>
    <row r="1165" s="40" customFormat="1"/>
    <row r="1166" s="40" customFormat="1"/>
    <row r="1167" s="40" customFormat="1"/>
    <row r="1168" s="40" customFormat="1"/>
    <row r="1169" s="40" customFormat="1"/>
    <row r="1170" s="40" customFormat="1"/>
    <row r="1171" s="40" customFormat="1"/>
    <row r="1172" s="40" customFormat="1"/>
    <row r="1173" s="40" customFormat="1"/>
    <row r="1174" s="40" customFormat="1"/>
    <row r="1175" s="40" customFormat="1"/>
    <row r="1176" s="40" customFormat="1"/>
    <row r="1177" s="40" customFormat="1"/>
    <row r="1178" s="40" customFormat="1"/>
    <row r="1179" s="40" customFormat="1"/>
    <row r="1180" s="40" customFormat="1"/>
    <row r="1181" s="40" customFormat="1"/>
    <row r="1182" s="40" customFormat="1"/>
    <row r="1183" s="40" customFormat="1"/>
    <row r="1184" s="40" customFormat="1"/>
    <row r="1185" s="40" customFormat="1"/>
    <row r="1186" s="40" customFormat="1"/>
    <row r="1187" s="40" customFormat="1"/>
    <row r="1188" s="40" customFormat="1"/>
    <row r="1189" s="40" customFormat="1"/>
    <row r="1190" s="40" customFormat="1"/>
    <row r="1191" s="40" customFormat="1"/>
    <row r="1192" s="40" customFormat="1"/>
    <row r="1193" s="40" customFormat="1"/>
    <row r="1194" s="40" customFormat="1"/>
    <row r="1195" s="40" customFormat="1"/>
    <row r="1196" s="40" customFormat="1"/>
    <row r="1197" s="40" customFormat="1"/>
    <row r="1198" s="40" customFormat="1"/>
    <row r="1199" s="40" customFormat="1"/>
    <row r="1200" s="40" customFormat="1"/>
    <row r="1201" s="40" customFormat="1"/>
    <row r="1202" s="40" customFormat="1"/>
    <row r="1203" s="40" customFormat="1"/>
    <row r="1204" s="40" customFormat="1"/>
    <row r="1205" s="40" customFormat="1"/>
    <row r="1206" s="40" customFormat="1"/>
    <row r="1207" s="40" customFormat="1"/>
    <row r="1208" s="40" customFormat="1"/>
    <row r="1209" s="40" customFormat="1"/>
    <row r="1210" s="40" customFormat="1"/>
    <row r="1211" s="40" customFormat="1"/>
    <row r="1212" s="40" customFormat="1"/>
    <row r="1213" s="40" customFormat="1"/>
    <row r="1214" s="40" customFormat="1"/>
    <row r="1215" s="40" customFormat="1"/>
    <row r="1216" s="40" customFormat="1"/>
    <row r="1217" s="40" customFormat="1"/>
    <row r="1218" s="40" customFormat="1"/>
    <row r="1219" s="40" customFormat="1"/>
    <row r="1220" s="40" customFormat="1"/>
    <row r="1221" s="40" customFormat="1"/>
    <row r="1222" s="40" customFormat="1"/>
    <row r="1223" s="40" customFormat="1"/>
    <row r="1224" s="40" customFormat="1"/>
    <row r="1225" s="40" customFormat="1"/>
    <row r="1226" s="40" customFormat="1"/>
    <row r="1227" s="40" customFormat="1"/>
    <row r="1228" s="40" customFormat="1"/>
    <row r="1229" s="40" customFormat="1"/>
    <row r="1230" s="40" customFormat="1"/>
    <row r="1231" s="40" customFormat="1"/>
    <row r="1232" s="40" customFormat="1"/>
    <row r="1233" s="40" customFormat="1"/>
    <row r="1234" s="40" customFormat="1"/>
    <row r="1235" s="40" customFormat="1"/>
    <row r="1236" s="40" customFormat="1"/>
    <row r="1237" s="40" customFormat="1"/>
    <row r="1238" s="40" customFormat="1"/>
    <row r="1239" s="40" customFormat="1"/>
    <row r="1240" s="40" customFormat="1"/>
    <row r="1241" s="40" customFormat="1"/>
    <row r="1242" s="40" customFormat="1"/>
    <row r="1243" s="40" customFormat="1"/>
    <row r="1244" s="40" customFormat="1"/>
    <row r="1245" s="40" customFormat="1"/>
    <row r="1246" s="40" customFormat="1"/>
    <row r="1247" s="40" customFormat="1"/>
    <row r="1248" s="40" customFormat="1"/>
    <row r="1249" s="40" customFormat="1"/>
    <row r="1250" s="40" customFormat="1"/>
    <row r="1251" s="40" customFormat="1"/>
    <row r="1252" s="40" customFormat="1"/>
    <row r="1253" s="40" customFormat="1"/>
    <row r="1254" s="40" customFormat="1"/>
    <row r="1255" s="40" customFormat="1"/>
    <row r="1256" s="40" customFormat="1"/>
    <row r="1257" s="40" customFormat="1"/>
    <row r="1258" s="40" customFormat="1"/>
    <row r="1259" s="40" customFormat="1"/>
    <row r="1260" s="40" customFormat="1"/>
    <row r="1261" s="40" customFormat="1"/>
    <row r="1262" s="40" customFormat="1"/>
    <row r="1263" s="40" customFormat="1"/>
    <row r="1264" s="40" customFormat="1"/>
    <row r="1265" s="40" customFormat="1"/>
    <row r="1266" s="40" customFormat="1"/>
    <row r="1267" s="40" customFormat="1"/>
    <row r="1268" s="40" customFormat="1"/>
    <row r="1269" s="40" customFormat="1"/>
    <row r="1270" s="40" customFormat="1"/>
    <row r="1271" s="40" customFormat="1"/>
    <row r="1272" s="40" customFormat="1"/>
    <row r="1273" s="40" customFormat="1"/>
    <row r="1274" s="40" customFormat="1"/>
    <row r="1275" s="40" customFormat="1"/>
    <row r="1276" s="40" customFormat="1"/>
    <row r="1277" s="40" customFormat="1"/>
    <row r="1278" s="40" customFormat="1"/>
    <row r="1279" s="40" customFormat="1"/>
    <row r="1280" s="40" customFormat="1"/>
    <row r="1281" s="40" customFormat="1"/>
    <row r="1282" s="40" customFormat="1"/>
    <row r="1283" s="40" customFormat="1"/>
    <row r="1284" s="40" customFormat="1"/>
    <row r="1285" s="40" customFormat="1"/>
    <row r="1286" s="40" customFormat="1"/>
    <row r="1287" s="40" customFormat="1"/>
    <row r="1288" s="40" customFormat="1"/>
    <row r="1289" s="40" customFormat="1"/>
    <row r="1290" s="40" customFormat="1"/>
    <row r="1291" s="40" customFormat="1"/>
    <row r="1292" s="40" customFormat="1"/>
    <row r="1293" s="40" customFormat="1"/>
    <row r="1294" s="40" customFormat="1"/>
    <row r="1295" s="40" customFormat="1"/>
    <row r="1296" s="40" customFormat="1"/>
    <row r="1297" s="40" customFormat="1"/>
    <row r="1298" s="40" customFormat="1"/>
    <row r="1299" s="40" customFormat="1"/>
    <row r="1300" s="40" customFormat="1"/>
    <row r="1301" s="40" customFormat="1"/>
    <row r="1302" s="40" customFormat="1"/>
    <row r="1303" s="40" customFormat="1"/>
    <row r="1304" s="40" customFormat="1"/>
    <row r="1305" s="40" customFormat="1"/>
    <row r="1306" s="40" customFormat="1"/>
    <row r="1307" s="40" customFormat="1"/>
    <row r="1308" s="40" customFormat="1"/>
    <row r="1309" s="40" customFormat="1"/>
    <row r="1310" s="40" customFormat="1"/>
    <row r="1311" s="40" customFormat="1"/>
    <row r="1312" s="40" customFormat="1"/>
    <row r="1313" s="40" customFormat="1"/>
    <row r="1314" s="40" customFormat="1"/>
    <row r="1315" s="40" customFormat="1"/>
    <row r="1316" s="40" customFormat="1"/>
    <row r="1317" s="40" customFormat="1"/>
    <row r="1318" s="40" customFormat="1"/>
    <row r="1319" s="40" customFormat="1"/>
    <row r="1320" s="40" customFormat="1"/>
    <row r="1321" s="40" customFormat="1"/>
    <row r="1322" s="40" customFormat="1"/>
    <row r="1323" s="40" customFormat="1"/>
    <row r="1324" s="40" customFormat="1"/>
    <row r="1325" s="40" customFormat="1"/>
    <row r="1326" s="40" customFormat="1"/>
    <row r="1327" s="40" customFormat="1"/>
    <row r="1328" s="40" customFormat="1"/>
    <row r="1329" s="40" customFormat="1"/>
    <row r="1330" s="40" customFormat="1"/>
    <row r="1331" s="40" customFormat="1"/>
    <row r="1332" s="40" customFormat="1"/>
    <row r="1333" s="40" customFormat="1"/>
    <row r="1334" s="40" customFormat="1"/>
    <row r="1335" s="40" customFormat="1"/>
    <row r="1336" s="40" customFormat="1"/>
    <row r="1337" s="40" customFormat="1"/>
    <row r="1338" s="40" customFormat="1"/>
    <row r="1339" s="40" customFormat="1"/>
    <row r="1340" s="40" customFormat="1"/>
    <row r="1341" s="40" customFormat="1"/>
    <row r="1342" s="40" customFormat="1"/>
    <row r="1343" s="40" customFormat="1"/>
    <row r="1344" s="40" customFormat="1"/>
    <row r="1345" s="40" customFormat="1"/>
    <row r="1346" s="40" customFormat="1"/>
    <row r="1347" s="40" customFormat="1"/>
    <row r="1348" s="40" customFormat="1"/>
    <row r="1349" s="40" customFormat="1"/>
    <row r="1350" s="40" customFormat="1"/>
    <row r="1351" s="40" customFormat="1"/>
    <row r="1352" s="40" customFormat="1"/>
    <row r="1353" s="40" customFormat="1"/>
    <row r="1354" s="40" customFormat="1"/>
    <row r="1355" s="40" customFormat="1"/>
    <row r="1356" s="40" customFormat="1"/>
    <row r="1357" s="40" customFormat="1"/>
    <row r="1358" s="40" customFormat="1"/>
    <row r="1359" s="40" customFormat="1"/>
    <row r="1360" s="40" customFormat="1"/>
    <row r="1361" s="40" customFormat="1"/>
    <row r="1362" s="40" customFormat="1"/>
    <row r="1363" s="40" customFormat="1"/>
    <row r="1364" s="40" customFormat="1"/>
    <row r="1365" s="40" customFormat="1"/>
    <row r="1366" s="40" customFormat="1"/>
    <row r="1367" s="40" customFormat="1"/>
    <row r="1368" s="40" customFormat="1"/>
    <row r="1369" s="40" customFormat="1"/>
    <row r="1370" s="40" customFormat="1"/>
    <row r="1371" s="40" customFormat="1"/>
    <row r="1372" s="40" customFormat="1"/>
    <row r="1373" s="40" customFormat="1"/>
    <row r="1374" s="40" customFormat="1"/>
    <row r="1375" s="40" customFormat="1"/>
    <row r="1376" s="40" customFormat="1"/>
    <row r="1377" s="40" customFormat="1"/>
    <row r="1378" s="40" customFormat="1"/>
    <row r="1379" s="40" customFormat="1"/>
    <row r="1380" s="40" customFormat="1"/>
    <row r="1381" s="40" customFormat="1"/>
    <row r="1382" s="40" customFormat="1"/>
    <row r="1383" s="40" customFormat="1"/>
    <row r="1384" s="40" customFormat="1"/>
    <row r="1385" s="40" customFormat="1"/>
    <row r="1386" s="40" customFormat="1"/>
    <row r="1387" s="40" customFormat="1"/>
    <row r="1388" s="40" customFormat="1"/>
    <row r="1389" s="40" customFormat="1"/>
    <row r="1390" s="40" customFormat="1"/>
    <row r="1391" s="40" customFormat="1"/>
    <row r="1392" s="40" customFormat="1"/>
    <row r="1393" s="40" customFormat="1"/>
    <row r="1394" s="40" customFormat="1"/>
    <row r="1395" s="40" customFormat="1"/>
    <row r="1396" s="40" customFormat="1"/>
    <row r="1397" s="40" customFormat="1"/>
    <row r="1398" s="40" customFormat="1"/>
    <row r="1399" s="40" customFormat="1"/>
    <row r="1400" s="40" customFormat="1"/>
    <row r="1401" s="40" customFormat="1"/>
    <row r="1402" s="40" customFormat="1"/>
    <row r="1403" s="40" customFormat="1"/>
    <row r="1404" s="40" customFormat="1"/>
    <row r="1405" s="40" customFormat="1"/>
    <row r="1406" s="40" customFormat="1"/>
    <row r="1407" s="40" customFormat="1"/>
    <row r="1408" s="40" customFormat="1"/>
    <row r="1409" s="40" customFormat="1"/>
    <row r="1410" s="40" customFormat="1"/>
    <row r="1411" s="40" customFormat="1"/>
    <row r="1412" s="40" customFormat="1"/>
    <row r="1413" s="40" customFormat="1"/>
    <row r="1414" s="40" customFormat="1"/>
    <row r="1415" s="40" customFormat="1"/>
    <row r="1416" s="40" customFormat="1"/>
    <row r="1417" s="40" customFormat="1"/>
    <row r="1418" s="40" customFormat="1"/>
    <row r="1419" s="40" customFormat="1"/>
    <row r="1420" s="40" customFormat="1"/>
    <row r="1421" s="40" customFormat="1"/>
    <row r="1422" s="40" customFormat="1"/>
    <row r="1423" s="40" customFormat="1"/>
    <row r="1424" s="40" customFormat="1"/>
    <row r="1425" s="40" customFormat="1"/>
    <row r="1426" s="40" customFormat="1"/>
    <row r="1427" s="40" customFormat="1"/>
    <row r="1428" s="40" customFormat="1"/>
    <row r="1429" s="40" customFormat="1"/>
    <row r="1430" s="40" customFormat="1"/>
    <row r="1431" s="40" customFormat="1"/>
    <row r="1432" s="40" customFormat="1"/>
    <row r="1433" s="40" customFormat="1"/>
    <row r="1434" s="40" customFormat="1"/>
    <row r="1435" s="40" customFormat="1"/>
    <row r="1436" s="40" customFormat="1"/>
    <row r="1437" s="40" customFormat="1"/>
    <row r="1438" s="40" customFormat="1"/>
    <row r="1439" s="40" customFormat="1"/>
    <row r="1440" s="40" customFormat="1"/>
    <row r="1441" s="40" customFormat="1"/>
    <row r="1442" s="40" customFormat="1"/>
    <row r="1443" s="40" customFormat="1"/>
    <row r="1444" s="40" customFormat="1"/>
    <row r="1445" s="40" customFormat="1"/>
    <row r="1446" s="40" customFormat="1"/>
    <row r="1447" s="40" customFormat="1"/>
    <row r="1448" s="40" customFormat="1"/>
    <row r="1449" s="40" customFormat="1"/>
    <row r="1450" s="40" customFormat="1"/>
    <row r="1451" s="40" customFormat="1"/>
    <row r="1452" s="40" customFormat="1"/>
    <row r="1453" s="40" customFormat="1"/>
    <row r="1454" s="40" customFormat="1"/>
    <row r="1455" s="40" customFormat="1"/>
    <row r="1456" s="40" customFormat="1"/>
    <row r="1457" s="40" customFormat="1"/>
    <row r="1458" s="40" customFormat="1"/>
    <row r="1459" s="40" customFormat="1"/>
    <row r="1460" s="40" customFormat="1"/>
    <row r="1461" s="40" customFormat="1"/>
    <row r="1462" s="40" customFormat="1"/>
    <row r="1463" s="40" customFormat="1"/>
    <row r="1464" s="40" customFormat="1"/>
    <row r="1465" s="40" customFormat="1"/>
    <row r="1466" s="40" customFormat="1"/>
    <row r="1467" s="40" customFormat="1"/>
    <row r="1468" s="40" customFormat="1"/>
    <row r="1469" s="40" customFormat="1"/>
    <row r="1470" s="40" customFormat="1"/>
    <row r="1471" s="40" customFormat="1"/>
    <row r="1472" s="40" customFormat="1"/>
    <row r="1473" s="40" customFormat="1"/>
    <row r="1474" s="40" customFormat="1"/>
    <row r="1475" s="40" customFormat="1"/>
    <row r="1476" s="40" customFormat="1"/>
    <row r="1477" s="40" customFormat="1"/>
    <row r="1478" s="40" customFormat="1"/>
    <row r="1479" s="40" customFormat="1"/>
    <row r="1480" s="40" customFormat="1"/>
    <row r="1481" s="40" customFormat="1"/>
    <row r="1482" s="40" customFormat="1"/>
    <row r="1483" s="40" customFormat="1"/>
    <row r="1484" s="40" customFormat="1"/>
    <row r="1485" s="40" customFormat="1"/>
    <row r="1486" s="40" customFormat="1"/>
    <row r="1487" s="40" customFormat="1"/>
    <row r="1488" s="40" customFormat="1"/>
    <row r="1489" s="40" customFormat="1"/>
    <row r="1490" s="40" customFormat="1"/>
    <row r="1491" s="40" customFormat="1"/>
    <row r="1492" s="40" customFormat="1"/>
    <row r="1493" s="40" customFormat="1"/>
    <row r="1494" s="40" customFormat="1"/>
    <row r="1495" s="40" customFormat="1"/>
    <row r="1496" s="40" customFormat="1"/>
    <row r="1497" s="40" customFormat="1"/>
    <row r="1498" s="40" customFormat="1"/>
    <row r="1499" s="40" customFormat="1"/>
    <row r="1500" s="40" customFormat="1"/>
    <row r="1501" s="40" customFormat="1"/>
    <row r="1502" s="40" customFormat="1"/>
    <row r="1503" s="40" customFormat="1"/>
    <row r="1504" s="40" customFormat="1"/>
    <row r="1505" s="40" customFormat="1"/>
    <row r="1506" s="40" customFormat="1"/>
    <row r="1507" s="40" customFormat="1"/>
    <row r="1508" s="40" customFormat="1"/>
    <row r="1509" s="40" customFormat="1"/>
    <row r="1510" s="40" customFormat="1"/>
    <row r="1511" s="40" customFormat="1"/>
    <row r="1512" s="40" customFormat="1"/>
    <row r="1513" s="40" customFormat="1"/>
    <row r="1514" s="40" customFormat="1"/>
    <row r="1515" s="40" customFormat="1"/>
    <row r="1516" s="40" customFormat="1"/>
    <row r="1517" s="40" customFormat="1"/>
    <row r="1518" s="40" customFormat="1"/>
    <row r="1519" s="40" customFormat="1"/>
    <row r="1520" s="40" customFormat="1"/>
    <row r="1521" s="40" customFormat="1"/>
    <row r="1522" s="40" customFormat="1"/>
    <row r="1523" s="40" customFormat="1"/>
    <row r="1524" s="40" customFormat="1"/>
    <row r="1525" s="40" customFormat="1"/>
    <row r="1526" s="40" customFormat="1"/>
    <row r="1527" s="40" customFormat="1"/>
    <row r="1528" s="40" customFormat="1"/>
    <row r="1529" s="40" customFormat="1"/>
    <row r="1530" s="40" customFormat="1"/>
    <row r="1531" s="40" customFormat="1"/>
    <row r="1532" s="40" customFormat="1"/>
    <row r="1533" s="40" customFormat="1"/>
    <row r="1534" s="40" customFormat="1"/>
    <row r="1535" s="40" customFormat="1"/>
    <row r="1536" s="40" customFormat="1"/>
    <row r="1537" s="40" customFormat="1"/>
    <row r="1538" s="40" customFormat="1"/>
    <row r="1539" s="40" customFormat="1"/>
    <row r="1540" s="40" customFormat="1"/>
    <row r="1541" s="40" customFormat="1"/>
    <row r="1542" s="40" customFormat="1"/>
    <row r="1543" s="40" customFormat="1"/>
    <row r="1544" s="40" customFormat="1"/>
    <row r="1545" s="40" customFormat="1"/>
    <row r="1546" s="40" customFormat="1"/>
    <row r="1547" s="40" customFormat="1"/>
    <row r="1548" s="40" customFormat="1"/>
    <row r="1549" s="40" customFormat="1"/>
    <row r="1550" s="40" customFormat="1"/>
    <row r="1551" s="40" customFormat="1"/>
    <row r="1552" s="40" customFormat="1"/>
    <row r="1553" s="40" customFormat="1"/>
    <row r="1554" s="40" customFormat="1"/>
    <row r="1555" s="40" customFormat="1"/>
    <row r="1556" s="40" customFormat="1"/>
    <row r="1557" s="40" customFormat="1"/>
    <row r="1558" s="40" customFormat="1"/>
    <row r="1559" s="40" customFormat="1"/>
    <row r="1560" s="40" customFormat="1"/>
    <row r="1561" s="40" customFormat="1"/>
    <row r="1562" s="40" customFormat="1"/>
    <row r="1563" s="40" customFormat="1"/>
    <row r="1564" s="40" customFormat="1"/>
    <row r="1565" s="40" customFormat="1"/>
    <row r="1566" s="40" customFormat="1"/>
    <row r="1567" s="40" customFormat="1"/>
    <row r="1568" s="40" customFormat="1"/>
    <row r="1569" s="40" customFormat="1"/>
    <row r="1570" s="40" customFormat="1"/>
    <row r="1571" s="40" customFormat="1"/>
    <row r="1572" s="40" customFormat="1"/>
    <row r="1573" s="40" customFormat="1"/>
    <row r="1574" s="40" customFormat="1"/>
    <row r="1575" s="40" customFormat="1"/>
    <row r="1576" s="40" customFormat="1"/>
    <row r="1577" s="40" customFormat="1"/>
    <row r="1578" s="40" customFormat="1"/>
    <row r="1579" s="40" customFormat="1"/>
    <row r="1580" s="40" customFormat="1"/>
    <row r="1581" s="40" customFormat="1"/>
    <row r="1582" s="40" customFormat="1"/>
    <row r="1583" s="40" customFormat="1"/>
    <row r="1584" s="40" customFormat="1"/>
    <row r="1585" s="40" customFormat="1"/>
    <row r="1586" s="40" customFormat="1"/>
    <row r="1587" s="40" customFormat="1"/>
    <row r="1588" s="40" customFormat="1"/>
    <row r="1589" s="40" customFormat="1"/>
    <row r="1590" s="40" customFormat="1"/>
    <row r="1591" s="40" customFormat="1"/>
    <row r="1592" s="40" customFormat="1"/>
    <row r="1593" s="40" customFormat="1"/>
    <row r="1594" s="40" customFormat="1"/>
    <row r="1595" s="40" customFormat="1"/>
    <row r="1596" s="40" customFormat="1"/>
    <row r="1597" s="40" customFormat="1"/>
    <row r="1598" s="40" customFormat="1"/>
    <row r="1599" s="40" customFormat="1"/>
    <row r="1600" s="40" customFormat="1"/>
    <row r="1601" s="40" customFormat="1"/>
    <row r="1602" s="40" customFormat="1"/>
    <row r="1603" s="40" customFormat="1"/>
    <row r="1604" s="40" customFormat="1"/>
    <row r="1605" s="40" customFormat="1"/>
    <row r="1606" s="40" customFormat="1"/>
    <row r="1607" s="40" customFormat="1"/>
    <row r="1608" s="40" customFormat="1"/>
    <row r="1609" s="40" customFormat="1"/>
    <row r="1610" s="40" customFormat="1"/>
    <row r="1611" s="40" customFormat="1"/>
    <row r="1612" s="40" customFormat="1"/>
    <row r="1613" s="40" customFormat="1"/>
    <row r="1614" s="40" customFormat="1"/>
    <row r="1615" s="40" customFormat="1"/>
    <row r="1616" s="40" customFormat="1"/>
    <row r="1617" s="40" customFormat="1"/>
    <row r="1618" s="40" customFormat="1"/>
    <row r="1619" s="40" customFormat="1"/>
    <row r="1620" s="40" customFormat="1"/>
    <row r="1621" s="40" customFormat="1"/>
    <row r="1622" s="40" customFormat="1"/>
    <row r="1623" s="40" customFormat="1"/>
    <row r="1624" s="40" customFormat="1"/>
    <row r="1625" s="40" customFormat="1"/>
    <row r="1626" s="40" customFormat="1"/>
    <row r="1627" s="40" customFormat="1"/>
    <row r="1628" s="40" customFormat="1"/>
    <row r="1629" s="40" customFormat="1"/>
    <row r="1630" s="40" customFormat="1"/>
    <row r="1631" s="40" customFormat="1"/>
    <row r="1632" s="40" customFormat="1"/>
    <row r="1633" s="40" customFormat="1"/>
    <row r="1634" s="40" customFormat="1"/>
    <row r="1635" s="40" customFormat="1"/>
    <row r="1636" s="40" customFormat="1"/>
    <row r="1637" s="40" customFormat="1"/>
    <row r="1638" s="40" customFormat="1"/>
    <row r="1639" s="40" customFormat="1"/>
    <row r="1640" s="40" customFormat="1"/>
    <row r="1641" s="40" customFormat="1"/>
    <row r="1642" s="40" customFormat="1"/>
    <row r="1643" s="40" customFormat="1"/>
    <row r="1644" s="40" customFormat="1"/>
    <row r="1645" s="40" customFormat="1"/>
    <row r="1646" s="40" customFormat="1"/>
    <row r="1647" s="40" customFormat="1"/>
    <row r="1648" s="40" customFormat="1"/>
    <row r="1649" s="40" customFormat="1"/>
    <row r="1650" s="40" customFormat="1"/>
    <row r="1651" s="40" customFormat="1"/>
    <row r="1652" s="40" customFormat="1"/>
    <row r="1653" s="40" customFormat="1"/>
    <row r="1654" s="40" customFormat="1"/>
    <row r="1655" s="40" customFormat="1"/>
    <row r="1656" s="40" customFormat="1"/>
    <row r="1657" s="40" customFormat="1"/>
    <row r="1658" s="40" customFormat="1"/>
    <row r="1659" s="40" customFormat="1"/>
    <row r="1660" s="40" customFormat="1"/>
    <row r="1661" s="40" customFormat="1"/>
    <row r="1662" s="40" customFormat="1"/>
    <row r="1663" s="40" customFormat="1"/>
    <row r="1664" s="40" customFormat="1"/>
    <row r="1665" s="40" customFormat="1"/>
    <row r="1666" s="40" customFormat="1"/>
    <row r="1667" s="40" customFormat="1"/>
    <row r="1668" s="40" customFormat="1"/>
    <row r="1669" s="40" customFormat="1"/>
    <row r="1670" s="40" customFormat="1"/>
    <row r="1671" s="40" customFormat="1"/>
    <row r="1672" s="40" customFormat="1"/>
    <row r="1673" s="40" customFormat="1"/>
    <row r="1674" s="40" customFormat="1"/>
    <row r="1675" s="40" customFormat="1"/>
    <row r="1676" s="40" customFormat="1"/>
    <row r="1677" s="40" customFormat="1"/>
    <row r="1678" s="40" customFormat="1"/>
    <row r="1679" s="40" customFormat="1"/>
    <row r="1680" s="40" customFormat="1"/>
    <row r="1681" s="40" customFormat="1"/>
    <row r="1682" s="40" customFormat="1"/>
    <row r="1683" s="40" customFormat="1"/>
    <row r="1684" s="40" customFormat="1"/>
    <row r="1685" s="40" customFormat="1"/>
    <row r="1686" s="40" customFormat="1"/>
    <row r="1687" s="40" customFormat="1"/>
    <row r="1688" s="40" customFormat="1"/>
    <row r="1689" s="40" customFormat="1"/>
    <row r="1690" s="40" customFormat="1"/>
    <row r="1691" s="40" customFormat="1"/>
    <row r="1692" s="40" customFormat="1"/>
    <row r="1693" s="40" customFormat="1"/>
    <row r="1694" s="40" customFormat="1"/>
    <row r="1695" s="40" customFormat="1"/>
    <row r="1696" s="40" customFormat="1"/>
    <row r="1697" s="40" customFormat="1"/>
    <row r="1698" s="40" customFormat="1"/>
    <row r="1699" s="40" customFormat="1"/>
    <row r="1700" s="40" customFormat="1"/>
    <row r="1701" s="40" customFormat="1"/>
    <row r="1702" s="40" customFormat="1"/>
    <row r="1703" s="40" customFormat="1"/>
    <row r="1704" s="40" customFormat="1"/>
    <row r="1705" s="40" customFormat="1"/>
    <row r="1706" s="40" customFormat="1"/>
    <row r="1707" s="40" customFormat="1"/>
    <row r="1708" s="40" customFormat="1"/>
    <row r="1709" s="40" customFormat="1"/>
    <row r="1710" s="40" customFormat="1"/>
    <row r="1711" s="40" customFormat="1"/>
    <row r="1712" s="40" customFormat="1"/>
    <row r="1713" s="40" customFormat="1"/>
    <row r="1714" s="40" customFormat="1"/>
    <row r="1715" s="40" customFormat="1"/>
    <row r="1716" s="40" customFormat="1"/>
    <row r="1717" s="40" customFormat="1"/>
    <row r="1718" s="40" customFormat="1"/>
    <row r="1719" s="40" customFormat="1"/>
    <row r="1720" s="40" customFormat="1"/>
    <row r="1721" s="40" customFormat="1"/>
    <row r="1722" s="40" customFormat="1"/>
    <row r="1723" s="40" customFormat="1"/>
    <row r="1724" s="40" customFormat="1"/>
    <row r="1725" s="40" customFormat="1"/>
    <row r="1726" s="40" customFormat="1"/>
    <row r="1727" s="40" customFormat="1"/>
    <row r="1728" s="40" customFormat="1"/>
    <row r="1729" s="40" customFormat="1"/>
    <row r="1730" s="40" customFormat="1"/>
    <row r="1731" s="40" customFormat="1"/>
    <row r="1732" s="40" customFormat="1"/>
    <row r="1733" s="40" customFormat="1"/>
    <row r="1734" s="40" customFormat="1"/>
    <row r="1735" s="40" customFormat="1"/>
    <row r="1736" s="40" customFormat="1"/>
    <row r="1737" s="40" customFormat="1"/>
    <row r="1738" s="40" customFormat="1"/>
    <row r="1739" s="40" customFormat="1"/>
    <row r="1740" s="40" customFormat="1"/>
    <row r="1741" s="40" customFormat="1"/>
    <row r="1742" s="40" customFormat="1"/>
    <row r="1743" s="40" customFormat="1"/>
    <row r="1744" s="40" customFormat="1"/>
    <row r="1745" s="40" customFormat="1"/>
    <row r="1746" s="40" customFormat="1"/>
    <row r="1747" s="40" customFormat="1"/>
    <row r="1748" s="40" customFormat="1"/>
    <row r="1749" s="40" customFormat="1"/>
    <row r="1750" s="40" customFormat="1"/>
    <row r="1751" s="40" customFormat="1"/>
    <row r="1752" s="40" customFormat="1"/>
    <row r="1753" s="40" customFormat="1"/>
    <row r="1754" s="40" customFormat="1"/>
    <row r="1755" s="40" customFormat="1"/>
    <row r="1756" s="40" customFormat="1"/>
    <row r="1757" s="40" customFormat="1"/>
    <row r="1758" s="40" customFormat="1"/>
    <row r="1759" s="40" customFormat="1"/>
    <row r="1760" s="40" customFormat="1"/>
    <row r="1761" s="40" customFormat="1"/>
    <row r="1762" s="40" customFormat="1"/>
    <row r="1763" s="40" customFormat="1"/>
    <row r="1764" s="40" customFormat="1"/>
    <row r="1765" s="40" customFormat="1"/>
    <row r="1766" s="40" customFormat="1"/>
    <row r="1767" s="40" customFormat="1"/>
    <row r="1768" s="40" customFormat="1"/>
    <row r="1769" s="40" customFormat="1"/>
    <row r="1770" s="40" customFormat="1"/>
    <row r="1771" s="40" customFormat="1"/>
    <row r="1772" s="40" customFormat="1"/>
    <row r="1773" s="40" customFormat="1"/>
    <row r="1774" s="40" customFormat="1"/>
    <row r="1775" s="40" customFormat="1"/>
    <row r="1776" s="40" customFormat="1"/>
    <row r="1777" s="40" customFormat="1"/>
    <row r="1778" s="40" customFormat="1"/>
    <row r="1779" s="40" customFormat="1"/>
    <row r="1780" s="40" customFormat="1"/>
    <row r="1781" s="40" customFormat="1"/>
    <row r="1782" s="40" customFormat="1"/>
    <row r="1783" s="40" customFormat="1"/>
    <row r="1784" s="40" customFormat="1"/>
    <row r="1785" s="40" customFormat="1"/>
    <row r="1786" s="40" customFormat="1"/>
    <row r="1787" s="40" customFormat="1"/>
    <row r="1788" s="40" customFormat="1"/>
    <row r="1789" s="40" customFormat="1"/>
    <row r="1790" s="40" customFormat="1"/>
    <row r="1791" s="40" customFormat="1"/>
    <row r="1792" s="40" customFormat="1"/>
    <row r="1793" s="40" customFormat="1"/>
    <row r="1794" s="40" customFormat="1"/>
    <row r="1795" s="40" customFormat="1"/>
    <row r="1796" s="40" customFormat="1"/>
    <row r="1797" s="40" customFormat="1"/>
    <row r="1798" s="40" customFormat="1"/>
    <row r="1799" s="40" customFormat="1"/>
    <row r="1800" s="40" customFormat="1"/>
    <row r="1801" s="40" customFormat="1"/>
    <row r="1802" s="40" customFormat="1"/>
    <row r="1803" s="40" customFormat="1"/>
    <row r="1804" s="40" customFormat="1"/>
    <row r="1805" s="40" customFormat="1"/>
    <row r="1806" s="40" customFormat="1"/>
    <row r="1807" s="40" customFormat="1"/>
    <row r="1808" s="40" customFormat="1"/>
    <row r="1809" s="40" customFormat="1"/>
    <row r="1810" s="40" customFormat="1"/>
    <row r="1811" s="40" customFormat="1"/>
    <row r="1812" s="40" customFormat="1"/>
    <row r="1813" s="40" customFormat="1"/>
    <row r="1814" s="40" customFormat="1"/>
    <row r="1815" s="40" customFormat="1"/>
    <row r="1816" s="40" customFormat="1"/>
    <row r="1817" s="40" customFormat="1"/>
    <row r="1818" s="40" customFormat="1"/>
    <row r="1819" s="40" customFormat="1"/>
    <row r="1820" s="40" customFormat="1"/>
    <row r="1821" s="40" customFormat="1"/>
    <row r="1822" s="40" customFormat="1"/>
    <row r="1823" s="40" customFormat="1"/>
    <row r="1824" s="40" customFormat="1"/>
    <row r="1825" s="40" customFormat="1"/>
    <row r="1826" s="40" customFormat="1"/>
    <row r="1827" s="40" customFormat="1"/>
    <row r="1828" s="40" customFormat="1"/>
    <row r="1829" s="40" customFormat="1"/>
    <row r="1830" s="40" customFormat="1"/>
    <row r="1831" s="40" customFormat="1"/>
    <row r="1832" s="40" customFormat="1"/>
    <row r="1833" s="40" customFormat="1"/>
    <row r="1834" s="40" customFormat="1"/>
    <row r="1835" s="40" customFormat="1"/>
    <row r="1836" s="40" customFormat="1"/>
    <row r="1837" s="40" customFormat="1"/>
    <row r="1838" s="40" customFormat="1"/>
    <row r="1839" s="40" customFormat="1"/>
    <row r="1840" s="40" customFormat="1"/>
    <row r="1841" s="40" customFormat="1"/>
    <row r="1842" s="40" customFormat="1"/>
    <row r="1843" s="40" customFormat="1"/>
    <row r="1844" s="40" customFormat="1"/>
    <row r="1845" s="40" customFormat="1"/>
    <row r="1846" s="40" customFormat="1"/>
    <row r="1847" s="40" customFormat="1"/>
    <row r="1848" s="40" customFormat="1"/>
    <row r="1849" s="40" customFormat="1"/>
    <row r="1850" s="40" customFormat="1"/>
    <row r="1851" s="40" customFormat="1"/>
    <row r="1852" s="40" customFormat="1"/>
    <row r="1853" s="40" customFormat="1"/>
    <row r="1854" s="40" customFormat="1"/>
    <row r="1855" s="40" customFormat="1"/>
    <row r="1856" s="40" customFormat="1"/>
    <row r="1857" s="40" customFormat="1"/>
    <row r="1858" s="40" customFormat="1"/>
    <row r="1859" s="40" customFormat="1"/>
    <row r="1860" s="40" customFormat="1"/>
    <row r="1861" s="40" customFormat="1"/>
    <row r="1862" s="40" customFormat="1"/>
    <row r="1863" s="40" customFormat="1"/>
    <row r="1864" s="40" customFormat="1"/>
    <row r="1865" s="40" customFormat="1"/>
    <row r="1866" s="40" customFormat="1"/>
    <row r="1867" s="40" customFormat="1"/>
    <row r="1868" s="40" customFormat="1"/>
    <row r="1869" s="40" customFormat="1"/>
    <row r="1870" s="40" customFormat="1"/>
    <row r="1871" s="40" customFormat="1"/>
    <row r="1872" s="40" customFormat="1"/>
    <row r="1873" s="40" customFormat="1"/>
    <row r="1874" s="40" customFormat="1"/>
    <row r="1875" s="40" customFormat="1"/>
    <row r="1876" s="40" customFormat="1"/>
    <row r="1877" s="40" customFormat="1"/>
    <row r="1878" s="40" customFormat="1"/>
    <row r="1879" s="40" customFormat="1"/>
    <row r="1880" s="40" customFormat="1"/>
    <row r="1881" s="40" customFormat="1"/>
    <row r="1882" s="40" customFormat="1"/>
    <row r="1883" s="40" customFormat="1"/>
    <row r="1884" s="40" customFormat="1"/>
    <row r="1885" s="40" customFormat="1"/>
    <row r="1886" s="40" customFormat="1"/>
    <row r="1887" s="40" customFormat="1"/>
    <row r="1888" s="40" customFormat="1"/>
    <row r="1889" s="40" customFormat="1"/>
    <row r="1890" s="40" customFormat="1"/>
    <row r="1891" s="40" customFormat="1"/>
    <row r="1892" s="40" customFormat="1"/>
    <row r="1893" s="40" customFormat="1"/>
    <row r="1894" s="40" customFormat="1"/>
    <row r="1895" s="40" customFormat="1"/>
    <row r="1896" s="40" customFormat="1"/>
    <row r="1897" s="40" customFormat="1"/>
    <row r="1898" s="40" customFormat="1"/>
    <row r="1899" s="40" customFormat="1"/>
    <row r="1900" s="40" customFormat="1"/>
    <row r="1901" s="40" customFormat="1"/>
    <row r="1902" s="40" customFormat="1"/>
    <row r="1903" s="40" customFormat="1"/>
    <row r="1904" s="40" customFormat="1"/>
    <row r="1905" s="40" customFormat="1"/>
    <row r="1906" s="40" customFormat="1"/>
    <row r="1907" s="40" customFormat="1"/>
    <row r="1908" s="40" customFormat="1"/>
    <row r="1909" s="40" customFormat="1"/>
    <row r="1910" s="40" customFormat="1"/>
    <row r="1911" s="40" customFormat="1"/>
    <row r="1912" s="40" customFormat="1"/>
    <row r="1913" s="40" customFormat="1"/>
    <row r="1914" s="40" customFormat="1"/>
    <row r="1915" s="40" customFormat="1"/>
    <row r="1916" s="40" customFormat="1"/>
    <row r="1917" s="40" customFormat="1"/>
    <row r="1918" s="40" customFormat="1"/>
    <row r="1919" s="40" customFormat="1"/>
    <row r="1920" s="40" customFormat="1"/>
    <row r="1921" s="40" customFormat="1"/>
    <row r="1922" s="40" customFormat="1"/>
    <row r="1923" s="40" customFormat="1"/>
    <row r="1924" s="40" customFormat="1"/>
    <row r="1925" s="40" customFormat="1"/>
    <row r="1926" s="40" customFormat="1"/>
    <row r="1927" s="40" customFormat="1"/>
    <row r="1928" s="40" customFormat="1"/>
    <row r="1929" s="40" customFormat="1"/>
    <row r="1930" s="40" customFormat="1"/>
    <row r="1931" s="40" customFormat="1"/>
    <row r="1932" s="40" customFormat="1"/>
    <row r="1933" s="40" customFormat="1"/>
    <row r="1934" s="40" customFormat="1"/>
    <row r="1935" s="40" customFormat="1"/>
    <row r="1936" s="40" customFormat="1"/>
    <row r="1937" s="40" customFormat="1"/>
    <row r="1938" s="40" customFormat="1"/>
    <row r="1939" s="40" customFormat="1"/>
    <row r="1940" s="40" customFormat="1"/>
    <row r="1941" s="40" customFormat="1"/>
    <row r="1942" s="40" customFormat="1"/>
    <row r="1943" s="40" customFormat="1"/>
    <row r="1944" s="40" customFormat="1"/>
    <row r="1945" s="40" customFormat="1"/>
    <row r="1946" s="40" customFormat="1"/>
    <row r="1947" s="40" customFormat="1"/>
    <row r="1948" s="40" customFormat="1"/>
    <row r="1949" s="40" customFormat="1"/>
    <row r="1950" s="40" customFormat="1"/>
    <row r="1951" s="40" customFormat="1"/>
    <row r="1952" s="40" customFormat="1"/>
    <row r="1953" s="40" customFormat="1"/>
    <row r="1954" s="40" customFormat="1"/>
    <row r="1955" s="40" customFormat="1"/>
    <row r="1956" s="40" customFormat="1"/>
    <row r="1957" s="40" customFormat="1"/>
    <row r="1958" s="40" customFormat="1"/>
    <row r="1959" s="40" customFormat="1"/>
    <row r="1960" s="40" customFormat="1"/>
    <row r="1961" s="40" customFormat="1"/>
    <row r="1962" s="40" customFormat="1"/>
    <row r="1963" s="40" customFormat="1"/>
    <row r="1964" s="40" customFormat="1"/>
    <row r="1965" s="40" customFormat="1"/>
    <row r="1966" s="40" customFormat="1"/>
    <row r="1967" s="40" customFormat="1"/>
    <row r="1968" s="40" customFormat="1"/>
    <row r="1969" s="40" customFormat="1"/>
    <row r="1970" s="40" customFormat="1"/>
    <row r="1971" s="40" customFormat="1"/>
    <row r="1972" s="40" customFormat="1"/>
    <row r="1973" s="40" customFormat="1"/>
    <row r="1974" s="40" customFormat="1"/>
    <row r="1975" s="40" customFormat="1"/>
    <row r="1976" s="40" customFormat="1"/>
    <row r="1977" s="40" customFormat="1"/>
    <row r="1978" s="40" customFormat="1"/>
    <row r="1979" s="40" customFormat="1"/>
    <row r="1980" s="40" customFormat="1"/>
    <row r="1981" s="40" customFormat="1"/>
    <row r="1982" s="40" customFormat="1"/>
    <row r="1983" s="40" customFormat="1"/>
    <row r="1984" s="40" customFormat="1"/>
    <row r="1985" s="40" customFormat="1"/>
    <row r="1986" s="40" customFormat="1"/>
    <row r="1987" s="40" customFormat="1"/>
    <row r="1988" s="40" customFormat="1"/>
    <row r="1989" s="40" customFormat="1"/>
    <row r="1990" s="40" customFormat="1"/>
    <row r="1991" s="40" customFormat="1"/>
    <row r="1992" s="40" customFormat="1"/>
    <row r="1993" s="40" customFormat="1"/>
    <row r="1994" s="40" customFormat="1"/>
    <row r="1995" s="40" customFormat="1"/>
    <row r="1996" s="40" customFormat="1"/>
    <row r="1997" s="40" customFormat="1"/>
    <row r="1998" s="40" customFormat="1"/>
    <row r="1999" s="40" customFormat="1"/>
    <row r="2000" s="40" customFormat="1"/>
    <row r="2001" s="40" customFormat="1"/>
    <row r="2002" s="40" customFormat="1"/>
    <row r="2003" s="40" customFormat="1"/>
    <row r="2004" s="40" customFormat="1"/>
    <row r="2005" s="40" customFormat="1"/>
    <row r="2006" s="40" customFormat="1"/>
    <row r="2007" s="40" customFormat="1"/>
    <row r="2008" s="40" customFormat="1"/>
    <row r="2009" s="40" customFormat="1"/>
    <row r="2010" s="40" customFormat="1"/>
    <row r="2011" s="40" customFormat="1"/>
    <row r="2012" s="40" customFormat="1"/>
    <row r="2013" s="40" customFormat="1"/>
    <row r="2014" s="40" customFormat="1"/>
    <row r="2015" s="40" customFormat="1"/>
    <row r="2016" s="40" customFormat="1"/>
    <row r="2017" s="40" customFormat="1"/>
    <row r="2018" s="40" customFormat="1"/>
    <row r="2019" s="40" customFormat="1"/>
    <row r="2020" s="40" customFormat="1"/>
    <row r="2021" s="40" customFormat="1"/>
    <row r="2022" s="40" customFormat="1"/>
    <row r="2023" s="40" customFormat="1"/>
    <row r="2024" s="40" customFormat="1"/>
    <row r="2025" s="40" customFormat="1"/>
    <row r="2026" s="40" customFormat="1"/>
    <row r="2027" s="40" customFormat="1"/>
    <row r="2028" s="40" customFormat="1"/>
    <row r="2029" s="40" customFormat="1"/>
    <row r="2030" s="40" customFormat="1"/>
    <row r="2031" s="40" customFormat="1"/>
    <row r="2032" s="40" customFormat="1"/>
    <row r="2033" s="40" customFormat="1"/>
    <row r="2034" s="40" customFormat="1"/>
    <row r="2035" s="40" customFormat="1"/>
    <row r="2036" s="40" customFormat="1"/>
    <row r="2037" s="40" customFormat="1"/>
    <row r="2038" s="40" customFormat="1"/>
    <row r="2039" s="40" customFormat="1"/>
    <row r="2040" s="40" customFormat="1"/>
    <row r="2041" s="40" customFormat="1"/>
    <row r="2042" s="40" customFormat="1"/>
    <row r="2043" s="40" customFormat="1"/>
    <row r="2044" s="40" customFormat="1"/>
    <row r="2045" s="40" customFormat="1"/>
    <row r="2046" s="40" customFormat="1"/>
    <row r="2047" s="40" customFormat="1"/>
    <row r="2048" s="40" customFormat="1"/>
    <row r="2049" s="40" customFormat="1"/>
    <row r="2050" s="40" customFormat="1"/>
    <row r="2051" s="40" customFormat="1"/>
    <row r="2052" s="40" customFormat="1"/>
    <row r="2053" s="40" customFormat="1"/>
    <row r="2054" s="40" customFormat="1"/>
    <row r="2055" s="40" customFormat="1"/>
    <row r="2056" s="40" customFormat="1"/>
    <row r="2057" s="40" customFormat="1"/>
    <row r="2058" s="40" customFormat="1"/>
    <row r="2059" s="40" customFormat="1"/>
    <row r="2060" s="40" customFormat="1"/>
    <row r="2061" s="40" customFormat="1"/>
    <row r="2062" s="40" customFormat="1"/>
    <row r="2063" s="40" customFormat="1"/>
    <row r="2064" s="40" customFormat="1"/>
    <row r="2065" s="40" customFormat="1"/>
    <row r="2066" s="40" customFormat="1"/>
    <row r="2067" s="40" customFormat="1"/>
    <row r="2068" s="40" customFormat="1"/>
    <row r="2069" s="40" customFormat="1"/>
    <row r="2070" s="40" customFormat="1"/>
    <row r="2071" s="40" customFormat="1"/>
    <row r="2072" s="40" customFormat="1"/>
    <row r="2073" s="40" customFormat="1"/>
    <row r="2074" s="40" customFormat="1"/>
    <row r="2075" s="40" customFormat="1"/>
    <row r="2076" s="40" customFormat="1"/>
    <row r="2077" s="40" customFormat="1"/>
    <row r="2078" s="40" customFormat="1"/>
    <row r="2079" s="40" customFormat="1"/>
    <row r="2080" s="40" customFormat="1"/>
    <row r="2081" s="40" customFormat="1"/>
    <row r="2082" s="40" customFormat="1"/>
    <row r="2083" s="40" customFormat="1"/>
    <row r="2084" s="40" customFormat="1"/>
    <row r="2085" s="40" customFormat="1"/>
    <row r="2086" s="40" customFormat="1"/>
    <row r="2087" s="40" customFormat="1"/>
    <row r="2088" s="40" customFormat="1"/>
    <row r="2089" s="40" customFormat="1"/>
    <row r="2090" s="40" customFormat="1"/>
    <row r="2091" s="40" customFormat="1"/>
    <row r="2092" s="40" customFormat="1"/>
    <row r="2093" s="40" customFormat="1"/>
    <row r="2094" s="40" customFormat="1"/>
    <row r="2095" s="40" customFormat="1"/>
    <row r="2096" s="40" customFormat="1"/>
    <row r="2097" s="40" customFormat="1"/>
    <row r="2098" s="40" customFormat="1"/>
    <row r="2099" s="40" customFormat="1"/>
    <row r="2100" s="40" customFormat="1"/>
    <row r="2101" s="40" customFormat="1"/>
    <row r="2102" s="40" customFormat="1"/>
    <row r="2103" s="40" customFormat="1"/>
    <row r="2104" s="40" customFormat="1"/>
    <row r="2105" s="40" customFormat="1"/>
    <row r="2106" s="40" customFormat="1"/>
    <row r="2107" s="40" customFormat="1"/>
    <row r="2108" s="40" customFormat="1"/>
    <row r="2109" s="40" customFormat="1"/>
    <row r="2110" s="40" customFormat="1"/>
    <row r="2111" s="40" customFormat="1"/>
    <row r="2112" s="40" customFormat="1"/>
    <row r="2113" s="40" customFormat="1"/>
    <row r="2114" s="40" customFormat="1"/>
    <row r="2115" s="40" customFormat="1"/>
    <row r="2116" s="40" customFormat="1"/>
    <row r="2117" s="40" customFormat="1"/>
    <row r="2118" s="40" customFormat="1"/>
    <row r="2119" s="40" customFormat="1"/>
    <row r="2120" s="40" customFormat="1"/>
    <row r="2121" s="40" customFormat="1"/>
    <row r="2122" s="40" customFormat="1"/>
    <row r="2123" s="40" customFormat="1"/>
    <row r="2124" s="40" customFormat="1"/>
    <row r="2125" s="40" customFormat="1"/>
    <row r="2126" s="40" customFormat="1"/>
    <row r="2127" s="40" customFormat="1"/>
    <row r="2128" s="40" customFormat="1"/>
    <row r="2129" s="40" customFormat="1"/>
    <row r="2130" s="40" customFormat="1"/>
    <row r="2131" s="40" customFormat="1"/>
    <row r="2132" s="40" customFormat="1"/>
    <row r="2133" s="40" customFormat="1"/>
    <row r="2134" s="40" customFormat="1"/>
    <row r="2135" s="40" customFormat="1"/>
    <row r="2136" s="40" customFormat="1"/>
    <row r="2137" s="40" customFormat="1"/>
    <row r="2138" s="40" customFormat="1"/>
    <row r="2139" s="40" customFormat="1"/>
    <row r="2140" s="40" customFormat="1"/>
    <row r="2141" s="40" customFormat="1"/>
    <row r="2142" s="40" customFormat="1"/>
    <row r="2143" s="40" customFormat="1"/>
    <row r="2144" s="40" customFormat="1"/>
    <row r="2145" s="40" customFormat="1"/>
    <row r="2146" s="40" customFormat="1"/>
    <row r="2147" s="40" customFormat="1"/>
    <row r="2148" s="40" customFormat="1"/>
    <row r="2149" s="40" customFormat="1"/>
    <row r="2150" s="40" customFormat="1"/>
    <row r="2151" s="40" customFormat="1"/>
    <row r="2152" s="40" customFormat="1"/>
    <row r="2153" s="40" customFormat="1"/>
    <row r="2154" s="40" customFormat="1"/>
    <row r="2155" s="40" customFormat="1"/>
    <row r="2156" s="40" customFormat="1"/>
    <row r="2157" s="40" customFormat="1"/>
    <row r="2158" s="40" customFormat="1"/>
    <row r="2159" s="40" customFormat="1"/>
    <row r="2160" s="40" customFormat="1"/>
    <row r="2161" s="40" customFormat="1"/>
    <row r="2162" s="40" customFormat="1"/>
    <row r="2163" s="40" customFormat="1"/>
    <row r="2164" s="40" customFormat="1"/>
    <row r="2165" s="40" customFormat="1"/>
    <row r="2166" s="40" customFormat="1"/>
    <row r="2167" s="40" customFormat="1"/>
    <row r="2168" s="40" customFormat="1"/>
    <row r="2169" s="40" customFormat="1"/>
    <row r="2170" s="40" customFormat="1"/>
    <row r="2171" s="40" customFormat="1"/>
    <row r="2172" s="40" customFormat="1"/>
    <row r="2173" s="40" customFormat="1"/>
    <row r="2174" s="40" customFormat="1"/>
    <row r="2175" s="40" customFormat="1"/>
    <row r="2176" s="40" customFormat="1"/>
    <row r="2177" s="40" customFormat="1"/>
    <row r="2178" s="40" customFormat="1"/>
    <row r="2179" s="40" customFormat="1"/>
    <row r="2180" s="40" customFormat="1"/>
    <row r="2181" s="40" customFormat="1"/>
    <row r="2182" s="40" customFormat="1"/>
    <row r="2183" s="40" customFormat="1"/>
    <row r="2184" s="40" customFormat="1"/>
    <row r="2185" s="40" customFormat="1"/>
    <row r="2186" s="40" customFormat="1"/>
    <row r="2187" s="40" customFormat="1"/>
    <row r="2188" s="40" customFormat="1"/>
    <row r="2189" s="40" customFormat="1"/>
    <row r="2190" s="40" customFormat="1"/>
    <row r="2191" s="40" customFormat="1"/>
    <row r="2192" s="40" customFormat="1"/>
    <row r="2193" s="40" customFormat="1"/>
    <row r="2194" s="40" customFormat="1"/>
    <row r="2195" s="40" customFormat="1"/>
    <row r="2196" s="40" customFormat="1"/>
    <row r="2197" s="40" customFormat="1"/>
    <row r="2198" s="40" customFormat="1"/>
    <row r="2199" s="40" customFormat="1"/>
    <row r="2200" s="40" customFormat="1"/>
    <row r="2201" s="40" customFormat="1"/>
    <row r="2202" s="40" customFormat="1"/>
    <row r="2203" s="40" customFormat="1"/>
    <row r="2204" s="40" customFormat="1"/>
    <row r="2205" s="40" customFormat="1"/>
    <row r="2206" s="40" customFormat="1"/>
    <row r="2207" s="40" customFormat="1"/>
    <row r="2208" s="40" customFormat="1"/>
    <row r="2209" s="40" customFormat="1"/>
    <row r="2210" s="40" customFormat="1"/>
    <row r="2211" s="40" customFormat="1"/>
    <row r="2212" s="40" customFormat="1"/>
    <row r="2213" s="40" customFormat="1"/>
    <row r="2214" s="40" customFormat="1"/>
    <row r="2215" s="40" customFormat="1"/>
  </sheetData>
  <mergeCells count="2">
    <mergeCell ref="A1:J1"/>
    <mergeCell ref="A2:J2"/>
  </mergeCells>
  <pageMargins left="0.7" right="0.7" top="0.75" bottom="0.75" header="0.3" footer="0.3"/>
  <pageSetup paperSize="9" orientation="landscape" horizontalDpi="4294967295" verticalDpi="4294967295" r:id="rId1"/>
  <rowBreaks count="1" manualBreakCount="1">
    <brk id="26" max="9" man="1"/>
  </rowBreaks>
  <ignoredErrors>
    <ignoredError sqref="B5:F5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3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4" customWidth="1"/>
    <col min="36" max="16384" width="12.28515625" style="2"/>
  </cols>
  <sheetData>
    <row r="1" spans="1:36" ht="21">
      <c r="A1" s="104" t="s">
        <v>49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</row>
    <row r="2" spans="1:36">
      <c r="A2" s="103" t="s">
        <v>42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</row>
    <row r="3" spans="1:36" ht="15" customHeight="1">
      <c r="A3" s="105"/>
      <c r="B3" s="105"/>
      <c r="C3" s="107" t="s">
        <v>38</v>
      </c>
      <c r="D3" s="107"/>
      <c r="E3" s="107"/>
      <c r="F3" s="107"/>
      <c r="G3" s="107"/>
      <c r="H3" s="30"/>
      <c r="I3" s="30"/>
      <c r="J3" s="108" t="s">
        <v>4</v>
      </c>
      <c r="K3" s="108"/>
      <c r="L3" s="108"/>
      <c r="M3" s="108"/>
      <c r="N3" s="108"/>
      <c r="O3" s="25"/>
      <c r="P3" s="108" t="s">
        <v>5</v>
      </c>
      <c r="Q3" s="108"/>
      <c r="R3" s="108"/>
      <c r="S3" s="108"/>
      <c r="T3" s="108"/>
      <c r="U3" s="7"/>
      <c r="V3" s="7"/>
      <c r="W3" s="7"/>
      <c r="X3" s="109" t="s">
        <v>6</v>
      </c>
      <c r="Y3" s="109"/>
      <c r="Z3" s="109"/>
      <c r="AA3" s="109"/>
      <c r="AB3" s="109"/>
      <c r="AC3" s="26"/>
      <c r="AD3" s="26"/>
      <c r="AE3" s="109" t="s">
        <v>7</v>
      </c>
      <c r="AF3" s="109"/>
      <c r="AG3" s="109"/>
      <c r="AH3" s="109"/>
      <c r="AI3" s="109"/>
    </row>
    <row r="4" spans="1:36" ht="25.5">
      <c r="A4" s="106"/>
      <c r="B4" s="106"/>
      <c r="C4" s="31" t="s">
        <v>8</v>
      </c>
      <c r="D4" s="31" t="s">
        <v>9</v>
      </c>
      <c r="E4" s="31" t="s">
        <v>3</v>
      </c>
      <c r="F4" s="32" t="s">
        <v>10</v>
      </c>
      <c r="G4" s="31" t="s">
        <v>11</v>
      </c>
      <c r="H4" s="31" t="s">
        <v>44</v>
      </c>
      <c r="I4" s="31" t="s">
        <v>50</v>
      </c>
      <c r="J4" s="14" t="s">
        <v>8</v>
      </c>
      <c r="K4" s="14" t="s">
        <v>9</v>
      </c>
      <c r="L4" s="14" t="s">
        <v>3</v>
      </c>
      <c r="M4" s="15" t="s">
        <v>10</v>
      </c>
      <c r="N4" s="14" t="s">
        <v>11</v>
      </c>
      <c r="O4" s="31" t="s">
        <v>44</v>
      </c>
      <c r="P4" s="14" t="s">
        <v>8</v>
      </c>
      <c r="Q4" s="14" t="s">
        <v>9</v>
      </c>
      <c r="R4" s="14" t="s">
        <v>3</v>
      </c>
      <c r="S4" s="15" t="s">
        <v>10</v>
      </c>
      <c r="T4" s="14" t="s">
        <v>11</v>
      </c>
      <c r="U4" s="31" t="s">
        <v>44</v>
      </c>
      <c r="V4" s="31"/>
      <c r="W4" s="31"/>
      <c r="X4" s="14" t="s">
        <v>8</v>
      </c>
      <c r="Y4" s="14" t="s">
        <v>9</v>
      </c>
      <c r="Z4" s="14" t="s">
        <v>3</v>
      </c>
      <c r="AA4" s="15" t="s">
        <v>10</v>
      </c>
      <c r="AB4" s="14" t="s">
        <v>11</v>
      </c>
      <c r="AC4" s="31" t="s">
        <v>44</v>
      </c>
      <c r="AD4" s="31"/>
      <c r="AE4" s="14" t="s">
        <v>8</v>
      </c>
      <c r="AF4" s="14" t="s">
        <v>9</v>
      </c>
      <c r="AG4" s="14" t="s">
        <v>3</v>
      </c>
      <c r="AH4" s="15" t="s">
        <v>10</v>
      </c>
      <c r="AI4" s="14" t="s">
        <v>11</v>
      </c>
      <c r="AJ4" s="31" t="s">
        <v>44</v>
      </c>
    </row>
    <row r="5" spans="1:36" ht="14.25" customHeight="1">
      <c r="A5" s="24"/>
      <c r="B5" s="28" t="s">
        <v>46</v>
      </c>
      <c r="C5" s="33">
        <f t="shared" ref="C5:G32" si="0">J5+P5</f>
        <v>3010</v>
      </c>
      <c r="D5" s="33">
        <f t="shared" si="0"/>
        <v>2381</v>
      </c>
      <c r="E5" s="33">
        <f t="shared" si="0"/>
        <v>5391</v>
      </c>
      <c r="F5" s="33">
        <f>M5+S5</f>
        <v>1774</v>
      </c>
      <c r="G5" s="33">
        <f t="shared" si="0"/>
        <v>3617</v>
      </c>
      <c r="H5" s="34">
        <f>F5/E5*100</f>
        <v>32.906696345761453</v>
      </c>
      <c r="I5" s="34">
        <f>G5/E5*100</f>
        <v>67.093303654238539</v>
      </c>
      <c r="J5" s="11">
        <v>2893</v>
      </c>
      <c r="K5" s="11">
        <v>2200</v>
      </c>
      <c r="L5" s="11">
        <v>5093</v>
      </c>
      <c r="M5" s="11">
        <v>1617</v>
      </c>
      <c r="N5" s="11">
        <v>3476</v>
      </c>
      <c r="O5" s="34">
        <f>M5/L5*100</f>
        <v>31.749460043196542</v>
      </c>
      <c r="P5" s="11">
        <v>117</v>
      </c>
      <c r="Q5" s="11">
        <v>181</v>
      </c>
      <c r="R5" s="11">
        <v>298</v>
      </c>
      <c r="S5" s="11">
        <v>157</v>
      </c>
      <c r="T5" s="11">
        <v>141</v>
      </c>
      <c r="U5" s="34">
        <f>S5/R5*100</f>
        <v>52.68456375838926</v>
      </c>
      <c r="V5" s="34"/>
      <c r="W5" s="28" t="s">
        <v>46</v>
      </c>
      <c r="X5" s="11">
        <v>3628</v>
      </c>
      <c r="Y5" s="11">
        <v>6873</v>
      </c>
      <c r="Z5" s="11">
        <v>10500</v>
      </c>
      <c r="AA5" s="11">
        <v>6554</v>
      </c>
      <c r="AB5" s="11">
        <v>3946</v>
      </c>
      <c r="AC5" s="34">
        <f>AA5/Z5*100</f>
        <v>62.419047619047618</v>
      </c>
      <c r="AD5" s="28" t="s">
        <v>46</v>
      </c>
      <c r="AE5" s="11">
        <v>890</v>
      </c>
      <c r="AF5" s="11">
        <v>6097</v>
      </c>
      <c r="AG5" s="11">
        <v>6987</v>
      </c>
      <c r="AH5" s="11">
        <v>5904</v>
      </c>
      <c r="AI5" s="11">
        <v>1083</v>
      </c>
      <c r="AJ5" s="34">
        <f>AH5/AG5*100</f>
        <v>84.499785315586081</v>
      </c>
    </row>
    <row r="6" spans="1:36" ht="14.25" customHeight="1">
      <c r="A6" s="24"/>
      <c r="B6" s="28" t="s">
        <v>47</v>
      </c>
      <c r="C6" s="33">
        <f t="shared" si="0"/>
        <v>2247</v>
      </c>
      <c r="D6" s="33">
        <f t="shared" si="0"/>
        <v>1246</v>
      </c>
      <c r="E6" s="33">
        <f t="shared" si="0"/>
        <v>3493</v>
      </c>
      <c r="F6" s="33">
        <f t="shared" si="0"/>
        <v>1084</v>
      </c>
      <c r="G6" s="33">
        <f t="shared" si="0"/>
        <v>2409</v>
      </c>
      <c r="H6" s="34">
        <f>F6/E6*100</f>
        <v>31.033495562553682</v>
      </c>
      <c r="I6" s="34">
        <f>G6/E6*100</f>
        <v>68.966504437446318</v>
      </c>
      <c r="J6" s="13">
        <v>2193</v>
      </c>
      <c r="K6" s="13">
        <v>1163</v>
      </c>
      <c r="L6" s="13">
        <v>3356</v>
      </c>
      <c r="M6" s="13">
        <v>990</v>
      </c>
      <c r="N6" s="13">
        <v>2366</v>
      </c>
      <c r="O6" s="34">
        <f>M6/L6*100</f>
        <v>29.499404052443385</v>
      </c>
      <c r="P6" s="13">
        <v>54</v>
      </c>
      <c r="Q6" s="13">
        <v>83</v>
      </c>
      <c r="R6" s="13">
        <v>137</v>
      </c>
      <c r="S6" s="13">
        <v>94</v>
      </c>
      <c r="T6" s="13">
        <v>43</v>
      </c>
      <c r="U6" s="34">
        <f>S6/R6*100</f>
        <v>68.613138686131393</v>
      </c>
      <c r="V6" s="34"/>
      <c r="W6" s="28" t="s">
        <v>47</v>
      </c>
      <c r="X6" s="13">
        <v>1847</v>
      </c>
      <c r="Y6" s="13">
        <v>2725</v>
      </c>
      <c r="Z6" s="13">
        <v>4571</v>
      </c>
      <c r="AA6" s="13">
        <v>2719</v>
      </c>
      <c r="AB6" s="13">
        <v>1852</v>
      </c>
      <c r="AC6" s="34">
        <f>AA6/Z6*100</f>
        <v>59.483701597024719</v>
      </c>
      <c r="AD6" s="28" t="s">
        <v>47</v>
      </c>
      <c r="AE6" s="13">
        <v>456</v>
      </c>
      <c r="AF6" s="13">
        <v>2367</v>
      </c>
      <c r="AG6" s="13">
        <v>2823</v>
      </c>
      <c r="AH6" s="13">
        <v>2296</v>
      </c>
      <c r="AI6" s="13">
        <v>527</v>
      </c>
      <c r="AJ6" s="34">
        <f>AH6/AG6*100</f>
        <v>81.331916400991858</v>
      </c>
    </row>
    <row r="7" spans="1:36" s="22" customFormat="1" ht="14.25" customHeight="1">
      <c r="A7" s="20"/>
      <c r="B7" s="28" t="s">
        <v>48</v>
      </c>
      <c r="C7" s="33">
        <f t="shared" si="0"/>
        <v>763</v>
      </c>
      <c r="D7" s="33">
        <f t="shared" si="0"/>
        <v>1135</v>
      </c>
      <c r="E7" s="33">
        <f t="shared" si="0"/>
        <v>1898</v>
      </c>
      <c r="F7" s="33">
        <f t="shared" si="0"/>
        <v>690</v>
      </c>
      <c r="G7" s="33">
        <f t="shared" si="0"/>
        <v>1208</v>
      </c>
      <c r="H7" s="34">
        <f>F7/E7*100</f>
        <v>36.354056902002107</v>
      </c>
      <c r="I7" s="34">
        <f>G7/E7*100</f>
        <v>63.645943097997893</v>
      </c>
      <c r="J7" s="13">
        <v>700</v>
      </c>
      <c r="K7" s="13">
        <v>1037</v>
      </c>
      <c r="L7" s="13">
        <v>1737</v>
      </c>
      <c r="M7" s="13">
        <v>627</v>
      </c>
      <c r="N7" s="13">
        <v>1110</v>
      </c>
      <c r="O7" s="34">
        <f>M7/L7*100</f>
        <v>36.096718480138165</v>
      </c>
      <c r="P7" s="13">
        <v>63</v>
      </c>
      <c r="Q7" s="13">
        <v>98</v>
      </c>
      <c r="R7" s="13">
        <v>161</v>
      </c>
      <c r="S7" s="13">
        <v>63</v>
      </c>
      <c r="T7" s="13">
        <v>98</v>
      </c>
      <c r="U7" s="34">
        <f>S7/R7*100</f>
        <v>39.130434782608695</v>
      </c>
      <c r="V7" s="34"/>
      <c r="W7" s="28" t="s">
        <v>48</v>
      </c>
      <c r="X7" s="13">
        <v>1781</v>
      </c>
      <c r="Y7" s="13">
        <v>4148</v>
      </c>
      <c r="Z7" s="13">
        <v>5929</v>
      </c>
      <c r="AA7" s="13">
        <v>3835</v>
      </c>
      <c r="AB7" s="13">
        <v>2094</v>
      </c>
      <c r="AC7" s="34">
        <f>AA7/Z7*100</f>
        <v>64.682071175577676</v>
      </c>
      <c r="AD7" s="28" t="s">
        <v>48</v>
      </c>
      <c r="AE7" s="13">
        <v>434</v>
      </c>
      <c r="AF7" s="13">
        <v>3730</v>
      </c>
      <c r="AG7" s="13">
        <v>4164</v>
      </c>
      <c r="AH7" s="13">
        <v>3608</v>
      </c>
      <c r="AI7" s="13">
        <v>556</v>
      </c>
      <c r="AJ7" s="34">
        <f>AH7/AG7*100</f>
        <v>86.647454370797306</v>
      </c>
    </row>
    <row r="8" spans="1:36" s="22" customFormat="1" ht="14.25" customHeight="1">
      <c r="A8" s="24" t="s">
        <v>18</v>
      </c>
      <c r="B8" s="8" t="s">
        <v>0</v>
      </c>
      <c r="C8" s="33">
        <f t="shared" si="0"/>
        <v>68</v>
      </c>
      <c r="D8" s="33">
        <f t="shared" si="0"/>
        <v>28</v>
      </c>
      <c r="E8" s="33">
        <f t="shared" si="0"/>
        <v>96</v>
      </c>
      <c r="F8" s="33">
        <f t="shared" si="0"/>
        <v>21</v>
      </c>
      <c r="G8" s="33">
        <f t="shared" si="0"/>
        <v>75</v>
      </c>
      <c r="H8" s="33"/>
      <c r="I8" s="33"/>
      <c r="J8" s="13">
        <v>61</v>
      </c>
      <c r="K8" s="13">
        <v>27</v>
      </c>
      <c r="L8" s="13">
        <v>88</v>
      </c>
      <c r="M8" s="13">
        <v>18</v>
      </c>
      <c r="N8" s="13">
        <v>70</v>
      </c>
      <c r="O8" s="13"/>
      <c r="P8" s="13">
        <v>7</v>
      </c>
      <c r="Q8" s="13">
        <v>1</v>
      </c>
      <c r="R8" s="13">
        <v>8</v>
      </c>
      <c r="S8" s="13">
        <v>3</v>
      </c>
      <c r="T8" s="13">
        <v>5</v>
      </c>
      <c r="U8" s="13"/>
      <c r="V8" s="13"/>
      <c r="W8" s="13"/>
      <c r="X8" s="13">
        <v>123</v>
      </c>
      <c r="Y8" s="13">
        <v>181</v>
      </c>
      <c r="Z8" s="13">
        <v>304</v>
      </c>
      <c r="AA8" s="13">
        <v>148</v>
      </c>
      <c r="AB8" s="13">
        <v>156</v>
      </c>
      <c r="AC8" s="13"/>
      <c r="AD8" s="13"/>
      <c r="AE8" s="13">
        <v>21</v>
      </c>
      <c r="AF8" s="13">
        <v>169</v>
      </c>
      <c r="AG8" s="13">
        <v>190</v>
      </c>
      <c r="AH8" s="13">
        <v>170</v>
      </c>
      <c r="AI8" s="13">
        <v>20</v>
      </c>
    </row>
    <row r="9" spans="1:36" s="22" customFormat="1" ht="14.25" customHeight="1">
      <c r="A9" s="24" t="s">
        <v>19</v>
      </c>
      <c r="B9" s="8" t="s">
        <v>0</v>
      </c>
      <c r="C9" s="33">
        <f t="shared" si="0"/>
        <v>81</v>
      </c>
      <c r="D9" s="33">
        <f t="shared" si="0"/>
        <v>73</v>
      </c>
      <c r="E9" s="33">
        <f t="shared" si="0"/>
        <v>154</v>
      </c>
      <c r="F9" s="33">
        <f t="shared" si="0"/>
        <v>41</v>
      </c>
      <c r="G9" s="33">
        <f t="shared" si="0"/>
        <v>113</v>
      </c>
      <c r="H9" s="33"/>
      <c r="I9" s="33"/>
      <c r="J9" s="13">
        <v>74</v>
      </c>
      <c r="K9" s="13">
        <v>69</v>
      </c>
      <c r="L9" s="13">
        <v>143</v>
      </c>
      <c r="M9" s="13">
        <v>34</v>
      </c>
      <c r="N9" s="13">
        <v>109</v>
      </c>
      <c r="O9" s="13"/>
      <c r="P9" s="13">
        <v>7</v>
      </c>
      <c r="Q9" s="13">
        <v>4</v>
      </c>
      <c r="R9" s="13">
        <v>11</v>
      </c>
      <c r="S9" s="13">
        <v>7</v>
      </c>
      <c r="T9" s="13">
        <v>4</v>
      </c>
      <c r="U9" s="13"/>
      <c r="V9" s="13"/>
      <c r="W9" s="13"/>
      <c r="X9" s="13">
        <v>93</v>
      </c>
      <c r="Y9" s="13">
        <v>178</v>
      </c>
      <c r="Z9" s="13">
        <v>271</v>
      </c>
      <c r="AA9" s="13">
        <v>104</v>
      </c>
      <c r="AB9" s="13">
        <v>167</v>
      </c>
      <c r="AC9" s="13"/>
      <c r="AD9" s="13"/>
      <c r="AE9" s="13">
        <v>34</v>
      </c>
      <c r="AF9" s="13">
        <v>233</v>
      </c>
      <c r="AG9" s="13">
        <v>267</v>
      </c>
      <c r="AH9" s="13">
        <v>222</v>
      </c>
      <c r="AI9" s="13">
        <v>45</v>
      </c>
    </row>
    <row r="10" spans="1:36" s="22" customFormat="1" ht="14.25" customHeight="1">
      <c r="A10" s="24" t="s">
        <v>20</v>
      </c>
      <c r="B10" s="8" t="s">
        <v>0</v>
      </c>
      <c r="C10" s="33">
        <f t="shared" si="0"/>
        <v>10</v>
      </c>
      <c r="D10" s="33">
        <f t="shared" si="0"/>
        <v>24</v>
      </c>
      <c r="E10" s="33">
        <f t="shared" si="0"/>
        <v>34</v>
      </c>
      <c r="F10" s="33">
        <f t="shared" si="0"/>
        <v>28</v>
      </c>
      <c r="G10" s="33">
        <f t="shared" si="0"/>
        <v>6</v>
      </c>
      <c r="H10" s="33"/>
      <c r="I10" s="33"/>
      <c r="J10" s="13">
        <v>10</v>
      </c>
      <c r="K10" s="13">
        <v>22</v>
      </c>
      <c r="L10" s="13">
        <v>32</v>
      </c>
      <c r="M10" s="13">
        <v>28</v>
      </c>
      <c r="N10" s="13">
        <v>4</v>
      </c>
      <c r="O10" s="13"/>
      <c r="P10" s="13">
        <v>0</v>
      </c>
      <c r="Q10" s="13">
        <v>2</v>
      </c>
      <c r="R10" s="13">
        <v>2</v>
      </c>
      <c r="S10" s="13">
        <v>0</v>
      </c>
      <c r="T10" s="13">
        <v>2</v>
      </c>
      <c r="U10" s="13"/>
      <c r="V10" s="13"/>
      <c r="W10" s="13"/>
      <c r="X10" s="13">
        <v>43</v>
      </c>
      <c r="Y10" s="13">
        <v>145</v>
      </c>
      <c r="Z10" s="13">
        <v>188</v>
      </c>
      <c r="AA10" s="13">
        <v>142</v>
      </c>
      <c r="AB10" s="13">
        <v>46</v>
      </c>
      <c r="AC10" s="13"/>
      <c r="AD10" s="13"/>
      <c r="AE10" s="13">
        <v>16</v>
      </c>
      <c r="AF10" s="13">
        <v>162</v>
      </c>
      <c r="AG10" s="13">
        <v>178</v>
      </c>
      <c r="AH10" s="13">
        <v>162</v>
      </c>
      <c r="AI10" s="13">
        <v>16</v>
      </c>
    </row>
    <row r="11" spans="1:36" s="22" customFormat="1" ht="14.25" customHeight="1">
      <c r="A11" s="24" t="s">
        <v>21</v>
      </c>
      <c r="B11" s="8" t="s">
        <v>0</v>
      </c>
      <c r="C11" s="33">
        <f t="shared" si="0"/>
        <v>48</v>
      </c>
      <c r="D11" s="33">
        <f t="shared" si="0"/>
        <v>62</v>
      </c>
      <c r="E11" s="33">
        <f t="shared" si="0"/>
        <v>110</v>
      </c>
      <c r="F11" s="33">
        <f t="shared" si="0"/>
        <v>45</v>
      </c>
      <c r="G11" s="33">
        <f t="shared" si="0"/>
        <v>65</v>
      </c>
      <c r="H11" s="33"/>
      <c r="I11" s="33"/>
      <c r="J11" s="13">
        <v>47</v>
      </c>
      <c r="K11" s="13">
        <v>58</v>
      </c>
      <c r="L11" s="13">
        <v>105</v>
      </c>
      <c r="M11" s="13">
        <v>42</v>
      </c>
      <c r="N11" s="13">
        <v>63</v>
      </c>
      <c r="O11" s="13"/>
      <c r="P11" s="13">
        <v>1</v>
      </c>
      <c r="Q11" s="13">
        <v>4</v>
      </c>
      <c r="R11" s="13">
        <v>5</v>
      </c>
      <c r="S11" s="13">
        <v>3</v>
      </c>
      <c r="T11" s="13">
        <v>2</v>
      </c>
      <c r="U11" s="13"/>
      <c r="V11" s="13"/>
      <c r="W11" s="13"/>
      <c r="X11" s="13">
        <v>117</v>
      </c>
      <c r="Y11" s="13">
        <v>186</v>
      </c>
      <c r="Z11" s="13">
        <v>303</v>
      </c>
      <c r="AA11" s="13">
        <v>174</v>
      </c>
      <c r="AB11" s="13">
        <v>129</v>
      </c>
      <c r="AC11" s="13"/>
      <c r="AD11" s="13"/>
      <c r="AE11" s="13">
        <v>30</v>
      </c>
      <c r="AF11" s="13">
        <v>215</v>
      </c>
      <c r="AG11" s="13">
        <v>245</v>
      </c>
      <c r="AH11" s="13">
        <v>188</v>
      </c>
      <c r="AI11" s="13">
        <v>57</v>
      </c>
    </row>
    <row r="12" spans="1:36" s="22" customFormat="1" ht="14.25" customHeight="1">
      <c r="A12" s="24" t="s">
        <v>22</v>
      </c>
      <c r="B12" s="8" t="s">
        <v>0</v>
      </c>
      <c r="C12" s="33">
        <f t="shared" si="0"/>
        <v>73</v>
      </c>
      <c r="D12" s="33">
        <f t="shared" si="0"/>
        <v>84</v>
      </c>
      <c r="E12" s="33">
        <f t="shared" si="0"/>
        <v>157</v>
      </c>
      <c r="F12" s="33">
        <f t="shared" si="0"/>
        <v>80</v>
      </c>
      <c r="G12" s="33">
        <f t="shared" si="0"/>
        <v>77</v>
      </c>
      <c r="H12" s="33"/>
      <c r="I12" s="33"/>
      <c r="J12" s="13">
        <v>70</v>
      </c>
      <c r="K12" s="13">
        <v>78</v>
      </c>
      <c r="L12" s="13">
        <v>148</v>
      </c>
      <c r="M12" s="13">
        <v>76</v>
      </c>
      <c r="N12" s="13">
        <v>72</v>
      </c>
      <c r="O12" s="13"/>
      <c r="P12" s="13">
        <v>3</v>
      </c>
      <c r="Q12" s="13">
        <v>6</v>
      </c>
      <c r="R12" s="13">
        <v>9</v>
      </c>
      <c r="S12" s="13">
        <v>4</v>
      </c>
      <c r="T12" s="13">
        <v>5</v>
      </c>
      <c r="U12" s="13"/>
      <c r="V12" s="13"/>
      <c r="W12" s="13"/>
      <c r="X12" s="13">
        <v>71</v>
      </c>
      <c r="Y12" s="13">
        <v>202</v>
      </c>
      <c r="Z12" s="13">
        <v>273</v>
      </c>
      <c r="AA12" s="13">
        <v>186</v>
      </c>
      <c r="AB12" s="13">
        <v>87</v>
      </c>
      <c r="AC12" s="13"/>
      <c r="AD12" s="13"/>
      <c r="AE12" s="13">
        <v>18</v>
      </c>
      <c r="AF12" s="13">
        <v>231</v>
      </c>
      <c r="AG12" s="13">
        <v>249</v>
      </c>
      <c r="AH12" s="13">
        <v>219</v>
      </c>
      <c r="AI12" s="13">
        <v>30</v>
      </c>
    </row>
    <row r="13" spans="1:36" s="22" customFormat="1" ht="14.25" customHeight="1">
      <c r="A13" s="24" t="s">
        <v>23</v>
      </c>
      <c r="B13" s="8" t="s">
        <v>0</v>
      </c>
      <c r="C13" s="33">
        <f t="shared" si="0"/>
        <v>21</v>
      </c>
      <c r="D13" s="33">
        <f t="shared" si="0"/>
        <v>26</v>
      </c>
      <c r="E13" s="33">
        <f t="shared" si="0"/>
        <v>47</v>
      </c>
      <c r="F13" s="33">
        <f t="shared" si="0"/>
        <v>10</v>
      </c>
      <c r="G13" s="33">
        <f t="shared" si="0"/>
        <v>37</v>
      </c>
      <c r="H13" s="33"/>
      <c r="I13" s="33"/>
      <c r="J13" s="13">
        <v>17</v>
      </c>
      <c r="K13" s="13">
        <v>23</v>
      </c>
      <c r="L13" s="13">
        <v>40</v>
      </c>
      <c r="M13" s="13">
        <v>9</v>
      </c>
      <c r="N13" s="13">
        <v>31</v>
      </c>
      <c r="O13" s="13"/>
      <c r="P13" s="13">
        <v>4</v>
      </c>
      <c r="Q13" s="13">
        <v>3</v>
      </c>
      <c r="R13" s="13">
        <v>7</v>
      </c>
      <c r="S13" s="13">
        <v>1</v>
      </c>
      <c r="T13" s="13">
        <v>6</v>
      </c>
      <c r="U13" s="13"/>
      <c r="V13" s="13"/>
      <c r="W13" s="13"/>
      <c r="X13" s="13">
        <v>38</v>
      </c>
      <c r="Y13" s="13">
        <v>183</v>
      </c>
      <c r="Z13" s="13">
        <v>221</v>
      </c>
      <c r="AA13" s="13">
        <v>119</v>
      </c>
      <c r="AB13" s="13">
        <v>102</v>
      </c>
      <c r="AC13" s="13"/>
      <c r="AD13" s="13"/>
      <c r="AE13" s="13">
        <v>20</v>
      </c>
      <c r="AF13" s="13">
        <v>135</v>
      </c>
      <c r="AG13" s="13">
        <v>155</v>
      </c>
      <c r="AH13" s="13">
        <v>124</v>
      </c>
      <c r="AI13" s="13">
        <v>31</v>
      </c>
    </row>
    <row r="14" spans="1:36" s="22" customFormat="1" ht="14.25" customHeight="1">
      <c r="A14" s="24" t="s">
        <v>24</v>
      </c>
      <c r="B14" s="8" t="s">
        <v>0</v>
      </c>
      <c r="C14" s="33">
        <f t="shared" si="0"/>
        <v>77</v>
      </c>
      <c r="D14" s="33">
        <f t="shared" si="0"/>
        <v>61</v>
      </c>
      <c r="E14" s="33">
        <f t="shared" si="0"/>
        <v>138</v>
      </c>
      <c r="F14" s="33">
        <f t="shared" si="0"/>
        <v>57</v>
      </c>
      <c r="G14" s="33">
        <f t="shared" si="0"/>
        <v>81</v>
      </c>
      <c r="H14" s="33"/>
      <c r="I14" s="33"/>
      <c r="J14" s="13">
        <v>72</v>
      </c>
      <c r="K14" s="13">
        <v>57</v>
      </c>
      <c r="L14" s="13">
        <v>129</v>
      </c>
      <c r="M14" s="13">
        <v>52</v>
      </c>
      <c r="N14" s="13">
        <v>77</v>
      </c>
      <c r="O14" s="13"/>
      <c r="P14" s="13">
        <v>5</v>
      </c>
      <c r="Q14" s="13">
        <v>4</v>
      </c>
      <c r="R14" s="13">
        <v>9</v>
      </c>
      <c r="S14" s="13">
        <v>5</v>
      </c>
      <c r="T14" s="13">
        <v>4</v>
      </c>
      <c r="U14" s="13"/>
      <c r="V14" s="13"/>
      <c r="W14" s="13"/>
      <c r="X14" s="13">
        <v>124</v>
      </c>
      <c r="Y14" s="13">
        <v>124</v>
      </c>
      <c r="Z14" s="13">
        <v>248</v>
      </c>
      <c r="AA14" s="13">
        <v>127</v>
      </c>
      <c r="AB14" s="13">
        <v>121</v>
      </c>
      <c r="AC14" s="13"/>
      <c r="AD14" s="13"/>
      <c r="AE14" s="13">
        <v>44</v>
      </c>
      <c r="AF14" s="13">
        <v>178</v>
      </c>
      <c r="AG14" s="13">
        <v>222</v>
      </c>
      <c r="AH14" s="13">
        <v>182</v>
      </c>
      <c r="AI14" s="13">
        <v>40</v>
      </c>
    </row>
    <row r="15" spans="1:36" s="22" customFormat="1" ht="14.25" customHeight="1">
      <c r="A15" s="24" t="s">
        <v>25</v>
      </c>
      <c r="B15" s="8" t="s">
        <v>0</v>
      </c>
      <c r="C15" s="33">
        <f t="shared" si="0"/>
        <v>31</v>
      </c>
      <c r="D15" s="33">
        <f t="shared" si="0"/>
        <v>41</v>
      </c>
      <c r="E15" s="33">
        <f t="shared" si="0"/>
        <v>72</v>
      </c>
      <c r="F15" s="33">
        <f t="shared" si="0"/>
        <v>31</v>
      </c>
      <c r="G15" s="33">
        <f t="shared" si="0"/>
        <v>41</v>
      </c>
      <c r="H15" s="33"/>
      <c r="I15" s="33"/>
      <c r="J15" s="13">
        <v>30</v>
      </c>
      <c r="K15" s="13">
        <v>37</v>
      </c>
      <c r="L15" s="13">
        <v>67</v>
      </c>
      <c r="M15" s="13">
        <v>30</v>
      </c>
      <c r="N15" s="13">
        <v>37</v>
      </c>
      <c r="O15" s="13"/>
      <c r="P15" s="13">
        <v>1</v>
      </c>
      <c r="Q15" s="13">
        <v>4</v>
      </c>
      <c r="R15" s="13">
        <v>5</v>
      </c>
      <c r="S15" s="13">
        <v>1</v>
      </c>
      <c r="T15" s="13">
        <v>4</v>
      </c>
      <c r="U15" s="13"/>
      <c r="V15" s="13"/>
      <c r="W15" s="13"/>
      <c r="X15" s="13">
        <v>67</v>
      </c>
      <c r="Y15" s="13">
        <v>145</v>
      </c>
      <c r="Z15" s="13">
        <v>212</v>
      </c>
      <c r="AA15" s="13">
        <v>153</v>
      </c>
      <c r="AB15" s="13">
        <v>59</v>
      </c>
      <c r="AC15" s="13"/>
      <c r="AD15" s="13"/>
      <c r="AE15" s="13">
        <v>17</v>
      </c>
      <c r="AF15" s="13">
        <v>218</v>
      </c>
      <c r="AG15" s="13">
        <v>235</v>
      </c>
      <c r="AH15" s="13">
        <v>217</v>
      </c>
      <c r="AI15" s="13">
        <v>18</v>
      </c>
    </row>
    <row r="16" spans="1:36" s="22" customFormat="1" ht="14.25" customHeight="1">
      <c r="A16" s="24" t="s">
        <v>26</v>
      </c>
      <c r="B16" s="8" t="s">
        <v>0</v>
      </c>
      <c r="C16" s="33">
        <f t="shared" si="0"/>
        <v>13</v>
      </c>
      <c r="D16" s="33">
        <f t="shared" si="0"/>
        <v>13</v>
      </c>
      <c r="E16" s="33">
        <f t="shared" si="0"/>
        <v>26</v>
      </c>
      <c r="F16" s="33">
        <f t="shared" si="0"/>
        <v>11</v>
      </c>
      <c r="G16" s="33">
        <f t="shared" si="0"/>
        <v>15</v>
      </c>
      <c r="H16" s="33"/>
      <c r="I16" s="33"/>
      <c r="J16" s="13">
        <v>12</v>
      </c>
      <c r="K16" s="13">
        <v>11</v>
      </c>
      <c r="L16" s="13">
        <v>23</v>
      </c>
      <c r="M16" s="13">
        <v>11</v>
      </c>
      <c r="N16" s="13">
        <v>12</v>
      </c>
      <c r="O16" s="13"/>
      <c r="P16" s="13">
        <v>1</v>
      </c>
      <c r="Q16" s="13">
        <v>2</v>
      </c>
      <c r="R16" s="13">
        <v>3</v>
      </c>
      <c r="S16" s="13">
        <v>0</v>
      </c>
      <c r="T16" s="13">
        <v>3</v>
      </c>
      <c r="U16" s="13"/>
      <c r="V16" s="13"/>
      <c r="W16" s="13"/>
      <c r="X16" s="13">
        <v>58</v>
      </c>
      <c r="Y16" s="13">
        <v>123</v>
      </c>
      <c r="Z16" s="13">
        <v>181</v>
      </c>
      <c r="AA16" s="13">
        <v>142</v>
      </c>
      <c r="AB16" s="13">
        <v>39</v>
      </c>
      <c r="AC16" s="13"/>
      <c r="AD16" s="13"/>
      <c r="AE16" s="13">
        <v>9</v>
      </c>
      <c r="AF16" s="13">
        <v>123</v>
      </c>
      <c r="AG16" s="13">
        <v>132</v>
      </c>
      <c r="AH16" s="13">
        <v>126</v>
      </c>
      <c r="AI16" s="13">
        <v>6</v>
      </c>
    </row>
    <row r="17" spans="1:35" s="22" customFormat="1">
      <c r="A17" s="24" t="s">
        <v>27</v>
      </c>
      <c r="B17" s="8" t="s">
        <v>0</v>
      </c>
      <c r="C17" s="33">
        <f t="shared" si="0"/>
        <v>14</v>
      </c>
      <c r="D17" s="33">
        <f t="shared" si="0"/>
        <v>18</v>
      </c>
      <c r="E17" s="33">
        <f t="shared" si="0"/>
        <v>32</v>
      </c>
      <c r="F17" s="33">
        <f t="shared" si="0"/>
        <v>23</v>
      </c>
      <c r="G17" s="33">
        <f t="shared" si="0"/>
        <v>9</v>
      </c>
      <c r="H17" s="33"/>
      <c r="I17" s="33"/>
      <c r="J17" s="13">
        <v>13</v>
      </c>
      <c r="K17" s="13">
        <v>16</v>
      </c>
      <c r="L17" s="13">
        <v>29</v>
      </c>
      <c r="M17" s="13">
        <v>22</v>
      </c>
      <c r="N17" s="13">
        <v>7</v>
      </c>
      <c r="O17" s="13"/>
      <c r="P17" s="13">
        <v>1</v>
      </c>
      <c r="Q17" s="13">
        <v>2</v>
      </c>
      <c r="R17" s="13">
        <v>3</v>
      </c>
      <c r="S17" s="13">
        <v>1</v>
      </c>
      <c r="T17" s="13">
        <v>2</v>
      </c>
      <c r="U17" s="13"/>
      <c r="V17" s="13"/>
      <c r="W17" s="13"/>
      <c r="X17" s="13">
        <v>78</v>
      </c>
      <c r="Y17" s="13">
        <v>145</v>
      </c>
      <c r="Z17" s="13">
        <v>223</v>
      </c>
      <c r="AA17" s="13">
        <v>155</v>
      </c>
      <c r="AB17" s="13">
        <v>68</v>
      </c>
      <c r="AC17" s="13"/>
      <c r="AD17" s="13"/>
      <c r="AE17" s="13">
        <v>25</v>
      </c>
      <c r="AF17" s="13">
        <v>141</v>
      </c>
      <c r="AG17" s="13">
        <v>166</v>
      </c>
      <c r="AH17" s="13">
        <v>138</v>
      </c>
      <c r="AI17" s="13">
        <v>28</v>
      </c>
    </row>
    <row r="18" spans="1:35" s="22" customFormat="1">
      <c r="A18" s="24" t="s">
        <v>28</v>
      </c>
      <c r="B18" s="8" t="s">
        <v>0</v>
      </c>
      <c r="C18" s="33">
        <f t="shared" si="0"/>
        <v>2</v>
      </c>
      <c r="D18" s="33">
        <f t="shared" si="0"/>
        <v>1</v>
      </c>
      <c r="E18" s="33">
        <f t="shared" si="0"/>
        <v>3</v>
      </c>
      <c r="F18" s="33">
        <f t="shared" si="0"/>
        <v>2</v>
      </c>
      <c r="G18" s="33">
        <f t="shared" si="0"/>
        <v>1</v>
      </c>
      <c r="H18" s="33"/>
      <c r="I18" s="33"/>
      <c r="J18" s="13">
        <v>2</v>
      </c>
      <c r="K18" s="13">
        <v>1</v>
      </c>
      <c r="L18" s="13">
        <v>3</v>
      </c>
      <c r="M18" s="13">
        <v>2</v>
      </c>
      <c r="N18" s="13">
        <v>1</v>
      </c>
      <c r="O18" s="13"/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/>
      <c r="V18" s="13"/>
      <c r="W18" s="13"/>
      <c r="X18" s="13">
        <v>6</v>
      </c>
      <c r="Y18" s="13">
        <v>33</v>
      </c>
      <c r="Z18" s="13">
        <v>39</v>
      </c>
      <c r="AA18" s="13">
        <v>28</v>
      </c>
      <c r="AB18" s="13">
        <v>11</v>
      </c>
      <c r="AC18" s="13"/>
      <c r="AD18" s="13"/>
      <c r="AE18" s="13">
        <v>2</v>
      </c>
      <c r="AF18" s="13">
        <v>19</v>
      </c>
      <c r="AG18" s="13">
        <v>21</v>
      </c>
      <c r="AH18" s="13">
        <v>21</v>
      </c>
      <c r="AI18" s="13">
        <v>0</v>
      </c>
    </row>
    <row r="19" spans="1:35" s="22" customFormat="1">
      <c r="A19" s="24" t="s">
        <v>29</v>
      </c>
      <c r="B19" s="8" t="s">
        <v>0</v>
      </c>
      <c r="C19" s="33">
        <f t="shared" si="0"/>
        <v>4</v>
      </c>
      <c r="D19" s="33">
        <f t="shared" si="0"/>
        <v>4</v>
      </c>
      <c r="E19" s="33">
        <f t="shared" si="0"/>
        <v>8</v>
      </c>
      <c r="F19" s="33">
        <f t="shared" si="0"/>
        <v>3</v>
      </c>
      <c r="G19" s="33">
        <f t="shared" si="0"/>
        <v>5</v>
      </c>
      <c r="H19" s="33"/>
      <c r="I19" s="33"/>
      <c r="J19" s="13">
        <v>4</v>
      </c>
      <c r="K19" s="13">
        <v>3</v>
      </c>
      <c r="L19" s="13">
        <v>7</v>
      </c>
      <c r="M19" s="13">
        <v>3</v>
      </c>
      <c r="N19" s="13">
        <v>4</v>
      </c>
      <c r="O19" s="13"/>
      <c r="P19" s="13">
        <v>0</v>
      </c>
      <c r="Q19" s="13">
        <v>1</v>
      </c>
      <c r="R19" s="13">
        <v>1</v>
      </c>
      <c r="S19" s="13">
        <v>0</v>
      </c>
      <c r="T19" s="13">
        <v>1</v>
      </c>
      <c r="U19" s="13"/>
      <c r="V19" s="13"/>
      <c r="W19" s="13"/>
      <c r="X19" s="13">
        <v>89</v>
      </c>
      <c r="Y19" s="13">
        <v>62</v>
      </c>
      <c r="Z19" s="13">
        <v>151</v>
      </c>
      <c r="AA19" s="13">
        <v>109</v>
      </c>
      <c r="AB19" s="13">
        <v>42</v>
      </c>
      <c r="AC19" s="13"/>
      <c r="AD19" s="13"/>
      <c r="AE19" s="13">
        <v>6</v>
      </c>
      <c r="AF19" s="13">
        <v>72</v>
      </c>
      <c r="AG19" s="13">
        <v>78</v>
      </c>
      <c r="AH19" s="13">
        <v>71</v>
      </c>
      <c r="AI19" s="13">
        <v>7</v>
      </c>
    </row>
    <row r="20" spans="1:35" s="22" customFormat="1">
      <c r="A20" s="24" t="s">
        <v>30</v>
      </c>
      <c r="B20" s="8" t="s">
        <v>0</v>
      </c>
      <c r="C20" s="33">
        <f t="shared" si="0"/>
        <v>6</v>
      </c>
      <c r="D20" s="33">
        <f t="shared" si="0"/>
        <v>14</v>
      </c>
      <c r="E20" s="33">
        <f t="shared" si="0"/>
        <v>20</v>
      </c>
      <c r="F20" s="33">
        <f t="shared" si="0"/>
        <v>13</v>
      </c>
      <c r="G20" s="33">
        <f t="shared" si="0"/>
        <v>7</v>
      </c>
      <c r="H20" s="33"/>
      <c r="I20" s="33"/>
      <c r="J20" s="13">
        <v>5</v>
      </c>
      <c r="K20" s="13">
        <v>14</v>
      </c>
      <c r="L20" s="13">
        <v>19</v>
      </c>
      <c r="M20" s="13">
        <v>12</v>
      </c>
      <c r="N20" s="13">
        <v>7</v>
      </c>
      <c r="O20" s="13"/>
      <c r="P20" s="13">
        <v>1</v>
      </c>
      <c r="Q20" s="13">
        <v>0</v>
      </c>
      <c r="R20" s="13">
        <v>1</v>
      </c>
      <c r="S20" s="13">
        <v>1</v>
      </c>
      <c r="T20" s="13">
        <v>0</v>
      </c>
      <c r="U20" s="13"/>
      <c r="V20" s="13"/>
      <c r="W20" s="13"/>
      <c r="X20" s="13">
        <v>50</v>
      </c>
      <c r="Y20" s="13">
        <v>83</v>
      </c>
      <c r="Z20" s="13">
        <v>133</v>
      </c>
      <c r="AA20" s="13">
        <v>84</v>
      </c>
      <c r="AB20" s="13">
        <v>49</v>
      </c>
      <c r="AC20" s="13"/>
      <c r="AD20" s="13"/>
      <c r="AE20" s="13">
        <v>14</v>
      </c>
      <c r="AF20" s="13">
        <v>70</v>
      </c>
      <c r="AG20" s="13">
        <v>84</v>
      </c>
      <c r="AH20" s="13">
        <v>70</v>
      </c>
      <c r="AI20" s="13">
        <v>14</v>
      </c>
    </row>
    <row r="21" spans="1:35" s="22" customFormat="1">
      <c r="A21" s="24" t="s">
        <v>31</v>
      </c>
      <c r="B21" s="8" t="s">
        <v>0</v>
      </c>
      <c r="C21" s="33">
        <f t="shared" si="0"/>
        <v>5</v>
      </c>
      <c r="D21" s="33">
        <f t="shared" si="0"/>
        <v>4</v>
      </c>
      <c r="E21" s="33">
        <f t="shared" si="0"/>
        <v>9</v>
      </c>
      <c r="F21" s="33">
        <f t="shared" si="0"/>
        <v>6</v>
      </c>
      <c r="G21" s="33">
        <f t="shared" si="0"/>
        <v>3</v>
      </c>
      <c r="H21" s="33"/>
      <c r="I21" s="33"/>
      <c r="J21" s="13">
        <v>3</v>
      </c>
      <c r="K21" s="13">
        <v>4</v>
      </c>
      <c r="L21" s="13">
        <v>7</v>
      </c>
      <c r="M21" s="13">
        <v>6</v>
      </c>
      <c r="N21" s="13">
        <v>1</v>
      </c>
      <c r="O21" s="13"/>
      <c r="P21" s="13">
        <v>2</v>
      </c>
      <c r="Q21" s="13">
        <v>0</v>
      </c>
      <c r="R21" s="13">
        <v>2</v>
      </c>
      <c r="S21" s="13">
        <v>0</v>
      </c>
      <c r="T21" s="13">
        <v>2</v>
      </c>
      <c r="U21" s="13"/>
      <c r="V21" s="13"/>
      <c r="W21" s="13"/>
      <c r="X21" s="13">
        <v>57</v>
      </c>
      <c r="Y21" s="13">
        <v>89</v>
      </c>
      <c r="Z21" s="13">
        <v>146</v>
      </c>
      <c r="AA21" s="13">
        <v>111</v>
      </c>
      <c r="AB21" s="13">
        <v>35</v>
      </c>
      <c r="AC21" s="13"/>
      <c r="AD21" s="13"/>
      <c r="AE21" s="13">
        <v>14</v>
      </c>
      <c r="AF21" s="13">
        <v>85</v>
      </c>
      <c r="AG21" s="13">
        <v>99</v>
      </c>
      <c r="AH21" s="13">
        <v>87</v>
      </c>
      <c r="AI21" s="13">
        <v>12</v>
      </c>
    </row>
    <row r="22" spans="1:35" s="22" customFormat="1">
      <c r="A22" s="24" t="s">
        <v>32</v>
      </c>
      <c r="B22" s="8" t="s">
        <v>0</v>
      </c>
      <c r="C22" s="33">
        <f t="shared" si="0"/>
        <v>46</v>
      </c>
      <c r="D22" s="33">
        <f t="shared" si="0"/>
        <v>76</v>
      </c>
      <c r="E22" s="33">
        <f t="shared" si="0"/>
        <v>122</v>
      </c>
      <c r="F22" s="33">
        <f t="shared" si="0"/>
        <v>34</v>
      </c>
      <c r="G22" s="33">
        <f t="shared" si="0"/>
        <v>88</v>
      </c>
      <c r="H22" s="33"/>
      <c r="I22" s="33"/>
      <c r="J22" s="13">
        <v>42</v>
      </c>
      <c r="K22" s="13">
        <v>67</v>
      </c>
      <c r="L22" s="13">
        <v>109</v>
      </c>
      <c r="M22" s="13">
        <v>27</v>
      </c>
      <c r="N22" s="13">
        <v>82</v>
      </c>
      <c r="O22" s="13"/>
      <c r="P22" s="13">
        <v>4</v>
      </c>
      <c r="Q22" s="13">
        <v>9</v>
      </c>
      <c r="R22" s="13">
        <v>13</v>
      </c>
      <c r="S22" s="13">
        <v>7</v>
      </c>
      <c r="T22" s="13">
        <v>6</v>
      </c>
      <c r="U22" s="13"/>
      <c r="V22" s="13"/>
      <c r="W22" s="13"/>
      <c r="X22" s="13">
        <v>103</v>
      </c>
      <c r="Y22" s="13">
        <v>177</v>
      </c>
      <c r="Z22" s="13">
        <v>280</v>
      </c>
      <c r="AA22" s="13">
        <v>172</v>
      </c>
      <c r="AB22" s="13">
        <v>108</v>
      </c>
      <c r="AC22" s="13"/>
      <c r="AD22" s="13"/>
      <c r="AE22" s="13">
        <v>22</v>
      </c>
      <c r="AF22" s="13">
        <v>171</v>
      </c>
      <c r="AG22" s="13">
        <v>193</v>
      </c>
      <c r="AH22" s="13">
        <v>168</v>
      </c>
      <c r="AI22" s="13">
        <v>25</v>
      </c>
    </row>
    <row r="23" spans="1:35" s="22" customFormat="1">
      <c r="A23" s="24" t="s">
        <v>33</v>
      </c>
      <c r="B23" s="8" t="s">
        <v>0</v>
      </c>
      <c r="C23" s="33">
        <f t="shared" si="0"/>
        <v>89</v>
      </c>
      <c r="D23" s="33">
        <f t="shared" si="0"/>
        <v>108</v>
      </c>
      <c r="E23" s="33">
        <f t="shared" si="0"/>
        <v>197</v>
      </c>
      <c r="F23" s="33">
        <f t="shared" si="0"/>
        <v>33</v>
      </c>
      <c r="G23" s="33">
        <f t="shared" si="0"/>
        <v>164</v>
      </c>
      <c r="H23" s="33"/>
      <c r="I23" s="33"/>
      <c r="J23" s="13">
        <v>82</v>
      </c>
      <c r="K23" s="13">
        <v>104</v>
      </c>
      <c r="L23" s="13">
        <v>186</v>
      </c>
      <c r="M23" s="13">
        <v>31</v>
      </c>
      <c r="N23" s="13">
        <v>155</v>
      </c>
      <c r="O23" s="13"/>
      <c r="P23" s="13">
        <v>7</v>
      </c>
      <c r="Q23" s="13">
        <v>4</v>
      </c>
      <c r="R23" s="13">
        <v>11</v>
      </c>
      <c r="S23" s="13">
        <v>2</v>
      </c>
      <c r="T23" s="13">
        <v>9</v>
      </c>
      <c r="U23" s="13"/>
      <c r="V23" s="13"/>
      <c r="W23" s="13"/>
      <c r="X23" s="13">
        <v>292</v>
      </c>
      <c r="Y23" s="13">
        <v>374</v>
      </c>
      <c r="Z23" s="13">
        <v>666</v>
      </c>
      <c r="AA23" s="13">
        <v>422</v>
      </c>
      <c r="AB23" s="13">
        <v>244</v>
      </c>
      <c r="AC23" s="13"/>
      <c r="AD23" s="13"/>
      <c r="AE23" s="13">
        <v>55</v>
      </c>
      <c r="AF23" s="13">
        <v>291</v>
      </c>
      <c r="AG23" s="13">
        <v>346</v>
      </c>
      <c r="AH23" s="13">
        <v>281</v>
      </c>
      <c r="AI23" s="13">
        <v>65</v>
      </c>
    </row>
    <row r="24" spans="1:35" s="22" customFormat="1">
      <c r="A24" s="24" t="s">
        <v>34</v>
      </c>
      <c r="B24" s="8" t="s">
        <v>0</v>
      </c>
      <c r="C24" s="33">
        <f t="shared" si="0"/>
        <v>34</v>
      </c>
      <c r="D24" s="33">
        <f t="shared" si="0"/>
        <v>48</v>
      </c>
      <c r="E24" s="33">
        <f t="shared" si="0"/>
        <v>82</v>
      </c>
      <c r="F24" s="33">
        <f t="shared" si="0"/>
        <v>48</v>
      </c>
      <c r="G24" s="33">
        <f t="shared" si="0"/>
        <v>34</v>
      </c>
      <c r="H24" s="33"/>
      <c r="I24" s="33"/>
      <c r="J24" s="13">
        <v>29</v>
      </c>
      <c r="K24" s="13">
        <v>47</v>
      </c>
      <c r="L24" s="13">
        <v>76</v>
      </c>
      <c r="M24" s="13">
        <v>45</v>
      </c>
      <c r="N24" s="13">
        <v>31</v>
      </c>
      <c r="O24" s="13"/>
      <c r="P24" s="13">
        <v>5</v>
      </c>
      <c r="Q24" s="13">
        <v>1</v>
      </c>
      <c r="R24" s="13">
        <v>6</v>
      </c>
      <c r="S24" s="13">
        <v>3</v>
      </c>
      <c r="T24" s="13">
        <v>3</v>
      </c>
      <c r="U24" s="13"/>
      <c r="V24" s="13"/>
      <c r="W24" s="13"/>
      <c r="X24" s="13">
        <v>185</v>
      </c>
      <c r="Y24" s="13">
        <v>652</v>
      </c>
      <c r="Z24" s="13">
        <v>837</v>
      </c>
      <c r="AA24" s="13">
        <v>625</v>
      </c>
      <c r="AB24" s="13">
        <v>212</v>
      </c>
      <c r="AC24" s="13"/>
      <c r="AD24" s="13"/>
      <c r="AE24" s="13">
        <v>31</v>
      </c>
      <c r="AF24" s="13">
        <v>238</v>
      </c>
      <c r="AG24" s="13">
        <v>269</v>
      </c>
      <c r="AH24" s="13">
        <v>245</v>
      </c>
      <c r="AI24" s="13">
        <v>24</v>
      </c>
    </row>
    <row r="25" spans="1:35" s="22" customFormat="1">
      <c r="A25" s="24" t="s">
        <v>35</v>
      </c>
      <c r="B25" s="8" t="s">
        <v>0</v>
      </c>
      <c r="C25" s="33">
        <f t="shared" si="0"/>
        <v>28</v>
      </c>
      <c r="D25" s="33">
        <f t="shared" si="0"/>
        <v>57</v>
      </c>
      <c r="E25" s="33">
        <f t="shared" si="0"/>
        <v>85</v>
      </c>
      <c r="F25" s="33">
        <f t="shared" si="0"/>
        <v>33</v>
      </c>
      <c r="G25" s="33">
        <f t="shared" si="0"/>
        <v>52</v>
      </c>
      <c r="H25" s="33"/>
      <c r="I25" s="33"/>
      <c r="J25" s="13">
        <v>27</v>
      </c>
      <c r="K25" s="13">
        <v>50</v>
      </c>
      <c r="L25" s="13">
        <v>77</v>
      </c>
      <c r="M25" s="13">
        <v>29</v>
      </c>
      <c r="N25" s="13">
        <v>48</v>
      </c>
      <c r="O25" s="13"/>
      <c r="P25" s="13">
        <v>1</v>
      </c>
      <c r="Q25" s="13">
        <v>7</v>
      </c>
      <c r="R25" s="13">
        <v>8</v>
      </c>
      <c r="S25" s="13">
        <v>4</v>
      </c>
      <c r="T25" s="13">
        <v>4</v>
      </c>
      <c r="U25" s="13"/>
      <c r="V25" s="13"/>
      <c r="W25" s="13"/>
      <c r="X25" s="13">
        <v>97</v>
      </c>
      <c r="Y25" s="13">
        <v>381</v>
      </c>
      <c r="Z25" s="13">
        <v>478</v>
      </c>
      <c r="AA25" s="13">
        <v>354</v>
      </c>
      <c r="AB25" s="13">
        <v>124</v>
      </c>
      <c r="AC25" s="13"/>
      <c r="AD25" s="13"/>
      <c r="AE25" s="13">
        <v>25</v>
      </c>
      <c r="AF25" s="13">
        <v>309</v>
      </c>
      <c r="AG25" s="13">
        <v>334</v>
      </c>
      <c r="AH25" s="13">
        <v>314</v>
      </c>
      <c r="AI25" s="13">
        <v>20</v>
      </c>
    </row>
    <row r="26" spans="1:35" s="22" customFormat="1">
      <c r="A26" s="24" t="s">
        <v>36</v>
      </c>
      <c r="B26" s="8" t="s">
        <v>0</v>
      </c>
      <c r="C26" s="33">
        <f t="shared" si="0"/>
        <v>106</v>
      </c>
      <c r="D26" s="33">
        <f t="shared" si="0"/>
        <v>149</v>
      </c>
      <c r="E26" s="33">
        <f t="shared" si="0"/>
        <v>255</v>
      </c>
      <c r="F26" s="33">
        <f t="shared" si="0"/>
        <v>110</v>
      </c>
      <c r="G26" s="33">
        <f t="shared" si="0"/>
        <v>145</v>
      </c>
      <c r="H26" s="33"/>
      <c r="I26" s="33"/>
      <c r="J26" s="13">
        <v>94</v>
      </c>
      <c r="K26" s="13">
        <v>128</v>
      </c>
      <c r="L26" s="13">
        <v>222</v>
      </c>
      <c r="M26" s="13">
        <v>95</v>
      </c>
      <c r="N26" s="13">
        <v>127</v>
      </c>
      <c r="O26" s="13"/>
      <c r="P26" s="13">
        <v>12</v>
      </c>
      <c r="Q26" s="13">
        <v>21</v>
      </c>
      <c r="R26" s="13">
        <v>33</v>
      </c>
      <c r="S26" s="13">
        <v>15</v>
      </c>
      <c r="T26" s="13">
        <v>18</v>
      </c>
      <c r="U26" s="13"/>
      <c r="V26" s="13"/>
      <c r="W26" s="13"/>
      <c r="X26" s="13">
        <v>49</v>
      </c>
      <c r="Y26" s="13">
        <v>295</v>
      </c>
      <c r="Z26" s="13">
        <v>344</v>
      </c>
      <c r="AA26" s="13">
        <v>257</v>
      </c>
      <c r="AB26" s="13">
        <v>87</v>
      </c>
      <c r="AC26" s="13"/>
      <c r="AD26" s="13"/>
      <c r="AE26" s="13">
        <v>18</v>
      </c>
      <c r="AF26" s="13">
        <v>242</v>
      </c>
      <c r="AG26" s="13">
        <v>260</v>
      </c>
      <c r="AH26" s="13">
        <v>228</v>
      </c>
      <c r="AI26" s="13">
        <v>32</v>
      </c>
    </row>
    <row r="27" spans="1:35" s="23" customFormat="1">
      <c r="A27" s="24" t="s">
        <v>37</v>
      </c>
      <c r="B27" s="8" t="s">
        <v>0</v>
      </c>
      <c r="C27" s="33">
        <f t="shared" si="0"/>
        <v>7</v>
      </c>
      <c r="D27" s="33">
        <f t="shared" si="0"/>
        <v>244</v>
      </c>
      <c r="E27" s="33">
        <f t="shared" si="0"/>
        <v>251</v>
      </c>
      <c r="F27" s="33">
        <f t="shared" si="0"/>
        <v>61</v>
      </c>
      <c r="G27" s="33">
        <f t="shared" si="0"/>
        <v>190</v>
      </c>
      <c r="H27" s="33"/>
      <c r="I27" s="33"/>
      <c r="J27" s="13">
        <v>6</v>
      </c>
      <c r="K27" s="13">
        <v>221</v>
      </c>
      <c r="L27" s="13">
        <v>227</v>
      </c>
      <c r="M27" s="13">
        <v>55</v>
      </c>
      <c r="N27" s="13">
        <v>172</v>
      </c>
      <c r="O27" s="13"/>
      <c r="P27" s="13">
        <v>1</v>
      </c>
      <c r="Q27" s="13">
        <v>23</v>
      </c>
      <c r="R27" s="13">
        <v>24</v>
      </c>
      <c r="S27" s="13">
        <v>6</v>
      </c>
      <c r="T27" s="13">
        <v>18</v>
      </c>
      <c r="U27" s="13"/>
      <c r="V27" s="13"/>
      <c r="W27" s="13"/>
      <c r="X27" s="13">
        <v>41</v>
      </c>
      <c r="Y27" s="13">
        <v>390</v>
      </c>
      <c r="Z27" s="13">
        <v>431</v>
      </c>
      <c r="AA27" s="13">
        <v>223</v>
      </c>
      <c r="AB27" s="13">
        <v>208</v>
      </c>
      <c r="AC27" s="13"/>
      <c r="AD27" s="13"/>
      <c r="AE27" s="13">
        <v>13</v>
      </c>
      <c r="AF27" s="13">
        <v>428</v>
      </c>
      <c r="AG27" s="13">
        <v>441</v>
      </c>
      <c r="AH27" s="13">
        <v>375</v>
      </c>
      <c r="AI27" s="13">
        <v>66</v>
      </c>
    </row>
    <row r="28" spans="1:35">
      <c r="A28" s="9" t="s">
        <v>12</v>
      </c>
      <c r="B28" s="10" t="s">
        <v>13</v>
      </c>
      <c r="C28" s="33">
        <f t="shared" si="0"/>
        <v>0</v>
      </c>
      <c r="D28" s="33">
        <f t="shared" si="0"/>
        <v>0</v>
      </c>
      <c r="E28" s="33">
        <f t="shared" si="0"/>
        <v>0</v>
      </c>
      <c r="F28" s="33">
        <f t="shared" si="0"/>
        <v>0</v>
      </c>
      <c r="G28" s="33">
        <f t="shared" si="0"/>
        <v>0</v>
      </c>
      <c r="H28" s="33"/>
      <c r="I28" s="33"/>
      <c r="J28" s="11">
        <v>0</v>
      </c>
      <c r="K28" s="12">
        <v>0</v>
      </c>
      <c r="L28" s="12">
        <v>0</v>
      </c>
      <c r="M28" s="12">
        <v>0</v>
      </c>
      <c r="N28" s="13">
        <v>0</v>
      </c>
      <c r="O28" s="13"/>
      <c r="P28" s="12">
        <v>0</v>
      </c>
      <c r="Q28" s="12">
        <v>0</v>
      </c>
      <c r="R28" s="12">
        <v>0</v>
      </c>
      <c r="S28" s="12">
        <v>0</v>
      </c>
      <c r="T28" s="13">
        <v>0</v>
      </c>
      <c r="U28" s="13"/>
      <c r="V28" s="13"/>
      <c r="W28" s="13"/>
      <c r="X28" s="12">
        <v>1736</v>
      </c>
      <c r="Y28" s="12">
        <v>2277</v>
      </c>
      <c r="Z28" s="12">
        <v>4013</v>
      </c>
      <c r="AA28" s="12">
        <v>2412</v>
      </c>
      <c r="AB28" s="13">
        <v>1601</v>
      </c>
      <c r="AC28" s="13"/>
      <c r="AD28" s="13"/>
      <c r="AE28" s="12">
        <v>0</v>
      </c>
      <c r="AF28" s="12">
        <v>0</v>
      </c>
      <c r="AG28" s="12">
        <v>0</v>
      </c>
      <c r="AH28" s="12">
        <v>0</v>
      </c>
      <c r="AI28" s="12">
        <v>0</v>
      </c>
    </row>
    <row r="29" spans="1:35">
      <c r="A29" s="9" t="s">
        <v>12</v>
      </c>
      <c r="B29" s="10" t="s">
        <v>14</v>
      </c>
      <c r="C29" s="33">
        <f t="shared" si="0"/>
        <v>2191</v>
      </c>
      <c r="D29" s="33">
        <f t="shared" si="0"/>
        <v>1158</v>
      </c>
      <c r="E29" s="33">
        <f t="shared" si="0"/>
        <v>3349</v>
      </c>
      <c r="F29" s="33">
        <f t="shared" si="0"/>
        <v>990</v>
      </c>
      <c r="G29" s="33">
        <f t="shared" si="0"/>
        <v>2359</v>
      </c>
      <c r="H29" s="33"/>
      <c r="I29" s="33"/>
      <c r="J29" s="12">
        <v>2191</v>
      </c>
      <c r="K29" s="12">
        <v>1158</v>
      </c>
      <c r="L29" s="12">
        <v>3349</v>
      </c>
      <c r="M29" s="12">
        <v>990</v>
      </c>
      <c r="N29" s="13">
        <v>2359</v>
      </c>
      <c r="O29" s="13"/>
      <c r="P29" s="12">
        <v>0</v>
      </c>
      <c r="Q29" s="12">
        <v>0</v>
      </c>
      <c r="R29" s="12">
        <v>0</v>
      </c>
      <c r="S29" s="12">
        <v>0</v>
      </c>
      <c r="T29" s="13">
        <v>0</v>
      </c>
      <c r="U29" s="13"/>
      <c r="V29" s="13"/>
      <c r="W29" s="13"/>
      <c r="X29" s="12">
        <v>0</v>
      </c>
      <c r="Y29" s="12">
        <v>0</v>
      </c>
      <c r="Z29" s="12">
        <v>0</v>
      </c>
      <c r="AA29" s="12">
        <v>0</v>
      </c>
      <c r="AB29" s="13">
        <v>0</v>
      </c>
      <c r="AC29" s="13"/>
      <c r="AD29" s="13"/>
      <c r="AE29" s="12">
        <v>0</v>
      </c>
      <c r="AF29" s="12">
        <v>0</v>
      </c>
      <c r="AG29" s="12">
        <v>0</v>
      </c>
      <c r="AH29" s="12">
        <v>0</v>
      </c>
      <c r="AI29" s="12">
        <v>0</v>
      </c>
    </row>
    <row r="30" spans="1:35">
      <c r="A30" s="9" t="s">
        <v>12</v>
      </c>
      <c r="B30" s="10" t="s">
        <v>15</v>
      </c>
      <c r="C30" s="33">
        <f t="shared" si="0"/>
        <v>0</v>
      </c>
      <c r="D30" s="33">
        <f t="shared" si="0"/>
        <v>0</v>
      </c>
      <c r="E30" s="33">
        <f t="shared" si="0"/>
        <v>0</v>
      </c>
      <c r="F30" s="33">
        <f t="shared" si="0"/>
        <v>0</v>
      </c>
      <c r="G30" s="33">
        <f t="shared" si="0"/>
        <v>0</v>
      </c>
      <c r="H30" s="33"/>
      <c r="I30" s="33"/>
      <c r="J30" s="12">
        <v>0</v>
      </c>
      <c r="K30" s="12">
        <v>0</v>
      </c>
      <c r="L30" s="12">
        <v>0</v>
      </c>
      <c r="M30" s="12">
        <v>0</v>
      </c>
      <c r="N30" s="13">
        <v>0</v>
      </c>
      <c r="O30" s="13"/>
      <c r="P30" s="12">
        <v>0</v>
      </c>
      <c r="Q30" s="12">
        <v>0</v>
      </c>
      <c r="R30" s="12">
        <v>0</v>
      </c>
      <c r="S30" s="12">
        <v>0</v>
      </c>
      <c r="T30" s="13">
        <v>0</v>
      </c>
      <c r="U30" s="13"/>
      <c r="V30" s="13"/>
      <c r="W30" s="13"/>
      <c r="X30" s="12">
        <v>0</v>
      </c>
      <c r="Y30" s="12">
        <v>0</v>
      </c>
      <c r="Z30" s="12">
        <v>0</v>
      </c>
      <c r="AA30" s="12">
        <v>0</v>
      </c>
      <c r="AB30" s="13">
        <v>0</v>
      </c>
      <c r="AC30" s="13"/>
      <c r="AD30" s="13"/>
      <c r="AE30" s="12">
        <v>451</v>
      </c>
      <c r="AF30" s="12">
        <v>2251</v>
      </c>
      <c r="AG30" s="12">
        <v>2702</v>
      </c>
      <c r="AH30" s="12">
        <v>2194</v>
      </c>
      <c r="AI30" s="12">
        <v>508</v>
      </c>
    </row>
    <row r="31" spans="1:35">
      <c r="A31" s="9" t="s">
        <v>12</v>
      </c>
      <c r="B31" s="10" t="s">
        <v>16</v>
      </c>
      <c r="C31" s="33">
        <f t="shared" si="0"/>
        <v>54</v>
      </c>
      <c r="D31" s="33">
        <f t="shared" si="0"/>
        <v>83</v>
      </c>
      <c r="E31" s="33">
        <f t="shared" si="0"/>
        <v>137</v>
      </c>
      <c r="F31" s="33">
        <f t="shared" si="0"/>
        <v>94</v>
      </c>
      <c r="G31" s="33">
        <f t="shared" si="0"/>
        <v>43</v>
      </c>
      <c r="H31" s="33"/>
      <c r="I31" s="33"/>
      <c r="J31" s="12">
        <v>0</v>
      </c>
      <c r="K31" s="12">
        <v>0</v>
      </c>
      <c r="L31" s="12">
        <v>0</v>
      </c>
      <c r="M31" s="12">
        <v>0</v>
      </c>
      <c r="N31" s="13">
        <v>0</v>
      </c>
      <c r="O31" s="13"/>
      <c r="P31" s="12">
        <v>54</v>
      </c>
      <c r="Q31" s="12">
        <v>83</v>
      </c>
      <c r="R31" s="12">
        <v>137</v>
      </c>
      <c r="S31" s="12">
        <v>94</v>
      </c>
      <c r="T31" s="13">
        <v>43</v>
      </c>
      <c r="U31" s="13"/>
      <c r="V31" s="13"/>
      <c r="W31" s="13"/>
      <c r="X31" s="12">
        <v>0</v>
      </c>
      <c r="Y31" s="12">
        <v>0</v>
      </c>
      <c r="Z31" s="12">
        <v>0</v>
      </c>
      <c r="AA31" s="12">
        <v>0</v>
      </c>
      <c r="AB31" s="13">
        <v>0</v>
      </c>
      <c r="AC31" s="13"/>
      <c r="AD31" s="13"/>
      <c r="AE31" s="12">
        <v>0</v>
      </c>
      <c r="AF31" s="12">
        <v>0</v>
      </c>
      <c r="AG31" s="12">
        <v>0</v>
      </c>
      <c r="AH31" s="12">
        <v>0</v>
      </c>
      <c r="AI31" s="12">
        <v>0</v>
      </c>
    </row>
    <row r="32" spans="1:35">
      <c r="A32" s="16" t="s">
        <v>12</v>
      </c>
      <c r="B32" s="17" t="s">
        <v>17</v>
      </c>
      <c r="C32" s="33">
        <f t="shared" si="0"/>
        <v>2</v>
      </c>
      <c r="D32" s="33">
        <f t="shared" si="0"/>
        <v>5</v>
      </c>
      <c r="E32" s="33">
        <f t="shared" si="0"/>
        <v>7</v>
      </c>
      <c r="F32" s="33">
        <f t="shared" si="0"/>
        <v>0</v>
      </c>
      <c r="G32" s="33">
        <f t="shared" si="0"/>
        <v>7</v>
      </c>
      <c r="H32" s="33"/>
      <c r="I32" s="33"/>
      <c r="J32" s="18">
        <v>2</v>
      </c>
      <c r="K32" s="18">
        <v>5</v>
      </c>
      <c r="L32" s="18">
        <v>7</v>
      </c>
      <c r="M32" s="18">
        <v>0</v>
      </c>
      <c r="N32" s="19">
        <v>7</v>
      </c>
      <c r="O32" s="19"/>
      <c r="P32" s="18">
        <v>0</v>
      </c>
      <c r="Q32" s="18">
        <v>0</v>
      </c>
      <c r="R32" s="18">
        <v>0</v>
      </c>
      <c r="S32" s="18">
        <v>0</v>
      </c>
      <c r="T32" s="19">
        <v>0</v>
      </c>
      <c r="U32" s="19"/>
      <c r="V32" s="19"/>
      <c r="W32" s="19"/>
      <c r="X32" s="18">
        <v>111</v>
      </c>
      <c r="Y32" s="18">
        <v>448</v>
      </c>
      <c r="Z32" s="18">
        <v>558</v>
      </c>
      <c r="AA32" s="18">
        <v>307</v>
      </c>
      <c r="AB32" s="19">
        <v>251</v>
      </c>
      <c r="AC32" s="19"/>
      <c r="AD32" s="19"/>
      <c r="AE32" s="18">
        <v>5</v>
      </c>
      <c r="AF32" s="18">
        <v>116</v>
      </c>
      <c r="AG32" s="18">
        <v>121</v>
      </c>
      <c r="AH32" s="18">
        <v>102</v>
      </c>
      <c r="AI32" s="18">
        <v>19</v>
      </c>
    </row>
    <row r="33" spans="1:35">
      <c r="A33" s="21" t="s">
        <v>2</v>
      </c>
      <c r="AI33" s="6" t="s">
        <v>43</v>
      </c>
    </row>
    <row r="36" spans="1:35">
      <c r="A36" s="2"/>
      <c r="B36" s="27" t="s">
        <v>44</v>
      </c>
    </row>
    <row r="37" spans="1:35">
      <c r="B37" s="28" t="s">
        <v>38</v>
      </c>
      <c r="C37" s="28" t="s">
        <v>45</v>
      </c>
      <c r="D37" s="28" t="s">
        <v>39</v>
      </c>
      <c r="E37" s="28"/>
      <c r="F37" s="28"/>
    </row>
    <row r="38" spans="1:35">
      <c r="A38" s="28" t="s">
        <v>46</v>
      </c>
      <c r="B38" s="29">
        <f>H5</f>
        <v>32.906696345761453</v>
      </c>
      <c r="C38" s="29">
        <f>AC5</f>
        <v>62.419047619047618</v>
      </c>
      <c r="D38" s="29">
        <f>AJ5</f>
        <v>84.499785315586081</v>
      </c>
    </row>
    <row r="39" spans="1:35">
      <c r="A39" s="28" t="s">
        <v>47</v>
      </c>
      <c r="B39" s="29">
        <f>H6</f>
        <v>31.033495562553682</v>
      </c>
      <c r="C39" s="29">
        <f>AC6</f>
        <v>59.483701597024719</v>
      </c>
      <c r="D39" s="29">
        <f>AJ6</f>
        <v>81.331916400991858</v>
      </c>
    </row>
    <row r="40" spans="1:35">
      <c r="A40" s="28" t="s">
        <v>48</v>
      </c>
      <c r="B40" s="29">
        <f>H7</f>
        <v>36.354056902002107</v>
      </c>
      <c r="C40" s="29">
        <f>AC7</f>
        <v>64.682071175577676</v>
      </c>
      <c r="D40" s="29">
        <f>AJ7</f>
        <v>86.647454370797306</v>
      </c>
    </row>
    <row r="42" spans="1:35">
      <c r="B42" s="35" t="s">
        <v>51</v>
      </c>
      <c r="C42" s="35"/>
      <c r="D42" s="35"/>
    </row>
    <row r="43" spans="1:35">
      <c r="B43" s="28" t="s">
        <v>38</v>
      </c>
      <c r="C43" s="28" t="s">
        <v>45</v>
      </c>
      <c r="D43" s="28" t="s">
        <v>39</v>
      </c>
    </row>
    <row r="44" spans="1:35">
      <c r="A44" s="28" t="s">
        <v>46</v>
      </c>
      <c r="B44" s="36">
        <f>G5</f>
        <v>3617</v>
      </c>
      <c r="C44" s="36">
        <f>AB5</f>
        <v>3946</v>
      </c>
      <c r="D44" s="36">
        <f>AI5</f>
        <v>1083</v>
      </c>
    </row>
    <row r="45" spans="1:35">
      <c r="A45" s="28" t="s">
        <v>47</v>
      </c>
      <c r="B45" s="36">
        <f>G6</f>
        <v>2409</v>
      </c>
      <c r="C45" s="36">
        <f>AB6</f>
        <v>1852</v>
      </c>
      <c r="D45" s="36">
        <f>AI6</f>
        <v>527</v>
      </c>
    </row>
    <row r="46" spans="1:35">
      <c r="A46" s="28" t="s">
        <v>48</v>
      </c>
      <c r="B46" s="36">
        <f>G7</f>
        <v>1208</v>
      </c>
      <c r="C46" s="36">
        <f>AB7</f>
        <v>2094</v>
      </c>
      <c r="D46" s="36">
        <f>AI7</f>
        <v>556</v>
      </c>
    </row>
    <row r="49" spans="1:5">
      <c r="B49" s="35" t="s">
        <v>52</v>
      </c>
      <c r="C49" s="35"/>
      <c r="D49" s="35"/>
    </row>
    <row r="50" spans="1:5">
      <c r="B50" s="28" t="s">
        <v>38</v>
      </c>
      <c r="C50" s="28" t="s">
        <v>45</v>
      </c>
      <c r="D50" s="28" t="s">
        <v>39</v>
      </c>
    </row>
    <row r="51" spans="1:5">
      <c r="A51" s="28" t="s">
        <v>46</v>
      </c>
      <c r="B51" s="36">
        <f>F5</f>
        <v>1774</v>
      </c>
      <c r="C51" s="36">
        <f>AA5</f>
        <v>6554</v>
      </c>
      <c r="D51" s="36">
        <f>AH5</f>
        <v>5904</v>
      </c>
    </row>
    <row r="52" spans="1:5">
      <c r="A52" s="28" t="s">
        <v>47</v>
      </c>
      <c r="B52" s="36">
        <f>F6</f>
        <v>1084</v>
      </c>
      <c r="C52" s="36">
        <f>AA6</f>
        <v>2719</v>
      </c>
      <c r="D52" s="36">
        <f>AH6</f>
        <v>2296</v>
      </c>
    </row>
    <row r="53" spans="1:5">
      <c r="A53" s="28" t="s">
        <v>48</v>
      </c>
      <c r="B53" s="36">
        <f>F7</f>
        <v>690</v>
      </c>
      <c r="C53" s="36">
        <f>AA7</f>
        <v>3835</v>
      </c>
      <c r="D53" s="36">
        <f>AH7</f>
        <v>3608</v>
      </c>
    </row>
    <row r="55" spans="1:5">
      <c r="A55" s="27" t="s">
        <v>0</v>
      </c>
      <c r="B55" s="35"/>
      <c r="C55" s="35"/>
      <c r="D55" s="35"/>
    </row>
    <row r="56" spans="1:5">
      <c r="A56" s="27"/>
      <c r="B56" s="35" t="s">
        <v>41</v>
      </c>
      <c r="C56" s="35" t="s">
        <v>12</v>
      </c>
      <c r="D56" s="35" t="s">
        <v>40</v>
      </c>
    </row>
    <row r="57" spans="1:5">
      <c r="A57" s="35" t="s">
        <v>53</v>
      </c>
      <c r="B57" s="36">
        <v>7528</v>
      </c>
      <c r="C57" s="36">
        <v>4550</v>
      </c>
      <c r="D57" s="36">
        <v>2978</v>
      </c>
      <c r="E57" s="5"/>
    </row>
    <row r="58" spans="1:5">
      <c r="A58" s="35" t="s">
        <v>54</v>
      </c>
      <c r="B58" s="36">
        <v>15351</v>
      </c>
      <c r="C58" s="36">
        <v>6338</v>
      </c>
      <c r="D58" s="36">
        <v>9013</v>
      </c>
      <c r="E58" s="5"/>
    </row>
    <row r="59" spans="1:5">
      <c r="A59" s="35" t="s">
        <v>52</v>
      </c>
      <c r="B59" s="36">
        <v>14232</v>
      </c>
      <c r="C59" s="36">
        <v>6099</v>
      </c>
      <c r="D59" s="36">
        <v>8133</v>
      </c>
    </row>
    <row r="60" spans="1:5">
      <c r="A60" s="35" t="s">
        <v>51</v>
      </c>
      <c r="B60" s="36">
        <v>8646</v>
      </c>
      <c r="C60" s="36">
        <v>4788</v>
      </c>
      <c r="D60" s="36">
        <v>3858</v>
      </c>
    </row>
    <row r="61" spans="1:5">
      <c r="B61" s="8"/>
      <c r="C61" s="8"/>
      <c r="D61" s="8"/>
    </row>
    <row r="62" spans="1:5">
      <c r="A62" s="2"/>
      <c r="B62" s="5"/>
      <c r="C62" s="5"/>
      <c r="D62" s="5"/>
      <c r="E62" s="5"/>
    </row>
    <row r="63" spans="1:5">
      <c r="A63" s="2"/>
      <c r="B63" s="5"/>
      <c r="C63" s="5"/>
      <c r="D63" s="5"/>
      <c r="E63" s="5"/>
    </row>
    <row r="64" spans="1:5">
      <c r="A64" s="2"/>
      <c r="B64" s="5"/>
      <c r="C64" s="5"/>
      <c r="D64" s="5"/>
      <c r="E64" s="5"/>
    </row>
    <row r="65" spans="1:11">
      <c r="A65" s="2"/>
      <c r="B65" s="5"/>
      <c r="C65" s="5"/>
      <c r="D65" s="5"/>
      <c r="E65" s="5"/>
    </row>
    <row r="66" spans="1:11">
      <c r="B66" s="27" t="s">
        <v>55</v>
      </c>
    </row>
    <row r="67" spans="1:11">
      <c r="B67" s="35"/>
      <c r="H67" s="35" t="s">
        <v>56</v>
      </c>
    </row>
    <row r="68" spans="1:11">
      <c r="A68" s="2"/>
      <c r="B68" s="35"/>
      <c r="C68" s="35" t="s">
        <v>57</v>
      </c>
      <c r="D68" s="35" t="s">
        <v>58</v>
      </c>
      <c r="E68" s="35" t="s">
        <v>59</v>
      </c>
      <c r="F68" s="35" t="s">
        <v>60</v>
      </c>
      <c r="G68" s="35"/>
      <c r="H68" s="37" t="s">
        <v>61</v>
      </c>
      <c r="I68" s="35" t="s">
        <v>62</v>
      </c>
      <c r="J68" s="35" t="s">
        <v>63</v>
      </c>
      <c r="K68" s="35"/>
    </row>
    <row r="69" spans="1:11">
      <c r="A69" s="2"/>
      <c r="B69" s="35" t="s">
        <v>18</v>
      </c>
      <c r="C69" s="35">
        <v>590</v>
      </c>
      <c r="D69" s="35">
        <v>339</v>
      </c>
      <c r="E69" s="35">
        <v>251</v>
      </c>
      <c r="F69" s="29">
        <f>D69/C69*100</f>
        <v>57.457627118644069</v>
      </c>
      <c r="G69" s="35"/>
      <c r="H69" s="38">
        <v>10</v>
      </c>
      <c r="I69" s="29">
        <f t="shared" ref="I69:I88" si="1">C69/H69</f>
        <v>59</v>
      </c>
      <c r="J69" s="29">
        <f t="shared" ref="J69:J88" si="2">D69/H69</f>
        <v>33.9</v>
      </c>
      <c r="K69" s="35"/>
    </row>
    <row r="70" spans="1:11">
      <c r="A70" s="2"/>
      <c r="B70" s="35" t="s">
        <v>19</v>
      </c>
      <c r="C70" s="35">
        <v>692</v>
      </c>
      <c r="D70" s="35">
        <v>367</v>
      </c>
      <c r="E70" s="35">
        <v>325</v>
      </c>
      <c r="F70" s="29">
        <f t="shared" ref="F70:F88" si="3">D70/C70*100</f>
        <v>53.034682080924853</v>
      </c>
      <c r="G70" s="35"/>
      <c r="H70" s="38">
        <v>8</v>
      </c>
      <c r="I70" s="29">
        <f t="shared" si="1"/>
        <v>86.5</v>
      </c>
      <c r="J70" s="29">
        <f t="shared" si="2"/>
        <v>45.875</v>
      </c>
      <c r="K70" s="35"/>
    </row>
    <row r="71" spans="1:11">
      <c r="A71" s="2"/>
      <c r="B71" s="35" t="s">
        <v>20</v>
      </c>
      <c r="C71" s="35">
        <v>400</v>
      </c>
      <c r="D71" s="35">
        <v>332</v>
      </c>
      <c r="E71" s="35">
        <v>68</v>
      </c>
      <c r="F71" s="29">
        <f t="shared" si="3"/>
        <v>83</v>
      </c>
      <c r="G71" s="35"/>
      <c r="H71" s="38">
        <v>4</v>
      </c>
      <c r="I71" s="29">
        <f t="shared" si="1"/>
        <v>100</v>
      </c>
      <c r="J71" s="29">
        <f t="shared" si="2"/>
        <v>83</v>
      </c>
      <c r="K71" s="35"/>
    </row>
    <row r="72" spans="1:11">
      <c r="A72" s="2"/>
      <c r="B72" s="35" t="s">
        <v>21</v>
      </c>
      <c r="C72" s="35">
        <v>658</v>
      </c>
      <c r="D72" s="35">
        <v>407</v>
      </c>
      <c r="E72" s="35">
        <v>251</v>
      </c>
      <c r="F72" s="29">
        <f t="shared" si="3"/>
        <v>61.854103343465049</v>
      </c>
      <c r="G72" s="35"/>
      <c r="H72" s="38">
        <v>5</v>
      </c>
      <c r="I72" s="29">
        <f t="shared" si="1"/>
        <v>131.6</v>
      </c>
      <c r="J72" s="29">
        <f t="shared" si="2"/>
        <v>81.400000000000006</v>
      </c>
      <c r="K72" s="35"/>
    </row>
    <row r="73" spans="1:11">
      <c r="A73" s="2"/>
      <c r="B73" s="35" t="s">
        <v>22</v>
      </c>
      <c r="C73" s="35">
        <v>679</v>
      </c>
      <c r="D73" s="35">
        <v>485</v>
      </c>
      <c r="E73" s="35">
        <v>194</v>
      </c>
      <c r="F73" s="29">
        <f t="shared" si="3"/>
        <v>71.428571428571431</v>
      </c>
      <c r="G73" s="35"/>
      <c r="H73" s="38">
        <v>7</v>
      </c>
      <c r="I73" s="29">
        <f t="shared" si="1"/>
        <v>97</v>
      </c>
      <c r="J73" s="29">
        <f t="shared" si="2"/>
        <v>69.285714285714292</v>
      </c>
      <c r="K73" s="35"/>
    </row>
    <row r="74" spans="1:11">
      <c r="B74" s="35" t="s">
        <v>23</v>
      </c>
      <c r="C74" s="35">
        <v>423</v>
      </c>
      <c r="D74" s="35">
        <v>253</v>
      </c>
      <c r="E74" s="35">
        <v>170</v>
      </c>
      <c r="F74" s="29">
        <f t="shared" si="3"/>
        <v>59.810874704491724</v>
      </c>
      <c r="G74" s="35"/>
      <c r="H74" s="38">
        <v>5</v>
      </c>
      <c r="I74" s="29">
        <f t="shared" si="1"/>
        <v>84.6</v>
      </c>
      <c r="J74" s="29">
        <f t="shared" si="2"/>
        <v>50.6</v>
      </c>
      <c r="K74" s="35"/>
    </row>
    <row r="75" spans="1:11">
      <c r="B75" s="35" t="s">
        <v>24</v>
      </c>
      <c r="C75" s="35">
        <v>608</v>
      </c>
      <c r="D75" s="35">
        <v>366</v>
      </c>
      <c r="E75" s="35">
        <v>242</v>
      </c>
      <c r="F75" s="29">
        <f t="shared" si="3"/>
        <v>60.19736842105263</v>
      </c>
      <c r="G75" s="35"/>
      <c r="H75" s="38">
        <v>1</v>
      </c>
      <c r="I75" s="29">
        <f t="shared" si="1"/>
        <v>608</v>
      </c>
      <c r="J75" s="29">
        <f t="shared" si="2"/>
        <v>366</v>
      </c>
      <c r="K75" s="35"/>
    </row>
    <row r="76" spans="1:11">
      <c r="B76" s="35" t="s">
        <v>25</v>
      </c>
      <c r="C76" s="35">
        <v>519</v>
      </c>
      <c r="D76" s="35">
        <v>401</v>
      </c>
      <c r="E76" s="35">
        <v>118</v>
      </c>
      <c r="F76" s="29">
        <f t="shared" si="3"/>
        <v>77.263969171483623</v>
      </c>
      <c r="G76" s="35"/>
      <c r="H76" s="38">
        <v>8</v>
      </c>
      <c r="I76" s="29">
        <f t="shared" si="1"/>
        <v>64.875</v>
      </c>
      <c r="J76" s="29">
        <f t="shared" si="2"/>
        <v>50.125</v>
      </c>
      <c r="K76" s="35"/>
    </row>
    <row r="77" spans="1:11">
      <c r="B77" s="35" t="s">
        <v>26</v>
      </c>
      <c r="C77" s="35">
        <v>339</v>
      </c>
      <c r="D77" s="35">
        <v>279</v>
      </c>
      <c r="E77" s="35">
        <v>60</v>
      </c>
      <c r="F77" s="29">
        <f t="shared" si="3"/>
        <v>82.30088495575221</v>
      </c>
      <c r="G77" s="35"/>
      <c r="H77" s="38">
        <v>7</v>
      </c>
      <c r="I77" s="29">
        <f t="shared" si="1"/>
        <v>48.428571428571431</v>
      </c>
      <c r="J77" s="29">
        <f t="shared" si="2"/>
        <v>39.857142857142854</v>
      </c>
      <c r="K77" s="35"/>
    </row>
    <row r="78" spans="1:11">
      <c r="B78" s="35" t="s">
        <v>27</v>
      </c>
      <c r="C78" s="35">
        <v>421</v>
      </c>
      <c r="D78" s="35">
        <v>316</v>
      </c>
      <c r="E78" s="35">
        <v>105</v>
      </c>
      <c r="F78" s="29">
        <f t="shared" si="3"/>
        <v>75.059382422802841</v>
      </c>
      <c r="G78" s="35"/>
      <c r="H78" s="38">
        <v>4</v>
      </c>
      <c r="I78" s="29">
        <f t="shared" si="1"/>
        <v>105.25</v>
      </c>
      <c r="J78" s="29">
        <f t="shared" si="2"/>
        <v>79</v>
      </c>
      <c r="K78" s="35"/>
    </row>
    <row r="79" spans="1:11">
      <c r="B79" s="35" t="s">
        <v>28</v>
      </c>
      <c r="C79" s="35">
        <v>63</v>
      </c>
      <c r="D79" s="35">
        <v>51</v>
      </c>
      <c r="E79" s="35">
        <v>12</v>
      </c>
      <c r="F79" s="29">
        <f t="shared" si="3"/>
        <v>80.952380952380949</v>
      </c>
      <c r="G79" s="35"/>
      <c r="H79" s="38">
        <v>2</v>
      </c>
      <c r="I79" s="29">
        <f t="shared" si="1"/>
        <v>31.5</v>
      </c>
      <c r="J79" s="29">
        <f t="shared" si="2"/>
        <v>25.5</v>
      </c>
      <c r="K79" s="35"/>
    </row>
    <row r="80" spans="1:11">
      <c r="B80" s="35" t="s">
        <v>29</v>
      </c>
      <c r="C80" s="35">
        <v>237</v>
      </c>
      <c r="D80" s="35">
        <v>183</v>
      </c>
      <c r="E80" s="35">
        <v>54</v>
      </c>
      <c r="F80" s="29">
        <f t="shared" si="3"/>
        <v>77.215189873417728</v>
      </c>
      <c r="G80" s="35"/>
      <c r="H80" s="38">
        <v>5</v>
      </c>
      <c r="I80" s="29">
        <f t="shared" si="1"/>
        <v>47.4</v>
      </c>
      <c r="J80" s="29">
        <f t="shared" si="2"/>
        <v>36.6</v>
      </c>
      <c r="K80" s="35"/>
    </row>
    <row r="81" spans="2:11">
      <c r="B81" s="35" t="s">
        <v>30</v>
      </c>
      <c r="C81" s="35">
        <v>237</v>
      </c>
      <c r="D81" s="35">
        <v>167</v>
      </c>
      <c r="E81" s="35">
        <v>70</v>
      </c>
      <c r="F81" s="29">
        <f t="shared" si="3"/>
        <v>70.46413502109705</v>
      </c>
      <c r="G81" s="35"/>
      <c r="H81" s="38">
        <v>3</v>
      </c>
      <c r="I81" s="29">
        <f t="shared" si="1"/>
        <v>79</v>
      </c>
      <c r="J81" s="29">
        <f t="shared" si="2"/>
        <v>55.666666666666664</v>
      </c>
      <c r="K81" s="35"/>
    </row>
    <row r="82" spans="2:11">
      <c r="B82" s="35" t="s">
        <v>31</v>
      </c>
      <c r="C82" s="35">
        <v>254</v>
      </c>
      <c r="D82" s="35">
        <v>204</v>
      </c>
      <c r="E82" s="35">
        <v>50</v>
      </c>
      <c r="F82" s="29">
        <f t="shared" si="3"/>
        <v>80.314960629921259</v>
      </c>
      <c r="G82" s="35"/>
      <c r="H82" s="38">
        <v>4</v>
      </c>
      <c r="I82" s="29">
        <f t="shared" si="1"/>
        <v>63.5</v>
      </c>
      <c r="J82" s="29">
        <f t="shared" si="2"/>
        <v>51</v>
      </c>
      <c r="K82" s="35"/>
    </row>
    <row r="83" spans="2:11">
      <c r="B83" s="35" t="s">
        <v>32</v>
      </c>
      <c r="C83" s="35">
        <v>595</v>
      </c>
      <c r="D83" s="35">
        <v>374</v>
      </c>
      <c r="E83" s="35">
        <v>221</v>
      </c>
      <c r="F83" s="29">
        <f t="shared" si="3"/>
        <v>62.857142857142854</v>
      </c>
      <c r="G83" s="35"/>
      <c r="H83" s="38">
        <v>10</v>
      </c>
      <c r="I83" s="29">
        <f t="shared" si="1"/>
        <v>59.5</v>
      </c>
      <c r="J83" s="29">
        <f t="shared" si="2"/>
        <v>37.4</v>
      </c>
      <c r="K83" s="35"/>
    </row>
    <row r="84" spans="2:11">
      <c r="B84" s="35" t="s">
        <v>33</v>
      </c>
      <c r="C84" s="35">
        <v>1209</v>
      </c>
      <c r="D84" s="35">
        <v>736</v>
      </c>
      <c r="E84" s="35">
        <v>473</v>
      </c>
      <c r="F84" s="29">
        <f t="shared" si="3"/>
        <v>60.876757650951198</v>
      </c>
      <c r="G84" s="35"/>
      <c r="H84" s="38">
        <v>9</v>
      </c>
      <c r="I84" s="29">
        <f t="shared" si="1"/>
        <v>134.33333333333334</v>
      </c>
      <c r="J84" s="29">
        <f t="shared" si="2"/>
        <v>81.777777777777771</v>
      </c>
      <c r="K84" s="35"/>
    </row>
    <row r="85" spans="2:11">
      <c r="B85" s="35" t="s">
        <v>34</v>
      </c>
      <c r="C85" s="35">
        <v>1188</v>
      </c>
      <c r="D85" s="35">
        <v>918</v>
      </c>
      <c r="E85" s="35">
        <v>270</v>
      </c>
      <c r="F85" s="29">
        <f t="shared" si="3"/>
        <v>77.272727272727266</v>
      </c>
      <c r="G85" s="35"/>
      <c r="H85" s="38">
        <v>10</v>
      </c>
      <c r="I85" s="29">
        <f t="shared" si="1"/>
        <v>118.8</v>
      </c>
      <c r="J85" s="29">
        <f t="shared" si="2"/>
        <v>91.8</v>
      </c>
      <c r="K85" s="35"/>
    </row>
    <row r="86" spans="2:11">
      <c r="B86" s="35" t="s">
        <v>35</v>
      </c>
      <c r="C86" s="35">
        <v>897</v>
      </c>
      <c r="D86" s="35">
        <v>701</v>
      </c>
      <c r="E86" s="35">
        <v>196</v>
      </c>
      <c r="F86" s="29">
        <f t="shared" si="3"/>
        <v>78.149386845039018</v>
      </c>
      <c r="G86" s="35"/>
      <c r="H86" s="38">
        <v>8</v>
      </c>
      <c r="I86" s="29">
        <f t="shared" si="1"/>
        <v>112.125</v>
      </c>
      <c r="J86" s="29">
        <f t="shared" si="2"/>
        <v>87.625</v>
      </c>
      <c r="K86" s="35"/>
    </row>
    <row r="87" spans="2:11">
      <c r="B87" s="35" t="s">
        <v>36</v>
      </c>
      <c r="C87" s="35">
        <v>859</v>
      </c>
      <c r="D87" s="35">
        <v>595</v>
      </c>
      <c r="E87" s="35">
        <v>264</v>
      </c>
      <c r="F87" s="29">
        <f t="shared" si="3"/>
        <v>69.266589057043078</v>
      </c>
      <c r="G87" s="35"/>
      <c r="H87" s="38">
        <v>2</v>
      </c>
      <c r="I87" s="29">
        <f t="shared" si="1"/>
        <v>429.5</v>
      </c>
      <c r="J87" s="29">
        <f t="shared" si="2"/>
        <v>297.5</v>
      </c>
      <c r="K87" s="35"/>
    </row>
    <row r="88" spans="2:11">
      <c r="B88" s="35" t="s">
        <v>37</v>
      </c>
      <c r="C88" s="35">
        <v>1123</v>
      </c>
      <c r="D88" s="35">
        <v>659</v>
      </c>
      <c r="E88" s="35">
        <v>464</v>
      </c>
      <c r="F88" s="29">
        <f t="shared" si="3"/>
        <v>58.682101513802323</v>
      </c>
      <c r="G88" s="35"/>
      <c r="H88" s="38">
        <v>8</v>
      </c>
      <c r="I88" s="29">
        <f t="shared" si="1"/>
        <v>140.375</v>
      </c>
      <c r="J88" s="29">
        <f t="shared" si="2"/>
        <v>82.375</v>
      </c>
      <c r="K88" s="35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8.20</vt:lpstr>
      <vt:lpstr>8.20 workings</vt:lpstr>
      <vt:lpstr>'8.20'!Print_Area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2018-06-04T05:58:52Z</cp:lastPrinted>
  <dcterms:created xsi:type="dcterms:W3CDTF">2013-04-04T04:05:16Z</dcterms:created>
  <dcterms:modified xsi:type="dcterms:W3CDTF">2018-06-04T05:59:01Z</dcterms:modified>
</cp:coreProperties>
</file>