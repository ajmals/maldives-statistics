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14" sheetId="6" r:id="rId1"/>
    <sheet name="8.20 workings" sheetId="36" state="hidden" r:id="rId2"/>
  </sheets>
  <externalReferences>
    <externalReference r:id="rId3"/>
  </externalReferences>
  <definedNames>
    <definedName name="_xlnm.Print_Area" localSheetId="0">'8.14'!$A$1:$L$32</definedName>
  </definedNames>
  <calcPr calcId="162913"/>
</workbook>
</file>

<file path=xl/calcChain.xml><?xml version="1.0" encoding="utf-8"?>
<calcChain xmlns="http://schemas.openxmlformats.org/spreadsheetml/2006/main">
  <c r="AK29" i="6" l="1"/>
  <c r="AK33" i="6" l="1"/>
  <c r="AK30" i="6"/>
  <c r="AK31" i="6"/>
  <c r="AK32" i="6"/>
  <c r="AK28" i="6"/>
  <c r="G5" i="6" l="1"/>
  <c r="H5" i="6"/>
  <c r="I5" i="6"/>
  <c r="J5" i="6"/>
  <c r="F5" i="6" l="1"/>
  <c r="E5" i="6" l="1"/>
  <c r="D5" i="6"/>
  <c r="C5" i="6"/>
  <c r="B5" i="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<sst xmlns="http://schemas.openxmlformats.org/spreadsheetml/2006/main" count="166" uniqueCount="71">
  <si>
    <t>Total</t>
  </si>
  <si>
    <t>Source: Department of Judicial Administration</t>
  </si>
  <si>
    <t>Source: Maldives Police Service</t>
  </si>
  <si>
    <t>ޖުމްލަ</t>
  </si>
  <si>
    <t>No. of times arrested</t>
  </si>
  <si>
    <t>ހައްޔަރު ކުރެވުނު އަދަދު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</si>
  <si>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</si>
  <si>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</si>
  <si>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</si>
  <si>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</si>
  <si>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</si>
  <si>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</si>
  <si>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</si>
  <si>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</si>
  <si>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</si>
  <si>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</si>
  <si>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</si>
  <si>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</si>
  <si>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</si>
  <si>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</si>
  <si>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</si>
  <si>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</si>
  <si>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</si>
  <si>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</si>
  <si>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</si>
  <si>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</si>
  <si>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</si>
  <si>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</si>
  <si>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</si>
  <si>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</si>
  <si>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</si>
  <si>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</si>
  <si>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</si>
  <si>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</si>
  <si>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</si>
  <si>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</si>
  <si>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</si>
  <si>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</si>
  <si>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</si>
  <si>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</si>
  <si>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</si>
  <si>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</si>
  <si>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</si>
  <si>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</si>
  <si>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</si>
  <si>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</si>
  <si>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</si>
  <si>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</si>
  <si>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</si>
  <si>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</si>
  <si>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</si>
  <si>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</si>
  <si>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</si>
  <si>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</si>
  <si>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</si>
  <si>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</si>
  <si>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</si>
  <si>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</si>
  <si>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</si>
  <si>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</si>
  <si>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</si>
  <si>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</si>
  <si>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</si>
  <si>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</si>
  <si>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</si>
  <si>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</si>
  <si>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</si>
  <si>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</si>
  <si>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more than 6</t>
  </si>
  <si>
    <t xml:space="preserve"> Table 8.14: NUMBER OF  DETAINEES BY NUMBER OF TIMES ARRESTED, 2013 - 2017</t>
  </si>
  <si>
    <t xml:space="preserve">2017 - 2013 ތާވަލު 8.14:  އެކިއެކި މައްސަލަތަކުގައި ހައްޔަރުކުރެވުނު މީހުންގެ ތެރޭން ތަކުރާރުކޮށް ހައްޔަރުކުރެވުނު މީހުންގެ އަދަދު،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</si>
</sst>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name val="Courier"/>
      <family val="3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sz val="11"/>
      <color rgb="FFFF0000"/>
      <name val="Faruma"/>
      <family val="3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theme="1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22" fillId="0" borderId="11" applyNumberFormat="0" applyFill="0" applyAlignment="0" applyProtection="0"/>
    <xf numFmtId="0" fontId="13" fillId="0" borderId="0"/>
    <xf numFmtId="166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15" applyNumberFormat="0" applyAlignment="0" applyProtection="0"/>
    <xf numFmtId="0" fontId="34" fillId="8" borderId="16" applyNumberFormat="0" applyAlignment="0" applyProtection="0"/>
    <xf numFmtId="0" fontId="35" fillId="8" borderId="15" applyNumberFormat="0" applyAlignment="0" applyProtection="0"/>
    <xf numFmtId="0" fontId="36" fillId="0" borderId="17" applyNumberFormat="0" applyFill="0" applyAlignment="0" applyProtection="0"/>
    <xf numFmtId="0" fontId="37" fillId="9" borderId="18" applyNumberFormat="0" applyAlignment="0" applyProtection="0"/>
    <xf numFmtId="0" fontId="25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8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3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9" fillId="34" borderId="0" applyNumberFormat="0" applyBorder="0" applyAlignment="0" applyProtection="0"/>
    <xf numFmtId="0" fontId="1" fillId="0" borderId="0"/>
    <xf numFmtId="0" fontId="13" fillId="0" borderId="0"/>
  </cellStyleXfs>
  <cellXfs count="82">
    <xf numFmtId="0" fontId="0" fillId="0" borderId="0" xfId="0"/>
    <xf numFmtId="164" fontId="0" fillId="2" borderId="0" xfId="0" applyNumberFormat="1" applyFill="1"/>
    <xf numFmtId="0" fontId="4" fillId="2" borderId="0" xfId="0" applyNumberFormat="1" applyFont="1" applyFill="1"/>
    <xf numFmtId="0" fontId="10" fillId="2" borderId="0" xfId="0" applyNumberFormat="1" applyFont="1" applyFill="1"/>
    <xf numFmtId="0" fontId="0" fillId="2" borderId="0" xfId="0" applyNumberFormat="1" applyFont="1" applyFill="1"/>
    <xf numFmtId="164" fontId="6" fillId="2" borderId="6" xfId="0" applyNumberFormat="1" applyFont="1" applyFill="1" applyBorder="1" applyAlignment="1">
      <alignment horizontal="center" vertical="center" wrapText="1"/>
    </xf>
    <xf numFmtId="0" fontId="17" fillId="2" borderId="0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/>
    </xf>
    <xf numFmtId="0" fontId="14" fillId="2" borderId="0" xfId="0" applyNumberFormat="1" applyFont="1" applyFill="1" applyBorder="1" applyAlignment="1">
      <alignment vertical="center" wrapText="1"/>
    </xf>
    <xf numFmtId="0" fontId="15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0" fontId="10" fillId="2" borderId="0" xfId="0" applyNumberFormat="1" applyFont="1" applyFill="1" applyBorder="1" applyAlignment="1">
      <alignment vertical="center"/>
    </xf>
    <xf numFmtId="1" fontId="0" fillId="2" borderId="0" xfId="0" applyNumberFormat="1" applyFont="1" applyFill="1"/>
    <xf numFmtId="1" fontId="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2" borderId="0" xfId="0" applyNumberFormat="1" applyFont="1" applyFill="1" applyBorder="1" applyAlignment="1"/>
    <xf numFmtId="0" fontId="0" fillId="2" borderId="0" xfId="0" applyNumberFormat="1" applyFill="1"/>
    <xf numFmtId="3" fontId="12" fillId="2" borderId="0" xfId="0" applyNumberFormat="1" applyFont="1" applyFill="1" applyBorder="1" applyAlignment="1">
      <alignment horizontal="right" vertical="center"/>
    </xf>
    <xf numFmtId="0" fontId="0" fillId="2" borderId="4" xfId="0" applyNumberFormat="1" applyFont="1" applyFill="1" applyBorder="1" applyAlignment="1">
      <alignment horizontal="right"/>
    </xf>
    <xf numFmtId="164" fontId="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3" fillId="2" borderId="0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right"/>
    </xf>
    <xf numFmtId="3" fontId="9" fillId="2" borderId="0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right"/>
    </xf>
    <xf numFmtId="0" fontId="4" fillId="2" borderId="4" xfId="0" applyNumberFormat="1" applyFont="1" applyFill="1" applyBorder="1" applyAlignment="1">
      <alignment horizontal="right"/>
    </xf>
    <xf numFmtId="164" fontId="7" fillId="2" borderId="21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/>
    <xf numFmtId="0" fontId="4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16" fillId="2" borderId="7" xfId="0" applyNumberFormat="1" applyFont="1" applyFill="1" applyBorder="1" applyAlignment="1">
      <alignment horizontal="center" vertical="center"/>
    </xf>
    <xf numFmtId="164" fontId="18" fillId="2" borderId="9" xfId="0" applyNumberFormat="1" applyFont="1" applyFill="1" applyBorder="1" applyAlignment="1">
      <alignment horizontal="center" vertical="top"/>
    </xf>
    <xf numFmtId="164" fontId="18" fillId="2" borderId="10" xfId="0" applyNumberFormat="1" applyFont="1" applyFill="1" applyBorder="1" applyAlignment="1">
      <alignment horizontal="center" vertical="top"/>
    </xf>
    <xf numFmtId="0" fontId="11" fillId="2" borderId="7" xfId="0" applyNumberFormat="1" applyFont="1" applyFill="1" applyBorder="1" applyAlignment="1">
      <alignment horizontal="center" vertical="center"/>
    </xf>
    <xf numFmtId="0" fontId="23" fillId="2" borderId="7" xfId="0" applyNumberFormat="1" applyFont="1" applyFill="1" applyBorder="1" applyAlignment="1">
      <alignment horizontal="center" vertical="center"/>
    </xf>
    <xf numFmtId="164" fontId="20" fillId="2" borderId="0" xfId="0" applyNumberFormat="1" applyFont="1" applyFill="1" applyAlignment="1">
      <alignment horizontal="center"/>
    </xf>
    <xf numFmtId="164" fontId="21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62808096209224"/>
          <c:y val="0.19558832505717907"/>
          <c:w val="0.85455189300218981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'8.14'!$AJ$28:$AJ$33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'8.14'!$AK$28:$AK$33</c:f>
              <c:numCache>
                <c:formatCode>#,##0</c:formatCode>
                <c:ptCount val="6"/>
                <c:pt idx="0">
                  <c:v>3064</c:v>
                </c:pt>
                <c:pt idx="1">
                  <c:v>572</c:v>
                </c:pt>
                <c:pt idx="2">
                  <c:v>189</c:v>
                </c:pt>
                <c:pt idx="3">
                  <c:v>77</c:v>
                </c:pt>
                <c:pt idx="4">
                  <c:v>30</c:v>
                </c:pt>
                <c:pt idx="5" formatCode="General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1-4413-ABC4-8441812E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822080"/>
        <c:axId val="61824000"/>
      </c:barChart>
      <c:catAx>
        <c:axId val="618220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4000"/>
        <c:crosses val="autoZero"/>
        <c:auto val="1"/>
        <c:lblAlgn val="ctr"/>
        <c:lblOffset val="100"/>
        <c:noMultiLvlLbl val="0"/>
      </c:catAx>
      <c:valAx>
        <c:axId val="6182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detainees</a:t>
                </a:r>
              </a:p>
            </c:rich>
          </c:tx>
          <c:layout>
            <c:manualLayout>
              <c:xMode val="edge"/>
              <c:yMode val="edge"/>
              <c:x val="2.0294994682925529E-2"/>
              <c:y val="0.29451525454463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208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303456</xdr:colOff>
      <xdr:row>20</xdr:row>
      <xdr:rowOff>98388</xdr:rowOff>
    </xdr:from>
    <xdr:to>
      <xdr:col>11</xdr:col>
      <xdr:colOff>381561</xdr:colOff>
      <xdr:row>31</xdr:row>
      <xdr:rowOff>159348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521912</xdr:colOff>
      <xdr:row>20</xdr:row>
      <xdr:rowOff>171168</xdr:rowOff>
    </xdr:from>
    <xdr:to>
      <xdr:col>10</xdr:col>
      <xdr:colOff>672352</xdr:colOff>
      <xdr:row>21</xdr:row>
      <xdr:rowOff>190220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1544449" y="4786591"/>
          <a:ext cx="3897407" cy="264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j-lt"/>
              <a:ea typeface="+mn-ea"/>
              <a:cs typeface="Consolas" pitchFamily="49" charset="0"/>
            </a:rPr>
            <a:t>Figure 8.20: Detainees arrested by number of times, 2017</a:t>
          </a:r>
          <a:endParaRPr lang="en-US">
            <a:solidFill>
              <a:schemeClr val="tx1">
                <a:lumMod val="50000"/>
                <a:lumOff val="50000"/>
              </a:schemeClr>
            </a:solidFill>
            <a:effectLst/>
            <a:latin typeface="+mj-lt"/>
            <a:cs typeface="Consolas" pitchFamily="49" charset="0"/>
          </a:endParaRPr>
        </a:p>
        <a:p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  <xdr:twoCellAnchor>
    <xdr:from>
      <xdr:col>5</xdr:col>
      <xdr:colOff>555812</xdr:colOff>
      <xdr:row>21</xdr:row>
      <xdr:rowOff>185176</xdr:rowOff>
    </xdr:from>
    <xdr:to>
      <xdr:col>10</xdr:col>
      <xdr:colOff>602316</xdr:colOff>
      <xdr:row>21</xdr:row>
      <xdr:rowOff>189099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ShapeType="1"/>
        </xdr:cNvSpPr>
      </xdr:nvSpPr>
      <xdr:spPr bwMode="auto">
        <a:xfrm>
          <a:off x="1578349" y="5045727"/>
          <a:ext cx="3793471" cy="3923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3"/>
  <sheetViews>
    <sheetView tabSelected="1" zoomScale="154" zoomScaleNormal="154" zoomScaleSheetLayoutView="136" workbookViewId="0">
      <selection activeCell="H12" sqref="H12"/>
    </sheetView>
  </sheetViews>
  <sheetFormatPr defaultColWidth="9.140625" defaultRowHeight="19.5" customHeight="1"/>
  <cols>
    <col min="1" max="1" width="15.28515625" style="4" customWidth="1"/>
    <col min="2" max="5" width="11.28515625" style="4" hidden="1" customWidth="1"/>
    <col min="6" max="10" width="11.28515625" style="4" customWidth="1"/>
    <col min="11" max="11" width="20.140625" style="4" customWidth="1"/>
    <col min="12" max="14" width="9.140625" style="4"/>
    <col min="15" max="15" width="37.140625" style="4" customWidth="1"/>
    <col min="16" max="16384" width="9.140625" style="4"/>
  </cols>
  <sheetData>
    <row r="1" spans="1:15" ht="7.5" customHeight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5" ht="16.5" customHeight="1">
      <c r="A2" s="73" t="s">
        <v>70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67"/>
      <c r="M2" s="67"/>
      <c r="N2" s="13"/>
      <c r="O2" s="13"/>
    </row>
    <row r="3" spans="1:15" s="2" customFormat="1" ht="23.25" customHeight="1">
      <c r="A3" s="71" t="s">
        <v>69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18"/>
      <c r="M3" s="18"/>
      <c r="N3" s="68"/>
      <c r="O3" s="68"/>
    </row>
    <row r="4" spans="1:15" ht="26.25" customHeight="1">
      <c r="A4" s="5" t="s">
        <v>4</v>
      </c>
      <c r="B4" s="22">
        <v>2009</v>
      </c>
      <c r="C4" s="22">
        <v>2010</v>
      </c>
      <c r="D4" s="22">
        <v>2011</v>
      </c>
      <c r="E4" s="22">
        <v>2012</v>
      </c>
      <c r="F4" s="22">
        <v>2013</v>
      </c>
      <c r="G4" s="22">
        <v>2014</v>
      </c>
      <c r="H4" s="22">
        <v>2015</v>
      </c>
      <c r="I4" s="22">
        <v>2016</v>
      </c>
      <c r="J4" s="22">
        <v>2017</v>
      </c>
      <c r="K4" s="66" t="s">
        <v>5</v>
      </c>
      <c r="L4" s="6"/>
      <c r="M4" s="6"/>
      <c r="N4" s="13"/>
      <c r="O4" s="13"/>
    </row>
    <row r="5" spans="1:15" ht="19.5" customHeight="1">
      <c r="A5" s="69" t="s">
        <v>0</v>
      </c>
      <c r="B5" s="20">
        <f>SUM(B6:B15)</f>
        <v>5081</v>
      </c>
      <c r="C5" s="20">
        <f>SUM(C6:C15)</f>
        <v>4140</v>
      </c>
      <c r="D5" s="20">
        <f>SUM(D6:D15)</f>
        <v>5279</v>
      </c>
      <c r="E5" s="20">
        <f>SUM(E6:E15)</f>
        <v>6339</v>
      </c>
      <c r="F5" s="20">
        <f>SUM(F6:F18)</f>
        <v>6981</v>
      </c>
      <c r="G5" s="20">
        <f t="shared" ref="G5:J5" si="0">SUM(G6:G18)</f>
        <v>6983</v>
      </c>
      <c r="H5" s="20">
        <f t="shared" si="0"/>
        <v>5831</v>
      </c>
      <c r="I5" s="20">
        <f t="shared" si="0"/>
        <v>5511</v>
      </c>
      <c r="J5" s="20">
        <f t="shared" si="0"/>
        <v>3961</v>
      </c>
      <c r="K5" s="61" t="s">
        <v>3</v>
      </c>
      <c r="L5" s="7"/>
      <c r="M5" s="13"/>
      <c r="N5" s="13"/>
      <c r="O5" s="13"/>
    </row>
    <row r="6" spans="1:15" ht="19.5" customHeight="1">
      <c r="A6" s="8">
        <v>1</v>
      </c>
      <c r="B6" s="63">
        <v>3700</v>
      </c>
      <c r="C6" s="63">
        <v>3347</v>
      </c>
      <c r="D6" s="63">
        <v>4086</v>
      </c>
      <c r="E6" s="3">
        <v>4710</v>
      </c>
      <c r="F6" s="63">
        <v>4666</v>
      </c>
      <c r="G6" s="63">
        <v>4443</v>
      </c>
      <c r="H6" s="63">
        <v>4122</v>
      </c>
      <c r="I6" s="63">
        <v>4018</v>
      </c>
      <c r="J6" s="63">
        <v>3064</v>
      </c>
      <c r="K6" s="28">
        <v>1</v>
      </c>
      <c r="L6" s="7"/>
      <c r="M6" s="7"/>
      <c r="N6" s="58"/>
    </row>
    <row r="7" spans="1:15" ht="19.5" customHeight="1">
      <c r="A7" s="8">
        <v>2</v>
      </c>
      <c r="B7" s="64">
        <v>840</v>
      </c>
      <c r="C7" s="64">
        <v>569</v>
      </c>
      <c r="D7" s="64">
        <v>810</v>
      </c>
      <c r="E7" s="3">
        <v>1031</v>
      </c>
      <c r="F7" s="64">
        <v>1255</v>
      </c>
      <c r="G7" s="64">
        <v>1274</v>
      </c>
      <c r="H7" s="64">
        <v>1002</v>
      </c>
      <c r="I7" s="64">
        <v>870</v>
      </c>
      <c r="J7" s="64">
        <v>572</v>
      </c>
      <c r="K7" s="28">
        <v>2</v>
      </c>
      <c r="L7" s="7"/>
      <c r="M7" s="9"/>
      <c r="N7" s="58"/>
    </row>
    <row r="8" spans="1:15" ht="19.5" customHeight="1">
      <c r="A8" s="8">
        <v>3</v>
      </c>
      <c r="B8" s="64">
        <v>326</v>
      </c>
      <c r="C8" s="64">
        <v>158</v>
      </c>
      <c r="D8" s="64">
        <v>263</v>
      </c>
      <c r="E8" s="3">
        <v>367</v>
      </c>
      <c r="F8" s="64">
        <v>543</v>
      </c>
      <c r="G8" s="64">
        <v>594</v>
      </c>
      <c r="H8" s="64">
        <v>362</v>
      </c>
      <c r="I8" s="64">
        <v>322</v>
      </c>
      <c r="J8" s="64">
        <v>189</v>
      </c>
      <c r="K8" s="28">
        <v>3</v>
      </c>
      <c r="L8" s="7"/>
      <c r="M8" s="9"/>
      <c r="N8" s="58"/>
    </row>
    <row r="9" spans="1:15" ht="19.5" customHeight="1">
      <c r="A9" s="8">
        <v>4</v>
      </c>
      <c r="B9" s="64">
        <v>141</v>
      </c>
      <c r="C9" s="64">
        <v>47</v>
      </c>
      <c r="D9" s="64">
        <v>84</v>
      </c>
      <c r="E9" s="3">
        <v>148</v>
      </c>
      <c r="F9" s="64">
        <v>258</v>
      </c>
      <c r="G9" s="64">
        <v>308</v>
      </c>
      <c r="H9" s="64">
        <v>157</v>
      </c>
      <c r="I9" s="64">
        <v>146</v>
      </c>
      <c r="J9" s="64">
        <v>77</v>
      </c>
      <c r="K9" s="28">
        <v>4</v>
      </c>
      <c r="L9" s="7"/>
      <c r="M9" s="9"/>
      <c r="N9" s="58"/>
    </row>
    <row r="10" spans="1:15" ht="19.5" customHeight="1">
      <c r="A10" s="8">
        <v>5</v>
      </c>
      <c r="B10" s="64">
        <v>51</v>
      </c>
      <c r="C10" s="64">
        <v>13</v>
      </c>
      <c r="D10" s="64">
        <v>26</v>
      </c>
      <c r="E10" s="3">
        <v>59</v>
      </c>
      <c r="F10" s="64">
        <v>124</v>
      </c>
      <c r="G10" s="64">
        <v>168</v>
      </c>
      <c r="H10" s="64">
        <v>81</v>
      </c>
      <c r="I10" s="64">
        <v>76</v>
      </c>
      <c r="J10" s="64">
        <v>30</v>
      </c>
      <c r="K10" s="28">
        <v>5</v>
      </c>
      <c r="L10" s="7"/>
      <c r="M10" s="9"/>
      <c r="N10" s="58"/>
    </row>
    <row r="11" spans="1:15" ht="19.5" customHeight="1">
      <c r="A11" s="8">
        <v>6</v>
      </c>
      <c r="B11" s="64">
        <v>14</v>
      </c>
      <c r="C11" s="64">
        <v>5</v>
      </c>
      <c r="D11" s="64">
        <v>7</v>
      </c>
      <c r="E11" s="3">
        <v>17</v>
      </c>
      <c r="F11" s="64">
        <v>68</v>
      </c>
      <c r="G11" s="64">
        <v>85</v>
      </c>
      <c r="H11" s="64">
        <v>47</v>
      </c>
      <c r="I11" s="64">
        <v>39</v>
      </c>
      <c r="J11" s="64">
        <v>14</v>
      </c>
      <c r="K11" s="28">
        <v>6</v>
      </c>
      <c r="L11" s="7"/>
      <c r="M11" s="9"/>
      <c r="N11" s="58"/>
    </row>
    <row r="12" spans="1:15" ht="19.5" customHeight="1">
      <c r="A12" s="8">
        <v>7</v>
      </c>
      <c r="B12" s="64">
        <v>6</v>
      </c>
      <c r="C12" s="64">
        <v>1</v>
      </c>
      <c r="D12" s="64">
        <v>2</v>
      </c>
      <c r="E12" s="3">
        <v>4</v>
      </c>
      <c r="F12" s="64">
        <v>33</v>
      </c>
      <c r="G12" s="64">
        <v>52</v>
      </c>
      <c r="H12" s="64">
        <v>26</v>
      </c>
      <c r="I12" s="64">
        <v>17</v>
      </c>
      <c r="J12" s="64">
        <v>8</v>
      </c>
      <c r="K12" s="28">
        <v>7</v>
      </c>
      <c r="L12" s="7"/>
      <c r="M12" s="9"/>
      <c r="N12" s="58"/>
    </row>
    <row r="13" spans="1:15" ht="19.5" customHeight="1">
      <c r="A13" s="8">
        <v>8</v>
      </c>
      <c r="B13" s="64">
        <v>2</v>
      </c>
      <c r="C13" s="64">
        <v>0</v>
      </c>
      <c r="D13" s="64">
        <v>1</v>
      </c>
      <c r="E13" s="3">
        <v>1</v>
      </c>
      <c r="F13" s="64">
        <v>15</v>
      </c>
      <c r="G13" s="64">
        <v>27</v>
      </c>
      <c r="H13" s="64">
        <v>13</v>
      </c>
      <c r="I13" s="64">
        <v>13</v>
      </c>
      <c r="J13" s="64">
        <v>3</v>
      </c>
      <c r="K13" s="28">
        <v>8</v>
      </c>
      <c r="L13" s="7"/>
      <c r="M13" s="9"/>
      <c r="N13" s="58"/>
    </row>
    <row r="14" spans="1:15" ht="19.5" customHeight="1">
      <c r="A14" s="8">
        <v>9</v>
      </c>
      <c r="B14" s="64">
        <v>1</v>
      </c>
      <c r="C14" s="64">
        <v>0</v>
      </c>
      <c r="D14" s="64">
        <v>0</v>
      </c>
      <c r="E14" s="3">
        <v>1</v>
      </c>
      <c r="F14" s="64">
        <v>9</v>
      </c>
      <c r="G14" s="64">
        <v>18</v>
      </c>
      <c r="H14" s="64">
        <v>12</v>
      </c>
      <c r="I14" s="64">
        <v>7</v>
      </c>
      <c r="J14" s="64">
        <v>3</v>
      </c>
      <c r="K14" s="28">
        <v>9</v>
      </c>
      <c r="L14" s="7"/>
      <c r="M14" s="9"/>
      <c r="N14" s="58"/>
    </row>
    <row r="15" spans="1:15" ht="19.5" customHeight="1">
      <c r="A15" s="8">
        <v>10</v>
      </c>
      <c r="B15" s="60">
        <v>0</v>
      </c>
      <c r="C15" s="60">
        <v>0</v>
      </c>
      <c r="D15" s="60">
        <v>0</v>
      </c>
      <c r="E15" s="3">
        <v>1</v>
      </c>
      <c r="F15" s="64">
        <v>6</v>
      </c>
      <c r="G15" s="64">
        <v>8</v>
      </c>
      <c r="H15" s="64">
        <v>5</v>
      </c>
      <c r="I15" s="64">
        <v>2</v>
      </c>
      <c r="J15" s="64">
        <v>1</v>
      </c>
      <c r="K15" s="28">
        <v>10</v>
      </c>
      <c r="L15" s="7"/>
      <c r="M15" s="9"/>
      <c r="N15" s="58"/>
    </row>
    <row r="16" spans="1:15" ht="19.5" customHeight="1">
      <c r="A16" s="8">
        <v>11</v>
      </c>
      <c r="B16" s="60">
        <v>0</v>
      </c>
      <c r="C16" s="60">
        <v>0</v>
      </c>
      <c r="D16" s="60">
        <v>0</v>
      </c>
      <c r="E16" s="64">
        <v>0</v>
      </c>
      <c r="F16" s="64">
        <v>2</v>
      </c>
      <c r="G16" s="64">
        <v>4</v>
      </c>
      <c r="H16" s="64">
        <v>3</v>
      </c>
      <c r="I16" s="64">
        <v>1</v>
      </c>
      <c r="J16" s="64">
        <v>0</v>
      </c>
      <c r="K16" s="28">
        <v>11</v>
      </c>
      <c r="L16" s="7"/>
      <c r="M16" s="11"/>
      <c r="N16" s="58"/>
    </row>
    <row r="17" spans="1:37" ht="19.5" customHeight="1">
      <c r="A17" s="8">
        <v>12</v>
      </c>
      <c r="B17" s="60">
        <v>0</v>
      </c>
      <c r="C17" s="60">
        <v>0</v>
      </c>
      <c r="D17" s="60">
        <v>0</v>
      </c>
      <c r="E17" s="64">
        <v>0</v>
      </c>
      <c r="F17" s="64">
        <v>1</v>
      </c>
      <c r="G17" s="64">
        <v>2</v>
      </c>
      <c r="H17" s="64">
        <v>1</v>
      </c>
      <c r="I17" s="64">
        <v>0</v>
      </c>
      <c r="J17" s="64">
        <v>0</v>
      </c>
      <c r="K17" s="28">
        <v>12</v>
      </c>
      <c r="L17" s="7"/>
      <c r="M17" s="11"/>
      <c r="N17" s="58"/>
    </row>
    <row r="18" spans="1:37" ht="19.5" customHeight="1">
      <c r="A18" s="10">
        <v>13</v>
      </c>
      <c r="B18" s="21">
        <v>0</v>
      </c>
      <c r="C18" s="21">
        <v>0</v>
      </c>
      <c r="D18" s="21">
        <v>0</v>
      </c>
      <c r="E18" s="65">
        <v>0</v>
      </c>
      <c r="F18" s="65">
        <v>1</v>
      </c>
      <c r="G18" s="65">
        <v>0</v>
      </c>
      <c r="H18" s="65">
        <v>0</v>
      </c>
      <c r="I18" s="65">
        <v>0</v>
      </c>
      <c r="J18" s="65">
        <v>0</v>
      </c>
      <c r="K18" s="62">
        <v>13</v>
      </c>
      <c r="L18" s="7"/>
      <c r="M18" s="11"/>
      <c r="N18" s="13"/>
    </row>
    <row r="19" spans="1:37" ht="19.5" customHeight="1">
      <c r="A19" s="12" t="s">
        <v>2</v>
      </c>
      <c r="B19" s="9"/>
      <c r="D19" s="59"/>
      <c r="E19" s="59"/>
      <c r="F19" s="59"/>
      <c r="G19" s="59"/>
      <c r="H19" s="59"/>
      <c r="I19" s="59"/>
      <c r="J19" s="59"/>
      <c r="K19" s="59" t="s">
        <v>45</v>
      </c>
      <c r="L19" s="7"/>
      <c r="M19" s="9"/>
    </row>
    <row r="20" spans="1:37" ht="6.75" hidden="1" customHeight="1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37" ht="19.5" customHeight="1">
      <c r="A21" s="1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37" ht="19.5" customHeight="1">
      <c r="A22" s="14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3"/>
    </row>
    <row r="23" spans="1:37" ht="19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5" spans="1:37" ht="19.5" customHeight="1">
      <c r="C25" s="15"/>
      <c r="D25" s="15"/>
      <c r="E25" s="15"/>
      <c r="F25" s="15"/>
      <c r="G25" s="15"/>
      <c r="H25" s="15"/>
      <c r="I25" s="15"/>
      <c r="J25" s="15"/>
    </row>
    <row r="26" spans="1:37" ht="19.5" customHeight="1">
      <c r="B26" s="16"/>
      <c r="C26" s="16"/>
      <c r="D26" s="16"/>
      <c r="E26" s="16"/>
      <c r="F26" s="16"/>
      <c r="G26" s="16"/>
      <c r="H26" s="16"/>
      <c r="I26" s="16"/>
      <c r="J26" s="16"/>
      <c r="K26" s="15"/>
    </row>
    <row r="27" spans="1:37" ht="19.5" customHeight="1">
      <c r="B27" s="16"/>
      <c r="C27" s="16"/>
      <c r="D27" s="16"/>
      <c r="E27" s="16"/>
      <c r="F27" s="16"/>
      <c r="G27" s="16"/>
      <c r="H27" s="16"/>
      <c r="I27" s="16"/>
      <c r="J27" s="16"/>
      <c r="K27" s="15"/>
    </row>
    <row r="28" spans="1:37" ht="19.5" customHeight="1">
      <c r="B28" s="16"/>
      <c r="C28" s="16"/>
      <c r="D28" s="16"/>
      <c r="E28" s="16"/>
      <c r="F28" s="16"/>
      <c r="G28" s="16"/>
      <c r="H28" s="16"/>
      <c r="I28" s="16"/>
      <c r="J28" s="16"/>
      <c r="K28" s="15"/>
      <c r="AJ28" s="8">
        <v>1</v>
      </c>
      <c r="AK28" s="63">
        <f>J6</f>
        <v>3064</v>
      </c>
    </row>
    <row r="29" spans="1:37" ht="19.5" customHeight="1">
      <c r="B29" s="16"/>
      <c r="C29" s="16"/>
      <c r="D29" s="16"/>
      <c r="E29" s="16"/>
      <c r="F29" s="16"/>
      <c r="G29" s="16"/>
      <c r="H29" s="16"/>
      <c r="I29" s="16"/>
      <c r="J29" s="16"/>
      <c r="K29" s="15"/>
      <c r="AJ29" s="8">
        <v>2</v>
      </c>
      <c r="AK29" s="63">
        <f>J7</f>
        <v>572</v>
      </c>
    </row>
    <row r="30" spans="1:37" ht="19.5" customHeight="1">
      <c r="B30" s="16"/>
      <c r="C30" s="16"/>
      <c r="D30" s="16"/>
      <c r="E30" s="16"/>
      <c r="F30" s="16"/>
      <c r="G30" s="16"/>
      <c r="H30" s="16"/>
      <c r="I30" s="16"/>
      <c r="J30" s="16"/>
      <c r="K30" s="15"/>
      <c r="AJ30" s="8">
        <v>3</v>
      </c>
      <c r="AK30" s="63">
        <f t="shared" ref="AK30:AK32" si="1">J8</f>
        <v>189</v>
      </c>
    </row>
    <row r="31" spans="1:37" ht="19.5" customHeight="1">
      <c r="B31" s="16"/>
      <c r="C31" s="16"/>
      <c r="D31" s="16"/>
      <c r="E31" s="16"/>
      <c r="F31" s="16"/>
      <c r="G31" s="16"/>
      <c r="H31" s="16"/>
      <c r="I31" s="16"/>
      <c r="J31" s="16"/>
      <c r="K31" s="15"/>
      <c r="AJ31" s="8">
        <v>4</v>
      </c>
      <c r="AK31" s="63">
        <f t="shared" si="1"/>
        <v>77</v>
      </c>
    </row>
    <row r="32" spans="1:37" ht="19.5" customHeight="1">
      <c r="AJ32" s="8">
        <v>5</v>
      </c>
      <c r="AK32" s="63">
        <f t="shared" si="1"/>
        <v>30</v>
      </c>
    </row>
    <row r="33" spans="36:37" ht="19.5" customHeight="1">
      <c r="AJ33" s="19" t="s">
        <v>68</v>
      </c>
      <c r="AK33" s="4">
        <f>SUM(J11:J18)</f>
        <v>29</v>
      </c>
    </row>
  </sheetData>
  <mergeCells count="3">
    <mergeCell ref="A1:K1"/>
    <mergeCell ref="A3:K3"/>
    <mergeCell ref="A2:K2"/>
  </mergeCells>
  <pageMargins left="0.27" right="0.31" top="0.75" bottom="0.75" header="0.3" footer="0.3"/>
  <pageSetup paperSize="9" scale="83" orientation="landscape" horizontalDpi="4294967295" verticalDpi="4294967295" r:id="rId1"/>
  <rowBreaks count="1" manualBreakCount="1">
    <brk id="32" max="10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7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3" customWidth="1"/>
    <col min="36" max="16384" width="12.28515625" style="1"/>
  </cols>
  <sheetData>
    <row r="1" spans="1:36" ht="21">
      <c r="A1" s="75" t="s">
        <v>53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</row>
    <row r="2" spans="1:36">
      <c r="A2" s="76" t="s">
        <v>46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</row>
    <row r="3" spans="1:36" ht="15" customHeight="1">
      <c r="A3" s="77"/>
      <c r="B3" s="77"/>
      <c r="C3" s="79" t="s">
        <v>41</v>
      </c>
      <c r="D3" s="79"/>
      <c r="E3" s="79"/>
      <c r="F3" s="79"/>
      <c r="G3" s="79"/>
      <c r="H3" s="49"/>
      <c r="I3" s="49"/>
      <c r="J3" s="80" t="s">
        <v>7</v>
      </c>
      <c r="K3" s="80"/>
      <c r="L3" s="80"/>
      <c r="M3" s="80"/>
      <c r="N3" s="80"/>
      <c r="O3" s="44"/>
      <c r="P3" s="80" t="s">
        <v>8</v>
      </c>
      <c r="Q3" s="80"/>
      <c r="R3" s="80"/>
      <c r="S3" s="80"/>
      <c r="T3" s="80"/>
      <c r="U3" s="26"/>
      <c r="V3" s="26"/>
      <c r="W3" s="26"/>
      <c r="X3" s="81" t="s">
        <v>9</v>
      </c>
      <c r="Y3" s="81"/>
      <c r="Z3" s="81"/>
      <c r="AA3" s="81"/>
      <c r="AB3" s="81"/>
      <c r="AC3" s="45"/>
      <c r="AD3" s="45"/>
      <c r="AE3" s="81" t="s">
        <v>10</v>
      </c>
      <c r="AF3" s="81"/>
      <c r="AG3" s="81"/>
      <c r="AH3" s="81"/>
      <c r="AI3" s="81"/>
    </row>
    <row r="4" spans="1:36" ht="25.5">
      <c r="A4" s="78"/>
      <c r="B4" s="78"/>
      <c r="C4" s="50" t="s">
        <v>11</v>
      </c>
      <c r="D4" s="50" t="s">
        <v>12</v>
      </c>
      <c r="E4" s="50" t="s">
        <v>6</v>
      </c>
      <c r="F4" s="51" t="s">
        <v>13</v>
      </c>
      <c r="G4" s="50" t="s">
        <v>14</v>
      </c>
      <c r="H4" s="50" t="s">
        <v>48</v>
      </c>
      <c r="I4" s="50" t="s">
        <v>54</v>
      </c>
      <c r="J4" s="33" t="s">
        <v>11</v>
      </c>
      <c r="K4" s="33" t="s">
        <v>12</v>
      </c>
      <c r="L4" s="33" t="s">
        <v>6</v>
      </c>
      <c r="M4" s="34" t="s">
        <v>13</v>
      </c>
      <c r="N4" s="33" t="s">
        <v>14</v>
      </c>
      <c r="O4" s="50" t="s">
        <v>48</v>
      </c>
      <c r="P4" s="33" t="s">
        <v>11</v>
      </c>
      <c r="Q4" s="33" t="s">
        <v>12</v>
      </c>
      <c r="R4" s="33" t="s">
        <v>6</v>
      </c>
      <c r="S4" s="34" t="s">
        <v>13</v>
      </c>
      <c r="T4" s="33" t="s">
        <v>14</v>
      </c>
      <c r="U4" s="50" t="s">
        <v>48</v>
      </c>
      <c r="V4" s="50"/>
      <c r="W4" s="50"/>
      <c r="X4" s="33" t="s">
        <v>11</v>
      </c>
      <c r="Y4" s="33" t="s">
        <v>12</v>
      </c>
      <c r="Z4" s="33" t="s">
        <v>6</v>
      </c>
      <c r="AA4" s="34" t="s">
        <v>13</v>
      </c>
      <c r="AB4" s="33" t="s">
        <v>14</v>
      </c>
      <c r="AC4" s="50" t="s">
        <v>48</v>
      </c>
      <c r="AD4" s="50"/>
      <c r="AE4" s="33" t="s">
        <v>11</v>
      </c>
      <c r="AF4" s="33" t="s">
        <v>12</v>
      </c>
      <c r="AG4" s="33" t="s">
        <v>6</v>
      </c>
      <c r="AH4" s="34" t="s">
        <v>13</v>
      </c>
      <c r="AI4" s="33" t="s">
        <v>14</v>
      </c>
      <c r="AJ4" s="50" t="s">
        <v>48</v>
      </c>
    </row>
    <row r="5" spans="1:36" ht="14.25" customHeight="1">
      <c r="A5" s="43"/>
      <c r="B5" s="47" t="s">
        <v>50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50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50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51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51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51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52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52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52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21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22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23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24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25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26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27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28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29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30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31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32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33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34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35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36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37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38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39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40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15</v>
      </c>
      <c r="B28" s="29" t="s">
        <v>16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15</v>
      </c>
      <c r="B29" s="29" t="s">
        <v>17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15</v>
      </c>
      <c r="B30" s="29" t="s">
        <v>18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15</v>
      </c>
      <c r="B31" s="29" t="s">
        <v>19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15</v>
      </c>
      <c r="B32" s="36" t="s">
        <v>20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1</v>
      </c>
      <c r="AI33" s="25" t="s">
        <v>47</v>
      </c>
    </row>
    <row r="36" spans="1:35">
      <c r="A36" s="1"/>
      <c r="B36" s="46" t="s">
        <v>48</v>
      </c>
    </row>
    <row r="37" spans="1:35">
      <c r="B37" s="47" t="s">
        <v>41</v>
      </c>
      <c r="C37" s="47" t="s">
        <v>49</v>
      </c>
      <c r="D37" s="47" t="s">
        <v>42</v>
      </c>
      <c r="E37" s="47"/>
      <c r="F37" s="47"/>
    </row>
    <row r="38" spans="1:35">
      <c r="A38" s="47" t="s">
        <v>50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51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52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55</v>
      </c>
      <c r="C42" s="54"/>
      <c r="D42" s="54"/>
    </row>
    <row r="43" spans="1:35">
      <c r="B43" s="47" t="s">
        <v>41</v>
      </c>
      <c r="C43" s="47" t="s">
        <v>49</v>
      </c>
      <c r="D43" s="47" t="s">
        <v>42</v>
      </c>
    </row>
    <row r="44" spans="1:35">
      <c r="A44" s="47" t="s">
        <v>50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51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52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56</v>
      </c>
      <c r="C49" s="54"/>
      <c r="D49" s="54"/>
    </row>
    <row r="50" spans="1:5">
      <c r="B50" s="47" t="s">
        <v>41</v>
      </c>
      <c r="C50" s="47" t="s">
        <v>49</v>
      </c>
      <c r="D50" s="47" t="s">
        <v>42</v>
      </c>
    </row>
    <row r="51" spans="1:5">
      <c r="A51" s="47" t="s">
        <v>50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51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52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44</v>
      </c>
      <c r="C56" s="54" t="s">
        <v>15</v>
      </c>
      <c r="D56" s="54" t="s">
        <v>43</v>
      </c>
    </row>
    <row r="57" spans="1:5">
      <c r="A57" s="54" t="s">
        <v>57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58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56</v>
      </c>
      <c r="B59" s="55">
        <v>14232</v>
      </c>
      <c r="C59" s="55">
        <v>6099</v>
      </c>
      <c r="D59" s="55">
        <v>8133</v>
      </c>
    </row>
    <row r="60" spans="1:5">
      <c r="A60" s="54" t="s">
        <v>55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59</v>
      </c>
    </row>
    <row r="67" spans="1:11">
      <c r="B67" s="54"/>
      <c r="H67" s="54" t="s">
        <v>60</v>
      </c>
    </row>
    <row r="68" spans="1:11">
      <c r="A68" s="1"/>
      <c r="B68" s="54"/>
      <c r="C68" s="54" t="s">
        <v>61</v>
      </c>
      <c r="D68" s="54" t="s">
        <v>62</v>
      </c>
      <c r="E68" s="54" t="s">
        <v>63</v>
      </c>
      <c r="F68" s="54" t="s">
        <v>64</v>
      </c>
      <c r="G68" s="54"/>
      <c r="H68" s="56" t="s">
        <v>65</v>
      </c>
      <c r="I68" s="54" t="s">
        <v>66</v>
      </c>
      <c r="J68" s="54" t="s">
        <v>67</v>
      </c>
      <c r="K68" s="54"/>
    </row>
    <row r="69" spans="1:11">
      <c r="A69" s="1"/>
      <c r="B69" s="54" t="s">
        <v>21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22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23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24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25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26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27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28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29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30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31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32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33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34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35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36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37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38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39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40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8.14</vt:lpstr>
      <vt:lpstr>8.20 workings</vt:lpstr>
      <vt:lpstr>'8.14'!Print_Area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2018-05-29T08:49:54Z</cp:lastPrinted>
  <dcterms:created xsi:type="dcterms:W3CDTF">2013-04-04T04:05:16Z</dcterms:created>
  <dcterms:modified xsi:type="dcterms:W3CDTF">2018-05-29T08:53:35Z</dcterms:modified>
</cp:coreProperties>
</file>