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54" sheetId="97" r:id="rId1"/>
    <sheet name="8.20 workings" sheetId="36" state="hidden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H6" i="97" l="1"/>
  <c r="G6" i="97"/>
  <c r="F6" i="97"/>
  <c r="E6" i="97"/>
  <c r="D6" i="97"/>
  <c r="C6" i="97"/>
  <c r="B6" i="97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<sst xmlns="http://schemas.openxmlformats.org/spreadsheetml/2006/main" count="172" uniqueCount="77">
  <si>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</si>
  <si>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</si>
  <si>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</si>
  <si>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</si>
  <si>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</si>
  <si>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</si>
  <si>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</si>
  <si>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</si>
  <si>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</si>
  <si>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</si>
  <si>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</si>
  <si>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</si>
  <si>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</si>
  <si>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</si>
  <si>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</si>
  <si>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</si>
  <si>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</si>
  <si>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</si>
  <si>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</si>
  <si>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</si>
  <si>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</si>
  <si>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</si>
  <si>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</si>
  <si>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</si>
  <si>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</si>
  <si>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</si>
  <si>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</si>
  <si>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</si>
  <si>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</si>
  <si>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</si>
  <si>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</si>
  <si>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</si>
  <si>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</si>
  <si>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</si>
  <si>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</si>
  <si>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</si>
  <si>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</si>
  <si>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</si>
  <si>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</si>
  <si>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</si>
  <si>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</si>
  <si>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</si>
  <si>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</si>
  <si>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</si>
  <si>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</si>
  <si>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</si>
  <si>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</si>
  <si>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</si>
  <si>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</si>
  <si>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</si>
  <si>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</si>
  <si>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</si>
  <si>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</si>
  <si>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</si>
  <si>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</si>
  <si>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</si>
  <si>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</si>
  <si>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</si>
  <si>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</si>
  <si>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</si>
  <si>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</si>
  <si>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</si>
  <si>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</si>
  <si>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</si>
  <si>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ކުރެވޭ އަނިޔާގެ ބާވަތް</t>
  </si>
  <si>
    <t>ޖިސްމާނީ އަނިޔާ</t>
  </si>
  <si>
    <t>ޖިންސީ އަނިޔާ</t>
  </si>
  <si>
    <t>Source: Ministry of Gender &amp; Family</t>
  </si>
  <si>
    <t>މަޢުލޫމާތު ދެއްވީ: މިނިސްޓްރީ އޮފް ޖެންޑަރ އެންޑް ފެމިލީ</t>
  </si>
  <si>
    <t>Types of violence</t>
  </si>
  <si>
    <t>Number of cases  reported</t>
  </si>
  <si>
    <t xml:space="preserve">Physical Violence </t>
  </si>
  <si>
    <t xml:space="preserve">Sexual Violence </t>
  </si>
  <si>
    <t>Psychological Violence</t>
  </si>
  <si>
    <t>ނަފްސަނީ އަނިޔާ</t>
  </si>
  <si>
    <t>TABLE 8.54: REPORTED CASES ON VIOLENCE AGAINST WOMEN BY TYPE, 2011 - 2017</t>
  </si>
  <si>
    <t>ތާވަލު 8.54: ހުށައެޅިފައިވާ އަންހެނުންނަށް ކުރާ އަނިޔާގެ މައްސަލަތައް، 2011 - 2017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</si>
</sst>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Faruma"/>
    </font>
    <font>
      <b/>
      <sz val="11"/>
      <color theme="1"/>
      <name val="Faruma"/>
    </font>
    <font>
      <sz val="10"/>
      <name val="Faruma"/>
    </font>
    <font>
      <sz val="12"/>
      <color theme="1"/>
      <name val="Calibri"/>
      <family val="2"/>
      <scheme val="minor"/>
    </font>
    <font>
      <sz val="10"/>
      <name val="A_Reethi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3" fillId="0" borderId="8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2" applyNumberFormat="0" applyAlignment="0" applyProtection="0"/>
    <xf numFmtId="0" fontId="24" fillId="8" borderId="13" applyNumberFormat="0" applyAlignment="0" applyProtection="0"/>
    <xf numFmtId="0" fontId="25" fillId="8" borderId="12" applyNumberFormat="0" applyAlignment="0" applyProtection="0"/>
    <xf numFmtId="0" fontId="26" fillId="0" borderId="14" applyNumberFormat="0" applyFill="0" applyAlignment="0" applyProtection="0"/>
    <xf numFmtId="0" fontId="27" fillId="9" borderId="15" applyNumberFormat="0" applyAlignment="0" applyProtection="0"/>
    <xf numFmtId="0" fontId="15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3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0" fontId="0" fillId="2" borderId="4" xfId="0" applyNumberFormat="1" applyFont="1" applyFill="1" applyBorder="1" applyAlignment="1">
      <alignment horizontal="left" vertical="center"/>
    </xf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/>
    <xf numFmtId="164" fontId="6" fillId="2" borderId="19" xfId="0" applyNumberFormat="1" applyFont="1" applyFill="1" applyBorder="1" applyAlignment="1">
      <alignment vertical="top"/>
    </xf>
    <xf numFmtId="164" fontId="4" fillId="2" borderId="19" xfId="0" applyNumberFormat="1" applyFont="1" applyFill="1" applyBorder="1" applyAlignment="1">
      <alignment vertical="top"/>
    </xf>
    <xf numFmtId="164" fontId="5" fillId="2" borderId="0" xfId="0" applyNumberFormat="1" applyFont="1" applyFill="1" applyBorder="1"/>
    <xf numFmtId="164" fontId="33" fillId="2" borderId="0" xfId="0" applyNumberFormat="1" applyFont="1" applyFill="1" applyBorder="1" applyAlignment="1">
      <alignment vertical="top" wrapText="1" readingOrder="2"/>
    </xf>
    <xf numFmtId="0" fontId="2" fillId="2" borderId="4" xfId="0" applyNumberFormat="1" applyFont="1" applyFill="1" applyBorder="1" applyAlignment="1">
      <alignment horizontal="right" vertical="center" wrapText="1"/>
    </xf>
    <xf numFmtId="0" fontId="2" fillId="2" borderId="18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right" vertical="center" wrapText="1"/>
    </xf>
    <xf numFmtId="0" fontId="32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 applyAlignment="1">
      <alignment horizontal="left" vertical="center"/>
    </xf>
    <xf numFmtId="0" fontId="34" fillId="2" borderId="0" xfId="0" applyNumberFormat="1" applyFont="1" applyFill="1" applyBorder="1" applyAlignment="1">
      <alignment horizontal="right" vertical="center"/>
    </xf>
    <xf numFmtId="166" fontId="35" fillId="2" borderId="0" xfId="1" applyNumberFormat="1" applyFont="1" applyFill="1" applyAlignment="1">
      <alignment vertical="center" wrapText="1" readingOrder="2"/>
    </xf>
    <xf numFmtId="0" fontId="34" fillId="2" borderId="4" xfId="0" applyNumberFormat="1" applyFont="1" applyFill="1" applyBorder="1" applyAlignment="1">
      <alignment horizontal="right" vertical="center"/>
    </xf>
    <xf numFmtId="166" fontId="35" fillId="2" borderId="4" xfId="1" applyNumberFormat="1" applyFont="1" applyFill="1" applyBorder="1" applyAlignment="1">
      <alignment vertical="center" wrapText="1" readingOrder="2"/>
    </xf>
    <xf numFmtId="0" fontId="30" fillId="2" borderId="0" xfId="0" applyNumberFormat="1" applyFont="1" applyFill="1" applyBorder="1" applyAlignment="1">
      <alignment horizontal="right" vertical="center" wrapText="1"/>
    </xf>
    <xf numFmtId="164" fontId="12" fillId="2" borderId="0" xfId="0" applyNumberFormat="1" applyFont="1" applyFill="1" applyAlignment="1">
      <alignment horizontal="center"/>
    </xf>
    <xf numFmtId="0" fontId="2" fillId="2" borderId="0" xfId="0" applyNumberFormat="1" applyFont="1" applyFill="1" applyBorder="1" applyAlignment="1">
      <alignment horizontal="center" wrapText="1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 applyAlignment="1">
      <alignment horizontal="center"/>
    </xf>
    <xf numFmtId="164" fontId="33" fillId="2" borderId="19" xfId="0" applyNumberFormat="1" applyFont="1" applyFill="1" applyBorder="1" applyAlignment="1">
      <alignment horizontal="right" vertical="top" wrapText="1" readingOrder="2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19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164" fontId="31" fillId="2" borderId="19" xfId="0" applyNumberFormat="1" applyFont="1" applyFill="1" applyBorder="1" applyAlignment="1">
      <alignment horizontal="right" vertical="center"/>
    </xf>
    <xf numFmtId="164" fontId="31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3"/>
  <sheetViews>
    <sheetView tabSelected="1" zoomScaleNormal="100" workbookViewId="0">
      <selection activeCell="F29" sqref="F29"/>
    </sheetView>
  </sheetViews>
  <sheetFormatPr defaultColWidth="9.140625" defaultRowHeight="12.75"/>
  <cols>
    <col min="1" max="1" width="19.42578125" style="40" customWidth="1"/>
    <col min="2" max="8" width="11.5703125" style="40" customWidth="1"/>
    <col min="9" max="9" width="26.140625" style="40" customWidth="1"/>
    <col min="10" max="16384" width="9.140625" style="40"/>
  </cols>
  <sheetData>
    <row r="1" spans="1:10" ht="21">
      <c r="A1" s="60" t="s">
        <v>76</v>
      </c>
      <c r="B1" s="60"/>
      <c r="C1" s="60"/>
      <c r="D1" s="60"/>
      <c r="E1" s="60"/>
      <c r="F1" s="60"/>
      <c r="G1" s="60"/>
      <c r="H1" s="60"/>
      <c r="I1" s="60"/>
    </row>
    <row r="2" spans="1:10" s="43" customFormat="1" ht="15">
      <c r="A2" s="62" t="s">
        <v>75</v>
      </c>
      <c r="B2" s="62"/>
      <c r="C2" s="62"/>
      <c r="D2" s="62"/>
      <c r="E2" s="62"/>
      <c r="F2" s="62"/>
      <c r="G2" s="62"/>
      <c r="H2" s="62"/>
      <c r="I2" s="62"/>
    </row>
    <row r="3" spans="1:10" ht="15">
      <c r="A3" s="57"/>
      <c r="B3" s="57"/>
      <c r="C3" s="57"/>
      <c r="D3" s="57"/>
      <c r="E3" s="57"/>
      <c r="F3" s="57"/>
      <c r="G3" s="57"/>
      <c r="H3" s="57"/>
    </row>
    <row r="4" spans="1:10" s="56" customFormat="1" ht="15" customHeight="1">
      <c r="A4" s="63" t="s">
        <v>69</v>
      </c>
      <c r="B4" s="65" t="s">
        <v>70</v>
      </c>
      <c r="C4" s="65"/>
      <c r="D4" s="65"/>
      <c r="E4" s="65"/>
      <c r="F4" s="65"/>
      <c r="G4" s="65"/>
      <c r="H4" s="65"/>
      <c r="I4" s="66" t="s">
        <v>64</v>
      </c>
    </row>
    <row r="5" spans="1:10" s="56" customFormat="1" ht="15">
      <c r="A5" s="64"/>
      <c r="B5" s="45">
        <v>2011</v>
      </c>
      <c r="C5" s="45">
        <v>2012</v>
      </c>
      <c r="D5" s="45">
        <v>2013</v>
      </c>
      <c r="E5" s="46">
        <v>2014</v>
      </c>
      <c r="F5" s="46">
        <v>2015</v>
      </c>
      <c r="G5" s="46">
        <v>2016</v>
      </c>
      <c r="H5" s="46">
        <v>2017</v>
      </c>
      <c r="I5" s="67"/>
    </row>
    <row r="6" spans="1:10" s="56" customFormat="1" ht="21">
      <c r="A6" s="47" t="s">
        <v>0</v>
      </c>
      <c r="B6" s="48">
        <f>SUM(B7:B9)</f>
        <v>34</v>
      </c>
      <c r="C6" s="48">
        <f t="shared" ref="C6:G6" si="0">SUM(C7:C9)</f>
        <v>23</v>
      </c>
      <c r="D6" s="48">
        <f t="shared" si="0"/>
        <v>46</v>
      </c>
      <c r="E6" s="48">
        <f t="shared" si="0"/>
        <v>185</v>
      </c>
      <c r="F6" s="48">
        <f t="shared" si="0"/>
        <v>246</v>
      </c>
      <c r="G6" s="48">
        <f t="shared" si="0"/>
        <v>327</v>
      </c>
      <c r="H6" s="48">
        <f>SUM(H7:H9)</f>
        <v>309</v>
      </c>
      <c r="I6" s="49" t="s">
        <v>2</v>
      </c>
    </row>
    <row r="7" spans="1:10" s="39" customFormat="1" ht="18.75">
      <c r="A7" s="50" t="s">
        <v>71</v>
      </c>
      <c r="B7" s="51">
        <v>29</v>
      </c>
      <c r="C7" s="51">
        <v>8</v>
      </c>
      <c r="D7" s="51">
        <v>29</v>
      </c>
      <c r="E7" s="51">
        <v>65</v>
      </c>
      <c r="F7" s="51">
        <v>116</v>
      </c>
      <c r="G7" s="51">
        <v>168</v>
      </c>
      <c r="H7" s="51">
        <v>182</v>
      </c>
      <c r="I7" s="52" t="s">
        <v>65</v>
      </c>
    </row>
    <row r="8" spans="1:10" s="39" customFormat="1" ht="18.75">
      <c r="A8" s="50" t="s">
        <v>72</v>
      </c>
      <c r="B8" s="51">
        <v>2</v>
      </c>
      <c r="C8" s="51">
        <v>14</v>
      </c>
      <c r="D8" s="51">
        <v>8</v>
      </c>
      <c r="E8" s="51">
        <v>86</v>
      </c>
      <c r="F8" s="51">
        <v>46</v>
      </c>
      <c r="G8" s="51">
        <v>57</v>
      </c>
      <c r="H8" s="51">
        <v>24</v>
      </c>
      <c r="I8" s="52" t="s">
        <v>66</v>
      </c>
    </row>
    <row r="9" spans="1:10" s="39" customFormat="1" ht="18.75">
      <c r="A9" s="4" t="s">
        <v>73</v>
      </c>
      <c r="B9" s="53">
        <v>3</v>
      </c>
      <c r="C9" s="53">
        <v>1</v>
      </c>
      <c r="D9" s="53">
        <v>9</v>
      </c>
      <c r="E9" s="53">
        <v>34</v>
      </c>
      <c r="F9" s="53">
        <v>84</v>
      </c>
      <c r="G9" s="53">
        <v>102</v>
      </c>
      <c r="H9" s="53">
        <v>103</v>
      </c>
      <c r="I9" s="54" t="s">
        <v>74</v>
      </c>
    </row>
    <row r="10" spans="1:10" ht="18.75">
      <c r="A10" s="41" t="s">
        <v>67</v>
      </c>
      <c r="B10" s="42"/>
      <c r="C10" s="42"/>
      <c r="D10" s="61" t="s">
        <v>68</v>
      </c>
      <c r="E10" s="61"/>
      <c r="F10" s="61"/>
      <c r="G10" s="61"/>
      <c r="H10" s="61"/>
      <c r="I10" s="61"/>
      <c r="J10" s="44"/>
    </row>
    <row r="11" spans="1:10">
      <c r="J11" s="39"/>
    </row>
    <row r="12" spans="1:10">
      <c r="I12" s="39"/>
      <c r="J12" s="39"/>
    </row>
    <row r="13" spans="1:10" ht="15">
      <c r="F13" s="55"/>
      <c r="G13" s="55"/>
      <c r="H13" s="55"/>
      <c r="I13" s="39"/>
      <c r="J13" s="39"/>
    </row>
  </sheetData>
  <mergeCells count="6">
    <mergeCell ref="D10:I10"/>
    <mergeCell ref="A1:I1"/>
    <mergeCell ref="A2:I2"/>
    <mergeCell ref="A4:A5"/>
    <mergeCell ref="B4:H4"/>
    <mergeCell ref="I4:I5"/>
  </mergeCells>
  <pageMargins left="0.7" right="0.7" top="0.75" bottom="0.75" header="0.3" footer="0.3"/>
  <pageSetup paperSize="9" scale="8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8" t="s">
        <v>49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6">
      <c r="A2" s="58" t="s">
        <v>42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3" spans="1:36" ht="15" customHeight="1">
      <c r="A3" s="69"/>
      <c r="B3" s="69"/>
      <c r="C3" s="70" t="s">
        <v>38</v>
      </c>
      <c r="D3" s="70"/>
      <c r="E3" s="70"/>
      <c r="F3" s="70"/>
      <c r="G3" s="70"/>
      <c r="H3" s="30"/>
      <c r="I3" s="30"/>
      <c r="J3" s="71" t="s">
        <v>4</v>
      </c>
      <c r="K3" s="71"/>
      <c r="L3" s="71"/>
      <c r="M3" s="71"/>
      <c r="N3" s="71"/>
      <c r="O3" s="25"/>
      <c r="P3" s="71" t="s">
        <v>5</v>
      </c>
      <c r="Q3" s="71"/>
      <c r="R3" s="71"/>
      <c r="S3" s="71"/>
      <c r="T3" s="71"/>
      <c r="U3" s="7"/>
      <c r="V3" s="7"/>
      <c r="W3" s="7"/>
      <c r="X3" s="72" t="s">
        <v>6</v>
      </c>
      <c r="Y3" s="72"/>
      <c r="Z3" s="72"/>
      <c r="AA3" s="72"/>
      <c r="AB3" s="72"/>
      <c r="AC3" s="26"/>
      <c r="AD3" s="26"/>
      <c r="AE3" s="72" t="s">
        <v>7</v>
      </c>
      <c r="AF3" s="72"/>
      <c r="AG3" s="72"/>
      <c r="AH3" s="72"/>
      <c r="AI3" s="72"/>
    </row>
    <row r="4" spans="1:36" ht="25.5">
      <c r="A4" s="59"/>
      <c r="B4" s="59"/>
      <c r="C4" s="31" t="s">
        <v>8</v>
      </c>
      <c r="D4" s="31" t="s">
        <v>9</v>
      </c>
      <c r="E4" s="31" t="s">
        <v>3</v>
      </c>
      <c r="F4" s="32" t="s">
        <v>10</v>
      </c>
      <c r="G4" s="31" t="s">
        <v>11</v>
      </c>
      <c r="H4" s="31" t="s">
        <v>44</v>
      </c>
      <c r="I4" s="31" t="s">
        <v>50</v>
      </c>
      <c r="J4" s="14" t="s">
        <v>8</v>
      </c>
      <c r="K4" s="14" t="s">
        <v>9</v>
      </c>
      <c r="L4" s="14" t="s">
        <v>3</v>
      </c>
      <c r="M4" s="15" t="s">
        <v>10</v>
      </c>
      <c r="N4" s="14" t="s">
        <v>11</v>
      </c>
      <c r="O4" s="31" t="s">
        <v>44</v>
      </c>
      <c r="P4" s="14" t="s">
        <v>8</v>
      </c>
      <c r="Q4" s="14" t="s">
        <v>9</v>
      </c>
      <c r="R4" s="14" t="s">
        <v>3</v>
      </c>
      <c r="S4" s="15" t="s">
        <v>10</v>
      </c>
      <c r="T4" s="14" t="s">
        <v>11</v>
      </c>
      <c r="U4" s="31" t="s">
        <v>44</v>
      </c>
      <c r="V4" s="31"/>
      <c r="W4" s="31"/>
      <c r="X4" s="14" t="s">
        <v>8</v>
      </c>
      <c r="Y4" s="14" t="s">
        <v>9</v>
      </c>
      <c r="Z4" s="14" t="s">
        <v>3</v>
      </c>
      <c r="AA4" s="15" t="s">
        <v>10</v>
      </c>
      <c r="AB4" s="14" t="s">
        <v>11</v>
      </c>
      <c r="AC4" s="31" t="s">
        <v>44</v>
      </c>
      <c r="AD4" s="31"/>
      <c r="AE4" s="14" t="s">
        <v>8</v>
      </c>
      <c r="AF4" s="14" t="s">
        <v>9</v>
      </c>
      <c r="AG4" s="14" t="s">
        <v>3</v>
      </c>
      <c r="AH4" s="15" t="s">
        <v>10</v>
      </c>
      <c r="AI4" s="14" t="s">
        <v>11</v>
      </c>
      <c r="AJ4" s="31" t="s">
        <v>44</v>
      </c>
    </row>
    <row r="5" spans="1:36" ht="14.25" customHeight="1">
      <c r="A5" s="24"/>
      <c r="B5" s="28" t="s">
        <v>46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46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46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47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47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47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48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48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48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18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19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20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21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22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23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24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25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26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27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28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29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30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31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32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33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34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35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36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37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12</v>
      </c>
      <c r="B28" s="10" t="s">
        <v>13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12</v>
      </c>
      <c r="B29" s="10" t="s">
        <v>14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12</v>
      </c>
      <c r="B30" s="10" t="s">
        <v>15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12</v>
      </c>
      <c r="B31" s="10" t="s">
        <v>16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12</v>
      </c>
      <c r="B32" s="17" t="s">
        <v>17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43</v>
      </c>
    </row>
    <row r="36" spans="1:35">
      <c r="A36" s="1"/>
      <c r="B36" s="27" t="s">
        <v>44</v>
      </c>
    </row>
    <row r="37" spans="1:35">
      <c r="B37" s="28" t="s">
        <v>38</v>
      </c>
      <c r="C37" s="28" t="s">
        <v>45</v>
      </c>
      <c r="D37" s="28" t="s">
        <v>39</v>
      </c>
      <c r="E37" s="28"/>
      <c r="F37" s="28"/>
    </row>
    <row r="38" spans="1:35">
      <c r="A38" s="28" t="s">
        <v>46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47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48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51</v>
      </c>
      <c r="C42" s="35"/>
      <c r="D42" s="35"/>
    </row>
    <row r="43" spans="1:35">
      <c r="B43" s="28" t="s">
        <v>38</v>
      </c>
      <c r="C43" s="28" t="s">
        <v>45</v>
      </c>
      <c r="D43" s="28" t="s">
        <v>39</v>
      </c>
    </row>
    <row r="44" spans="1:35">
      <c r="A44" s="28" t="s">
        <v>46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47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48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52</v>
      </c>
      <c r="C49" s="35"/>
      <c r="D49" s="35"/>
    </row>
    <row r="50" spans="1:5">
      <c r="B50" s="28" t="s">
        <v>38</v>
      </c>
      <c r="C50" s="28" t="s">
        <v>45</v>
      </c>
      <c r="D50" s="28" t="s">
        <v>39</v>
      </c>
    </row>
    <row r="51" spans="1:5">
      <c r="A51" s="28" t="s">
        <v>46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47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48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41</v>
      </c>
      <c r="C56" s="35" t="s">
        <v>12</v>
      </c>
      <c r="D56" s="35" t="s">
        <v>40</v>
      </c>
    </row>
    <row r="57" spans="1:5">
      <c r="A57" s="35" t="s">
        <v>53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54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52</v>
      </c>
      <c r="B59" s="36">
        <v>14232</v>
      </c>
      <c r="C59" s="36">
        <v>6099</v>
      </c>
      <c r="D59" s="36">
        <v>8133</v>
      </c>
    </row>
    <row r="60" spans="1:5">
      <c r="A60" s="35" t="s">
        <v>51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55</v>
      </c>
    </row>
    <row r="67" spans="1:11">
      <c r="B67" s="35"/>
      <c r="H67" s="35" t="s">
        <v>56</v>
      </c>
    </row>
    <row r="68" spans="1:11">
      <c r="A68" s="1"/>
      <c r="B68" s="35"/>
      <c r="C68" s="35" t="s">
        <v>57</v>
      </c>
      <c r="D68" s="35" t="s">
        <v>58</v>
      </c>
      <c r="E68" s="35" t="s">
        <v>59</v>
      </c>
      <c r="F68" s="35" t="s">
        <v>60</v>
      </c>
      <c r="G68" s="35"/>
      <c r="H68" s="37" t="s">
        <v>61</v>
      </c>
      <c r="I68" s="35" t="s">
        <v>62</v>
      </c>
      <c r="J68" s="35" t="s">
        <v>63</v>
      </c>
      <c r="K68" s="35"/>
    </row>
    <row r="69" spans="1:11">
      <c r="A69" s="1"/>
      <c r="B69" s="35" t="s">
        <v>18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19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20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21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22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23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24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25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26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27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28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29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30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31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32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33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34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35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36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37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8.54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2018-09-26T06:15:05Z</cp:lastPrinted>
  <dcterms:created xsi:type="dcterms:W3CDTF">2013-04-04T04:05:16Z</dcterms:created>
  <dcterms:modified xsi:type="dcterms:W3CDTF">2018-09-26T06:15:10Z</dcterms:modified>
</cp:coreProperties>
</file>