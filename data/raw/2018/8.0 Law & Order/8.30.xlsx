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8. LAW AND ORDER\"/>
    </mc:Choice>
  </mc:AlternateContent>
  <bookViews>
    <workbookView xWindow="0" yWindow="0" windowWidth="28800" windowHeight="12330" tabRatio="842"/>
  </bookViews>
  <sheets>
    <sheet name="8.30" sheetId="72" r:id="rId1"/>
    <sheet name="8.20 workings" sheetId="36" state="hidden" r:id="rId2"/>
  </sheets>
  <externalReferences>
    <externalReference r:id="rId3"/>
    <externalReference r:id="rId4"/>
  </externalReferences>
  <definedNames>
    <definedName name="_xlnm.Print_Area" localSheetId="0">'8.30'!$A$1:$H$43</definedName>
  </definedNames>
  <calcPr calcId="162913"/>
</workbook>
</file>

<file path=xl/calcChain.xml><?xml version="1.0" encoding="utf-8"?>
<calcChain xmlns="http://schemas.openxmlformats.org/spreadsheetml/2006/main">
  <c r="AS15" i="72" l="1"/>
  <c r="AS16" i="72"/>
  <c r="AS13" i="72" l="1"/>
  <c r="AT15" i="72" s="1"/>
  <c r="AR16" i="72"/>
  <c r="AQ16" i="72"/>
  <c r="AP16" i="72"/>
  <c r="AP17" i="72" s="1"/>
  <c r="AR15" i="72"/>
  <c r="AQ15" i="72"/>
  <c r="AP15" i="72"/>
  <c r="F6" i="72"/>
  <c r="AS17" i="72" s="1"/>
  <c r="E6" i="72"/>
  <c r="D6" i="72"/>
  <c r="C6" i="72"/>
  <c r="B6" i="72"/>
  <c r="AQ13" i="72" l="1"/>
  <c r="AT16" i="72"/>
  <c r="AQ17" i="72"/>
  <c r="AP13" i="72"/>
  <c r="AR13" i="72"/>
  <c r="AR17" i="72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<sst xmlns="http://schemas.openxmlformats.org/spreadsheetml/2006/main" count="179" uniqueCount="81">
  <si>
    <t>Total</t>
  </si>
  <si>
    <t>Source: Department of Judicial Administration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</si>
  <si>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</si>
  <si>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</si>
  <si>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</si>
  <si>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</si>
  <si>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</si>
  <si>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</si>
  <si>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</si>
  <si>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</si>
  <si>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</si>
  <si>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</si>
  <si>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</si>
  <si>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</si>
  <si>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</si>
  <si>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</si>
  <si>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</si>
  <si>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</si>
  <si>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</si>
  <si>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</si>
  <si>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</si>
  <si>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</si>
  <si>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</si>
  <si>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</si>
  <si>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</si>
  <si>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</si>
  <si>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</si>
  <si>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</si>
  <si>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</si>
  <si>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</si>
  <si>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</si>
  <si>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</si>
  <si>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</si>
  <si>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</si>
  <si>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</si>
  <si>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</si>
  <si>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</si>
  <si>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</si>
  <si>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</si>
  <si>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</si>
  <si>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</si>
  <si>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</si>
  <si>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</si>
  <si>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ތަފްސީލް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</si>
  <si>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</si>
  <si>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</si>
  <si>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</si>
  <si>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</si>
  <si>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</si>
  <si>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</si>
  <si>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</si>
  <si>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</si>
  <si>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</si>
  <si>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</si>
  <si>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</si>
  <si>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</si>
  <si>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</si>
  <si>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</si>
  <si>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</si>
  <si>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</si>
  <si>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</si>
  <si>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</si>
  <si>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</si>
  <si>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</si>
  <si>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</si>
  <si>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</si>
  <si>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</si>
  <si>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</si>
  <si>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Category</t>
  </si>
  <si>
    <t>Total judges / Majistrates</t>
  </si>
  <si>
    <t xml:space="preserve">ފަނޑިޔާރުންގެ ޖުމްލަ އަދަދު </t>
  </si>
  <si>
    <t>Total  Expenditure for Courts (million MVR)</t>
  </si>
  <si>
    <t>ކޯޓުތަކަށް ޖުމްލަ ޚަރަދުވި ވަރު (މިލިއަން ރުފިޔާ)</t>
  </si>
  <si>
    <t>Source:  Judicial Service Commission</t>
  </si>
  <si>
    <t>މަޢުލޫމާތު ދެއްވި ފަރާތް: ޖުޑީޝަލް ސަރވިސް ކޮމިޝަން</t>
  </si>
  <si>
    <t xml:space="preserve"> Department of Judicial Administration</t>
  </si>
  <si>
    <t xml:space="preserve">                 ޑިޕާޓްމަންޓް އޮފް ޖުޑިޝަލް އެޑްމިނިސްޓްރޭޝަން</t>
  </si>
  <si>
    <t>% share 2016</t>
  </si>
  <si>
    <t>% share of females</t>
  </si>
  <si>
    <t>TABLE 8.30: JUDGES BY SEX AND FINANCIAL RESOURCES FOR COURTS , 2013 - 2017</t>
  </si>
  <si>
    <t>ތާވަލު 8.30: ކޯޓުތަކުގައި ތިބި ފަނޑިޔާރުންގެ އަދަދު އަދި ކޯޓުތަކަށް ހިނގި ޚަރަދު، 2013 - 2017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</si>
</sst>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.0_);_(* \(#,##0.0\);_(* &quot;-&quot;??_);_(@_)"/>
    <numFmt numFmtId="169" formatCode="_(* #,##0_);_(* \(#,##0\);_(* &quot;-&quot;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Faruma"/>
    </font>
    <font>
      <sz val="9"/>
      <color theme="1"/>
      <name val="Faruma"/>
    </font>
    <font>
      <b/>
      <sz val="10"/>
      <color rgb="FF000000"/>
      <name val="Faruma"/>
    </font>
    <font>
      <sz val="10"/>
      <color rgb="FF000000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7" fillId="0" borderId="10" applyNumberFormat="0" applyFill="0" applyAlignment="0" applyProtection="0"/>
    <xf numFmtId="0" fontId="9" fillId="0" borderId="0"/>
    <xf numFmtId="166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14" applyNumberFormat="0" applyAlignment="0" applyProtection="0"/>
    <xf numFmtId="0" fontId="28" fillId="8" borderId="15" applyNumberFormat="0" applyAlignment="0" applyProtection="0"/>
    <xf numFmtId="0" fontId="29" fillId="8" borderId="14" applyNumberFormat="0" applyAlignment="0" applyProtection="0"/>
    <xf numFmtId="0" fontId="30" fillId="0" borderId="16" applyNumberFormat="0" applyFill="0" applyAlignment="0" applyProtection="0"/>
    <xf numFmtId="0" fontId="31" fillId="9" borderId="17" applyNumberFormat="0" applyAlignment="0" applyProtection="0"/>
    <xf numFmtId="0" fontId="19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32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3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3" fillId="34" borderId="0" applyNumberFormat="0" applyBorder="0" applyAlignment="0" applyProtection="0"/>
    <xf numFmtId="0" fontId="1" fillId="0" borderId="0"/>
    <xf numFmtId="0" fontId="9" fillId="0" borderId="0"/>
  </cellStyleXfs>
  <cellXfs count="8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11" fillId="2" borderId="0" xfId="0" applyNumberFormat="1" applyFont="1" applyFill="1"/>
    <xf numFmtId="0" fontId="2" fillId="2" borderId="4" xfId="0" applyNumberFormat="1" applyFont="1" applyFill="1" applyBorder="1" applyAlignment="1">
      <alignment horizontal="right" vertical="center"/>
    </xf>
    <xf numFmtId="0" fontId="12" fillId="2" borderId="0" xfId="0" applyNumberFormat="1" applyFont="1" applyFill="1" applyBorder="1" applyAlignment="1">
      <alignment horizontal="left" vertical="center" indent="2"/>
    </xf>
    <xf numFmtId="0" fontId="15" fillId="2" borderId="0" xfId="0" applyNumberFormat="1" applyFont="1" applyFill="1" applyBorder="1" applyAlignment="1">
      <alignment horizontal="left" vertical="center"/>
    </xf>
    <xf numFmtId="164" fontId="15" fillId="2" borderId="0" xfId="0" applyNumberFormat="1" applyFont="1" applyFill="1"/>
    <xf numFmtId="164" fontId="0" fillId="2" borderId="0" xfId="0" applyNumberFormat="1" applyFont="1" applyFill="1"/>
    <xf numFmtId="169" fontId="15" fillId="2" borderId="0" xfId="1" applyNumberFormat="1" applyFont="1" applyFill="1" applyBorder="1" applyAlignment="1">
      <alignment horizontal="right" vertical="center"/>
    </xf>
    <xf numFmtId="169" fontId="11" fillId="2" borderId="0" xfId="1" applyNumberFormat="1" applyFont="1" applyFill="1" applyBorder="1" applyAlignment="1">
      <alignment horizontal="right" vertical="center"/>
    </xf>
    <xf numFmtId="169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left" vertical="center" wrapText="1"/>
    </xf>
    <xf numFmtId="3" fontId="5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5" fontId="11" fillId="2" borderId="0" xfId="0" applyNumberFormat="1" applyFont="1" applyFill="1"/>
    <xf numFmtId="164" fontId="11" fillId="2" borderId="0" xfId="0" applyNumberFormat="1" applyFont="1" applyFill="1" applyBorder="1"/>
    <xf numFmtId="0" fontId="11" fillId="2" borderId="4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center"/>
    </xf>
    <xf numFmtId="0" fontId="36" fillId="2" borderId="6" xfId="0" applyNumberFormat="1" applyFont="1" applyFill="1" applyBorder="1" applyAlignment="1">
      <alignment vertical="top"/>
    </xf>
    <xf numFmtId="0" fontId="37" fillId="2" borderId="0" xfId="0" applyNumberFormat="1" applyFont="1" applyFill="1" applyBorder="1" applyAlignment="1">
      <alignment horizontal="right" vertical="top" indent="1"/>
    </xf>
    <xf numFmtId="165" fontId="11" fillId="2" borderId="0" xfId="0" applyNumberFormat="1" applyFont="1" applyFill="1" applyBorder="1"/>
    <xf numFmtId="168" fontId="11" fillId="2" borderId="4" xfId="1" applyNumberFormat="1" applyFont="1" applyFill="1" applyBorder="1" applyAlignment="1">
      <alignment vertical="center"/>
    </xf>
    <xf numFmtId="0" fontId="16" fillId="2" borderId="4" xfId="0" applyNumberFormat="1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165" fontId="4" fillId="2" borderId="0" xfId="0" applyNumberFormat="1" applyFont="1" applyFill="1"/>
    <xf numFmtId="0" fontId="35" fillId="2" borderId="0" xfId="0" applyFont="1" applyFill="1"/>
    <xf numFmtId="164" fontId="4" fillId="2" borderId="0" xfId="0" applyNumberFormat="1" applyFont="1" applyFill="1"/>
    <xf numFmtId="0" fontId="14" fillId="2" borderId="0" xfId="0" applyFont="1" applyFill="1" applyAlignment="1">
      <alignment horizontal="left" vertical="top" indent="4"/>
    </xf>
    <xf numFmtId="0" fontId="35" fillId="2" borderId="0" xfId="0" applyFont="1" applyFill="1" applyAlignment="1">
      <alignment vertical="center"/>
    </xf>
    <xf numFmtId="0" fontId="2" fillId="2" borderId="2" xfId="0" applyNumberFormat="1" applyFont="1" applyFill="1" applyBorder="1" applyAlignment="1">
      <alignment horizontal="right" vertical="center"/>
    </xf>
    <xf numFmtId="164" fontId="11" fillId="2" borderId="2" xfId="0" applyNumberFormat="1" applyFont="1" applyFill="1" applyBorder="1"/>
    <xf numFmtId="1" fontId="11" fillId="2" borderId="0" xfId="0" applyNumberFormat="1" applyFont="1" applyFill="1"/>
    <xf numFmtId="167" fontId="11" fillId="2" borderId="0" xfId="0" applyNumberFormat="1" applyFont="1" applyFill="1"/>
    <xf numFmtId="168" fontId="11" fillId="2" borderId="0" xfId="1" applyNumberFormat="1" applyFont="1" applyFill="1"/>
    <xf numFmtId="164" fontId="8" fillId="2" borderId="7" xfId="0" applyNumberFormat="1" applyFont="1" applyFill="1" applyBorder="1" applyAlignment="1">
      <alignment horizontal="center" vertical="center" wrapText="1"/>
    </xf>
    <xf numFmtId="164" fontId="8" fillId="2" borderId="9" xfId="0" applyNumberFormat="1" applyFont="1" applyFill="1" applyBorder="1" applyAlignment="1">
      <alignment horizontal="center" vertical="center" wrapText="1"/>
    </xf>
    <xf numFmtId="164" fontId="8" fillId="2" borderId="20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>
      <alignment horizontal="center"/>
    </xf>
    <xf numFmtId="164" fontId="34" fillId="2" borderId="0" xfId="0" applyNumberFormat="1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horizontal="center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left" vertical="center"/>
    </xf>
    <xf numFmtId="0" fontId="15" fillId="2" borderId="21" xfId="0" applyNumberFormat="1" applyFont="1" applyFill="1" applyBorder="1" applyAlignment="1">
      <alignment horizontal="center" vertical="center"/>
    </xf>
    <xf numFmtId="0" fontId="36" fillId="2" borderId="3" xfId="0" applyNumberFormat="1" applyFont="1" applyFill="1" applyBorder="1" applyAlignment="1">
      <alignment horizontal="right" vertical="center"/>
    </xf>
    <xf numFmtId="0" fontId="36" fillId="2" borderId="4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Alignment="1">
      <alignment horizontal="center"/>
    </xf>
    <xf numFmtId="164" fontId="15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Figure: 8.45: Percentage share of majistrates by sex, 2017</a:t>
            </a:r>
          </a:p>
        </c:rich>
      </c:tx>
      <c:layout>
        <c:manualLayout>
          <c:xMode val="edge"/>
          <c:yMode val="edge"/>
          <c:x val="0.15375707728102819"/>
          <c:y val="3.69053725267938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8298814976133541"/>
          <c:y val="0.14586689163854519"/>
          <c:w val="0.39484258352348067"/>
          <c:h val="0.81168353955755534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dPt>
            <c:idx val="0"/>
            <c:bubble3D val="0"/>
            <c:explosion val="12"/>
            <c:extLst>
              <c:ext xmlns:c16="http://schemas.microsoft.com/office/drawing/2014/chart" uri="{C3380CC4-5D6E-409C-BE32-E72D297353CC}">
                <c16:uniqueId val="{00000001-91C8-4849-A001-881485448602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91C8-4849-A001-881485448602}"/>
              </c:ext>
            </c:extLst>
          </c:dPt>
          <c:dLbls>
            <c:dLbl>
              <c:idx val="0"/>
              <c:layout>
                <c:manualLayout>
                  <c:x val="8.2591273126193243E-2"/>
                  <c:y val="9.82826068426554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1C8-4849-A001-881485448602}"/>
                </c:ext>
              </c:extLst>
            </c:dLbl>
            <c:dLbl>
              <c:idx val="1"/>
              <c:layout>
                <c:manualLayout>
                  <c:x val="9.8677449939762144E-2"/>
                  <c:y val="-8.79987348908432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1C8-4849-A001-88148544860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'8.30'!$AK$15:$AK$16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'8.30'!$AT$15:$AT$16</c:f>
              <c:numCache>
                <c:formatCode>0.0</c:formatCode>
                <c:ptCount val="2"/>
                <c:pt idx="0" formatCode="0">
                  <c:v>96.132596685082873</c:v>
                </c:pt>
                <c:pt idx="1">
                  <c:v>3.867403314917127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C8-4849-A001-88148544860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57"/>
        <c:holeSize val="50"/>
      </c:doughnutChart>
    </c:plotArea>
    <c:plotVisOnly val="1"/>
    <c:dispBlanksAs val="zero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08117016029274E-2"/>
          <c:y val="0.18628626421697292"/>
          <c:w val="0.85897134733158342"/>
          <c:h val="0.7178191274243507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'8.30'!$AL$14:$AS$14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 formatCode="General_)">
                  <c:v>2014</c:v>
                </c:pt>
                <c:pt idx="5">
                  <c:v>2015</c:v>
                </c:pt>
                <c:pt idx="6">
                  <c:v>2016</c:v>
                </c:pt>
                <c:pt idx="7" formatCode="General_)">
                  <c:v>2017</c:v>
                </c:pt>
              </c:numCache>
            </c:numRef>
          </c:cat>
          <c:val>
            <c:numRef>
              <c:f>'8.30'!$AL$17:$AS$17</c:f>
              <c:numCache>
                <c:formatCode>_(* #,##0.0_);_(* \(#,##0.0\);_(* "-"??_);_(@_)</c:formatCode>
                <c:ptCount val="8"/>
                <c:pt idx="0">
                  <c:v>1.9801980198019802</c:v>
                </c:pt>
                <c:pt idx="1">
                  <c:v>2.5380710659898478</c:v>
                </c:pt>
                <c:pt idx="2">
                  <c:v>3.0487804878048781</c:v>
                </c:pt>
                <c:pt idx="3">
                  <c:v>4.8648648648648649</c:v>
                </c:pt>
                <c:pt idx="4">
                  <c:v>4.395604395604396</c:v>
                </c:pt>
                <c:pt idx="5">
                  <c:v>3.8251366120218582</c:v>
                </c:pt>
                <c:pt idx="6">
                  <c:v>2.8089887640449436</c:v>
                </c:pt>
                <c:pt idx="7">
                  <c:v>3.867403314917127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2-42B6-B211-5BD9B8B06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529088"/>
        <c:axId val="99530624"/>
      </c:barChart>
      <c:catAx>
        <c:axId val="9952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530624"/>
        <c:crosses val="autoZero"/>
        <c:auto val="1"/>
        <c:lblAlgn val="ctr"/>
        <c:lblOffset val="100"/>
        <c:noMultiLvlLbl val="0"/>
      </c:catAx>
      <c:valAx>
        <c:axId val="995306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9952908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2173741</xdr:colOff>
      <xdr:row>28</xdr:row>
      <xdr:rowOff>114300</xdr:rowOff>
    </xdr:from>
    <xdr:ext cx="4922520" cy="225878"/>
    <xdr:sp macro="" textlink="">
      <xdr:nvSpPr>
        <xdr:cNvPr id="3" name="TextBox 2"/>
        <xdr:cNvSpPr txBox="1"/>
      </xdr:nvSpPr>
      <xdr:spPr>
        <a:xfrm>
          <a:off x="2173741" y="5724525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8.37: Share of female judges / majistrates, 2010 - 2014</a:t>
          </a:r>
        </a:p>
      </xdr:txBody>
    </xdr:sp>
    <xdr:clientData/>
  </xdr:oneCellAnchor>
  <xdr:twoCellAnchor>
    <xdr:from>
      <xdr:col>0</xdr:col>
      <xdr:colOff>2375536</xdr:colOff>
      <xdr:row>13</xdr:row>
      <xdr:rowOff>133350</xdr:rowOff>
    </xdr:from>
    <xdr:to>
      <xdr:col>2</xdr:col>
      <xdr:colOff>34018</xdr:colOff>
      <xdr:row>13</xdr:row>
      <xdr:rowOff>136072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375536" y="2886075"/>
          <a:ext cx="1297032" cy="272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2349420</xdr:colOff>
      <xdr:row>29</xdr:row>
      <xdr:rowOff>141582</xdr:rowOff>
    </xdr:from>
    <xdr:to>
      <xdr:col>2</xdr:col>
      <xdr:colOff>425223</xdr:colOff>
      <xdr:row>29</xdr:row>
      <xdr:rowOff>144576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349420" y="5942307"/>
          <a:ext cx="1714353" cy="2994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1676399</xdr:colOff>
      <xdr:row>11</xdr:row>
      <xdr:rowOff>66675</xdr:rowOff>
    </xdr:from>
    <xdr:to>
      <xdr:col>6</xdr:col>
      <xdr:colOff>638174</xdr:colOff>
      <xdr:row>25</xdr:row>
      <xdr:rowOff>142875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1529715</xdr:colOff>
      <xdr:row>27</xdr:row>
      <xdr:rowOff>156210</xdr:rowOff>
    </xdr:from>
    <xdr:to>
      <xdr:col>6</xdr:col>
      <xdr:colOff>704850</xdr:colOff>
      <xdr:row>42</xdr:row>
      <xdr:rowOff>156210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2480922</xdr:colOff>
      <xdr:row>28</xdr:row>
      <xdr:rowOff>123825</xdr:rowOff>
    </xdr:from>
    <xdr:ext cx="4922520" cy="225878"/>
    <xdr:sp macro="" textlink="">
      <xdr:nvSpPr>
        <xdr:cNvPr id="8" name="TextBox 7"/>
        <xdr:cNvSpPr txBox="1"/>
      </xdr:nvSpPr>
      <xdr:spPr>
        <a:xfrm>
          <a:off x="2480922" y="5719763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8.46: Share of female judges / majistrates, 2010 - 2017</a:t>
          </a:r>
        </a:p>
      </xdr:txBody>
    </xdr:sp>
    <xdr:clientData/>
  </xdr:oneCellAnchor>
  <xdr:twoCellAnchor>
    <xdr:from>
      <xdr:col>0</xdr:col>
      <xdr:colOff>2615027</xdr:colOff>
      <xdr:row>13</xdr:row>
      <xdr:rowOff>56943</xdr:rowOff>
    </xdr:from>
    <xdr:to>
      <xdr:col>5</xdr:col>
      <xdr:colOff>398601</xdr:colOff>
      <xdr:row>13</xdr:row>
      <xdr:rowOff>59221</xdr:rowOff>
    </xdr:to>
    <xdr:sp macro="" textlink="">
      <xdr:nvSpPr>
        <xdr:cNvPr id="9" name="Line 4"/>
        <xdr:cNvSpPr>
          <a:spLocks noChangeShapeType="1"/>
        </xdr:cNvSpPr>
      </xdr:nvSpPr>
      <xdr:spPr bwMode="auto">
        <a:xfrm flipV="1">
          <a:off x="2615027" y="2810910"/>
          <a:ext cx="4171536" cy="2278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11906</xdr:colOff>
      <xdr:row>29</xdr:row>
      <xdr:rowOff>166686</xdr:rowOff>
    </xdr:from>
    <xdr:to>
      <xdr:col>5</xdr:col>
      <xdr:colOff>785813</xdr:colOff>
      <xdr:row>30</xdr:row>
      <xdr:rowOff>11905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2702719" y="5953124"/>
          <a:ext cx="4476750" cy="35719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/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33"/>
  <sheetViews>
    <sheetView tabSelected="1" zoomScale="86" zoomScaleNormal="86" workbookViewId="0">
      <selection activeCell="AD51" sqref="AD51"/>
    </sheetView>
  </sheetViews>
  <sheetFormatPr defaultColWidth="9.140625" defaultRowHeight="15"/>
  <cols>
    <col min="1" max="1" width="40.28515625" style="3" customWidth="1"/>
    <col min="2" max="2" width="14.28515625" style="3" customWidth="1"/>
    <col min="3" max="6" width="13.7109375" style="3" customWidth="1"/>
    <col min="7" max="7" width="38.5703125" style="3" customWidth="1"/>
    <col min="8" max="8" width="2.28515625" style="3" customWidth="1"/>
    <col min="9" max="16384" width="9.140625" style="3"/>
  </cols>
  <sheetData>
    <row r="1" spans="1:46" ht="21">
      <c r="A1" s="70" t="s">
        <v>80</v>
      </c>
      <c r="B1" s="70"/>
      <c r="C1" s="70"/>
      <c r="D1" s="70"/>
      <c r="E1" s="70"/>
      <c r="F1" s="70"/>
      <c r="G1" s="70"/>
    </row>
    <row r="2" spans="1:46">
      <c r="A2" s="71" t="s">
        <v>79</v>
      </c>
      <c r="B2" s="71"/>
      <c r="C2" s="71"/>
      <c r="D2" s="71"/>
      <c r="E2" s="71"/>
      <c r="F2" s="71"/>
      <c r="G2" s="71"/>
    </row>
    <row r="3" spans="1:46">
      <c r="A3" s="48"/>
      <c r="B3" s="48"/>
      <c r="C3" s="48"/>
      <c r="D3" s="48"/>
      <c r="E3" s="48"/>
      <c r="F3" s="48"/>
    </row>
    <row r="4" spans="1:46">
      <c r="A4" s="72" t="s">
        <v>68</v>
      </c>
      <c r="B4" s="74"/>
      <c r="C4" s="74"/>
      <c r="D4" s="74"/>
      <c r="E4" s="74"/>
      <c r="F4" s="74"/>
      <c r="G4" s="75" t="s">
        <v>43</v>
      </c>
    </row>
    <row r="5" spans="1:46">
      <c r="A5" s="73"/>
      <c r="B5" s="4">
        <v>2013</v>
      </c>
      <c r="C5" s="4">
        <v>2014</v>
      </c>
      <c r="D5" s="4">
        <v>2015</v>
      </c>
      <c r="E5" s="4">
        <v>2016</v>
      </c>
      <c r="F5" s="4">
        <v>2017</v>
      </c>
      <c r="G5" s="76"/>
    </row>
    <row r="6" spans="1:46" s="7" customFormat="1" ht="18.75">
      <c r="A6" s="6" t="s">
        <v>69</v>
      </c>
      <c r="B6" s="9">
        <f t="shared" ref="B6:F6" si="0">SUM(B7:B8)</f>
        <v>185</v>
      </c>
      <c r="C6" s="9">
        <f t="shared" si="0"/>
        <v>182</v>
      </c>
      <c r="D6" s="9">
        <f t="shared" si="0"/>
        <v>183</v>
      </c>
      <c r="E6" s="9">
        <f t="shared" si="0"/>
        <v>178</v>
      </c>
      <c r="F6" s="9">
        <f t="shared" si="0"/>
        <v>181</v>
      </c>
      <c r="G6" s="49" t="s">
        <v>70</v>
      </c>
    </row>
    <row r="7" spans="1:46" ht="18.75">
      <c r="A7" s="5" t="s">
        <v>2</v>
      </c>
      <c r="B7" s="10">
        <v>176</v>
      </c>
      <c r="C7" s="10">
        <v>174</v>
      </c>
      <c r="D7" s="10">
        <v>176</v>
      </c>
      <c r="E7" s="10">
        <v>173</v>
      </c>
      <c r="F7" s="10">
        <v>174</v>
      </c>
      <c r="G7" s="50" t="s">
        <v>44</v>
      </c>
      <c r="I7" s="45"/>
    </row>
    <row r="8" spans="1:46" s="46" customFormat="1" ht="18.75">
      <c r="A8" s="5" t="s">
        <v>3</v>
      </c>
      <c r="B8" s="10">
        <v>9</v>
      </c>
      <c r="C8" s="10">
        <v>8</v>
      </c>
      <c r="D8" s="10">
        <v>7</v>
      </c>
      <c r="E8" s="10">
        <v>5</v>
      </c>
      <c r="F8" s="10">
        <v>7</v>
      </c>
      <c r="G8" s="50" t="s">
        <v>45</v>
      </c>
      <c r="I8" s="51"/>
    </row>
    <row r="9" spans="1:46" ht="21">
      <c r="A9" s="47" t="s">
        <v>71</v>
      </c>
      <c r="B9" s="52">
        <v>292.36569200000002</v>
      </c>
      <c r="C9" s="52">
        <v>326.90534851999996</v>
      </c>
      <c r="D9" s="52">
        <v>468.04598700000003</v>
      </c>
      <c r="E9" s="52">
        <v>448.00623200000001</v>
      </c>
      <c r="F9" s="52">
        <v>413</v>
      </c>
      <c r="G9" s="53" t="s">
        <v>72</v>
      </c>
    </row>
    <row r="10" spans="1:46" s="57" customFormat="1" ht="17.25">
      <c r="A10" s="54" t="s">
        <v>73</v>
      </c>
      <c r="B10" s="55"/>
      <c r="C10" s="55"/>
      <c r="D10" s="55"/>
      <c r="E10" s="55"/>
      <c r="F10" s="55"/>
      <c r="G10" s="56" t="s">
        <v>74</v>
      </c>
    </row>
    <row r="11" spans="1:46" ht="17.25">
      <c r="A11" s="58" t="s">
        <v>75</v>
      </c>
      <c r="G11" s="59" t="s">
        <v>76</v>
      </c>
      <c r="I11" s="65"/>
      <c r="J11" s="66"/>
    </row>
    <row r="12" spans="1:46" s="57" customFormat="1" ht="12">
      <c r="I12" s="67"/>
      <c r="J12" s="68"/>
    </row>
    <row r="13" spans="1:46" s="57" customFormat="1" ht="12">
      <c r="I13" s="67"/>
      <c r="J13" s="68"/>
      <c r="AP13" s="57">
        <f>AP15+AP16</f>
        <v>182</v>
      </c>
      <c r="AQ13" s="57">
        <f t="shared" ref="AQ13:AS13" si="1">AQ15+AQ16</f>
        <v>183</v>
      </c>
      <c r="AR13" s="57">
        <f t="shared" si="1"/>
        <v>178</v>
      </c>
      <c r="AS13" s="57">
        <f t="shared" si="1"/>
        <v>181</v>
      </c>
    </row>
    <row r="14" spans="1:46">
      <c r="A14" s="69"/>
      <c r="B14" s="69"/>
      <c r="C14" s="69"/>
      <c r="D14" s="69"/>
      <c r="E14" s="69"/>
      <c r="F14" s="69"/>
      <c r="G14" s="69"/>
      <c r="I14" s="67"/>
      <c r="J14" s="68"/>
      <c r="AL14" s="60">
        <v>2010</v>
      </c>
      <c r="AM14" s="60">
        <v>2011</v>
      </c>
      <c r="AN14" s="60">
        <v>2012</v>
      </c>
      <c r="AO14" s="60">
        <v>2013</v>
      </c>
      <c r="AP14" s="61">
        <v>2014</v>
      </c>
      <c r="AQ14" s="60">
        <v>2015</v>
      </c>
      <c r="AR14" s="60">
        <v>2016</v>
      </c>
      <c r="AS14" s="61">
        <v>2017</v>
      </c>
      <c r="AT14" s="3" t="s">
        <v>77</v>
      </c>
    </row>
    <row r="15" spans="1:46">
      <c r="I15" s="67"/>
      <c r="J15" s="68"/>
      <c r="AK15" s="5" t="s">
        <v>2</v>
      </c>
      <c r="AL15" s="10">
        <v>198</v>
      </c>
      <c r="AM15" s="10">
        <v>192</v>
      </c>
      <c r="AN15" s="10">
        <v>159</v>
      </c>
      <c r="AO15" s="10">
        <v>176</v>
      </c>
      <c r="AP15" s="3">
        <f>C7</f>
        <v>174</v>
      </c>
      <c r="AQ15" s="3">
        <f>D7</f>
        <v>176</v>
      </c>
      <c r="AR15" s="3">
        <f>E7</f>
        <v>173</v>
      </c>
      <c r="AS15" s="3">
        <f>F7</f>
        <v>174</v>
      </c>
      <c r="AT15" s="62">
        <f>AS15/AS13*100</f>
        <v>96.132596685082873</v>
      </c>
    </row>
    <row r="16" spans="1:46">
      <c r="AK16" s="5" t="s">
        <v>3</v>
      </c>
      <c r="AL16" s="10">
        <v>4</v>
      </c>
      <c r="AM16" s="10">
        <v>5</v>
      </c>
      <c r="AN16" s="10">
        <v>5</v>
      </c>
      <c r="AO16" s="10">
        <v>9</v>
      </c>
      <c r="AP16" s="3">
        <f>C8</f>
        <v>8</v>
      </c>
      <c r="AQ16" s="3">
        <f>D8</f>
        <v>7</v>
      </c>
      <c r="AR16" s="3">
        <f>E8</f>
        <v>5</v>
      </c>
      <c r="AS16" s="3">
        <f>F8</f>
        <v>7</v>
      </c>
      <c r="AT16" s="63">
        <f>AS16/AS13*100</f>
        <v>3.867403314917127</v>
      </c>
    </row>
    <row r="17" spans="1:45">
      <c r="AK17" s="3" t="s">
        <v>78</v>
      </c>
      <c r="AL17" s="64">
        <v>1.9801980198019802</v>
      </c>
      <c r="AM17" s="64">
        <v>2.5380710659898478</v>
      </c>
      <c r="AN17" s="64">
        <v>3.0487804878048781</v>
      </c>
      <c r="AO17" s="64">
        <v>4.8648648648648649</v>
      </c>
      <c r="AP17" s="64">
        <f>AP16/C6*100</f>
        <v>4.395604395604396</v>
      </c>
      <c r="AQ17" s="64">
        <f>AQ16/D6*100</f>
        <v>3.8251366120218582</v>
      </c>
      <c r="AR17" s="64">
        <f>AR16/E6*100</f>
        <v>2.8089887640449436</v>
      </c>
      <c r="AS17" s="64">
        <f>AS16/F6*100</f>
        <v>3.867403314917127</v>
      </c>
    </row>
    <row r="18" spans="1:45">
      <c r="A18" s="6"/>
    </row>
    <row r="20" spans="1:45">
      <c r="AL20" s="10"/>
      <c r="AM20" s="10"/>
      <c r="AN20" s="10"/>
    </row>
    <row r="21" spans="1:45">
      <c r="AL21" s="10"/>
      <c r="AM21" s="10"/>
      <c r="AN21" s="10"/>
    </row>
    <row r="22" spans="1:45">
      <c r="AM22" s="3" t="s">
        <v>2</v>
      </c>
      <c r="AN22" s="3">
        <v>96</v>
      </c>
    </row>
    <row r="23" spans="1:45">
      <c r="AM23" s="3" t="s">
        <v>3</v>
      </c>
      <c r="AN23" s="3">
        <v>4</v>
      </c>
    </row>
    <row r="33" spans="10:10">
      <c r="J33" s="7"/>
    </row>
  </sheetData>
  <mergeCells count="7">
    <mergeCell ref="I11:J15"/>
    <mergeCell ref="A14:G14"/>
    <mergeCell ref="A1:G1"/>
    <mergeCell ref="A2:G2"/>
    <mergeCell ref="A4:A5"/>
    <mergeCell ref="B4:F4"/>
    <mergeCell ref="G4:G5"/>
  </mergeCells>
  <pageMargins left="0.7" right="0.7" top="0.75" bottom="0.75" header="0.3" footer="0.3"/>
  <pageSetup paperSize="9" scale="75" orientation="landscape" horizontalDpi="4294967295" verticalDpi="4294967295" r:id="rId1"/>
  <ignoredErrors>
    <ignoredError sqref="B6 C6:E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8" customWidth="1"/>
    <col min="36" max="16384" width="12.28515625" style="1"/>
  </cols>
  <sheetData>
    <row r="1" spans="1:36" ht="21">
      <c r="A1" s="77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6">
      <c r="A2" s="78" t="s">
        <v>46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36" ht="15" customHeight="1">
      <c r="A3" s="79"/>
      <c r="B3" s="79"/>
      <c r="C3" s="81" t="s">
        <v>39</v>
      </c>
      <c r="D3" s="81"/>
      <c r="E3" s="81"/>
      <c r="F3" s="81"/>
      <c r="G3" s="81"/>
      <c r="H3" s="36"/>
      <c r="I3" s="36"/>
      <c r="J3" s="82" t="s">
        <v>5</v>
      </c>
      <c r="K3" s="82"/>
      <c r="L3" s="82"/>
      <c r="M3" s="82"/>
      <c r="N3" s="82"/>
      <c r="O3" s="31"/>
      <c r="P3" s="82" t="s">
        <v>6</v>
      </c>
      <c r="Q3" s="82"/>
      <c r="R3" s="82"/>
      <c r="S3" s="82"/>
      <c r="T3" s="82"/>
      <c r="U3" s="13"/>
      <c r="V3" s="13"/>
      <c r="W3" s="13"/>
      <c r="X3" s="83" t="s">
        <v>7</v>
      </c>
      <c r="Y3" s="83"/>
      <c r="Z3" s="83"/>
      <c r="AA3" s="83"/>
      <c r="AB3" s="83"/>
      <c r="AC3" s="32"/>
      <c r="AD3" s="32"/>
      <c r="AE3" s="83" t="s">
        <v>8</v>
      </c>
      <c r="AF3" s="83"/>
      <c r="AG3" s="83"/>
      <c r="AH3" s="83"/>
      <c r="AI3" s="83"/>
    </row>
    <row r="4" spans="1:36" ht="25.5">
      <c r="A4" s="80"/>
      <c r="B4" s="80"/>
      <c r="C4" s="37" t="s">
        <v>9</v>
      </c>
      <c r="D4" s="37" t="s">
        <v>10</v>
      </c>
      <c r="E4" s="37" t="s">
        <v>4</v>
      </c>
      <c r="F4" s="38" t="s">
        <v>11</v>
      </c>
      <c r="G4" s="37" t="s">
        <v>12</v>
      </c>
      <c r="H4" s="37" t="s">
        <v>48</v>
      </c>
      <c r="I4" s="37" t="s">
        <v>54</v>
      </c>
      <c r="J4" s="20" t="s">
        <v>9</v>
      </c>
      <c r="K4" s="20" t="s">
        <v>10</v>
      </c>
      <c r="L4" s="20" t="s">
        <v>4</v>
      </c>
      <c r="M4" s="21" t="s">
        <v>11</v>
      </c>
      <c r="N4" s="20" t="s">
        <v>12</v>
      </c>
      <c r="O4" s="37" t="s">
        <v>48</v>
      </c>
      <c r="P4" s="20" t="s">
        <v>9</v>
      </c>
      <c r="Q4" s="20" t="s">
        <v>10</v>
      </c>
      <c r="R4" s="20" t="s">
        <v>4</v>
      </c>
      <c r="S4" s="21" t="s">
        <v>11</v>
      </c>
      <c r="T4" s="20" t="s">
        <v>12</v>
      </c>
      <c r="U4" s="37" t="s">
        <v>48</v>
      </c>
      <c r="V4" s="37"/>
      <c r="W4" s="37"/>
      <c r="X4" s="20" t="s">
        <v>9</v>
      </c>
      <c r="Y4" s="20" t="s">
        <v>10</v>
      </c>
      <c r="Z4" s="20" t="s">
        <v>4</v>
      </c>
      <c r="AA4" s="21" t="s">
        <v>11</v>
      </c>
      <c r="AB4" s="20" t="s">
        <v>12</v>
      </c>
      <c r="AC4" s="37" t="s">
        <v>48</v>
      </c>
      <c r="AD4" s="37"/>
      <c r="AE4" s="20" t="s">
        <v>9</v>
      </c>
      <c r="AF4" s="20" t="s">
        <v>10</v>
      </c>
      <c r="AG4" s="20" t="s">
        <v>4</v>
      </c>
      <c r="AH4" s="21" t="s">
        <v>11</v>
      </c>
      <c r="AI4" s="20" t="s">
        <v>12</v>
      </c>
      <c r="AJ4" s="37" t="s">
        <v>48</v>
      </c>
    </row>
    <row r="5" spans="1:36" ht="14.25" customHeight="1">
      <c r="A5" s="30"/>
      <c r="B5" s="34" t="s">
        <v>50</v>
      </c>
      <c r="C5" s="39">
        <f t="shared" ref="C5:G32" si="0">J5+P5</f>
        <v>3010</v>
      </c>
      <c r="D5" s="39">
        <f t="shared" si="0"/>
        <v>2381</v>
      </c>
      <c r="E5" s="39">
        <f t="shared" si="0"/>
        <v>5391</v>
      </c>
      <c r="F5" s="39">
        <f>M5+S5</f>
        <v>1774</v>
      </c>
      <c r="G5" s="39">
        <f t="shared" si="0"/>
        <v>3617</v>
      </c>
      <c r="H5" s="40">
        <f>F5/E5*100</f>
        <v>32.906696345761453</v>
      </c>
      <c r="I5" s="40">
        <f>G5/E5*100</f>
        <v>67.093303654238539</v>
      </c>
      <c r="J5" s="17">
        <v>2893</v>
      </c>
      <c r="K5" s="17">
        <v>2200</v>
      </c>
      <c r="L5" s="17">
        <v>5093</v>
      </c>
      <c r="M5" s="17">
        <v>1617</v>
      </c>
      <c r="N5" s="17">
        <v>3476</v>
      </c>
      <c r="O5" s="40">
        <f>M5/L5*100</f>
        <v>31.749460043196542</v>
      </c>
      <c r="P5" s="17">
        <v>117</v>
      </c>
      <c r="Q5" s="17">
        <v>181</v>
      </c>
      <c r="R5" s="17">
        <v>298</v>
      </c>
      <c r="S5" s="17">
        <v>157</v>
      </c>
      <c r="T5" s="17">
        <v>141</v>
      </c>
      <c r="U5" s="40">
        <f>S5/R5*100</f>
        <v>52.68456375838926</v>
      </c>
      <c r="V5" s="40"/>
      <c r="W5" s="34" t="s">
        <v>50</v>
      </c>
      <c r="X5" s="17">
        <v>3628</v>
      </c>
      <c r="Y5" s="17">
        <v>6873</v>
      </c>
      <c r="Z5" s="17">
        <v>10500</v>
      </c>
      <c r="AA5" s="17">
        <v>6554</v>
      </c>
      <c r="AB5" s="17">
        <v>3946</v>
      </c>
      <c r="AC5" s="40">
        <f>AA5/Z5*100</f>
        <v>62.419047619047618</v>
      </c>
      <c r="AD5" s="34" t="s">
        <v>50</v>
      </c>
      <c r="AE5" s="17">
        <v>890</v>
      </c>
      <c r="AF5" s="17">
        <v>6097</v>
      </c>
      <c r="AG5" s="17">
        <v>6987</v>
      </c>
      <c r="AH5" s="17">
        <v>5904</v>
      </c>
      <c r="AI5" s="17">
        <v>1083</v>
      </c>
      <c r="AJ5" s="40">
        <f>AH5/AG5*100</f>
        <v>84.499785315586081</v>
      </c>
    </row>
    <row r="6" spans="1:36" ht="14.25" customHeight="1">
      <c r="A6" s="30"/>
      <c r="B6" s="34" t="s">
        <v>51</v>
      </c>
      <c r="C6" s="39">
        <f t="shared" si="0"/>
        <v>2247</v>
      </c>
      <c r="D6" s="39">
        <f t="shared" si="0"/>
        <v>1246</v>
      </c>
      <c r="E6" s="39">
        <f t="shared" si="0"/>
        <v>3493</v>
      </c>
      <c r="F6" s="39">
        <f t="shared" si="0"/>
        <v>1084</v>
      </c>
      <c r="G6" s="39">
        <f t="shared" si="0"/>
        <v>2409</v>
      </c>
      <c r="H6" s="40">
        <f>F6/E6*100</f>
        <v>31.033495562553682</v>
      </c>
      <c r="I6" s="40">
        <f>G6/E6*100</f>
        <v>68.966504437446318</v>
      </c>
      <c r="J6" s="19">
        <v>2193</v>
      </c>
      <c r="K6" s="19">
        <v>1163</v>
      </c>
      <c r="L6" s="19">
        <v>3356</v>
      </c>
      <c r="M6" s="19">
        <v>990</v>
      </c>
      <c r="N6" s="19">
        <v>2366</v>
      </c>
      <c r="O6" s="40">
        <f>M6/L6*100</f>
        <v>29.499404052443385</v>
      </c>
      <c r="P6" s="19">
        <v>54</v>
      </c>
      <c r="Q6" s="19">
        <v>83</v>
      </c>
      <c r="R6" s="19">
        <v>137</v>
      </c>
      <c r="S6" s="19">
        <v>94</v>
      </c>
      <c r="T6" s="19">
        <v>43</v>
      </c>
      <c r="U6" s="40">
        <f>S6/R6*100</f>
        <v>68.613138686131393</v>
      </c>
      <c r="V6" s="40"/>
      <c r="W6" s="34" t="s">
        <v>51</v>
      </c>
      <c r="X6" s="19">
        <v>1847</v>
      </c>
      <c r="Y6" s="19">
        <v>2725</v>
      </c>
      <c r="Z6" s="19">
        <v>4571</v>
      </c>
      <c r="AA6" s="19">
        <v>2719</v>
      </c>
      <c r="AB6" s="19">
        <v>1852</v>
      </c>
      <c r="AC6" s="40">
        <f>AA6/Z6*100</f>
        <v>59.483701597024719</v>
      </c>
      <c r="AD6" s="34" t="s">
        <v>51</v>
      </c>
      <c r="AE6" s="19">
        <v>456</v>
      </c>
      <c r="AF6" s="19">
        <v>2367</v>
      </c>
      <c r="AG6" s="19">
        <v>2823</v>
      </c>
      <c r="AH6" s="19">
        <v>2296</v>
      </c>
      <c r="AI6" s="19">
        <v>527</v>
      </c>
      <c r="AJ6" s="40">
        <f>AH6/AG6*100</f>
        <v>81.331916400991858</v>
      </c>
    </row>
    <row r="7" spans="1:36" s="28" customFormat="1" ht="14.25" customHeight="1">
      <c r="A7" s="26"/>
      <c r="B7" s="34" t="s">
        <v>52</v>
      </c>
      <c r="C7" s="39">
        <f t="shared" si="0"/>
        <v>763</v>
      </c>
      <c r="D7" s="39">
        <f t="shared" si="0"/>
        <v>1135</v>
      </c>
      <c r="E7" s="39">
        <f t="shared" si="0"/>
        <v>1898</v>
      </c>
      <c r="F7" s="39">
        <f t="shared" si="0"/>
        <v>690</v>
      </c>
      <c r="G7" s="39">
        <f t="shared" si="0"/>
        <v>1208</v>
      </c>
      <c r="H7" s="40">
        <f>F7/E7*100</f>
        <v>36.354056902002107</v>
      </c>
      <c r="I7" s="40">
        <f>G7/E7*100</f>
        <v>63.645943097997893</v>
      </c>
      <c r="J7" s="19">
        <v>700</v>
      </c>
      <c r="K7" s="19">
        <v>1037</v>
      </c>
      <c r="L7" s="19">
        <v>1737</v>
      </c>
      <c r="M7" s="19">
        <v>627</v>
      </c>
      <c r="N7" s="19">
        <v>1110</v>
      </c>
      <c r="O7" s="40">
        <f>M7/L7*100</f>
        <v>36.096718480138165</v>
      </c>
      <c r="P7" s="19">
        <v>63</v>
      </c>
      <c r="Q7" s="19">
        <v>98</v>
      </c>
      <c r="R7" s="19">
        <v>161</v>
      </c>
      <c r="S7" s="19">
        <v>63</v>
      </c>
      <c r="T7" s="19">
        <v>98</v>
      </c>
      <c r="U7" s="40">
        <f>S7/R7*100</f>
        <v>39.130434782608695</v>
      </c>
      <c r="V7" s="40"/>
      <c r="W7" s="34" t="s">
        <v>52</v>
      </c>
      <c r="X7" s="19">
        <v>1781</v>
      </c>
      <c r="Y7" s="19">
        <v>4148</v>
      </c>
      <c r="Z7" s="19">
        <v>5929</v>
      </c>
      <c r="AA7" s="19">
        <v>3835</v>
      </c>
      <c r="AB7" s="19">
        <v>2094</v>
      </c>
      <c r="AC7" s="40">
        <f>AA7/Z7*100</f>
        <v>64.682071175577676</v>
      </c>
      <c r="AD7" s="34" t="s">
        <v>52</v>
      </c>
      <c r="AE7" s="19">
        <v>434</v>
      </c>
      <c r="AF7" s="19">
        <v>3730</v>
      </c>
      <c r="AG7" s="19">
        <v>4164</v>
      </c>
      <c r="AH7" s="19">
        <v>3608</v>
      </c>
      <c r="AI7" s="19">
        <v>556</v>
      </c>
      <c r="AJ7" s="40">
        <f>AH7/AG7*100</f>
        <v>86.647454370797306</v>
      </c>
    </row>
    <row r="8" spans="1:36" s="28" customFormat="1" ht="14.25" customHeight="1">
      <c r="A8" s="30" t="s">
        <v>19</v>
      </c>
      <c r="B8" s="14" t="s">
        <v>0</v>
      </c>
      <c r="C8" s="39">
        <f t="shared" si="0"/>
        <v>68</v>
      </c>
      <c r="D8" s="39">
        <f t="shared" si="0"/>
        <v>28</v>
      </c>
      <c r="E8" s="39">
        <f t="shared" si="0"/>
        <v>96</v>
      </c>
      <c r="F8" s="39">
        <f t="shared" si="0"/>
        <v>21</v>
      </c>
      <c r="G8" s="39">
        <f t="shared" si="0"/>
        <v>75</v>
      </c>
      <c r="H8" s="39"/>
      <c r="I8" s="39"/>
      <c r="J8" s="19">
        <v>61</v>
      </c>
      <c r="K8" s="19">
        <v>27</v>
      </c>
      <c r="L8" s="19">
        <v>88</v>
      </c>
      <c r="M8" s="19">
        <v>18</v>
      </c>
      <c r="N8" s="19">
        <v>70</v>
      </c>
      <c r="O8" s="19"/>
      <c r="P8" s="19">
        <v>7</v>
      </c>
      <c r="Q8" s="19">
        <v>1</v>
      </c>
      <c r="R8" s="19">
        <v>8</v>
      </c>
      <c r="S8" s="19">
        <v>3</v>
      </c>
      <c r="T8" s="19">
        <v>5</v>
      </c>
      <c r="U8" s="19"/>
      <c r="V8" s="19"/>
      <c r="W8" s="19"/>
      <c r="X8" s="19">
        <v>123</v>
      </c>
      <c r="Y8" s="19">
        <v>181</v>
      </c>
      <c r="Z8" s="19">
        <v>304</v>
      </c>
      <c r="AA8" s="19">
        <v>148</v>
      </c>
      <c r="AB8" s="19">
        <v>156</v>
      </c>
      <c r="AC8" s="19"/>
      <c r="AD8" s="19"/>
      <c r="AE8" s="19">
        <v>21</v>
      </c>
      <c r="AF8" s="19">
        <v>169</v>
      </c>
      <c r="AG8" s="19">
        <v>190</v>
      </c>
      <c r="AH8" s="19">
        <v>170</v>
      </c>
      <c r="AI8" s="19">
        <v>20</v>
      </c>
    </row>
    <row r="9" spans="1:36" s="28" customFormat="1" ht="14.25" customHeight="1">
      <c r="A9" s="30" t="s">
        <v>20</v>
      </c>
      <c r="B9" s="14" t="s">
        <v>0</v>
      </c>
      <c r="C9" s="39">
        <f t="shared" si="0"/>
        <v>81</v>
      </c>
      <c r="D9" s="39">
        <f t="shared" si="0"/>
        <v>73</v>
      </c>
      <c r="E9" s="39">
        <f t="shared" si="0"/>
        <v>154</v>
      </c>
      <c r="F9" s="39">
        <f t="shared" si="0"/>
        <v>41</v>
      </c>
      <c r="G9" s="39">
        <f t="shared" si="0"/>
        <v>113</v>
      </c>
      <c r="H9" s="39"/>
      <c r="I9" s="39"/>
      <c r="J9" s="19">
        <v>74</v>
      </c>
      <c r="K9" s="19">
        <v>69</v>
      </c>
      <c r="L9" s="19">
        <v>143</v>
      </c>
      <c r="M9" s="19">
        <v>34</v>
      </c>
      <c r="N9" s="19">
        <v>109</v>
      </c>
      <c r="O9" s="19"/>
      <c r="P9" s="19">
        <v>7</v>
      </c>
      <c r="Q9" s="19">
        <v>4</v>
      </c>
      <c r="R9" s="19">
        <v>11</v>
      </c>
      <c r="S9" s="19">
        <v>7</v>
      </c>
      <c r="T9" s="19">
        <v>4</v>
      </c>
      <c r="U9" s="19"/>
      <c r="V9" s="19"/>
      <c r="W9" s="19"/>
      <c r="X9" s="19">
        <v>93</v>
      </c>
      <c r="Y9" s="19">
        <v>178</v>
      </c>
      <c r="Z9" s="19">
        <v>271</v>
      </c>
      <c r="AA9" s="19">
        <v>104</v>
      </c>
      <c r="AB9" s="19">
        <v>167</v>
      </c>
      <c r="AC9" s="19"/>
      <c r="AD9" s="19"/>
      <c r="AE9" s="19">
        <v>34</v>
      </c>
      <c r="AF9" s="19">
        <v>233</v>
      </c>
      <c r="AG9" s="19">
        <v>267</v>
      </c>
      <c r="AH9" s="19">
        <v>222</v>
      </c>
      <c r="AI9" s="19">
        <v>45</v>
      </c>
    </row>
    <row r="10" spans="1:36" s="28" customFormat="1" ht="14.25" customHeight="1">
      <c r="A10" s="30" t="s">
        <v>21</v>
      </c>
      <c r="B10" s="14" t="s">
        <v>0</v>
      </c>
      <c r="C10" s="39">
        <f t="shared" si="0"/>
        <v>10</v>
      </c>
      <c r="D10" s="39">
        <f t="shared" si="0"/>
        <v>24</v>
      </c>
      <c r="E10" s="39">
        <f t="shared" si="0"/>
        <v>34</v>
      </c>
      <c r="F10" s="39">
        <f t="shared" si="0"/>
        <v>28</v>
      </c>
      <c r="G10" s="39">
        <f t="shared" si="0"/>
        <v>6</v>
      </c>
      <c r="H10" s="39"/>
      <c r="I10" s="39"/>
      <c r="J10" s="19">
        <v>10</v>
      </c>
      <c r="K10" s="19">
        <v>22</v>
      </c>
      <c r="L10" s="19">
        <v>32</v>
      </c>
      <c r="M10" s="19">
        <v>28</v>
      </c>
      <c r="N10" s="19">
        <v>4</v>
      </c>
      <c r="O10" s="19"/>
      <c r="P10" s="19">
        <v>0</v>
      </c>
      <c r="Q10" s="19">
        <v>2</v>
      </c>
      <c r="R10" s="19">
        <v>2</v>
      </c>
      <c r="S10" s="19">
        <v>0</v>
      </c>
      <c r="T10" s="19">
        <v>2</v>
      </c>
      <c r="U10" s="19"/>
      <c r="V10" s="19"/>
      <c r="W10" s="19"/>
      <c r="X10" s="19">
        <v>43</v>
      </c>
      <c r="Y10" s="19">
        <v>145</v>
      </c>
      <c r="Z10" s="19">
        <v>188</v>
      </c>
      <c r="AA10" s="19">
        <v>142</v>
      </c>
      <c r="AB10" s="19">
        <v>46</v>
      </c>
      <c r="AC10" s="19"/>
      <c r="AD10" s="19"/>
      <c r="AE10" s="19">
        <v>16</v>
      </c>
      <c r="AF10" s="19">
        <v>162</v>
      </c>
      <c r="AG10" s="19">
        <v>178</v>
      </c>
      <c r="AH10" s="19">
        <v>162</v>
      </c>
      <c r="AI10" s="19">
        <v>16</v>
      </c>
    </row>
    <row r="11" spans="1:36" s="28" customFormat="1" ht="14.25" customHeight="1">
      <c r="A11" s="30" t="s">
        <v>22</v>
      </c>
      <c r="B11" s="14" t="s">
        <v>0</v>
      </c>
      <c r="C11" s="39">
        <f t="shared" si="0"/>
        <v>48</v>
      </c>
      <c r="D11" s="39">
        <f t="shared" si="0"/>
        <v>62</v>
      </c>
      <c r="E11" s="39">
        <f t="shared" si="0"/>
        <v>110</v>
      </c>
      <c r="F11" s="39">
        <f t="shared" si="0"/>
        <v>45</v>
      </c>
      <c r="G11" s="39">
        <f t="shared" si="0"/>
        <v>65</v>
      </c>
      <c r="H11" s="39"/>
      <c r="I11" s="39"/>
      <c r="J11" s="19">
        <v>47</v>
      </c>
      <c r="K11" s="19">
        <v>58</v>
      </c>
      <c r="L11" s="19">
        <v>105</v>
      </c>
      <c r="M11" s="19">
        <v>42</v>
      </c>
      <c r="N11" s="19">
        <v>63</v>
      </c>
      <c r="O11" s="19"/>
      <c r="P11" s="19">
        <v>1</v>
      </c>
      <c r="Q11" s="19">
        <v>4</v>
      </c>
      <c r="R11" s="19">
        <v>5</v>
      </c>
      <c r="S11" s="19">
        <v>3</v>
      </c>
      <c r="T11" s="19">
        <v>2</v>
      </c>
      <c r="U11" s="19"/>
      <c r="V11" s="19"/>
      <c r="W11" s="19"/>
      <c r="X11" s="19">
        <v>117</v>
      </c>
      <c r="Y11" s="19">
        <v>186</v>
      </c>
      <c r="Z11" s="19">
        <v>303</v>
      </c>
      <c r="AA11" s="19">
        <v>174</v>
      </c>
      <c r="AB11" s="19">
        <v>129</v>
      </c>
      <c r="AC11" s="19"/>
      <c r="AD11" s="19"/>
      <c r="AE11" s="19">
        <v>30</v>
      </c>
      <c r="AF11" s="19">
        <v>215</v>
      </c>
      <c r="AG11" s="19">
        <v>245</v>
      </c>
      <c r="AH11" s="19">
        <v>188</v>
      </c>
      <c r="AI11" s="19">
        <v>57</v>
      </c>
    </row>
    <row r="12" spans="1:36" s="28" customFormat="1" ht="14.25" customHeight="1">
      <c r="A12" s="30" t="s">
        <v>23</v>
      </c>
      <c r="B12" s="14" t="s">
        <v>0</v>
      </c>
      <c r="C12" s="39">
        <f t="shared" si="0"/>
        <v>73</v>
      </c>
      <c r="D12" s="39">
        <f t="shared" si="0"/>
        <v>84</v>
      </c>
      <c r="E12" s="39">
        <f t="shared" si="0"/>
        <v>157</v>
      </c>
      <c r="F12" s="39">
        <f t="shared" si="0"/>
        <v>80</v>
      </c>
      <c r="G12" s="39">
        <f t="shared" si="0"/>
        <v>77</v>
      </c>
      <c r="H12" s="39"/>
      <c r="I12" s="39"/>
      <c r="J12" s="19">
        <v>70</v>
      </c>
      <c r="K12" s="19">
        <v>78</v>
      </c>
      <c r="L12" s="19">
        <v>148</v>
      </c>
      <c r="M12" s="19">
        <v>76</v>
      </c>
      <c r="N12" s="19">
        <v>72</v>
      </c>
      <c r="O12" s="19"/>
      <c r="P12" s="19">
        <v>3</v>
      </c>
      <c r="Q12" s="19">
        <v>6</v>
      </c>
      <c r="R12" s="19">
        <v>9</v>
      </c>
      <c r="S12" s="19">
        <v>4</v>
      </c>
      <c r="T12" s="19">
        <v>5</v>
      </c>
      <c r="U12" s="19"/>
      <c r="V12" s="19"/>
      <c r="W12" s="19"/>
      <c r="X12" s="19">
        <v>71</v>
      </c>
      <c r="Y12" s="19">
        <v>202</v>
      </c>
      <c r="Z12" s="19">
        <v>273</v>
      </c>
      <c r="AA12" s="19">
        <v>186</v>
      </c>
      <c r="AB12" s="19">
        <v>87</v>
      </c>
      <c r="AC12" s="19"/>
      <c r="AD12" s="19"/>
      <c r="AE12" s="19">
        <v>18</v>
      </c>
      <c r="AF12" s="19">
        <v>231</v>
      </c>
      <c r="AG12" s="19">
        <v>249</v>
      </c>
      <c r="AH12" s="19">
        <v>219</v>
      </c>
      <c r="AI12" s="19">
        <v>30</v>
      </c>
    </row>
    <row r="13" spans="1:36" s="28" customFormat="1" ht="14.25" customHeight="1">
      <c r="A13" s="30" t="s">
        <v>24</v>
      </c>
      <c r="B13" s="14" t="s">
        <v>0</v>
      </c>
      <c r="C13" s="39">
        <f t="shared" si="0"/>
        <v>21</v>
      </c>
      <c r="D13" s="39">
        <f t="shared" si="0"/>
        <v>26</v>
      </c>
      <c r="E13" s="39">
        <f t="shared" si="0"/>
        <v>47</v>
      </c>
      <c r="F13" s="39">
        <f t="shared" si="0"/>
        <v>10</v>
      </c>
      <c r="G13" s="39">
        <f t="shared" si="0"/>
        <v>37</v>
      </c>
      <c r="H13" s="39"/>
      <c r="I13" s="39"/>
      <c r="J13" s="19">
        <v>17</v>
      </c>
      <c r="K13" s="19">
        <v>23</v>
      </c>
      <c r="L13" s="19">
        <v>40</v>
      </c>
      <c r="M13" s="19">
        <v>9</v>
      </c>
      <c r="N13" s="19">
        <v>31</v>
      </c>
      <c r="O13" s="19"/>
      <c r="P13" s="19">
        <v>4</v>
      </c>
      <c r="Q13" s="19">
        <v>3</v>
      </c>
      <c r="R13" s="19">
        <v>7</v>
      </c>
      <c r="S13" s="19">
        <v>1</v>
      </c>
      <c r="T13" s="19">
        <v>6</v>
      </c>
      <c r="U13" s="19"/>
      <c r="V13" s="19"/>
      <c r="W13" s="19"/>
      <c r="X13" s="19">
        <v>38</v>
      </c>
      <c r="Y13" s="19">
        <v>183</v>
      </c>
      <c r="Z13" s="19">
        <v>221</v>
      </c>
      <c r="AA13" s="19">
        <v>119</v>
      </c>
      <c r="AB13" s="19">
        <v>102</v>
      </c>
      <c r="AC13" s="19"/>
      <c r="AD13" s="19"/>
      <c r="AE13" s="19">
        <v>20</v>
      </c>
      <c r="AF13" s="19">
        <v>135</v>
      </c>
      <c r="AG13" s="19">
        <v>155</v>
      </c>
      <c r="AH13" s="19">
        <v>124</v>
      </c>
      <c r="AI13" s="19">
        <v>31</v>
      </c>
    </row>
    <row r="14" spans="1:36" s="28" customFormat="1" ht="14.25" customHeight="1">
      <c r="A14" s="30" t="s">
        <v>25</v>
      </c>
      <c r="B14" s="14" t="s">
        <v>0</v>
      </c>
      <c r="C14" s="39">
        <f t="shared" si="0"/>
        <v>77</v>
      </c>
      <c r="D14" s="39">
        <f t="shared" si="0"/>
        <v>61</v>
      </c>
      <c r="E14" s="39">
        <f t="shared" si="0"/>
        <v>138</v>
      </c>
      <c r="F14" s="39">
        <f t="shared" si="0"/>
        <v>57</v>
      </c>
      <c r="G14" s="39">
        <f t="shared" si="0"/>
        <v>81</v>
      </c>
      <c r="H14" s="39"/>
      <c r="I14" s="39"/>
      <c r="J14" s="19">
        <v>72</v>
      </c>
      <c r="K14" s="19">
        <v>57</v>
      </c>
      <c r="L14" s="19">
        <v>129</v>
      </c>
      <c r="M14" s="19">
        <v>52</v>
      </c>
      <c r="N14" s="19">
        <v>77</v>
      </c>
      <c r="O14" s="19"/>
      <c r="P14" s="19">
        <v>5</v>
      </c>
      <c r="Q14" s="19">
        <v>4</v>
      </c>
      <c r="R14" s="19">
        <v>9</v>
      </c>
      <c r="S14" s="19">
        <v>5</v>
      </c>
      <c r="T14" s="19">
        <v>4</v>
      </c>
      <c r="U14" s="19"/>
      <c r="V14" s="19"/>
      <c r="W14" s="19"/>
      <c r="X14" s="19">
        <v>124</v>
      </c>
      <c r="Y14" s="19">
        <v>124</v>
      </c>
      <c r="Z14" s="19">
        <v>248</v>
      </c>
      <c r="AA14" s="19">
        <v>127</v>
      </c>
      <c r="AB14" s="19">
        <v>121</v>
      </c>
      <c r="AC14" s="19"/>
      <c r="AD14" s="19"/>
      <c r="AE14" s="19">
        <v>44</v>
      </c>
      <c r="AF14" s="19">
        <v>178</v>
      </c>
      <c r="AG14" s="19">
        <v>222</v>
      </c>
      <c r="AH14" s="19">
        <v>182</v>
      </c>
      <c r="AI14" s="19">
        <v>40</v>
      </c>
    </row>
    <row r="15" spans="1:36" s="28" customFormat="1" ht="14.25" customHeight="1">
      <c r="A15" s="30" t="s">
        <v>26</v>
      </c>
      <c r="B15" s="14" t="s">
        <v>0</v>
      </c>
      <c r="C15" s="39">
        <f t="shared" si="0"/>
        <v>31</v>
      </c>
      <c r="D15" s="39">
        <f t="shared" si="0"/>
        <v>41</v>
      </c>
      <c r="E15" s="39">
        <f t="shared" si="0"/>
        <v>72</v>
      </c>
      <c r="F15" s="39">
        <f t="shared" si="0"/>
        <v>31</v>
      </c>
      <c r="G15" s="39">
        <f t="shared" si="0"/>
        <v>41</v>
      </c>
      <c r="H15" s="39"/>
      <c r="I15" s="39"/>
      <c r="J15" s="19">
        <v>30</v>
      </c>
      <c r="K15" s="19">
        <v>37</v>
      </c>
      <c r="L15" s="19">
        <v>67</v>
      </c>
      <c r="M15" s="19">
        <v>30</v>
      </c>
      <c r="N15" s="19">
        <v>37</v>
      </c>
      <c r="O15" s="19"/>
      <c r="P15" s="19">
        <v>1</v>
      </c>
      <c r="Q15" s="19">
        <v>4</v>
      </c>
      <c r="R15" s="19">
        <v>5</v>
      </c>
      <c r="S15" s="19">
        <v>1</v>
      </c>
      <c r="T15" s="19">
        <v>4</v>
      </c>
      <c r="U15" s="19"/>
      <c r="V15" s="19"/>
      <c r="W15" s="19"/>
      <c r="X15" s="19">
        <v>67</v>
      </c>
      <c r="Y15" s="19">
        <v>145</v>
      </c>
      <c r="Z15" s="19">
        <v>212</v>
      </c>
      <c r="AA15" s="19">
        <v>153</v>
      </c>
      <c r="AB15" s="19">
        <v>59</v>
      </c>
      <c r="AC15" s="19"/>
      <c r="AD15" s="19"/>
      <c r="AE15" s="19">
        <v>17</v>
      </c>
      <c r="AF15" s="19">
        <v>218</v>
      </c>
      <c r="AG15" s="19">
        <v>235</v>
      </c>
      <c r="AH15" s="19">
        <v>217</v>
      </c>
      <c r="AI15" s="19">
        <v>18</v>
      </c>
    </row>
    <row r="16" spans="1:36" s="28" customFormat="1" ht="14.25" customHeight="1">
      <c r="A16" s="30" t="s">
        <v>27</v>
      </c>
      <c r="B16" s="14" t="s">
        <v>0</v>
      </c>
      <c r="C16" s="39">
        <f t="shared" si="0"/>
        <v>13</v>
      </c>
      <c r="D16" s="39">
        <f t="shared" si="0"/>
        <v>13</v>
      </c>
      <c r="E16" s="39">
        <f t="shared" si="0"/>
        <v>26</v>
      </c>
      <c r="F16" s="39">
        <f t="shared" si="0"/>
        <v>11</v>
      </c>
      <c r="G16" s="39">
        <f t="shared" si="0"/>
        <v>15</v>
      </c>
      <c r="H16" s="39"/>
      <c r="I16" s="39"/>
      <c r="J16" s="19">
        <v>12</v>
      </c>
      <c r="K16" s="19">
        <v>11</v>
      </c>
      <c r="L16" s="19">
        <v>23</v>
      </c>
      <c r="M16" s="19">
        <v>11</v>
      </c>
      <c r="N16" s="19">
        <v>12</v>
      </c>
      <c r="O16" s="19"/>
      <c r="P16" s="19">
        <v>1</v>
      </c>
      <c r="Q16" s="19">
        <v>2</v>
      </c>
      <c r="R16" s="19">
        <v>3</v>
      </c>
      <c r="S16" s="19">
        <v>0</v>
      </c>
      <c r="T16" s="19">
        <v>3</v>
      </c>
      <c r="U16" s="19"/>
      <c r="V16" s="19"/>
      <c r="W16" s="19"/>
      <c r="X16" s="19">
        <v>58</v>
      </c>
      <c r="Y16" s="19">
        <v>123</v>
      </c>
      <c r="Z16" s="19">
        <v>181</v>
      </c>
      <c r="AA16" s="19">
        <v>142</v>
      </c>
      <c r="AB16" s="19">
        <v>39</v>
      </c>
      <c r="AC16" s="19"/>
      <c r="AD16" s="19"/>
      <c r="AE16" s="19">
        <v>9</v>
      </c>
      <c r="AF16" s="19">
        <v>123</v>
      </c>
      <c r="AG16" s="19">
        <v>132</v>
      </c>
      <c r="AH16" s="19">
        <v>126</v>
      </c>
      <c r="AI16" s="19">
        <v>6</v>
      </c>
    </row>
    <row r="17" spans="1:35" s="28" customFormat="1">
      <c r="A17" s="30" t="s">
        <v>28</v>
      </c>
      <c r="B17" s="14" t="s">
        <v>0</v>
      </c>
      <c r="C17" s="39">
        <f t="shared" si="0"/>
        <v>14</v>
      </c>
      <c r="D17" s="39">
        <f t="shared" si="0"/>
        <v>18</v>
      </c>
      <c r="E17" s="39">
        <f t="shared" si="0"/>
        <v>32</v>
      </c>
      <c r="F17" s="39">
        <f t="shared" si="0"/>
        <v>23</v>
      </c>
      <c r="G17" s="39">
        <f t="shared" si="0"/>
        <v>9</v>
      </c>
      <c r="H17" s="39"/>
      <c r="I17" s="39"/>
      <c r="J17" s="19">
        <v>13</v>
      </c>
      <c r="K17" s="19">
        <v>16</v>
      </c>
      <c r="L17" s="19">
        <v>29</v>
      </c>
      <c r="M17" s="19">
        <v>22</v>
      </c>
      <c r="N17" s="19">
        <v>7</v>
      </c>
      <c r="O17" s="19"/>
      <c r="P17" s="19">
        <v>1</v>
      </c>
      <c r="Q17" s="19">
        <v>2</v>
      </c>
      <c r="R17" s="19">
        <v>3</v>
      </c>
      <c r="S17" s="19">
        <v>1</v>
      </c>
      <c r="T17" s="19">
        <v>2</v>
      </c>
      <c r="U17" s="19"/>
      <c r="V17" s="19"/>
      <c r="W17" s="19"/>
      <c r="X17" s="19">
        <v>78</v>
      </c>
      <c r="Y17" s="19">
        <v>145</v>
      </c>
      <c r="Z17" s="19">
        <v>223</v>
      </c>
      <c r="AA17" s="19">
        <v>155</v>
      </c>
      <c r="AB17" s="19">
        <v>68</v>
      </c>
      <c r="AC17" s="19"/>
      <c r="AD17" s="19"/>
      <c r="AE17" s="19">
        <v>25</v>
      </c>
      <c r="AF17" s="19">
        <v>141</v>
      </c>
      <c r="AG17" s="19">
        <v>166</v>
      </c>
      <c r="AH17" s="19">
        <v>138</v>
      </c>
      <c r="AI17" s="19">
        <v>28</v>
      </c>
    </row>
    <row r="18" spans="1:35" s="28" customFormat="1">
      <c r="A18" s="30" t="s">
        <v>29</v>
      </c>
      <c r="B18" s="14" t="s">
        <v>0</v>
      </c>
      <c r="C18" s="39">
        <f t="shared" si="0"/>
        <v>2</v>
      </c>
      <c r="D18" s="39">
        <f t="shared" si="0"/>
        <v>1</v>
      </c>
      <c r="E18" s="39">
        <f t="shared" si="0"/>
        <v>3</v>
      </c>
      <c r="F18" s="39">
        <f t="shared" si="0"/>
        <v>2</v>
      </c>
      <c r="G18" s="39">
        <f t="shared" si="0"/>
        <v>1</v>
      </c>
      <c r="H18" s="39"/>
      <c r="I18" s="39"/>
      <c r="J18" s="19">
        <v>2</v>
      </c>
      <c r="K18" s="19">
        <v>1</v>
      </c>
      <c r="L18" s="19">
        <v>3</v>
      </c>
      <c r="M18" s="19">
        <v>2</v>
      </c>
      <c r="N18" s="19">
        <v>1</v>
      </c>
      <c r="O18" s="19"/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/>
      <c r="V18" s="19"/>
      <c r="W18" s="19"/>
      <c r="X18" s="19">
        <v>6</v>
      </c>
      <c r="Y18" s="19">
        <v>33</v>
      </c>
      <c r="Z18" s="19">
        <v>39</v>
      </c>
      <c r="AA18" s="19">
        <v>28</v>
      </c>
      <c r="AB18" s="19">
        <v>11</v>
      </c>
      <c r="AC18" s="19"/>
      <c r="AD18" s="19"/>
      <c r="AE18" s="19">
        <v>2</v>
      </c>
      <c r="AF18" s="19">
        <v>19</v>
      </c>
      <c r="AG18" s="19">
        <v>21</v>
      </c>
      <c r="AH18" s="19">
        <v>21</v>
      </c>
      <c r="AI18" s="19">
        <v>0</v>
      </c>
    </row>
    <row r="19" spans="1:35" s="28" customFormat="1">
      <c r="A19" s="30" t="s">
        <v>30</v>
      </c>
      <c r="B19" s="14" t="s">
        <v>0</v>
      </c>
      <c r="C19" s="39">
        <f t="shared" si="0"/>
        <v>4</v>
      </c>
      <c r="D19" s="39">
        <f t="shared" si="0"/>
        <v>4</v>
      </c>
      <c r="E19" s="39">
        <f t="shared" si="0"/>
        <v>8</v>
      </c>
      <c r="F19" s="39">
        <f t="shared" si="0"/>
        <v>3</v>
      </c>
      <c r="G19" s="39">
        <f t="shared" si="0"/>
        <v>5</v>
      </c>
      <c r="H19" s="39"/>
      <c r="I19" s="39"/>
      <c r="J19" s="19">
        <v>4</v>
      </c>
      <c r="K19" s="19">
        <v>3</v>
      </c>
      <c r="L19" s="19">
        <v>7</v>
      </c>
      <c r="M19" s="19">
        <v>3</v>
      </c>
      <c r="N19" s="19">
        <v>4</v>
      </c>
      <c r="O19" s="19"/>
      <c r="P19" s="19">
        <v>0</v>
      </c>
      <c r="Q19" s="19">
        <v>1</v>
      </c>
      <c r="R19" s="19">
        <v>1</v>
      </c>
      <c r="S19" s="19">
        <v>0</v>
      </c>
      <c r="T19" s="19">
        <v>1</v>
      </c>
      <c r="U19" s="19"/>
      <c r="V19" s="19"/>
      <c r="W19" s="19"/>
      <c r="X19" s="19">
        <v>89</v>
      </c>
      <c r="Y19" s="19">
        <v>62</v>
      </c>
      <c r="Z19" s="19">
        <v>151</v>
      </c>
      <c r="AA19" s="19">
        <v>109</v>
      </c>
      <c r="AB19" s="19">
        <v>42</v>
      </c>
      <c r="AC19" s="19"/>
      <c r="AD19" s="19"/>
      <c r="AE19" s="19">
        <v>6</v>
      </c>
      <c r="AF19" s="19">
        <v>72</v>
      </c>
      <c r="AG19" s="19">
        <v>78</v>
      </c>
      <c r="AH19" s="19">
        <v>71</v>
      </c>
      <c r="AI19" s="19">
        <v>7</v>
      </c>
    </row>
    <row r="20" spans="1:35" s="28" customFormat="1">
      <c r="A20" s="30" t="s">
        <v>31</v>
      </c>
      <c r="B20" s="14" t="s">
        <v>0</v>
      </c>
      <c r="C20" s="39">
        <f t="shared" si="0"/>
        <v>6</v>
      </c>
      <c r="D20" s="39">
        <f t="shared" si="0"/>
        <v>14</v>
      </c>
      <c r="E20" s="39">
        <f t="shared" si="0"/>
        <v>20</v>
      </c>
      <c r="F20" s="39">
        <f t="shared" si="0"/>
        <v>13</v>
      </c>
      <c r="G20" s="39">
        <f t="shared" si="0"/>
        <v>7</v>
      </c>
      <c r="H20" s="39"/>
      <c r="I20" s="39"/>
      <c r="J20" s="19">
        <v>5</v>
      </c>
      <c r="K20" s="19">
        <v>14</v>
      </c>
      <c r="L20" s="19">
        <v>19</v>
      </c>
      <c r="M20" s="19">
        <v>12</v>
      </c>
      <c r="N20" s="19">
        <v>7</v>
      </c>
      <c r="O20" s="19"/>
      <c r="P20" s="19">
        <v>1</v>
      </c>
      <c r="Q20" s="19">
        <v>0</v>
      </c>
      <c r="R20" s="19">
        <v>1</v>
      </c>
      <c r="S20" s="19">
        <v>1</v>
      </c>
      <c r="T20" s="19">
        <v>0</v>
      </c>
      <c r="U20" s="19"/>
      <c r="V20" s="19"/>
      <c r="W20" s="19"/>
      <c r="X20" s="19">
        <v>50</v>
      </c>
      <c r="Y20" s="19">
        <v>83</v>
      </c>
      <c r="Z20" s="19">
        <v>133</v>
      </c>
      <c r="AA20" s="19">
        <v>84</v>
      </c>
      <c r="AB20" s="19">
        <v>49</v>
      </c>
      <c r="AC20" s="19"/>
      <c r="AD20" s="19"/>
      <c r="AE20" s="19">
        <v>14</v>
      </c>
      <c r="AF20" s="19">
        <v>70</v>
      </c>
      <c r="AG20" s="19">
        <v>84</v>
      </c>
      <c r="AH20" s="19">
        <v>70</v>
      </c>
      <c r="AI20" s="19">
        <v>14</v>
      </c>
    </row>
    <row r="21" spans="1:35" s="28" customFormat="1">
      <c r="A21" s="30" t="s">
        <v>32</v>
      </c>
      <c r="B21" s="14" t="s">
        <v>0</v>
      </c>
      <c r="C21" s="39">
        <f t="shared" si="0"/>
        <v>5</v>
      </c>
      <c r="D21" s="39">
        <f t="shared" si="0"/>
        <v>4</v>
      </c>
      <c r="E21" s="39">
        <f t="shared" si="0"/>
        <v>9</v>
      </c>
      <c r="F21" s="39">
        <f t="shared" si="0"/>
        <v>6</v>
      </c>
      <c r="G21" s="39">
        <f t="shared" si="0"/>
        <v>3</v>
      </c>
      <c r="H21" s="39"/>
      <c r="I21" s="39"/>
      <c r="J21" s="19">
        <v>3</v>
      </c>
      <c r="K21" s="19">
        <v>4</v>
      </c>
      <c r="L21" s="19">
        <v>7</v>
      </c>
      <c r="M21" s="19">
        <v>6</v>
      </c>
      <c r="N21" s="19">
        <v>1</v>
      </c>
      <c r="O21" s="19"/>
      <c r="P21" s="19">
        <v>2</v>
      </c>
      <c r="Q21" s="19">
        <v>0</v>
      </c>
      <c r="R21" s="19">
        <v>2</v>
      </c>
      <c r="S21" s="19">
        <v>0</v>
      </c>
      <c r="T21" s="19">
        <v>2</v>
      </c>
      <c r="U21" s="19"/>
      <c r="V21" s="19"/>
      <c r="W21" s="19"/>
      <c r="X21" s="19">
        <v>57</v>
      </c>
      <c r="Y21" s="19">
        <v>89</v>
      </c>
      <c r="Z21" s="19">
        <v>146</v>
      </c>
      <c r="AA21" s="19">
        <v>111</v>
      </c>
      <c r="AB21" s="19">
        <v>35</v>
      </c>
      <c r="AC21" s="19"/>
      <c r="AD21" s="19"/>
      <c r="AE21" s="19">
        <v>14</v>
      </c>
      <c r="AF21" s="19">
        <v>85</v>
      </c>
      <c r="AG21" s="19">
        <v>99</v>
      </c>
      <c r="AH21" s="19">
        <v>87</v>
      </c>
      <c r="AI21" s="19">
        <v>12</v>
      </c>
    </row>
    <row r="22" spans="1:35" s="28" customFormat="1">
      <c r="A22" s="30" t="s">
        <v>33</v>
      </c>
      <c r="B22" s="14" t="s">
        <v>0</v>
      </c>
      <c r="C22" s="39">
        <f t="shared" si="0"/>
        <v>46</v>
      </c>
      <c r="D22" s="39">
        <f t="shared" si="0"/>
        <v>76</v>
      </c>
      <c r="E22" s="39">
        <f t="shared" si="0"/>
        <v>122</v>
      </c>
      <c r="F22" s="39">
        <f t="shared" si="0"/>
        <v>34</v>
      </c>
      <c r="G22" s="39">
        <f t="shared" si="0"/>
        <v>88</v>
      </c>
      <c r="H22" s="39"/>
      <c r="I22" s="39"/>
      <c r="J22" s="19">
        <v>42</v>
      </c>
      <c r="K22" s="19">
        <v>67</v>
      </c>
      <c r="L22" s="19">
        <v>109</v>
      </c>
      <c r="M22" s="19">
        <v>27</v>
      </c>
      <c r="N22" s="19">
        <v>82</v>
      </c>
      <c r="O22" s="19"/>
      <c r="P22" s="19">
        <v>4</v>
      </c>
      <c r="Q22" s="19">
        <v>9</v>
      </c>
      <c r="R22" s="19">
        <v>13</v>
      </c>
      <c r="S22" s="19">
        <v>7</v>
      </c>
      <c r="T22" s="19">
        <v>6</v>
      </c>
      <c r="U22" s="19"/>
      <c r="V22" s="19"/>
      <c r="W22" s="19"/>
      <c r="X22" s="19">
        <v>103</v>
      </c>
      <c r="Y22" s="19">
        <v>177</v>
      </c>
      <c r="Z22" s="19">
        <v>280</v>
      </c>
      <c r="AA22" s="19">
        <v>172</v>
      </c>
      <c r="AB22" s="19">
        <v>108</v>
      </c>
      <c r="AC22" s="19"/>
      <c r="AD22" s="19"/>
      <c r="AE22" s="19">
        <v>22</v>
      </c>
      <c r="AF22" s="19">
        <v>171</v>
      </c>
      <c r="AG22" s="19">
        <v>193</v>
      </c>
      <c r="AH22" s="19">
        <v>168</v>
      </c>
      <c r="AI22" s="19">
        <v>25</v>
      </c>
    </row>
    <row r="23" spans="1:35" s="28" customFormat="1">
      <c r="A23" s="30" t="s">
        <v>34</v>
      </c>
      <c r="B23" s="14" t="s">
        <v>0</v>
      </c>
      <c r="C23" s="39">
        <f t="shared" si="0"/>
        <v>89</v>
      </c>
      <c r="D23" s="39">
        <f t="shared" si="0"/>
        <v>108</v>
      </c>
      <c r="E23" s="39">
        <f t="shared" si="0"/>
        <v>197</v>
      </c>
      <c r="F23" s="39">
        <f t="shared" si="0"/>
        <v>33</v>
      </c>
      <c r="G23" s="39">
        <f t="shared" si="0"/>
        <v>164</v>
      </c>
      <c r="H23" s="39"/>
      <c r="I23" s="39"/>
      <c r="J23" s="19">
        <v>82</v>
      </c>
      <c r="K23" s="19">
        <v>104</v>
      </c>
      <c r="L23" s="19">
        <v>186</v>
      </c>
      <c r="M23" s="19">
        <v>31</v>
      </c>
      <c r="N23" s="19">
        <v>155</v>
      </c>
      <c r="O23" s="19"/>
      <c r="P23" s="19">
        <v>7</v>
      </c>
      <c r="Q23" s="19">
        <v>4</v>
      </c>
      <c r="R23" s="19">
        <v>11</v>
      </c>
      <c r="S23" s="19">
        <v>2</v>
      </c>
      <c r="T23" s="19">
        <v>9</v>
      </c>
      <c r="U23" s="19"/>
      <c r="V23" s="19"/>
      <c r="W23" s="19"/>
      <c r="X23" s="19">
        <v>292</v>
      </c>
      <c r="Y23" s="19">
        <v>374</v>
      </c>
      <c r="Z23" s="19">
        <v>666</v>
      </c>
      <c r="AA23" s="19">
        <v>422</v>
      </c>
      <c r="AB23" s="19">
        <v>244</v>
      </c>
      <c r="AC23" s="19"/>
      <c r="AD23" s="19"/>
      <c r="AE23" s="19">
        <v>55</v>
      </c>
      <c r="AF23" s="19">
        <v>291</v>
      </c>
      <c r="AG23" s="19">
        <v>346</v>
      </c>
      <c r="AH23" s="19">
        <v>281</v>
      </c>
      <c r="AI23" s="19">
        <v>65</v>
      </c>
    </row>
    <row r="24" spans="1:35" s="28" customFormat="1">
      <c r="A24" s="30" t="s">
        <v>35</v>
      </c>
      <c r="B24" s="14" t="s">
        <v>0</v>
      </c>
      <c r="C24" s="39">
        <f t="shared" si="0"/>
        <v>34</v>
      </c>
      <c r="D24" s="39">
        <f t="shared" si="0"/>
        <v>48</v>
      </c>
      <c r="E24" s="39">
        <f t="shared" si="0"/>
        <v>82</v>
      </c>
      <c r="F24" s="39">
        <f t="shared" si="0"/>
        <v>48</v>
      </c>
      <c r="G24" s="39">
        <f t="shared" si="0"/>
        <v>34</v>
      </c>
      <c r="H24" s="39"/>
      <c r="I24" s="39"/>
      <c r="J24" s="19">
        <v>29</v>
      </c>
      <c r="K24" s="19">
        <v>47</v>
      </c>
      <c r="L24" s="19">
        <v>76</v>
      </c>
      <c r="M24" s="19">
        <v>45</v>
      </c>
      <c r="N24" s="19">
        <v>31</v>
      </c>
      <c r="O24" s="19"/>
      <c r="P24" s="19">
        <v>5</v>
      </c>
      <c r="Q24" s="19">
        <v>1</v>
      </c>
      <c r="R24" s="19">
        <v>6</v>
      </c>
      <c r="S24" s="19">
        <v>3</v>
      </c>
      <c r="T24" s="19">
        <v>3</v>
      </c>
      <c r="U24" s="19"/>
      <c r="V24" s="19"/>
      <c r="W24" s="19"/>
      <c r="X24" s="19">
        <v>185</v>
      </c>
      <c r="Y24" s="19">
        <v>652</v>
      </c>
      <c r="Z24" s="19">
        <v>837</v>
      </c>
      <c r="AA24" s="19">
        <v>625</v>
      </c>
      <c r="AB24" s="19">
        <v>212</v>
      </c>
      <c r="AC24" s="19"/>
      <c r="AD24" s="19"/>
      <c r="AE24" s="19">
        <v>31</v>
      </c>
      <c r="AF24" s="19">
        <v>238</v>
      </c>
      <c r="AG24" s="19">
        <v>269</v>
      </c>
      <c r="AH24" s="19">
        <v>245</v>
      </c>
      <c r="AI24" s="19">
        <v>24</v>
      </c>
    </row>
    <row r="25" spans="1:35" s="28" customFormat="1">
      <c r="A25" s="30" t="s">
        <v>36</v>
      </c>
      <c r="B25" s="14" t="s">
        <v>0</v>
      </c>
      <c r="C25" s="39">
        <f t="shared" si="0"/>
        <v>28</v>
      </c>
      <c r="D25" s="39">
        <f t="shared" si="0"/>
        <v>57</v>
      </c>
      <c r="E25" s="39">
        <f t="shared" si="0"/>
        <v>85</v>
      </c>
      <c r="F25" s="39">
        <f t="shared" si="0"/>
        <v>33</v>
      </c>
      <c r="G25" s="39">
        <f t="shared" si="0"/>
        <v>52</v>
      </c>
      <c r="H25" s="39"/>
      <c r="I25" s="39"/>
      <c r="J25" s="19">
        <v>27</v>
      </c>
      <c r="K25" s="19">
        <v>50</v>
      </c>
      <c r="L25" s="19">
        <v>77</v>
      </c>
      <c r="M25" s="19">
        <v>29</v>
      </c>
      <c r="N25" s="19">
        <v>48</v>
      </c>
      <c r="O25" s="19"/>
      <c r="P25" s="19">
        <v>1</v>
      </c>
      <c r="Q25" s="19">
        <v>7</v>
      </c>
      <c r="R25" s="19">
        <v>8</v>
      </c>
      <c r="S25" s="19">
        <v>4</v>
      </c>
      <c r="T25" s="19">
        <v>4</v>
      </c>
      <c r="U25" s="19"/>
      <c r="V25" s="19"/>
      <c r="W25" s="19"/>
      <c r="X25" s="19">
        <v>97</v>
      </c>
      <c r="Y25" s="19">
        <v>381</v>
      </c>
      <c r="Z25" s="19">
        <v>478</v>
      </c>
      <c r="AA25" s="19">
        <v>354</v>
      </c>
      <c r="AB25" s="19">
        <v>124</v>
      </c>
      <c r="AC25" s="19"/>
      <c r="AD25" s="19"/>
      <c r="AE25" s="19">
        <v>25</v>
      </c>
      <c r="AF25" s="19">
        <v>309</v>
      </c>
      <c r="AG25" s="19">
        <v>334</v>
      </c>
      <c r="AH25" s="19">
        <v>314</v>
      </c>
      <c r="AI25" s="19">
        <v>20</v>
      </c>
    </row>
    <row r="26" spans="1:35" s="28" customFormat="1">
      <c r="A26" s="30" t="s">
        <v>37</v>
      </c>
      <c r="B26" s="14" t="s">
        <v>0</v>
      </c>
      <c r="C26" s="39">
        <f t="shared" si="0"/>
        <v>106</v>
      </c>
      <c r="D26" s="39">
        <f t="shared" si="0"/>
        <v>149</v>
      </c>
      <c r="E26" s="39">
        <f t="shared" si="0"/>
        <v>255</v>
      </c>
      <c r="F26" s="39">
        <f t="shared" si="0"/>
        <v>110</v>
      </c>
      <c r="G26" s="39">
        <f t="shared" si="0"/>
        <v>145</v>
      </c>
      <c r="H26" s="39"/>
      <c r="I26" s="39"/>
      <c r="J26" s="19">
        <v>94</v>
      </c>
      <c r="K26" s="19">
        <v>128</v>
      </c>
      <c r="L26" s="19">
        <v>222</v>
      </c>
      <c r="M26" s="19">
        <v>95</v>
      </c>
      <c r="N26" s="19">
        <v>127</v>
      </c>
      <c r="O26" s="19"/>
      <c r="P26" s="19">
        <v>12</v>
      </c>
      <c r="Q26" s="19">
        <v>21</v>
      </c>
      <c r="R26" s="19">
        <v>33</v>
      </c>
      <c r="S26" s="19">
        <v>15</v>
      </c>
      <c r="T26" s="19">
        <v>18</v>
      </c>
      <c r="U26" s="19"/>
      <c r="V26" s="19"/>
      <c r="W26" s="19"/>
      <c r="X26" s="19">
        <v>49</v>
      </c>
      <c r="Y26" s="19">
        <v>295</v>
      </c>
      <c r="Z26" s="19">
        <v>344</v>
      </c>
      <c r="AA26" s="19">
        <v>257</v>
      </c>
      <c r="AB26" s="19">
        <v>87</v>
      </c>
      <c r="AC26" s="19"/>
      <c r="AD26" s="19"/>
      <c r="AE26" s="19">
        <v>18</v>
      </c>
      <c r="AF26" s="19">
        <v>242</v>
      </c>
      <c r="AG26" s="19">
        <v>260</v>
      </c>
      <c r="AH26" s="19">
        <v>228</v>
      </c>
      <c r="AI26" s="19">
        <v>32</v>
      </c>
    </row>
    <row r="27" spans="1:35" s="29" customFormat="1">
      <c r="A27" s="30" t="s">
        <v>38</v>
      </c>
      <c r="B27" s="14" t="s">
        <v>0</v>
      </c>
      <c r="C27" s="39">
        <f t="shared" si="0"/>
        <v>7</v>
      </c>
      <c r="D27" s="39">
        <f t="shared" si="0"/>
        <v>244</v>
      </c>
      <c r="E27" s="39">
        <f t="shared" si="0"/>
        <v>251</v>
      </c>
      <c r="F27" s="39">
        <f t="shared" si="0"/>
        <v>61</v>
      </c>
      <c r="G27" s="39">
        <f t="shared" si="0"/>
        <v>190</v>
      </c>
      <c r="H27" s="39"/>
      <c r="I27" s="39"/>
      <c r="J27" s="19">
        <v>6</v>
      </c>
      <c r="K27" s="19">
        <v>221</v>
      </c>
      <c r="L27" s="19">
        <v>227</v>
      </c>
      <c r="M27" s="19">
        <v>55</v>
      </c>
      <c r="N27" s="19">
        <v>172</v>
      </c>
      <c r="O27" s="19"/>
      <c r="P27" s="19">
        <v>1</v>
      </c>
      <c r="Q27" s="19">
        <v>23</v>
      </c>
      <c r="R27" s="19">
        <v>24</v>
      </c>
      <c r="S27" s="19">
        <v>6</v>
      </c>
      <c r="T27" s="19">
        <v>18</v>
      </c>
      <c r="U27" s="19"/>
      <c r="V27" s="19"/>
      <c r="W27" s="19"/>
      <c r="X27" s="19">
        <v>41</v>
      </c>
      <c r="Y27" s="19">
        <v>390</v>
      </c>
      <c r="Z27" s="19">
        <v>431</v>
      </c>
      <c r="AA27" s="19">
        <v>223</v>
      </c>
      <c r="AB27" s="19">
        <v>208</v>
      </c>
      <c r="AC27" s="19"/>
      <c r="AD27" s="19"/>
      <c r="AE27" s="19">
        <v>13</v>
      </c>
      <c r="AF27" s="19">
        <v>428</v>
      </c>
      <c r="AG27" s="19">
        <v>441</v>
      </c>
      <c r="AH27" s="19">
        <v>375</v>
      </c>
      <c r="AI27" s="19">
        <v>66</v>
      </c>
    </row>
    <row r="28" spans="1:35">
      <c r="A28" s="15" t="s">
        <v>13</v>
      </c>
      <c r="B28" s="16" t="s">
        <v>14</v>
      </c>
      <c r="C28" s="39">
        <f t="shared" si="0"/>
        <v>0</v>
      </c>
      <c r="D28" s="39">
        <f t="shared" si="0"/>
        <v>0</v>
      </c>
      <c r="E28" s="39">
        <f t="shared" si="0"/>
        <v>0</v>
      </c>
      <c r="F28" s="39">
        <f t="shared" si="0"/>
        <v>0</v>
      </c>
      <c r="G28" s="39">
        <f t="shared" si="0"/>
        <v>0</v>
      </c>
      <c r="H28" s="39"/>
      <c r="I28" s="39"/>
      <c r="J28" s="17">
        <v>0</v>
      </c>
      <c r="K28" s="18">
        <v>0</v>
      </c>
      <c r="L28" s="18">
        <v>0</v>
      </c>
      <c r="M28" s="18">
        <v>0</v>
      </c>
      <c r="N28" s="19">
        <v>0</v>
      </c>
      <c r="O28" s="19"/>
      <c r="P28" s="18">
        <v>0</v>
      </c>
      <c r="Q28" s="18">
        <v>0</v>
      </c>
      <c r="R28" s="18">
        <v>0</v>
      </c>
      <c r="S28" s="18">
        <v>0</v>
      </c>
      <c r="T28" s="19">
        <v>0</v>
      </c>
      <c r="U28" s="19"/>
      <c r="V28" s="19"/>
      <c r="W28" s="19"/>
      <c r="X28" s="18">
        <v>1736</v>
      </c>
      <c r="Y28" s="18">
        <v>2277</v>
      </c>
      <c r="Z28" s="18">
        <v>4013</v>
      </c>
      <c r="AA28" s="18">
        <v>2412</v>
      </c>
      <c r="AB28" s="19">
        <v>1601</v>
      </c>
      <c r="AC28" s="19"/>
      <c r="AD28" s="19"/>
      <c r="AE28" s="18">
        <v>0</v>
      </c>
      <c r="AF28" s="18">
        <v>0</v>
      </c>
      <c r="AG28" s="18">
        <v>0</v>
      </c>
      <c r="AH28" s="18">
        <v>0</v>
      </c>
      <c r="AI28" s="18">
        <v>0</v>
      </c>
    </row>
    <row r="29" spans="1:35">
      <c r="A29" s="15" t="s">
        <v>13</v>
      </c>
      <c r="B29" s="16" t="s">
        <v>15</v>
      </c>
      <c r="C29" s="39">
        <f t="shared" si="0"/>
        <v>2191</v>
      </c>
      <c r="D29" s="39">
        <f t="shared" si="0"/>
        <v>1158</v>
      </c>
      <c r="E29" s="39">
        <f t="shared" si="0"/>
        <v>3349</v>
      </c>
      <c r="F29" s="39">
        <f t="shared" si="0"/>
        <v>990</v>
      </c>
      <c r="G29" s="39">
        <f t="shared" si="0"/>
        <v>2359</v>
      </c>
      <c r="H29" s="39"/>
      <c r="I29" s="39"/>
      <c r="J29" s="18">
        <v>2191</v>
      </c>
      <c r="K29" s="18">
        <v>1158</v>
      </c>
      <c r="L29" s="18">
        <v>3349</v>
      </c>
      <c r="M29" s="18">
        <v>990</v>
      </c>
      <c r="N29" s="19">
        <v>2359</v>
      </c>
      <c r="O29" s="19"/>
      <c r="P29" s="18">
        <v>0</v>
      </c>
      <c r="Q29" s="18">
        <v>0</v>
      </c>
      <c r="R29" s="18">
        <v>0</v>
      </c>
      <c r="S29" s="18">
        <v>0</v>
      </c>
      <c r="T29" s="19">
        <v>0</v>
      </c>
      <c r="U29" s="19"/>
      <c r="V29" s="19"/>
      <c r="W29" s="19"/>
      <c r="X29" s="18">
        <v>0</v>
      </c>
      <c r="Y29" s="18">
        <v>0</v>
      </c>
      <c r="Z29" s="18">
        <v>0</v>
      </c>
      <c r="AA29" s="18">
        <v>0</v>
      </c>
      <c r="AB29" s="19">
        <v>0</v>
      </c>
      <c r="AC29" s="19"/>
      <c r="AD29" s="19"/>
      <c r="AE29" s="18">
        <v>0</v>
      </c>
      <c r="AF29" s="18">
        <v>0</v>
      </c>
      <c r="AG29" s="18">
        <v>0</v>
      </c>
      <c r="AH29" s="18">
        <v>0</v>
      </c>
      <c r="AI29" s="18">
        <v>0</v>
      </c>
    </row>
    <row r="30" spans="1:35">
      <c r="A30" s="15" t="s">
        <v>13</v>
      </c>
      <c r="B30" s="16" t="s">
        <v>16</v>
      </c>
      <c r="C30" s="39">
        <f t="shared" si="0"/>
        <v>0</v>
      </c>
      <c r="D30" s="39">
        <f t="shared" si="0"/>
        <v>0</v>
      </c>
      <c r="E30" s="39">
        <f t="shared" si="0"/>
        <v>0</v>
      </c>
      <c r="F30" s="39">
        <f t="shared" si="0"/>
        <v>0</v>
      </c>
      <c r="G30" s="39">
        <f t="shared" si="0"/>
        <v>0</v>
      </c>
      <c r="H30" s="39"/>
      <c r="I30" s="39"/>
      <c r="J30" s="18">
        <v>0</v>
      </c>
      <c r="K30" s="18">
        <v>0</v>
      </c>
      <c r="L30" s="18">
        <v>0</v>
      </c>
      <c r="M30" s="18">
        <v>0</v>
      </c>
      <c r="N30" s="19">
        <v>0</v>
      </c>
      <c r="O30" s="19"/>
      <c r="P30" s="18">
        <v>0</v>
      </c>
      <c r="Q30" s="18">
        <v>0</v>
      </c>
      <c r="R30" s="18">
        <v>0</v>
      </c>
      <c r="S30" s="18">
        <v>0</v>
      </c>
      <c r="T30" s="19">
        <v>0</v>
      </c>
      <c r="U30" s="19"/>
      <c r="V30" s="19"/>
      <c r="W30" s="19"/>
      <c r="X30" s="18">
        <v>0</v>
      </c>
      <c r="Y30" s="18">
        <v>0</v>
      </c>
      <c r="Z30" s="18">
        <v>0</v>
      </c>
      <c r="AA30" s="18">
        <v>0</v>
      </c>
      <c r="AB30" s="19">
        <v>0</v>
      </c>
      <c r="AC30" s="19"/>
      <c r="AD30" s="19"/>
      <c r="AE30" s="18">
        <v>451</v>
      </c>
      <c r="AF30" s="18">
        <v>2251</v>
      </c>
      <c r="AG30" s="18">
        <v>2702</v>
      </c>
      <c r="AH30" s="18">
        <v>2194</v>
      </c>
      <c r="AI30" s="18">
        <v>508</v>
      </c>
    </row>
    <row r="31" spans="1:35">
      <c r="A31" s="15" t="s">
        <v>13</v>
      </c>
      <c r="B31" s="16" t="s">
        <v>17</v>
      </c>
      <c r="C31" s="39">
        <f t="shared" si="0"/>
        <v>54</v>
      </c>
      <c r="D31" s="39">
        <f t="shared" si="0"/>
        <v>83</v>
      </c>
      <c r="E31" s="39">
        <f t="shared" si="0"/>
        <v>137</v>
      </c>
      <c r="F31" s="39">
        <f t="shared" si="0"/>
        <v>94</v>
      </c>
      <c r="G31" s="39">
        <f t="shared" si="0"/>
        <v>43</v>
      </c>
      <c r="H31" s="39"/>
      <c r="I31" s="39"/>
      <c r="J31" s="18">
        <v>0</v>
      </c>
      <c r="K31" s="18">
        <v>0</v>
      </c>
      <c r="L31" s="18">
        <v>0</v>
      </c>
      <c r="M31" s="18">
        <v>0</v>
      </c>
      <c r="N31" s="19">
        <v>0</v>
      </c>
      <c r="O31" s="19"/>
      <c r="P31" s="18">
        <v>54</v>
      </c>
      <c r="Q31" s="18">
        <v>83</v>
      </c>
      <c r="R31" s="18">
        <v>137</v>
      </c>
      <c r="S31" s="18">
        <v>94</v>
      </c>
      <c r="T31" s="19">
        <v>43</v>
      </c>
      <c r="U31" s="19"/>
      <c r="V31" s="19"/>
      <c r="W31" s="19"/>
      <c r="X31" s="18">
        <v>0</v>
      </c>
      <c r="Y31" s="18">
        <v>0</v>
      </c>
      <c r="Z31" s="18">
        <v>0</v>
      </c>
      <c r="AA31" s="18">
        <v>0</v>
      </c>
      <c r="AB31" s="19">
        <v>0</v>
      </c>
      <c r="AC31" s="19"/>
      <c r="AD31" s="19"/>
      <c r="AE31" s="18">
        <v>0</v>
      </c>
      <c r="AF31" s="18">
        <v>0</v>
      </c>
      <c r="AG31" s="18">
        <v>0</v>
      </c>
      <c r="AH31" s="18">
        <v>0</v>
      </c>
      <c r="AI31" s="18">
        <v>0</v>
      </c>
    </row>
    <row r="32" spans="1:35">
      <c r="A32" s="22" t="s">
        <v>13</v>
      </c>
      <c r="B32" s="23" t="s">
        <v>18</v>
      </c>
      <c r="C32" s="39">
        <f t="shared" si="0"/>
        <v>2</v>
      </c>
      <c r="D32" s="39">
        <f t="shared" si="0"/>
        <v>5</v>
      </c>
      <c r="E32" s="39">
        <f t="shared" si="0"/>
        <v>7</v>
      </c>
      <c r="F32" s="39">
        <f t="shared" si="0"/>
        <v>0</v>
      </c>
      <c r="G32" s="39">
        <f t="shared" si="0"/>
        <v>7</v>
      </c>
      <c r="H32" s="39"/>
      <c r="I32" s="39"/>
      <c r="J32" s="24">
        <v>2</v>
      </c>
      <c r="K32" s="24">
        <v>5</v>
      </c>
      <c r="L32" s="24">
        <v>7</v>
      </c>
      <c r="M32" s="24">
        <v>0</v>
      </c>
      <c r="N32" s="25">
        <v>7</v>
      </c>
      <c r="O32" s="25"/>
      <c r="P32" s="24">
        <v>0</v>
      </c>
      <c r="Q32" s="24">
        <v>0</v>
      </c>
      <c r="R32" s="24">
        <v>0</v>
      </c>
      <c r="S32" s="24">
        <v>0</v>
      </c>
      <c r="T32" s="25">
        <v>0</v>
      </c>
      <c r="U32" s="25"/>
      <c r="V32" s="25"/>
      <c r="W32" s="25"/>
      <c r="X32" s="24">
        <v>111</v>
      </c>
      <c r="Y32" s="24">
        <v>448</v>
      </c>
      <c r="Z32" s="24">
        <v>558</v>
      </c>
      <c r="AA32" s="24">
        <v>307</v>
      </c>
      <c r="AB32" s="25">
        <v>251</v>
      </c>
      <c r="AC32" s="25"/>
      <c r="AD32" s="25"/>
      <c r="AE32" s="24">
        <v>5</v>
      </c>
      <c r="AF32" s="24">
        <v>116</v>
      </c>
      <c r="AG32" s="24">
        <v>121</v>
      </c>
      <c r="AH32" s="24">
        <v>102</v>
      </c>
      <c r="AI32" s="24">
        <v>19</v>
      </c>
    </row>
    <row r="33" spans="1:35">
      <c r="A33" s="27" t="s">
        <v>1</v>
      </c>
      <c r="AI33" s="12" t="s">
        <v>47</v>
      </c>
    </row>
    <row r="36" spans="1:35">
      <c r="A36" s="1"/>
      <c r="B36" s="33" t="s">
        <v>48</v>
      </c>
    </row>
    <row r="37" spans="1:35">
      <c r="B37" s="34" t="s">
        <v>39</v>
      </c>
      <c r="C37" s="34" t="s">
        <v>49</v>
      </c>
      <c r="D37" s="34" t="s">
        <v>40</v>
      </c>
      <c r="E37" s="34"/>
      <c r="F37" s="34"/>
    </row>
    <row r="38" spans="1:35">
      <c r="A38" s="34" t="s">
        <v>50</v>
      </c>
      <c r="B38" s="35">
        <f>H5</f>
        <v>32.906696345761453</v>
      </c>
      <c r="C38" s="35">
        <f>AC5</f>
        <v>62.419047619047618</v>
      </c>
      <c r="D38" s="35">
        <f>AJ5</f>
        <v>84.499785315586081</v>
      </c>
    </row>
    <row r="39" spans="1:35">
      <c r="A39" s="34" t="s">
        <v>51</v>
      </c>
      <c r="B39" s="35">
        <f>H6</f>
        <v>31.033495562553682</v>
      </c>
      <c r="C39" s="35">
        <f>AC6</f>
        <v>59.483701597024719</v>
      </c>
      <c r="D39" s="35">
        <f>AJ6</f>
        <v>81.331916400991858</v>
      </c>
    </row>
    <row r="40" spans="1:35">
      <c r="A40" s="34" t="s">
        <v>52</v>
      </c>
      <c r="B40" s="35">
        <f>H7</f>
        <v>36.354056902002107</v>
      </c>
      <c r="C40" s="35">
        <f>AC7</f>
        <v>64.682071175577676</v>
      </c>
      <c r="D40" s="35">
        <f>AJ7</f>
        <v>86.647454370797306</v>
      </c>
    </row>
    <row r="42" spans="1:35">
      <c r="B42" s="41" t="s">
        <v>55</v>
      </c>
      <c r="C42" s="41"/>
      <c r="D42" s="41"/>
    </row>
    <row r="43" spans="1:35">
      <c r="B43" s="34" t="s">
        <v>39</v>
      </c>
      <c r="C43" s="34" t="s">
        <v>49</v>
      </c>
      <c r="D43" s="34" t="s">
        <v>40</v>
      </c>
    </row>
    <row r="44" spans="1:35">
      <c r="A44" s="34" t="s">
        <v>50</v>
      </c>
      <c r="B44" s="42">
        <f>G5</f>
        <v>3617</v>
      </c>
      <c r="C44" s="42">
        <f>AB5</f>
        <v>3946</v>
      </c>
      <c r="D44" s="42">
        <f>AI5</f>
        <v>1083</v>
      </c>
    </row>
    <row r="45" spans="1:35">
      <c r="A45" s="34" t="s">
        <v>51</v>
      </c>
      <c r="B45" s="42">
        <f>G6</f>
        <v>2409</v>
      </c>
      <c r="C45" s="42">
        <f>AB6</f>
        <v>1852</v>
      </c>
      <c r="D45" s="42">
        <f>AI6</f>
        <v>527</v>
      </c>
    </row>
    <row r="46" spans="1:35">
      <c r="A46" s="34" t="s">
        <v>52</v>
      </c>
      <c r="B46" s="42">
        <f>G7</f>
        <v>1208</v>
      </c>
      <c r="C46" s="42">
        <f>AB7</f>
        <v>2094</v>
      </c>
      <c r="D46" s="42">
        <f>AI7</f>
        <v>556</v>
      </c>
    </row>
    <row r="49" spans="1:5">
      <c r="B49" s="41" t="s">
        <v>56</v>
      </c>
      <c r="C49" s="41"/>
      <c r="D49" s="41"/>
    </row>
    <row r="50" spans="1:5">
      <c r="B50" s="34" t="s">
        <v>39</v>
      </c>
      <c r="C50" s="34" t="s">
        <v>49</v>
      </c>
      <c r="D50" s="34" t="s">
        <v>40</v>
      </c>
    </row>
    <row r="51" spans="1:5">
      <c r="A51" s="34" t="s">
        <v>50</v>
      </c>
      <c r="B51" s="42">
        <f>F5</f>
        <v>1774</v>
      </c>
      <c r="C51" s="42">
        <f>AA5</f>
        <v>6554</v>
      </c>
      <c r="D51" s="42">
        <f>AH5</f>
        <v>5904</v>
      </c>
    </row>
    <row r="52" spans="1:5">
      <c r="A52" s="34" t="s">
        <v>51</v>
      </c>
      <c r="B52" s="42">
        <f>F6</f>
        <v>1084</v>
      </c>
      <c r="C52" s="42">
        <f>AA6</f>
        <v>2719</v>
      </c>
      <c r="D52" s="42">
        <f>AH6</f>
        <v>2296</v>
      </c>
    </row>
    <row r="53" spans="1:5">
      <c r="A53" s="34" t="s">
        <v>52</v>
      </c>
      <c r="B53" s="42">
        <f>F7</f>
        <v>690</v>
      </c>
      <c r="C53" s="42">
        <f>AA7</f>
        <v>3835</v>
      </c>
      <c r="D53" s="42">
        <f>AH7</f>
        <v>3608</v>
      </c>
    </row>
    <row r="55" spans="1:5">
      <c r="A55" s="33" t="s">
        <v>0</v>
      </c>
      <c r="B55" s="41"/>
      <c r="C55" s="41"/>
      <c r="D55" s="41"/>
    </row>
    <row r="56" spans="1:5">
      <c r="A56" s="33"/>
      <c r="B56" s="41" t="s">
        <v>42</v>
      </c>
      <c r="C56" s="41" t="s">
        <v>13</v>
      </c>
      <c r="D56" s="41" t="s">
        <v>41</v>
      </c>
    </row>
    <row r="57" spans="1:5">
      <c r="A57" s="41" t="s">
        <v>57</v>
      </c>
      <c r="B57" s="42">
        <v>7528</v>
      </c>
      <c r="C57" s="42">
        <v>4550</v>
      </c>
      <c r="D57" s="42">
        <v>2978</v>
      </c>
      <c r="E57" s="11"/>
    </row>
    <row r="58" spans="1:5">
      <c r="A58" s="41" t="s">
        <v>58</v>
      </c>
      <c r="B58" s="42">
        <v>15351</v>
      </c>
      <c r="C58" s="42">
        <v>6338</v>
      </c>
      <c r="D58" s="42">
        <v>9013</v>
      </c>
      <c r="E58" s="11"/>
    </row>
    <row r="59" spans="1:5">
      <c r="A59" s="41" t="s">
        <v>56</v>
      </c>
      <c r="B59" s="42">
        <v>14232</v>
      </c>
      <c r="C59" s="42">
        <v>6099</v>
      </c>
      <c r="D59" s="42">
        <v>8133</v>
      </c>
    </row>
    <row r="60" spans="1:5">
      <c r="A60" s="41" t="s">
        <v>55</v>
      </c>
      <c r="B60" s="42">
        <v>8646</v>
      </c>
      <c r="C60" s="42">
        <v>4788</v>
      </c>
      <c r="D60" s="42">
        <v>3858</v>
      </c>
    </row>
    <row r="61" spans="1:5">
      <c r="B61" s="14"/>
      <c r="C61" s="14"/>
      <c r="D61" s="14"/>
    </row>
    <row r="62" spans="1:5">
      <c r="A62" s="1"/>
      <c r="B62" s="11"/>
      <c r="C62" s="11"/>
      <c r="D62" s="11"/>
      <c r="E62" s="11"/>
    </row>
    <row r="63" spans="1:5">
      <c r="A63" s="1"/>
      <c r="B63" s="11"/>
      <c r="C63" s="11"/>
      <c r="D63" s="11"/>
      <c r="E63" s="11"/>
    </row>
    <row r="64" spans="1:5">
      <c r="A64" s="1"/>
      <c r="B64" s="11"/>
      <c r="C64" s="11"/>
      <c r="D64" s="11"/>
      <c r="E64" s="11"/>
    </row>
    <row r="65" spans="1:11">
      <c r="A65" s="1"/>
      <c r="B65" s="11"/>
      <c r="C65" s="11"/>
      <c r="D65" s="11"/>
      <c r="E65" s="11"/>
    </row>
    <row r="66" spans="1:11">
      <c r="B66" s="33" t="s">
        <v>59</v>
      </c>
    </row>
    <row r="67" spans="1:11">
      <c r="B67" s="41"/>
      <c r="H67" s="41" t="s">
        <v>60</v>
      </c>
    </row>
    <row r="68" spans="1:11">
      <c r="A68" s="1"/>
      <c r="B68" s="41"/>
      <c r="C68" s="41" t="s">
        <v>61</v>
      </c>
      <c r="D68" s="41" t="s">
        <v>62</v>
      </c>
      <c r="E68" s="41" t="s">
        <v>63</v>
      </c>
      <c r="F68" s="41" t="s">
        <v>64</v>
      </c>
      <c r="G68" s="41"/>
      <c r="H68" s="43" t="s">
        <v>65</v>
      </c>
      <c r="I68" s="41" t="s">
        <v>66</v>
      </c>
      <c r="J68" s="41" t="s">
        <v>67</v>
      </c>
      <c r="K68" s="41"/>
    </row>
    <row r="69" spans="1:11">
      <c r="A69" s="1"/>
      <c r="B69" s="41" t="s">
        <v>19</v>
      </c>
      <c r="C69" s="41">
        <v>590</v>
      </c>
      <c r="D69" s="41">
        <v>339</v>
      </c>
      <c r="E69" s="41">
        <v>251</v>
      </c>
      <c r="F69" s="35">
        <f>D69/C69*100</f>
        <v>57.457627118644069</v>
      </c>
      <c r="G69" s="41"/>
      <c r="H69" s="44">
        <v>10</v>
      </c>
      <c r="I69" s="35">
        <f t="shared" ref="I69:I88" si="1">C69/H69</f>
        <v>59</v>
      </c>
      <c r="J69" s="35">
        <f t="shared" ref="J69:J88" si="2">D69/H69</f>
        <v>33.9</v>
      </c>
      <c r="K69" s="41"/>
    </row>
    <row r="70" spans="1:11">
      <c r="A70" s="1"/>
      <c r="B70" s="41" t="s">
        <v>20</v>
      </c>
      <c r="C70" s="41">
        <v>692</v>
      </c>
      <c r="D70" s="41">
        <v>367</v>
      </c>
      <c r="E70" s="41">
        <v>325</v>
      </c>
      <c r="F70" s="35">
        <f t="shared" ref="F70:F88" si="3">D70/C70*100</f>
        <v>53.034682080924853</v>
      </c>
      <c r="G70" s="41"/>
      <c r="H70" s="44">
        <v>8</v>
      </c>
      <c r="I70" s="35">
        <f t="shared" si="1"/>
        <v>86.5</v>
      </c>
      <c r="J70" s="35">
        <f t="shared" si="2"/>
        <v>45.875</v>
      </c>
      <c r="K70" s="41"/>
    </row>
    <row r="71" spans="1:11">
      <c r="A71" s="1"/>
      <c r="B71" s="41" t="s">
        <v>21</v>
      </c>
      <c r="C71" s="41">
        <v>400</v>
      </c>
      <c r="D71" s="41">
        <v>332</v>
      </c>
      <c r="E71" s="41">
        <v>68</v>
      </c>
      <c r="F71" s="35">
        <f t="shared" si="3"/>
        <v>83</v>
      </c>
      <c r="G71" s="41"/>
      <c r="H71" s="44">
        <v>4</v>
      </c>
      <c r="I71" s="35">
        <f t="shared" si="1"/>
        <v>100</v>
      </c>
      <c r="J71" s="35">
        <f t="shared" si="2"/>
        <v>83</v>
      </c>
      <c r="K71" s="41"/>
    </row>
    <row r="72" spans="1:11">
      <c r="A72" s="1"/>
      <c r="B72" s="41" t="s">
        <v>22</v>
      </c>
      <c r="C72" s="41">
        <v>658</v>
      </c>
      <c r="D72" s="41">
        <v>407</v>
      </c>
      <c r="E72" s="41">
        <v>251</v>
      </c>
      <c r="F72" s="35">
        <f t="shared" si="3"/>
        <v>61.854103343465049</v>
      </c>
      <c r="G72" s="41"/>
      <c r="H72" s="44">
        <v>5</v>
      </c>
      <c r="I72" s="35">
        <f t="shared" si="1"/>
        <v>131.6</v>
      </c>
      <c r="J72" s="35">
        <f t="shared" si="2"/>
        <v>81.400000000000006</v>
      </c>
      <c r="K72" s="41"/>
    </row>
    <row r="73" spans="1:11">
      <c r="A73" s="1"/>
      <c r="B73" s="41" t="s">
        <v>23</v>
      </c>
      <c r="C73" s="41">
        <v>679</v>
      </c>
      <c r="D73" s="41">
        <v>485</v>
      </c>
      <c r="E73" s="41">
        <v>194</v>
      </c>
      <c r="F73" s="35">
        <f t="shared" si="3"/>
        <v>71.428571428571431</v>
      </c>
      <c r="G73" s="41"/>
      <c r="H73" s="44">
        <v>7</v>
      </c>
      <c r="I73" s="35">
        <f t="shared" si="1"/>
        <v>97</v>
      </c>
      <c r="J73" s="35">
        <f t="shared" si="2"/>
        <v>69.285714285714292</v>
      </c>
      <c r="K73" s="41"/>
    </row>
    <row r="74" spans="1:11">
      <c r="B74" s="41" t="s">
        <v>24</v>
      </c>
      <c r="C74" s="41">
        <v>423</v>
      </c>
      <c r="D74" s="41">
        <v>253</v>
      </c>
      <c r="E74" s="41">
        <v>170</v>
      </c>
      <c r="F74" s="35">
        <f t="shared" si="3"/>
        <v>59.810874704491724</v>
      </c>
      <c r="G74" s="41"/>
      <c r="H74" s="44">
        <v>5</v>
      </c>
      <c r="I74" s="35">
        <f t="shared" si="1"/>
        <v>84.6</v>
      </c>
      <c r="J74" s="35">
        <f t="shared" si="2"/>
        <v>50.6</v>
      </c>
      <c r="K74" s="41"/>
    </row>
    <row r="75" spans="1:11">
      <c r="B75" s="41" t="s">
        <v>25</v>
      </c>
      <c r="C75" s="41">
        <v>608</v>
      </c>
      <c r="D75" s="41">
        <v>366</v>
      </c>
      <c r="E75" s="41">
        <v>242</v>
      </c>
      <c r="F75" s="35">
        <f t="shared" si="3"/>
        <v>60.19736842105263</v>
      </c>
      <c r="G75" s="41"/>
      <c r="H75" s="44">
        <v>1</v>
      </c>
      <c r="I75" s="35">
        <f t="shared" si="1"/>
        <v>608</v>
      </c>
      <c r="J75" s="35">
        <f t="shared" si="2"/>
        <v>366</v>
      </c>
      <c r="K75" s="41"/>
    </row>
    <row r="76" spans="1:11">
      <c r="B76" s="41" t="s">
        <v>26</v>
      </c>
      <c r="C76" s="41">
        <v>519</v>
      </c>
      <c r="D76" s="41">
        <v>401</v>
      </c>
      <c r="E76" s="41">
        <v>118</v>
      </c>
      <c r="F76" s="35">
        <f t="shared" si="3"/>
        <v>77.263969171483623</v>
      </c>
      <c r="G76" s="41"/>
      <c r="H76" s="44">
        <v>8</v>
      </c>
      <c r="I76" s="35">
        <f t="shared" si="1"/>
        <v>64.875</v>
      </c>
      <c r="J76" s="35">
        <f t="shared" si="2"/>
        <v>50.125</v>
      </c>
      <c r="K76" s="41"/>
    </row>
    <row r="77" spans="1:11">
      <c r="B77" s="41" t="s">
        <v>27</v>
      </c>
      <c r="C77" s="41">
        <v>339</v>
      </c>
      <c r="D77" s="41">
        <v>279</v>
      </c>
      <c r="E77" s="41">
        <v>60</v>
      </c>
      <c r="F77" s="35">
        <f t="shared" si="3"/>
        <v>82.30088495575221</v>
      </c>
      <c r="G77" s="41"/>
      <c r="H77" s="44">
        <v>7</v>
      </c>
      <c r="I77" s="35">
        <f t="shared" si="1"/>
        <v>48.428571428571431</v>
      </c>
      <c r="J77" s="35">
        <f t="shared" si="2"/>
        <v>39.857142857142854</v>
      </c>
      <c r="K77" s="41"/>
    </row>
    <row r="78" spans="1:11">
      <c r="B78" s="41" t="s">
        <v>28</v>
      </c>
      <c r="C78" s="41">
        <v>421</v>
      </c>
      <c r="D78" s="41">
        <v>316</v>
      </c>
      <c r="E78" s="41">
        <v>105</v>
      </c>
      <c r="F78" s="35">
        <f t="shared" si="3"/>
        <v>75.059382422802841</v>
      </c>
      <c r="G78" s="41"/>
      <c r="H78" s="44">
        <v>4</v>
      </c>
      <c r="I78" s="35">
        <f t="shared" si="1"/>
        <v>105.25</v>
      </c>
      <c r="J78" s="35">
        <f t="shared" si="2"/>
        <v>79</v>
      </c>
      <c r="K78" s="41"/>
    </row>
    <row r="79" spans="1:11">
      <c r="B79" s="41" t="s">
        <v>29</v>
      </c>
      <c r="C79" s="41">
        <v>63</v>
      </c>
      <c r="D79" s="41">
        <v>51</v>
      </c>
      <c r="E79" s="41">
        <v>12</v>
      </c>
      <c r="F79" s="35">
        <f t="shared" si="3"/>
        <v>80.952380952380949</v>
      </c>
      <c r="G79" s="41"/>
      <c r="H79" s="44">
        <v>2</v>
      </c>
      <c r="I79" s="35">
        <f t="shared" si="1"/>
        <v>31.5</v>
      </c>
      <c r="J79" s="35">
        <f t="shared" si="2"/>
        <v>25.5</v>
      </c>
      <c r="K79" s="41"/>
    </row>
    <row r="80" spans="1:11">
      <c r="B80" s="41" t="s">
        <v>30</v>
      </c>
      <c r="C80" s="41">
        <v>237</v>
      </c>
      <c r="D80" s="41">
        <v>183</v>
      </c>
      <c r="E80" s="41">
        <v>54</v>
      </c>
      <c r="F80" s="35">
        <f t="shared" si="3"/>
        <v>77.215189873417728</v>
      </c>
      <c r="G80" s="41"/>
      <c r="H80" s="44">
        <v>5</v>
      </c>
      <c r="I80" s="35">
        <f t="shared" si="1"/>
        <v>47.4</v>
      </c>
      <c r="J80" s="35">
        <f t="shared" si="2"/>
        <v>36.6</v>
      </c>
      <c r="K80" s="41"/>
    </row>
    <row r="81" spans="2:11">
      <c r="B81" s="41" t="s">
        <v>31</v>
      </c>
      <c r="C81" s="41">
        <v>237</v>
      </c>
      <c r="D81" s="41">
        <v>167</v>
      </c>
      <c r="E81" s="41">
        <v>70</v>
      </c>
      <c r="F81" s="35">
        <f t="shared" si="3"/>
        <v>70.46413502109705</v>
      </c>
      <c r="G81" s="41"/>
      <c r="H81" s="44">
        <v>3</v>
      </c>
      <c r="I81" s="35">
        <f t="shared" si="1"/>
        <v>79</v>
      </c>
      <c r="J81" s="35">
        <f t="shared" si="2"/>
        <v>55.666666666666664</v>
      </c>
      <c r="K81" s="41"/>
    </row>
    <row r="82" spans="2:11">
      <c r="B82" s="41" t="s">
        <v>32</v>
      </c>
      <c r="C82" s="41">
        <v>254</v>
      </c>
      <c r="D82" s="41">
        <v>204</v>
      </c>
      <c r="E82" s="41">
        <v>50</v>
      </c>
      <c r="F82" s="35">
        <f t="shared" si="3"/>
        <v>80.314960629921259</v>
      </c>
      <c r="G82" s="41"/>
      <c r="H82" s="44">
        <v>4</v>
      </c>
      <c r="I82" s="35">
        <f t="shared" si="1"/>
        <v>63.5</v>
      </c>
      <c r="J82" s="35">
        <f t="shared" si="2"/>
        <v>51</v>
      </c>
      <c r="K82" s="41"/>
    </row>
    <row r="83" spans="2:11">
      <c r="B83" s="41" t="s">
        <v>33</v>
      </c>
      <c r="C83" s="41">
        <v>595</v>
      </c>
      <c r="D83" s="41">
        <v>374</v>
      </c>
      <c r="E83" s="41">
        <v>221</v>
      </c>
      <c r="F83" s="35">
        <f t="shared" si="3"/>
        <v>62.857142857142854</v>
      </c>
      <c r="G83" s="41"/>
      <c r="H83" s="44">
        <v>10</v>
      </c>
      <c r="I83" s="35">
        <f t="shared" si="1"/>
        <v>59.5</v>
      </c>
      <c r="J83" s="35">
        <f t="shared" si="2"/>
        <v>37.4</v>
      </c>
      <c r="K83" s="41"/>
    </row>
    <row r="84" spans="2:11">
      <c r="B84" s="41" t="s">
        <v>34</v>
      </c>
      <c r="C84" s="41">
        <v>1209</v>
      </c>
      <c r="D84" s="41">
        <v>736</v>
      </c>
      <c r="E84" s="41">
        <v>473</v>
      </c>
      <c r="F84" s="35">
        <f t="shared" si="3"/>
        <v>60.876757650951198</v>
      </c>
      <c r="G84" s="41"/>
      <c r="H84" s="44">
        <v>9</v>
      </c>
      <c r="I84" s="35">
        <f t="shared" si="1"/>
        <v>134.33333333333334</v>
      </c>
      <c r="J84" s="35">
        <f t="shared" si="2"/>
        <v>81.777777777777771</v>
      </c>
      <c r="K84" s="41"/>
    </row>
    <row r="85" spans="2:11">
      <c r="B85" s="41" t="s">
        <v>35</v>
      </c>
      <c r="C85" s="41">
        <v>1188</v>
      </c>
      <c r="D85" s="41">
        <v>918</v>
      </c>
      <c r="E85" s="41">
        <v>270</v>
      </c>
      <c r="F85" s="35">
        <f t="shared" si="3"/>
        <v>77.272727272727266</v>
      </c>
      <c r="G85" s="41"/>
      <c r="H85" s="44">
        <v>10</v>
      </c>
      <c r="I85" s="35">
        <f t="shared" si="1"/>
        <v>118.8</v>
      </c>
      <c r="J85" s="35">
        <f t="shared" si="2"/>
        <v>91.8</v>
      </c>
      <c r="K85" s="41"/>
    </row>
    <row r="86" spans="2:11">
      <c r="B86" s="41" t="s">
        <v>36</v>
      </c>
      <c r="C86" s="41">
        <v>897</v>
      </c>
      <c r="D86" s="41">
        <v>701</v>
      </c>
      <c r="E86" s="41">
        <v>196</v>
      </c>
      <c r="F86" s="35">
        <f t="shared" si="3"/>
        <v>78.149386845039018</v>
      </c>
      <c r="G86" s="41"/>
      <c r="H86" s="44">
        <v>8</v>
      </c>
      <c r="I86" s="35">
        <f t="shared" si="1"/>
        <v>112.125</v>
      </c>
      <c r="J86" s="35">
        <f t="shared" si="2"/>
        <v>87.625</v>
      </c>
      <c r="K86" s="41"/>
    </row>
    <row r="87" spans="2:11">
      <c r="B87" s="41" t="s">
        <v>37</v>
      </c>
      <c r="C87" s="41">
        <v>859</v>
      </c>
      <c r="D87" s="41">
        <v>595</v>
      </c>
      <c r="E87" s="41">
        <v>264</v>
      </c>
      <c r="F87" s="35">
        <f t="shared" si="3"/>
        <v>69.266589057043078</v>
      </c>
      <c r="G87" s="41"/>
      <c r="H87" s="44">
        <v>2</v>
      </c>
      <c r="I87" s="35">
        <f t="shared" si="1"/>
        <v>429.5</v>
      </c>
      <c r="J87" s="35">
        <f t="shared" si="2"/>
        <v>297.5</v>
      </c>
      <c r="K87" s="41"/>
    </row>
    <row r="88" spans="2:11">
      <c r="B88" s="41" t="s">
        <v>38</v>
      </c>
      <c r="C88" s="41">
        <v>1123</v>
      </c>
      <c r="D88" s="41">
        <v>659</v>
      </c>
      <c r="E88" s="41">
        <v>464</v>
      </c>
      <c r="F88" s="35">
        <f t="shared" si="3"/>
        <v>58.682101513802323</v>
      </c>
      <c r="G88" s="41"/>
      <c r="H88" s="44">
        <v>8</v>
      </c>
      <c r="I88" s="35">
        <f t="shared" si="1"/>
        <v>140.375</v>
      </c>
      <c r="J88" s="35">
        <f t="shared" si="2"/>
        <v>82.375</v>
      </c>
      <c r="K88" s="41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8.30</vt:lpstr>
      <vt:lpstr>8.20 workings</vt:lpstr>
      <vt:lpstr>'8.30'!Print_Area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2018-10-07T05:06:53Z</cp:lastPrinted>
  <dcterms:created xsi:type="dcterms:W3CDTF">2013-04-04T04:05:16Z</dcterms:created>
  <dcterms:modified xsi:type="dcterms:W3CDTF">2018-10-07T05:07:15Z</dcterms:modified>
</cp:coreProperties>
</file>