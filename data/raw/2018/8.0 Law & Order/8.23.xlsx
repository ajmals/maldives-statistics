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23" sheetId="65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'8.23'!$A$1:$AO$71</definedName>
  </definedNames>
  <calcPr calcId="162913"/>
</workbook>
</file>

<file path=xl/calcChain.xml><?xml version="1.0" encoding="utf-8"?>
<calcChain xmlns="http://schemas.openxmlformats.org/spreadsheetml/2006/main">
  <c r="AK13" i="65" l="1"/>
  <c r="AJ13" i="65"/>
  <c r="AI13" i="65"/>
  <c r="AH13" i="65"/>
  <c r="AG13" i="65"/>
  <c r="AF13" i="65"/>
  <c r="AF6" i="65" s="1"/>
  <c r="BN7" i="65" s="1"/>
  <c r="AE13" i="65"/>
  <c r="AD13" i="65"/>
  <c r="AC13" i="65"/>
  <c r="AB13" i="65"/>
  <c r="AA13" i="65"/>
  <c r="Z13" i="65"/>
  <c r="BJ9" i="65" s="1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H6" i="65" s="1"/>
  <c r="F13" i="65"/>
  <c r="E13" i="65"/>
  <c r="D13" i="65"/>
  <c r="C13" i="65"/>
  <c r="B13" i="65"/>
  <c r="BO9" i="65"/>
  <c r="BM32" i="65" s="1"/>
  <c r="BM9" i="65"/>
  <c r="BL9" i="65"/>
  <c r="BM26" i="65" s="1"/>
  <c r="BK9" i="65"/>
  <c r="AK7" i="65"/>
  <c r="AK6" i="65" s="1"/>
  <c r="BO7" i="65" s="1"/>
  <c r="AJ7" i="65"/>
  <c r="AJ6" i="65" s="1"/>
  <c r="BL7" i="65" s="1"/>
  <c r="BL17" i="65" s="1"/>
  <c r="AI7" i="65"/>
  <c r="AI6" i="65" s="1"/>
  <c r="AH7" i="65"/>
  <c r="AG7" i="65"/>
  <c r="AF7" i="65"/>
  <c r="BN8" i="65" s="1"/>
  <c r="AE7" i="65"/>
  <c r="BK8" i="65" s="1"/>
  <c r="AD7" i="65"/>
  <c r="AC7" i="65"/>
  <c r="AC6" i="65" s="1"/>
  <c r="AB7" i="65"/>
  <c r="AA7" i="65"/>
  <c r="AA6" i="65" s="1"/>
  <c r="Z7" i="65"/>
  <c r="BJ8" i="65" s="1"/>
  <c r="Y7" i="65"/>
  <c r="Y6" i="65" s="1"/>
  <c r="X7" i="65"/>
  <c r="W7" i="65"/>
  <c r="V7" i="65"/>
  <c r="U7" i="65"/>
  <c r="U6" i="65" s="1"/>
  <c r="T7" i="65"/>
  <c r="T6" i="65" s="1"/>
  <c r="S7" i="65"/>
  <c r="S6" i="65" s="1"/>
  <c r="R7" i="65"/>
  <c r="Q7" i="65"/>
  <c r="Q6" i="65" s="1"/>
  <c r="P7" i="65"/>
  <c r="O7" i="65"/>
  <c r="N7" i="65"/>
  <c r="M7" i="65"/>
  <c r="M6" i="65" s="1"/>
  <c r="L7" i="65"/>
  <c r="L6" i="65" s="1"/>
  <c r="K7" i="65"/>
  <c r="K6" i="65" s="1"/>
  <c r="J7" i="65"/>
  <c r="I7" i="65"/>
  <c r="I6" i="65" s="1"/>
  <c r="H7" i="65"/>
  <c r="F7" i="65"/>
  <c r="E7" i="65"/>
  <c r="D7" i="65"/>
  <c r="D6" i="65" s="1"/>
  <c r="C7" i="65"/>
  <c r="C6" i="65" s="1"/>
  <c r="B7" i="65"/>
  <c r="B6" i="65" s="1"/>
  <c r="AH6" i="65"/>
  <c r="AG6" i="65"/>
  <c r="AE6" i="65"/>
  <c r="X6" i="65"/>
  <c r="P6" i="65"/>
  <c r="F6" i="65"/>
  <c r="E6" i="65"/>
  <c r="J6" i="65" l="1"/>
  <c r="R6" i="65"/>
  <c r="AB6" i="65"/>
  <c r="N6" i="65"/>
  <c r="AD6" i="65"/>
  <c r="O6" i="65"/>
  <c r="W6" i="65"/>
  <c r="V6" i="65"/>
  <c r="Z6" i="65"/>
  <c r="BJ7" i="65" s="1"/>
  <c r="BM17" i="65"/>
  <c r="BM30" i="65"/>
  <c r="BM24" i="65"/>
  <c r="BM7" i="65"/>
  <c r="BL8" i="65"/>
  <c r="BN9" i="65"/>
  <c r="BK7" i="65"/>
  <c r="BM8" i="65"/>
  <c r="BL19" i="65"/>
  <c r="BM19" i="65"/>
  <c r="BO8" i="65"/>
  <c r="BM31" i="65" l="1"/>
  <c r="BM18" i="65"/>
  <c r="BM25" i="65"/>
  <c r="BL18" i="6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<sst xmlns="http://schemas.openxmlformats.org/spreadsheetml/2006/main" count="309" uniqueCount="113">
  <si>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</si>
  <si>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</si>
  <si>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</si>
  <si>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</si>
  <si>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</si>
  <si>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</si>
  <si>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</si>
  <si>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</si>
  <si>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</si>
  <si>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</si>
  <si>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</si>
  <si>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</si>
  <si>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</si>
  <si>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</si>
  <si>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</si>
  <si>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</si>
  <si>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</si>
  <si>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</si>
  <si>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</si>
  <si>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</si>
  <si>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</si>
  <si>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</si>
  <si>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</si>
  <si>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</si>
  <si>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</si>
  <si>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</si>
  <si>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</si>
  <si>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</si>
  <si>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</si>
  <si>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</si>
  <si>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</si>
  <si>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</si>
  <si>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</si>
  <si>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</si>
  <si>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</si>
  <si>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</si>
  <si>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</si>
  <si>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</si>
  <si>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</si>
  <si>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</si>
  <si>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</si>
  <si>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</si>
  <si>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</si>
  <si>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</si>
  <si>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</si>
  <si>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</si>
  <si>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</si>
  <si>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</si>
  <si>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</si>
  <si>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</si>
  <si>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</si>
  <si>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</si>
  <si>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</si>
  <si>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</si>
  <si>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</si>
  <si>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</si>
  <si>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</si>
  <si>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</si>
  <si>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</si>
  <si>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</si>
  <si>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</si>
  <si>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</si>
  <si>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</si>
  <si>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</si>
  <si>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</si>
  <si>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Drug court</t>
  </si>
  <si>
    <t>Juvenile court</t>
  </si>
  <si>
    <t>Family court</t>
  </si>
  <si>
    <t>Criminal court</t>
  </si>
  <si>
    <t>Civil court</t>
  </si>
  <si>
    <t>އަތޮޅޮތައް</t>
  </si>
  <si>
    <t>Marriage</t>
  </si>
  <si>
    <t>Divorce</t>
  </si>
  <si>
    <t>ކްރިމިނަލް މައްސަލަ</t>
  </si>
  <si>
    <t>ސިވިލް މައްސަލަ</t>
  </si>
  <si>
    <t>އާއިލީ މައްސަލަ</t>
  </si>
  <si>
    <t>ކައިވެނި</t>
  </si>
  <si>
    <t>ވަރި</t>
  </si>
  <si>
    <t>ޖިނާއީ މައްސަލަ</t>
  </si>
  <si>
    <t>މަދަނީ މައްސަލަ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</si>
  <si>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</si>
  <si>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</si>
  <si>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</si>
  <si>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</si>
  <si>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</si>
  <si>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>ފެމިލީކޯޓް</t>
  </si>
  <si>
    <t xml:space="preserve"> Atolls</t>
  </si>
  <si>
    <t>ކްރިމިނަލްކޯޓް</t>
  </si>
  <si>
    <t>ސިވިލް ކޯޓް</t>
  </si>
  <si>
    <t>ޑްރަގް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</si>
  <si>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</si>
  <si>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</si>
  <si>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</si>
  <si>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</si>
  <si>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</si>
  <si>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</si>
  <si>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</si>
  <si>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</si>
  <si>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</si>
  <si>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</si>
  <si>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</si>
  <si>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</si>
  <si>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</si>
  <si>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</si>
  <si>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</si>
  <si>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</si>
  <si>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</si>
  <si>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</si>
  <si>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</si>
  <si>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</si>
  <si>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</si>
  <si>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Table 8.23: SUMMARY OF ALL NEW CASES FILED IN COURTS IN MALE' AND ATOLLS, 2016 - 2017</t>
  </si>
  <si>
    <t xml:space="preserve">ތާވަލް 8.23: މާލެއާއި ރަށްރަށުގެ ކޯޓުތަކަށް ހުށައެޅިފައިވާ މައްސަލަތައް، 2016 -2017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</si>
</sst>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aruma"/>
    </font>
    <font>
      <sz val="10"/>
      <name val="Faruma"/>
    </font>
    <font>
      <sz val="4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1" fillId="0" borderId="19" applyNumberFormat="0" applyFill="0" applyAlignment="0" applyProtection="0"/>
    <xf numFmtId="0" fontId="7" fillId="0" borderId="0"/>
    <xf numFmtId="166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9" applyNumberFormat="0" applyFill="0" applyAlignment="0" applyProtection="0"/>
    <xf numFmtId="0" fontId="16" fillId="0" borderId="22" applyNumberFormat="0" applyFill="0" applyAlignment="0" applyProtection="0"/>
    <xf numFmtId="0" fontId="17" fillId="0" borderId="23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24" applyNumberFormat="0" applyAlignment="0" applyProtection="0"/>
    <xf numFmtId="0" fontId="22" fillId="8" borderId="25" applyNumberFormat="0" applyAlignment="0" applyProtection="0"/>
    <xf numFmtId="0" fontId="23" fillId="8" borderId="24" applyNumberFormat="0" applyAlignment="0" applyProtection="0"/>
    <xf numFmtId="0" fontId="24" fillId="0" borderId="26" applyNumberFormat="0" applyFill="0" applyAlignment="0" applyProtection="0"/>
    <xf numFmtId="0" fontId="25" fillId="9" borderId="27" applyNumberFormat="0" applyAlignment="0" applyProtection="0"/>
    <xf numFmtId="0" fontId="13" fillId="0" borderId="0" applyNumberFormat="0" applyFill="0" applyBorder="0" applyAlignment="0" applyProtection="0"/>
    <xf numFmtId="0" fontId="1" fillId="10" borderId="28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29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34" borderId="0" applyNumberFormat="0" applyBorder="0" applyAlignment="0" applyProtection="0"/>
    <xf numFmtId="0" fontId="1" fillId="0" borderId="0"/>
    <xf numFmtId="0" fontId="7" fillId="0" borderId="0"/>
  </cellStyleXfs>
  <cellXfs count="149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top" wrapText="1"/>
    </xf>
    <xf numFmtId="0" fontId="4" fillId="2" borderId="20" xfId="0" applyNumberFormat="1" applyFont="1" applyFill="1" applyBorder="1" applyAlignment="1">
      <alignment horizontal="center" vertical="center"/>
    </xf>
    <xf numFmtId="0" fontId="4" fillId="2" borderId="20" xfId="0" applyNumberFormat="1" applyFont="1" applyFill="1" applyBorder="1" applyAlignment="1">
      <alignment horizontal="left" vertical="center" wrapText="1"/>
    </xf>
    <xf numFmtId="3" fontId="4" fillId="2" borderId="20" xfId="1" applyNumberFormat="1" applyFont="1" applyFill="1" applyBorder="1" applyAlignment="1"/>
    <xf numFmtId="3" fontId="3" fillId="2" borderId="2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6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1" xfId="1" applyNumberFormat="1" applyFont="1" applyFill="1" applyBorder="1" applyAlignment="1">
      <alignment horizontal="center" vertical="center" wrapText="1"/>
    </xf>
    <xf numFmtId="166" fontId="3" fillId="3" borderId="5" xfId="1" applyNumberFormat="1" applyFont="1" applyFill="1" applyBorder="1" applyAlignment="1">
      <alignment horizontal="right" vertical="center" wrapText="1"/>
    </xf>
    <xf numFmtId="166" fontId="3" fillId="3" borderId="5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3" fillId="2" borderId="0" xfId="1" applyNumberFormat="1" applyFont="1" applyFill="1" applyBorder="1" applyAlignment="1">
      <alignment horizontal="right" vertical="center"/>
    </xf>
    <xf numFmtId="3" fontId="4" fillId="2" borderId="5" xfId="1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top"/>
    </xf>
    <xf numFmtId="164" fontId="4" fillId="2" borderId="0" xfId="0" applyNumberFormat="1" applyFont="1" applyFill="1" applyBorder="1" applyAlignment="1">
      <alignment vertical="center"/>
    </xf>
    <xf numFmtId="164" fontId="4" fillId="2" borderId="9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right" vertical="center" wrapText="1"/>
    </xf>
    <xf numFmtId="164" fontId="3" fillId="2" borderId="48" xfId="0" applyNumberFormat="1" applyFont="1" applyFill="1" applyBorder="1" applyAlignment="1">
      <alignment horizontal="right" vertical="center" wrapText="1"/>
    </xf>
    <xf numFmtId="164" fontId="3" fillId="2" borderId="49" xfId="0" applyNumberFormat="1" applyFont="1" applyFill="1" applyBorder="1" applyAlignment="1">
      <alignment horizontal="right" vertical="center" wrapText="1"/>
    </xf>
    <xf numFmtId="164" fontId="3" fillId="2" borderId="50" xfId="0" applyNumberFormat="1" applyFont="1" applyFill="1" applyBorder="1" applyAlignment="1">
      <alignment horizontal="right" vertical="center" wrapText="1"/>
    </xf>
    <xf numFmtId="164" fontId="3" fillId="2" borderId="9" xfId="0" applyNumberFormat="1" applyFont="1" applyFill="1" applyBorder="1" applyAlignment="1">
      <alignment horizontal="right" vertical="center" wrapText="1"/>
    </xf>
    <xf numFmtId="164" fontId="3" fillId="2" borderId="12" xfId="0" applyNumberFormat="1" applyFont="1" applyFill="1" applyBorder="1" applyAlignment="1">
      <alignment horizontal="right" vertical="center" wrapText="1"/>
    </xf>
    <xf numFmtId="164" fontId="3" fillId="2" borderId="18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2" borderId="47" xfId="0" applyNumberFormat="1" applyFont="1" applyFill="1" applyBorder="1" applyAlignment="1">
      <alignment horizontal="right" vertical="center" wrapText="1"/>
    </xf>
    <xf numFmtId="164" fontId="4" fillId="2" borderId="13" xfId="0" applyNumberFormat="1" applyFont="1" applyFill="1" applyBorder="1" applyAlignment="1">
      <alignment vertical="center"/>
    </xf>
    <xf numFmtId="164" fontId="4" fillId="2" borderId="7" xfId="0" applyNumberFormat="1" applyFont="1" applyFill="1" applyBorder="1" applyAlignment="1">
      <alignment vertical="center"/>
    </xf>
    <xf numFmtId="164" fontId="28" fillId="2" borderId="14" xfId="0" applyNumberFormat="1" applyFont="1" applyFill="1" applyBorder="1" applyAlignment="1">
      <alignment horizontal="right" vertical="center"/>
    </xf>
    <xf numFmtId="164" fontId="28" fillId="2" borderId="8" xfId="0" applyNumberFormat="1" applyFont="1" applyFill="1" applyBorder="1" applyAlignment="1">
      <alignment horizontal="right" vertical="center"/>
    </xf>
    <xf numFmtId="164" fontId="28" fillId="2" borderId="16" xfId="0" applyNumberFormat="1" applyFont="1" applyFill="1" applyBorder="1" applyAlignment="1">
      <alignment horizontal="right" vertical="center"/>
    </xf>
    <xf numFmtId="164" fontId="28" fillId="2" borderId="52" xfId="0" applyNumberFormat="1" applyFont="1" applyFill="1" applyBorder="1" applyAlignment="1">
      <alignment horizontal="right" vertical="center"/>
    </xf>
    <xf numFmtId="164" fontId="28" fillId="2" borderId="51" xfId="0" applyNumberFormat="1" applyFont="1" applyFill="1" applyBorder="1" applyAlignment="1">
      <alignment horizontal="right" vertical="center"/>
    </xf>
    <xf numFmtId="164" fontId="28" fillId="2" borderId="17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 vertical="center" indent="1"/>
    </xf>
    <xf numFmtId="3" fontId="3" fillId="2" borderId="35" xfId="1" applyNumberFormat="1" applyFont="1" applyFill="1" applyBorder="1" applyAlignment="1">
      <alignment horizontal="right" vertical="center"/>
    </xf>
    <xf numFmtId="3" fontId="3" fillId="2" borderId="53" xfId="1" applyNumberFormat="1" applyFont="1" applyFill="1" applyBorder="1" applyAlignment="1">
      <alignment horizontal="right" vertical="center"/>
    </xf>
    <xf numFmtId="3" fontId="3" fillId="2" borderId="54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3" fillId="2" borderId="18" xfId="1" applyNumberFormat="1" applyFont="1" applyFill="1" applyBorder="1" applyAlignment="1">
      <alignment horizontal="right" vertical="center"/>
    </xf>
    <xf numFmtId="3" fontId="3" fillId="2" borderId="55" xfId="1" applyNumberFormat="1" applyFont="1" applyFill="1" applyBorder="1" applyAlignment="1">
      <alignment horizontal="right" vertical="center"/>
    </xf>
    <xf numFmtId="164" fontId="28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64" fontId="4" fillId="2" borderId="31" xfId="0" applyNumberFormat="1" applyFont="1" applyFill="1" applyBorder="1" applyAlignment="1">
      <alignment horizontal="left" vertical="center"/>
    </xf>
    <xf numFmtId="3" fontId="3" fillId="2" borderId="36" xfId="1" applyNumberFormat="1" applyFont="1" applyFill="1" applyBorder="1" applyAlignment="1">
      <alignment horizontal="right" vertical="center"/>
    </xf>
    <xf numFmtId="3" fontId="3" fillId="2" borderId="56" xfId="1" applyNumberFormat="1" applyFont="1" applyFill="1" applyBorder="1" applyAlignment="1">
      <alignment horizontal="right" vertical="center"/>
    </xf>
    <xf numFmtId="3" fontId="3" fillId="2" borderId="57" xfId="1" applyNumberFormat="1" applyFont="1" applyFill="1" applyBorder="1" applyAlignment="1">
      <alignment horizontal="right" vertical="center"/>
    </xf>
    <xf numFmtId="3" fontId="3" fillId="2" borderId="58" xfId="1" applyNumberFormat="1" applyFont="1" applyFill="1" applyBorder="1" applyAlignment="1">
      <alignment horizontal="right" vertical="center"/>
    </xf>
    <xf numFmtId="164" fontId="28" fillId="2" borderId="31" xfId="0" applyNumberFormat="1" applyFont="1" applyFill="1" applyBorder="1" applyAlignment="1">
      <alignment horizontal="right" vertical="center"/>
    </xf>
    <xf numFmtId="164" fontId="4" fillId="2" borderId="31" xfId="0" applyNumberFormat="1" applyFont="1" applyFill="1" applyBorder="1" applyAlignment="1" applyProtection="1">
      <alignment horizontal="left" vertical="center" indent="2"/>
    </xf>
    <xf numFmtId="3" fontId="4" fillId="2" borderId="31" xfId="1" applyNumberFormat="1" applyFont="1" applyFill="1" applyBorder="1" applyAlignment="1">
      <alignment horizontal="right" vertical="center"/>
    </xf>
    <xf numFmtId="3" fontId="4" fillId="2" borderId="59" xfId="1" applyNumberFormat="1" applyFont="1" applyFill="1" applyBorder="1" applyAlignment="1">
      <alignment horizontal="right" vertical="center"/>
    </xf>
    <xf numFmtId="3" fontId="4" fillId="2" borderId="57" xfId="1" applyNumberFormat="1" applyFont="1" applyFill="1" applyBorder="1" applyAlignment="1">
      <alignment horizontal="right" vertical="center"/>
    </xf>
    <xf numFmtId="3" fontId="4" fillId="2" borderId="36" xfId="1" applyNumberFormat="1" applyFont="1" applyFill="1" applyBorder="1" applyAlignment="1">
      <alignment horizontal="right" vertical="center"/>
    </xf>
    <xf numFmtId="3" fontId="4" fillId="2" borderId="32" xfId="1" applyNumberFormat="1" applyFont="1" applyFill="1" applyBorder="1" applyAlignment="1">
      <alignment horizontal="right" vertical="center"/>
    </xf>
    <xf numFmtId="164" fontId="29" fillId="2" borderId="31" xfId="0" applyNumberFormat="1" applyFont="1" applyFill="1" applyBorder="1" applyAlignment="1">
      <alignment horizontal="right" vertical="center" indent="1"/>
    </xf>
    <xf numFmtId="164" fontId="3" fillId="2" borderId="31" xfId="0" applyNumberFormat="1" applyFont="1" applyFill="1" applyBorder="1" applyAlignment="1" applyProtection="1">
      <alignment horizontal="left" vertical="center"/>
    </xf>
    <xf numFmtId="164" fontId="3" fillId="2" borderId="31" xfId="0" applyNumberFormat="1" applyFont="1" applyFill="1" applyBorder="1" applyAlignment="1" applyProtection="1">
      <alignment horizontal="left" vertical="center" indent="1"/>
    </xf>
    <xf numFmtId="164" fontId="29" fillId="2" borderId="31" xfId="0" applyNumberFormat="1" applyFont="1" applyFill="1" applyBorder="1" applyAlignment="1">
      <alignment horizontal="right" vertical="center" indent="2"/>
    </xf>
    <xf numFmtId="164" fontId="4" fillId="2" borderId="40" xfId="0" applyNumberFormat="1" applyFont="1" applyFill="1" applyBorder="1" applyAlignment="1" applyProtection="1">
      <alignment horizontal="left" vertical="center" indent="2"/>
    </xf>
    <xf numFmtId="3" fontId="4" fillId="2" borderId="40" xfId="1" applyNumberFormat="1" applyFont="1" applyFill="1" applyBorder="1" applyAlignment="1">
      <alignment horizontal="right" vertical="center"/>
    </xf>
    <xf numFmtId="3" fontId="4" fillId="2" borderId="60" xfId="1" applyNumberFormat="1" applyFont="1" applyFill="1" applyBorder="1" applyAlignment="1">
      <alignment horizontal="right" vertical="center"/>
    </xf>
    <xf numFmtId="3" fontId="4" fillId="2" borderId="61" xfId="1" applyNumberFormat="1" applyFont="1" applyFill="1" applyBorder="1" applyAlignment="1">
      <alignment horizontal="right" vertical="center"/>
    </xf>
    <xf numFmtId="3" fontId="4" fillId="2" borderId="34" xfId="1" applyNumberFormat="1" applyFont="1" applyFill="1" applyBorder="1" applyAlignment="1">
      <alignment horizontal="right" vertical="center"/>
    </xf>
    <xf numFmtId="3" fontId="4" fillId="2" borderId="33" xfId="1" applyNumberFormat="1" applyFont="1" applyFill="1" applyBorder="1" applyAlignment="1">
      <alignment horizontal="right" vertical="center"/>
    </xf>
    <xf numFmtId="164" fontId="29" fillId="2" borderId="40" xfId="0" applyNumberFormat="1" applyFont="1" applyFill="1" applyBorder="1" applyAlignment="1">
      <alignment horizontal="right" vertical="center" indent="2"/>
    </xf>
    <xf numFmtId="164" fontId="8" fillId="2" borderId="1" xfId="0" applyNumberFormat="1" applyFont="1" applyFill="1" applyBorder="1" applyAlignment="1" applyProtection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2" borderId="31" xfId="0" applyNumberFormat="1" applyFont="1" applyFill="1" applyBorder="1" applyAlignment="1">
      <alignment vertical="center"/>
    </xf>
    <xf numFmtId="164" fontId="4" fillId="2" borderId="31" xfId="0" applyNumberFormat="1" applyFont="1" applyFill="1" applyBorder="1" applyAlignment="1">
      <alignment horizontal="right" vertical="center"/>
    </xf>
    <xf numFmtId="164" fontId="29" fillId="2" borderId="31" xfId="0" applyNumberFormat="1" applyFont="1" applyFill="1" applyBorder="1" applyAlignment="1">
      <alignment vertical="center"/>
    </xf>
    <xf numFmtId="164" fontId="4" fillId="2" borderId="31" xfId="0" applyNumberFormat="1" applyFont="1" applyFill="1" applyBorder="1" applyAlignment="1" applyProtection="1">
      <alignment horizontal="left" vertical="center"/>
    </xf>
    <xf numFmtId="164" fontId="4" fillId="2" borderId="40" xfId="0" applyNumberFormat="1" applyFont="1" applyFill="1" applyBorder="1" applyAlignment="1" applyProtection="1">
      <alignment horizontal="left" vertical="center"/>
    </xf>
    <xf numFmtId="164" fontId="30" fillId="2" borderId="39" xfId="0" applyNumberFormat="1" applyFont="1" applyFill="1" applyBorder="1" applyAlignment="1">
      <alignment vertical="center"/>
    </xf>
    <xf numFmtId="164" fontId="30" fillId="2" borderId="21" xfId="0" applyNumberFormat="1" applyFont="1" applyFill="1" applyBorder="1" applyAlignment="1">
      <alignment vertical="center"/>
    </xf>
    <xf numFmtId="164" fontId="30" fillId="2" borderId="38" xfId="0" applyNumberFormat="1" applyFont="1" applyFill="1" applyBorder="1" applyAlignment="1">
      <alignment vertical="center"/>
    </xf>
    <xf numFmtId="164" fontId="4" fillId="2" borderId="37" xfId="0" applyNumberFormat="1" applyFont="1" applyFill="1" applyBorder="1" applyAlignment="1">
      <alignment vertical="center"/>
    </xf>
    <xf numFmtId="164" fontId="30" fillId="2" borderId="63" xfId="0" applyNumberFormat="1" applyFont="1" applyFill="1" applyBorder="1" applyAlignment="1">
      <alignment vertical="center"/>
    </xf>
    <xf numFmtId="164" fontId="30" fillId="2" borderId="0" xfId="0" applyNumberFormat="1" applyFont="1" applyFill="1" applyBorder="1" applyAlignment="1">
      <alignment vertical="center"/>
    </xf>
    <xf numFmtId="164" fontId="30" fillId="2" borderId="5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29" fillId="2" borderId="0" xfId="0" applyNumberFormat="1" applyFont="1" applyFill="1" applyBorder="1" applyAlignment="1">
      <alignment vertical="center"/>
    </xf>
    <xf numFmtId="164" fontId="29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4" fontId="3" fillId="2" borderId="45" xfId="0" applyNumberFormat="1" applyFont="1" applyFill="1" applyBorder="1" applyAlignment="1">
      <alignment horizontal="center" vertical="center"/>
    </xf>
    <xf numFmtId="3" fontId="4" fillId="2" borderId="18" xfId="1" applyNumberFormat="1" applyFont="1" applyFill="1" applyBorder="1" applyAlignment="1">
      <alignment horizontal="right" vertical="center"/>
    </xf>
    <xf numFmtId="3" fontId="4" fillId="2" borderId="55" xfId="1" applyNumberFormat="1" applyFont="1" applyFill="1" applyBorder="1" applyAlignment="1">
      <alignment horizontal="right" vertical="center"/>
    </xf>
    <xf numFmtId="3" fontId="4" fillId="2" borderId="17" xfId="1" applyNumberFormat="1" applyFont="1" applyFill="1" applyBorder="1" applyAlignment="1">
      <alignment horizontal="right" vertical="center"/>
    </xf>
    <xf numFmtId="3" fontId="4" fillId="2" borderId="62" xfId="1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28" fillId="2" borderId="4" xfId="0" applyNumberFormat="1" applyFont="1" applyFill="1" applyBorder="1" applyAlignment="1">
      <alignment horizontal="right" vertical="center"/>
    </xf>
    <xf numFmtId="164" fontId="28" fillId="2" borderId="0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4" fontId="28" fillId="2" borderId="0" xfId="0" applyNumberFormat="1" applyFont="1" applyFill="1" applyBorder="1" applyAlignment="1">
      <alignment horizontal="center" vertical="center"/>
    </xf>
    <xf numFmtId="164" fontId="3" fillId="2" borderId="41" xfId="0" applyNumberFormat="1" applyFont="1" applyFill="1" applyBorder="1" applyAlignment="1" applyProtection="1">
      <alignment horizontal="center" vertical="top" wrapText="1"/>
    </xf>
    <xf numFmtId="164" fontId="3" fillId="2" borderId="5" xfId="0" applyNumberFormat="1" applyFont="1" applyFill="1" applyBorder="1" applyAlignment="1" applyProtection="1">
      <alignment horizontal="center" vertical="top" wrapText="1"/>
    </xf>
    <xf numFmtId="164" fontId="3" fillId="2" borderId="42" xfId="0" applyNumberFormat="1" applyFont="1" applyFill="1" applyBorder="1" applyAlignment="1">
      <alignment horizontal="left" vertical="center"/>
    </xf>
    <xf numFmtId="164" fontId="3" fillId="2" borderId="47" xfId="0" applyNumberFormat="1" applyFont="1" applyFill="1" applyBorder="1" applyAlignment="1">
      <alignment horizontal="left" vertical="center"/>
    </xf>
    <xf numFmtId="164" fontId="3" fillId="2" borderId="51" xfId="0" applyNumberFormat="1" applyFont="1" applyFill="1" applyBorder="1" applyAlignment="1">
      <alignment horizontal="left" vertical="center"/>
    </xf>
    <xf numFmtId="164" fontId="3" fillId="2" borderId="43" xfId="0" applyNumberFormat="1" applyFont="1" applyFill="1" applyBorder="1" applyAlignment="1">
      <alignment horizontal="center" vertical="center"/>
    </xf>
    <xf numFmtId="164" fontId="3" fillId="2" borderId="44" xfId="0" applyNumberFormat="1" applyFont="1" applyFill="1" applyBorder="1" applyAlignment="1">
      <alignment horizontal="center" vertical="center"/>
    </xf>
    <xf numFmtId="164" fontId="3" fillId="2" borderId="46" xfId="0" applyNumberFormat="1" applyFont="1" applyFill="1" applyBorder="1" applyAlignment="1">
      <alignment horizontal="center" vertical="center"/>
    </xf>
    <xf numFmtId="164" fontId="3" fillId="2" borderId="45" xfId="0" applyNumberFormat="1" applyFont="1" applyFill="1" applyBorder="1" applyAlignment="1">
      <alignment horizontal="center" vertical="center"/>
    </xf>
    <xf numFmtId="164" fontId="3" fillId="2" borderId="30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166" fontId="3" fillId="3" borderId="11" xfId="1" applyNumberFormat="1" applyFont="1" applyFill="1" applyBorder="1" applyAlignment="1">
      <alignment horizontal="center" vertical="center" wrapText="1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4" fillId="2" borderId="64" xfId="0" applyNumberFormat="1" applyFont="1" applyFill="1" applyBorder="1" applyAlignment="1">
      <alignment vertical="center"/>
    </xf>
    <xf numFmtId="164" fontId="4" fillId="2" borderId="65" xfId="0" applyNumberFormat="1" applyFont="1" applyFill="1" applyBorder="1" applyAlignment="1">
      <alignment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>
                <a:latin typeface="+mj-lt"/>
              </a:defRPr>
            </a:pPr>
            <a:r>
              <a:rPr lang="en-US" sz="800">
                <a:latin typeface="+mj-lt"/>
              </a:rPr>
              <a:t>Figure 8.36:  Number</a:t>
            </a:r>
            <a:r>
              <a:rPr lang="en-US" sz="800" baseline="0">
                <a:latin typeface="+mj-lt"/>
              </a:rPr>
              <a:t> of </a:t>
            </a:r>
            <a:r>
              <a:rPr lang="en-US" sz="800">
                <a:latin typeface="+mj-lt"/>
              </a:rPr>
              <a:t>New cases filed at majistrate courts in islands, 2017 </a:t>
            </a:r>
          </a:p>
        </c:rich>
      </c:tx>
      <c:layout>
        <c:manualLayout>
          <c:xMode val="edge"/>
          <c:yMode val="edge"/>
          <c:x val="0.16469649265926906"/>
          <c:y val="2.91390156836867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63702585802825"/>
          <c:y val="0.12385425780110819"/>
          <c:w val="0.87518300275522476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'8.23'!$AG$4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'8.23'!$A$15:$A$34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'8.23'!$AG$15:$AG$34</c:f>
              <c:numCache>
                <c:formatCode>#,##0</c:formatCode>
                <c:ptCount val="20"/>
                <c:pt idx="0">
                  <c:v>72</c:v>
                </c:pt>
                <c:pt idx="1">
                  <c:v>142</c:v>
                </c:pt>
                <c:pt idx="2">
                  <c:v>49</c:v>
                </c:pt>
                <c:pt idx="3">
                  <c:v>141</c:v>
                </c:pt>
                <c:pt idx="4">
                  <c:v>99</c:v>
                </c:pt>
                <c:pt idx="5">
                  <c:v>57</c:v>
                </c:pt>
                <c:pt idx="6">
                  <c:v>143</c:v>
                </c:pt>
                <c:pt idx="7">
                  <c:v>129</c:v>
                </c:pt>
                <c:pt idx="8">
                  <c:v>41</c:v>
                </c:pt>
                <c:pt idx="9">
                  <c:v>40</c:v>
                </c:pt>
                <c:pt idx="10">
                  <c:v>10</c:v>
                </c:pt>
                <c:pt idx="11">
                  <c:v>19</c:v>
                </c:pt>
                <c:pt idx="12">
                  <c:v>21</c:v>
                </c:pt>
                <c:pt idx="13">
                  <c:v>22</c:v>
                </c:pt>
                <c:pt idx="14">
                  <c:v>75</c:v>
                </c:pt>
                <c:pt idx="15">
                  <c:v>178</c:v>
                </c:pt>
                <c:pt idx="16">
                  <c:v>184</c:v>
                </c:pt>
                <c:pt idx="17">
                  <c:v>256</c:v>
                </c:pt>
                <c:pt idx="18">
                  <c:v>275</c:v>
                </c:pt>
                <c:pt idx="19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A-4DF7-B447-41939A55CED1}"/>
            </c:ext>
          </c:extLst>
        </c:ser>
        <c:ser>
          <c:idx val="1"/>
          <c:order val="1"/>
          <c:tx>
            <c:strRef>
              <c:f>'8.23'!$AH$4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'8.23'!$A$15:$A$34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'8.23'!$AH$15:$AH$34</c:f>
              <c:numCache>
                <c:formatCode>#,##0</c:formatCode>
                <c:ptCount val="20"/>
                <c:pt idx="0">
                  <c:v>72</c:v>
                </c:pt>
                <c:pt idx="1">
                  <c:v>64</c:v>
                </c:pt>
                <c:pt idx="2">
                  <c:v>53</c:v>
                </c:pt>
                <c:pt idx="3">
                  <c:v>75</c:v>
                </c:pt>
                <c:pt idx="4">
                  <c:v>112</c:v>
                </c:pt>
                <c:pt idx="5">
                  <c:v>51</c:v>
                </c:pt>
                <c:pt idx="6">
                  <c:v>104</c:v>
                </c:pt>
                <c:pt idx="7">
                  <c:v>160</c:v>
                </c:pt>
                <c:pt idx="8">
                  <c:v>104</c:v>
                </c:pt>
                <c:pt idx="9">
                  <c:v>88</c:v>
                </c:pt>
                <c:pt idx="10">
                  <c:v>18</c:v>
                </c:pt>
                <c:pt idx="11">
                  <c:v>17</c:v>
                </c:pt>
                <c:pt idx="12">
                  <c:v>65</c:v>
                </c:pt>
                <c:pt idx="13">
                  <c:v>41</c:v>
                </c:pt>
                <c:pt idx="14">
                  <c:v>81</c:v>
                </c:pt>
                <c:pt idx="15">
                  <c:v>131</c:v>
                </c:pt>
                <c:pt idx="16">
                  <c:v>284</c:v>
                </c:pt>
                <c:pt idx="17">
                  <c:v>124</c:v>
                </c:pt>
                <c:pt idx="18">
                  <c:v>105</c:v>
                </c:pt>
                <c:pt idx="19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A-4DF7-B447-41939A55CED1}"/>
            </c:ext>
          </c:extLst>
        </c:ser>
        <c:ser>
          <c:idx val="2"/>
          <c:order val="2"/>
          <c:tx>
            <c:strRef>
              <c:f>'8.23'!$AI$4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'8.23'!$A$15:$A$34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'8.23'!$AI$15:$AI$34</c:f>
              <c:numCache>
                <c:formatCode>#,##0</c:formatCode>
                <c:ptCount val="20"/>
                <c:pt idx="0">
                  <c:v>260</c:v>
                </c:pt>
                <c:pt idx="1">
                  <c:v>460</c:v>
                </c:pt>
                <c:pt idx="2">
                  <c:v>293</c:v>
                </c:pt>
                <c:pt idx="3">
                  <c:v>291</c:v>
                </c:pt>
                <c:pt idx="4">
                  <c:v>411</c:v>
                </c:pt>
                <c:pt idx="5">
                  <c:v>257</c:v>
                </c:pt>
                <c:pt idx="6">
                  <c:v>328</c:v>
                </c:pt>
                <c:pt idx="7">
                  <c:v>406</c:v>
                </c:pt>
                <c:pt idx="8">
                  <c:v>273</c:v>
                </c:pt>
                <c:pt idx="9">
                  <c:v>280</c:v>
                </c:pt>
                <c:pt idx="10">
                  <c:v>55</c:v>
                </c:pt>
                <c:pt idx="11">
                  <c:v>123</c:v>
                </c:pt>
                <c:pt idx="12">
                  <c:v>149</c:v>
                </c:pt>
                <c:pt idx="13">
                  <c:v>151</c:v>
                </c:pt>
                <c:pt idx="14">
                  <c:v>306</c:v>
                </c:pt>
                <c:pt idx="15">
                  <c:v>630</c:v>
                </c:pt>
                <c:pt idx="16">
                  <c:v>424</c:v>
                </c:pt>
                <c:pt idx="17">
                  <c:v>423</c:v>
                </c:pt>
                <c:pt idx="18">
                  <c:v>377</c:v>
                </c:pt>
                <c:pt idx="19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A-4DF7-B447-41939A55C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86362368"/>
        <c:axId val="91627520"/>
      </c:barChart>
      <c:catAx>
        <c:axId val="8636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627520"/>
        <c:crosses val="autoZero"/>
        <c:auto val="1"/>
        <c:lblAlgn val="ctr"/>
        <c:lblOffset val="100"/>
        <c:noMultiLvlLbl val="0"/>
      </c:catAx>
      <c:valAx>
        <c:axId val="9162752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863623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1801344212485965"/>
          <c:y val="0.18050009789838414"/>
          <c:w val="0.64927810580744794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8.37: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2017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8525723307037212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'8.23'!$BK$17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'8.23'!$BL$16:$BM$16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'8.23'!$BL$17:$BM$17</c:f>
              <c:numCache>
                <c:formatCode>General_)</c:formatCode>
                <c:ptCount val="2"/>
                <c:pt idx="0">
                  <c:v>5048</c:v>
                </c:pt>
                <c:pt idx="1">
                  <c:v>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8-4A19-9AF6-099AF3F3E0BA}"/>
            </c:ext>
          </c:extLst>
        </c:ser>
        <c:ser>
          <c:idx val="1"/>
          <c:order val="1"/>
          <c:tx>
            <c:strRef>
              <c:f>'8.23'!$BK$18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'8.23'!$BL$16:$BM$16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'8.23'!$BL$18:$BM$18</c:f>
              <c:numCache>
                <c:formatCode>General_)</c:formatCode>
                <c:ptCount val="2"/>
                <c:pt idx="0">
                  <c:v>1979</c:v>
                </c:pt>
                <c:pt idx="1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8-4A19-9AF6-099AF3F3E0BA}"/>
            </c:ext>
          </c:extLst>
        </c:ser>
        <c:ser>
          <c:idx val="2"/>
          <c:order val="2"/>
          <c:tx>
            <c:strRef>
              <c:f>'8.23'!$BK$19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'8.23'!$BL$16:$BM$16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'8.23'!$BL$19:$BM$19</c:f>
              <c:numCache>
                <c:formatCode>General_)</c:formatCode>
                <c:ptCount val="2"/>
                <c:pt idx="0">
                  <c:v>3069</c:v>
                </c:pt>
                <c:pt idx="1">
                  <c:v>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8-4A19-9AF6-099AF3F3E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83840"/>
        <c:axId val="91697920"/>
      </c:barChart>
      <c:catAx>
        <c:axId val="91683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1697920"/>
        <c:crosses val="autoZero"/>
        <c:auto val="1"/>
        <c:lblAlgn val="ctr"/>
        <c:lblOffset val="100"/>
        <c:noMultiLvlLbl val="0"/>
      </c:catAx>
      <c:valAx>
        <c:axId val="9169792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916838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6004627280217827"/>
          <c:y val="0.21464421114027538"/>
          <c:w val="0.54697944461723991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8.39: Number of Divorces by locality, 2015 - 2017</a:t>
            </a:r>
          </a:p>
        </c:rich>
      </c:tx>
      <c:layout>
        <c:manualLayout>
          <c:xMode val="edge"/>
          <c:yMode val="edge"/>
          <c:x val="0.2490083229727863"/>
          <c:y val="1.9073999149315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'8.23'!$BJ$30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'8.23'!$BK$28:$BM$29</c:f>
              <c:multiLvlStrCache>
                <c:ptCount val="3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'8.23'!$BK$30:$BM$30</c:f>
              <c:numCache>
                <c:formatCode>General_)</c:formatCode>
                <c:ptCount val="3"/>
                <c:pt idx="0">
                  <c:v>3358</c:v>
                </c:pt>
                <c:pt idx="1">
                  <c:v>3417</c:v>
                </c:pt>
                <c:pt idx="2">
                  <c:v>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D-4874-A413-13EAB5EBC29C}"/>
            </c:ext>
          </c:extLst>
        </c:ser>
        <c:ser>
          <c:idx val="1"/>
          <c:order val="1"/>
          <c:tx>
            <c:strRef>
              <c:f>'8.23'!$BJ$31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multiLvlStrRef>
              <c:f>'8.23'!$BK$28:$BM$29</c:f>
              <c:multiLvlStrCache>
                <c:ptCount val="3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'8.23'!$BK$31:$BM$31</c:f>
              <c:numCache>
                <c:formatCode>General_)</c:formatCode>
                <c:ptCount val="3"/>
                <c:pt idx="0">
                  <c:v>1288</c:v>
                </c:pt>
                <c:pt idx="1">
                  <c:v>1341</c:v>
                </c:pt>
                <c:pt idx="2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D-4874-A413-13EAB5EBC29C}"/>
            </c:ext>
          </c:extLst>
        </c:ser>
        <c:ser>
          <c:idx val="2"/>
          <c:order val="2"/>
          <c:tx>
            <c:strRef>
              <c:f>'8.23'!$BJ$32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multiLvlStrRef>
              <c:f>'8.23'!$BK$28:$BM$29</c:f>
              <c:multiLvlStrCache>
                <c:ptCount val="3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</c:lvl>
                <c:lvl>
                  <c:pt idx="0">
                    <c:v>Divorce</c:v>
                  </c:pt>
                </c:lvl>
              </c:multiLvlStrCache>
            </c:multiLvlStrRef>
          </c:cat>
          <c:val>
            <c:numRef>
              <c:f>'8.23'!$BK$32:$BM$32</c:f>
              <c:numCache>
                <c:formatCode>General_)</c:formatCode>
                <c:ptCount val="3"/>
                <c:pt idx="0">
                  <c:v>2070</c:v>
                </c:pt>
                <c:pt idx="1">
                  <c:v>2076</c:v>
                </c:pt>
                <c:pt idx="2">
                  <c:v>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D-4874-A413-13EAB5EBC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13536"/>
        <c:axId val="91715072"/>
      </c:barChart>
      <c:catAx>
        <c:axId val="9171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1715072"/>
        <c:crosses val="autoZero"/>
        <c:auto val="1"/>
        <c:lblAlgn val="ctr"/>
        <c:lblOffset val="100"/>
        <c:noMultiLvlLbl val="0"/>
      </c:catAx>
      <c:valAx>
        <c:axId val="9171507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9171353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2403632545178063"/>
          <c:y val="0.19354834070398735"/>
          <c:w val="0.44539697998880001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8.40: Number of</a:t>
            </a:r>
            <a:r>
              <a:rPr lang="en-US" sz="1050" baseline="0"/>
              <a:t> Marriage and Divorce, Republic, 2015 - 2017</a:t>
            </a:r>
            <a:endParaRPr lang="en-US" sz="1050"/>
          </a:p>
        </c:rich>
      </c:tx>
      <c:layout>
        <c:manualLayout>
          <c:xMode val="edge"/>
          <c:yMode val="edge"/>
          <c:x val="0.16916000759714897"/>
          <c:y val="3.6436852173139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'8.23'!$BI$7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8189-4DB6-9331-CCB183C6D5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99D5-416B-84B4-D33CEB04AF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99D5-416B-84B4-D33CEB04AF0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99D5-416B-84B4-D33CEB04AF0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8189-4DB6-9331-CCB183C6D5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8189-4DB6-9331-CCB183C6D54E}"/>
              </c:ext>
            </c:extLst>
          </c:dPt>
          <c:cat>
            <c:multiLvlStrRef>
              <c:f>'8.23'!$BJ$5:$BO$6</c:f>
              <c:multiLvlStrCache>
                <c:ptCount val="6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  <c:pt idx="3">
                    <c:v>2015 </c:v>
                  </c:pt>
                  <c:pt idx="4">
                    <c:v>2016 </c:v>
                  </c:pt>
                  <c:pt idx="5">
                    <c:v>2017 </c:v>
                  </c:pt>
                </c:lvl>
                <c:lvl>
                  <c:pt idx="0">
                    <c:v>Marriage       </c:v>
                  </c:pt>
                  <c:pt idx="3">
                    <c:v> Divorce              </c:v>
                  </c:pt>
                </c:lvl>
              </c:multiLvlStrCache>
            </c:multiLvlStrRef>
          </c:cat>
          <c:val>
            <c:numRef>
              <c:f>'8.23'!$BJ$7:$BO$7</c:f>
              <c:numCache>
                <c:formatCode>#,##0</c:formatCode>
                <c:ptCount val="6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  <c:pt idx="3">
                  <c:v>3358</c:v>
                </c:pt>
                <c:pt idx="4">
                  <c:v>3417</c:v>
                </c:pt>
                <c:pt idx="5">
                  <c:v>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D5-416B-84B4-D33CEB04A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91980160"/>
        <c:axId val="91981696"/>
      </c:barChart>
      <c:catAx>
        <c:axId val="91980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1981696"/>
        <c:crosses val="autoZero"/>
        <c:auto val="1"/>
        <c:lblAlgn val="ctr"/>
        <c:lblOffset val="100"/>
        <c:noMultiLvlLbl val="0"/>
      </c:catAx>
      <c:valAx>
        <c:axId val="9198169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6680364870269565E-3"/>
              <c:y val="0.3477222296365496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919801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+mj-lt"/>
              </a:rPr>
              <a:t>Figure 8.38: Number of Marriages by locality, 2015 - 2017</a:t>
            </a:r>
          </a:p>
        </c:rich>
      </c:tx>
      <c:layout>
        <c:manualLayout>
          <c:xMode val="edge"/>
          <c:yMode val="edge"/>
          <c:x val="0.17941256759306465"/>
          <c:y val="3.4831695813364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'8.23'!$BJ$24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'8.23'!$BK$22:$BM$23</c:f>
              <c:multiLvlStrCache>
                <c:ptCount val="3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</c:lvl>
                <c:lvl>
                  <c:pt idx="0">
                    <c:v>Marriage</c:v>
                  </c:pt>
                </c:lvl>
              </c:multiLvlStrCache>
            </c:multiLvlStrRef>
          </c:cat>
          <c:val>
            <c:numRef>
              <c:f>'8.23'!$BK$24:$BM$24</c:f>
              <c:numCache>
                <c:formatCode>General_)</c:formatCode>
                <c:ptCount val="3"/>
                <c:pt idx="0">
                  <c:v>5763</c:v>
                </c:pt>
                <c:pt idx="1">
                  <c:v>5488</c:v>
                </c:pt>
                <c:pt idx="2">
                  <c:v>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F-4894-8188-3792527F6890}"/>
            </c:ext>
          </c:extLst>
        </c:ser>
        <c:ser>
          <c:idx val="1"/>
          <c:order val="1"/>
          <c:tx>
            <c:strRef>
              <c:f>'8.23'!$BJ$25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multiLvlStrRef>
              <c:f>'8.23'!$BK$22:$BM$23</c:f>
              <c:multiLvlStrCache>
                <c:ptCount val="3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</c:lvl>
                <c:lvl>
                  <c:pt idx="0">
                    <c:v>Marriage</c:v>
                  </c:pt>
                </c:lvl>
              </c:multiLvlStrCache>
            </c:multiLvlStrRef>
          </c:cat>
          <c:val>
            <c:numRef>
              <c:f>'8.23'!$BK$25:$BM$25</c:f>
              <c:numCache>
                <c:formatCode>General_)</c:formatCode>
                <c:ptCount val="3"/>
                <c:pt idx="0">
                  <c:v>2417</c:v>
                </c:pt>
                <c:pt idx="1">
                  <c:v>2304</c:v>
                </c:pt>
                <c:pt idx="2">
                  <c:v>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F-4894-8188-3792527F6890}"/>
            </c:ext>
          </c:extLst>
        </c:ser>
        <c:ser>
          <c:idx val="2"/>
          <c:order val="2"/>
          <c:tx>
            <c:strRef>
              <c:f>'8.23'!$BJ$26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multiLvlStrRef>
              <c:f>'8.23'!$BK$22:$BM$23</c:f>
              <c:multiLvlStrCache>
                <c:ptCount val="3"/>
                <c:lvl>
                  <c:pt idx="0">
                    <c:v>2015 </c:v>
                  </c:pt>
                  <c:pt idx="1">
                    <c:v>2016 </c:v>
                  </c:pt>
                  <c:pt idx="2">
                    <c:v>2017 </c:v>
                  </c:pt>
                </c:lvl>
                <c:lvl>
                  <c:pt idx="0">
                    <c:v>Marriage</c:v>
                  </c:pt>
                </c:lvl>
              </c:multiLvlStrCache>
            </c:multiLvlStrRef>
          </c:cat>
          <c:val>
            <c:numRef>
              <c:f>'8.23'!$BK$26:$BM$26</c:f>
              <c:numCache>
                <c:formatCode>General_)</c:formatCode>
                <c:ptCount val="3"/>
                <c:pt idx="0">
                  <c:v>3346</c:v>
                </c:pt>
                <c:pt idx="1">
                  <c:v>3184</c:v>
                </c:pt>
                <c:pt idx="2">
                  <c:v>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F-4894-8188-3792527F6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88288"/>
        <c:axId val="94189824"/>
      </c:barChart>
      <c:catAx>
        <c:axId val="941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4189824"/>
        <c:crosses val="autoZero"/>
        <c:auto val="1"/>
        <c:lblAlgn val="ctr"/>
        <c:lblOffset val="100"/>
        <c:noMultiLvlLbl val="0"/>
      </c:catAx>
      <c:valAx>
        <c:axId val="9418982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layout/>
          <c:overlay val="0"/>
        </c:title>
        <c:numFmt formatCode="General_)" sourceLinked="1"/>
        <c:majorTickMark val="out"/>
        <c:minorTickMark val="none"/>
        <c:tickLblPos val="nextTo"/>
        <c:crossAx val="941882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2403632545178063"/>
          <c:y val="0.19354834070398735"/>
          <c:w val="0.44539697998880001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28577</xdr:colOff>
      <xdr:row>35</xdr:row>
      <xdr:rowOff>123825</xdr:rowOff>
    </xdr:from>
    <xdr:to>
      <xdr:col>31</xdr:col>
      <xdr:colOff>680356</xdr:colOff>
      <xdr:row>46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425224</xdr:colOff>
      <xdr:row>35</xdr:row>
      <xdr:rowOff>114300</xdr:rowOff>
    </xdr:from>
    <xdr:to>
      <xdr:col>40</xdr:col>
      <xdr:colOff>295274</xdr:colOff>
      <xdr:row>46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578303</xdr:colOff>
      <xdr:row>47</xdr:row>
      <xdr:rowOff>142875</xdr:rowOff>
    </xdr:from>
    <xdr:to>
      <xdr:col>40</xdr:col>
      <xdr:colOff>371475</xdr:colOff>
      <xdr:row>60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62</xdr:row>
      <xdr:rowOff>28576</xdr:rowOff>
    </xdr:from>
    <xdr:to>
      <xdr:col>31</xdr:col>
      <xdr:colOff>680356</xdr:colOff>
      <xdr:row>70</xdr:row>
      <xdr:rowOff>361951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38099</xdr:colOff>
      <xdr:row>47</xdr:row>
      <xdr:rowOff>114300</xdr:rowOff>
    </xdr:from>
    <xdr:to>
      <xdr:col>32</xdr:col>
      <xdr:colOff>8504</xdr:colOff>
      <xdr:row>60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837742</xdr:colOff>
      <xdr:row>36</xdr:row>
      <xdr:rowOff>125341</xdr:rowOff>
    </xdr:from>
    <xdr:to>
      <xdr:col>31</xdr:col>
      <xdr:colOff>143449</xdr:colOff>
      <xdr:row>36</xdr:row>
      <xdr:rowOff>126234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C4F4C05B-41F1-4AC3-8389-2C0C92A7D3FD}"/>
            </a:ext>
          </a:extLst>
        </xdr:cNvPr>
        <xdr:cNvSpPr>
          <a:spLocks noChangeShapeType="1"/>
        </xdr:cNvSpPr>
      </xdr:nvSpPr>
      <xdr:spPr bwMode="auto">
        <a:xfrm>
          <a:off x="837742" y="8628986"/>
          <a:ext cx="3580481" cy="893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34</xdr:col>
      <xdr:colOff>17214</xdr:colOff>
      <xdr:row>36</xdr:row>
      <xdr:rowOff>172138</xdr:rowOff>
    </xdr:from>
    <xdr:to>
      <xdr:col>38</xdr:col>
      <xdr:colOff>183613</xdr:colOff>
      <xdr:row>36</xdr:row>
      <xdr:rowOff>173031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C4F4C05B-41F1-4AC3-8389-2C0C92A7D3FD}"/>
            </a:ext>
          </a:extLst>
        </xdr:cNvPr>
        <xdr:cNvSpPr>
          <a:spLocks noChangeShapeType="1"/>
        </xdr:cNvSpPr>
      </xdr:nvSpPr>
      <xdr:spPr bwMode="auto">
        <a:xfrm>
          <a:off x="6512575" y="8675783"/>
          <a:ext cx="3580481" cy="893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912776</xdr:colOff>
      <xdr:row>48</xdr:row>
      <xdr:rowOff>155542</xdr:rowOff>
    </xdr:from>
    <xdr:to>
      <xdr:col>31</xdr:col>
      <xdr:colOff>432289</xdr:colOff>
      <xdr:row>48</xdr:row>
      <xdr:rowOff>161191</xdr:rowOff>
    </xdr:to>
    <xdr:sp macro="" textlink="">
      <xdr:nvSpPr>
        <xdr:cNvPr id="11" name="Line 4">
          <a:extLst>
            <a:ext uri="{FF2B5EF4-FFF2-40B4-BE49-F238E27FC236}">
              <a16:creationId xmlns:a16="http://schemas.microsoft.com/office/drawing/2014/main" id="{C4F4C05B-41F1-4AC3-8389-2C0C92A7D3FD}"/>
            </a:ext>
          </a:extLst>
        </xdr:cNvPr>
        <xdr:cNvSpPr>
          <a:spLocks noChangeShapeType="1"/>
        </xdr:cNvSpPr>
      </xdr:nvSpPr>
      <xdr:spPr bwMode="auto">
        <a:xfrm>
          <a:off x="912776" y="11585542"/>
          <a:ext cx="3791109" cy="5649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34</xdr:col>
      <xdr:colOff>446942</xdr:colOff>
      <xdr:row>48</xdr:row>
      <xdr:rowOff>168519</xdr:rowOff>
    </xdr:from>
    <xdr:to>
      <xdr:col>39</xdr:col>
      <xdr:colOff>287514</xdr:colOff>
      <xdr:row>48</xdr:row>
      <xdr:rowOff>169412</xdr:rowOff>
    </xdr:to>
    <xdr:sp macro="" textlink="">
      <xdr:nvSpPr>
        <xdr:cNvPr id="12" name="Line 4">
          <a:extLst>
            <a:ext uri="{FF2B5EF4-FFF2-40B4-BE49-F238E27FC236}">
              <a16:creationId xmlns:a16="http://schemas.microsoft.com/office/drawing/2014/main" id="{C4F4C05B-41F1-4AC3-8389-2C0C92A7D3FD}"/>
            </a:ext>
          </a:extLst>
        </xdr:cNvPr>
        <xdr:cNvSpPr>
          <a:spLocks noChangeShapeType="1"/>
        </xdr:cNvSpPr>
      </xdr:nvSpPr>
      <xdr:spPr bwMode="auto">
        <a:xfrm>
          <a:off x="6938596" y="11598519"/>
          <a:ext cx="3577303" cy="893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937847</xdr:colOff>
      <xdr:row>63</xdr:row>
      <xdr:rowOff>80597</xdr:rowOff>
    </xdr:from>
    <xdr:to>
      <xdr:col>31</xdr:col>
      <xdr:colOff>468923</xdr:colOff>
      <xdr:row>63</xdr:row>
      <xdr:rowOff>87923</xdr:rowOff>
    </xdr:to>
    <xdr:sp macro="" textlink="">
      <xdr:nvSpPr>
        <xdr:cNvPr id="13" name="Line 4">
          <a:extLst>
            <a:ext uri="{FF2B5EF4-FFF2-40B4-BE49-F238E27FC236}">
              <a16:creationId xmlns:a16="http://schemas.microsoft.com/office/drawing/2014/main" id="{C4F4C05B-41F1-4AC3-8389-2C0C92A7D3FD}"/>
            </a:ext>
          </a:extLst>
        </xdr:cNvPr>
        <xdr:cNvSpPr>
          <a:spLocks noChangeShapeType="1"/>
        </xdr:cNvSpPr>
      </xdr:nvSpPr>
      <xdr:spPr bwMode="auto">
        <a:xfrm>
          <a:off x="937847" y="14243539"/>
          <a:ext cx="3802672" cy="732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/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O86"/>
  <sheetViews>
    <sheetView tabSelected="1" topLeftCell="A4" zoomScaleNormal="100" workbookViewId="0">
      <selection activeCell="AR16" sqref="AR16"/>
    </sheetView>
  </sheetViews>
  <sheetFormatPr defaultColWidth="9.140625" defaultRowHeight="18.75"/>
  <cols>
    <col min="1" max="1" width="19.7109375" style="99" customWidth="1"/>
    <col min="2" max="2" width="13.7109375" style="100" hidden="1" customWidth="1"/>
    <col min="3" max="3" width="12.5703125" style="100" hidden="1" customWidth="1"/>
    <col min="4" max="4" width="13.28515625" style="100" hidden="1" customWidth="1"/>
    <col min="5" max="5" width="12.140625" style="100" hidden="1" customWidth="1"/>
    <col min="6" max="6" width="9.5703125" style="100" hidden="1" customWidth="1"/>
    <col min="7" max="7" width="1.140625" style="100" hidden="1" customWidth="1"/>
    <col min="8" max="8" width="13.28515625" style="100" hidden="1" customWidth="1"/>
    <col min="9" max="9" width="14.42578125" style="100" hidden="1" customWidth="1"/>
    <col min="10" max="10" width="14.28515625" style="100" hidden="1" customWidth="1"/>
    <col min="11" max="12" width="11.28515625" style="100" hidden="1" customWidth="1"/>
    <col min="13" max="13" width="13.28515625" style="100" hidden="1" customWidth="1"/>
    <col min="14" max="14" width="14.42578125" style="100" hidden="1" customWidth="1"/>
    <col min="15" max="15" width="14.28515625" style="100" hidden="1" customWidth="1"/>
    <col min="16" max="17" width="11.28515625" style="100" hidden="1" customWidth="1"/>
    <col min="18" max="18" width="13.28515625" style="100" hidden="1" customWidth="1"/>
    <col min="19" max="19" width="14.42578125" style="100" hidden="1" customWidth="1"/>
    <col min="20" max="20" width="14.28515625" style="100" hidden="1" customWidth="1"/>
    <col min="21" max="22" width="11.28515625" style="100" hidden="1" customWidth="1"/>
    <col min="23" max="27" width="11.140625" style="100" hidden="1" customWidth="1"/>
    <col min="28" max="37" width="11.140625" style="100" customWidth="1"/>
    <col min="38" max="38" width="17.85546875" style="101" customWidth="1"/>
    <col min="39" max="39" width="4.85546875" style="99" customWidth="1"/>
    <col min="40" max="40" width="9.140625" style="99"/>
    <col min="41" max="41" width="7.7109375" style="99" customWidth="1"/>
    <col min="42" max="47" width="9.140625" style="99"/>
    <col min="48" max="57" width="9.140625" style="147"/>
    <col min="58" max="16384" width="9.140625" style="99"/>
  </cols>
  <sheetData>
    <row r="1" spans="1:67" s="43" customFormat="1">
      <c r="A1" s="131" t="s">
        <v>112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</row>
    <row r="2" spans="1:67" s="42" customFormat="1" ht="12.75">
      <c r="A2" s="132" t="s">
        <v>111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</row>
    <row r="3" spans="1:67" s="45" customFormat="1" ht="12.75">
      <c r="A3" s="134" t="s">
        <v>41</v>
      </c>
      <c r="B3" s="137">
        <v>2011</v>
      </c>
      <c r="C3" s="138"/>
      <c r="D3" s="138"/>
      <c r="E3" s="138"/>
      <c r="F3" s="138"/>
      <c r="G3" s="118"/>
      <c r="H3" s="139">
        <v>2012</v>
      </c>
      <c r="I3" s="138"/>
      <c r="J3" s="138"/>
      <c r="K3" s="138"/>
      <c r="L3" s="140"/>
      <c r="M3" s="138">
        <v>2013</v>
      </c>
      <c r="N3" s="138"/>
      <c r="O3" s="138"/>
      <c r="P3" s="138"/>
      <c r="Q3" s="138"/>
      <c r="R3" s="139">
        <v>2014</v>
      </c>
      <c r="S3" s="138"/>
      <c r="T3" s="138"/>
      <c r="U3" s="138"/>
      <c r="V3" s="140"/>
      <c r="W3" s="138">
        <v>2015</v>
      </c>
      <c r="X3" s="138"/>
      <c r="Y3" s="138"/>
      <c r="Z3" s="138"/>
      <c r="AA3" s="138"/>
      <c r="AB3" s="139">
        <v>2016</v>
      </c>
      <c r="AC3" s="138"/>
      <c r="AD3" s="138"/>
      <c r="AE3" s="138"/>
      <c r="AF3" s="138"/>
      <c r="AG3" s="141">
        <v>2017</v>
      </c>
      <c r="AH3" s="142"/>
      <c r="AI3" s="142"/>
      <c r="AJ3" s="142"/>
      <c r="AK3" s="142"/>
      <c r="AL3" s="126" t="s">
        <v>70</v>
      </c>
      <c r="AM3" s="44"/>
    </row>
    <row r="4" spans="1:67" s="56" customFormat="1" ht="25.5">
      <c r="A4" s="135"/>
      <c r="B4" s="46" t="s">
        <v>38</v>
      </c>
      <c r="C4" s="46" t="s">
        <v>6</v>
      </c>
      <c r="D4" s="46" t="s">
        <v>39</v>
      </c>
      <c r="E4" s="46" t="s">
        <v>71</v>
      </c>
      <c r="F4" s="46" t="s">
        <v>72</v>
      </c>
      <c r="G4" s="47"/>
      <c r="H4" s="48" t="s">
        <v>38</v>
      </c>
      <c r="I4" s="46" t="s">
        <v>6</v>
      </c>
      <c r="J4" s="46" t="s">
        <v>39</v>
      </c>
      <c r="K4" s="46" t="s">
        <v>71</v>
      </c>
      <c r="L4" s="49" t="s">
        <v>72</v>
      </c>
      <c r="M4" s="50" t="s">
        <v>38</v>
      </c>
      <c r="N4" s="46" t="s">
        <v>6</v>
      </c>
      <c r="O4" s="46" t="s">
        <v>39</v>
      </c>
      <c r="P4" s="46" t="s">
        <v>71</v>
      </c>
      <c r="Q4" s="51" t="s">
        <v>72</v>
      </c>
      <c r="R4" s="48" t="s">
        <v>38</v>
      </c>
      <c r="S4" s="46" t="s">
        <v>6</v>
      </c>
      <c r="T4" s="46" t="s">
        <v>39</v>
      </c>
      <c r="U4" s="46" t="s">
        <v>71</v>
      </c>
      <c r="V4" s="49" t="s">
        <v>72</v>
      </c>
      <c r="W4" s="50" t="s">
        <v>38</v>
      </c>
      <c r="X4" s="46" t="s">
        <v>6</v>
      </c>
      <c r="Y4" s="46" t="s">
        <v>39</v>
      </c>
      <c r="Z4" s="46" t="s">
        <v>71</v>
      </c>
      <c r="AA4" s="51" t="s">
        <v>72</v>
      </c>
      <c r="AB4" s="48" t="s">
        <v>38</v>
      </c>
      <c r="AC4" s="46" t="s">
        <v>6</v>
      </c>
      <c r="AD4" s="46" t="s">
        <v>39</v>
      </c>
      <c r="AE4" s="46" t="s">
        <v>71</v>
      </c>
      <c r="AF4" s="51" t="s">
        <v>72</v>
      </c>
      <c r="AG4" s="52" t="s">
        <v>38</v>
      </c>
      <c r="AH4" s="53" t="s">
        <v>6</v>
      </c>
      <c r="AI4" s="53" t="s">
        <v>39</v>
      </c>
      <c r="AJ4" s="53" t="s">
        <v>71</v>
      </c>
      <c r="AK4" s="54" t="s">
        <v>72</v>
      </c>
      <c r="AL4" s="127"/>
      <c r="AM4" s="55"/>
    </row>
    <row r="5" spans="1:67" s="63" customFormat="1">
      <c r="A5" s="136"/>
      <c r="B5" s="57" t="s">
        <v>73</v>
      </c>
      <c r="C5" s="57" t="s">
        <v>74</v>
      </c>
      <c r="D5" s="57" t="s">
        <v>75</v>
      </c>
      <c r="E5" s="58" t="s">
        <v>76</v>
      </c>
      <c r="F5" s="115" t="s">
        <v>77</v>
      </c>
      <c r="G5" s="59"/>
      <c r="H5" s="60" t="s">
        <v>73</v>
      </c>
      <c r="I5" s="57" t="s">
        <v>74</v>
      </c>
      <c r="J5" s="57" t="s">
        <v>75</v>
      </c>
      <c r="K5" s="58" t="s">
        <v>76</v>
      </c>
      <c r="L5" s="59" t="s">
        <v>77</v>
      </c>
      <c r="M5" s="61" t="s">
        <v>73</v>
      </c>
      <c r="N5" s="57" t="s">
        <v>74</v>
      </c>
      <c r="O5" s="57" t="s">
        <v>75</v>
      </c>
      <c r="P5" s="58" t="s">
        <v>76</v>
      </c>
      <c r="Q5" s="115" t="s">
        <v>77</v>
      </c>
      <c r="R5" s="60" t="s">
        <v>78</v>
      </c>
      <c r="S5" s="57" t="s">
        <v>79</v>
      </c>
      <c r="T5" s="57" t="s">
        <v>75</v>
      </c>
      <c r="U5" s="58" t="s">
        <v>76</v>
      </c>
      <c r="V5" s="59" t="s">
        <v>77</v>
      </c>
      <c r="W5" s="61" t="s">
        <v>78</v>
      </c>
      <c r="X5" s="57" t="s">
        <v>79</v>
      </c>
      <c r="Y5" s="57" t="s">
        <v>75</v>
      </c>
      <c r="Z5" s="58" t="s">
        <v>76</v>
      </c>
      <c r="AA5" s="115" t="s">
        <v>77</v>
      </c>
      <c r="AB5" s="60" t="s">
        <v>78</v>
      </c>
      <c r="AC5" s="57" t="s">
        <v>79</v>
      </c>
      <c r="AD5" s="57" t="s">
        <v>75</v>
      </c>
      <c r="AE5" s="58" t="s">
        <v>76</v>
      </c>
      <c r="AF5" s="115" t="s">
        <v>77</v>
      </c>
      <c r="AG5" s="62" t="s">
        <v>78</v>
      </c>
      <c r="AH5" s="115" t="s">
        <v>79</v>
      </c>
      <c r="AI5" s="115" t="s">
        <v>75</v>
      </c>
      <c r="AJ5" s="115" t="s">
        <v>76</v>
      </c>
      <c r="AK5" s="115" t="s">
        <v>77</v>
      </c>
      <c r="AL5" s="128"/>
      <c r="BI5" s="46"/>
      <c r="BJ5" s="129" t="s">
        <v>80</v>
      </c>
      <c r="BK5" s="130"/>
      <c r="BM5" s="116" t="s">
        <v>81</v>
      </c>
      <c r="BN5" s="117"/>
    </row>
    <row r="6" spans="1:67" s="72" customFormat="1">
      <c r="A6" s="64" t="s">
        <v>82</v>
      </c>
      <c r="B6" s="65">
        <f>B7+B13</f>
        <v>2764</v>
      </c>
      <c r="C6" s="65">
        <f>C7+C13</f>
        <v>6827</v>
      </c>
      <c r="D6" s="65">
        <f>D7+D13</f>
        <v>6264</v>
      </c>
      <c r="E6" s="65">
        <f>E7+E13</f>
        <v>5960</v>
      </c>
      <c r="F6" s="65">
        <f>F7+F13</f>
        <v>2985</v>
      </c>
      <c r="G6" s="66"/>
      <c r="H6" s="67">
        <f t="shared" ref="H6:AK6" si="0">H7+H13</f>
        <v>2376</v>
      </c>
      <c r="I6" s="65">
        <f t="shared" si="0"/>
        <v>6425</v>
      </c>
      <c r="J6" s="65">
        <f t="shared" si="0"/>
        <v>5981</v>
      </c>
      <c r="K6" s="65">
        <f t="shared" si="0"/>
        <v>5600</v>
      </c>
      <c r="L6" s="66">
        <f t="shared" si="0"/>
        <v>2945</v>
      </c>
      <c r="M6" s="65">
        <f t="shared" si="0"/>
        <v>5634</v>
      </c>
      <c r="N6" s="65">
        <f t="shared" si="0"/>
        <v>3769</v>
      </c>
      <c r="O6" s="65">
        <f t="shared" si="0"/>
        <v>6512</v>
      </c>
      <c r="P6" s="65">
        <f t="shared" si="0"/>
        <v>5527</v>
      </c>
      <c r="Q6" s="68">
        <f t="shared" si="0"/>
        <v>3234</v>
      </c>
      <c r="R6" s="67">
        <f t="shared" si="0"/>
        <v>3174</v>
      </c>
      <c r="S6" s="65">
        <f t="shared" si="0"/>
        <v>7414</v>
      </c>
      <c r="T6" s="65">
        <f t="shared" si="0"/>
        <v>8157</v>
      </c>
      <c r="U6" s="65">
        <f t="shared" si="0"/>
        <v>5587</v>
      </c>
      <c r="V6" s="66">
        <f t="shared" si="0"/>
        <v>3414</v>
      </c>
      <c r="W6" s="65">
        <f t="shared" si="0"/>
        <v>3556</v>
      </c>
      <c r="X6" s="65">
        <f t="shared" si="0"/>
        <v>5290</v>
      </c>
      <c r="Y6" s="65">
        <f t="shared" si="0"/>
        <v>9477</v>
      </c>
      <c r="Z6" s="65">
        <f t="shared" si="0"/>
        <v>5763</v>
      </c>
      <c r="AA6" s="68">
        <f t="shared" si="0"/>
        <v>3358</v>
      </c>
      <c r="AB6" s="67">
        <f t="shared" si="0"/>
        <v>5339</v>
      </c>
      <c r="AC6" s="65">
        <f t="shared" si="0"/>
        <v>5021</v>
      </c>
      <c r="AD6" s="65">
        <f t="shared" si="0"/>
        <v>9828</v>
      </c>
      <c r="AE6" s="65">
        <f t="shared" si="0"/>
        <v>5488</v>
      </c>
      <c r="AF6" s="68">
        <f t="shared" si="0"/>
        <v>3417</v>
      </c>
      <c r="AG6" s="69">
        <f t="shared" si="0"/>
        <v>5421</v>
      </c>
      <c r="AH6" s="38">
        <f t="shared" si="0"/>
        <v>5692</v>
      </c>
      <c r="AI6" s="38">
        <f t="shared" si="0"/>
        <v>9582</v>
      </c>
      <c r="AJ6" s="38">
        <f t="shared" si="0"/>
        <v>5048</v>
      </c>
      <c r="AK6" s="70">
        <f t="shared" si="0"/>
        <v>3211</v>
      </c>
      <c r="AL6" s="71" t="s">
        <v>2</v>
      </c>
      <c r="BI6" s="73"/>
      <c r="BJ6" s="74">
        <v>2015</v>
      </c>
      <c r="BK6" s="74">
        <v>2016</v>
      </c>
      <c r="BL6" s="74">
        <v>2017</v>
      </c>
      <c r="BM6" s="74">
        <v>2015</v>
      </c>
      <c r="BN6" s="74">
        <v>2016</v>
      </c>
      <c r="BO6" s="74">
        <v>2017</v>
      </c>
    </row>
    <row r="7" spans="1:67" s="74" customFormat="1">
      <c r="A7" s="64" t="s">
        <v>83</v>
      </c>
      <c r="B7" s="75">
        <f>SUM(B8:B12)</f>
        <v>1570</v>
      </c>
      <c r="C7" s="75">
        <f>SUM(C8:C12)</f>
        <v>2558</v>
      </c>
      <c r="D7" s="75">
        <f>SUM(D8:D12)</f>
        <v>2038</v>
      </c>
      <c r="E7" s="75">
        <f>SUM(E8:E12)</f>
        <v>2311</v>
      </c>
      <c r="F7" s="75">
        <f>SUM(F8:F12)</f>
        <v>1181</v>
      </c>
      <c r="G7" s="76"/>
      <c r="H7" s="77">
        <f t="shared" ref="H7:AK7" si="1">SUM(H8:H12)</f>
        <v>1241</v>
      </c>
      <c r="I7" s="75">
        <f t="shared" si="1"/>
        <v>2277</v>
      </c>
      <c r="J7" s="75">
        <f t="shared" si="1"/>
        <v>2251</v>
      </c>
      <c r="K7" s="75">
        <f t="shared" si="1"/>
        <v>2305</v>
      </c>
      <c r="L7" s="76">
        <f t="shared" si="1"/>
        <v>1254</v>
      </c>
      <c r="M7" s="75">
        <f t="shared" si="1"/>
        <v>1649</v>
      </c>
      <c r="N7" s="75">
        <f t="shared" si="1"/>
        <v>2453</v>
      </c>
      <c r="O7" s="75">
        <f t="shared" si="1"/>
        <v>2502</v>
      </c>
      <c r="P7" s="75">
        <f t="shared" si="1"/>
        <v>2362</v>
      </c>
      <c r="Q7" s="78">
        <f t="shared" si="1"/>
        <v>1411</v>
      </c>
      <c r="R7" s="77">
        <f t="shared" si="1"/>
        <v>1850</v>
      </c>
      <c r="S7" s="75">
        <f t="shared" si="1"/>
        <v>2589</v>
      </c>
      <c r="T7" s="75">
        <f t="shared" si="1"/>
        <v>2603</v>
      </c>
      <c r="U7" s="75">
        <f t="shared" si="1"/>
        <v>2357</v>
      </c>
      <c r="V7" s="76">
        <f t="shared" si="1"/>
        <v>1426</v>
      </c>
      <c r="W7" s="75">
        <f t="shared" si="1"/>
        <v>2354</v>
      </c>
      <c r="X7" s="75">
        <f t="shared" si="1"/>
        <v>2377</v>
      </c>
      <c r="Y7" s="75">
        <f t="shared" si="1"/>
        <v>2706</v>
      </c>
      <c r="Z7" s="75">
        <f t="shared" si="1"/>
        <v>2417</v>
      </c>
      <c r="AA7" s="78">
        <f t="shared" si="1"/>
        <v>1288</v>
      </c>
      <c r="AB7" s="77">
        <f t="shared" si="1"/>
        <v>2977</v>
      </c>
      <c r="AC7" s="75">
        <f t="shared" si="1"/>
        <v>2732</v>
      </c>
      <c r="AD7" s="75">
        <f t="shared" si="1"/>
        <v>2569</v>
      </c>
      <c r="AE7" s="75">
        <f t="shared" si="1"/>
        <v>2304</v>
      </c>
      <c r="AF7" s="78">
        <f t="shared" si="1"/>
        <v>1341</v>
      </c>
      <c r="AG7" s="69">
        <f t="shared" si="1"/>
        <v>3037</v>
      </c>
      <c r="AH7" s="38">
        <f t="shared" si="1"/>
        <v>3607</v>
      </c>
      <c r="AI7" s="38">
        <f t="shared" si="1"/>
        <v>2567</v>
      </c>
      <c r="AJ7" s="38">
        <f t="shared" si="1"/>
        <v>1979</v>
      </c>
      <c r="AK7" s="70">
        <f t="shared" si="1"/>
        <v>1248</v>
      </c>
      <c r="AL7" s="79" t="s">
        <v>40</v>
      </c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I7" s="73" t="s">
        <v>42</v>
      </c>
      <c r="BJ7" s="65">
        <f>Z6</f>
        <v>5763</v>
      </c>
      <c r="BK7" s="65">
        <f>AE6</f>
        <v>5488</v>
      </c>
      <c r="BL7" s="65">
        <f>AJ6</f>
        <v>5048</v>
      </c>
      <c r="BM7" s="65">
        <f>AA6</f>
        <v>3358</v>
      </c>
      <c r="BN7" s="65">
        <f>AF6</f>
        <v>3417</v>
      </c>
      <c r="BO7" s="65">
        <f>AK6</f>
        <v>3211</v>
      </c>
    </row>
    <row r="8" spans="1:67" s="74" customFormat="1">
      <c r="A8" s="80" t="s">
        <v>66</v>
      </c>
      <c r="B8" s="81">
        <v>108</v>
      </c>
      <c r="C8" s="81">
        <v>0</v>
      </c>
      <c r="D8" s="81">
        <v>0</v>
      </c>
      <c r="E8" s="81">
        <v>0</v>
      </c>
      <c r="F8" s="81">
        <v>0</v>
      </c>
      <c r="G8" s="82"/>
      <c r="H8" s="83">
        <v>83</v>
      </c>
      <c r="I8" s="81">
        <v>0</v>
      </c>
      <c r="J8" s="81">
        <v>0</v>
      </c>
      <c r="K8" s="81">
        <v>0</v>
      </c>
      <c r="L8" s="82">
        <v>0</v>
      </c>
      <c r="M8" s="84">
        <v>103</v>
      </c>
      <c r="N8" s="81">
        <v>0</v>
      </c>
      <c r="O8" s="81">
        <v>0</v>
      </c>
      <c r="P8" s="81">
        <v>0</v>
      </c>
      <c r="Q8" s="85">
        <v>0</v>
      </c>
      <c r="R8" s="83">
        <v>64</v>
      </c>
      <c r="S8" s="81">
        <v>0</v>
      </c>
      <c r="T8" s="81">
        <v>0</v>
      </c>
      <c r="U8" s="81">
        <v>0</v>
      </c>
      <c r="V8" s="82">
        <v>0</v>
      </c>
      <c r="W8" s="84">
        <v>25</v>
      </c>
      <c r="X8" s="81">
        <v>0</v>
      </c>
      <c r="Y8" s="81">
        <v>0</v>
      </c>
      <c r="Z8" s="81">
        <v>0</v>
      </c>
      <c r="AA8" s="85">
        <v>0</v>
      </c>
      <c r="AB8" s="83">
        <v>46</v>
      </c>
      <c r="AC8" s="81">
        <v>0</v>
      </c>
      <c r="AD8" s="81">
        <v>0</v>
      </c>
      <c r="AE8" s="81">
        <v>0</v>
      </c>
      <c r="AF8" s="85">
        <v>0</v>
      </c>
      <c r="AG8" s="119">
        <v>42</v>
      </c>
      <c r="AH8" s="41">
        <v>0</v>
      </c>
      <c r="AI8" s="41">
        <v>0</v>
      </c>
      <c r="AJ8" s="41">
        <v>0</v>
      </c>
      <c r="AK8" s="120">
        <v>0</v>
      </c>
      <c r="AL8" s="86" t="s">
        <v>84</v>
      </c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I8" s="73" t="s">
        <v>83</v>
      </c>
      <c r="BJ8" s="65">
        <f>Z7</f>
        <v>2417</v>
      </c>
      <c r="BK8" s="65">
        <f>AE7</f>
        <v>2304</v>
      </c>
      <c r="BL8" s="65">
        <f>AJ7</f>
        <v>1979</v>
      </c>
      <c r="BM8" s="65">
        <f>AA7</f>
        <v>1288</v>
      </c>
      <c r="BN8" s="65">
        <f>AF7</f>
        <v>1341</v>
      </c>
      <c r="BO8" s="65">
        <f t="shared" ref="BO8" si="2">AK7</f>
        <v>1248</v>
      </c>
    </row>
    <row r="9" spans="1:67" s="74" customFormat="1">
      <c r="A9" s="80" t="s">
        <v>67</v>
      </c>
      <c r="B9" s="81">
        <v>0</v>
      </c>
      <c r="C9" s="81">
        <v>0</v>
      </c>
      <c r="D9" s="81">
        <v>2038</v>
      </c>
      <c r="E9" s="81">
        <v>2311</v>
      </c>
      <c r="F9" s="81">
        <v>1181</v>
      </c>
      <c r="G9" s="82"/>
      <c r="H9" s="83">
        <v>0</v>
      </c>
      <c r="I9" s="81">
        <v>0</v>
      </c>
      <c r="J9" s="81">
        <v>2251</v>
      </c>
      <c r="K9" s="81">
        <v>2305</v>
      </c>
      <c r="L9" s="82">
        <v>1254</v>
      </c>
      <c r="M9" s="84">
        <v>0</v>
      </c>
      <c r="N9" s="81">
        <v>0</v>
      </c>
      <c r="O9" s="81">
        <v>2502</v>
      </c>
      <c r="P9" s="81">
        <v>2362</v>
      </c>
      <c r="Q9" s="85">
        <v>1411</v>
      </c>
      <c r="R9" s="83">
        <v>0</v>
      </c>
      <c r="S9" s="81">
        <v>0</v>
      </c>
      <c r="T9" s="81">
        <v>2603</v>
      </c>
      <c r="U9" s="81">
        <v>2357</v>
      </c>
      <c r="V9" s="82">
        <v>1426</v>
      </c>
      <c r="W9" s="84">
        <v>0</v>
      </c>
      <c r="X9" s="81">
        <v>0</v>
      </c>
      <c r="Y9" s="81">
        <v>2706</v>
      </c>
      <c r="Z9" s="81">
        <v>2417</v>
      </c>
      <c r="AA9" s="85">
        <v>1288</v>
      </c>
      <c r="AB9" s="83">
        <v>0</v>
      </c>
      <c r="AC9" s="81">
        <v>0</v>
      </c>
      <c r="AD9" s="81">
        <v>2569</v>
      </c>
      <c r="AE9" s="81">
        <v>2304</v>
      </c>
      <c r="AF9" s="85">
        <v>1341</v>
      </c>
      <c r="AG9" s="119">
        <v>0</v>
      </c>
      <c r="AH9" s="41">
        <v>0</v>
      </c>
      <c r="AI9" s="41">
        <v>2567</v>
      </c>
      <c r="AJ9" s="41">
        <v>1979</v>
      </c>
      <c r="AK9" s="120">
        <v>1248</v>
      </c>
      <c r="AL9" s="86" t="s">
        <v>85</v>
      </c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I9" s="87" t="s">
        <v>86</v>
      </c>
      <c r="BJ9" s="65">
        <f>Z13</f>
        <v>3346</v>
      </c>
      <c r="BK9" s="65">
        <f>AE13</f>
        <v>3184</v>
      </c>
      <c r="BL9" s="65">
        <f>AJ13</f>
        <v>3069</v>
      </c>
      <c r="BM9" s="65">
        <f>AA13</f>
        <v>2070</v>
      </c>
      <c r="BN9" s="65">
        <f>AF13</f>
        <v>2076</v>
      </c>
      <c r="BO9" s="65">
        <f>AK13</f>
        <v>1963</v>
      </c>
    </row>
    <row r="10" spans="1:67" s="74" customFormat="1">
      <c r="A10" s="80" t="s">
        <v>68</v>
      </c>
      <c r="B10" s="81">
        <v>1462</v>
      </c>
      <c r="C10" s="81">
        <v>0</v>
      </c>
      <c r="D10" s="81">
        <v>0</v>
      </c>
      <c r="E10" s="81">
        <v>0</v>
      </c>
      <c r="F10" s="81">
        <v>0</v>
      </c>
      <c r="G10" s="82"/>
      <c r="H10" s="83">
        <v>1158</v>
      </c>
      <c r="I10" s="81">
        <v>0</v>
      </c>
      <c r="J10" s="81">
        <v>0</v>
      </c>
      <c r="K10" s="81">
        <v>0</v>
      </c>
      <c r="L10" s="82">
        <v>0</v>
      </c>
      <c r="M10" s="84">
        <v>1546</v>
      </c>
      <c r="N10" s="81">
        <v>0</v>
      </c>
      <c r="O10" s="81">
        <v>0</v>
      </c>
      <c r="P10" s="81">
        <v>0</v>
      </c>
      <c r="Q10" s="85">
        <v>0</v>
      </c>
      <c r="R10" s="83">
        <v>874</v>
      </c>
      <c r="S10" s="81">
        <v>0</v>
      </c>
      <c r="T10" s="81">
        <v>0</v>
      </c>
      <c r="U10" s="81">
        <v>0</v>
      </c>
      <c r="V10" s="82">
        <v>0</v>
      </c>
      <c r="W10" s="84">
        <v>806</v>
      </c>
      <c r="X10" s="81">
        <v>0</v>
      </c>
      <c r="Y10" s="81">
        <v>0</v>
      </c>
      <c r="Z10" s="81">
        <v>0</v>
      </c>
      <c r="AA10" s="85">
        <v>0</v>
      </c>
      <c r="AB10" s="83">
        <v>1408</v>
      </c>
      <c r="AC10" s="81">
        <v>0</v>
      </c>
      <c r="AD10" s="81">
        <v>0</v>
      </c>
      <c r="AE10" s="81">
        <v>0</v>
      </c>
      <c r="AF10" s="85">
        <v>0</v>
      </c>
      <c r="AG10" s="119">
        <v>1433</v>
      </c>
      <c r="AH10" s="41">
        <v>0</v>
      </c>
      <c r="AI10" s="41">
        <v>0</v>
      </c>
      <c r="AJ10" s="41">
        <v>0</v>
      </c>
      <c r="AK10" s="120">
        <v>0</v>
      </c>
      <c r="AL10" s="86" t="s">
        <v>87</v>
      </c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</row>
    <row r="11" spans="1:67" s="74" customFormat="1">
      <c r="A11" s="80" t="s">
        <v>69</v>
      </c>
      <c r="B11" s="81">
        <v>0</v>
      </c>
      <c r="C11" s="81">
        <v>2558</v>
      </c>
      <c r="D11" s="81">
        <v>0</v>
      </c>
      <c r="E11" s="81">
        <v>0</v>
      </c>
      <c r="F11" s="81">
        <v>0</v>
      </c>
      <c r="G11" s="82"/>
      <c r="H11" s="83">
        <v>0</v>
      </c>
      <c r="I11" s="81">
        <v>2277</v>
      </c>
      <c r="J11" s="81">
        <v>0</v>
      </c>
      <c r="K11" s="81">
        <v>0</v>
      </c>
      <c r="L11" s="82">
        <v>0</v>
      </c>
      <c r="M11" s="84">
        <v>0</v>
      </c>
      <c r="N11" s="81">
        <v>2453</v>
      </c>
      <c r="O11" s="81">
        <v>0</v>
      </c>
      <c r="P11" s="81">
        <v>0</v>
      </c>
      <c r="Q11" s="85">
        <v>0</v>
      </c>
      <c r="R11" s="83">
        <v>0</v>
      </c>
      <c r="S11" s="81">
        <v>2589</v>
      </c>
      <c r="T11" s="81">
        <v>0</v>
      </c>
      <c r="U11" s="81">
        <v>0</v>
      </c>
      <c r="V11" s="82">
        <v>0</v>
      </c>
      <c r="W11" s="84">
        <v>0</v>
      </c>
      <c r="X11" s="81">
        <v>2377</v>
      </c>
      <c r="Y11" s="81">
        <v>0</v>
      </c>
      <c r="Z11" s="81">
        <v>0</v>
      </c>
      <c r="AA11" s="85">
        <v>0</v>
      </c>
      <c r="AB11" s="83">
        <v>0</v>
      </c>
      <c r="AC11" s="81">
        <v>2732</v>
      </c>
      <c r="AD11" s="81">
        <v>0</v>
      </c>
      <c r="AE11" s="81">
        <v>0</v>
      </c>
      <c r="AF11" s="85">
        <v>0</v>
      </c>
      <c r="AG11" s="119">
        <v>0</v>
      </c>
      <c r="AH11" s="41">
        <v>3607</v>
      </c>
      <c r="AI11" s="41">
        <v>0</v>
      </c>
      <c r="AJ11" s="41">
        <v>0</v>
      </c>
      <c r="AK11" s="120">
        <v>0</v>
      </c>
      <c r="AL11" s="86" t="s">
        <v>88</v>
      </c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</row>
    <row r="12" spans="1:67" s="74" customFormat="1">
      <c r="A12" s="80" t="s">
        <v>65</v>
      </c>
      <c r="B12" s="81"/>
      <c r="C12" s="81"/>
      <c r="D12" s="81"/>
      <c r="E12" s="81"/>
      <c r="F12" s="81"/>
      <c r="G12" s="82"/>
      <c r="H12" s="83"/>
      <c r="I12" s="81"/>
      <c r="J12" s="81"/>
      <c r="K12" s="81"/>
      <c r="L12" s="82"/>
      <c r="M12" s="84"/>
      <c r="N12" s="81"/>
      <c r="O12" s="81"/>
      <c r="P12" s="81"/>
      <c r="Q12" s="85"/>
      <c r="R12" s="83">
        <v>912</v>
      </c>
      <c r="S12" s="81"/>
      <c r="T12" s="81"/>
      <c r="U12" s="81"/>
      <c r="V12" s="82"/>
      <c r="W12" s="84">
        <v>1523</v>
      </c>
      <c r="X12" s="84">
        <v>0</v>
      </c>
      <c r="Y12" s="84">
        <v>0</v>
      </c>
      <c r="Z12" s="84">
        <v>0</v>
      </c>
      <c r="AA12" s="85">
        <v>0</v>
      </c>
      <c r="AB12" s="83">
        <v>1523</v>
      </c>
      <c r="AC12" s="81">
        <v>0</v>
      </c>
      <c r="AD12" s="81">
        <v>0</v>
      </c>
      <c r="AE12" s="81">
        <v>0</v>
      </c>
      <c r="AF12" s="85">
        <v>0</v>
      </c>
      <c r="AG12" s="119">
        <v>1562</v>
      </c>
      <c r="AH12" s="41">
        <v>0</v>
      </c>
      <c r="AI12" s="41">
        <v>0</v>
      </c>
      <c r="AJ12" s="41">
        <v>0</v>
      </c>
      <c r="AK12" s="120">
        <v>0</v>
      </c>
      <c r="AL12" s="86" t="s">
        <v>89</v>
      </c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</row>
    <row r="13" spans="1:67" s="74" customFormat="1">
      <c r="A13" s="88" t="s">
        <v>41</v>
      </c>
      <c r="B13" s="75">
        <f>SUM(B15:B34)</f>
        <v>1194</v>
      </c>
      <c r="C13" s="75">
        <f>SUM(C15:C34)</f>
        <v>4269</v>
      </c>
      <c r="D13" s="75">
        <f>SUM(D15:D34)</f>
        <v>4226</v>
      </c>
      <c r="E13" s="75">
        <f>SUM(E15:E34)</f>
        <v>3649</v>
      </c>
      <c r="F13" s="75">
        <f>SUM(F15:F34)</f>
        <v>1804</v>
      </c>
      <c r="G13" s="76"/>
      <c r="H13" s="77">
        <f t="shared" ref="H13:Q13" si="3">SUM(H15:H34)</f>
        <v>1135</v>
      </c>
      <c r="I13" s="75">
        <f t="shared" si="3"/>
        <v>4148</v>
      </c>
      <c r="J13" s="75">
        <f t="shared" si="3"/>
        <v>3730</v>
      </c>
      <c r="K13" s="75">
        <f t="shared" si="3"/>
        <v>3295</v>
      </c>
      <c r="L13" s="76">
        <f t="shared" si="3"/>
        <v>1691</v>
      </c>
      <c r="M13" s="75">
        <f t="shared" si="3"/>
        <v>3985</v>
      </c>
      <c r="N13" s="75">
        <f t="shared" si="3"/>
        <v>1316</v>
      </c>
      <c r="O13" s="75">
        <f t="shared" si="3"/>
        <v>4010</v>
      </c>
      <c r="P13" s="75">
        <f t="shared" si="3"/>
        <v>3165</v>
      </c>
      <c r="Q13" s="78">
        <f t="shared" si="3"/>
        <v>1823</v>
      </c>
      <c r="R13" s="77">
        <f t="shared" ref="R13:AI13" si="4">SUM(R14:R34)</f>
        <v>1324</v>
      </c>
      <c r="S13" s="75">
        <f t="shared" si="4"/>
        <v>4825</v>
      </c>
      <c r="T13" s="75">
        <f t="shared" si="4"/>
        <v>5554</v>
      </c>
      <c r="U13" s="75">
        <f t="shared" si="4"/>
        <v>3230</v>
      </c>
      <c r="V13" s="76">
        <f t="shared" si="4"/>
        <v>1988</v>
      </c>
      <c r="W13" s="75">
        <f t="shared" si="4"/>
        <v>1202</v>
      </c>
      <c r="X13" s="75">
        <f t="shared" si="4"/>
        <v>2913</v>
      </c>
      <c r="Y13" s="75">
        <f t="shared" si="4"/>
        <v>6771</v>
      </c>
      <c r="Z13" s="75">
        <f t="shared" si="4"/>
        <v>3346</v>
      </c>
      <c r="AA13" s="78">
        <f t="shared" si="4"/>
        <v>2070</v>
      </c>
      <c r="AB13" s="77">
        <f t="shared" si="4"/>
        <v>2362</v>
      </c>
      <c r="AC13" s="75">
        <f t="shared" si="4"/>
        <v>2289</v>
      </c>
      <c r="AD13" s="75">
        <f t="shared" si="4"/>
        <v>7259</v>
      </c>
      <c r="AE13" s="75">
        <f>SUM(AE14:AE34)</f>
        <v>3184</v>
      </c>
      <c r="AF13" s="78">
        <f t="shared" si="4"/>
        <v>2076</v>
      </c>
      <c r="AG13" s="69">
        <f t="shared" si="4"/>
        <v>2384</v>
      </c>
      <c r="AH13" s="38">
        <f t="shared" si="4"/>
        <v>2085</v>
      </c>
      <c r="AI13" s="38">
        <f t="shared" si="4"/>
        <v>7015</v>
      </c>
      <c r="AJ13" s="38">
        <f>SUM(AJ14:AJ34)</f>
        <v>3069</v>
      </c>
      <c r="AK13" s="70">
        <f t="shared" ref="AK13" si="5">SUM(AK14:AK34)</f>
        <v>1963</v>
      </c>
      <c r="AL13" s="79" t="s">
        <v>70</v>
      </c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</row>
    <row r="14" spans="1:67" s="74" customFormat="1">
      <c r="A14" s="88" t="s">
        <v>17</v>
      </c>
      <c r="B14" s="75">
        <v>2</v>
      </c>
      <c r="C14" s="75">
        <v>185</v>
      </c>
      <c r="D14" s="75">
        <v>45</v>
      </c>
      <c r="E14" s="75">
        <v>55</v>
      </c>
      <c r="F14" s="75">
        <v>28</v>
      </c>
      <c r="G14" s="76"/>
      <c r="H14" s="77">
        <v>5</v>
      </c>
      <c r="I14" s="75">
        <v>448</v>
      </c>
      <c r="J14" s="75">
        <v>116</v>
      </c>
      <c r="K14" s="75">
        <v>99</v>
      </c>
      <c r="L14" s="76">
        <v>66</v>
      </c>
      <c r="M14" s="75">
        <v>6</v>
      </c>
      <c r="N14" s="75">
        <v>408</v>
      </c>
      <c r="O14" s="75">
        <v>166</v>
      </c>
      <c r="P14" s="75">
        <v>101</v>
      </c>
      <c r="Q14" s="78">
        <v>97</v>
      </c>
      <c r="R14" s="77">
        <v>47</v>
      </c>
      <c r="S14" s="75">
        <v>265</v>
      </c>
      <c r="T14" s="75">
        <v>252</v>
      </c>
      <c r="U14" s="75">
        <v>125</v>
      </c>
      <c r="V14" s="76">
        <v>98</v>
      </c>
      <c r="W14" s="75">
        <v>24</v>
      </c>
      <c r="X14" s="75">
        <v>166</v>
      </c>
      <c r="Y14" s="75">
        <v>338</v>
      </c>
      <c r="Z14" s="75">
        <v>193</v>
      </c>
      <c r="AA14" s="78">
        <v>167</v>
      </c>
      <c r="AB14" s="77">
        <v>69</v>
      </c>
      <c r="AC14" s="75">
        <v>66</v>
      </c>
      <c r="AD14" s="75">
        <v>307</v>
      </c>
      <c r="AE14" s="75">
        <v>223</v>
      </c>
      <c r="AF14" s="78">
        <v>155</v>
      </c>
      <c r="AG14" s="69">
        <v>98</v>
      </c>
      <c r="AH14" s="38">
        <v>0</v>
      </c>
      <c r="AI14" s="38">
        <v>335</v>
      </c>
      <c r="AJ14" s="38">
        <v>207</v>
      </c>
      <c r="AK14" s="70">
        <v>149</v>
      </c>
      <c r="AL14" s="79" t="s">
        <v>90</v>
      </c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</row>
    <row r="15" spans="1:67" s="74" customFormat="1">
      <c r="A15" s="80" t="s">
        <v>18</v>
      </c>
      <c r="B15" s="81">
        <v>59</v>
      </c>
      <c r="C15" s="81">
        <v>193</v>
      </c>
      <c r="D15" s="81">
        <v>176</v>
      </c>
      <c r="E15" s="81">
        <v>219</v>
      </c>
      <c r="F15" s="81">
        <v>67</v>
      </c>
      <c r="G15" s="82"/>
      <c r="H15" s="83">
        <v>28</v>
      </c>
      <c r="I15" s="81">
        <v>181</v>
      </c>
      <c r="J15" s="81">
        <v>169</v>
      </c>
      <c r="K15" s="81">
        <v>236</v>
      </c>
      <c r="L15" s="82">
        <v>87</v>
      </c>
      <c r="M15" s="84">
        <v>196</v>
      </c>
      <c r="N15" s="81">
        <v>75</v>
      </c>
      <c r="O15" s="81">
        <v>176</v>
      </c>
      <c r="P15" s="81">
        <v>206</v>
      </c>
      <c r="Q15" s="85">
        <v>86</v>
      </c>
      <c r="R15" s="83">
        <v>61</v>
      </c>
      <c r="S15" s="81">
        <v>177</v>
      </c>
      <c r="T15" s="81">
        <v>204</v>
      </c>
      <c r="U15" s="81">
        <v>177</v>
      </c>
      <c r="V15" s="82">
        <v>89</v>
      </c>
      <c r="W15" s="84">
        <v>42</v>
      </c>
      <c r="X15" s="81">
        <v>79</v>
      </c>
      <c r="Y15" s="81">
        <v>257</v>
      </c>
      <c r="Z15" s="81">
        <v>169</v>
      </c>
      <c r="AA15" s="85">
        <v>91</v>
      </c>
      <c r="AB15" s="83">
        <v>110</v>
      </c>
      <c r="AC15" s="81">
        <v>63</v>
      </c>
      <c r="AD15" s="81">
        <v>269</v>
      </c>
      <c r="AE15" s="81">
        <v>161</v>
      </c>
      <c r="AF15" s="85">
        <v>92</v>
      </c>
      <c r="AG15" s="119">
        <v>72</v>
      </c>
      <c r="AH15" s="41">
        <v>72</v>
      </c>
      <c r="AI15" s="41">
        <v>260</v>
      </c>
      <c r="AJ15" s="41">
        <v>158</v>
      </c>
      <c r="AK15" s="120">
        <v>69</v>
      </c>
      <c r="AL15" s="89" t="s">
        <v>91</v>
      </c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</row>
    <row r="16" spans="1:67" s="74" customFormat="1">
      <c r="A16" s="80" t="s">
        <v>19</v>
      </c>
      <c r="B16" s="81">
        <v>112</v>
      </c>
      <c r="C16" s="81">
        <v>177</v>
      </c>
      <c r="D16" s="81">
        <v>277</v>
      </c>
      <c r="E16" s="81">
        <v>339</v>
      </c>
      <c r="F16" s="81">
        <v>153</v>
      </c>
      <c r="G16" s="82"/>
      <c r="H16" s="83">
        <v>73</v>
      </c>
      <c r="I16" s="81">
        <v>178</v>
      </c>
      <c r="J16" s="81">
        <v>233</v>
      </c>
      <c r="K16" s="81">
        <v>287</v>
      </c>
      <c r="L16" s="82">
        <v>120</v>
      </c>
      <c r="M16" s="84">
        <v>135</v>
      </c>
      <c r="N16" s="81">
        <v>232</v>
      </c>
      <c r="O16" s="81">
        <v>273</v>
      </c>
      <c r="P16" s="81">
        <v>279</v>
      </c>
      <c r="Q16" s="85">
        <v>149</v>
      </c>
      <c r="R16" s="83">
        <v>183</v>
      </c>
      <c r="S16" s="81">
        <v>205</v>
      </c>
      <c r="T16" s="81">
        <v>339</v>
      </c>
      <c r="U16" s="81">
        <v>279</v>
      </c>
      <c r="V16" s="82">
        <v>126</v>
      </c>
      <c r="W16" s="84">
        <v>66</v>
      </c>
      <c r="X16" s="81">
        <v>112</v>
      </c>
      <c r="Y16" s="81">
        <v>440</v>
      </c>
      <c r="Z16" s="81">
        <v>274</v>
      </c>
      <c r="AA16" s="85">
        <v>170</v>
      </c>
      <c r="AB16" s="83">
        <v>178</v>
      </c>
      <c r="AC16" s="81">
        <v>96</v>
      </c>
      <c r="AD16" s="81">
        <v>411</v>
      </c>
      <c r="AE16" s="81">
        <v>291</v>
      </c>
      <c r="AF16" s="85">
        <v>125</v>
      </c>
      <c r="AG16" s="119">
        <v>142</v>
      </c>
      <c r="AH16" s="41">
        <v>64</v>
      </c>
      <c r="AI16" s="41">
        <v>460</v>
      </c>
      <c r="AJ16" s="41">
        <v>258</v>
      </c>
      <c r="AK16" s="120">
        <v>150</v>
      </c>
      <c r="AL16" s="89" t="s">
        <v>92</v>
      </c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L16" s="74" t="s">
        <v>71</v>
      </c>
      <c r="BM16" s="74" t="s">
        <v>72</v>
      </c>
    </row>
    <row r="17" spans="1:65" s="74" customFormat="1" ht="15.75" customHeight="1">
      <c r="A17" s="80" t="s">
        <v>20</v>
      </c>
      <c r="B17" s="81">
        <v>57</v>
      </c>
      <c r="C17" s="81">
        <v>182</v>
      </c>
      <c r="D17" s="81">
        <v>151</v>
      </c>
      <c r="E17" s="81">
        <v>193</v>
      </c>
      <c r="F17" s="81">
        <v>73</v>
      </c>
      <c r="G17" s="82"/>
      <c r="H17" s="83">
        <v>24</v>
      </c>
      <c r="I17" s="81">
        <v>145</v>
      </c>
      <c r="J17" s="81">
        <v>162</v>
      </c>
      <c r="K17" s="81">
        <v>199</v>
      </c>
      <c r="L17" s="82">
        <v>88</v>
      </c>
      <c r="M17" s="84">
        <v>148</v>
      </c>
      <c r="N17" s="81">
        <v>30</v>
      </c>
      <c r="O17" s="81">
        <v>164</v>
      </c>
      <c r="P17" s="81">
        <v>188</v>
      </c>
      <c r="Q17" s="85">
        <v>75</v>
      </c>
      <c r="R17" s="83">
        <v>23</v>
      </c>
      <c r="S17" s="81">
        <v>138</v>
      </c>
      <c r="T17" s="81">
        <v>195</v>
      </c>
      <c r="U17" s="81">
        <v>148</v>
      </c>
      <c r="V17" s="82">
        <v>95</v>
      </c>
      <c r="W17" s="84">
        <v>36</v>
      </c>
      <c r="X17" s="81">
        <v>67</v>
      </c>
      <c r="Y17" s="81">
        <v>262</v>
      </c>
      <c r="Z17" s="81">
        <v>166</v>
      </c>
      <c r="AA17" s="85">
        <v>82</v>
      </c>
      <c r="AB17" s="83">
        <v>58</v>
      </c>
      <c r="AC17" s="81">
        <v>66</v>
      </c>
      <c r="AD17" s="81">
        <v>328</v>
      </c>
      <c r="AE17" s="81">
        <v>191</v>
      </c>
      <c r="AF17" s="85">
        <v>93</v>
      </c>
      <c r="AG17" s="119">
        <v>49</v>
      </c>
      <c r="AH17" s="41">
        <v>53</v>
      </c>
      <c r="AI17" s="41">
        <v>293</v>
      </c>
      <c r="AJ17" s="41">
        <v>138</v>
      </c>
      <c r="AK17" s="120">
        <v>86</v>
      </c>
      <c r="AL17" s="89" t="s">
        <v>93</v>
      </c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K17" s="74" t="s">
        <v>42</v>
      </c>
      <c r="BL17" s="74">
        <f>BL7</f>
        <v>5048</v>
      </c>
      <c r="BM17" s="74">
        <f>BO7</f>
        <v>3211</v>
      </c>
    </row>
    <row r="18" spans="1:65" s="74" customFormat="1">
      <c r="A18" s="80" t="s">
        <v>21</v>
      </c>
      <c r="B18" s="81">
        <v>54</v>
      </c>
      <c r="C18" s="81">
        <v>194</v>
      </c>
      <c r="D18" s="81">
        <v>236</v>
      </c>
      <c r="E18" s="81">
        <v>195</v>
      </c>
      <c r="F18" s="81">
        <v>107</v>
      </c>
      <c r="G18" s="82"/>
      <c r="H18" s="83">
        <v>62</v>
      </c>
      <c r="I18" s="81">
        <v>186</v>
      </c>
      <c r="J18" s="81">
        <v>215</v>
      </c>
      <c r="K18" s="81">
        <v>193</v>
      </c>
      <c r="L18" s="82">
        <v>95</v>
      </c>
      <c r="M18" s="84">
        <v>175</v>
      </c>
      <c r="N18" s="81">
        <v>52</v>
      </c>
      <c r="O18" s="81">
        <v>213</v>
      </c>
      <c r="P18" s="81">
        <v>187</v>
      </c>
      <c r="Q18" s="85">
        <v>101</v>
      </c>
      <c r="R18" s="83">
        <v>97</v>
      </c>
      <c r="S18" s="81">
        <v>219</v>
      </c>
      <c r="T18" s="81">
        <v>290</v>
      </c>
      <c r="U18" s="81">
        <v>167</v>
      </c>
      <c r="V18" s="82">
        <v>104</v>
      </c>
      <c r="W18" s="84">
        <v>97</v>
      </c>
      <c r="X18" s="81">
        <v>133</v>
      </c>
      <c r="Y18" s="81">
        <v>383</v>
      </c>
      <c r="Z18" s="81">
        <v>171</v>
      </c>
      <c r="AA18" s="85">
        <v>103</v>
      </c>
      <c r="AB18" s="83">
        <v>83</v>
      </c>
      <c r="AC18" s="81">
        <v>92</v>
      </c>
      <c r="AD18" s="81">
        <v>385</v>
      </c>
      <c r="AE18" s="81">
        <v>154</v>
      </c>
      <c r="AF18" s="85">
        <v>100</v>
      </c>
      <c r="AG18" s="119">
        <v>141</v>
      </c>
      <c r="AH18" s="41">
        <v>75</v>
      </c>
      <c r="AI18" s="41">
        <v>291</v>
      </c>
      <c r="AJ18" s="41">
        <v>161</v>
      </c>
      <c r="AK18" s="120">
        <v>106</v>
      </c>
      <c r="AL18" s="89" t="s">
        <v>94</v>
      </c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K18" s="74" t="s">
        <v>83</v>
      </c>
      <c r="BL18" s="74">
        <f t="shared" ref="BL18:BL19" si="6">BL8</f>
        <v>1979</v>
      </c>
      <c r="BM18" s="74">
        <f t="shared" ref="BM18:BM19" si="7">BO8</f>
        <v>1248</v>
      </c>
    </row>
    <row r="19" spans="1:65" s="74" customFormat="1">
      <c r="A19" s="80" t="s">
        <v>22</v>
      </c>
      <c r="B19" s="81">
        <v>128</v>
      </c>
      <c r="C19" s="81">
        <v>191</v>
      </c>
      <c r="D19" s="81">
        <v>231</v>
      </c>
      <c r="E19" s="81">
        <v>270</v>
      </c>
      <c r="F19" s="81">
        <v>100</v>
      </c>
      <c r="G19" s="82"/>
      <c r="H19" s="83">
        <v>84</v>
      </c>
      <c r="I19" s="81">
        <v>202</v>
      </c>
      <c r="J19" s="81">
        <v>231</v>
      </c>
      <c r="K19" s="81">
        <v>259</v>
      </c>
      <c r="L19" s="82">
        <v>118</v>
      </c>
      <c r="M19" s="84">
        <v>201</v>
      </c>
      <c r="N19" s="81">
        <v>67</v>
      </c>
      <c r="O19" s="81">
        <v>219</v>
      </c>
      <c r="P19" s="81">
        <v>233</v>
      </c>
      <c r="Q19" s="85">
        <v>117</v>
      </c>
      <c r="R19" s="83">
        <v>99</v>
      </c>
      <c r="S19" s="81">
        <v>225</v>
      </c>
      <c r="T19" s="81">
        <v>326</v>
      </c>
      <c r="U19" s="81">
        <v>254</v>
      </c>
      <c r="V19" s="82">
        <v>113</v>
      </c>
      <c r="W19" s="84">
        <v>56</v>
      </c>
      <c r="X19" s="81">
        <v>153</v>
      </c>
      <c r="Y19" s="81">
        <v>359</v>
      </c>
      <c r="Z19" s="81">
        <v>255</v>
      </c>
      <c r="AA19" s="85">
        <v>103</v>
      </c>
      <c r="AB19" s="83">
        <v>147</v>
      </c>
      <c r="AC19" s="81">
        <v>121</v>
      </c>
      <c r="AD19" s="81">
        <v>403</v>
      </c>
      <c r="AE19" s="81">
        <v>198</v>
      </c>
      <c r="AF19" s="85">
        <v>111</v>
      </c>
      <c r="AG19" s="119">
        <v>99</v>
      </c>
      <c r="AH19" s="41">
        <v>112</v>
      </c>
      <c r="AI19" s="41">
        <v>411</v>
      </c>
      <c r="AJ19" s="41">
        <v>219</v>
      </c>
      <c r="AK19" s="120">
        <v>114</v>
      </c>
      <c r="AL19" s="89" t="s">
        <v>95</v>
      </c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K19" s="74" t="s">
        <v>86</v>
      </c>
      <c r="BL19" s="74">
        <f t="shared" si="6"/>
        <v>3069</v>
      </c>
      <c r="BM19" s="74">
        <f t="shared" si="7"/>
        <v>1963</v>
      </c>
    </row>
    <row r="20" spans="1:65" s="74" customFormat="1">
      <c r="A20" s="80" t="s">
        <v>23</v>
      </c>
      <c r="B20" s="81">
        <v>29</v>
      </c>
      <c r="C20" s="81">
        <v>97</v>
      </c>
      <c r="D20" s="81">
        <v>137</v>
      </c>
      <c r="E20" s="81">
        <v>158</v>
      </c>
      <c r="F20" s="81">
        <v>63</v>
      </c>
      <c r="G20" s="82"/>
      <c r="H20" s="83">
        <v>26</v>
      </c>
      <c r="I20" s="81">
        <v>183</v>
      </c>
      <c r="J20" s="81">
        <v>135</v>
      </c>
      <c r="K20" s="81">
        <v>151</v>
      </c>
      <c r="L20" s="82">
        <v>57</v>
      </c>
      <c r="M20" s="84">
        <v>133</v>
      </c>
      <c r="N20" s="81">
        <v>27</v>
      </c>
      <c r="O20" s="81">
        <v>136</v>
      </c>
      <c r="P20" s="81">
        <v>125</v>
      </c>
      <c r="Q20" s="85">
        <v>63</v>
      </c>
      <c r="R20" s="83">
        <v>43</v>
      </c>
      <c r="S20" s="81">
        <v>119</v>
      </c>
      <c r="T20" s="81">
        <v>171</v>
      </c>
      <c r="U20" s="81">
        <v>124</v>
      </c>
      <c r="V20" s="82">
        <v>64</v>
      </c>
      <c r="W20" s="84">
        <v>21</v>
      </c>
      <c r="X20" s="81">
        <v>79</v>
      </c>
      <c r="Y20" s="81">
        <v>175</v>
      </c>
      <c r="Z20" s="81">
        <v>111</v>
      </c>
      <c r="AA20" s="85">
        <v>62</v>
      </c>
      <c r="AB20" s="83">
        <v>43</v>
      </c>
      <c r="AC20" s="81">
        <v>70</v>
      </c>
      <c r="AD20" s="81">
        <v>298</v>
      </c>
      <c r="AE20" s="81">
        <v>119</v>
      </c>
      <c r="AF20" s="85">
        <v>89</v>
      </c>
      <c r="AG20" s="119">
        <v>57</v>
      </c>
      <c r="AH20" s="41">
        <v>51</v>
      </c>
      <c r="AI20" s="41">
        <v>257</v>
      </c>
      <c r="AJ20" s="41">
        <v>108</v>
      </c>
      <c r="AK20" s="120">
        <v>68</v>
      </c>
      <c r="AL20" s="89" t="s">
        <v>96</v>
      </c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</row>
    <row r="21" spans="1:65" s="74" customFormat="1">
      <c r="A21" s="80" t="s">
        <v>24</v>
      </c>
      <c r="B21" s="81">
        <v>71</v>
      </c>
      <c r="C21" s="81">
        <v>99</v>
      </c>
      <c r="D21" s="81">
        <v>165</v>
      </c>
      <c r="E21" s="81">
        <v>168</v>
      </c>
      <c r="F21" s="81">
        <v>72</v>
      </c>
      <c r="G21" s="82"/>
      <c r="H21" s="83">
        <v>61</v>
      </c>
      <c r="I21" s="81">
        <v>124</v>
      </c>
      <c r="J21" s="81">
        <v>178</v>
      </c>
      <c r="K21" s="81">
        <v>160</v>
      </c>
      <c r="L21" s="82">
        <v>93</v>
      </c>
      <c r="M21" s="84">
        <v>201</v>
      </c>
      <c r="N21" s="81">
        <v>68</v>
      </c>
      <c r="O21" s="81">
        <v>180</v>
      </c>
      <c r="P21" s="81">
        <v>141</v>
      </c>
      <c r="Q21" s="85">
        <v>85</v>
      </c>
      <c r="R21" s="83">
        <v>60</v>
      </c>
      <c r="S21" s="81">
        <v>171</v>
      </c>
      <c r="T21" s="81">
        <v>244</v>
      </c>
      <c r="U21" s="81">
        <v>127</v>
      </c>
      <c r="V21" s="82">
        <v>82</v>
      </c>
      <c r="W21" s="84">
        <v>36</v>
      </c>
      <c r="X21" s="81">
        <v>111</v>
      </c>
      <c r="Y21" s="81">
        <v>307</v>
      </c>
      <c r="Z21" s="81">
        <v>129</v>
      </c>
      <c r="AA21" s="85">
        <v>96</v>
      </c>
      <c r="AB21" s="83">
        <v>140</v>
      </c>
      <c r="AC21" s="81">
        <v>113</v>
      </c>
      <c r="AD21" s="81">
        <v>344</v>
      </c>
      <c r="AE21" s="81">
        <v>133</v>
      </c>
      <c r="AF21" s="85">
        <v>90</v>
      </c>
      <c r="AG21" s="119">
        <v>143</v>
      </c>
      <c r="AH21" s="41">
        <v>104</v>
      </c>
      <c r="AI21" s="41">
        <v>328</v>
      </c>
      <c r="AJ21" s="41">
        <v>140</v>
      </c>
      <c r="AK21" s="120">
        <v>73</v>
      </c>
      <c r="AL21" s="89" t="s">
        <v>97</v>
      </c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</row>
    <row r="22" spans="1:65" s="74" customFormat="1">
      <c r="A22" s="80" t="s">
        <v>25</v>
      </c>
      <c r="B22" s="81">
        <v>52</v>
      </c>
      <c r="C22" s="81">
        <v>183</v>
      </c>
      <c r="D22" s="81">
        <v>258</v>
      </c>
      <c r="E22" s="81">
        <v>226</v>
      </c>
      <c r="F22" s="81">
        <v>133</v>
      </c>
      <c r="G22" s="82"/>
      <c r="H22" s="83">
        <v>41</v>
      </c>
      <c r="I22" s="81">
        <v>145</v>
      </c>
      <c r="J22" s="81">
        <v>218</v>
      </c>
      <c r="K22" s="81">
        <v>213</v>
      </c>
      <c r="L22" s="82">
        <v>112</v>
      </c>
      <c r="M22" s="84">
        <v>207</v>
      </c>
      <c r="N22" s="81">
        <v>42</v>
      </c>
      <c r="O22" s="81">
        <v>259</v>
      </c>
      <c r="P22" s="81">
        <v>201</v>
      </c>
      <c r="Q22" s="85">
        <v>129</v>
      </c>
      <c r="R22" s="83">
        <v>26</v>
      </c>
      <c r="S22" s="81">
        <v>263</v>
      </c>
      <c r="T22" s="81">
        <v>300</v>
      </c>
      <c r="U22" s="81">
        <v>247</v>
      </c>
      <c r="V22" s="82">
        <v>126</v>
      </c>
      <c r="W22" s="84">
        <v>62</v>
      </c>
      <c r="X22" s="81">
        <v>102</v>
      </c>
      <c r="Y22" s="81">
        <v>388</v>
      </c>
      <c r="Z22" s="81">
        <v>222</v>
      </c>
      <c r="AA22" s="85">
        <v>151</v>
      </c>
      <c r="AB22" s="83">
        <v>106</v>
      </c>
      <c r="AC22" s="81">
        <v>135</v>
      </c>
      <c r="AD22" s="81">
        <v>403</v>
      </c>
      <c r="AE22" s="81">
        <v>195</v>
      </c>
      <c r="AF22" s="85">
        <v>126</v>
      </c>
      <c r="AG22" s="119">
        <v>129</v>
      </c>
      <c r="AH22" s="41">
        <v>160</v>
      </c>
      <c r="AI22" s="41">
        <v>406</v>
      </c>
      <c r="AJ22" s="41">
        <v>201</v>
      </c>
      <c r="AK22" s="120">
        <v>132</v>
      </c>
      <c r="AL22" s="89" t="s">
        <v>98</v>
      </c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K22" s="74" t="s">
        <v>71</v>
      </c>
    </row>
    <row r="23" spans="1:65" s="74" customFormat="1">
      <c r="A23" s="80" t="s">
        <v>26</v>
      </c>
      <c r="B23" s="81">
        <v>32</v>
      </c>
      <c r="C23" s="81">
        <v>110</v>
      </c>
      <c r="D23" s="81">
        <v>127</v>
      </c>
      <c r="E23" s="81">
        <v>116</v>
      </c>
      <c r="F23" s="81">
        <v>69</v>
      </c>
      <c r="G23" s="82"/>
      <c r="H23" s="83">
        <v>13</v>
      </c>
      <c r="I23" s="81">
        <v>123</v>
      </c>
      <c r="J23" s="81">
        <v>123</v>
      </c>
      <c r="K23" s="81">
        <v>99</v>
      </c>
      <c r="L23" s="82">
        <v>68</v>
      </c>
      <c r="M23" s="84">
        <v>140</v>
      </c>
      <c r="N23" s="81">
        <v>7</v>
      </c>
      <c r="O23" s="81">
        <v>142</v>
      </c>
      <c r="P23" s="81">
        <v>102</v>
      </c>
      <c r="Q23" s="85">
        <v>71</v>
      </c>
      <c r="R23" s="83">
        <v>18</v>
      </c>
      <c r="S23" s="81">
        <v>120</v>
      </c>
      <c r="T23" s="81">
        <v>155</v>
      </c>
      <c r="U23" s="81">
        <v>86</v>
      </c>
      <c r="V23" s="82">
        <v>65</v>
      </c>
      <c r="W23" s="84">
        <v>15</v>
      </c>
      <c r="X23" s="81">
        <v>115</v>
      </c>
      <c r="Y23" s="81">
        <v>234</v>
      </c>
      <c r="Z23" s="81">
        <v>102</v>
      </c>
      <c r="AA23" s="85">
        <v>70</v>
      </c>
      <c r="AB23" s="83">
        <v>37</v>
      </c>
      <c r="AC23" s="81">
        <v>87</v>
      </c>
      <c r="AD23" s="81">
        <v>291</v>
      </c>
      <c r="AE23" s="81">
        <v>111</v>
      </c>
      <c r="AF23" s="85">
        <v>79</v>
      </c>
      <c r="AG23" s="119">
        <v>41</v>
      </c>
      <c r="AH23" s="41">
        <v>104</v>
      </c>
      <c r="AI23" s="41">
        <v>273</v>
      </c>
      <c r="AJ23" s="41">
        <v>89</v>
      </c>
      <c r="AK23" s="120">
        <v>89</v>
      </c>
      <c r="AL23" s="89" t="s">
        <v>99</v>
      </c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K23" s="74">
        <v>2015</v>
      </c>
      <c r="BL23" s="74">
        <v>2016</v>
      </c>
      <c r="BM23" s="74">
        <v>2017</v>
      </c>
    </row>
    <row r="24" spans="1:65" s="74" customFormat="1">
      <c r="A24" s="80" t="s">
        <v>27</v>
      </c>
      <c r="B24" s="81">
        <v>20</v>
      </c>
      <c r="C24" s="81">
        <v>104</v>
      </c>
      <c r="D24" s="81">
        <v>166</v>
      </c>
      <c r="E24" s="81">
        <v>169</v>
      </c>
      <c r="F24" s="81">
        <v>85</v>
      </c>
      <c r="G24" s="82"/>
      <c r="H24" s="83">
        <v>18</v>
      </c>
      <c r="I24" s="81">
        <v>145</v>
      </c>
      <c r="J24" s="81">
        <v>141</v>
      </c>
      <c r="K24" s="81">
        <v>152</v>
      </c>
      <c r="L24" s="82">
        <v>74</v>
      </c>
      <c r="M24" s="84">
        <v>142</v>
      </c>
      <c r="N24" s="81">
        <v>20</v>
      </c>
      <c r="O24" s="81">
        <v>189</v>
      </c>
      <c r="P24" s="81">
        <v>148</v>
      </c>
      <c r="Q24" s="85">
        <v>110</v>
      </c>
      <c r="R24" s="83">
        <v>16</v>
      </c>
      <c r="S24" s="81">
        <v>253</v>
      </c>
      <c r="T24" s="81">
        <v>189</v>
      </c>
      <c r="U24" s="81">
        <v>139</v>
      </c>
      <c r="V24" s="82">
        <v>76</v>
      </c>
      <c r="W24" s="84">
        <v>25</v>
      </c>
      <c r="X24" s="81">
        <v>133</v>
      </c>
      <c r="Y24" s="81">
        <v>284</v>
      </c>
      <c r="Z24" s="81">
        <v>121</v>
      </c>
      <c r="AA24" s="85">
        <v>84</v>
      </c>
      <c r="AB24" s="83">
        <v>39</v>
      </c>
      <c r="AC24" s="81">
        <v>103</v>
      </c>
      <c r="AD24" s="81">
        <v>276</v>
      </c>
      <c r="AE24" s="81">
        <v>123</v>
      </c>
      <c r="AF24" s="85">
        <v>90</v>
      </c>
      <c r="AG24" s="119">
        <v>40</v>
      </c>
      <c r="AH24" s="41">
        <v>88</v>
      </c>
      <c r="AI24" s="41">
        <v>280</v>
      </c>
      <c r="AJ24" s="41">
        <v>121</v>
      </c>
      <c r="AK24" s="120">
        <v>83</v>
      </c>
      <c r="AL24" s="89" t="s">
        <v>100</v>
      </c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J24" s="74" t="s">
        <v>42</v>
      </c>
      <c r="BK24" s="74">
        <v>5763</v>
      </c>
      <c r="BL24" s="74">
        <v>5488</v>
      </c>
      <c r="BM24" s="74">
        <f>BL7</f>
        <v>5048</v>
      </c>
    </row>
    <row r="25" spans="1:65" s="74" customFormat="1">
      <c r="A25" s="80" t="s">
        <v>28</v>
      </c>
      <c r="B25" s="81">
        <v>1</v>
      </c>
      <c r="C25" s="81">
        <v>21</v>
      </c>
      <c r="D25" s="81">
        <v>29</v>
      </c>
      <c r="E25" s="81">
        <v>14</v>
      </c>
      <c r="F25" s="81">
        <v>17</v>
      </c>
      <c r="G25" s="82"/>
      <c r="H25" s="83">
        <v>1</v>
      </c>
      <c r="I25" s="81">
        <v>33</v>
      </c>
      <c r="J25" s="81">
        <v>19</v>
      </c>
      <c r="K25" s="81">
        <v>13</v>
      </c>
      <c r="L25" s="82">
        <v>12</v>
      </c>
      <c r="M25" s="84">
        <v>60</v>
      </c>
      <c r="N25" s="81">
        <v>9</v>
      </c>
      <c r="O25" s="81">
        <v>24</v>
      </c>
      <c r="P25" s="81">
        <v>24</v>
      </c>
      <c r="Q25" s="85">
        <v>16</v>
      </c>
      <c r="R25" s="83">
        <v>1</v>
      </c>
      <c r="S25" s="81">
        <v>55</v>
      </c>
      <c r="T25" s="81">
        <v>28</v>
      </c>
      <c r="U25" s="81">
        <v>18</v>
      </c>
      <c r="V25" s="82">
        <v>11</v>
      </c>
      <c r="W25" s="84">
        <v>0</v>
      </c>
      <c r="X25" s="81">
        <v>23</v>
      </c>
      <c r="Y25" s="81">
        <v>47</v>
      </c>
      <c r="Z25" s="81">
        <v>20</v>
      </c>
      <c r="AA25" s="85">
        <v>18</v>
      </c>
      <c r="AB25" s="83">
        <v>16</v>
      </c>
      <c r="AC25" s="81">
        <v>24</v>
      </c>
      <c r="AD25" s="81">
        <v>48</v>
      </c>
      <c r="AE25" s="81">
        <v>21</v>
      </c>
      <c r="AF25" s="85">
        <v>7</v>
      </c>
      <c r="AG25" s="119">
        <v>10</v>
      </c>
      <c r="AH25" s="41">
        <v>18</v>
      </c>
      <c r="AI25" s="41">
        <v>55</v>
      </c>
      <c r="AJ25" s="41">
        <v>13</v>
      </c>
      <c r="AK25" s="120">
        <v>11</v>
      </c>
      <c r="AL25" s="89" t="s">
        <v>101</v>
      </c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J25" s="74" t="s">
        <v>83</v>
      </c>
      <c r="BK25" s="74">
        <v>2417</v>
      </c>
      <c r="BL25" s="74">
        <v>2304</v>
      </c>
      <c r="BM25" s="74">
        <f t="shared" ref="BM25:BM26" si="8">BL8</f>
        <v>1979</v>
      </c>
    </row>
    <row r="26" spans="1:65" s="74" customFormat="1">
      <c r="A26" s="80" t="s">
        <v>29</v>
      </c>
      <c r="B26" s="81">
        <v>15</v>
      </c>
      <c r="C26" s="81">
        <v>136</v>
      </c>
      <c r="D26" s="81">
        <v>84</v>
      </c>
      <c r="E26" s="81">
        <v>82</v>
      </c>
      <c r="F26" s="81">
        <v>34</v>
      </c>
      <c r="G26" s="82"/>
      <c r="H26" s="83">
        <v>4</v>
      </c>
      <c r="I26" s="81">
        <v>62</v>
      </c>
      <c r="J26" s="81">
        <v>72</v>
      </c>
      <c r="K26" s="81">
        <v>70</v>
      </c>
      <c r="L26" s="82">
        <v>32</v>
      </c>
      <c r="M26" s="84">
        <v>99</v>
      </c>
      <c r="N26" s="81">
        <v>24</v>
      </c>
      <c r="O26" s="81">
        <v>65</v>
      </c>
      <c r="P26" s="81">
        <v>69</v>
      </c>
      <c r="Q26" s="85">
        <v>30</v>
      </c>
      <c r="R26" s="83">
        <v>23</v>
      </c>
      <c r="S26" s="81">
        <v>75</v>
      </c>
      <c r="T26" s="81">
        <v>88</v>
      </c>
      <c r="U26" s="81">
        <v>66</v>
      </c>
      <c r="V26" s="82">
        <v>40</v>
      </c>
      <c r="W26" s="84">
        <v>5</v>
      </c>
      <c r="X26" s="81">
        <v>52</v>
      </c>
      <c r="Y26" s="81">
        <v>130</v>
      </c>
      <c r="Z26" s="81">
        <v>71</v>
      </c>
      <c r="AA26" s="85">
        <v>42</v>
      </c>
      <c r="AB26" s="83">
        <v>11</v>
      </c>
      <c r="AC26" s="81">
        <v>24</v>
      </c>
      <c r="AD26" s="81">
        <v>153</v>
      </c>
      <c r="AE26" s="81">
        <v>58</v>
      </c>
      <c r="AF26" s="85">
        <v>41</v>
      </c>
      <c r="AG26" s="119">
        <v>19</v>
      </c>
      <c r="AH26" s="41">
        <v>17</v>
      </c>
      <c r="AI26" s="41">
        <v>123</v>
      </c>
      <c r="AJ26" s="41">
        <v>51</v>
      </c>
      <c r="AK26" s="120">
        <v>31</v>
      </c>
      <c r="AL26" s="89" t="s">
        <v>102</v>
      </c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J26" s="74" t="s">
        <v>86</v>
      </c>
      <c r="BK26" s="74">
        <v>3346</v>
      </c>
      <c r="BL26" s="74">
        <v>3184</v>
      </c>
      <c r="BM26" s="74">
        <f t="shared" si="8"/>
        <v>3069</v>
      </c>
    </row>
    <row r="27" spans="1:65" s="74" customFormat="1">
      <c r="A27" s="80" t="s">
        <v>30</v>
      </c>
      <c r="B27" s="81">
        <v>15</v>
      </c>
      <c r="C27" s="81">
        <v>86</v>
      </c>
      <c r="D27" s="81">
        <v>84</v>
      </c>
      <c r="E27" s="81">
        <v>94</v>
      </c>
      <c r="F27" s="81">
        <v>50</v>
      </c>
      <c r="G27" s="82"/>
      <c r="H27" s="83">
        <v>14</v>
      </c>
      <c r="I27" s="81">
        <v>83</v>
      </c>
      <c r="J27" s="81">
        <v>70</v>
      </c>
      <c r="K27" s="81">
        <v>76</v>
      </c>
      <c r="L27" s="82">
        <v>33</v>
      </c>
      <c r="M27" s="84">
        <v>106</v>
      </c>
      <c r="N27" s="81">
        <v>12</v>
      </c>
      <c r="O27" s="81">
        <v>87</v>
      </c>
      <c r="P27" s="81">
        <v>87</v>
      </c>
      <c r="Q27" s="85">
        <v>39</v>
      </c>
      <c r="R27" s="83">
        <v>21</v>
      </c>
      <c r="S27" s="81">
        <v>74</v>
      </c>
      <c r="T27" s="81">
        <v>106</v>
      </c>
      <c r="U27" s="81">
        <v>62</v>
      </c>
      <c r="V27" s="82">
        <v>32</v>
      </c>
      <c r="W27" s="84">
        <v>4</v>
      </c>
      <c r="X27" s="81">
        <v>53</v>
      </c>
      <c r="Y27" s="81">
        <v>129</v>
      </c>
      <c r="Z27" s="81">
        <v>68</v>
      </c>
      <c r="AA27" s="85">
        <v>33</v>
      </c>
      <c r="AB27" s="83">
        <v>17</v>
      </c>
      <c r="AC27" s="81">
        <v>42</v>
      </c>
      <c r="AD27" s="81">
        <v>154</v>
      </c>
      <c r="AE27" s="81">
        <v>40</v>
      </c>
      <c r="AF27" s="85">
        <v>35</v>
      </c>
      <c r="AG27" s="119">
        <v>21</v>
      </c>
      <c r="AH27" s="41">
        <v>65</v>
      </c>
      <c r="AI27" s="41">
        <v>149</v>
      </c>
      <c r="AJ27" s="41">
        <v>56</v>
      </c>
      <c r="AK27" s="120">
        <v>30</v>
      </c>
      <c r="AL27" s="89" t="s">
        <v>103</v>
      </c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</row>
    <row r="28" spans="1:65" s="74" customFormat="1">
      <c r="A28" s="80" t="s">
        <v>31</v>
      </c>
      <c r="B28" s="81">
        <v>12</v>
      </c>
      <c r="C28" s="81">
        <v>134</v>
      </c>
      <c r="D28" s="81">
        <v>87</v>
      </c>
      <c r="E28" s="81">
        <v>92</v>
      </c>
      <c r="F28" s="81">
        <v>40</v>
      </c>
      <c r="G28" s="82"/>
      <c r="H28" s="83">
        <v>4</v>
      </c>
      <c r="I28" s="81">
        <v>89</v>
      </c>
      <c r="J28" s="81">
        <v>85</v>
      </c>
      <c r="K28" s="81">
        <v>64</v>
      </c>
      <c r="L28" s="82">
        <v>44</v>
      </c>
      <c r="M28" s="84">
        <v>65</v>
      </c>
      <c r="N28" s="81">
        <v>20</v>
      </c>
      <c r="O28" s="81">
        <v>86</v>
      </c>
      <c r="P28" s="81">
        <v>80</v>
      </c>
      <c r="Q28" s="85">
        <v>33</v>
      </c>
      <c r="R28" s="83">
        <v>8</v>
      </c>
      <c r="S28" s="81">
        <v>80</v>
      </c>
      <c r="T28" s="81">
        <v>130</v>
      </c>
      <c r="U28" s="81">
        <v>71</v>
      </c>
      <c r="V28" s="82">
        <v>40</v>
      </c>
      <c r="W28" s="84">
        <v>4</v>
      </c>
      <c r="X28" s="81">
        <v>44</v>
      </c>
      <c r="Y28" s="81">
        <v>145</v>
      </c>
      <c r="Z28" s="81">
        <v>66</v>
      </c>
      <c r="AA28" s="85">
        <v>27</v>
      </c>
      <c r="AB28" s="83">
        <v>17</v>
      </c>
      <c r="AC28" s="81">
        <v>43</v>
      </c>
      <c r="AD28" s="81">
        <v>156</v>
      </c>
      <c r="AE28" s="81">
        <v>58</v>
      </c>
      <c r="AF28" s="85">
        <v>41</v>
      </c>
      <c r="AG28" s="119">
        <v>22</v>
      </c>
      <c r="AH28" s="41">
        <v>41</v>
      </c>
      <c r="AI28" s="41">
        <v>151</v>
      </c>
      <c r="AJ28" s="41">
        <v>56</v>
      </c>
      <c r="AK28" s="120">
        <v>41</v>
      </c>
      <c r="AL28" s="89" t="s">
        <v>104</v>
      </c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K28" s="74" t="s">
        <v>72</v>
      </c>
    </row>
    <row r="29" spans="1:65" s="74" customFormat="1">
      <c r="A29" s="80" t="s">
        <v>32</v>
      </c>
      <c r="B29" s="81">
        <v>34</v>
      </c>
      <c r="C29" s="81">
        <v>211</v>
      </c>
      <c r="D29" s="81">
        <v>155</v>
      </c>
      <c r="E29" s="81">
        <v>166</v>
      </c>
      <c r="F29" s="81">
        <v>80</v>
      </c>
      <c r="G29" s="82"/>
      <c r="H29" s="83">
        <v>76</v>
      </c>
      <c r="I29" s="81">
        <v>177</v>
      </c>
      <c r="J29" s="81">
        <v>171</v>
      </c>
      <c r="K29" s="81">
        <v>146</v>
      </c>
      <c r="L29" s="82">
        <v>85</v>
      </c>
      <c r="M29" s="84">
        <v>184</v>
      </c>
      <c r="N29" s="81">
        <v>56</v>
      </c>
      <c r="O29" s="81">
        <v>152</v>
      </c>
      <c r="P29" s="81">
        <v>118</v>
      </c>
      <c r="Q29" s="85">
        <v>71</v>
      </c>
      <c r="R29" s="83">
        <v>66</v>
      </c>
      <c r="S29" s="81">
        <v>164</v>
      </c>
      <c r="T29" s="81">
        <v>213</v>
      </c>
      <c r="U29" s="81">
        <v>126</v>
      </c>
      <c r="V29" s="82">
        <v>97</v>
      </c>
      <c r="W29" s="84">
        <v>27</v>
      </c>
      <c r="X29" s="81">
        <v>101</v>
      </c>
      <c r="Y29" s="81">
        <v>277</v>
      </c>
      <c r="Z29" s="81">
        <v>135</v>
      </c>
      <c r="AA29" s="85">
        <v>102</v>
      </c>
      <c r="AB29" s="83">
        <v>72</v>
      </c>
      <c r="AC29" s="81">
        <v>98</v>
      </c>
      <c r="AD29" s="81">
        <v>313</v>
      </c>
      <c r="AE29" s="81">
        <v>139</v>
      </c>
      <c r="AF29" s="85">
        <v>112</v>
      </c>
      <c r="AG29" s="119">
        <v>75</v>
      </c>
      <c r="AH29" s="41">
        <v>81</v>
      </c>
      <c r="AI29" s="41">
        <v>306</v>
      </c>
      <c r="AJ29" s="41">
        <v>130</v>
      </c>
      <c r="AK29" s="120">
        <v>82</v>
      </c>
      <c r="AL29" s="89" t="s">
        <v>105</v>
      </c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K29" s="74">
        <v>2015</v>
      </c>
      <c r="BL29" s="74">
        <v>2016</v>
      </c>
      <c r="BM29" s="74">
        <v>2017</v>
      </c>
    </row>
    <row r="30" spans="1:65" s="74" customFormat="1">
      <c r="A30" s="80" t="s">
        <v>33</v>
      </c>
      <c r="B30" s="81">
        <v>75</v>
      </c>
      <c r="C30" s="81">
        <v>515</v>
      </c>
      <c r="D30" s="81">
        <v>331</v>
      </c>
      <c r="E30" s="81">
        <v>250</v>
      </c>
      <c r="F30" s="81">
        <v>142</v>
      </c>
      <c r="G30" s="82"/>
      <c r="H30" s="83">
        <v>108</v>
      </c>
      <c r="I30" s="81">
        <v>374</v>
      </c>
      <c r="J30" s="81">
        <v>291</v>
      </c>
      <c r="K30" s="81">
        <v>242</v>
      </c>
      <c r="L30" s="82">
        <v>117</v>
      </c>
      <c r="M30" s="84">
        <v>289</v>
      </c>
      <c r="N30" s="81">
        <v>139</v>
      </c>
      <c r="O30" s="81">
        <v>347</v>
      </c>
      <c r="P30" s="81">
        <v>230</v>
      </c>
      <c r="Q30" s="85">
        <v>149</v>
      </c>
      <c r="R30" s="83">
        <v>113</v>
      </c>
      <c r="S30" s="81">
        <v>350</v>
      </c>
      <c r="T30" s="81">
        <v>502</v>
      </c>
      <c r="U30" s="81">
        <v>230</v>
      </c>
      <c r="V30" s="82">
        <v>152</v>
      </c>
      <c r="W30" s="84">
        <v>116</v>
      </c>
      <c r="X30" s="81">
        <v>224</v>
      </c>
      <c r="Y30" s="81">
        <v>633</v>
      </c>
      <c r="Z30" s="81">
        <v>256</v>
      </c>
      <c r="AA30" s="85">
        <v>173</v>
      </c>
      <c r="AB30" s="83">
        <v>244</v>
      </c>
      <c r="AC30" s="81">
        <v>167</v>
      </c>
      <c r="AD30" s="81">
        <v>614</v>
      </c>
      <c r="AE30" s="81">
        <v>242</v>
      </c>
      <c r="AF30" s="85">
        <v>165</v>
      </c>
      <c r="AG30" s="119">
        <v>178</v>
      </c>
      <c r="AH30" s="41">
        <v>131</v>
      </c>
      <c r="AI30" s="41">
        <v>630</v>
      </c>
      <c r="AJ30" s="41">
        <v>232</v>
      </c>
      <c r="AK30" s="120">
        <v>169</v>
      </c>
      <c r="AL30" s="89" t="s">
        <v>106</v>
      </c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J30" s="74" t="s">
        <v>42</v>
      </c>
      <c r="BK30" s="74">
        <v>3358</v>
      </c>
      <c r="BL30" s="74">
        <v>3417</v>
      </c>
      <c r="BM30" s="74">
        <f>BO7</f>
        <v>3211</v>
      </c>
    </row>
    <row r="31" spans="1:65" s="74" customFormat="1">
      <c r="A31" s="80" t="s">
        <v>34</v>
      </c>
      <c r="B31" s="81">
        <v>43</v>
      </c>
      <c r="C31" s="81">
        <v>470</v>
      </c>
      <c r="D31" s="81">
        <v>313</v>
      </c>
      <c r="E31" s="81">
        <v>149</v>
      </c>
      <c r="F31" s="81">
        <v>92</v>
      </c>
      <c r="G31" s="82"/>
      <c r="H31" s="83">
        <v>48</v>
      </c>
      <c r="I31" s="81">
        <v>652</v>
      </c>
      <c r="J31" s="81">
        <v>238</v>
      </c>
      <c r="K31" s="81">
        <v>114</v>
      </c>
      <c r="L31" s="82">
        <v>74</v>
      </c>
      <c r="M31" s="84">
        <v>403</v>
      </c>
      <c r="N31" s="81">
        <v>90</v>
      </c>
      <c r="O31" s="81">
        <v>228</v>
      </c>
      <c r="P31" s="81">
        <v>135</v>
      </c>
      <c r="Q31" s="85">
        <v>73</v>
      </c>
      <c r="R31" s="83">
        <v>84</v>
      </c>
      <c r="S31" s="81">
        <v>587</v>
      </c>
      <c r="T31" s="81">
        <v>282</v>
      </c>
      <c r="U31" s="81">
        <v>130</v>
      </c>
      <c r="V31" s="82">
        <v>96</v>
      </c>
      <c r="W31" s="84">
        <v>97</v>
      </c>
      <c r="X31" s="81">
        <v>412</v>
      </c>
      <c r="Y31" s="81">
        <v>372</v>
      </c>
      <c r="Z31" s="81">
        <v>178</v>
      </c>
      <c r="AA31" s="85">
        <v>87</v>
      </c>
      <c r="AB31" s="83">
        <v>143</v>
      </c>
      <c r="AC31" s="81">
        <v>267</v>
      </c>
      <c r="AD31" s="81">
        <v>408</v>
      </c>
      <c r="AE31" s="81">
        <v>124</v>
      </c>
      <c r="AF31" s="85">
        <v>95</v>
      </c>
      <c r="AG31" s="119">
        <v>184</v>
      </c>
      <c r="AH31" s="41">
        <v>284</v>
      </c>
      <c r="AI31" s="41">
        <v>424</v>
      </c>
      <c r="AJ31" s="41">
        <v>141</v>
      </c>
      <c r="AK31" s="120">
        <v>100</v>
      </c>
      <c r="AL31" s="89" t="s">
        <v>107</v>
      </c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J31" s="74" t="s">
        <v>83</v>
      </c>
      <c r="BK31" s="74">
        <v>1288</v>
      </c>
      <c r="BL31" s="74">
        <v>1341</v>
      </c>
      <c r="BM31" s="74">
        <f t="shared" ref="BM31:BM32" si="9">BO8</f>
        <v>1248</v>
      </c>
    </row>
    <row r="32" spans="1:65" s="74" customFormat="1">
      <c r="A32" s="80" t="s">
        <v>35</v>
      </c>
      <c r="B32" s="81">
        <v>33</v>
      </c>
      <c r="C32" s="81">
        <v>352</v>
      </c>
      <c r="D32" s="81">
        <v>370</v>
      </c>
      <c r="E32" s="81">
        <v>213</v>
      </c>
      <c r="F32" s="81">
        <v>141</v>
      </c>
      <c r="G32" s="82"/>
      <c r="H32" s="83">
        <v>57</v>
      </c>
      <c r="I32" s="81">
        <v>381</v>
      </c>
      <c r="J32" s="81">
        <v>309</v>
      </c>
      <c r="K32" s="81">
        <v>192</v>
      </c>
      <c r="L32" s="82">
        <v>122</v>
      </c>
      <c r="M32" s="84">
        <v>325</v>
      </c>
      <c r="N32" s="81">
        <v>47</v>
      </c>
      <c r="O32" s="81">
        <v>358</v>
      </c>
      <c r="P32" s="81">
        <v>209</v>
      </c>
      <c r="Q32" s="85">
        <v>142</v>
      </c>
      <c r="R32" s="83">
        <v>92</v>
      </c>
      <c r="S32" s="81">
        <v>348</v>
      </c>
      <c r="T32" s="81">
        <v>477</v>
      </c>
      <c r="U32" s="81">
        <v>203</v>
      </c>
      <c r="V32" s="82">
        <v>135</v>
      </c>
      <c r="W32" s="84">
        <v>81</v>
      </c>
      <c r="X32" s="81">
        <v>180</v>
      </c>
      <c r="Y32" s="81">
        <v>505</v>
      </c>
      <c r="Z32" s="81">
        <v>182</v>
      </c>
      <c r="AA32" s="85">
        <v>116</v>
      </c>
      <c r="AB32" s="83">
        <v>225</v>
      </c>
      <c r="AC32" s="81">
        <v>156</v>
      </c>
      <c r="AD32" s="81">
        <v>485</v>
      </c>
      <c r="AE32" s="81">
        <v>175</v>
      </c>
      <c r="AF32" s="85">
        <v>133</v>
      </c>
      <c r="AG32" s="119">
        <v>256</v>
      </c>
      <c r="AH32" s="41">
        <v>124</v>
      </c>
      <c r="AI32" s="41">
        <v>423</v>
      </c>
      <c r="AJ32" s="41">
        <v>178</v>
      </c>
      <c r="AK32" s="120">
        <v>104</v>
      </c>
      <c r="AL32" s="89" t="s">
        <v>108</v>
      </c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J32" s="74" t="s">
        <v>86</v>
      </c>
      <c r="BK32" s="74">
        <v>2070</v>
      </c>
      <c r="BL32" s="74">
        <v>2076</v>
      </c>
      <c r="BM32" s="74">
        <f t="shared" si="9"/>
        <v>1963</v>
      </c>
    </row>
    <row r="33" spans="1:64" s="74" customFormat="1">
      <c r="A33" s="80" t="s">
        <v>36</v>
      </c>
      <c r="B33" s="81">
        <v>138</v>
      </c>
      <c r="C33" s="81">
        <v>287</v>
      </c>
      <c r="D33" s="81">
        <v>278</v>
      </c>
      <c r="E33" s="81">
        <v>147</v>
      </c>
      <c r="F33" s="81">
        <v>92</v>
      </c>
      <c r="G33" s="82"/>
      <c r="H33" s="83">
        <v>149</v>
      </c>
      <c r="I33" s="81">
        <v>295</v>
      </c>
      <c r="J33" s="81">
        <v>242</v>
      </c>
      <c r="K33" s="81">
        <v>146</v>
      </c>
      <c r="L33" s="82">
        <v>82</v>
      </c>
      <c r="M33" s="84">
        <v>279</v>
      </c>
      <c r="N33" s="81">
        <v>114</v>
      </c>
      <c r="O33" s="81">
        <v>213</v>
      </c>
      <c r="P33" s="81">
        <v>117</v>
      </c>
      <c r="Q33" s="85">
        <v>83</v>
      </c>
      <c r="R33" s="83">
        <v>105</v>
      </c>
      <c r="S33" s="81">
        <v>377</v>
      </c>
      <c r="T33" s="81">
        <v>348</v>
      </c>
      <c r="U33" s="81">
        <v>119</v>
      </c>
      <c r="V33" s="82">
        <v>115</v>
      </c>
      <c r="W33" s="84">
        <v>138</v>
      </c>
      <c r="X33" s="81">
        <v>212</v>
      </c>
      <c r="Y33" s="81">
        <v>356</v>
      </c>
      <c r="Z33" s="81">
        <v>160</v>
      </c>
      <c r="AA33" s="85">
        <v>87</v>
      </c>
      <c r="AB33" s="83">
        <v>156</v>
      </c>
      <c r="AC33" s="81">
        <v>114</v>
      </c>
      <c r="AD33" s="81">
        <v>377</v>
      </c>
      <c r="AE33" s="81">
        <v>129</v>
      </c>
      <c r="AF33" s="85">
        <v>105</v>
      </c>
      <c r="AG33" s="119">
        <v>275</v>
      </c>
      <c r="AH33" s="41">
        <v>105</v>
      </c>
      <c r="AI33" s="41">
        <v>377</v>
      </c>
      <c r="AJ33" s="41">
        <v>129</v>
      </c>
      <c r="AK33" s="120">
        <v>97</v>
      </c>
      <c r="AL33" s="89" t="s">
        <v>109</v>
      </c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</row>
    <row r="34" spans="1:64" s="74" customFormat="1">
      <c r="A34" s="90" t="s">
        <v>37</v>
      </c>
      <c r="B34" s="91">
        <v>214</v>
      </c>
      <c r="C34" s="91">
        <v>527</v>
      </c>
      <c r="D34" s="91">
        <v>571</v>
      </c>
      <c r="E34" s="91">
        <v>389</v>
      </c>
      <c r="F34" s="91">
        <v>194</v>
      </c>
      <c r="G34" s="92"/>
      <c r="H34" s="93">
        <v>244</v>
      </c>
      <c r="I34" s="91">
        <v>390</v>
      </c>
      <c r="J34" s="91">
        <v>428</v>
      </c>
      <c r="K34" s="91">
        <v>283</v>
      </c>
      <c r="L34" s="92">
        <v>178</v>
      </c>
      <c r="M34" s="94">
        <v>497</v>
      </c>
      <c r="N34" s="91">
        <v>185</v>
      </c>
      <c r="O34" s="91">
        <v>499</v>
      </c>
      <c r="P34" s="91">
        <v>286</v>
      </c>
      <c r="Q34" s="95">
        <v>201</v>
      </c>
      <c r="R34" s="93">
        <v>138</v>
      </c>
      <c r="S34" s="91">
        <v>560</v>
      </c>
      <c r="T34" s="91">
        <v>715</v>
      </c>
      <c r="U34" s="91">
        <v>332</v>
      </c>
      <c r="V34" s="92">
        <v>232</v>
      </c>
      <c r="W34" s="94">
        <v>250</v>
      </c>
      <c r="X34" s="91">
        <v>362</v>
      </c>
      <c r="Y34" s="91">
        <v>750</v>
      </c>
      <c r="Z34" s="91">
        <v>297</v>
      </c>
      <c r="AA34" s="95">
        <v>206</v>
      </c>
      <c r="AB34" s="93">
        <v>451</v>
      </c>
      <c r="AC34" s="91">
        <v>342</v>
      </c>
      <c r="AD34" s="91">
        <v>836</v>
      </c>
      <c r="AE34" s="91">
        <v>299</v>
      </c>
      <c r="AF34" s="95">
        <v>192</v>
      </c>
      <c r="AG34" s="121">
        <v>333</v>
      </c>
      <c r="AH34" s="39">
        <v>336</v>
      </c>
      <c r="AI34" s="39">
        <v>783</v>
      </c>
      <c r="AJ34" s="39">
        <v>283</v>
      </c>
      <c r="AK34" s="122">
        <v>179</v>
      </c>
      <c r="AL34" s="96" t="s">
        <v>110</v>
      </c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</row>
    <row r="35" spans="1:64" ht="15">
      <c r="A35" s="97" t="s">
        <v>1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40" t="s">
        <v>44</v>
      </c>
    </row>
    <row r="37" spans="1:64">
      <c r="BI37" s="102"/>
      <c r="BJ37" s="50"/>
      <c r="BK37" s="46"/>
      <c r="BL37" s="46"/>
    </row>
    <row r="38" spans="1:64">
      <c r="BI38" s="102"/>
      <c r="BJ38" s="84"/>
      <c r="BK38" s="81"/>
      <c r="BL38" s="81"/>
    </row>
    <row r="39" spans="1:64">
      <c r="BI39" s="102"/>
      <c r="BJ39" s="84"/>
      <c r="BK39" s="81"/>
      <c r="BL39" s="81"/>
    </row>
    <row r="40" spans="1:64">
      <c r="BI40" s="102"/>
      <c r="BJ40" s="84"/>
      <c r="BK40" s="81"/>
      <c r="BL40" s="81"/>
    </row>
    <row r="41" spans="1:64">
      <c r="BI41" s="102"/>
      <c r="BJ41" s="84"/>
      <c r="BK41" s="81"/>
      <c r="BL41" s="81"/>
    </row>
    <row r="42" spans="1:64">
      <c r="BI42" s="102"/>
      <c r="BJ42" s="84"/>
      <c r="BK42" s="81"/>
      <c r="BL42" s="81"/>
    </row>
    <row r="43" spans="1:64">
      <c r="BI43" s="102"/>
      <c r="BJ43" s="84"/>
      <c r="BK43" s="81"/>
      <c r="BL43" s="81"/>
    </row>
    <row r="44" spans="1:64">
      <c r="BI44" s="102"/>
      <c r="BJ44" s="84"/>
      <c r="BK44" s="81"/>
      <c r="BL44" s="81"/>
    </row>
    <row r="45" spans="1:64">
      <c r="BI45" s="102"/>
      <c r="BJ45" s="84"/>
      <c r="BK45" s="81"/>
      <c r="BL45" s="81"/>
    </row>
    <row r="46" spans="1:64">
      <c r="BI46" s="102"/>
      <c r="BJ46" s="84"/>
      <c r="BK46" s="81"/>
      <c r="BL46" s="81"/>
    </row>
    <row r="47" spans="1:64">
      <c r="BI47" s="102"/>
      <c r="BJ47" s="84"/>
      <c r="BK47" s="81"/>
      <c r="BL47" s="81"/>
    </row>
    <row r="48" spans="1:64">
      <c r="BI48" s="102"/>
      <c r="BJ48" s="84"/>
      <c r="BK48" s="81"/>
      <c r="BL48" s="81"/>
    </row>
    <row r="49" spans="2:64">
      <c r="BI49" s="102"/>
      <c r="BJ49" s="84"/>
      <c r="BK49" s="81"/>
      <c r="BL49" s="81"/>
    </row>
    <row r="50" spans="2:64" ht="12.75"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BI50" s="102"/>
      <c r="BJ50" s="84"/>
      <c r="BK50" s="81"/>
      <c r="BL50" s="81"/>
    </row>
    <row r="51" spans="2:64" ht="12.75"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BI51" s="102"/>
      <c r="BJ51" s="84"/>
      <c r="BK51" s="81"/>
      <c r="BL51" s="81"/>
    </row>
    <row r="52" spans="2:64" ht="12.75"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BI52" s="102"/>
      <c r="BJ52" s="84"/>
      <c r="BK52" s="81"/>
      <c r="BL52" s="81"/>
    </row>
    <row r="53" spans="2:64" ht="12.75"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BI53" s="102"/>
      <c r="BJ53" s="84"/>
      <c r="BK53" s="81"/>
      <c r="BL53" s="81"/>
    </row>
    <row r="54" spans="2:64" ht="12.75"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BI54" s="102"/>
      <c r="BJ54" s="84"/>
      <c r="BK54" s="81"/>
      <c r="BL54" s="81"/>
    </row>
    <row r="55" spans="2:64" ht="12.75"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BI55" s="102"/>
      <c r="BJ55" s="84"/>
      <c r="BK55" s="81"/>
      <c r="BL55" s="81"/>
    </row>
    <row r="56" spans="2:64" ht="12.75"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BI56" s="102"/>
      <c r="BJ56" s="84"/>
      <c r="BK56" s="81"/>
      <c r="BL56" s="81"/>
    </row>
    <row r="57" spans="2:64" ht="12.75"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BI57" s="103"/>
      <c r="BJ57" s="94"/>
      <c r="BK57" s="91"/>
      <c r="BL57" s="91"/>
    </row>
    <row r="58" spans="2:64" ht="12.75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BI58" s="87"/>
      <c r="BJ58" s="75"/>
      <c r="BK58" s="75"/>
      <c r="BL58" s="75"/>
    </row>
    <row r="62" spans="2:64" ht="6" customHeight="1"/>
    <row r="70" spans="2:57" ht="61.5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104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6"/>
    </row>
    <row r="71" spans="2:57" s="107" customFormat="1" ht="36.75" customHeight="1">
      <c r="N71" s="108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10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</row>
    <row r="72" spans="2:57" s="43" customFormat="1" ht="61.5"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</row>
    <row r="73" spans="2:57" s="43" customFormat="1" ht="61.5"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</row>
    <row r="74" spans="2:57" s="43" customFormat="1" ht="61.5"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</row>
    <row r="75" spans="2:57" s="43" customFormat="1" ht="61.5"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</row>
    <row r="76" spans="2:57" s="43" customFormat="1" ht="61.5"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</row>
    <row r="77" spans="2:57" s="43" customFormat="1" ht="61.5"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</row>
    <row r="78" spans="2:57" s="43" customFormat="1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2"/>
    </row>
    <row r="79" spans="2:57" s="43" customFormat="1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2"/>
    </row>
    <row r="80" spans="2:57" s="43" customFormat="1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2"/>
    </row>
    <row r="81" spans="2:38" s="43" customFormat="1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2"/>
    </row>
    <row r="82" spans="2:38" s="43" customFormat="1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2"/>
    </row>
    <row r="83" spans="2:38" s="43" customFormat="1"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2"/>
    </row>
    <row r="84" spans="2:38" s="43" customFormat="1"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2"/>
    </row>
    <row r="85" spans="2:38" s="43" customFormat="1"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2"/>
    </row>
    <row r="86" spans="2:38" s="114" customFormat="1"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113"/>
    </row>
  </sheetData>
  <mergeCells count="12">
    <mergeCell ref="AL3:AL5"/>
    <mergeCell ref="BJ5:BK5"/>
    <mergeCell ref="A1:AL1"/>
    <mergeCell ref="A2:AL2"/>
    <mergeCell ref="A3:A5"/>
    <mergeCell ref="B3:F3"/>
    <mergeCell ref="H3:L3"/>
    <mergeCell ref="M3:Q3"/>
    <mergeCell ref="R3:V3"/>
    <mergeCell ref="W3:AA3"/>
    <mergeCell ref="AB3:AF3"/>
    <mergeCell ref="AG3:AK3"/>
  </mergeCells>
  <pageMargins left="0.7" right="0.7" top="0.75" bottom="0.75" header="0.3" footer="0.3"/>
  <pageSetup paperSize="9" scale="75" orientation="landscape" horizontalDpi="4294967295" verticalDpi="4294967295" r:id="rId1"/>
  <rowBreaks count="1" manualBreakCount="1">
    <brk id="35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143" t="s">
        <v>50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</row>
    <row r="2" spans="1:36">
      <c r="A2" s="123" t="s">
        <v>43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</row>
    <row r="3" spans="1:36" ht="15" customHeight="1">
      <c r="A3" s="124"/>
      <c r="B3" s="124"/>
      <c r="C3" s="144" t="s">
        <v>38</v>
      </c>
      <c r="D3" s="144"/>
      <c r="E3" s="144"/>
      <c r="F3" s="144"/>
      <c r="G3" s="144"/>
      <c r="H3" s="29"/>
      <c r="I3" s="29"/>
      <c r="J3" s="145" t="s">
        <v>4</v>
      </c>
      <c r="K3" s="145"/>
      <c r="L3" s="145"/>
      <c r="M3" s="145"/>
      <c r="N3" s="145"/>
      <c r="O3" s="24"/>
      <c r="P3" s="145" t="s">
        <v>5</v>
      </c>
      <c r="Q3" s="145"/>
      <c r="R3" s="145"/>
      <c r="S3" s="145"/>
      <c r="T3" s="145"/>
      <c r="U3" s="6"/>
      <c r="V3" s="6"/>
      <c r="W3" s="6"/>
      <c r="X3" s="146" t="s">
        <v>6</v>
      </c>
      <c r="Y3" s="146"/>
      <c r="Z3" s="146"/>
      <c r="AA3" s="146"/>
      <c r="AB3" s="146"/>
      <c r="AC3" s="25"/>
      <c r="AD3" s="25"/>
      <c r="AE3" s="146" t="s">
        <v>7</v>
      </c>
      <c r="AF3" s="146"/>
      <c r="AG3" s="146"/>
      <c r="AH3" s="146"/>
      <c r="AI3" s="146"/>
    </row>
    <row r="4" spans="1:36" ht="25.5">
      <c r="A4" s="125"/>
      <c r="B4" s="125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45</v>
      </c>
      <c r="I4" s="30" t="s">
        <v>51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45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45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45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38</v>
      </c>
      <c r="C37" s="27" t="s">
        <v>46</v>
      </c>
      <c r="D37" s="27" t="s">
        <v>39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38</v>
      </c>
      <c r="C43" s="27" t="s">
        <v>46</v>
      </c>
      <c r="D43" s="27" t="s">
        <v>39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38</v>
      </c>
      <c r="C50" s="27" t="s">
        <v>46</v>
      </c>
      <c r="D50" s="27" t="s">
        <v>39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12</v>
      </c>
      <c r="D56" s="34" t="s">
        <v>41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8.23</vt:lpstr>
      <vt:lpstr>8.20 workings</vt:lpstr>
      <vt:lpstr>'8.23'!Print_Area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2018-08-30T03:52:10Z</cp:lastPrinted>
  <dcterms:created xsi:type="dcterms:W3CDTF">2013-04-04T04:05:16Z</dcterms:created>
  <dcterms:modified xsi:type="dcterms:W3CDTF">2018-08-30T03:52:18Z</dcterms:modified>
</cp:coreProperties>
</file>