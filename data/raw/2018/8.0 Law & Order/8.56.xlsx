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8. LAW AND ORDER\"/>
    </mc:Choice>
  </mc:AlternateContent>
  <bookViews>
    <workbookView xWindow="0" yWindow="0" windowWidth="28800" windowHeight="12330" tabRatio="842"/>
  </bookViews>
  <sheets>
    <sheet name="8.56" sheetId="105" r:id="rId1"/>
    <sheet name="8.20 workings" sheetId="36" state="hidden" r:id="rId2"/>
  </sheets>
  <externalReferences>
    <externalReference r:id="rId3"/>
  </externalReferences>
  <definedNames>
    <definedName name="_xlnm.Print_Area" localSheetId="0">'8.56'!$A$1:$E$32</definedName>
  </definedNames>
  <calcPr calcId="162913"/>
</workbook>
</file>

<file path=xl/calcChain.xml><?xml version="1.0" encoding="utf-8"?>
<calcChain xmlns="http://schemas.openxmlformats.org/spreadsheetml/2006/main">
  <c r="B6" i="105" l="1"/>
  <c r="C6" i="105"/>
  <c r="C5" i="105"/>
  <c r="B5" i="105"/>
  <c r="AZ17" i="105"/>
  <c r="AZ16" i="105"/>
  <c r="AY17" i="105"/>
  <c r="AY16" i="105"/>
  <c r="AX17" i="105"/>
  <c r="AX16" i="105"/>
  <c r="AW17" i="105"/>
  <c r="AW16" i="105"/>
  <c r="C10" i="105"/>
  <c r="B10" i="105"/>
  <c r="C7" i="105"/>
  <c r="B7" i="105"/>
  <c r="B4" i="105" l="1"/>
  <c r="C4" i="105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<sst xmlns="http://schemas.openxmlformats.org/spreadsheetml/2006/main" count="191" uniqueCount="79">
  <si>
    <t>Total</t>
  </si>
  <si>
    <t>Source: Department of Judicial Administration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</si>
  <si>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</si>
  <si>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</si>
  <si>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</si>
  <si>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</si>
  <si>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</si>
  <si>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</si>
  <si>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</si>
  <si>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</si>
  <si>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</si>
  <si>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</si>
  <si>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</si>
  <si>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</si>
  <si>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</si>
  <si>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</si>
  <si>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</si>
  <si>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</si>
  <si>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</si>
  <si>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</si>
  <si>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</si>
  <si>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</si>
  <si>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</si>
  <si>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</si>
  <si>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</si>
  <si>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</si>
  <si>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</si>
  <si>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</si>
  <si>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</si>
  <si>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</si>
  <si>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</si>
  <si>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</si>
  <si>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</si>
  <si>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</si>
  <si>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</si>
  <si>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</si>
  <si>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</si>
  <si>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</si>
  <si>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</si>
  <si>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</si>
  <si>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</si>
  <si>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</si>
  <si>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</si>
  <si>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</si>
  <si>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</si>
  <si>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</si>
  <si>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</si>
  <si>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</si>
  <si>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</si>
  <si>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</si>
  <si>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</si>
  <si>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</si>
  <si>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</si>
  <si>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</si>
  <si>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</si>
  <si>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</si>
  <si>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</si>
  <si>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</si>
  <si>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</si>
  <si>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</si>
  <si>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</si>
  <si>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</si>
  <si>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</si>
  <si>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</si>
  <si>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</si>
  <si>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</si>
  <si>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</si>
  <si>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Above 18 - Total</t>
  </si>
  <si>
    <t>Below 18- Total</t>
  </si>
  <si>
    <t>މުޅި ޖުމުލަ</t>
  </si>
  <si>
    <t>Table 8.56: Gender distribution of cases filed in the Drug Court 2016 - 2017</t>
  </si>
  <si>
    <t>Age and sex</t>
  </si>
  <si>
    <t>ޢުމުރު އަދި ޖިންސު</t>
  </si>
  <si>
    <r>
      <t xml:space="preserve">ތާވަލް </t>
    </r>
    <r>
      <rPr>
        <b/>
        <sz val="11"/>
        <color theme="1"/>
        <rFont val="Calibri"/>
        <family val="2"/>
        <scheme val="minor"/>
      </rPr>
      <t>8.56:</t>
    </r>
    <r>
      <rPr>
        <b/>
        <sz val="11"/>
        <color theme="1"/>
        <rFont val="Faruma"/>
      </rPr>
      <t xml:space="preserve"> ޑްރަގް ކޯޓަށް ހުށަހެޅުނު މައްސަލަތަކުގައި ދަޢުވާ ލިބޭ މީހުންގެ އަދަދު- </t>
    </r>
    <r>
      <rPr>
        <b/>
        <sz val="11"/>
        <color theme="1"/>
        <rFont val="Calibri"/>
        <family val="2"/>
        <scheme val="minor"/>
      </rPr>
      <t>2016-2017</t>
    </r>
  </si>
  <si>
    <r>
      <rPr>
        <b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Faruma"/>
      </rPr>
      <t xml:space="preserve"> އަހަރުން މަތި- ޖުމުލަ</t>
    </r>
  </si>
  <si>
    <r>
      <rPr>
        <b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Faruma"/>
      </rPr>
      <t xml:space="preserve"> އަހަރުން ދަށް- ޖުމުލަ</t>
    </r>
  </si>
  <si>
    <t xml:space="preserve">Above 18 </t>
  </si>
  <si>
    <t xml:space="preserve">Below 18 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</si>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</sst>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ourier"/>
      <family val="3"/>
    </font>
    <font>
      <sz val="11"/>
      <color theme="1"/>
      <name val="Faruma"/>
    </font>
    <font>
      <b/>
      <sz val="11"/>
      <color theme="1"/>
      <name val="Faruma"/>
    </font>
    <font>
      <sz val="10"/>
      <name val="A_Randhoo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2" fillId="0" borderId="7" applyNumberFormat="0" applyFill="0" applyAlignment="0" applyProtection="0"/>
    <xf numFmtId="0" fontId="8" fillId="0" borderId="0"/>
    <xf numFmtId="166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11" applyNumberFormat="0" applyAlignment="0" applyProtection="0"/>
    <xf numFmtId="0" fontId="23" fillId="8" borderId="12" applyNumberFormat="0" applyAlignment="0" applyProtection="0"/>
    <xf numFmtId="0" fontId="24" fillId="8" borderId="11" applyNumberFormat="0" applyAlignment="0" applyProtection="0"/>
    <xf numFmtId="0" fontId="25" fillId="0" borderId="13" applyNumberFormat="0" applyFill="0" applyAlignment="0" applyProtection="0"/>
    <xf numFmtId="0" fontId="26" fillId="9" borderId="14" applyNumberFormat="0" applyAlignment="0" applyProtection="0"/>
    <xf numFmtId="0" fontId="14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7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8" fillId="34" borderId="0" applyNumberFormat="0" applyBorder="0" applyAlignment="0" applyProtection="0"/>
    <xf numFmtId="0" fontId="1" fillId="0" borderId="0"/>
    <xf numFmtId="0" fontId="8" fillId="0" borderId="0"/>
  </cellStyleXfs>
  <cellXfs count="7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2" fillId="2" borderId="0" xfId="0" applyFont="1" applyFill="1" applyBorder="1" applyAlignment="1">
      <alignment vertical="center"/>
    </xf>
    <xf numFmtId="0" fontId="0" fillId="2" borderId="0" xfId="0" applyFont="1" applyFill="1"/>
    <xf numFmtId="0" fontId="2" fillId="2" borderId="0" xfId="0" applyFont="1" applyFill="1" applyBorder="1"/>
    <xf numFmtId="0" fontId="31" fillId="2" borderId="0" xfId="0" applyFont="1" applyFill="1" applyBorder="1"/>
    <xf numFmtId="0" fontId="7" fillId="2" borderId="0" xfId="0" applyFont="1" applyFill="1"/>
    <xf numFmtId="0" fontId="2" fillId="2" borderId="18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right" vertical="center"/>
    </xf>
    <xf numFmtId="0" fontId="2" fillId="2" borderId="18" xfId="0" applyFont="1" applyFill="1" applyBorder="1" applyAlignment="1">
      <alignment horizontal="right" vertical="center" wrapText="1"/>
    </xf>
    <xf numFmtId="0" fontId="30" fillId="2" borderId="18" xfId="0" applyFont="1" applyFill="1" applyBorder="1" applyAlignment="1">
      <alignment horizontal="right" vertical="center"/>
    </xf>
    <xf numFmtId="3" fontId="2" fillId="2" borderId="19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4" xfId="0" applyNumberFormat="1" applyFont="1" applyFill="1" applyBorder="1" applyAlignment="1">
      <alignment horizontal="right" vertical="center"/>
    </xf>
    <xf numFmtId="164" fontId="29" fillId="2" borderId="5" xfId="0" applyNumberFormat="1" applyFont="1" applyFill="1" applyBorder="1" applyAlignment="1">
      <alignment vertical="center"/>
    </xf>
    <xf numFmtId="164" fontId="32" fillId="2" borderId="1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 indent="2"/>
    </xf>
    <xf numFmtId="0" fontId="30" fillId="2" borderId="0" xfId="0" applyFont="1" applyFill="1" applyBorder="1" applyAlignment="1">
      <alignment horizontal="right" vertical="center" indent="2" readingOrder="2"/>
    </xf>
    <xf numFmtId="0" fontId="0" fillId="2" borderId="4" xfId="0" applyFont="1" applyFill="1" applyBorder="1" applyAlignment="1">
      <alignment horizontal="left" vertical="center" indent="2"/>
    </xf>
    <xf numFmtId="0" fontId="30" fillId="2" borderId="4" xfId="0" applyFont="1" applyFill="1" applyBorder="1" applyAlignment="1">
      <alignment horizontal="right" vertical="center" indent="2" readingOrder="2"/>
    </xf>
    <xf numFmtId="0" fontId="0" fillId="2" borderId="0" xfId="0" applyFont="1" applyFill="1" applyAlignment="1"/>
    <xf numFmtId="168" fontId="0" fillId="2" borderId="0" xfId="1" applyNumberFormat="1" applyFont="1" applyFill="1" applyAlignment="1"/>
    <xf numFmtId="3" fontId="0" fillId="2" borderId="17" xfId="0" applyNumberFormat="1" applyFont="1" applyFill="1" applyBorder="1" applyAlignment="1">
      <alignment horizontal="right" vertical="center"/>
    </xf>
    <xf numFmtId="3" fontId="2" fillId="2" borderId="17" xfId="0" applyNumberFormat="1" applyFont="1" applyFill="1" applyBorder="1" applyAlignment="1">
      <alignment horizontal="right" vertical="center"/>
    </xf>
    <xf numFmtId="0" fontId="31" fillId="2" borderId="0" xfId="0" applyFont="1" applyFill="1" applyBorder="1" applyAlignment="1">
      <alignment vertical="center" readingOrder="2"/>
    </xf>
    <xf numFmtId="0" fontId="0" fillId="2" borderId="17" xfId="0" applyFont="1" applyFill="1" applyBorder="1" applyAlignment="1">
      <alignment horizontal="left" vertical="center" indent="2"/>
    </xf>
    <xf numFmtId="0" fontId="30" fillId="2" borderId="17" xfId="0" applyFont="1" applyFill="1" applyBorder="1" applyAlignment="1">
      <alignment horizontal="right" vertical="center" indent="2" readingOrder="2"/>
    </xf>
    <xf numFmtId="0" fontId="0" fillId="2" borderId="0" xfId="0" applyFont="1" applyFill="1" applyAlignment="1">
      <alignment horizontal="center"/>
    </xf>
    <xf numFmtId="0" fontId="31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/>
    </xf>
    <xf numFmtId="164" fontId="11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8.62: Number of cases filed in the Drug Court,  2016 - 2017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2489969161502595"/>
          <c:y val="1.709401709401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94477960126547E-2"/>
          <c:y val="0.1268034188034188"/>
          <c:w val="0.91126715901414079"/>
          <c:h val="0.701745685932546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'8.56'!$AV$16</c:f>
              <c:strCache>
                <c:ptCount val="1"/>
                <c:pt idx="0">
                  <c:v>Above 18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19F5-4DFA-A2B8-C978157B9442}"/>
                </c:ext>
              </c:extLst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19F5-4DFA-A2B8-C978157B94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'8.56'!$AW$14:$AZ$15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</c:lvl>
              </c:multiLvlStrCache>
            </c:multiLvlStrRef>
          </c:cat>
          <c:val>
            <c:numRef>
              <c:f>'8.56'!$AW$16:$AZ$16</c:f>
              <c:numCache>
                <c:formatCode>_(* #,##0_);_(* \(#,##0\);_(* "-"??_);_(@_)</c:formatCode>
                <c:ptCount val="4"/>
                <c:pt idx="0">
                  <c:v>1356</c:v>
                </c:pt>
                <c:pt idx="1">
                  <c:v>52</c:v>
                </c:pt>
                <c:pt idx="2">
                  <c:v>1475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5-4DFA-A2B8-C978157B9442}"/>
            </c:ext>
          </c:extLst>
        </c:ser>
        <c:ser>
          <c:idx val="1"/>
          <c:order val="1"/>
          <c:tx>
            <c:strRef>
              <c:f>'8.56'!$AV$17</c:f>
              <c:strCache>
                <c:ptCount val="1"/>
                <c:pt idx="0">
                  <c:v>Below 18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'8.56'!$AW$14:$AZ$15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</c:lvl>
              </c:multiLvlStrCache>
            </c:multiLvlStrRef>
          </c:cat>
          <c:val>
            <c:numRef>
              <c:f>'8.56'!$AW$17:$AZ$17</c:f>
              <c:numCache>
                <c:formatCode>_(* #,##0_);_(* \(#,##0\);_(* "-"??_);_(@_)</c:formatCode>
                <c:ptCount val="4"/>
                <c:pt idx="0">
                  <c:v>108</c:v>
                </c:pt>
                <c:pt idx="1">
                  <c:v>7</c:v>
                </c:pt>
                <c:pt idx="2">
                  <c:v>23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5-4DFA-A2B8-C978157B9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987263"/>
        <c:axId val="389988095"/>
      </c:barChart>
      <c:catAx>
        <c:axId val="38998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8095"/>
        <c:crosses val="autoZero"/>
        <c:auto val="1"/>
        <c:lblAlgn val="ctr"/>
        <c:lblOffset val="100"/>
        <c:noMultiLvlLbl val="0"/>
      </c:catAx>
      <c:valAx>
        <c:axId val="389988095"/>
        <c:scaling>
          <c:orientation val="minMax"/>
          <c:max val="16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87263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6184342861184867"/>
          <c:y val="0.22414411476535279"/>
          <c:w val="0.300687461937308"/>
          <c:h val="5.7692711487987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214311</xdr:colOff>
      <xdr:row>13</xdr:row>
      <xdr:rowOff>76201</xdr:rowOff>
    </xdr:from>
    <xdr:to>
      <xdr:col>4</xdr:col>
      <xdr:colOff>257174</xdr:colOff>
      <xdr:row>31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962025</xdr:colOff>
      <xdr:row>14</xdr:row>
      <xdr:rowOff>161925</xdr:rowOff>
    </xdr:from>
    <xdr:to>
      <xdr:col>3</xdr:col>
      <xdr:colOff>1457325</xdr:colOff>
      <xdr:row>14</xdr:row>
      <xdr:rowOff>180956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962025" y="3676650"/>
          <a:ext cx="4076700" cy="1903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7"/>
  <sheetViews>
    <sheetView tabSelected="1" zoomScaleNormal="100" workbookViewId="0">
      <selection activeCell="H1" sqref="H1:J1048576"/>
    </sheetView>
  </sheetViews>
  <sheetFormatPr defaultRowHeight="15"/>
  <cols>
    <col min="1" max="1" width="20.28515625" style="39" customWidth="1"/>
    <col min="2" max="3" width="16.7109375" style="39" customWidth="1"/>
    <col min="4" max="4" width="33" style="39" customWidth="1"/>
    <col min="5" max="48" width="9.140625" style="39"/>
    <col min="49" max="49" width="9.5703125" style="39" bestFit="1" customWidth="1"/>
    <col min="50" max="50" width="9.28515625" style="39" bestFit="1" customWidth="1"/>
    <col min="51" max="51" width="9.5703125" style="39" bestFit="1" customWidth="1"/>
    <col min="52" max="52" width="9.28515625" style="39" bestFit="1" customWidth="1"/>
    <col min="53" max="16384" width="9.140625" style="39"/>
  </cols>
  <sheetData>
    <row r="1" spans="1:52" ht="21">
      <c r="A1" s="65" t="s">
        <v>73</v>
      </c>
      <c r="B1" s="65"/>
      <c r="C1" s="65"/>
      <c r="D1" s="65"/>
    </row>
    <row r="2" spans="1:52">
      <c r="A2" s="66" t="s">
        <v>70</v>
      </c>
      <c r="B2" s="66"/>
      <c r="C2" s="66"/>
      <c r="D2" s="66"/>
    </row>
    <row r="3" spans="1:52" ht="21">
      <c r="A3" s="43" t="s">
        <v>71</v>
      </c>
      <c r="B3" s="44">
        <v>2016</v>
      </c>
      <c r="C3" s="45">
        <v>2017</v>
      </c>
      <c r="D3" s="46" t="s">
        <v>72</v>
      </c>
    </row>
    <row r="4" spans="1:52" ht="21">
      <c r="A4" s="40" t="s">
        <v>78</v>
      </c>
      <c r="B4" s="47">
        <f t="shared" ref="B4:C6" si="0">B7+B10</f>
        <v>1523</v>
      </c>
      <c r="C4" s="47">
        <f t="shared" si="0"/>
        <v>1562</v>
      </c>
      <c r="D4" s="41" t="s">
        <v>69</v>
      </c>
    </row>
    <row r="5" spans="1:52" ht="21">
      <c r="A5" s="53" t="s">
        <v>2</v>
      </c>
      <c r="B5" s="48">
        <f t="shared" si="0"/>
        <v>1464</v>
      </c>
      <c r="C5" s="48">
        <f t="shared" si="0"/>
        <v>1498</v>
      </c>
      <c r="D5" s="54" t="s">
        <v>43</v>
      </c>
    </row>
    <row r="6" spans="1:52" ht="21">
      <c r="A6" s="62" t="s">
        <v>3</v>
      </c>
      <c r="B6" s="60">
        <f t="shared" si="0"/>
        <v>59</v>
      </c>
      <c r="C6" s="60">
        <f t="shared" si="0"/>
        <v>64</v>
      </c>
      <c r="D6" s="63" t="s">
        <v>44</v>
      </c>
    </row>
    <row r="7" spans="1:52" ht="21">
      <c r="A7" s="38" t="s">
        <v>67</v>
      </c>
      <c r="B7" s="48">
        <f>B8+B9</f>
        <v>1408</v>
      </c>
      <c r="C7" s="48">
        <f>C8+C9</f>
        <v>1536</v>
      </c>
      <c r="D7" s="61" t="s">
        <v>74</v>
      </c>
    </row>
    <row r="8" spans="1:52" ht="21">
      <c r="A8" s="53" t="s">
        <v>2</v>
      </c>
      <c r="B8" s="49">
        <v>1356</v>
      </c>
      <c r="C8" s="49">
        <v>1475</v>
      </c>
      <c r="D8" s="54" t="s">
        <v>43</v>
      </c>
    </row>
    <row r="9" spans="1:52" ht="21">
      <c r="A9" s="62" t="s">
        <v>3</v>
      </c>
      <c r="B9" s="59">
        <v>52</v>
      </c>
      <c r="C9" s="59">
        <v>61</v>
      </c>
      <c r="D9" s="63" t="s">
        <v>44</v>
      </c>
      <c r="AU9" s="39" t="s">
        <v>2</v>
      </c>
      <c r="AV9" s="39">
        <v>1356</v>
      </c>
      <c r="AW9" s="39">
        <v>1475</v>
      </c>
    </row>
    <row r="10" spans="1:52" ht="21">
      <c r="A10" s="38" t="s">
        <v>68</v>
      </c>
      <c r="B10" s="48">
        <f>B11+B12</f>
        <v>115</v>
      </c>
      <c r="C10" s="48">
        <f>C11+C12</f>
        <v>26</v>
      </c>
      <c r="D10" s="61" t="s">
        <v>75</v>
      </c>
      <c r="AU10" s="39" t="s">
        <v>3</v>
      </c>
      <c r="AV10" s="39">
        <v>52</v>
      </c>
      <c r="AW10" s="39">
        <v>61</v>
      </c>
    </row>
    <row r="11" spans="1:52" ht="21">
      <c r="A11" s="53" t="s">
        <v>2</v>
      </c>
      <c r="B11" s="49">
        <v>108</v>
      </c>
      <c r="C11" s="49">
        <v>23</v>
      </c>
      <c r="D11" s="54" t="s">
        <v>43</v>
      </c>
    </row>
    <row r="12" spans="1:52" ht="21">
      <c r="A12" s="55" t="s">
        <v>3</v>
      </c>
      <c r="B12" s="50">
        <v>7</v>
      </c>
      <c r="C12" s="50">
        <v>3</v>
      </c>
      <c r="D12" s="56" t="s">
        <v>44</v>
      </c>
      <c r="AU12" s="39" t="s">
        <v>2</v>
      </c>
      <c r="AV12" s="39">
        <v>108</v>
      </c>
      <c r="AW12" s="39">
        <v>23</v>
      </c>
    </row>
    <row r="13" spans="1:52" ht="15.75">
      <c r="A13" s="20" t="s">
        <v>1</v>
      </c>
      <c r="B13" s="42"/>
      <c r="C13" s="42"/>
      <c r="D13" s="52" t="s">
        <v>46</v>
      </c>
      <c r="AU13" s="39" t="s">
        <v>3</v>
      </c>
      <c r="AV13" s="39">
        <v>7</v>
      </c>
      <c r="AW13" s="39">
        <v>3</v>
      </c>
    </row>
    <row r="14" spans="1:52">
      <c r="B14" s="51"/>
      <c r="AW14" s="64">
        <v>2016</v>
      </c>
      <c r="AX14" s="64"/>
      <c r="AY14" s="64">
        <v>2017</v>
      </c>
      <c r="AZ14" s="64"/>
    </row>
    <row r="15" spans="1:52">
      <c r="AW15" s="39" t="s">
        <v>2</v>
      </c>
      <c r="AX15" s="39" t="s">
        <v>3</v>
      </c>
      <c r="AY15" s="39" t="s">
        <v>2</v>
      </c>
      <c r="AZ15" s="39" t="s">
        <v>3</v>
      </c>
    </row>
    <row r="16" spans="1:52">
      <c r="AV16" s="57" t="s">
        <v>76</v>
      </c>
      <c r="AW16" s="58">
        <f>AV9</f>
        <v>1356</v>
      </c>
      <c r="AX16" s="58">
        <f>AV10</f>
        <v>52</v>
      </c>
      <c r="AY16" s="58">
        <f>AW9</f>
        <v>1475</v>
      </c>
      <c r="AZ16" s="58">
        <f>AW10</f>
        <v>61</v>
      </c>
    </row>
    <row r="17" spans="48:52">
      <c r="AV17" s="57" t="s">
        <v>77</v>
      </c>
      <c r="AW17" s="58">
        <f>AV12</f>
        <v>108</v>
      </c>
      <c r="AX17" s="58">
        <f>AV13</f>
        <v>7</v>
      </c>
      <c r="AY17" s="58">
        <f>AW12</f>
        <v>23</v>
      </c>
      <c r="AZ17" s="58">
        <f>AW13</f>
        <v>3</v>
      </c>
    </row>
  </sheetData>
  <mergeCells count="4">
    <mergeCell ref="AY14:AZ14"/>
    <mergeCell ref="A1:D1"/>
    <mergeCell ref="A2:D2"/>
    <mergeCell ref="AW14:AX14"/>
  </mergeCells>
  <pageMargins left="0.7" right="0.7" top="0.75" bottom="0.75" header="0.3" footer="0.3"/>
  <pageSetup paperSize="9" scale="91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7" t="s">
        <v>52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</row>
    <row r="2" spans="1:36">
      <c r="A2" s="68" t="s">
        <v>45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</row>
    <row r="3" spans="1:36" ht="15" customHeight="1">
      <c r="A3" s="69"/>
      <c r="B3" s="69"/>
      <c r="C3" s="71" t="s">
        <v>39</v>
      </c>
      <c r="D3" s="71"/>
      <c r="E3" s="71"/>
      <c r="F3" s="71"/>
      <c r="G3" s="71"/>
      <c r="H3" s="29"/>
      <c r="I3" s="29"/>
      <c r="J3" s="72" t="s">
        <v>5</v>
      </c>
      <c r="K3" s="72"/>
      <c r="L3" s="72"/>
      <c r="M3" s="72"/>
      <c r="N3" s="72"/>
      <c r="O3" s="24"/>
      <c r="P3" s="72" t="s">
        <v>6</v>
      </c>
      <c r="Q3" s="72"/>
      <c r="R3" s="72"/>
      <c r="S3" s="72"/>
      <c r="T3" s="72"/>
      <c r="U3" s="6"/>
      <c r="V3" s="6"/>
      <c r="W3" s="6"/>
      <c r="X3" s="73" t="s">
        <v>7</v>
      </c>
      <c r="Y3" s="73"/>
      <c r="Z3" s="73"/>
      <c r="AA3" s="73"/>
      <c r="AB3" s="73"/>
      <c r="AC3" s="25"/>
      <c r="AD3" s="25"/>
      <c r="AE3" s="73" t="s">
        <v>8</v>
      </c>
      <c r="AF3" s="73"/>
      <c r="AG3" s="73"/>
      <c r="AH3" s="73"/>
      <c r="AI3" s="73"/>
    </row>
    <row r="4" spans="1:36" ht="25.5">
      <c r="A4" s="70"/>
      <c r="B4" s="70"/>
      <c r="C4" s="30" t="s">
        <v>9</v>
      </c>
      <c r="D4" s="30" t="s">
        <v>10</v>
      </c>
      <c r="E4" s="30" t="s">
        <v>4</v>
      </c>
      <c r="F4" s="31" t="s">
        <v>11</v>
      </c>
      <c r="G4" s="30" t="s">
        <v>12</v>
      </c>
      <c r="H4" s="30" t="s">
        <v>47</v>
      </c>
      <c r="I4" s="30" t="s">
        <v>53</v>
      </c>
      <c r="J4" s="13" t="s">
        <v>9</v>
      </c>
      <c r="K4" s="13" t="s">
        <v>10</v>
      </c>
      <c r="L4" s="13" t="s">
        <v>4</v>
      </c>
      <c r="M4" s="14" t="s">
        <v>11</v>
      </c>
      <c r="N4" s="13" t="s">
        <v>12</v>
      </c>
      <c r="O4" s="30" t="s">
        <v>47</v>
      </c>
      <c r="P4" s="13" t="s">
        <v>9</v>
      </c>
      <c r="Q4" s="13" t="s">
        <v>10</v>
      </c>
      <c r="R4" s="13" t="s">
        <v>4</v>
      </c>
      <c r="S4" s="14" t="s">
        <v>11</v>
      </c>
      <c r="T4" s="13" t="s">
        <v>12</v>
      </c>
      <c r="U4" s="30" t="s">
        <v>47</v>
      </c>
      <c r="V4" s="30"/>
      <c r="W4" s="30"/>
      <c r="X4" s="13" t="s">
        <v>9</v>
      </c>
      <c r="Y4" s="13" t="s">
        <v>10</v>
      </c>
      <c r="Z4" s="13" t="s">
        <v>4</v>
      </c>
      <c r="AA4" s="14" t="s">
        <v>11</v>
      </c>
      <c r="AB4" s="13" t="s">
        <v>12</v>
      </c>
      <c r="AC4" s="30" t="s">
        <v>47</v>
      </c>
      <c r="AD4" s="30"/>
      <c r="AE4" s="13" t="s">
        <v>9</v>
      </c>
      <c r="AF4" s="13" t="s">
        <v>10</v>
      </c>
      <c r="AG4" s="13" t="s">
        <v>4</v>
      </c>
      <c r="AH4" s="14" t="s">
        <v>11</v>
      </c>
      <c r="AI4" s="13" t="s">
        <v>12</v>
      </c>
      <c r="AJ4" s="30" t="s">
        <v>47</v>
      </c>
    </row>
    <row r="5" spans="1:36" ht="14.25" customHeight="1">
      <c r="A5" s="23"/>
      <c r="B5" s="27" t="s">
        <v>49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49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49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50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50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50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51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51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51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19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20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21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22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23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24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25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26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27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28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29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30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31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32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33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34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35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36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37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38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13</v>
      </c>
      <c r="B28" s="9" t="s">
        <v>14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13</v>
      </c>
      <c r="B29" s="9" t="s">
        <v>15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13</v>
      </c>
      <c r="B30" s="9" t="s">
        <v>16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13</v>
      </c>
      <c r="B31" s="9" t="s">
        <v>17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13</v>
      </c>
      <c r="B32" s="16" t="s">
        <v>18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46</v>
      </c>
    </row>
    <row r="36" spans="1:35">
      <c r="A36" s="1"/>
      <c r="B36" s="26" t="s">
        <v>47</v>
      </c>
    </row>
    <row r="37" spans="1:35">
      <c r="B37" s="27" t="s">
        <v>39</v>
      </c>
      <c r="C37" s="27" t="s">
        <v>48</v>
      </c>
      <c r="D37" s="27" t="s">
        <v>40</v>
      </c>
      <c r="E37" s="27"/>
      <c r="F37" s="27"/>
    </row>
    <row r="38" spans="1:35">
      <c r="A38" s="27" t="s">
        <v>49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50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51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54</v>
      </c>
      <c r="C42" s="34"/>
      <c r="D42" s="34"/>
    </row>
    <row r="43" spans="1:35">
      <c r="B43" s="27" t="s">
        <v>39</v>
      </c>
      <c r="C43" s="27" t="s">
        <v>48</v>
      </c>
      <c r="D43" s="27" t="s">
        <v>40</v>
      </c>
    </row>
    <row r="44" spans="1:35">
      <c r="A44" s="27" t="s">
        <v>49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50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51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55</v>
      </c>
      <c r="C49" s="34"/>
      <c r="D49" s="34"/>
    </row>
    <row r="50" spans="1:5">
      <c r="B50" s="27" t="s">
        <v>39</v>
      </c>
      <c r="C50" s="27" t="s">
        <v>48</v>
      </c>
      <c r="D50" s="27" t="s">
        <v>40</v>
      </c>
    </row>
    <row r="51" spans="1:5">
      <c r="A51" s="27" t="s">
        <v>49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50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51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42</v>
      </c>
      <c r="C56" s="34" t="s">
        <v>13</v>
      </c>
      <c r="D56" s="34" t="s">
        <v>41</v>
      </c>
    </row>
    <row r="57" spans="1:5">
      <c r="A57" s="34" t="s">
        <v>56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57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55</v>
      </c>
      <c r="B59" s="35">
        <v>14232</v>
      </c>
      <c r="C59" s="35">
        <v>6099</v>
      </c>
      <c r="D59" s="35">
        <v>8133</v>
      </c>
    </row>
    <row r="60" spans="1:5">
      <c r="A60" s="34" t="s">
        <v>54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58</v>
      </c>
    </row>
    <row r="67" spans="1:11">
      <c r="B67" s="34"/>
      <c r="H67" s="34" t="s">
        <v>59</v>
      </c>
    </row>
    <row r="68" spans="1:11">
      <c r="A68" s="1"/>
      <c r="B68" s="34"/>
      <c r="C68" s="34" t="s">
        <v>60</v>
      </c>
      <c r="D68" s="34" t="s">
        <v>61</v>
      </c>
      <c r="E68" s="34" t="s">
        <v>62</v>
      </c>
      <c r="F68" s="34" t="s">
        <v>63</v>
      </c>
      <c r="G68" s="34"/>
      <c r="H68" s="36" t="s">
        <v>64</v>
      </c>
      <c r="I68" s="34" t="s">
        <v>65</v>
      </c>
      <c r="J68" s="34" t="s">
        <v>66</v>
      </c>
      <c r="K68" s="34"/>
    </row>
    <row r="69" spans="1:11">
      <c r="A69" s="1"/>
      <c r="B69" s="34" t="s">
        <v>19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20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21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22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23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24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25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26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27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28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29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30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31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32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33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34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35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36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37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38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8.56</vt:lpstr>
      <vt:lpstr>8.20 workings</vt:lpstr>
      <vt:lpstr>'8.56'!Print_Area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2018-10-07T06:46:09Z</cp:lastPrinted>
  <dcterms:created xsi:type="dcterms:W3CDTF">2013-04-04T04:05:16Z</dcterms:created>
  <dcterms:modified xsi:type="dcterms:W3CDTF">2018-10-07T06:46:16Z</dcterms:modified>
</cp:coreProperties>
</file>