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2" sheetId="88" r:id="rId1"/>
    <sheet name="8.20 workings" sheetId="36" state="hidden" r:id="rId2"/>
  </sheets>
  <externalReferences>
    <externalReference r:id="rId3"/>
  </externalReferences>
  <definedNames>
    <definedName name="_xlnm.Print_Area" localSheetId="0">'8.42'!$A$1:$F$19</definedName>
  </definedNames>
  <calcPr calcId="162913"/>
</workbook>
</file>

<file path=xl/calcChain.xml><?xml version="1.0" encoding="utf-8"?>
<calcChain xmlns="http://schemas.openxmlformats.org/spreadsheetml/2006/main">
  <c r="B16" i="88" l="1"/>
  <c r="B15" i="88"/>
  <c r="B14" i="88"/>
  <c r="B13" i="88"/>
  <c r="B12" i="88"/>
  <c r="B11" i="88"/>
  <c r="B10" i="88"/>
  <c r="B9" i="88"/>
  <c r="B8" i="88"/>
  <c r="D7" i="88"/>
  <c r="C7" i="88"/>
  <c r="B7" i="88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<sst xmlns="http://schemas.openxmlformats.org/spreadsheetml/2006/main" count="189" uniqueCount="94">
  <si>
    <t>Total</t>
  </si>
  <si>
    <t>Source: Department of Judicial Administration</t>
  </si>
  <si>
    <t>Others</t>
  </si>
  <si>
    <t>އެހެނިހެން</t>
  </si>
  <si>
    <t>Male</t>
  </si>
  <si>
    <t>Female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</si>
  <si>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</si>
  <si>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</si>
  <si>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</si>
  <si>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</si>
  <si>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</si>
  <si>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</si>
  <si>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</si>
  <si>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</si>
  <si>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</si>
  <si>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</si>
  <si>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</si>
  <si>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</si>
  <si>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</si>
  <si>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</si>
  <si>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</si>
  <si>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</si>
  <si>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</si>
  <si>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</si>
  <si>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</si>
  <si>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</si>
  <si>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</si>
  <si>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</si>
  <si>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</si>
  <si>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</si>
  <si>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</si>
  <si>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</si>
  <si>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</si>
  <si>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</si>
  <si>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</si>
  <si>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</si>
  <si>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</si>
  <si>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</si>
  <si>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</si>
  <si>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</si>
  <si>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</si>
  <si>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</si>
  <si>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</si>
  <si>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</si>
  <si>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</si>
  <si>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</si>
  <si>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</si>
  <si>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</si>
  <si>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</si>
  <si>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</si>
  <si>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</si>
  <si>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</si>
  <si>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</si>
  <si>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</si>
  <si>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</si>
  <si>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</si>
  <si>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</si>
  <si>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</si>
  <si>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</si>
  <si>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</si>
  <si>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</si>
  <si>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</si>
  <si>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</si>
  <si>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</si>
  <si>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</si>
  <si>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</si>
  <si>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</si>
  <si>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</si>
  <si>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</si>
  <si>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</si>
  <si>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Types of abuse 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</si>
  <si>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</si>
  <si>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</si>
  <si>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</si>
  <si>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</si>
  <si>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</si>
  <si>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</si>
  <si>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</si>
  <si>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</si>
  <si>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</si>
  <si>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</si>
  <si>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</si>
  <si>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</si>
  <si>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</si>
  <si>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</si>
  <si>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</si>
  <si>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</si>
  <si>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</si>
  <si>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>Source: Ministry of Gender &amp; Family</t>
  </si>
  <si>
    <t>Both Sex</t>
  </si>
  <si>
    <t>ދެޖިންސު</t>
  </si>
  <si>
    <t>ތާވަލު 8.42: ޖިންސުގެ ގޮތުން ކުޑަކުދިންނަށް ކުރާ އަނިޔާއާއިބެހޭގޮތުން ހުށަހެޅިފައިވާ މައްސަލަތައް، 2015 - 2017</t>
  </si>
  <si>
    <t>Table 8.42: NUMBER OF REPORTED CHILD ABUSE  CASES (UNDER 18) BY TYPE AND SEX, 2017</t>
  </si>
  <si>
    <t xml:space="preserve">Note: Others include: Child Deaths, Exploitation, Commercial Exploitation / Child Labor,  Commercial Sexual Exploitation,  Trafficking of Children, Victims of Bullying,  Child Abandonment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</si>
</sst>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3" fillId="0" borderId="8" applyNumberFormat="0" applyFill="0" applyAlignment="0" applyProtection="0"/>
    <xf numFmtId="0" fontId="8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2" applyNumberFormat="0" applyAlignment="0" applyProtection="0"/>
    <xf numFmtId="0" fontId="24" fillId="8" borderId="13" applyNumberFormat="0" applyAlignment="0" applyProtection="0"/>
    <xf numFmtId="0" fontId="25" fillId="8" borderId="12" applyNumberFormat="0" applyAlignment="0" applyProtection="0"/>
    <xf numFmtId="0" fontId="26" fillId="0" borderId="14" applyNumberFormat="0" applyFill="0" applyAlignment="0" applyProtection="0"/>
    <xf numFmtId="0" fontId="27" fillId="9" borderId="15" applyNumberFormat="0" applyAlignment="0" applyProtection="0"/>
    <xf numFmtId="0" fontId="15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8" fillId="0" borderId="0"/>
  </cellStyleXfs>
  <cellXfs count="7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left" vertical="center" wrapText="1"/>
    </xf>
    <xf numFmtId="3" fontId="4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/>
    <xf numFmtId="166" fontId="12" fillId="2" borderId="18" xfId="1" applyNumberFormat="1" applyFont="1" applyFill="1" applyBorder="1" applyAlignment="1">
      <alignment vertical="center" wrapText="1"/>
    </xf>
    <xf numFmtId="166" fontId="3" fillId="2" borderId="18" xfId="1" applyNumberFormat="1" applyFont="1" applyFill="1" applyBorder="1" applyAlignment="1">
      <alignment horizontal="right" vertical="center" wrapText="1"/>
    </xf>
    <xf numFmtId="166" fontId="30" fillId="2" borderId="18" xfId="1" applyNumberFormat="1" applyFont="1" applyFill="1" applyBorder="1" applyAlignment="1">
      <alignment vertical="center" wrapText="1" readingOrder="2"/>
    </xf>
    <xf numFmtId="166" fontId="33" fillId="2" borderId="0" xfId="1" applyNumberFormat="1" applyFont="1" applyFill="1"/>
    <xf numFmtId="166" fontId="10" fillId="2" borderId="0" xfId="1" applyNumberFormat="1" applyFont="1" applyFill="1" applyAlignment="1">
      <alignment vertical="center" wrapText="1"/>
    </xf>
    <xf numFmtId="166" fontId="4" fillId="2" borderId="0" xfId="1" applyNumberFormat="1" applyFont="1" applyFill="1" applyAlignment="1">
      <alignment horizontal="right" vertical="center" wrapText="1"/>
    </xf>
    <xf numFmtId="166" fontId="31" fillId="2" borderId="0" xfId="1" applyNumberFormat="1" applyFont="1" applyFill="1" applyAlignment="1">
      <alignment vertical="center" wrapText="1" readingOrder="2"/>
    </xf>
    <xf numFmtId="166" fontId="32" fillId="2" borderId="0" xfId="1" applyNumberFormat="1" applyFont="1" applyFill="1"/>
    <xf numFmtId="166" fontId="4" fillId="2" borderId="0" xfId="1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top"/>
    </xf>
    <xf numFmtId="164" fontId="3" fillId="2" borderId="4" xfId="0" applyNumberFormat="1" applyFont="1" applyFill="1" applyBorder="1" applyAlignment="1">
      <alignment horizontal="center" vertical="center" wrapText="1"/>
    </xf>
    <xf numFmtId="164" fontId="30" fillId="2" borderId="0" xfId="0" applyNumberFormat="1" applyFont="1" applyFill="1" applyBorder="1" applyAlignment="1">
      <alignment horizontal="right" vertical="center" wrapText="1"/>
    </xf>
    <xf numFmtId="164" fontId="30" fillId="2" borderId="4" xfId="0" applyNumberFormat="1" applyFont="1" applyFill="1" applyBorder="1" applyAlignment="1">
      <alignment horizontal="right" vertical="center" wrapText="1"/>
    </xf>
    <xf numFmtId="166" fontId="31" fillId="2" borderId="4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0" fillId="2" borderId="0" xfId="0" applyNumberFormat="1" applyFont="1" applyFill="1" applyAlignment="1">
      <alignment horizontal="center" vertical="center" wrapText="1" readingOrder="2"/>
    </xf>
    <xf numFmtId="164" fontId="3" fillId="2" borderId="0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left" vertical="center" wrapText="1"/>
    </xf>
    <xf numFmtId="164" fontId="3" fillId="2" borderId="18" xfId="0" applyNumberFormat="1" applyFont="1" applyFill="1" applyBorder="1" applyAlignment="1">
      <alignment horizontal="left" vertical="center" wrapText="1"/>
    </xf>
    <xf numFmtId="164" fontId="3" fillId="2" borderId="0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0" fillId="2" borderId="18" xfId="0" applyNumberFormat="1" applyFont="1" applyFill="1" applyBorder="1" applyAlignment="1">
      <alignment horizontal="right" vertical="center" wrapText="1" readingOrder="2"/>
    </xf>
    <xf numFmtId="164" fontId="30" fillId="2" borderId="0" xfId="0" applyNumberFormat="1" applyFont="1" applyFill="1" applyBorder="1" applyAlignment="1">
      <alignment horizontal="right" vertical="center" wrapText="1" readingOrder="2"/>
    </xf>
    <xf numFmtId="164" fontId="30" fillId="2" borderId="4" xfId="0" applyNumberFormat="1" applyFont="1" applyFill="1" applyBorder="1" applyAlignment="1">
      <alignment horizontal="right" vertical="center" wrapText="1" readingOrder="2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25"/>
  <sheetViews>
    <sheetView tabSelected="1" zoomScaleNormal="100" workbookViewId="0">
      <selection activeCell="D25" sqref="D25"/>
    </sheetView>
  </sheetViews>
  <sheetFormatPr defaultColWidth="9.140625" defaultRowHeight="12.75"/>
  <cols>
    <col min="1" max="1" width="28.42578125" style="39" customWidth="1"/>
    <col min="2" max="4" width="11" style="39" customWidth="1"/>
    <col min="5" max="5" width="38.85546875" style="39" customWidth="1"/>
    <col min="6" max="6" width="3.140625" style="39" customWidth="1"/>
    <col min="7" max="16384" width="9.140625" style="39"/>
  </cols>
  <sheetData>
    <row r="1" spans="1:5" ht="18.75">
      <c r="A1" s="55" t="s">
        <v>91</v>
      </c>
      <c r="B1" s="55"/>
      <c r="C1" s="55"/>
      <c r="D1" s="55"/>
      <c r="E1" s="55"/>
    </row>
    <row r="2" spans="1:5">
      <c r="A2" s="56" t="s">
        <v>92</v>
      </c>
      <c r="B2" s="56"/>
      <c r="C2" s="56"/>
      <c r="D2" s="56"/>
      <c r="E2" s="56"/>
    </row>
    <row r="3" spans="1:5">
      <c r="A3" s="50"/>
      <c r="B3" s="50"/>
      <c r="C3" s="50"/>
      <c r="D3" s="50"/>
      <c r="E3" s="50"/>
    </row>
    <row r="4" spans="1:5">
      <c r="A4" s="58" t="s">
        <v>70</v>
      </c>
      <c r="B4" s="61">
        <v>2017</v>
      </c>
      <c r="C4" s="61"/>
      <c r="D4" s="61"/>
      <c r="E4" s="62" t="s">
        <v>71</v>
      </c>
    </row>
    <row r="5" spans="1:5">
      <c r="A5" s="59"/>
      <c r="B5" s="38" t="s">
        <v>89</v>
      </c>
      <c r="C5" s="38" t="s">
        <v>4</v>
      </c>
      <c r="D5" s="38" t="s">
        <v>5</v>
      </c>
      <c r="E5" s="63"/>
    </row>
    <row r="6" spans="1:5" ht="18.75">
      <c r="A6" s="60"/>
      <c r="B6" s="51" t="s">
        <v>90</v>
      </c>
      <c r="C6" s="51" t="s">
        <v>46</v>
      </c>
      <c r="D6" s="52" t="s">
        <v>47</v>
      </c>
      <c r="E6" s="64"/>
    </row>
    <row r="7" spans="1:5" s="43" customFormat="1" ht="18.75">
      <c r="A7" s="40" t="s">
        <v>0</v>
      </c>
      <c r="B7" s="41">
        <f>SUM(C7:D7)</f>
        <v>1412</v>
      </c>
      <c r="C7" s="41">
        <f>SUM(C8:C16)</f>
        <v>677</v>
      </c>
      <c r="D7" s="41">
        <f>SUM(D8:D16)</f>
        <v>735</v>
      </c>
      <c r="E7" s="42" t="s">
        <v>6</v>
      </c>
    </row>
    <row r="8" spans="1:5" s="47" customFormat="1" ht="18.75">
      <c r="A8" s="44" t="s">
        <v>72</v>
      </c>
      <c r="B8" s="48">
        <f>SUM(C8:D8)</f>
        <v>297</v>
      </c>
      <c r="C8" s="45">
        <v>162</v>
      </c>
      <c r="D8" s="45">
        <v>135</v>
      </c>
      <c r="E8" s="46" t="s">
        <v>73</v>
      </c>
    </row>
    <row r="9" spans="1:5" s="47" customFormat="1" ht="18.75">
      <c r="A9" s="44" t="s">
        <v>74</v>
      </c>
      <c r="B9" s="48">
        <f t="shared" ref="B9:B16" si="0">SUM(C9:D9)</f>
        <v>354</v>
      </c>
      <c r="C9" s="45">
        <v>216</v>
      </c>
      <c r="D9" s="45">
        <v>138</v>
      </c>
      <c r="E9" s="46" t="s">
        <v>75</v>
      </c>
    </row>
    <row r="10" spans="1:5" s="47" customFormat="1" ht="18.75">
      <c r="A10" s="44" t="s">
        <v>76</v>
      </c>
      <c r="B10" s="48">
        <f t="shared" si="0"/>
        <v>182</v>
      </c>
      <c r="C10" s="45">
        <v>92</v>
      </c>
      <c r="D10" s="45">
        <v>90</v>
      </c>
      <c r="E10" s="46" t="s">
        <v>77</v>
      </c>
    </row>
    <row r="11" spans="1:5" s="47" customFormat="1" ht="18.75">
      <c r="A11" s="44" t="s">
        <v>78</v>
      </c>
      <c r="B11" s="48">
        <f t="shared" si="0"/>
        <v>418</v>
      </c>
      <c r="C11" s="45">
        <v>126</v>
      </c>
      <c r="D11" s="45">
        <v>292</v>
      </c>
      <c r="E11" s="46" t="s">
        <v>79</v>
      </c>
    </row>
    <row r="12" spans="1:5" s="47" customFormat="1" ht="18.75">
      <c r="A12" s="44" t="s">
        <v>80</v>
      </c>
      <c r="B12" s="48">
        <f t="shared" si="0"/>
        <v>39</v>
      </c>
      <c r="C12" s="45">
        <v>17</v>
      </c>
      <c r="D12" s="45">
        <v>22</v>
      </c>
      <c r="E12" s="46" t="s">
        <v>81</v>
      </c>
    </row>
    <row r="13" spans="1:5" s="47" customFormat="1" ht="18.75">
      <c r="A13" s="44" t="s">
        <v>82</v>
      </c>
      <c r="B13" s="48">
        <f t="shared" si="0"/>
        <v>12</v>
      </c>
      <c r="C13" s="45">
        <v>4</v>
      </c>
      <c r="D13" s="45">
        <v>8</v>
      </c>
      <c r="E13" s="46" t="s">
        <v>83</v>
      </c>
    </row>
    <row r="14" spans="1:5" s="47" customFormat="1" ht="35.25" customHeight="1">
      <c r="A14" s="44" t="s">
        <v>84</v>
      </c>
      <c r="B14" s="48">
        <f t="shared" si="0"/>
        <v>48</v>
      </c>
      <c r="C14" s="45">
        <v>31</v>
      </c>
      <c r="D14" s="45">
        <v>17</v>
      </c>
      <c r="E14" s="46" t="s">
        <v>85</v>
      </c>
    </row>
    <row r="15" spans="1:5" s="47" customFormat="1" ht="30" customHeight="1">
      <c r="A15" s="44" t="s">
        <v>86</v>
      </c>
      <c r="B15" s="48">
        <f t="shared" si="0"/>
        <v>10</v>
      </c>
      <c r="C15" s="45">
        <v>4</v>
      </c>
      <c r="D15" s="45">
        <v>6</v>
      </c>
      <c r="E15" s="46" t="s">
        <v>87</v>
      </c>
    </row>
    <row r="16" spans="1:5" s="47" customFormat="1" ht="18.75">
      <c r="A16" s="44" t="s">
        <v>2</v>
      </c>
      <c r="B16" s="48">
        <f t="shared" si="0"/>
        <v>52</v>
      </c>
      <c r="C16" s="45">
        <v>25</v>
      </c>
      <c r="D16" s="45">
        <v>27</v>
      </c>
      <c r="E16" s="53" t="s">
        <v>3</v>
      </c>
    </row>
    <row r="17" spans="1:10" ht="30" customHeight="1">
      <c r="A17" s="57" t="s">
        <v>93</v>
      </c>
      <c r="B17" s="57"/>
      <c r="C17" s="57"/>
      <c r="D17" s="57"/>
      <c r="E17" s="57"/>
      <c r="F17" s="47"/>
      <c r="G17" s="47"/>
      <c r="H17" s="47"/>
      <c r="I17" s="47"/>
      <c r="J17" s="47"/>
    </row>
    <row r="18" spans="1:10" ht="15.75">
      <c r="A18" s="49" t="s">
        <v>88</v>
      </c>
      <c r="F18" s="47"/>
      <c r="G18" s="47"/>
      <c r="H18" s="47"/>
      <c r="I18" s="47"/>
      <c r="J18" s="47"/>
    </row>
    <row r="19" spans="1:10" ht="15.75">
      <c r="F19" s="47"/>
      <c r="G19" s="47"/>
      <c r="H19" s="47"/>
      <c r="I19" s="47"/>
      <c r="J19" s="47"/>
    </row>
    <row r="20" spans="1:10" ht="15.75">
      <c r="F20" s="47"/>
      <c r="G20" s="47"/>
      <c r="H20" s="47"/>
      <c r="I20" s="47"/>
      <c r="J20" s="47"/>
    </row>
    <row r="21" spans="1:10" ht="15.75">
      <c r="F21" s="47"/>
      <c r="G21" s="47"/>
      <c r="H21" s="47"/>
      <c r="I21" s="47"/>
      <c r="J21" s="47"/>
    </row>
    <row r="22" spans="1:10" ht="15.75">
      <c r="F22" s="47"/>
      <c r="G22" s="47"/>
      <c r="H22" s="47"/>
      <c r="I22" s="47"/>
      <c r="J22" s="47"/>
    </row>
    <row r="23" spans="1:10" ht="15.75">
      <c r="F23" s="47"/>
      <c r="G23" s="47"/>
      <c r="H23" s="47"/>
      <c r="I23" s="47"/>
      <c r="J23" s="47"/>
    </row>
    <row r="24" spans="1:10" ht="15.75">
      <c r="F24" s="47"/>
      <c r="G24" s="47"/>
      <c r="H24" s="47"/>
      <c r="I24" s="47"/>
      <c r="J24" s="47"/>
    </row>
    <row r="25" spans="1:10" ht="15.75">
      <c r="F25" s="47"/>
      <c r="G25" s="47"/>
      <c r="H25" s="47"/>
      <c r="I25" s="47"/>
      <c r="J25" s="47"/>
    </row>
  </sheetData>
  <mergeCells count="6">
    <mergeCell ref="A1:E1"/>
    <mergeCell ref="A2:E2"/>
    <mergeCell ref="A4:A6"/>
    <mergeCell ref="B4:D4"/>
    <mergeCell ref="E4:E6"/>
    <mergeCell ref="A17:E17"/>
  </mergeCells>
  <pageMargins left="0.7" right="0.7" top="0.75" bottom="0.75" header="0.3" footer="0.3"/>
  <pageSetup paperSize="9" scale="8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6" t="s">
        <v>55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54" t="s">
        <v>48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1:36" ht="15" customHeight="1">
      <c r="A3" s="67"/>
      <c r="B3" s="67"/>
      <c r="C3" s="68" t="s">
        <v>42</v>
      </c>
      <c r="D3" s="68"/>
      <c r="E3" s="68"/>
      <c r="F3" s="68"/>
      <c r="G3" s="68"/>
      <c r="H3" s="29"/>
      <c r="I3" s="29"/>
      <c r="J3" s="69" t="s">
        <v>8</v>
      </c>
      <c r="K3" s="69"/>
      <c r="L3" s="69"/>
      <c r="M3" s="69"/>
      <c r="N3" s="69"/>
      <c r="O3" s="24"/>
      <c r="P3" s="69" t="s">
        <v>9</v>
      </c>
      <c r="Q3" s="69"/>
      <c r="R3" s="69"/>
      <c r="S3" s="69"/>
      <c r="T3" s="69"/>
      <c r="U3" s="6"/>
      <c r="V3" s="6"/>
      <c r="W3" s="6"/>
      <c r="X3" s="70" t="s">
        <v>10</v>
      </c>
      <c r="Y3" s="70"/>
      <c r="Z3" s="70"/>
      <c r="AA3" s="70"/>
      <c r="AB3" s="70"/>
      <c r="AC3" s="25"/>
      <c r="AD3" s="25"/>
      <c r="AE3" s="70" t="s">
        <v>11</v>
      </c>
      <c r="AF3" s="70"/>
      <c r="AG3" s="70"/>
      <c r="AH3" s="70"/>
      <c r="AI3" s="70"/>
    </row>
    <row r="4" spans="1:36" ht="25.5">
      <c r="A4" s="65"/>
      <c r="B4" s="65"/>
      <c r="C4" s="30" t="s">
        <v>12</v>
      </c>
      <c r="D4" s="30" t="s">
        <v>13</v>
      </c>
      <c r="E4" s="30" t="s">
        <v>7</v>
      </c>
      <c r="F4" s="31" t="s">
        <v>14</v>
      </c>
      <c r="G4" s="30" t="s">
        <v>15</v>
      </c>
      <c r="H4" s="30" t="s">
        <v>50</v>
      </c>
      <c r="I4" s="30" t="s">
        <v>56</v>
      </c>
      <c r="J4" s="13" t="s">
        <v>12</v>
      </c>
      <c r="K4" s="13" t="s">
        <v>13</v>
      </c>
      <c r="L4" s="13" t="s">
        <v>7</v>
      </c>
      <c r="M4" s="14" t="s">
        <v>14</v>
      </c>
      <c r="N4" s="13" t="s">
        <v>15</v>
      </c>
      <c r="O4" s="30" t="s">
        <v>50</v>
      </c>
      <c r="P4" s="13" t="s">
        <v>12</v>
      </c>
      <c r="Q4" s="13" t="s">
        <v>13</v>
      </c>
      <c r="R4" s="13" t="s">
        <v>7</v>
      </c>
      <c r="S4" s="14" t="s">
        <v>14</v>
      </c>
      <c r="T4" s="13" t="s">
        <v>15</v>
      </c>
      <c r="U4" s="30" t="s">
        <v>50</v>
      </c>
      <c r="V4" s="30"/>
      <c r="W4" s="30"/>
      <c r="X4" s="13" t="s">
        <v>12</v>
      </c>
      <c r="Y4" s="13" t="s">
        <v>13</v>
      </c>
      <c r="Z4" s="13" t="s">
        <v>7</v>
      </c>
      <c r="AA4" s="14" t="s">
        <v>14</v>
      </c>
      <c r="AB4" s="13" t="s">
        <v>15</v>
      </c>
      <c r="AC4" s="30" t="s">
        <v>50</v>
      </c>
      <c r="AD4" s="30"/>
      <c r="AE4" s="13" t="s">
        <v>12</v>
      </c>
      <c r="AF4" s="13" t="s">
        <v>13</v>
      </c>
      <c r="AG4" s="13" t="s">
        <v>7</v>
      </c>
      <c r="AH4" s="14" t="s">
        <v>14</v>
      </c>
      <c r="AI4" s="13" t="s">
        <v>15</v>
      </c>
      <c r="AJ4" s="30" t="s">
        <v>50</v>
      </c>
    </row>
    <row r="5" spans="1:36" ht="14.25" customHeight="1">
      <c r="A5" s="23"/>
      <c r="B5" s="27" t="s">
        <v>52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52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52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53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53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53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54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54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54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22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23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24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25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26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27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28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29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30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31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32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33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34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35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36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37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38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39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40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41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16</v>
      </c>
      <c r="B28" s="9" t="s">
        <v>17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16</v>
      </c>
      <c r="B29" s="9" t="s">
        <v>18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16</v>
      </c>
      <c r="B30" s="9" t="s">
        <v>19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16</v>
      </c>
      <c r="B31" s="9" t="s">
        <v>20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16</v>
      </c>
      <c r="B32" s="16" t="s">
        <v>21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49</v>
      </c>
    </row>
    <row r="36" spans="1:35">
      <c r="A36" s="1"/>
      <c r="B36" s="26" t="s">
        <v>50</v>
      </c>
    </row>
    <row r="37" spans="1:35">
      <c r="B37" s="27" t="s">
        <v>42</v>
      </c>
      <c r="C37" s="27" t="s">
        <v>51</v>
      </c>
      <c r="D37" s="27" t="s">
        <v>43</v>
      </c>
      <c r="E37" s="27"/>
      <c r="F37" s="27"/>
    </row>
    <row r="38" spans="1:35">
      <c r="A38" s="27" t="s">
        <v>52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53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54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57</v>
      </c>
      <c r="C42" s="34"/>
      <c r="D42" s="34"/>
    </row>
    <row r="43" spans="1:35">
      <c r="B43" s="27" t="s">
        <v>42</v>
      </c>
      <c r="C43" s="27" t="s">
        <v>51</v>
      </c>
      <c r="D43" s="27" t="s">
        <v>43</v>
      </c>
    </row>
    <row r="44" spans="1:35">
      <c r="A44" s="27" t="s">
        <v>52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53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54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58</v>
      </c>
      <c r="C49" s="34"/>
      <c r="D49" s="34"/>
    </row>
    <row r="50" spans="1:5">
      <c r="B50" s="27" t="s">
        <v>42</v>
      </c>
      <c r="C50" s="27" t="s">
        <v>51</v>
      </c>
      <c r="D50" s="27" t="s">
        <v>43</v>
      </c>
    </row>
    <row r="51" spans="1:5">
      <c r="A51" s="27" t="s">
        <v>52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53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54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45</v>
      </c>
      <c r="C56" s="34" t="s">
        <v>16</v>
      </c>
      <c r="D56" s="34" t="s">
        <v>44</v>
      </c>
    </row>
    <row r="57" spans="1:5">
      <c r="A57" s="34" t="s">
        <v>59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60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58</v>
      </c>
      <c r="B59" s="35">
        <v>14232</v>
      </c>
      <c r="C59" s="35">
        <v>6099</v>
      </c>
      <c r="D59" s="35">
        <v>8133</v>
      </c>
    </row>
    <row r="60" spans="1:5">
      <c r="A60" s="34" t="s">
        <v>57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61</v>
      </c>
    </row>
    <row r="67" spans="1:11">
      <c r="B67" s="34"/>
      <c r="H67" s="34" t="s">
        <v>62</v>
      </c>
    </row>
    <row r="68" spans="1:11">
      <c r="A68" s="1"/>
      <c r="B68" s="34"/>
      <c r="C68" s="34" t="s">
        <v>63</v>
      </c>
      <c r="D68" s="34" t="s">
        <v>64</v>
      </c>
      <c r="E68" s="34" t="s">
        <v>65</v>
      </c>
      <c r="F68" s="34" t="s">
        <v>66</v>
      </c>
      <c r="G68" s="34"/>
      <c r="H68" s="36" t="s">
        <v>67</v>
      </c>
      <c r="I68" s="34" t="s">
        <v>68</v>
      </c>
      <c r="J68" s="34" t="s">
        <v>69</v>
      </c>
      <c r="K68" s="34"/>
    </row>
    <row r="69" spans="1:11">
      <c r="A69" s="1"/>
      <c r="B69" s="34" t="s">
        <v>22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23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24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25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26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27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28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29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30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31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32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33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34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35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36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37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38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39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40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41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8.42</vt:lpstr>
      <vt:lpstr>8.20 workings</vt:lpstr>
      <vt:lpstr>'8.42'!Print_Area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2018-09-26T05:56:58Z</cp:lastPrinted>
  <dcterms:created xsi:type="dcterms:W3CDTF">2013-04-04T04:05:16Z</dcterms:created>
  <dcterms:modified xsi:type="dcterms:W3CDTF">2018-09-26T05:57:05Z</dcterms:modified>
</cp:coreProperties>
</file>