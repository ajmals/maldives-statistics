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40" sheetId="83" r:id="rId1"/>
    <sheet name="8.20 workings" sheetId="36" state="hidden" r:id="rId2"/>
  </sheets>
  <externalReferences>
    <externalReference r:id="rId3"/>
  </externalReferences>
  <definedNames>
    <definedName name="_xlnm.Print_Area" localSheetId="0">'8.40'!$A$1:$AB$86</definedName>
  </definedNames>
  <calcPr calcId="162913"/>
</workbook>
</file>

<file path=xl/calcChain.xml><?xml version="1.0" encoding="utf-8"?>
<calcChain xmlns="http://schemas.openxmlformats.org/spreadsheetml/2006/main">
  <c r="AU47" i="83" l="1"/>
  <c r="AU48" i="83"/>
  <c r="AU49" i="83"/>
  <c r="AU50" i="83"/>
  <c r="AU51" i="83"/>
  <c r="AT47" i="83"/>
  <c r="AT48" i="83"/>
  <c r="AT49" i="83"/>
  <c r="AT50" i="83"/>
  <c r="AT51" i="83"/>
  <c r="AU46" i="83"/>
  <c r="AT46" i="83"/>
  <c r="AQ80" i="83"/>
  <c r="AR47" i="83"/>
  <c r="AR48" i="83"/>
  <c r="AR49" i="83"/>
  <c r="AR50" i="83"/>
  <c r="AR51" i="83"/>
  <c r="AR46" i="83"/>
  <c r="AS46" i="83" s="1"/>
  <c r="AQ47" i="83"/>
  <c r="AQ48" i="83"/>
  <c r="AQ49" i="83"/>
  <c r="AQ50" i="83"/>
  <c r="AQ51" i="83"/>
  <c r="AQ46" i="83"/>
  <c r="U10" i="83" l="1"/>
  <c r="V8" i="83"/>
  <c r="AS51" i="83"/>
  <c r="AS50" i="83"/>
  <c r="AS49" i="83"/>
  <c r="AS48" i="83"/>
  <c r="AS47" i="83"/>
  <c r="Z28" i="83"/>
  <c r="U28" i="83" s="1"/>
  <c r="S28" i="83"/>
  <c r="N28" i="83"/>
  <c r="M28" i="83"/>
  <c r="H28" i="83" s="1"/>
  <c r="B28" i="83"/>
  <c r="Z27" i="83"/>
  <c r="U27" i="83"/>
  <c r="S27" i="83"/>
  <c r="N27" i="83"/>
  <c r="M27" i="83"/>
  <c r="H27" i="83" s="1"/>
  <c r="H13" i="83" s="1"/>
  <c r="B27" i="83"/>
  <c r="Z26" i="83"/>
  <c r="U26" i="83" s="1"/>
  <c r="S26" i="83"/>
  <c r="N26" i="83" s="1"/>
  <c r="N12" i="83" s="1"/>
  <c r="M26" i="83"/>
  <c r="H26" i="83"/>
  <c r="H12" i="83" s="1"/>
  <c r="B26" i="83"/>
  <c r="Z25" i="83"/>
  <c r="U25" i="83"/>
  <c r="S25" i="83"/>
  <c r="N25" i="83"/>
  <c r="M25" i="83"/>
  <c r="H25" i="83"/>
  <c r="B25" i="83"/>
  <c r="B11" i="83" s="1"/>
  <c r="Z24" i="83"/>
  <c r="U24" i="83" s="1"/>
  <c r="S24" i="83"/>
  <c r="N24" i="83" s="1"/>
  <c r="M24" i="83"/>
  <c r="H24" i="83" s="1"/>
  <c r="G24" i="83"/>
  <c r="B24" i="83"/>
  <c r="Z23" i="83"/>
  <c r="U23" i="83" s="1"/>
  <c r="S23" i="83"/>
  <c r="N23" i="83" s="1"/>
  <c r="M23" i="83"/>
  <c r="H23" i="83" s="1"/>
  <c r="G23" i="83"/>
  <c r="B23" i="83"/>
  <c r="B9" i="83" s="1"/>
  <c r="Z22" i="83"/>
  <c r="Y22" i="83"/>
  <c r="X22" i="83"/>
  <c r="W22" i="83"/>
  <c r="V22" i="83"/>
  <c r="S22" i="83"/>
  <c r="R22" i="83"/>
  <c r="Q22" i="83"/>
  <c r="P22" i="83"/>
  <c r="O22" i="83"/>
  <c r="L22" i="83"/>
  <c r="K22" i="83"/>
  <c r="M22" i="83" s="1"/>
  <c r="J22" i="83"/>
  <c r="J8" i="83" s="1"/>
  <c r="AR36" i="83" s="1"/>
  <c r="I22" i="83"/>
  <c r="F22" i="83"/>
  <c r="E22" i="83"/>
  <c r="E8" i="83" s="1"/>
  <c r="D22" i="83"/>
  <c r="C22" i="83"/>
  <c r="Z21" i="83"/>
  <c r="U21" i="83" s="1"/>
  <c r="U14" i="83" s="1"/>
  <c r="AT65" i="83" s="1"/>
  <c r="S21" i="83"/>
  <c r="N21" i="83" s="1"/>
  <c r="N14" i="83" s="1"/>
  <c r="M21" i="83"/>
  <c r="H21" i="83" s="1"/>
  <c r="H14" i="83" s="1"/>
  <c r="B21" i="83"/>
  <c r="Z20" i="83"/>
  <c r="U20" i="83" s="1"/>
  <c r="U13" i="83" s="1"/>
  <c r="AT64" i="83" s="1"/>
  <c r="S20" i="83"/>
  <c r="N20" i="83" s="1"/>
  <c r="N13" i="83" s="1"/>
  <c r="M20" i="83"/>
  <c r="H20" i="83"/>
  <c r="G20" i="83"/>
  <c r="B20" i="83"/>
  <c r="Z19" i="83"/>
  <c r="U19" i="83" s="1"/>
  <c r="U12" i="83" s="1"/>
  <c r="AT63" i="83" s="1"/>
  <c r="S19" i="83"/>
  <c r="N19" i="83"/>
  <c r="M19" i="83"/>
  <c r="H19" i="83"/>
  <c r="G19" i="83"/>
  <c r="B19" i="83"/>
  <c r="Z18" i="83"/>
  <c r="U18" i="83" s="1"/>
  <c r="U11" i="83" s="1"/>
  <c r="AT62" i="83" s="1"/>
  <c r="S18" i="83"/>
  <c r="N18" i="83"/>
  <c r="M18" i="83"/>
  <c r="H18" i="83"/>
  <c r="B18" i="83"/>
  <c r="Z17" i="83"/>
  <c r="U17" i="83"/>
  <c r="AT61" i="83" s="1"/>
  <c r="S17" i="83"/>
  <c r="N17" i="83" s="1"/>
  <c r="N10" i="83" s="1"/>
  <c r="M17" i="83"/>
  <c r="H17" i="83" s="1"/>
  <c r="H10" i="83" s="1"/>
  <c r="G17" i="83"/>
  <c r="B17" i="83" s="1"/>
  <c r="B10" i="83" s="1"/>
  <c r="Z16" i="83"/>
  <c r="Z15" i="83" s="1"/>
  <c r="U16" i="83"/>
  <c r="S16" i="83"/>
  <c r="N16" i="83" s="1"/>
  <c r="M16" i="83"/>
  <c r="H16" i="83" s="1"/>
  <c r="H9" i="83" s="1"/>
  <c r="B16" i="83"/>
  <c r="Y15" i="83"/>
  <c r="X15" i="83"/>
  <c r="X8" i="83" s="1"/>
  <c r="W15" i="83"/>
  <c r="V15" i="83"/>
  <c r="R15" i="83"/>
  <c r="Q15" i="83"/>
  <c r="Q8" i="83" s="1"/>
  <c r="P15" i="83"/>
  <c r="O15" i="83"/>
  <c r="M15" i="83"/>
  <c r="L15" i="83"/>
  <c r="K15" i="83"/>
  <c r="J15" i="83"/>
  <c r="I15" i="83"/>
  <c r="G15" i="83"/>
  <c r="F15" i="83"/>
  <c r="E15" i="83"/>
  <c r="D15" i="83"/>
  <c r="D8" i="83" s="1"/>
  <c r="AR35" i="83" s="1"/>
  <c r="C15" i="83"/>
  <c r="Z14" i="83"/>
  <c r="Y14" i="83"/>
  <c r="X14" i="83"/>
  <c r="W14" i="83"/>
  <c r="V14" i="83"/>
  <c r="S14" i="83"/>
  <c r="R14" i="83"/>
  <c r="Q14" i="83"/>
  <c r="P14" i="83"/>
  <c r="O14" i="83"/>
  <c r="M14" i="83"/>
  <c r="L14" i="83"/>
  <c r="K14" i="83"/>
  <c r="J14" i="83"/>
  <c r="I14" i="83"/>
  <c r="G14" i="83"/>
  <c r="F14" i="83"/>
  <c r="E14" i="83"/>
  <c r="D14" i="83"/>
  <c r="C14" i="83"/>
  <c r="B14" i="83"/>
  <c r="Y13" i="83"/>
  <c r="X13" i="83"/>
  <c r="W13" i="83"/>
  <c r="V13" i="83"/>
  <c r="S13" i="83"/>
  <c r="R13" i="83"/>
  <c r="Q13" i="83"/>
  <c r="P13" i="83"/>
  <c r="O13" i="83"/>
  <c r="L13" i="83"/>
  <c r="K13" i="83"/>
  <c r="J13" i="83"/>
  <c r="I13" i="83"/>
  <c r="G13" i="83"/>
  <c r="F13" i="83"/>
  <c r="E13" i="83"/>
  <c r="D13" i="83"/>
  <c r="C13" i="83"/>
  <c r="B13" i="83"/>
  <c r="Y12" i="83"/>
  <c r="X12" i="83"/>
  <c r="W12" i="83"/>
  <c r="V12" i="83"/>
  <c r="S12" i="83"/>
  <c r="R12" i="83"/>
  <c r="Q12" i="83"/>
  <c r="P12" i="83"/>
  <c r="O12" i="83"/>
  <c r="M12" i="83"/>
  <c r="L12" i="83"/>
  <c r="K12" i="83"/>
  <c r="J12" i="83"/>
  <c r="I12" i="83"/>
  <c r="G12" i="83"/>
  <c r="F12" i="83"/>
  <c r="E12" i="83"/>
  <c r="D12" i="83"/>
  <c r="C12" i="83"/>
  <c r="B12" i="83"/>
  <c r="Y11" i="83"/>
  <c r="X11" i="83"/>
  <c r="W11" i="83"/>
  <c r="V11" i="83"/>
  <c r="S11" i="83"/>
  <c r="R11" i="83"/>
  <c r="Q11" i="83"/>
  <c r="P11" i="83"/>
  <c r="O11" i="83"/>
  <c r="N11" i="83"/>
  <c r="M11" i="83"/>
  <c r="L11" i="83"/>
  <c r="K11" i="83"/>
  <c r="J11" i="83"/>
  <c r="I11" i="83"/>
  <c r="H11" i="83"/>
  <c r="G11" i="83"/>
  <c r="F11" i="83"/>
  <c r="E11" i="83"/>
  <c r="D11" i="83"/>
  <c r="C11" i="83"/>
  <c r="Z10" i="83"/>
  <c r="Y10" i="83"/>
  <c r="X10" i="83"/>
  <c r="W10" i="83"/>
  <c r="V10" i="83"/>
  <c r="S10" i="83"/>
  <c r="R10" i="83"/>
  <c r="Q10" i="83"/>
  <c r="P10" i="83"/>
  <c r="O10" i="83"/>
  <c r="M10" i="83"/>
  <c r="L10" i="83"/>
  <c r="K10" i="83"/>
  <c r="J10" i="83"/>
  <c r="I10" i="83"/>
  <c r="G10" i="83"/>
  <c r="F10" i="83"/>
  <c r="E10" i="83"/>
  <c r="D10" i="83"/>
  <c r="C10" i="83"/>
  <c r="Z9" i="83"/>
  <c r="Y9" i="83"/>
  <c r="X9" i="83"/>
  <c r="W9" i="83"/>
  <c r="V9" i="83"/>
  <c r="S9" i="83"/>
  <c r="R9" i="83"/>
  <c r="Q9" i="83"/>
  <c r="P9" i="83"/>
  <c r="O9" i="83"/>
  <c r="M9" i="83"/>
  <c r="L9" i="83"/>
  <c r="K9" i="83"/>
  <c r="J9" i="83"/>
  <c r="I9" i="83"/>
  <c r="G9" i="83"/>
  <c r="F9" i="83"/>
  <c r="E9" i="83"/>
  <c r="D9" i="83"/>
  <c r="C9" i="83"/>
  <c r="AQ38" i="83"/>
  <c r="O8" i="83"/>
  <c r="AQ37" i="83" s="1"/>
  <c r="I8" i="83"/>
  <c r="AQ36" i="83" s="1"/>
  <c r="C8" i="83"/>
  <c r="AQ35" i="83" s="1"/>
  <c r="P8" i="83" l="1"/>
  <c r="AR37" i="83" s="1"/>
  <c r="F8" i="83"/>
  <c r="W8" i="83"/>
  <c r="AR38" i="83" s="1"/>
  <c r="U22" i="83"/>
  <c r="Y8" i="83"/>
  <c r="L8" i="83"/>
  <c r="N22" i="83"/>
  <c r="Z8" i="83"/>
  <c r="K8" i="83"/>
  <c r="M8" i="83"/>
  <c r="AS36" i="83" s="1"/>
  <c r="B15" i="83"/>
  <c r="H15" i="83"/>
  <c r="G22" i="83"/>
  <c r="B22" i="83" s="1"/>
  <c r="H22" i="83"/>
  <c r="R8" i="83"/>
  <c r="U15" i="83"/>
  <c r="N9" i="83"/>
  <c r="U9" i="83"/>
  <c r="AT60" i="83" s="1"/>
  <c r="Z11" i="83"/>
  <c r="Z12" i="83"/>
  <c r="Z13" i="83"/>
  <c r="S15" i="83"/>
  <c r="S8" i="83" s="1"/>
  <c r="AS37" i="83" s="1"/>
  <c r="M13" i="83"/>
  <c r="AR80" i="83" l="1"/>
  <c r="AR82" i="83" s="1"/>
  <c r="U8" i="83"/>
  <c r="B8" i="83"/>
  <c r="G8" i="83"/>
  <c r="AS35" i="83" s="1"/>
  <c r="AS38" i="83"/>
  <c r="AS80" i="83"/>
  <c r="AS82" i="83" s="1"/>
  <c r="N15" i="83"/>
  <c r="N8" i="83" s="1"/>
  <c r="H8" i="83"/>
  <c r="AP80" i="83" l="1"/>
  <c r="AQ82" i="83" s="1"/>
  <c r="F5" i="36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<sst xmlns="http://schemas.openxmlformats.org/spreadsheetml/2006/main" count="287" uniqueCount="96">
  <si>
    <t>Total</t>
  </si>
  <si>
    <t>Source: Department of Judicial Administration</t>
  </si>
  <si>
    <t>Both Sexes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</si>
  <si>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</si>
  <si>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</si>
  <si>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</si>
  <si>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</si>
  <si>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</si>
  <si>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</si>
  <si>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</si>
  <si>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</si>
  <si>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</si>
  <si>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</si>
  <si>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</si>
  <si>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</si>
  <si>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</si>
  <si>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</si>
  <si>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</si>
  <si>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</si>
  <si>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</si>
  <si>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</si>
  <si>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</si>
  <si>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</si>
  <si>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</si>
  <si>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</si>
  <si>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</si>
  <si>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</si>
  <si>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</si>
  <si>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</si>
  <si>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</si>
  <si>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</si>
  <si>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</si>
  <si>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</si>
  <si>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</si>
  <si>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</si>
  <si>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</si>
  <si>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</si>
  <si>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</si>
  <si>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</si>
  <si>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</si>
  <si>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</si>
  <si>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</si>
  <si>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</si>
  <si>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</si>
  <si>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</si>
  <si>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</si>
  <si>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</si>
  <si>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</si>
  <si>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</si>
  <si>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</si>
  <si>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</si>
  <si>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</si>
  <si>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</si>
  <si>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</si>
  <si>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</si>
  <si>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</si>
  <si>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</si>
  <si>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</si>
  <si>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</si>
  <si>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</si>
  <si>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</si>
  <si>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</si>
  <si>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</si>
  <si>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</si>
  <si>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</si>
  <si>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</si>
  <si>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cscnijed</t>
  </si>
  <si>
    <t>Source:Maldives Correctional  Service</t>
  </si>
  <si>
    <t>މައުލޫމާތު ދެއްވީ: މޯލްޑިވްސް ކަރެކްޝަނަލް ސަރވިސް</t>
  </si>
  <si>
    <t>Period of Sentence and Sex</t>
  </si>
  <si>
    <t xml:space="preserve"> cnutogeguscnij utwdcaum unuveruk cmukuh</t>
  </si>
  <si>
    <t>iawgudcnwb Eg</t>
  </si>
  <si>
    <t>Jailed</t>
  </si>
  <si>
    <t>Banished</t>
  </si>
  <si>
    <t>House Arrest/Detention</t>
  </si>
  <si>
    <t xml:space="preserve"> elWm</t>
  </si>
  <si>
    <t xml:space="preserve"> uLotwa</t>
  </si>
  <si>
    <t xml:space="preserve"> wlcmuj</t>
  </si>
  <si>
    <t xml:space="preserve"> iawgulwj</t>
  </si>
  <si>
    <t xml:space="preserve"> iawfivelWvurwa</t>
  </si>
  <si>
    <t>Less than 1 year</t>
  </si>
  <si>
    <t xml:space="preserve"> cSwd cnurwhwa 1</t>
  </si>
  <si>
    <t>1 - 2 years</t>
  </si>
  <si>
    <t>urwhwa 2 - 1</t>
  </si>
  <si>
    <t>2 - 3 years</t>
  </si>
  <si>
    <t>urwhwa 3 - 2</t>
  </si>
  <si>
    <t>3 - 4 years</t>
  </si>
  <si>
    <t>urwhwa 4 - 3</t>
  </si>
  <si>
    <t>4 - 5 years</t>
  </si>
  <si>
    <t>urwhwa 5 - 4</t>
  </si>
  <si>
    <t>5 years &amp; Over</t>
  </si>
  <si>
    <t xml:space="preserve"> itwm cnurwhwa 5</t>
  </si>
  <si>
    <t xml:space="preserve"> cnehirif</t>
  </si>
  <si>
    <t xml:space="preserve"> cnehcnwa</t>
  </si>
  <si>
    <t>Table  8.40 :   PERSONS SENTENCED, BY TYPE AND PERIOD, 2016 - 2017</t>
  </si>
  <si>
    <t>2017 - 2016 cnutogeguscnij cnuhIm unuverukcmukuh :8.40clwvWt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</si>
</sst>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9"/>
      <name val="A_Randhoo"/>
    </font>
    <font>
      <sz val="9"/>
      <name val="A_Randhoo"/>
    </font>
    <font>
      <sz val="10"/>
      <name val="Courier"/>
      <family val="3"/>
    </font>
    <font>
      <i/>
      <sz val="9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0"/>
      <name val="Faruma"/>
    </font>
    <font>
      <b/>
      <sz val="10"/>
      <name val="Arial"/>
      <family val="2"/>
    </font>
    <font>
      <b/>
      <sz val="9"/>
      <name val="A_Viligili"/>
    </font>
    <font>
      <b/>
      <sz val="10"/>
      <color theme="1"/>
      <name val="A_Randhoo"/>
    </font>
    <font>
      <b/>
      <sz val="9"/>
      <color theme="1"/>
      <name val="A_Randhoo"/>
    </font>
    <font>
      <sz val="10"/>
      <name val="A_Viligili"/>
    </font>
    <font>
      <sz val="10"/>
      <color indexed="8"/>
      <name val="Calibri"/>
      <family val="2"/>
      <scheme val="minor"/>
    </font>
    <font>
      <b/>
      <sz val="9"/>
      <color theme="0"/>
      <name val="Arial"/>
      <family val="2"/>
    </font>
    <font>
      <b/>
      <sz val="10"/>
      <name val="A_Viligili"/>
    </font>
    <font>
      <b/>
      <sz val="11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8" fillId="0" borderId="13" applyNumberFormat="0" applyFill="0" applyAlignment="0" applyProtection="0"/>
    <xf numFmtId="0" fontId="12" fillId="0" borderId="0"/>
    <xf numFmtId="166" fontId="19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24" fillId="0" borderId="18" applyNumberFormat="0" applyFill="0" applyAlignment="0" applyProtection="0"/>
    <xf numFmtId="0" fontId="25" fillId="0" borderId="19" applyNumberFormat="0" applyFill="0" applyAlignment="0" applyProtection="0"/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20" applyNumberFormat="0" applyAlignment="0" applyProtection="0"/>
    <xf numFmtId="0" fontId="30" fillId="8" borderId="21" applyNumberFormat="0" applyAlignment="0" applyProtection="0"/>
    <xf numFmtId="0" fontId="31" fillId="8" borderId="20" applyNumberFormat="0" applyAlignment="0" applyProtection="0"/>
    <xf numFmtId="0" fontId="32" fillId="0" borderId="22" applyNumberFormat="0" applyFill="0" applyAlignment="0" applyProtection="0"/>
    <xf numFmtId="0" fontId="33" fillId="9" borderId="23" applyNumberFormat="0" applyAlignment="0" applyProtection="0"/>
    <xf numFmtId="0" fontId="20" fillId="0" borderId="0" applyNumberFormat="0" applyFill="0" applyBorder="0" applyAlignment="0" applyProtection="0"/>
    <xf numFmtId="0" fontId="1" fillId="10" borderId="24" applyNumberFormat="0" applyFont="0" applyAlignment="0" applyProtection="0"/>
    <xf numFmtId="0" fontId="34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3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5" fillId="34" borderId="0" applyNumberFormat="0" applyBorder="0" applyAlignment="0" applyProtection="0"/>
    <xf numFmtId="0" fontId="1" fillId="0" borderId="0"/>
    <xf numFmtId="0" fontId="12" fillId="0" borderId="0"/>
    <xf numFmtId="0" fontId="8" fillId="0" borderId="0"/>
  </cellStyleXfs>
  <cellXfs count="186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3" fontId="11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ont="1" applyFill="1"/>
    <xf numFmtId="3" fontId="11" fillId="2" borderId="3" xfId="0" applyNumberFormat="1" applyFont="1" applyFill="1" applyBorder="1" applyAlignment="1">
      <alignment horizontal="right" vertical="center"/>
    </xf>
    <xf numFmtId="168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4" xfId="0" applyNumberFormat="1" applyFont="1" applyFill="1" applyBorder="1" applyAlignment="1">
      <alignment horizontal="center" vertical="center"/>
    </xf>
    <xf numFmtId="0" fontId="5" fillId="2" borderId="14" xfId="0" applyNumberFormat="1" applyFont="1" applyFill="1" applyBorder="1" applyAlignment="1">
      <alignment horizontal="left" vertical="center" wrapText="1"/>
    </xf>
    <xf numFmtId="3" fontId="5" fillId="2" borderId="14" xfId="1" applyNumberFormat="1" applyFont="1" applyFill="1" applyBorder="1" applyAlignment="1"/>
    <xf numFmtId="3" fontId="3" fillId="2" borderId="14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10" fillId="2" borderId="0" xfId="0" applyNumberFormat="1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right" vertical="center"/>
    </xf>
    <xf numFmtId="164" fontId="5" fillId="2" borderId="28" xfId="0" applyNumberFormat="1" applyFont="1" applyFill="1" applyBorder="1"/>
    <xf numFmtId="164" fontId="5" fillId="2" borderId="0" xfId="0" applyNumberFormat="1" applyFont="1" applyFill="1" applyAlignment="1">
      <alignment vertical="center"/>
    </xf>
    <xf numFmtId="164" fontId="3" fillId="2" borderId="0" xfId="0" applyNumberFormat="1" applyFont="1" applyFill="1" applyBorder="1" applyAlignment="1" applyProtection="1">
      <alignment horizontal="center" vertical="top"/>
    </xf>
    <xf numFmtId="164" fontId="5" fillId="2" borderId="0" xfId="0" applyNumberFormat="1" applyFont="1" applyFill="1" applyAlignment="1">
      <alignment vertical="top"/>
    </xf>
    <xf numFmtId="164" fontId="3" fillId="2" borderId="3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 applyProtection="1">
      <alignment horizontal="center" vertical="center"/>
    </xf>
    <xf numFmtId="164" fontId="11" fillId="2" borderId="3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17" fillId="2" borderId="0" xfId="0" applyNumberFormat="1" applyFont="1" applyFill="1" applyBorder="1" applyAlignment="1">
      <alignment horizontal="center" vertical="center"/>
    </xf>
    <xf numFmtId="164" fontId="42" fillId="2" borderId="0" xfId="0" applyNumberFormat="1" applyFont="1" applyFill="1" applyBorder="1" applyAlignment="1">
      <alignment horizontal="center" vertical="center"/>
    </xf>
    <xf numFmtId="164" fontId="17" fillId="2" borderId="12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164" fontId="36" fillId="2" borderId="4" xfId="0" applyNumberFormat="1" applyFont="1" applyFill="1" applyBorder="1" applyAlignment="1" applyProtection="1">
      <alignment horizontal="right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43" fillId="2" borderId="4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 applyProtection="1">
      <alignment horizontal="center" vertical="center"/>
    </xf>
    <xf numFmtId="164" fontId="36" fillId="2" borderId="8" xfId="0" applyNumberFormat="1" applyFont="1" applyFill="1" applyBorder="1" applyAlignment="1" applyProtection="1">
      <alignment horizontal="center" vertical="center"/>
    </xf>
    <xf numFmtId="164" fontId="36" fillId="2" borderId="0" xfId="0" applyNumberFormat="1" applyFont="1" applyFill="1" applyBorder="1" applyAlignment="1">
      <alignment horizontal="right"/>
    </xf>
    <xf numFmtId="164" fontId="36" fillId="2" borderId="0" xfId="0" applyNumberFormat="1" applyFont="1" applyFill="1" applyBorder="1" applyAlignment="1" applyProtection="1">
      <alignment horizontal="right" vertical="center"/>
    </xf>
    <xf numFmtId="164" fontId="3" fillId="2" borderId="3" xfId="0" applyNumberFormat="1" applyFont="1" applyFill="1" applyBorder="1" applyAlignment="1" applyProtection="1">
      <alignment horizontal="left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11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right"/>
    </xf>
    <xf numFmtId="3" fontId="3" fillId="2" borderId="10" xfId="0" applyNumberFormat="1" applyFont="1" applyFill="1" applyBorder="1" applyAlignment="1">
      <alignment horizontal="right" vertical="center"/>
    </xf>
    <xf numFmtId="3" fontId="3" fillId="2" borderId="12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right" vertical="center"/>
    </xf>
    <xf numFmtId="167" fontId="5" fillId="2" borderId="0" xfId="0" applyNumberFormat="1" applyFont="1" applyFill="1" applyBorder="1" applyAlignment="1" applyProtection="1">
      <alignment horizontal="right" vertical="center"/>
    </xf>
    <xf numFmtId="164" fontId="11" fillId="2" borderId="0" xfId="0" applyNumberFormat="1" applyFont="1" applyFill="1" applyBorder="1" applyAlignment="1" applyProtection="1">
      <alignment horizontal="left" vertical="center"/>
    </xf>
    <xf numFmtId="3" fontId="11" fillId="2" borderId="0" xfId="0" applyNumberFormat="1" applyFont="1" applyFill="1" applyBorder="1" applyAlignment="1" applyProtection="1">
      <alignment horizontal="right" vertical="center"/>
    </xf>
    <xf numFmtId="3" fontId="11" fillId="2" borderId="10" xfId="0" applyNumberFormat="1" applyFont="1" applyFill="1" applyBorder="1" applyAlignment="1">
      <alignment horizontal="right" vertical="center"/>
    </xf>
    <xf numFmtId="3" fontId="11" fillId="2" borderId="12" xfId="0" applyNumberFormat="1" applyFont="1" applyFill="1" applyBorder="1" applyAlignment="1" applyProtection="1">
      <alignment horizontal="center" vertical="center"/>
    </xf>
    <xf numFmtId="164" fontId="11" fillId="2" borderId="0" xfId="0" applyNumberFormat="1" applyFont="1" applyFill="1" applyBorder="1" applyAlignment="1" applyProtection="1">
      <alignment horizontal="right" vertical="center"/>
    </xf>
    <xf numFmtId="1" fontId="11" fillId="2" borderId="0" xfId="0" applyNumberFormat="1" applyFont="1" applyFill="1" applyBorder="1" applyAlignment="1" applyProtection="1">
      <alignment horizontal="right" vertical="center"/>
    </xf>
    <xf numFmtId="164" fontId="10" fillId="2" borderId="0" xfId="0" applyNumberFormat="1" applyFont="1" applyFill="1" applyAlignment="1">
      <alignment vertical="center"/>
    </xf>
    <xf numFmtId="3" fontId="10" fillId="2" borderId="0" xfId="50" applyNumberFormat="1" applyFont="1" applyFill="1" applyBorder="1" applyAlignment="1">
      <alignment horizontal="right" vertical="center"/>
    </xf>
    <xf numFmtId="3" fontId="10" fillId="2" borderId="12" xfId="0" applyNumberFormat="1" applyFont="1" applyFill="1" applyBorder="1" applyAlignment="1">
      <alignment horizontal="center" vertical="center"/>
    </xf>
    <xf numFmtId="167" fontId="10" fillId="2" borderId="0" xfId="0" applyNumberFormat="1" applyFont="1" applyFill="1" applyBorder="1" applyAlignment="1" applyProtection="1">
      <alignment horizontal="right" vertical="center"/>
    </xf>
    <xf numFmtId="1" fontId="10" fillId="2" borderId="0" xfId="0" applyNumberFormat="1" applyFont="1" applyFill="1" applyBorder="1" applyAlignment="1">
      <alignment horizontal="right" vertical="center"/>
    </xf>
    <xf numFmtId="1" fontId="10" fillId="2" borderId="0" xfId="50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 applyProtection="1">
      <alignment horizontal="right" vertical="center"/>
    </xf>
    <xf numFmtId="3" fontId="5" fillId="2" borderId="0" xfId="50" applyNumberFormat="1" applyFont="1" applyFill="1" applyBorder="1" applyAlignment="1">
      <alignment horizontal="right" vertical="center"/>
    </xf>
    <xf numFmtId="3" fontId="45" fillId="2" borderId="0" xfId="0" applyNumberFormat="1" applyFont="1" applyFill="1" applyBorder="1" applyAlignment="1" applyProtection="1">
      <alignment horizontal="right" vertical="center"/>
    </xf>
    <xf numFmtId="3" fontId="45" fillId="2" borderId="12" xfId="0" applyNumberFormat="1" applyFont="1" applyFill="1" applyBorder="1" applyAlignment="1">
      <alignment horizontal="center" vertical="center"/>
    </xf>
    <xf numFmtId="1" fontId="5" fillId="2" borderId="0" xfId="50" applyNumberFormat="1" applyFont="1" applyFill="1" applyBorder="1" applyAlignment="1">
      <alignment horizontal="right" vertical="center"/>
    </xf>
    <xf numFmtId="3" fontId="5" fillId="2" borderId="0" xfId="50" quotePrefix="1" applyNumberFormat="1" applyFont="1" applyFill="1" applyBorder="1" applyAlignment="1" applyProtection="1">
      <alignment horizontal="right" vertical="center"/>
    </xf>
    <xf numFmtId="3" fontId="10" fillId="2" borderId="0" xfId="50" quotePrefix="1" applyNumberFormat="1" applyFont="1" applyFill="1" applyBorder="1" applyAlignment="1" applyProtection="1">
      <alignment horizontal="right" vertical="center"/>
    </xf>
    <xf numFmtId="1" fontId="5" fillId="2" borderId="0" xfId="50" quotePrefix="1" applyNumberFormat="1" applyFont="1" applyFill="1" applyBorder="1" applyAlignment="1" applyProtection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5" fillId="2" borderId="4" xfId="50" applyNumberFormat="1" applyFont="1" applyFill="1" applyBorder="1" applyAlignment="1">
      <alignment horizontal="right" vertical="center"/>
    </xf>
    <xf numFmtId="3" fontId="3" fillId="2" borderId="9" xfId="0" applyNumberFormat="1" applyFont="1" applyFill="1" applyBorder="1" applyAlignment="1">
      <alignment horizontal="right" vertical="center"/>
    </xf>
    <xf numFmtId="3" fontId="10" fillId="2" borderId="4" xfId="50" applyNumberFormat="1" applyFont="1" applyFill="1" applyBorder="1" applyAlignment="1">
      <alignment horizontal="right" vertical="center"/>
    </xf>
    <xf numFmtId="3" fontId="3" fillId="2" borderId="8" xfId="0" applyNumberFormat="1" applyFont="1" applyFill="1" applyBorder="1" applyAlignment="1">
      <alignment horizontal="center" vertical="center"/>
    </xf>
    <xf numFmtId="164" fontId="9" fillId="2" borderId="29" xfId="0" applyNumberFormat="1" applyFont="1" applyFill="1" applyBorder="1" applyAlignment="1" applyProtection="1">
      <alignment horizontal="left" vertical="center"/>
    </xf>
    <xf numFmtId="164" fontId="5" fillId="2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Border="1" applyAlignment="1" applyProtection="1">
      <alignment horizontal="left"/>
    </xf>
    <xf numFmtId="164" fontId="10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Border="1" applyAlignment="1" applyProtection="1">
      <alignment horizontal="left"/>
    </xf>
    <xf numFmtId="164" fontId="10" fillId="2" borderId="0" xfId="0" applyNumberFormat="1" applyFont="1" applyFill="1" applyBorder="1" applyAlignment="1">
      <alignment horizontal="right" vertical="center"/>
    </xf>
    <xf numFmtId="164" fontId="39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 applyProtection="1">
      <alignment horizontal="left" vertical="center"/>
    </xf>
    <xf numFmtId="164" fontId="3" fillId="2" borderId="0" xfId="0" applyNumberFormat="1" applyFont="1" applyFill="1" applyBorder="1" applyAlignment="1" applyProtection="1">
      <alignment vertical="center"/>
    </xf>
    <xf numFmtId="0" fontId="40" fillId="2" borderId="0" xfId="0" applyFont="1" applyFill="1" applyBorder="1" applyAlignment="1" applyProtection="1">
      <alignment horizontal="center" vertical="center"/>
    </xf>
    <xf numFmtId="0" fontId="38" fillId="2" borderId="0" xfId="0" applyFont="1" applyFill="1" applyBorder="1" applyAlignment="1" applyProtection="1">
      <alignment horizontal="left" vertical="center"/>
    </xf>
    <xf numFmtId="0" fontId="46" fillId="2" borderId="0" xfId="0" applyFont="1" applyFill="1" applyBorder="1" applyAlignment="1" applyProtection="1">
      <alignment horizontal="center" vertical="center"/>
    </xf>
    <xf numFmtId="0" fontId="37" fillId="2" borderId="0" xfId="0" applyFont="1" applyFill="1" applyBorder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/>
    </xf>
    <xf numFmtId="164" fontId="47" fillId="2" borderId="0" xfId="0" applyNumberFormat="1" applyFont="1" applyFill="1" applyBorder="1" applyAlignment="1">
      <alignment horizontal="right" vertical="center"/>
    </xf>
    <xf numFmtId="164" fontId="47" fillId="2" borderId="3" xfId="0" applyNumberFormat="1" applyFont="1" applyFill="1" applyBorder="1" applyAlignment="1">
      <alignment horizontal="right" vertical="center"/>
    </xf>
    <xf numFmtId="164" fontId="44" fillId="2" borderId="0" xfId="0" applyNumberFormat="1" applyFont="1" applyFill="1" applyBorder="1" applyAlignment="1">
      <alignment horizontal="right" vertical="center" indent="1"/>
    </xf>
    <xf numFmtId="164" fontId="44" fillId="2" borderId="4" xfId="0" applyNumberFormat="1" applyFont="1" applyFill="1" applyBorder="1" applyAlignment="1">
      <alignment horizontal="right" vertical="center" indent="1"/>
    </xf>
    <xf numFmtId="3" fontId="11" fillId="2" borderId="3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horizontal="center" vertical="center"/>
    </xf>
    <xf numFmtId="3" fontId="3" fillId="2" borderId="30" xfId="0" applyNumberFormat="1" applyFont="1" applyFill="1" applyBorder="1" applyAlignment="1">
      <alignment horizontal="right" vertical="center"/>
    </xf>
    <xf numFmtId="3" fontId="3" fillId="2" borderId="15" xfId="0" applyNumberFormat="1" applyFont="1" applyFill="1" applyBorder="1" applyAlignment="1">
      <alignment horizontal="right" vertical="center"/>
    </xf>
    <xf numFmtId="3" fontId="3" fillId="2" borderId="17" xfId="0" applyNumberFormat="1" applyFont="1" applyFill="1" applyBorder="1" applyAlignment="1">
      <alignment horizontal="right" vertical="center"/>
    </xf>
    <xf numFmtId="3" fontId="11" fillId="2" borderId="15" xfId="0" applyNumberFormat="1" applyFont="1" applyFill="1" applyBorder="1" applyAlignment="1">
      <alignment horizontal="right" vertical="center"/>
    </xf>
    <xf numFmtId="3" fontId="3" fillId="2" borderId="16" xfId="0" applyNumberFormat="1" applyFont="1" applyFill="1" applyBorder="1" applyAlignment="1">
      <alignment horizontal="center" vertical="center"/>
    </xf>
    <xf numFmtId="3" fontId="5" fillId="2" borderId="15" xfId="0" applyNumberFormat="1" applyFont="1" applyFill="1" applyBorder="1" applyAlignment="1">
      <alignment horizontal="right" vertical="center"/>
    </xf>
    <xf numFmtId="3" fontId="10" fillId="2" borderId="15" xfId="0" applyNumberFormat="1" applyFont="1" applyFill="1" applyBorder="1" applyAlignment="1">
      <alignment horizontal="right" vertical="center"/>
    </xf>
    <xf numFmtId="164" fontId="44" fillId="2" borderId="15" xfId="0" applyNumberFormat="1" applyFont="1" applyFill="1" applyBorder="1" applyAlignment="1">
      <alignment horizontal="right" vertical="center" indent="1"/>
    </xf>
    <xf numFmtId="3" fontId="10" fillId="2" borderId="15" xfId="0" applyNumberFormat="1" applyFont="1" applyFill="1" applyBorder="1" applyAlignment="1" applyProtection="1">
      <alignment horizontal="right" vertical="center"/>
    </xf>
    <xf numFmtId="3" fontId="10" fillId="2" borderId="15" xfId="50" applyNumberFormat="1" applyFont="1" applyFill="1" applyBorder="1" applyAlignment="1">
      <alignment horizontal="right" vertical="center"/>
    </xf>
    <xf numFmtId="3" fontId="11" fillId="2" borderId="17" xfId="0" applyNumberFormat="1" applyFont="1" applyFill="1" applyBorder="1" applyAlignment="1">
      <alignment horizontal="right" vertical="center"/>
    </xf>
    <xf numFmtId="3" fontId="10" fillId="2" borderId="16" xfId="0" applyNumberFormat="1" applyFont="1" applyFill="1" applyBorder="1" applyAlignment="1">
      <alignment horizontal="center" vertical="center"/>
    </xf>
    <xf numFmtId="164" fontId="3" fillId="2" borderId="26" xfId="0" applyNumberFormat="1" applyFont="1" applyFill="1" applyBorder="1" applyAlignment="1" applyProtection="1">
      <alignment horizontal="center" vertical="center"/>
    </xf>
    <xf numFmtId="3" fontId="3" fillId="2" borderId="31" xfId="0" applyNumberFormat="1" applyFont="1" applyFill="1" applyBorder="1" applyAlignment="1">
      <alignment horizontal="right" vertical="center"/>
    </xf>
    <xf numFmtId="3" fontId="3" fillId="2" borderId="26" xfId="0" applyNumberFormat="1" applyFont="1" applyFill="1" applyBorder="1" applyAlignment="1">
      <alignment horizontal="right" vertical="center"/>
    </xf>
    <xf numFmtId="3" fontId="3" fillId="2" borderId="32" xfId="0" applyNumberFormat="1" applyFont="1" applyFill="1" applyBorder="1" applyAlignment="1">
      <alignment horizontal="right" vertical="center"/>
    </xf>
    <xf numFmtId="3" fontId="11" fillId="2" borderId="26" xfId="0" applyNumberFormat="1" applyFont="1" applyFill="1" applyBorder="1" applyAlignment="1">
      <alignment horizontal="right" vertical="center"/>
    </xf>
    <xf numFmtId="3" fontId="11" fillId="2" borderId="32" xfId="0" applyNumberFormat="1" applyFont="1" applyFill="1" applyBorder="1" applyAlignment="1">
      <alignment horizontal="right" vertical="center"/>
    </xf>
    <xf numFmtId="3" fontId="3" fillId="2" borderId="27" xfId="0" applyNumberFormat="1" applyFont="1" applyFill="1" applyBorder="1" applyAlignment="1">
      <alignment horizontal="right" vertical="center"/>
    </xf>
    <xf numFmtId="164" fontId="41" fillId="2" borderId="4" xfId="0" applyNumberFormat="1" applyFont="1" applyFill="1" applyBorder="1" applyAlignment="1">
      <alignment horizontal="right" vertical="center"/>
    </xf>
    <xf numFmtId="164" fontId="21" fillId="2" borderId="4" xfId="0" applyNumberFormat="1" applyFont="1" applyFill="1" applyBorder="1" applyAlignment="1" applyProtection="1">
      <alignment horizontal="right" vertical="center"/>
    </xf>
    <xf numFmtId="164" fontId="41" fillId="2" borderId="27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 applyProtection="1">
      <alignment horizontal="left" vertical="center" indent="1"/>
    </xf>
    <xf numFmtId="164" fontId="5" fillId="2" borderId="15" xfId="0" applyNumberFormat="1" applyFont="1" applyFill="1" applyBorder="1" applyAlignment="1" applyProtection="1">
      <alignment horizontal="left" vertical="center" indent="1"/>
    </xf>
    <xf numFmtId="164" fontId="5" fillId="2" borderId="4" xfId="0" applyNumberFormat="1" applyFont="1" applyFill="1" applyBorder="1" applyAlignment="1" applyProtection="1">
      <alignment horizontal="left" vertical="center" indent="1"/>
    </xf>
    <xf numFmtId="164" fontId="10" fillId="2" borderId="0" xfId="0" applyNumberFormat="1" applyFont="1" applyFill="1" applyBorder="1" applyAlignment="1" applyProtection="1">
      <alignment horizontal="left" vertical="center" indent="1"/>
    </xf>
    <xf numFmtId="164" fontId="10" fillId="2" borderId="15" xfId="0" applyNumberFormat="1" applyFont="1" applyFill="1" applyBorder="1" applyAlignment="1" applyProtection="1">
      <alignment horizontal="left" vertical="center" indent="1"/>
    </xf>
    <xf numFmtId="164" fontId="3" fillId="2" borderId="2" xfId="0" applyNumberFormat="1" applyFont="1" applyFill="1" applyBorder="1" applyAlignment="1" applyProtection="1">
      <alignment horizontal="center" vertical="center"/>
    </xf>
    <xf numFmtId="164" fontId="41" fillId="2" borderId="0" xfId="0" applyNumberFormat="1" applyFont="1" applyFill="1" applyBorder="1" applyAlignment="1">
      <alignment horizontal="center" vertical="center"/>
    </xf>
    <xf numFmtId="164" fontId="41" fillId="2" borderId="0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Alignment="1">
      <alignment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 applyProtection="1">
      <alignment horizontal="center" vertical="center"/>
    </xf>
    <xf numFmtId="164" fontId="48" fillId="2" borderId="0" xfId="0" applyNumberFormat="1" applyFont="1" applyFill="1" applyAlignment="1">
      <alignment horizontal="center" vertical="center"/>
    </xf>
    <xf numFmtId="164" fontId="16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 applyProtection="1">
      <alignment horizontal="left" vertical="center" wrapText="1"/>
    </xf>
    <xf numFmtId="164" fontId="3" fillId="2" borderId="0" xfId="0" applyNumberFormat="1" applyFont="1" applyFill="1" applyBorder="1" applyAlignment="1" applyProtection="1">
      <alignment horizontal="left" vertical="center" wrapText="1"/>
    </xf>
    <xf numFmtId="164" fontId="3" fillId="2" borderId="4" xfId="0" applyNumberFormat="1" applyFont="1" applyFill="1" applyBorder="1" applyAlignment="1" applyProtection="1">
      <alignment horizontal="left" vertical="center" wrapText="1"/>
    </xf>
    <xf numFmtId="164" fontId="3" fillId="2" borderId="3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 applyProtection="1">
      <alignment horizontal="center" vertical="center"/>
    </xf>
    <xf numFmtId="164" fontId="3" fillId="2" borderId="30" xfId="0" applyNumberFormat="1" applyFont="1" applyFill="1" applyBorder="1" applyAlignment="1" applyProtection="1">
      <alignment horizontal="center" vertical="center"/>
    </xf>
    <xf numFmtId="164" fontId="3" fillId="2" borderId="2" xfId="0" applyNumberFormat="1" applyFont="1" applyFill="1" applyBorder="1" applyAlignment="1" applyProtection="1">
      <alignment horizontal="center" vertical="center"/>
    </xf>
    <xf numFmtId="164" fontId="3" fillId="2" borderId="33" xfId="0" applyNumberFormat="1" applyFont="1" applyFill="1" applyBorder="1" applyAlignment="1" applyProtection="1">
      <alignment horizontal="center" vertical="center"/>
    </xf>
    <xf numFmtId="164" fontId="41" fillId="2" borderId="3" xfId="0" applyNumberFormat="1" applyFont="1" applyFill="1" applyBorder="1" applyAlignment="1">
      <alignment horizontal="right" vertical="center" wrapText="1"/>
    </xf>
    <xf numFmtId="164" fontId="41" fillId="2" borderId="0" xfId="0" applyNumberFormat="1" applyFont="1" applyFill="1" applyBorder="1" applyAlignment="1">
      <alignment horizontal="right" vertical="center" wrapText="1"/>
    </xf>
    <xf numFmtId="164" fontId="41" fillId="2" borderId="4" xfId="0" applyNumberFormat="1" applyFont="1" applyFill="1" applyBorder="1" applyAlignment="1">
      <alignment horizontal="right" vertical="center" wrapText="1"/>
    </xf>
    <xf numFmtId="164" fontId="17" fillId="2" borderId="3" xfId="0" applyNumberFormat="1" applyFont="1" applyFill="1" applyBorder="1" applyAlignment="1" applyProtection="1">
      <alignment horizontal="center" vertical="center"/>
    </xf>
    <xf numFmtId="164" fontId="3" fillId="2" borderId="7" xfId="0" applyNumberFormat="1" applyFont="1" applyFill="1" applyBorder="1" applyAlignment="1" applyProtection="1">
      <alignment horizontal="center" vertical="center"/>
    </xf>
    <xf numFmtId="164" fontId="41" fillId="2" borderId="4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 applyProtection="1">
      <alignment horizontal="center" vertical="center"/>
    </xf>
    <xf numFmtId="164" fontId="3" fillId="2" borderId="15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164" fontId="3" fillId="2" borderId="16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3" fillId="2" borderId="26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rmal_Long Series" xfId="50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00307947844436E-2"/>
          <c:y val="0.1753044483326813"/>
          <c:w val="0.90002565145571201"/>
          <c:h val="0.71651559658607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'8.40'!$AQ$34</c:f>
              <c:strCache>
                <c:ptCount val="1"/>
                <c:pt idx="0">
                  <c:v>Jailed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'8.40'!$AP$35:$AP$38</c:f>
              <c:numCache>
                <c:formatCode>General_)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'8.40'!$AQ$35:$AQ$38</c:f>
              <c:numCache>
                <c:formatCode>General_)</c:formatCode>
                <c:ptCount val="4"/>
                <c:pt idx="0">
                  <c:v>278</c:v>
                </c:pt>
                <c:pt idx="1">
                  <c:v>257</c:v>
                </c:pt>
                <c:pt idx="2">
                  <c:v>742</c:v>
                </c:pt>
                <c:pt idx="3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A-4799-80AE-DD4942971C48}"/>
            </c:ext>
          </c:extLst>
        </c:ser>
        <c:ser>
          <c:idx val="1"/>
          <c:order val="1"/>
          <c:tx>
            <c:strRef>
              <c:f>'8.40'!$AR$34</c:f>
              <c:strCache>
                <c:ptCount val="1"/>
                <c:pt idx="0">
                  <c:v>Banished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numRef>
              <c:f>'8.40'!$AP$35:$AP$38</c:f>
              <c:numCache>
                <c:formatCode>General_)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'8.40'!$AR$35:$AR$38</c:f>
              <c:numCache>
                <c:formatCode>General_)</c:formatCode>
                <c:ptCount val="4"/>
                <c:pt idx="0">
                  <c:v>24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A-4799-80AE-DD4942971C48}"/>
            </c:ext>
          </c:extLst>
        </c:ser>
        <c:ser>
          <c:idx val="2"/>
          <c:order val="2"/>
          <c:tx>
            <c:strRef>
              <c:f>'8.40'!$AS$34</c:f>
              <c:strCache>
                <c:ptCount val="1"/>
                <c:pt idx="0">
                  <c:v>House Arrest/Detention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'8.40'!$AP$35:$AP$38</c:f>
              <c:numCache>
                <c:formatCode>General_)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'8.40'!$AS$35:$AS$38</c:f>
              <c:numCache>
                <c:formatCode>General_)</c:formatCode>
                <c:ptCount val="4"/>
                <c:pt idx="0">
                  <c:v>99</c:v>
                </c:pt>
                <c:pt idx="1">
                  <c:v>93</c:v>
                </c:pt>
                <c:pt idx="2">
                  <c:v>81</c:v>
                </c:pt>
                <c:pt idx="3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A-4799-80AE-DD4942971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706176"/>
        <c:axId val="182707712"/>
      </c:barChart>
      <c:catAx>
        <c:axId val="182706176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82707712"/>
        <c:crosses val="autoZero"/>
        <c:auto val="1"/>
        <c:lblAlgn val="ctr"/>
        <c:lblOffset val="100"/>
        <c:noMultiLvlLbl val="0"/>
      </c:catAx>
      <c:valAx>
        <c:axId val="18270771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crossAx val="18270617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7561821458222495E-2"/>
          <c:y val="0.25618197341745941"/>
          <c:w val="0.53054445939233807"/>
          <c:h val="6.13367599883347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665081330243762E-2"/>
          <c:y val="0.14272747964917415"/>
          <c:w val="0.90649170398708312"/>
          <c:h val="0.6888962030871542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'8.40'!$AQ$45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'8.40'!$AP$46:$AP$51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'8.40'!$AT$46:$AT$51</c:f>
              <c:numCache>
                <c:formatCode>0</c:formatCode>
                <c:ptCount val="6"/>
                <c:pt idx="0">
                  <c:v>96</c:v>
                </c:pt>
                <c:pt idx="1">
                  <c:v>82.051282051282044</c:v>
                </c:pt>
                <c:pt idx="2">
                  <c:v>86.36363636363636</c:v>
                </c:pt>
                <c:pt idx="3">
                  <c:v>94.666666666666671</c:v>
                </c:pt>
                <c:pt idx="4">
                  <c:v>100</c:v>
                </c:pt>
                <c:pt idx="5">
                  <c:v>92.592592592592595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7-4993-8756-8493FC737723}"/>
            </c:ext>
          </c:extLst>
        </c:ser>
        <c:ser>
          <c:idx val="2"/>
          <c:order val="1"/>
          <c:tx>
            <c:strRef>
              <c:f>'8.40'!$AR$45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'8.40'!$AP$46:$AP$51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'8.40'!$AU$46:$AU$51</c:f>
              <c:numCache>
                <c:formatCode>0</c:formatCode>
                <c:ptCount val="6"/>
                <c:pt idx="0">
                  <c:v>4</c:v>
                </c:pt>
                <c:pt idx="1">
                  <c:v>17.948717948717949</c:v>
                </c:pt>
                <c:pt idx="2">
                  <c:v>13.636363636363635</c:v>
                </c:pt>
                <c:pt idx="3">
                  <c:v>5.3333333333333339</c:v>
                </c:pt>
                <c:pt idx="4">
                  <c:v>0</c:v>
                </c:pt>
                <c:pt idx="5">
                  <c:v>7.4074074074074066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07-4993-8756-8493FC737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749824"/>
        <c:axId val="182751616"/>
      </c:barChart>
      <c:catAx>
        <c:axId val="182749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182751616"/>
        <c:crosses val="autoZero"/>
        <c:auto val="1"/>
        <c:lblAlgn val="ctr"/>
        <c:lblOffset val="100"/>
        <c:noMultiLvlLbl val="0"/>
      </c:catAx>
      <c:valAx>
        <c:axId val="182751616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crossAx val="18274982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8439226722074754"/>
          <c:y val="0.91427095728789531"/>
          <c:w val="0.29628862343828005"/>
          <c:h val="8.31016701690423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125269644381649E-2"/>
          <c:y val="0.15962234741447126"/>
          <c:w val="0.89357015238391391"/>
          <c:h val="0.6849147867304056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'8.40'!$AS$59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'8.40'!$AP$60:$AP$65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'8.40'!$AS$60:$AS$65</c:f>
              <c:numCache>
                <c:formatCode>General_)</c:formatCode>
                <c:ptCount val="6"/>
                <c:pt idx="0">
                  <c:v>79</c:v>
                </c:pt>
                <c:pt idx="1">
                  <c:v>60</c:v>
                </c:pt>
                <c:pt idx="2">
                  <c:v>162</c:v>
                </c:pt>
                <c:pt idx="3">
                  <c:v>188</c:v>
                </c:pt>
                <c:pt idx="4">
                  <c:v>100</c:v>
                </c:pt>
                <c:pt idx="5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F6-4E27-8696-8BE2A2D47AA9}"/>
            </c:ext>
          </c:extLst>
        </c:ser>
        <c:ser>
          <c:idx val="3"/>
          <c:order val="3"/>
          <c:tx>
            <c:strRef>
              <c:f>'8.40'!$AT$59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'8.40'!$AP$60:$AP$65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'8.40'!$AT$60:$AT$65</c:f>
              <c:numCache>
                <c:formatCode>General_)</c:formatCode>
                <c:ptCount val="6"/>
                <c:pt idx="0">
                  <c:v>750</c:v>
                </c:pt>
                <c:pt idx="1">
                  <c:v>117</c:v>
                </c:pt>
                <c:pt idx="2">
                  <c:v>22</c:v>
                </c:pt>
                <c:pt idx="3">
                  <c:v>150</c:v>
                </c:pt>
                <c:pt idx="4">
                  <c:v>4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F6-4E27-8696-8BE2A2D4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746560"/>
        <c:axId val="1837480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'8.40'!$AQ$59</c15:sqref>
                        </c15:formulaRef>
                      </c:ext>
                    </c:extLst>
                    <c:strCache>
                      <c:ptCount val="1"/>
                      <c:pt idx="0">
                        <c:v>2014 </c:v>
                      </c:pt>
                    </c:strCache>
                  </c:strRef>
                </c:tx>
                <c:spPr>
                  <a:solidFill>
                    <a:srgbClr val="FABF8E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'8.40'!$AP$60:$AP$65</c15:sqref>
                        </c15:formulaRef>
                      </c:ext>
                    </c:extLst>
                    <c:strCache>
                      <c:ptCount val="6"/>
                      <c:pt idx="0">
                        <c:v>Less than 1 year</c:v>
                      </c:pt>
                      <c:pt idx="1">
                        <c:v>1 - 2 years</c:v>
                      </c:pt>
                      <c:pt idx="2">
                        <c:v>2 - 3 years</c:v>
                      </c:pt>
                      <c:pt idx="3">
                        <c:v>3 - 4 years</c:v>
                      </c:pt>
                      <c:pt idx="4">
                        <c:v>4 - 5 years</c:v>
                      </c:pt>
                      <c:pt idx="5">
                        <c:v>5 years &amp; Over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'8.40'!$AQ$60:$AQ$65</c15:sqref>
                        </c15:formulaRef>
                      </c:ext>
                    </c:extLst>
                    <c:numCache>
                      <c:formatCode>General_)</c:formatCode>
                      <c:ptCount val="6"/>
                      <c:pt idx="0">
                        <c:v>93</c:v>
                      </c:pt>
                      <c:pt idx="1">
                        <c:v>98</c:v>
                      </c:pt>
                      <c:pt idx="2">
                        <c:v>94</c:v>
                      </c:pt>
                      <c:pt idx="3">
                        <c:v>25</c:v>
                      </c:pt>
                      <c:pt idx="4">
                        <c:v>56</c:v>
                      </c:pt>
                      <c:pt idx="5">
                        <c:v>34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5F6-4E27-8696-8BE2A2D47AA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'8.40'!$AR$59</c15:sqref>
                        </c15:formulaRef>
                      </c:ext>
                    </c:extLst>
                    <c:strCache>
                      <c:ptCount val="1"/>
                      <c:pt idx="0">
                        <c:v>2015 </c:v>
                      </c:pt>
                    </c:strCache>
                  </c:strRef>
                </c:tx>
                <c:spPr>
                  <a:solidFill>
                    <a:srgbClr val="F8A45E"/>
                  </a:solidFill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'8.40'!$AP$60:$AP$65</c15:sqref>
                        </c15:formulaRef>
                      </c:ext>
                    </c:extLst>
                    <c:strCache>
                      <c:ptCount val="6"/>
                      <c:pt idx="0">
                        <c:v>Less than 1 year</c:v>
                      </c:pt>
                      <c:pt idx="1">
                        <c:v>1 - 2 years</c:v>
                      </c:pt>
                      <c:pt idx="2">
                        <c:v>2 - 3 years</c:v>
                      </c:pt>
                      <c:pt idx="3">
                        <c:v>3 - 4 years</c:v>
                      </c:pt>
                      <c:pt idx="4">
                        <c:v>4 - 5 years</c:v>
                      </c:pt>
                      <c:pt idx="5">
                        <c:v>5 years &amp; Over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'8.40'!$AR$60:$AR$65</c15:sqref>
                        </c15:formulaRef>
                      </c:ext>
                    </c:extLst>
                    <c:numCache>
                      <c:formatCode>General_)</c:formatCode>
                      <c:ptCount val="6"/>
                      <c:pt idx="0">
                        <c:v>92</c:v>
                      </c:pt>
                      <c:pt idx="1">
                        <c:v>51</c:v>
                      </c:pt>
                      <c:pt idx="2">
                        <c:v>66</c:v>
                      </c:pt>
                      <c:pt idx="3">
                        <c:v>87</c:v>
                      </c:pt>
                      <c:pt idx="4">
                        <c:v>47</c:v>
                      </c:pt>
                      <c:pt idx="5">
                        <c:v>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5F6-4E27-8696-8BE2A2D47AA9}"/>
                  </c:ext>
                </c:extLst>
              </c15:ser>
            </c15:filteredBarSeries>
          </c:ext>
        </c:extLst>
      </c:barChart>
      <c:catAx>
        <c:axId val="18374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3748096"/>
        <c:crosses val="autoZero"/>
        <c:auto val="1"/>
        <c:lblAlgn val="ctr"/>
        <c:lblOffset val="100"/>
        <c:noMultiLvlLbl val="0"/>
      </c:catAx>
      <c:valAx>
        <c:axId val="183748096"/>
        <c:scaling>
          <c:orientation val="minMax"/>
          <c:max val="800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General_)" sourceLinked="1"/>
        <c:majorTickMark val="out"/>
        <c:minorTickMark val="none"/>
        <c:tickLblPos val="nextTo"/>
        <c:crossAx val="18374656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5984693455374068"/>
          <c:y val="0.25601984081510099"/>
          <c:w val="0.26234069869962512"/>
          <c:h val="5.5345908756620002E-2"/>
        </c:manualLayout>
      </c:layout>
      <c:overlay val="0"/>
      <c:txPr>
        <a:bodyPr/>
        <a:lstStyle/>
        <a:p>
          <a:pPr>
            <a:defRPr sz="105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25708434168763"/>
          <c:y val="0.18068345307611142"/>
          <c:w val="0.43567064940163075"/>
          <c:h val="0.88323065252887056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FB9-46EA-8F78-1B62F54F3FC1}"/>
              </c:ext>
            </c:extLst>
          </c:dPt>
          <c:dPt>
            <c:idx val="1"/>
            <c:bubble3D val="0"/>
            <c:explosion val="1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1FB9-46EA-8F78-1B62F54F3FC1}"/>
              </c:ext>
            </c:extLst>
          </c:dPt>
          <c:dLbls>
            <c:dLbl>
              <c:idx val="0"/>
              <c:layout>
                <c:manualLayout>
                  <c:x val="7.4375218207372307E-2"/>
                  <c:y val="8.57829466829888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FB9-46EA-8F78-1B62F54F3FC1}"/>
                </c:ext>
              </c:extLst>
            </c:dLbl>
            <c:dLbl>
              <c:idx val="1"/>
              <c:layout>
                <c:manualLayout>
                  <c:x val="0.18423870055766248"/>
                  <c:y val="-5.37047385005133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94503710644342"/>
                      <c:h val="0.158021144956885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FB9-46EA-8F78-1B62F54F3F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'8.40'!$AQ$79:$AS$79</c15:sqref>
                  </c15:fullRef>
                </c:ext>
              </c:extLst>
              <c:f>('8.40'!$AQ$79,'8.40'!$AS$79)</c:f>
              <c:strCache>
                <c:ptCount val="2"/>
                <c:pt idx="0">
                  <c:v>Jailed</c:v>
                </c:pt>
                <c:pt idx="1">
                  <c:v>House Arrest/Detention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'8.40'!$AQ$80:$AS$80</c15:sqref>
                  </c15:fullRef>
                </c:ext>
              </c:extLst>
              <c:f>('8.40'!$AQ$80,'8.40'!$AS$80)</c:f>
              <c:numCache>
                <c:formatCode>General_)</c:formatCode>
                <c:ptCount val="2"/>
                <c:pt idx="0">
                  <c:v>893</c:v>
                </c:pt>
                <c:pt idx="1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B9-46EA-8F78-1B62F54F3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945213348228752"/>
          <c:y val="0.14817064954436632"/>
          <c:w val="0.42982584288121339"/>
          <c:h val="0.84704447949711448"/>
        </c:manualLayout>
      </c:layout>
      <c:doughnutChart>
        <c:varyColors val="1"/>
        <c:ser>
          <c:idx val="0"/>
          <c:order val="0"/>
          <c:explosion val="4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EABF-446B-B668-86F8F5E330C7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ABF-446B-B668-86F8F5E330C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EABF-446B-B668-86F8F5E330C7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EABF-446B-B668-86F8F5E330C7}"/>
              </c:ext>
            </c:extLst>
          </c:dPt>
          <c:dPt>
            <c:idx val="5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ABF-446B-B668-86F8F5E330C7}"/>
              </c:ext>
            </c:extLst>
          </c:dPt>
          <c:dLbls>
            <c:dLbl>
              <c:idx val="0"/>
              <c:layout>
                <c:manualLayout>
                  <c:x val="-0.15600272174104435"/>
                  <c:y val="-0.108802572008688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ABF-446B-B668-86F8F5E330C7}"/>
                </c:ext>
              </c:extLst>
            </c:dLbl>
            <c:dLbl>
              <c:idx val="1"/>
              <c:layout>
                <c:manualLayout>
                  <c:x val="0.11764139672275475"/>
                  <c:y val="-0.1038570005537482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ABF-446B-B668-86F8F5E330C7}"/>
                </c:ext>
              </c:extLst>
            </c:dLbl>
            <c:dLbl>
              <c:idx val="2"/>
              <c:layout>
                <c:manualLayout>
                  <c:x val="0.13554334839795662"/>
                  <c:y val="-7.41835718241059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70350783608092"/>
                      <c:h val="0.135558113579916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ABF-446B-B668-86F8F5E330C7}"/>
                </c:ext>
              </c:extLst>
            </c:dLbl>
            <c:dLbl>
              <c:idx val="3"/>
              <c:layout>
                <c:manualLayout>
                  <c:x val="0.1227562400585267"/>
                  <c:y val="-5.44012860043443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ABF-446B-B668-86F8F5E330C7}"/>
                </c:ext>
              </c:extLst>
            </c:dLbl>
            <c:dLbl>
              <c:idx val="4"/>
              <c:layout>
                <c:manualLayout>
                  <c:x val="0.1227562400585266"/>
                  <c:y val="2.96734287296422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EABF-446B-B668-86F8F5E330C7}"/>
                </c:ext>
              </c:extLst>
            </c:dLbl>
            <c:dLbl>
              <c:idx val="5"/>
              <c:layout>
                <c:manualLayout>
                  <c:x val="0.1227562400585267"/>
                  <c:y val="0.128584857828450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ABF-446B-B668-86F8F5E330C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'8.40'!$AP$60:$AP$65</c:f>
              <c:strCache>
                <c:ptCount val="6"/>
                <c:pt idx="0">
                  <c:v>Less than 1 year</c:v>
                </c:pt>
                <c:pt idx="1">
                  <c:v>1 - 2 years</c:v>
                </c:pt>
                <c:pt idx="2">
                  <c:v>2 - 3 years</c:v>
                </c:pt>
                <c:pt idx="3">
                  <c:v>3 - 4 years</c:v>
                </c:pt>
                <c:pt idx="4">
                  <c:v>4 - 5 years</c:v>
                </c:pt>
                <c:pt idx="5">
                  <c:v>5 years &amp; Over</c:v>
                </c:pt>
              </c:strCache>
            </c:strRef>
          </c:cat>
          <c:val>
            <c:numRef>
              <c:f>'8.40'!$AT$60:$AT$65</c:f>
              <c:numCache>
                <c:formatCode>General_)</c:formatCode>
                <c:ptCount val="6"/>
                <c:pt idx="0">
                  <c:v>750</c:v>
                </c:pt>
                <c:pt idx="1">
                  <c:v>117</c:v>
                </c:pt>
                <c:pt idx="2">
                  <c:v>22</c:v>
                </c:pt>
                <c:pt idx="3">
                  <c:v>150</c:v>
                </c:pt>
                <c:pt idx="4">
                  <c:v>4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ABF-446B-B668-86F8F5E33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6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104775</xdr:rowOff>
    </xdr:from>
    <xdr:to>
      <xdr:col>25</xdr:col>
      <xdr:colOff>107100</xdr:colOff>
      <xdr:row>39</xdr:row>
      <xdr:rowOff>131083</xdr:rowOff>
    </xdr:to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1095375" y="8124825"/>
          <a:ext cx="6536878" cy="26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type, 2009 - 2010 </a:t>
          </a:r>
        </a:p>
      </xdr:txBody>
    </xdr:sp>
    <xdr:clientData/>
  </xdr:twoCellAnchor>
  <xdr:twoCellAnchor editAs="oneCell">
    <xdr:from>
      <xdr:col>1</xdr:col>
      <xdr:colOff>0</xdr:colOff>
      <xdr:row>65</xdr:row>
      <xdr:rowOff>88446</xdr:rowOff>
    </xdr:from>
    <xdr:to>
      <xdr:col>25</xdr:col>
      <xdr:colOff>34029</xdr:colOff>
      <xdr:row>65</xdr:row>
      <xdr:rowOff>111360</xdr:rowOff>
    </xdr:to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1095375" y="12318546"/>
          <a:ext cx="6463807" cy="229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2010</a:t>
          </a:r>
        </a:p>
      </xdr:txBody>
    </xdr:sp>
    <xdr:clientData/>
  </xdr:twoCellAnchor>
  <xdr:twoCellAnchor editAs="oneCell">
    <xdr:from>
      <xdr:col>0</xdr:col>
      <xdr:colOff>983876</xdr:colOff>
      <xdr:row>134</xdr:row>
      <xdr:rowOff>139514</xdr:rowOff>
    </xdr:from>
    <xdr:to>
      <xdr:col>18</xdr:col>
      <xdr:colOff>452471</xdr:colOff>
      <xdr:row>135</xdr:row>
      <xdr:rowOff>1029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983876" y="23542439"/>
          <a:ext cx="3402420" cy="234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2009</a:t>
          </a:r>
        </a:p>
      </xdr:txBody>
    </xdr:sp>
    <xdr:clientData/>
  </xdr:twoCellAnchor>
  <xdr:twoCellAnchor editAs="oneCell">
    <xdr:from>
      <xdr:col>1</xdr:col>
      <xdr:colOff>0</xdr:colOff>
      <xdr:row>40</xdr:row>
      <xdr:rowOff>104775</xdr:rowOff>
    </xdr:from>
    <xdr:to>
      <xdr:col>25</xdr:col>
      <xdr:colOff>49950</xdr:colOff>
      <xdr:row>40</xdr:row>
      <xdr:rowOff>131083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95375" y="8286750"/>
          <a:ext cx="6479728" cy="26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05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type, 2009 - 2010 </a:t>
          </a:r>
        </a:p>
      </xdr:txBody>
    </xdr:sp>
    <xdr:clientData/>
  </xdr:twoCellAnchor>
  <xdr:twoCellAnchor editAs="oneCell">
    <xdr:from>
      <xdr:col>1</xdr:col>
      <xdr:colOff>0</xdr:colOff>
      <xdr:row>72</xdr:row>
      <xdr:rowOff>231321</xdr:rowOff>
    </xdr:from>
    <xdr:to>
      <xdr:col>25</xdr:col>
      <xdr:colOff>62604</xdr:colOff>
      <xdr:row>73</xdr:row>
      <xdr:rowOff>23954</xdr:rowOff>
    </xdr:to>
    <xdr:sp macro="" textlink="">
      <xdr:nvSpPr>
        <xdr:cNvPr id="6" name="Text Box 4"/>
        <xdr:cNvSpPr txBox="1">
          <a:spLocks noChangeArrowheads="1"/>
        </xdr:cNvSpPr>
      </xdr:nvSpPr>
      <xdr:spPr bwMode="auto">
        <a:xfrm>
          <a:off x="1095375" y="13528221"/>
          <a:ext cx="6492382" cy="212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2010</a:t>
          </a:r>
        </a:p>
      </xdr:txBody>
    </xdr:sp>
    <xdr:clientData/>
  </xdr:twoCellAnchor>
  <xdr:twoCellAnchor editAs="oneCell">
    <xdr:from>
      <xdr:col>0</xdr:col>
      <xdr:colOff>983876</xdr:colOff>
      <xdr:row>134</xdr:row>
      <xdr:rowOff>139514</xdr:rowOff>
    </xdr:from>
    <xdr:to>
      <xdr:col>18</xdr:col>
      <xdr:colOff>623921</xdr:colOff>
      <xdr:row>135</xdr:row>
      <xdr:rowOff>1029</xdr:rowOff>
    </xdr:to>
    <xdr:sp macro="" textlink="">
      <xdr:nvSpPr>
        <xdr:cNvPr id="7" name="Text Box 4"/>
        <xdr:cNvSpPr txBox="1">
          <a:spLocks noChangeArrowheads="1"/>
        </xdr:cNvSpPr>
      </xdr:nvSpPr>
      <xdr:spPr bwMode="auto">
        <a:xfrm>
          <a:off x="983876" y="23542439"/>
          <a:ext cx="3573870" cy="234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Figure 8.5 : Persons sentenced by type and gender, 2009</a:t>
          </a:r>
        </a:p>
      </xdr:txBody>
    </xdr:sp>
    <xdr:clientData/>
  </xdr:twoCellAnchor>
  <xdr:twoCellAnchor>
    <xdr:from>
      <xdr:col>0</xdr:col>
      <xdr:colOff>381001</xdr:colOff>
      <xdr:row>30</xdr:row>
      <xdr:rowOff>47626</xdr:rowOff>
    </xdr:from>
    <xdr:to>
      <xdr:col>20</xdr:col>
      <xdr:colOff>371475</xdr:colOff>
      <xdr:row>47</xdr:row>
      <xdr:rowOff>28575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370973</xdr:colOff>
      <xdr:row>48</xdr:row>
      <xdr:rowOff>123825</xdr:rowOff>
    </xdr:from>
    <xdr:to>
      <xdr:col>20</xdr:col>
      <xdr:colOff>400050</xdr:colOff>
      <xdr:row>67</xdr:row>
      <xdr:rowOff>9525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542926</xdr:colOff>
      <xdr:row>30</xdr:row>
      <xdr:rowOff>47625</xdr:rowOff>
    </xdr:from>
    <xdr:to>
      <xdr:col>27</xdr:col>
      <xdr:colOff>1181101</xdr:colOff>
      <xdr:row>47</xdr:row>
      <xdr:rowOff>38100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340894</xdr:colOff>
      <xdr:row>30</xdr:row>
      <xdr:rowOff>150394</xdr:rowOff>
    </xdr:from>
    <xdr:to>
      <xdr:col>7</xdr:col>
      <xdr:colOff>581526</xdr:colOff>
      <xdr:row>32</xdr:row>
      <xdr:rowOff>60157</xdr:rowOff>
    </xdr:to>
    <xdr:sp macro="" textlink="">
      <xdr:nvSpPr>
        <xdr:cNvPr id="11" name="TextBox 10"/>
        <xdr:cNvSpPr txBox="1"/>
      </xdr:nvSpPr>
      <xdr:spPr>
        <a:xfrm>
          <a:off x="1095375" y="6713119"/>
          <a:ext cx="0" cy="2336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>
              <a:solidFill>
                <a:schemeClr val="tx1"/>
              </a:solidFill>
              <a:latin typeface="+mn-lt"/>
            </a:rPr>
            <a:t>Figure 8.45: </a:t>
          </a:r>
          <a:r>
            <a:rPr lang="en-US" sz="1200" b="1">
              <a:latin typeface="+mn-lt"/>
            </a:rPr>
            <a:t>Number of person</a:t>
          </a:r>
          <a:r>
            <a:rPr lang="en-US" sz="1200" b="1" baseline="0">
              <a:latin typeface="+mn-lt"/>
            </a:rPr>
            <a:t> sentenced by type, 2014 - 2016</a:t>
          </a:r>
          <a:endParaRPr lang="en-US" sz="1200" b="1">
            <a:latin typeface="+mn-lt"/>
          </a:endParaRPr>
        </a:p>
      </xdr:txBody>
    </xdr:sp>
    <xdr:clientData/>
  </xdr:twoCellAnchor>
  <xdr:twoCellAnchor>
    <xdr:from>
      <xdr:col>1</xdr:col>
      <xdr:colOff>340894</xdr:colOff>
      <xdr:row>32</xdr:row>
      <xdr:rowOff>90237</xdr:rowOff>
    </xdr:from>
    <xdr:to>
      <xdr:col>7</xdr:col>
      <xdr:colOff>170447</xdr:colOff>
      <xdr:row>32</xdr:row>
      <xdr:rowOff>90237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1095375" y="6976812"/>
          <a:ext cx="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40105</xdr:colOff>
      <xdr:row>54</xdr:row>
      <xdr:rowOff>20052</xdr:rowOff>
    </xdr:from>
    <xdr:to>
      <xdr:col>7</xdr:col>
      <xdr:colOff>521368</xdr:colOff>
      <xdr:row>54</xdr:row>
      <xdr:rowOff>20052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>
          <a:off x="1095375" y="10468977"/>
          <a:ext cx="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1085850</xdr:colOff>
      <xdr:row>32</xdr:row>
      <xdr:rowOff>47625</xdr:rowOff>
    </xdr:from>
    <xdr:to>
      <xdr:col>18</xdr:col>
      <xdr:colOff>295275</xdr:colOff>
      <xdr:row>32</xdr:row>
      <xdr:rowOff>66173</xdr:rowOff>
    </xdr:to>
    <xdr:sp macro="" textlink="">
      <xdr:nvSpPr>
        <xdr:cNvPr id="14" name="Line 4"/>
        <xdr:cNvSpPr>
          <a:spLocks noChangeShapeType="1"/>
        </xdr:cNvSpPr>
      </xdr:nvSpPr>
      <xdr:spPr bwMode="auto">
        <a:xfrm flipV="1">
          <a:off x="1085850" y="6962775"/>
          <a:ext cx="3810000" cy="18548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20</xdr:col>
      <xdr:colOff>561975</xdr:colOff>
      <xdr:row>48</xdr:row>
      <xdr:rowOff>142877</xdr:rowOff>
    </xdr:from>
    <xdr:to>
      <xdr:col>27</xdr:col>
      <xdr:colOff>1152525</xdr:colOff>
      <xdr:row>66</xdr:row>
      <xdr:rowOff>152401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406161</xdr:colOff>
      <xdr:row>68</xdr:row>
      <xdr:rowOff>95251</xdr:rowOff>
    </xdr:from>
    <xdr:to>
      <xdr:col>20</xdr:col>
      <xdr:colOff>352425</xdr:colOff>
      <xdr:row>84</xdr:row>
      <xdr:rowOff>72405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323850</xdr:colOff>
      <xdr:row>50</xdr:row>
      <xdr:rowOff>114300</xdr:rowOff>
    </xdr:from>
    <xdr:to>
      <xdr:col>18</xdr:col>
      <xdr:colOff>361950</xdr:colOff>
      <xdr:row>50</xdr:row>
      <xdr:rowOff>127836</xdr:rowOff>
    </xdr:to>
    <xdr:sp macro="" textlink="">
      <xdr:nvSpPr>
        <xdr:cNvPr id="17" name="Line 4"/>
        <xdr:cNvSpPr>
          <a:spLocks noChangeShapeType="1"/>
        </xdr:cNvSpPr>
      </xdr:nvSpPr>
      <xdr:spPr bwMode="auto">
        <a:xfrm flipV="1">
          <a:off x="1419225" y="9944100"/>
          <a:ext cx="3543300" cy="13536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372104</xdr:colOff>
      <xdr:row>75</xdr:row>
      <xdr:rowOff>67629</xdr:rowOff>
    </xdr:from>
    <xdr:to>
      <xdr:col>6</xdr:col>
      <xdr:colOff>435194</xdr:colOff>
      <xdr:row>75</xdr:row>
      <xdr:rowOff>73901</xdr:rowOff>
    </xdr:to>
    <xdr:sp macro="" textlink="">
      <xdr:nvSpPr>
        <xdr:cNvPr id="18" name="Line 4"/>
        <xdr:cNvSpPr>
          <a:spLocks noChangeShapeType="1"/>
        </xdr:cNvSpPr>
      </xdr:nvSpPr>
      <xdr:spPr bwMode="auto">
        <a:xfrm>
          <a:off x="1095375" y="13916979"/>
          <a:ext cx="0" cy="6272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1019174</xdr:colOff>
      <xdr:row>30</xdr:row>
      <xdr:rowOff>135856</xdr:rowOff>
    </xdr:from>
    <xdr:to>
      <xdr:col>18</xdr:col>
      <xdr:colOff>457199</xdr:colOff>
      <xdr:row>32</xdr:row>
      <xdr:rowOff>54142</xdr:rowOff>
    </xdr:to>
    <xdr:sp macro="" textlink="">
      <xdr:nvSpPr>
        <xdr:cNvPr id="19" name="TextBox 18"/>
        <xdr:cNvSpPr txBox="1"/>
      </xdr:nvSpPr>
      <xdr:spPr>
        <a:xfrm>
          <a:off x="1019174" y="6727156"/>
          <a:ext cx="4038600" cy="242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8.53: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period, 2014 - 2017</a:t>
          </a:r>
          <a:endParaRPr lang="en-US" sz="1100"/>
        </a:p>
      </xdr:txBody>
    </xdr:sp>
    <xdr:clientData/>
  </xdr:twoCellAnchor>
  <xdr:twoCellAnchor>
    <xdr:from>
      <xdr:col>2</xdr:col>
      <xdr:colOff>0</xdr:colOff>
      <xdr:row>52</xdr:row>
      <xdr:rowOff>100263</xdr:rowOff>
    </xdr:from>
    <xdr:to>
      <xdr:col>8</xdr:col>
      <xdr:colOff>110290</xdr:colOff>
      <xdr:row>54</xdr:row>
      <xdr:rowOff>40106</xdr:rowOff>
    </xdr:to>
    <xdr:sp macro="" textlink="">
      <xdr:nvSpPr>
        <xdr:cNvPr id="20" name="TextBox 19"/>
        <xdr:cNvSpPr txBox="1"/>
      </xdr:nvSpPr>
      <xdr:spPr>
        <a:xfrm>
          <a:off x="1095375" y="10225338"/>
          <a:ext cx="0" cy="2636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8.47: Number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period and sex , 2016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13</xdr:col>
      <xdr:colOff>285750</xdr:colOff>
      <xdr:row>49</xdr:row>
      <xdr:rowOff>16043</xdr:rowOff>
    </xdr:from>
    <xdr:to>
      <xdr:col>20</xdr:col>
      <xdr:colOff>114300</xdr:colOff>
      <xdr:row>50</xdr:row>
      <xdr:rowOff>117810</xdr:rowOff>
    </xdr:to>
    <xdr:sp macro="" textlink="">
      <xdr:nvSpPr>
        <xdr:cNvPr id="21" name="TextBox 20"/>
        <xdr:cNvSpPr txBox="1"/>
      </xdr:nvSpPr>
      <xdr:spPr>
        <a:xfrm>
          <a:off x="1381125" y="9683918"/>
          <a:ext cx="4019550" cy="263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8.55: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Percentage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type, 2017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</xdr:col>
      <xdr:colOff>314518</xdr:colOff>
      <xdr:row>74</xdr:row>
      <xdr:rowOff>45162</xdr:rowOff>
    </xdr:from>
    <xdr:to>
      <xdr:col>6</xdr:col>
      <xdr:colOff>644580</xdr:colOff>
      <xdr:row>75</xdr:row>
      <xdr:rowOff>65689</xdr:rowOff>
    </xdr:to>
    <xdr:sp macro="" textlink="">
      <xdr:nvSpPr>
        <xdr:cNvPr id="22" name="TextBox 21"/>
        <xdr:cNvSpPr txBox="1"/>
      </xdr:nvSpPr>
      <xdr:spPr>
        <a:xfrm>
          <a:off x="1095375" y="13732587"/>
          <a:ext cx="0" cy="182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Figure 8.49: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Percentage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period, 2016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21</xdr:col>
      <xdr:colOff>514349</xdr:colOff>
      <xdr:row>31</xdr:row>
      <xdr:rowOff>24113</xdr:rowOff>
    </xdr:from>
    <xdr:to>
      <xdr:col>27</xdr:col>
      <xdr:colOff>1006756</xdr:colOff>
      <xdr:row>32</xdr:row>
      <xdr:rowOff>42199</xdr:rowOff>
    </xdr:to>
    <xdr:sp macro="" textlink="">
      <xdr:nvSpPr>
        <xdr:cNvPr id="23" name="TextBox 22"/>
        <xdr:cNvSpPr txBox="1"/>
      </xdr:nvSpPr>
      <xdr:spPr>
        <a:xfrm>
          <a:off x="6494602" y="6766969"/>
          <a:ext cx="4127581" cy="1808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8.54: Number of person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sentenced  by  period, 2014 - 2017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21</xdr:col>
      <xdr:colOff>572706</xdr:colOff>
      <xdr:row>32</xdr:row>
      <xdr:rowOff>54256</xdr:rowOff>
    </xdr:from>
    <xdr:to>
      <xdr:col>27</xdr:col>
      <xdr:colOff>777674</xdr:colOff>
      <xdr:row>32</xdr:row>
      <xdr:rowOff>63762</xdr:rowOff>
    </xdr:to>
    <xdr:sp macro="" textlink="">
      <xdr:nvSpPr>
        <xdr:cNvPr id="24" name="Line 4"/>
        <xdr:cNvSpPr>
          <a:spLocks noChangeShapeType="1"/>
        </xdr:cNvSpPr>
      </xdr:nvSpPr>
      <xdr:spPr bwMode="auto">
        <a:xfrm flipV="1">
          <a:off x="6552959" y="6959881"/>
          <a:ext cx="3840142" cy="9506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21</xdr:col>
      <xdr:colOff>509407</xdr:colOff>
      <xdr:row>50</xdr:row>
      <xdr:rowOff>159755</xdr:rowOff>
    </xdr:from>
    <xdr:to>
      <xdr:col>27</xdr:col>
      <xdr:colOff>428022</xdr:colOff>
      <xdr:row>51</xdr:row>
      <xdr:rowOff>0</xdr:rowOff>
    </xdr:to>
    <xdr:sp macro="" textlink="">
      <xdr:nvSpPr>
        <xdr:cNvPr id="25" name="Line 4"/>
        <xdr:cNvSpPr>
          <a:spLocks noChangeShapeType="1"/>
        </xdr:cNvSpPr>
      </xdr:nvSpPr>
      <xdr:spPr bwMode="auto">
        <a:xfrm>
          <a:off x="6489660" y="9995222"/>
          <a:ext cx="3553789" cy="3014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905546</xdr:colOff>
      <xdr:row>70</xdr:row>
      <xdr:rowOff>73785</xdr:rowOff>
    </xdr:from>
    <xdr:to>
      <xdr:col>17</xdr:col>
      <xdr:colOff>617114</xdr:colOff>
      <xdr:row>70</xdr:row>
      <xdr:rowOff>99041</xdr:rowOff>
    </xdr:to>
    <xdr:sp macro="" textlink="">
      <xdr:nvSpPr>
        <xdr:cNvPr id="26" name="Line 4"/>
        <xdr:cNvSpPr>
          <a:spLocks noChangeShapeType="1"/>
        </xdr:cNvSpPr>
      </xdr:nvSpPr>
      <xdr:spPr bwMode="auto">
        <a:xfrm flipV="1">
          <a:off x="905546" y="13013028"/>
          <a:ext cx="3622184" cy="25256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0.12251</cdr:x>
      <cdr:y>0.03701</cdr:y>
    </cdr:from>
    <cdr:to>
      <cdr:x>0.9432</cdr:x>
      <cdr:y>0.10429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3179" y="110703"/>
          <a:ext cx="4107665" cy="201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+mn-lt"/>
              <a:ea typeface="+mn-ea"/>
              <a:cs typeface="+mn-cs"/>
            </a:rPr>
            <a:t>Figure 8.56: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Percentage of person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sentenced  by  type, 2017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0.0894</cdr:x>
      <cdr:y>0.02596</cdr:y>
    </cdr:from>
    <cdr:to>
      <cdr:x>0.91131</cdr:x>
      <cdr:y>0.17062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2039" y="66674"/>
          <a:ext cx="3971925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+mn-lt"/>
              <a:ea typeface="+mn-ea"/>
              <a:cs typeface="+mn-cs"/>
            </a:rPr>
            <a:t>Figure 8.57: Percentage of person</a:t>
          </a:r>
          <a:r>
            <a:rPr lang="en-US" sz="1100" b="1" baseline="0">
              <a:effectLst/>
              <a:latin typeface="+mn-lt"/>
              <a:ea typeface="+mn-ea"/>
              <a:cs typeface="+mn-cs"/>
            </a:rPr>
            <a:t> sentenced  by  period, 2017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102"/>
  <sheetViews>
    <sheetView tabSelected="1" zoomScaleNormal="100" workbookViewId="0">
      <selection activeCell="AD1" sqref="AD1:AE1048576"/>
    </sheetView>
  </sheetViews>
  <sheetFormatPr defaultColWidth="11.140625" defaultRowHeight="12.75"/>
  <cols>
    <col min="1" max="1" width="16.42578125" style="49" customWidth="1"/>
    <col min="2" max="3" width="10.28515625" style="49" hidden="1" customWidth="1"/>
    <col min="4" max="4" width="11.42578125" style="49" hidden="1" customWidth="1"/>
    <col min="5" max="5" width="10.28515625" style="49" hidden="1" customWidth="1"/>
    <col min="6" max="7" width="10.28515625" style="46" hidden="1" customWidth="1"/>
    <col min="8" max="8" width="10.28515625" style="49" hidden="1" customWidth="1"/>
    <col min="9" max="9" width="10.28515625" style="83" hidden="1" customWidth="1"/>
    <col min="10" max="10" width="11.42578125" style="83" hidden="1" customWidth="1"/>
    <col min="11" max="11" width="10.28515625" style="83" hidden="1" customWidth="1"/>
    <col min="12" max="12" width="10.28515625" style="45" hidden="1" customWidth="1"/>
    <col min="13" max="13" width="10.28515625" style="46" hidden="1" customWidth="1"/>
    <col min="14" max="15" width="10.28515625" style="49" customWidth="1"/>
    <col min="16" max="16" width="11.42578125" style="49" customWidth="1"/>
    <col min="17" max="17" width="10.28515625" style="83" customWidth="1"/>
    <col min="18" max="19" width="10.28515625" style="45" customWidth="1"/>
    <col min="20" max="20" width="1" style="45" customWidth="1"/>
    <col min="21" max="22" width="10.28515625" style="49" customWidth="1"/>
    <col min="23" max="23" width="11.42578125" style="49" customWidth="1"/>
    <col min="24" max="24" width="10.28515625" style="83" customWidth="1"/>
    <col min="25" max="26" width="10.28515625" style="45" customWidth="1"/>
    <col min="27" max="27" width="1.85546875" style="45" customWidth="1"/>
    <col min="28" max="28" width="18.7109375" style="49" customWidth="1"/>
    <col min="29" max="40" width="14" style="49" customWidth="1"/>
    <col min="41" max="16384" width="11.140625" style="49"/>
  </cols>
  <sheetData>
    <row r="1" spans="1:46" ht="22.5" customHeight="1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</row>
    <row r="2" spans="1:46" s="51" customFormat="1" ht="15">
      <c r="A2" s="156" t="s">
        <v>94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</row>
    <row r="3" spans="1:46">
      <c r="A3" s="157" t="s">
        <v>69</v>
      </c>
      <c r="B3" s="160">
        <v>2014</v>
      </c>
      <c r="C3" s="160"/>
      <c r="D3" s="160"/>
      <c r="E3" s="160"/>
      <c r="F3" s="160"/>
      <c r="G3" s="160"/>
      <c r="H3" s="161">
        <v>2015</v>
      </c>
      <c r="I3" s="160"/>
      <c r="J3" s="160"/>
      <c r="K3" s="160"/>
      <c r="L3" s="160"/>
      <c r="M3" s="162"/>
      <c r="N3" s="163">
        <v>2016</v>
      </c>
      <c r="O3" s="163"/>
      <c r="P3" s="163"/>
      <c r="Q3" s="163"/>
      <c r="R3" s="163"/>
      <c r="S3" s="163"/>
      <c r="T3" s="149"/>
      <c r="U3" s="164">
        <v>2017</v>
      </c>
      <c r="V3" s="163"/>
      <c r="W3" s="163"/>
      <c r="X3" s="163"/>
      <c r="Y3" s="163"/>
      <c r="Z3" s="163"/>
      <c r="AA3" s="52"/>
      <c r="AB3" s="165" t="s">
        <v>70</v>
      </c>
      <c r="AC3" s="53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53"/>
      <c r="AO3" s="53"/>
      <c r="AP3" s="53"/>
      <c r="AQ3" s="53"/>
      <c r="AR3" s="53"/>
    </row>
    <row r="4" spans="1:46" ht="15.75">
      <c r="A4" s="158"/>
      <c r="B4" s="52"/>
      <c r="C4" s="52"/>
      <c r="D4" s="52"/>
      <c r="E4" s="168" t="s">
        <v>71</v>
      </c>
      <c r="F4" s="160"/>
      <c r="G4" s="160"/>
      <c r="H4" s="54"/>
      <c r="I4" s="55"/>
      <c r="J4" s="55"/>
      <c r="K4" s="168" t="s">
        <v>71</v>
      </c>
      <c r="L4" s="160"/>
      <c r="M4" s="169"/>
      <c r="N4" s="121"/>
      <c r="O4" s="121"/>
      <c r="P4" s="121"/>
      <c r="Q4" s="170" t="s">
        <v>71</v>
      </c>
      <c r="R4" s="170"/>
      <c r="S4" s="170"/>
      <c r="T4" s="150"/>
      <c r="U4" s="134"/>
      <c r="V4" s="121"/>
      <c r="W4" s="121"/>
      <c r="X4" s="170" t="s">
        <v>71</v>
      </c>
      <c r="Y4" s="170"/>
      <c r="Z4" s="170"/>
      <c r="AA4" s="53"/>
      <c r="AB4" s="166"/>
      <c r="AC4" s="53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53"/>
      <c r="AO4" s="53"/>
      <c r="AP4" s="53"/>
      <c r="AQ4" s="53"/>
      <c r="AR4" s="53"/>
    </row>
    <row r="5" spans="1:46" ht="12.75" customHeight="1">
      <c r="A5" s="158"/>
      <c r="B5" s="171" t="s">
        <v>5</v>
      </c>
      <c r="C5" s="172" t="s">
        <v>72</v>
      </c>
      <c r="D5" s="172" t="s">
        <v>73</v>
      </c>
      <c r="E5" s="173" t="s">
        <v>74</v>
      </c>
      <c r="F5" s="173"/>
      <c r="G5" s="173"/>
      <c r="H5" s="174" t="s">
        <v>5</v>
      </c>
      <c r="I5" s="175" t="s">
        <v>72</v>
      </c>
      <c r="J5" s="175" t="s">
        <v>73</v>
      </c>
      <c r="K5" s="173" t="s">
        <v>74</v>
      </c>
      <c r="L5" s="173"/>
      <c r="M5" s="176"/>
      <c r="N5" s="178" t="s">
        <v>5</v>
      </c>
      <c r="O5" s="177" t="s">
        <v>72</v>
      </c>
      <c r="P5" s="177" t="s">
        <v>73</v>
      </c>
      <c r="Q5" s="173" t="s">
        <v>74</v>
      </c>
      <c r="R5" s="173"/>
      <c r="S5" s="173"/>
      <c r="T5" s="121"/>
      <c r="U5" s="179" t="s">
        <v>5</v>
      </c>
      <c r="V5" s="177" t="s">
        <v>72</v>
      </c>
      <c r="W5" s="177" t="s">
        <v>73</v>
      </c>
      <c r="X5" s="173" t="s">
        <v>74</v>
      </c>
      <c r="Y5" s="173"/>
      <c r="Z5" s="173"/>
      <c r="AA5" s="53"/>
      <c r="AB5" s="166"/>
      <c r="AC5" s="56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56"/>
      <c r="AO5" s="56"/>
      <c r="AP5" s="53"/>
      <c r="AQ5" s="53"/>
      <c r="AR5" s="53"/>
    </row>
    <row r="6" spans="1:46" ht="15.75">
      <c r="A6" s="158"/>
      <c r="B6" s="171"/>
      <c r="C6" s="172"/>
      <c r="D6" s="172"/>
      <c r="E6" s="57" t="s">
        <v>75</v>
      </c>
      <c r="F6" s="57" t="s">
        <v>76</v>
      </c>
      <c r="G6" s="57" t="s">
        <v>77</v>
      </c>
      <c r="H6" s="174"/>
      <c r="I6" s="175"/>
      <c r="J6" s="175"/>
      <c r="K6" s="58" t="s">
        <v>75</v>
      </c>
      <c r="L6" s="58" t="s">
        <v>76</v>
      </c>
      <c r="M6" s="59" t="s">
        <v>77</v>
      </c>
      <c r="N6" s="178"/>
      <c r="O6" s="177"/>
      <c r="P6" s="177"/>
      <c r="Q6" s="141" t="s">
        <v>75</v>
      </c>
      <c r="R6" s="141" t="s">
        <v>76</v>
      </c>
      <c r="S6" s="141" t="s">
        <v>77</v>
      </c>
      <c r="T6" s="151"/>
      <c r="U6" s="179"/>
      <c r="V6" s="177"/>
      <c r="W6" s="177"/>
      <c r="X6" s="141" t="s">
        <v>75</v>
      </c>
      <c r="Y6" s="141" t="s">
        <v>76</v>
      </c>
      <c r="Z6" s="141" t="s">
        <v>77</v>
      </c>
      <c r="AA6" s="58"/>
      <c r="AB6" s="166"/>
      <c r="AC6" s="56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56"/>
      <c r="AO6" s="56"/>
      <c r="AP6" s="53"/>
      <c r="AQ6" s="53"/>
      <c r="AR6" s="53"/>
    </row>
    <row r="7" spans="1:46" s="44" customFormat="1" ht="15">
      <c r="A7" s="159"/>
      <c r="B7" s="60" t="s">
        <v>77</v>
      </c>
      <c r="C7" s="60" t="s">
        <v>78</v>
      </c>
      <c r="D7" s="60" t="s">
        <v>79</v>
      </c>
      <c r="E7" s="61" t="s">
        <v>14</v>
      </c>
      <c r="F7" s="61" t="s">
        <v>42</v>
      </c>
      <c r="G7" s="61" t="s">
        <v>0</v>
      </c>
      <c r="H7" s="62" t="s">
        <v>77</v>
      </c>
      <c r="I7" s="63" t="s">
        <v>78</v>
      </c>
      <c r="J7" s="63" t="s">
        <v>79</v>
      </c>
      <c r="K7" s="64" t="s">
        <v>14</v>
      </c>
      <c r="L7" s="64" t="s">
        <v>42</v>
      </c>
      <c r="M7" s="65" t="s">
        <v>0</v>
      </c>
      <c r="N7" s="141" t="s">
        <v>77</v>
      </c>
      <c r="O7" s="141" t="s">
        <v>78</v>
      </c>
      <c r="P7" s="141" t="s">
        <v>79</v>
      </c>
      <c r="Q7" s="142" t="s">
        <v>14</v>
      </c>
      <c r="R7" s="142" t="s">
        <v>42</v>
      </c>
      <c r="S7" s="142" t="s">
        <v>0</v>
      </c>
      <c r="T7" s="142"/>
      <c r="U7" s="143" t="s">
        <v>77</v>
      </c>
      <c r="V7" s="141" t="s">
        <v>78</v>
      </c>
      <c r="W7" s="141" t="s">
        <v>79</v>
      </c>
      <c r="X7" s="142" t="s">
        <v>14</v>
      </c>
      <c r="Y7" s="142" t="s">
        <v>42</v>
      </c>
      <c r="Z7" s="142" t="s">
        <v>0</v>
      </c>
      <c r="AA7" s="64"/>
      <c r="AB7" s="167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7"/>
      <c r="AO7" s="67"/>
      <c r="AP7" s="67"/>
      <c r="AQ7" s="67"/>
      <c r="AR7" s="67"/>
    </row>
    <row r="8" spans="1:46" ht="15.75">
      <c r="A8" s="68" t="s">
        <v>2</v>
      </c>
      <c r="B8" s="69">
        <f>B15+B22</f>
        <v>401</v>
      </c>
      <c r="C8" s="69">
        <f t="shared" ref="B8:K14" si="0">C15+C22</f>
        <v>278</v>
      </c>
      <c r="D8" s="69">
        <f t="shared" si="0"/>
        <v>24</v>
      </c>
      <c r="E8" s="69">
        <f t="shared" si="0"/>
        <v>54</v>
      </c>
      <c r="F8" s="69">
        <f t="shared" si="0"/>
        <v>63</v>
      </c>
      <c r="G8" s="69">
        <f>G15+G22</f>
        <v>99</v>
      </c>
      <c r="H8" s="70">
        <f>H15+H22</f>
        <v>358</v>
      </c>
      <c r="I8" s="5">
        <f t="shared" ref="I8:Y14" si="1">I15+I22</f>
        <v>257</v>
      </c>
      <c r="J8" s="5">
        <f t="shared" si="1"/>
        <v>8</v>
      </c>
      <c r="K8" s="5">
        <f t="shared" si="1"/>
        <v>66</v>
      </c>
      <c r="L8" s="5">
        <f t="shared" si="1"/>
        <v>27</v>
      </c>
      <c r="M8" s="71">
        <f>M15+M22</f>
        <v>93</v>
      </c>
      <c r="N8" s="69">
        <f>N15+N22</f>
        <v>828</v>
      </c>
      <c r="O8" s="69">
        <f t="shared" ref="O8:S9" si="2">O15+O22</f>
        <v>742</v>
      </c>
      <c r="P8" s="69">
        <f t="shared" si="2"/>
        <v>5</v>
      </c>
      <c r="Q8" s="5">
        <f t="shared" si="2"/>
        <v>55</v>
      </c>
      <c r="R8" s="5">
        <f t="shared" si="2"/>
        <v>26</v>
      </c>
      <c r="S8" s="120">
        <f>S15+S22</f>
        <v>81</v>
      </c>
      <c r="T8" s="120"/>
      <c r="U8" s="135">
        <f>U15+U22</f>
        <v>1124</v>
      </c>
      <c r="V8" s="122">
        <f>V15+V22</f>
        <v>893</v>
      </c>
      <c r="W8" s="122">
        <f t="shared" ref="V8:Z14" si="3">W15+W22</f>
        <v>2</v>
      </c>
      <c r="X8" s="120">
        <f t="shared" si="3"/>
        <v>126</v>
      </c>
      <c r="Y8" s="120">
        <f t="shared" si="3"/>
        <v>103</v>
      </c>
      <c r="Z8" s="120">
        <f>Z15+Z22</f>
        <v>229</v>
      </c>
      <c r="AA8" s="5"/>
      <c r="AB8" s="117" t="s">
        <v>66</v>
      </c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</row>
    <row r="9" spans="1:46" ht="15.75">
      <c r="A9" s="144" t="s">
        <v>80</v>
      </c>
      <c r="B9" s="43">
        <f>B16+B23</f>
        <v>93</v>
      </c>
      <c r="C9" s="43">
        <f t="shared" si="0"/>
        <v>50</v>
      </c>
      <c r="D9" s="43">
        <f t="shared" si="0"/>
        <v>11</v>
      </c>
      <c r="E9" s="43">
        <f t="shared" si="0"/>
        <v>15</v>
      </c>
      <c r="F9" s="43">
        <f t="shared" si="0"/>
        <v>26</v>
      </c>
      <c r="G9" s="43">
        <f t="shared" si="0"/>
        <v>32</v>
      </c>
      <c r="H9" s="73">
        <f>H16+H23</f>
        <v>92</v>
      </c>
      <c r="I9" s="3">
        <f t="shared" si="1"/>
        <v>29</v>
      </c>
      <c r="J9" s="3">
        <f t="shared" si="1"/>
        <v>0</v>
      </c>
      <c r="K9" s="3">
        <f t="shared" si="1"/>
        <v>48</v>
      </c>
      <c r="L9" s="3">
        <f t="shared" si="1"/>
        <v>15</v>
      </c>
      <c r="M9" s="74">
        <f t="shared" si="1"/>
        <v>63</v>
      </c>
      <c r="N9" s="43">
        <f>N16+N23</f>
        <v>79</v>
      </c>
      <c r="O9" s="43">
        <f t="shared" si="2"/>
        <v>23</v>
      </c>
      <c r="P9" s="43">
        <f t="shared" si="2"/>
        <v>0</v>
      </c>
      <c r="Q9" s="3">
        <f t="shared" si="2"/>
        <v>41</v>
      </c>
      <c r="R9" s="3">
        <f t="shared" si="2"/>
        <v>15</v>
      </c>
      <c r="S9" s="3">
        <f t="shared" si="2"/>
        <v>56</v>
      </c>
      <c r="T9" s="3"/>
      <c r="U9" s="136">
        <f>U16+U23</f>
        <v>750</v>
      </c>
      <c r="V9" s="43">
        <f t="shared" si="3"/>
        <v>574</v>
      </c>
      <c r="W9" s="43">
        <f t="shared" si="3"/>
        <v>2</v>
      </c>
      <c r="X9" s="3">
        <f t="shared" si="3"/>
        <v>87</v>
      </c>
      <c r="Y9" s="3">
        <f t="shared" si="3"/>
        <v>87</v>
      </c>
      <c r="Z9" s="3">
        <f t="shared" si="3"/>
        <v>174</v>
      </c>
      <c r="AA9" s="3"/>
      <c r="AB9" s="118" t="s">
        <v>81</v>
      </c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</row>
    <row r="10" spans="1:46" ht="15.75">
      <c r="A10" s="144" t="s">
        <v>82</v>
      </c>
      <c r="B10" s="43">
        <f t="shared" ref="B10:F10" si="4">B17+B24</f>
        <v>98</v>
      </c>
      <c r="C10" s="43">
        <f t="shared" si="4"/>
        <v>60</v>
      </c>
      <c r="D10" s="43">
        <f t="shared" si="4"/>
        <v>2</v>
      </c>
      <c r="E10" s="43">
        <f t="shared" si="4"/>
        <v>16</v>
      </c>
      <c r="F10" s="43">
        <f t="shared" si="4"/>
        <v>20</v>
      </c>
      <c r="G10" s="43">
        <f t="shared" si="0"/>
        <v>36</v>
      </c>
      <c r="H10" s="73">
        <f t="shared" si="0"/>
        <v>51</v>
      </c>
      <c r="I10" s="3">
        <f t="shared" si="0"/>
        <v>23</v>
      </c>
      <c r="J10" s="3">
        <f t="shared" si="0"/>
        <v>0</v>
      </c>
      <c r="K10" s="3">
        <f t="shared" si="0"/>
        <v>18</v>
      </c>
      <c r="L10" s="3">
        <f t="shared" si="1"/>
        <v>10</v>
      </c>
      <c r="M10" s="74">
        <f t="shared" si="1"/>
        <v>28</v>
      </c>
      <c r="N10" s="43">
        <f t="shared" si="1"/>
        <v>60</v>
      </c>
      <c r="O10" s="42">
        <f t="shared" si="1"/>
        <v>31</v>
      </c>
      <c r="P10" s="42">
        <f t="shared" si="1"/>
        <v>4</v>
      </c>
      <c r="Q10" s="40">
        <f t="shared" si="1"/>
        <v>14</v>
      </c>
      <c r="R10" s="40">
        <f t="shared" si="1"/>
        <v>11</v>
      </c>
      <c r="S10" s="40">
        <f t="shared" si="1"/>
        <v>25</v>
      </c>
      <c r="T10" s="40"/>
      <c r="U10" s="136">
        <f>U17+U24</f>
        <v>117</v>
      </c>
      <c r="V10" s="42">
        <f t="shared" si="1"/>
        <v>71</v>
      </c>
      <c r="W10" s="42">
        <f t="shared" si="1"/>
        <v>0</v>
      </c>
      <c r="X10" s="40">
        <f t="shared" si="1"/>
        <v>35</v>
      </c>
      <c r="Y10" s="40">
        <f t="shared" si="1"/>
        <v>11</v>
      </c>
      <c r="Z10" s="40">
        <f t="shared" si="3"/>
        <v>46</v>
      </c>
      <c r="AA10" s="3"/>
      <c r="AB10" s="118" t="s">
        <v>83</v>
      </c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</row>
    <row r="11" spans="1:46" ht="15.75">
      <c r="A11" s="144" t="s">
        <v>84</v>
      </c>
      <c r="B11" s="43">
        <f t="shared" si="0"/>
        <v>94</v>
      </c>
      <c r="C11" s="43">
        <f t="shared" si="0"/>
        <v>73</v>
      </c>
      <c r="D11" s="43">
        <f t="shared" si="0"/>
        <v>4</v>
      </c>
      <c r="E11" s="43">
        <f t="shared" si="0"/>
        <v>14</v>
      </c>
      <c r="F11" s="43">
        <f t="shared" si="0"/>
        <v>7</v>
      </c>
      <c r="G11" s="43">
        <f t="shared" si="0"/>
        <v>17</v>
      </c>
      <c r="H11" s="73">
        <f t="shared" si="0"/>
        <v>66</v>
      </c>
      <c r="I11" s="3">
        <f t="shared" si="0"/>
        <v>58</v>
      </c>
      <c r="J11" s="3">
        <f t="shared" si="0"/>
        <v>6</v>
      </c>
      <c r="K11" s="3">
        <f t="shared" si="0"/>
        <v>0</v>
      </c>
      <c r="L11" s="3">
        <f t="shared" si="1"/>
        <v>2</v>
      </c>
      <c r="M11" s="74">
        <f t="shared" si="1"/>
        <v>2</v>
      </c>
      <c r="N11" s="43">
        <f t="shared" si="1"/>
        <v>162</v>
      </c>
      <c r="O11" s="42">
        <f t="shared" si="1"/>
        <v>161</v>
      </c>
      <c r="P11" s="42">
        <f t="shared" si="1"/>
        <v>1</v>
      </c>
      <c r="Q11" s="40">
        <f t="shared" si="1"/>
        <v>0</v>
      </c>
      <c r="R11" s="40">
        <f t="shared" si="1"/>
        <v>0</v>
      </c>
      <c r="S11" s="40">
        <f t="shared" si="1"/>
        <v>0</v>
      </c>
      <c r="T11" s="40"/>
      <c r="U11" s="136">
        <f t="shared" si="1"/>
        <v>22</v>
      </c>
      <c r="V11" s="42">
        <f t="shared" si="1"/>
        <v>18</v>
      </c>
      <c r="W11" s="42">
        <f t="shared" si="1"/>
        <v>0</v>
      </c>
      <c r="X11" s="40">
        <f t="shared" si="1"/>
        <v>4</v>
      </c>
      <c r="Y11" s="40">
        <f t="shared" si="1"/>
        <v>0</v>
      </c>
      <c r="Z11" s="40">
        <f t="shared" si="3"/>
        <v>4</v>
      </c>
      <c r="AA11" s="3"/>
      <c r="AB11" s="118" t="s">
        <v>85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</row>
    <row r="12" spans="1:46" ht="15.75">
      <c r="A12" s="144" t="s">
        <v>86</v>
      </c>
      <c r="B12" s="43">
        <f t="shared" si="0"/>
        <v>25</v>
      </c>
      <c r="C12" s="43">
        <f t="shared" si="0"/>
        <v>18</v>
      </c>
      <c r="D12" s="43">
        <f t="shared" si="0"/>
        <v>0</v>
      </c>
      <c r="E12" s="43">
        <f t="shared" si="0"/>
        <v>7</v>
      </c>
      <c r="F12" s="43">
        <f t="shared" si="0"/>
        <v>0</v>
      </c>
      <c r="G12" s="43">
        <f t="shared" si="0"/>
        <v>7</v>
      </c>
      <c r="H12" s="73">
        <f t="shared" si="0"/>
        <v>87</v>
      </c>
      <c r="I12" s="3">
        <f t="shared" si="0"/>
        <v>87</v>
      </c>
      <c r="J12" s="3">
        <f t="shared" si="0"/>
        <v>0</v>
      </c>
      <c r="K12" s="3">
        <f t="shared" si="0"/>
        <v>0</v>
      </c>
      <c r="L12" s="3">
        <f t="shared" si="1"/>
        <v>0</v>
      </c>
      <c r="M12" s="74">
        <f t="shared" si="1"/>
        <v>0</v>
      </c>
      <c r="N12" s="43">
        <f t="shared" si="1"/>
        <v>188</v>
      </c>
      <c r="O12" s="42">
        <f t="shared" si="1"/>
        <v>188</v>
      </c>
      <c r="P12" s="42">
        <f t="shared" si="1"/>
        <v>0</v>
      </c>
      <c r="Q12" s="40">
        <f t="shared" si="1"/>
        <v>0</v>
      </c>
      <c r="R12" s="40">
        <f t="shared" si="1"/>
        <v>0</v>
      </c>
      <c r="S12" s="40">
        <f t="shared" si="1"/>
        <v>0</v>
      </c>
      <c r="T12" s="40"/>
      <c r="U12" s="136">
        <f t="shared" si="1"/>
        <v>150</v>
      </c>
      <c r="V12" s="42">
        <f t="shared" si="1"/>
        <v>146</v>
      </c>
      <c r="W12" s="42">
        <f t="shared" si="1"/>
        <v>0</v>
      </c>
      <c r="X12" s="40">
        <f t="shared" si="1"/>
        <v>0</v>
      </c>
      <c r="Y12" s="40">
        <f t="shared" si="1"/>
        <v>4</v>
      </c>
      <c r="Z12" s="40">
        <f t="shared" si="3"/>
        <v>4</v>
      </c>
      <c r="AA12" s="3"/>
      <c r="AB12" s="118" t="s">
        <v>87</v>
      </c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</row>
    <row r="13" spans="1:46" ht="15.75">
      <c r="A13" s="144" t="s">
        <v>88</v>
      </c>
      <c r="B13" s="43">
        <f t="shared" si="0"/>
        <v>56</v>
      </c>
      <c r="C13" s="43">
        <f t="shared" si="0"/>
        <v>50</v>
      </c>
      <c r="D13" s="43">
        <f t="shared" si="0"/>
        <v>3</v>
      </c>
      <c r="E13" s="43">
        <f t="shared" si="0"/>
        <v>0</v>
      </c>
      <c r="F13" s="43">
        <f t="shared" si="0"/>
        <v>3</v>
      </c>
      <c r="G13" s="43">
        <f t="shared" si="0"/>
        <v>3</v>
      </c>
      <c r="H13" s="73">
        <f t="shared" si="0"/>
        <v>47</v>
      </c>
      <c r="I13" s="3">
        <f t="shared" si="0"/>
        <v>45</v>
      </c>
      <c r="J13" s="3">
        <f t="shared" si="0"/>
        <v>2</v>
      </c>
      <c r="K13" s="3">
        <f t="shared" si="0"/>
        <v>0</v>
      </c>
      <c r="L13" s="3">
        <f t="shared" si="1"/>
        <v>0</v>
      </c>
      <c r="M13" s="74">
        <f t="shared" si="1"/>
        <v>0</v>
      </c>
      <c r="N13" s="43">
        <f t="shared" si="1"/>
        <v>100</v>
      </c>
      <c r="O13" s="42">
        <f t="shared" si="1"/>
        <v>100</v>
      </c>
      <c r="P13" s="42">
        <f t="shared" si="1"/>
        <v>0</v>
      </c>
      <c r="Q13" s="40">
        <f t="shared" si="1"/>
        <v>0</v>
      </c>
      <c r="R13" s="40">
        <f t="shared" si="1"/>
        <v>0</v>
      </c>
      <c r="S13" s="40">
        <f t="shared" si="1"/>
        <v>0</v>
      </c>
      <c r="T13" s="40"/>
      <c r="U13" s="136">
        <f t="shared" si="1"/>
        <v>4</v>
      </c>
      <c r="V13" s="42">
        <f t="shared" si="1"/>
        <v>3</v>
      </c>
      <c r="W13" s="42">
        <f t="shared" si="1"/>
        <v>0</v>
      </c>
      <c r="X13" s="40">
        <f t="shared" si="1"/>
        <v>0</v>
      </c>
      <c r="Y13" s="40">
        <f t="shared" si="1"/>
        <v>1</v>
      </c>
      <c r="Z13" s="40">
        <f t="shared" si="3"/>
        <v>1</v>
      </c>
      <c r="AA13" s="3"/>
      <c r="AB13" s="118" t="s">
        <v>89</v>
      </c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</row>
    <row r="14" spans="1:46" ht="15.75">
      <c r="A14" s="145" t="s">
        <v>90</v>
      </c>
      <c r="B14" s="123">
        <f t="shared" si="0"/>
        <v>34</v>
      </c>
      <c r="C14" s="123">
        <f t="shared" si="0"/>
        <v>27</v>
      </c>
      <c r="D14" s="123">
        <f t="shared" si="0"/>
        <v>4</v>
      </c>
      <c r="E14" s="123">
        <f t="shared" si="0"/>
        <v>2</v>
      </c>
      <c r="F14" s="123">
        <f t="shared" si="0"/>
        <v>7</v>
      </c>
      <c r="G14" s="123">
        <f t="shared" si="0"/>
        <v>3</v>
      </c>
      <c r="H14" s="124">
        <f t="shared" si="0"/>
        <v>15</v>
      </c>
      <c r="I14" s="125">
        <f t="shared" si="0"/>
        <v>15</v>
      </c>
      <c r="J14" s="125">
        <f t="shared" si="0"/>
        <v>0</v>
      </c>
      <c r="K14" s="125">
        <f t="shared" si="0"/>
        <v>0</v>
      </c>
      <c r="L14" s="125">
        <f t="shared" si="1"/>
        <v>0</v>
      </c>
      <c r="M14" s="126">
        <f t="shared" si="1"/>
        <v>0</v>
      </c>
      <c r="N14" s="123">
        <f t="shared" si="1"/>
        <v>239</v>
      </c>
      <c r="O14" s="127">
        <f t="shared" si="1"/>
        <v>239</v>
      </c>
      <c r="P14" s="127">
        <f t="shared" si="1"/>
        <v>0</v>
      </c>
      <c r="Q14" s="128">
        <f t="shared" si="1"/>
        <v>0</v>
      </c>
      <c r="R14" s="128">
        <f t="shared" si="1"/>
        <v>0</v>
      </c>
      <c r="S14" s="128">
        <f t="shared" si="1"/>
        <v>0</v>
      </c>
      <c r="T14" s="128"/>
      <c r="U14" s="137">
        <f t="shared" si="1"/>
        <v>81</v>
      </c>
      <c r="V14" s="127">
        <f t="shared" si="1"/>
        <v>81</v>
      </c>
      <c r="W14" s="127">
        <f t="shared" si="1"/>
        <v>0</v>
      </c>
      <c r="X14" s="128">
        <f t="shared" si="1"/>
        <v>0</v>
      </c>
      <c r="Y14" s="128">
        <f t="shared" si="1"/>
        <v>0</v>
      </c>
      <c r="Z14" s="128">
        <f t="shared" si="3"/>
        <v>0</v>
      </c>
      <c r="AA14" s="125"/>
      <c r="AB14" s="129" t="s">
        <v>91</v>
      </c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</row>
    <row r="15" spans="1:46" s="83" customFormat="1" ht="15.75">
      <c r="A15" s="77" t="s">
        <v>3</v>
      </c>
      <c r="B15" s="3">
        <f>C15+D15+G15</f>
        <v>342</v>
      </c>
      <c r="C15" s="78">
        <f>SUM(C16:C21)</f>
        <v>252</v>
      </c>
      <c r="D15" s="78">
        <f t="shared" ref="D15:G15" si="5">SUM(D16:D21)</f>
        <v>24</v>
      </c>
      <c r="E15" s="78">
        <f t="shared" si="5"/>
        <v>37</v>
      </c>
      <c r="F15" s="78">
        <f t="shared" si="5"/>
        <v>47</v>
      </c>
      <c r="G15" s="78">
        <f t="shared" si="5"/>
        <v>66</v>
      </c>
      <c r="H15" s="79">
        <f t="shared" ref="H15:H21" si="6">I15+J15+M15</f>
        <v>302</v>
      </c>
      <c r="I15" s="78">
        <f>SUM(I16:I21)</f>
        <v>241</v>
      </c>
      <c r="J15" s="78">
        <f>SUM(J16:J21)</f>
        <v>7</v>
      </c>
      <c r="K15" s="78">
        <f>SUM(K16:K21)</f>
        <v>41</v>
      </c>
      <c r="L15" s="78">
        <f t="shared" ref="L15:M15" si="7">SUM(L16:L21)</f>
        <v>13</v>
      </c>
      <c r="M15" s="80">
        <f t="shared" si="7"/>
        <v>54</v>
      </c>
      <c r="N15" s="3">
        <f>O15+P15+S15</f>
        <v>752</v>
      </c>
      <c r="O15" s="78">
        <f>SUM(O16:O21)</f>
        <v>707</v>
      </c>
      <c r="P15" s="78">
        <f t="shared" ref="P15:S15" si="8">SUM(P16:P21)</f>
        <v>5</v>
      </c>
      <c r="Q15" s="78">
        <f t="shared" si="8"/>
        <v>26</v>
      </c>
      <c r="R15" s="78">
        <f t="shared" si="8"/>
        <v>14</v>
      </c>
      <c r="S15" s="78">
        <f t="shared" si="8"/>
        <v>40</v>
      </c>
      <c r="T15" s="78"/>
      <c r="U15" s="138">
        <f>V15+W15+Z15</f>
        <v>1056</v>
      </c>
      <c r="V15" s="78">
        <f>SUM(V16:V21)</f>
        <v>861</v>
      </c>
      <c r="W15" s="78">
        <f t="shared" ref="W15:Z15" si="9">SUM(W16:W21)</f>
        <v>2</v>
      </c>
      <c r="X15" s="78">
        <f t="shared" si="9"/>
        <v>99</v>
      </c>
      <c r="Y15" s="78">
        <f t="shared" si="9"/>
        <v>94</v>
      </c>
      <c r="Z15" s="78">
        <f t="shared" si="9"/>
        <v>193</v>
      </c>
      <c r="AA15" s="78"/>
      <c r="AB15" s="116" t="s">
        <v>92</v>
      </c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2"/>
      <c r="AR15" s="82"/>
    </row>
    <row r="16" spans="1:46" s="83" customFormat="1" ht="15.75">
      <c r="A16" s="147" t="s">
        <v>80</v>
      </c>
      <c r="B16" s="3">
        <f>C16+D16+G16</f>
        <v>71</v>
      </c>
      <c r="C16" s="84">
        <v>38</v>
      </c>
      <c r="D16" s="84">
        <v>11</v>
      </c>
      <c r="E16" s="84">
        <v>12</v>
      </c>
      <c r="F16" s="84">
        <v>19</v>
      </c>
      <c r="G16" s="40">
        <v>22</v>
      </c>
      <c r="H16" s="79">
        <f t="shared" si="6"/>
        <v>57</v>
      </c>
      <c r="I16" s="84">
        <v>23</v>
      </c>
      <c r="J16" s="84">
        <v>0</v>
      </c>
      <c r="K16" s="84">
        <v>28</v>
      </c>
      <c r="L16" s="84">
        <v>6</v>
      </c>
      <c r="M16" s="85">
        <f>K16+L16</f>
        <v>34</v>
      </c>
      <c r="N16" s="3">
        <f>O16+P16+S16</f>
        <v>52</v>
      </c>
      <c r="O16" s="84">
        <v>17</v>
      </c>
      <c r="P16" s="84">
        <v>0</v>
      </c>
      <c r="Q16" s="84">
        <v>23</v>
      </c>
      <c r="R16" s="84">
        <v>12</v>
      </c>
      <c r="S16" s="40">
        <f>R16+Q16</f>
        <v>35</v>
      </c>
      <c r="T16" s="40"/>
      <c r="U16" s="138">
        <f>V16+W16+Z16</f>
        <v>720</v>
      </c>
      <c r="V16" s="84">
        <v>556</v>
      </c>
      <c r="W16" s="84">
        <v>2</v>
      </c>
      <c r="X16" s="84">
        <v>80</v>
      </c>
      <c r="Y16" s="84">
        <v>82</v>
      </c>
      <c r="Z16" s="40">
        <f>Y16+X16</f>
        <v>162</v>
      </c>
      <c r="AA16" s="40"/>
      <c r="AB16" s="118" t="s">
        <v>81</v>
      </c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4"/>
      <c r="AO16" s="84"/>
      <c r="AP16" s="87"/>
      <c r="AQ16" s="88"/>
      <c r="AR16" s="88"/>
    </row>
    <row r="17" spans="1:44" s="83" customFormat="1" ht="18.75" customHeight="1">
      <c r="A17" s="147" t="s">
        <v>82</v>
      </c>
      <c r="B17" s="3">
        <f t="shared" ref="B17:B21" si="10">C17+D17+G17</f>
        <v>73</v>
      </c>
      <c r="C17" s="84">
        <v>57</v>
      </c>
      <c r="D17" s="84">
        <v>2</v>
      </c>
      <c r="E17" s="84">
        <v>3</v>
      </c>
      <c r="F17" s="84">
        <v>11</v>
      </c>
      <c r="G17" s="40">
        <f>F17+E17</f>
        <v>14</v>
      </c>
      <c r="H17" s="79">
        <f t="shared" si="6"/>
        <v>40</v>
      </c>
      <c r="I17" s="84">
        <v>20</v>
      </c>
      <c r="J17" s="84">
        <v>0</v>
      </c>
      <c r="K17" s="84">
        <v>13</v>
      </c>
      <c r="L17" s="84">
        <v>7</v>
      </c>
      <c r="M17" s="85">
        <f t="shared" ref="M17:M28" si="11">K17+L17</f>
        <v>20</v>
      </c>
      <c r="N17" s="3">
        <f t="shared" ref="N17:N21" si="12">O17+P17+S17</f>
        <v>37</v>
      </c>
      <c r="O17" s="84">
        <v>28</v>
      </c>
      <c r="P17" s="84">
        <v>4</v>
      </c>
      <c r="Q17" s="84">
        <v>3</v>
      </c>
      <c r="R17" s="84">
        <v>2</v>
      </c>
      <c r="S17" s="40">
        <f t="shared" ref="S17:S21" si="13">R17+Q17</f>
        <v>5</v>
      </c>
      <c r="T17" s="40"/>
      <c r="U17" s="138">
        <f t="shared" ref="U17" si="14">V17+W17+Z17</f>
        <v>96</v>
      </c>
      <c r="V17" s="84">
        <v>70</v>
      </c>
      <c r="W17" s="84">
        <v>0</v>
      </c>
      <c r="X17" s="84">
        <v>18</v>
      </c>
      <c r="Y17" s="84">
        <v>8</v>
      </c>
      <c r="Z17" s="40">
        <f t="shared" ref="Z17:Z21" si="15">Y17+X17</f>
        <v>26</v>
      </c>
      <c r="AA17" s="40"/>
      <c r="AB17" s="118" t="s">
        <v>83</v>
      </c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4"/>
      <c r="AO17" s="84"/>
      <c r="AP17" s="87"/>
      <c r="AQ17" s="88"/>
      <c r="AR17" s="88"/>
    </row>
    <row r="18" spans="1:44" s="83" customFormat="1" ht="18.75" customHeight="1">
      <c r="A18" s="147" t="s">
        <v>84</v>
      </c>
      <c r="B18" s="3">
        <f t="shared" si="10"/>
        <v>87</v>
      </c>
      <c r="C18" s="84">
        <v>66</v>
      </c>
      <c r="D18" s="84">
        <v>4</v>
      </c>
      <c r="E18" s="84">
        <v>13</v>
      </c>
      <c r="F18" s="84">
        <v>7</v>
      </c>
      <c r="G18" s="40">
        <v>17</v>
      </c>
      <c r="H18" s="79">
        <f t="shared" si="6"/>
        <v>62</v>
      </c>
      <c r="I18" s="84">
        <v>57</v>
      </c>
      <c r="J18" s="84">
        <v>5</v>
      </c>
      <c r="K18" s="84">
        <v>0</v>
      </c>
      <c r="L18" s="84">
        <v>0</v>
      </c>
      <c r="M18" s="85">
        <f t="shared" si="11"/>
        <v>0</v>
      </c>
      <c r="N18" s="3">
        <f>O18+P18+S18</f>
        <v>144</v>
      </c>
      <c r="O18" s="84">
        <v>143</v>
      </c>
      <c r="P18" s="84">
        <v>1</v>
      </c>
      <c r="Q18" s="84">
        <v>0</v>
      </c>
      <c r="R18" s="84">
        <v>0</v>
      </c>
      <c r="S18" s="40">
        <f t="shared" si="13"/>
        <v>0</v>
      </c>
      <c r="T18" s="40"/>
      <c r="U18" s="138">
        <f>V18+W18+Z18</f>
        <v>19</v>
      </c>
      <c r="V18" s="84">
        <v>18</v>
      </c>
      <c r="W18" s="84">
        <v>0</v>
      </c>
      <c r="X18" s="84">
        <v>1</v>
      </c>
      <c r="Y18" s="84">
        <v>0</v>
      </c>
      <c r="Z18" s="40">
        <f t="shared" si="15"/>
        <v>1</v>
      </c>
      <c r="AA18" s="40"/>
      <c r="AB18" s="118" t="s">
        <v>85</v>
      </c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4"/>
      <c r="AO18" s="84"/>
      <c r="AP18" s="87"/>
      <c r="AQ18" s="88"/>
      <c r="AR18" s="88"/>
    </row>
    <row r="19" spans="1:44" s="83" customFormat="1" ht="18.75" customHeight="1">
      <c r="A19" s="147" t="s">
        <v>86</v>
      </c>
      <c r="B19" s="3">
        <f t="shared" si="10"/>
        <v>25</v>
      </c>
      <c r="C19" s="89">
        <v>18</v>
      </c>
      <c r="D19" s="89">
        <v>0</v>
      </c>
      <c r="E19" s="84">
        <v>7</v>
      </c>
      <c r="F19" s="84">
        <v>0</v>
      </c>
      <c r="G19" s="40">
        <f t="shared" ref="G19:G20" si="16">F19+E19</f>
        <v>7</v>
      </c>
      <c r="H19" s="79">
        <f t="shared" si="6"/>
        <v>83</v>
      </c>
      <c r="I19" s="89">
        <v>83</v>
      </c>
      <c r="J19" s="89">
        <v>0</v>
      </c>
      <c r="K19" s="84">
        <v>0</v>
      </c>
      <c r="L19" s="84">
        <v>0</v>
      </c>
      <c r="M19" s="85">
        <f t="shared" si="11"/>
        <v>0</v>
      </c>
      <c r="N19" s="3">
        <f t="shared" si="12"/>
        <v>185</v>
      </c>
      <c r="O19" s="89">
        <v>185</v>
      </c>
      <c r="P19" s="89">
        <v>0</v>
      </c>
      <c r="Q19" s="84">
        <v>0</v>
      </c>
      <c r="R19" s="84">
        <v>0</v>
      </c>
      <c r="S19" s="40">
        <f t="shared" si="13"/>
        <v>0</v>
      </c>
      <c r="T19" s="40"/>
      <c r="U19" s="138">
        <f t="shared" ref="U19:U21" si="17">V19+W19+Z19</f>
        <v>142</v>
      </c>
      <c r="V19" s="89">
        <v>139</v>
      </c>
      <c r="W19" s="89">
        <v>0</v>
      </c>
      <c r="X19" s="84">
        <v>0</v>
      </c>
      <c r="Y19" s="84">
        <v>3</v>
      </c>
      <c r="Z19" s="40">
        <f t="shared" si="15"/>
        <v>3</v>
      </c>
      <c r="AA19" s="40"/>
      <c r="AB19" s="118" t="s">
        <v>87</v>
      </c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9"/>
      <c r="AO19" s="89"/>
      <c r="AP19" s="87"/>
      <c r="AQ19" s="88"/>
      <c r="AR19" s="88"/>
    </row>
    <row r="20" spans="1:44" s="83" customFormat="1" ht="18.75" customHeight="1">
      <c r="A20" s="147" t="s">
        <v>88</v>
      </c>
      <c r="B20" s="3">
        <f t="shared" si="10"/>
        <v>55</v>
      </c>
      <c r="C20" s="89">
        <v>49</v>
      </c>
      <c r="D20" s="89">
        <v>3</v>
      </c>
      <c r="E20" s="84">
        <v>0</v>
      </c>
      <c r="F20" s="84">
        <v>3</v>
      </c>
      <c r="G20" s="40">
        <f t="shared" si="16"/>
        <v>3</v>
      </c>
      <c r="H20" s="79">
        <f t="shared" si="6"/>
        <v>47</v>
      </c>
      <c r="I20" s="89">
        <v>45</v>
      </c>
      <c r="J20" s="89">
        <v>2</v>
      </c>
      <c r="K20" s="84">
        <v>0</v>
      </c>
      <c r="L20" s="84">
        <v>0</v>
      </c>
      <c r="M20" s="85">
        <f t="shared" si="11"/>
        <v>0</v>
      </c>
      <c r="N20" s="3">
        <f t="shared" si="12"/>
        <v>98</v>
      </c>
      <c r="O20" s="89">
        <v>98</v>
      </c>
      <c r="P20" s="89">
        <v>0</v>
      </c>
      <c r="Q20" s="84">
        <v>0</v>
      </c>
      <c r="R20" s="84">
        <v>0</v>
      </c>
      <c r="S20" s="40">
        <f t="shared" si="13"/>
        <v>0</v>
      </c>
      <c r="T20" s="40"/>
      <c r="U20" s="138">
        <f t="shared" si="17"/>
        <v>4</v>
      </c>
      <c r="V20" s="89">
        <v>3</v>
      </c>
      <c r="W20" s="89">
        <v>0</v>
      </c>
      <c r="X20" s="84">
        <v>0</v>
      </c>
      <c r="Y20" s="84">
        <v>1</v>
      </c>
      <c r="Z20" s="40">
        <f t="shared" si="15"/>
        <v>1</v>
      </c>
      <c r="AA20" s="40"/>
      <c r="AB20" s="118" t="s">
        <v>89</v>
      </c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9"/>
      <c r="AO20" s="89"/>
      <c r="AP20" s="87"/>
      <c r="AQ20" s="88"/>
      <c r="AR20" s="88"/>
    </row>
    <row r="21" spans="1:44" s="83" customFormat="1" ht="18.75" customHeight="1">
      <c r="A21" s="148" t="s">
        <v>90</v>
      </c>
      <c r="B21" s="125">
        <f t="shared" si="10"/>
        <v>31</v>
      </c>
      <c r="C21" s="130">
        <v>24</v>
      </c>
      <c r="D21" s="130">
        <v>4</v>
      </c>
      <c r="E21" s="131">
        <v>2</v>
      </c>
      <c r="F21" s="131">
        <v>7</v>
      </c>
      <c r="G21" s="128">
        <v>3</v>
      </c>
      <c r="H21" s="132">
        <f t="shared" si="6"/>
        <v>13</v>
      </c>
      <c r="I21" s="130">
        <v>13</v>
      </c>
      <c r="J21" s="130">
        <v>0</v>
      </c>
      <c r="K21" s="131">
        <v>0</v>
      </c>
      <c r="L21" s="131">
        <v>0</v>
      </c>
      <c r="M21" s="133">
        <f t="shared" si="11"/>
        <v>0</v>
      </c>
      <c r="N21" s="125">
        <f t="shared" si="12"/>
        <v>236</v>
      </c>
      <c r="O21" s="130">
        <v>236</v>
      </c>
      <c r="P21" s="130">
        <v>0</v>
      </c>
      <c r="Q21" s="131">
        <v>0</v>
      </c>
      <c r="R21" s="131">
        <v>0</v>
      </c>
      <c r="S21" s="128">
        <f t="shared" si="13"/>
        <v>0</v>
      </c>
      <c r="T21" s="128"/>
      <c r="U21" s="139">
        <f t="shared" si="17"/>
        <v>75</v>
      </c>
      <c r="V21" s="130">
        <v>75</v>
      </c>
      <c r="W21" s="130">
        <v>0</v>
      </c>
      <c r="X21" s="131">
        <v>0</v>
      </c>
      <c r="Y21" s="131">
        <v>0</v>
      </c>
      <c r="Z21" s="128">
        <f t="shared" si="15"/>
        <v>0</v>
      </c>
      <c r="AA21" s="128"/>
      <c r="AB21" s="129" t="s">
        <v>91</v>
      </c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9"/>
      <c r="AO21" s="89"/>
      <c r="AP21" s="87"/>
      <c r="AQ21" s="88"/>
      <c r="AR21" s="88"/>
    </row>
    <row r="22" spans="1:44" s="83" customFormat="1" ht="18.75" customHeight="1">
      <c r="A22" s="77" t="s">
        <v>4</v>
      </c>
      <c r="B22" s="3">
        <f>C22+D22+G22</f>
        <v>59</v>
      </c>
      <c r="C22" s="78">
        <f>SUM(C23:C28)</f>
        <v>26</v>
      </c>
      <c r="D22" s="78">
        <f t="shared" ref="D22:F22" si="18">SUM(D23:D28)</f>
        <v>0</v>
      </c>
      <c r="E22" s="78">
        <f t="shared" si="18"/>
        <v>17</v>
      </c>
      <c r="F22" s="78">
        <f t="shared" si="18"/>
        <v>16</v>
      </c>
      <c r="G22" s="78">
        <f>F22+E22</f>
        <v>33</v>
      </c>
      <c r="H22" s="79">
        <f>I22+J22+M22</f>
        <v>56</v>
      </c>
      <c r="I22" s="78">
        <f>SUM(I23:I28)</f>
        <v>16</v>
      </c>
      <c r="J22" s="78">
        <f t="shared" ref="J22:L22" si="19">SUM(J23:J28)</f>
        <v>1</v>
      </c>
      <c r="K22" s="78">
        <f t="shared" si="19"/>
        <v>25</v>
      </c>
      <c r="L22" s="78">
        <f t="shared" si="19"/>
        <v>14</v>
      </c>
      <c r="M22" s="80">
        <f>K22+L22</f>
        <v>39</v>
      </c>
      <c r="N22" s="3">
        <f>O22+P22+S22</f>
        <v>76</v>
      </c>
      <c r="O22" s="78">
        <f>SUM(O23:O28)</f>
        <v>35</v>
      </c>
      <c r="P22" s="78">
        <f t="shared" ref="P22:S22" si="20">SUM(P23:P28)</f>
        <v>0</v>
      </c>
      <c r="Q22" s="78">
        <f t="shared" si="20"/>
        <v>29</v>
      </c>
      <c r="R22" s="78">
        <f t="shared" si="20"/>
        <v>12</v>
      </c>
      <c r="S22" s="89">
        <f t="shared" si="20"/>
        <v>41</v>
      </c>
      <c r="T22" s="89"/>
      <c r="U22" s="138">
        <f>V22+W22+Z22</f>
        <v>68</v>
      </c>
      <c r="V22" s="78">
        <f>SUM(V23:V28)</f>
        <v>32</v>
      </c>
      <c r="W22" s="78">
        <f t="shared" ref="W22:Z22" si="21">SUM(W23:W28)</f>
        <v>0</v>
      </c>
      <c r="X22" s="78">
        <f t="shared" si="21"/>
        <v>27</v>
      </c>
      <c r="Y22" s="78">
        <f t="shared" si="21"/>
        <v>9</v>
      </c>
      <c r="Z22" s="89">
        <f t="shared" si="21"/>
        <v>36</v>
      </c>
      <c r="AA22" s="89"/>
      <c r="AB22" s="116" t="s">
        <v>93</v>
      </c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2"/>
      <c r="AR22" s="82"/>
    </row>
    <row r="23" spans="1:44" ht="18.75" customHeight="1">
      <c r="A23" s="144" t="s">
        <v>80</v>
      </c>
      <c r="B23" s="43">
        <f>C23+D23+G23</f>
        <v>22</v>
      </c>
      <c r="C23" s="90">
        <v>12</v>
      </c>
      <c r="D23" s="91">
        <v>0</v>
      </c>
      <c r="E23" s="90">
        <v>3</v>
      </c>
      <c r="F23" s="90">
        <v>7</v>
      </c>
      <c r="G23" s="42">
        <f>F23+E23</f>
        <v>10</v>
      </c>
      <c r="H23" s="73">
        <f>I23+J23+M23</f>
        <v>35</v>
      </c>
      <c r="I23" s="84">
        <v>6</v>
      </c>
      <c r="J23" s="89">
        <v>0</v>
      </c>
      <c r="K23" s="84">
        <v>20</v>
      </c>
      <c r="L23" s="84">
        <v>9</v>
      </c>
      <c r="M23" s="92">
        <f t="shared" si="11"/>
        <v>29</v>
      </c>
      <c r="N23" s="43">
        <f>O23+P23+S23</f>
        <v>27</v>
      </c>
      <c r="O23" s="90">
        <v>6</v>
      </c>
      <c r="P23" s="91">
        <v>0</v>
      </c>
      <c r="Q23" s="84">
        <v>18</v>
      </c>
      <c r="R23" s="84">
        <v>3</v>
      </c>
      <c r="S23" s="40">
        <f>Q23+R23</f>
        <v>21</v>
      </c>
      <c r="T23" s="40"/>
      <c r="U23" s="136">
        <f>V23+W23+Z23</f>
        <v>30</v>
      </c>
      <c r="V23" s="90">
        <v>18</v>
      </c>
      <c r="W23" s="91">
        <v>0</v>
      </c>
      <c r="X23" s="84">
        <v>7</v>
      </c>
      <c r="Y23" s="84">
        <v>5</v>
      </c>
      <c r="Z23" s="40">
        <f>X23+Y23</f>
        <v>12</v>
      </c>
      <c r="AA23" s="40"/>
      <c r="AB23" s="118" t="s">
        <v>81</v>
      </c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90"/>
      <c r="AO23" s="90"/>
      <c r="AP23" s="75"/>
      <c r="AQ23" s="93"/>
      <c r="AR23" s="93"/>
    </row>
    <row r="24" spans="1:44" ht="18.75" customHeight="1">
      <c r="A24" s="144" t="s">
        <v>82</v>
      </c>
      <c r="B24" s="43">
        <f t="shared" ref="B24:B28" si="22">C24+D24+G24</f>
        <v>25</v>
      </c>
      <c r="C24" s="90">
        <v>3</v>
      </c>
      <c r="D24" s="91">
        <v>0</v>
      </c>
      <c r="E24" s="90">
        <v>13</v>
      </c>
      <c r="F24" s="90">
        <v>9</v>
      </c>
      <c r="G24" s="42">
        <f>F24+E24</f>
        <v>22</v>
      </c>
      <c r="H24" s="73">
        <f t="shared" ref="H24:H28" si="23">I24+J24+M24</f>
        <v>11</v>
      </c>
      <c r="I24" s="84">
        <v>3</v>
      </c>
      <c r="J24" s="89">
        <v>0</v>
      </c>
      <c r="K24" s="84">
        <v>5</v>
      </c>
      <c r="L24" s="84">
        <v>3</v>
      </c>
      <c r="M24" s="92">
        <f t="shared" si="11"/>
        <v>8</v>
      </c>
      <c r="N24" s="43">
        <f t="shared" ref="N24:N28" si="24">O24+P24+S24</f>
        <v>23</v>
      </c>
      <c r="O24" s="90">
        <v>3</v>
      </c>
      <c r="P24" s="91">
        <v>0</v>
      </c>
      <c r="Q24" s="84">
        <v>11</v>
      </c>
      <c r="R24" s="84">
        <v>9</v>
      </c>
      <c r="S24" s="40">
        <f t="shared" ref="S24:S28" si="25">Q24+R24</f>
        <v>20</v>
      </c>
      <c r="T24" s="40"/>
      <c r="U24" s="136">
        <f t="shared" ref="U24:U28" si="26">V24+W24+Z24</f>
        <v>21</v>
      </c>
      <c r="V24" s="90">
        <v>1</v>
      </c>
      <c r="W24" s="91">
        <v>0</v>
      </c>
      <c r="X24" s="84">
        <v>17</v>
      </c>
      <c r="Y24" s="84">
        <v>3</v>
      </c>
      <c r="Z24" s="40">
        <f t="shared" ref="Z24:Z28" si="27">X24+Y24</f>
        <v>20</v>
      </c>
      <c r="AA24" s="40"/>
      <c r="AB24" s="118" t="s">
        <v>83</v>
      </c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90"/>
      <c r="AO24" s="90"/>
      <c r="AP24" s="75"/>
      <c r="AQ24" s="93"/>
      <c r="AR24" s="93"/>
    </row>
    <row r="25" spans="1:44" ht="18.75" customHeight="1">
      <c r="A25" s="144" t="s">
        <v>84</v>
      </c>
      <c r="B25" s="43">
        <f t="shared" si="22"/>
        <v>7</v>
      </c>
      <c r="C25" s="90">
        <v>7</v>
      </c>
      <c r="D25" s="91">
        <v>0</v>
      </c>
      <c r="E25" s="90">
        <v>1</v>
      </c>
      <c r="F25" s="94">
        <v>0</v>
      </c>
      <c r="G25" s="42">
        <v>0</v>
      </c>
      <c r="H25" s="73">
        <f t="shared" si="23"/>
        <v>4</v>
      </c>
      <c r="I25" s="84">
        <v>1</v>
      </c>
      <c r="J25" s="89">
        <v>1</v>
      </c>
      <c r="K25" s="84">
        <v>0</v>
      </c>
      <c r="L25" s="95">
        <v>2</v>
      </c>
      <c r="M25" s="92">
        <f t="shared" si="11"/>
        <v>2</v>
      </c>
      <c r="N25" s="43">
        <f t="shared" si="24"/>
        <v>18</v>
      </c>
      <c r="O25" s="90">
        <v>18</v>
      </c>
      <c r="P25" s="91">
        <v>0</v>
      </c>
      <c r="Q25" s="84">
        <v>0</v>
      </c>
      <c r="R25" s="95">
        <v>0</v>
      </c>
      <c r="S25" s="40">
        <f t="shared" si="25"/>
        <v>0</v>
      </c>
      <c r="T25" s="40"/>
      <c r="U25" s="136">
        <f t="shared" si="26"/>
        <v>3</v>
      </c>
      <c r="V25" s="90">
        <v>0</v>
      </c>
      <c r="W25" s="91">
        <v>0</v>
      </c>
      <c r="X25" s="84">
        <v>3</v>
      </c>
      <c r="Y25" s="95">
        <v>0</v>
      </c>
      <c r="Z25" s="40">
        <f t="shared" si="27"/>
        <v>3</v>
      </c>
      <c r="AA25" s="40"/>
      <c r="AB25" s="118" t="s">
        <v>85</v>
      </c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90"/>
      <c r="AO25" s="90"/>
      <c r="AP25" s="75"/>
      <c r="AQ25" s="93"/>
      <c r="AR25" s="96"/>
    </row>
    <row r="26" spans="1:44" ht="18.75" customHeight="1">
      <c r="A26" s="144" t="s">
        <v>86</v>
      </c>
      <c r="B26" s="43">
        <f t="shared" si="22"/>
        <v>0</v>
      </c>
      <c r="C26" s="90">
        <v>0</v>
      </c>
      <c r="D26" s="90">
        <v>0</v>
      </c>
      <c r="E26" s="90">
        <v>0</v>
      </c>
      <c r="F26" s="90">
        <v>0</v>
      </c>
      <c r="G26" s="42">
        <v>0</v>
      </c>
      <c r="H26" s="73">
        <f t="shared" si="23"/>
        <v>4</v>
      </c>
      <c r="I26" s="84">
        <v>4</v>
      </c>
      <c r="J26" s="84">
        <v>0</v>
      </c>
      <c r="K26" s="84">
        <v>0</v>
      </c>
      <c r="L26" s="84">
        <v>0</v>
      </c>
      <c r="M26" s="92">
        <f t="shared" si="11"/>
        <v>0</v>
      </c>
      <c r="N26" s="43">
        <f t="shared" si="24"/>
        <v>3</v>
      </c>
      <c r="O26" s="90">
        <v>3</v>
      </c>
      <c r="P26" s="90">
        <v>0</v>
      </c>
      <c r="Q26" s="84">
        <v>0</v>
      </c>
      <c r="R26" s="84">
        <v>0</v>
      </c>
      <c r="S26" s="40">
        <f t="shared" si="25"/>
        <v>0</v>
      </c>
      <c r="T26" s="40"/>
      <c r="U26" s="136">
        <f t="shared" si="26"/>
        <v>8</v>
      </c>
      <c r="V26" s="90">
        <v>7</v>
      </c>
      <c r="W26" s="90">
        <v>0</v>
      </c>
      <c r="X26" s="84">
        <v>0</v>
      </c>
      <c r="Y26" s="84">
        <v>1</v>
      </c>
      <c r="Z26" s="40">
        <f t="shared" si="27"/>
        <v>1</v>
      </c>
      <c r="AA26" s="40"/>
      <c r="AB26" s="118" t="s">
        <v>87</v>
      </c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90"/>
      <c r="AO26" s="90"/>
      <c r="AP26" s="75"/>
      <c r="AQ26" s="93"/>
      <c r="AR26" s="93"/>
    </row>
    <row r="27" spans="1:44" ht="18.75" customHeight="1">
      <c r="A27" s="144" t="s">
        <v>88</v>
      </c>
      <c r="B27" s="43">
        <f t="shared" si="22"/>
        <v>1</v>
      </c>
      <c r="C27" s="90">
        <v>1</v>
      </c>
      <c r="D27" s="90">
        <v>0</v>
      </c>
      <c r="E27" s="90">
        <v>0</v>
      </c>
      <c r="F27" s="90">
        <v>0</v>
      </c>
      <c r="G27" s="42">
        <v>0</v>
      </c>
      <c r="H27" s="73">
        <f t="shared" si="23"/>
        <v>0</v>
      </c>
      <c r="I27" s="84">
        <v>0</v>
      </c>
      <c r="J27" s="84">
        <v>0</v>
      </c>
      <c r="K27" s="84">
        <v>0</v>
      </c>
      <c r="L27" s="84">
        <v>0</v>
      </c>
      <c r="M27" s="92">
        <f t="shared" si="11"/>
        <v>0</v>
      </c>
      <c r="N27" s="43">
        <f t="shared" si="24"/>
        <v>2</v>
      </c>
      <c r="O27" s="90">
        <v>2</v>
      </c>
      <c r="P27" s="90">
        <v>0</v>
      </c>
      <c r="Q27" s="84">
        <v>0</v>
      </c>
      <c r="R27" s="84">
        <v>0</v>
      </c>
      <c r="S27" s="40">
        <f t="shared" si="25"/>
        <v>0</v>
      </c>
      <c r="T27" s="40"/>
      <c r="U27" s="136">
        <f t="shared" si="26"/>
        <v>0</v>
      </c>
      <c r="V27" s="90">
        <v>0</v>
      </c>
      <c r="W27" s="90">
        <v>0</v>
      </c>
      <c r="X27" s="84">
        <v>0</v>
      </c>
      <c r="Y27" s="84">
        <v>0</v>
      </c>
      <c r="Z27" s="40">
        <f t="shared" si="27"/>
        <v>0</v>
      </c>
      <c r="AA27" s="40"/>
      <c r="AB27" s="118" t="s">
        <v>89</v>
      </c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90"/>
      <c r="AO27" s="90"/>
      <c r="AP27" s="75"/>
      <c r="AQ27" s="93"/>
      <c r="AR27" s="93"/>
    </row>
    <row r="28" spans="1:44" ht="18.75" customHeight="1">
      <c r="A28" s="146" t="s">
        <v>90</v>
      </c>
      <c r="B28" s="97">
        <f t="shared" si="22"/>
        <v>3</v>
      </c>
      <c r="C28" s="98">
        <v>3</v>
      </c>
      <c r="D28" s="98">
        <v>0</v>
      </c>
      <c r="E28" s="98">
        <v>0</v>
      </c>
      <c r="F28" s="98">
        <v>0</v>
      </c>
      <c r="G28" s="41">
        <v>0</v>
      </c>
      <c r="H28" s="99">
        <f t="shared" si="23"/>
        <v>2</v>
      </c>
      <c r="I28" s="100">
        <v>2</v>
      </c>
      <c r="J28" s="100">
        <v>0</v>
      </c>
      <c r="K28" s="100">
        <v>0</v>
      </c>
      <c r="L28" s="100">
        <v>0</v>
      </c>
      <c r="M28" s="101">
        <f t="shared" si="11"/>
        <v>0</v>
      </c>
      <c r="N28" s="97">
        <f t="shared" si="24"/>
        <v>3</v>
      </c>
      <c r="O28" s="98">
        <v>3</v>
      </c>
      <c r="P28" s="98">
        <v>0</v>
      </c>
      <c r="Q28" s="100">
        <v>0</v>
      </c>
      <c r="R28" s="100">
        <v>0</v>
      </c>
      <c r="S28" s="100">
        <f t="shared" si="25"/>
        <v>0</v>
      </c>
      <c r="T28" s="100"/>
      <c r="U28" s="140">
        <f t="shared" si="26"/>
        <v>6</v>
      </c>
      <c r="V28" s="98">
        <v>6</v>
      </c>
      <c r="W28" s="98">
        <v>0</v>
      </c>
      <c r="X28" s="100">
        <v>0</v>
      </c>
      <c r="Y28" s="100">
        <v>0</v>
      </c>
      <c r="Z28" s="100">
        <f t="shared" si="27"/>
        <v>0</v>
      </c>
      <c r="AA28" s="100"/>
      <c r="AB28" s="119" t="s">
        <v>91</v>
      </c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90"/>
      <c r="AO28" s="90"/>
      <c r="AP28" s="75"/>
      <c r="AQ28" s="93"/>
      <c r="AR28" s="93"/>
    </row>
    <row r="29" spans="1:44" ht="18.75" customHeight="1">
      <c r="A29" s="102" t="s">
        <v>67</v>
      </c>
      <c r="B29" s="103"/>
      <c r="C29" s="103"/>
      <c r="D29" s="103"/>
      <c r="E29" s="103"/>
      <c r="F29" s="104"/>
      <c r="G29" s="47"/>
      <c r="H29" s="103"/>
      <c r="I29" s="105"/>
      <c r="J29" s="105"/>
      <c r="K29" s="105"/>
      <c r="L29" s="106"/>
      <c r="M29" s="47"/>
      <c r="N29" s="103"/>
      <c r="O29" s="103"/>
      <c r="P29" s="103"/>
      <c r="Q29" s="105"/>
      <c r="R29" s="106"/>
      <c r="S29" s="107"/>
      <c r="T29" s="107"/>
      <c r="U29" s="103"/>
      <c r="V29" s="103"/>
      <c r="W29" s="103"/>
      <c r="X29" s="105"/>
      <c r="Y29" s="106"/>
      <c r="Z29" s="107"/>
      <c r="AA29" s="107"/>
      <c r="AB29" s="108" t="s">
        <v>68</v>
      </c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6"/>
      <c r="AR29" s="46"/>
    </row>
    <row r="30" spans="1:44">
      <c r="B30" s="103"/>
      <c r="C30" s="103"/>
      <c r="D30" s="103"/>
      <c r="E30" s="103"/>
      <c r="G30" s="47"/>
      <c r="H30" s="103"/>
      <c r="I30" s="105"/>
      <c r="J30" s="105"/>
      <c r="K30" s="105"/>
      <c r="M30" s="47"/>
      <c r="N30" s="103"/>
      <c r="O30" s="103"/>
      <c r="P30" s="103"/>
      <c r="Q30" s="105"/>
      <c r="S30" s="107"/>
      <c r="T30" s="107"/>
      <c r="U30" s="103"/>
      <c r="V30" s="103"/>
      <c r="W30" s="103"/>
      <c r="X30" s="105"/>
      <c r="Z30" s="107"/>
      <c r="AA30" s="107"/>
    </row>
    <row r="31" spans="1:44">
      <c r="A31" s="109"/>
      <c r="F31" s="49"/>
      <c r="G31" s="49"/>
      <c r="I31" s="49"/>
      <c r="J31" s="49"/>
      <c r="K31" s="49"/>
      <c r="L31" s="49"/>
      <c r="M31" s="49"/>
      <c r="Q31" s="49"/>
      <c r="R31" s="49"/>
      <c r="S31" s="49"/>
      <c r="T31" s="49"/>
      <c r="X31" s="49"/>
      <c r="Y31" s="49"/>
      <c r="Z31" s="49"/>
      <c r="AA31" s="49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</row>
    <row r="32" spans="1:44">
      <c r="A32" s="109"/>
      <c r="F32" s="49"/>
      <c r="G32" s="49"/>
      <c r="I32" s="49"/>
      <c r="J32" s="49"/>
      <c r="K32" s="49"/>
      <c r="L32" s="49"/>
      <c r="M32" s="49"/>
      <c r="Q32" s="49"/>
      <c r="R32" s="49"/>
      <c r="S32" s="49"/>
      <c r="T32" s="49"/>
      <c r="X32" s="49"/>
      <c r="Y32" s="49"/>
      <c r="Z32" s="49"/>
      <c r="AA32" s="49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46"/>
    </row>
    <row r="33" spans="1:47">
      <c r="A33" s="109"/>
      <c r="F33" s="49"/>
      <c r="G33" s="49"/>
      <c r="I33" s="49"/>
      <c r="J33" s="49"/>
      <c r="K33" s="49"/>
      <c r="L33" s="49"/>
      <c r="M33" s="49"/>
      <c r="Q33" s="49"/>
      <c r="R33" s="49"/>
      <c r="S33" s="49"/>
      <c r="T33" s="49"/>
      <c r="X33" s="49"/>
      <c r="Y33" s="49"/>
      <c r="Z33" s="49"/>
      <c r="AA33" s="49"/>
    </row>
    <row r="34" spans="1:47">
      <c r="A34" s="109"/>
      <c r="F34" s="49"/>
      <c r="G34" s="49"/>
      <c r="I34" s="49"/>
      <c r="J34" s="49"/>
      <c r="K34" s="49"/>
      <c r="L34" s="49"/>
      <c r="M34" s="49"/>
      <c r="Q34" s="49"/>
      <c r="R34" s="49"/>
      <c r="S34" s="49"/>
      <c r="T34" s="49"/>
      <c r="X34" s="49"/>
      <c r="Y34" s="49"/>
      <c r="Z34" s="49"/>
      <c r="AA34" s="49"/>
      <c r="AQ34" s="49" t="s">
        <v>72</v>
      </c>
      <c r="AR34" s="49" t="s">
        <v>73</v>
      </c>
      <c r="AS34" s="49" t="s">
        <v>74</v>
      </c>
    </row>
    <row r="35" spans="1:47">
      <c r="A35" s="109"/>
      <c r="F35" s="49"/>
      <c r="G35" s="49"/>
      <c r="I35" s="49"/>
      <c r="J35" s="49"/>
      <c r="K35" s="49"/>
      <c r="L35" s="49"/>
      <c r="M35" s="49"/>
      <c r="Q35" s="49"/>
      <c r="R35" s="49"/>
      <c r="S35" s="49"/>
      <c r="T35" s="49"/>
      <c r="X35" s="49"/>
      <c r="Y35" s="49"/>
      <c r="Z35" s="49"/>
      <c r="AA35" s="49"/>
      <c r="AP35" s="49">
        <v>2014</v>
      </c>
      <c r="AQ35" s="49">
        <f>C8</f>
        <v>278</v>
      </c>
      <c r="AR35" s="49">
        <f>D8</f>
        <v>24</v>
      </c>
      <c r="AS35" s="49">
        <f>G8</f>
        <v>99</v>
      </c>
    </row>
    <row r="36" spans="1:47">
      <c r="F36" s="49"/>
      <c r="G36" s="49"/>
      <c r="I36" s="49"/>
      <c r="J36" s="49"/>
      <c r="K36" s="49"/>
      <c r="L36" s="49"/>
      <c r="M36" s="49"/>
      <c r="Q36" s="49"/>
      <c r="R36" s="49"/>
      <c r="S36" s="49"/>
      <c r="T36" s="49"/>
      <c r="X36" s="49"/>
      <c r="Y36" s="49"/>
      <c r="Z36" s="49"/>
      <c r="AA36" s="49"/>
      <c r="AP36" s="49">
        <v>2015</v>
      </c>
      <c r="AQ36" s="49">
        <f>I8</f>
        <v>257</v>
      </c>
      <c r="AR36" s="49">
        <f>J8</f>
        <v>8</v>
      </c>
      <c r="AS36" s="49">
        <f>M8</f>
        <v>93</v>
      </c>
    </row>
    <row r="37" spans="1:47">
      <c r="F37" s="49"/>
      <c r="G37" s="49"/>
      <c r="I37" s="49"/>
      <c r="J37" s="49"/>
      <c r="K37" s="49"/>
      <c r="L37" s="49"/>
      <c r="M37" s="49"/>
      <c r="Q37" s="49"/>
      <c r="R37" s="49"/>
      <c r="S37" s="49"/>
      <c r="T37" s="49"/>
      <c r="X37" s="49"/>
      <c r="Y37" s="49"/>
      <c r="Z37" s="49"/>
      <c r="AA37" s="49"/>
      <c r="AP37" s="49">
        <v>2016</v>
      </c>
      <c r="AQ37" s="49">
        <f>O8</f>
        <v>742</v>
      </c>
      <c r="AR37" s="49">
        <f>P8</f>
        <v>5</v>
      </c>
      <c r="AS37" s="49">
        <f>S8</f>
        <v>81</v>
      </c>
    </row>
    <row r="38" spans="1:47">
      <c r="Q38" s="49"/>
      <c r="R38" s="49"/>
      <c r="X38" s="49"/>
      <c r="Y38" s="49"/>
      <c r="AP38" s="49">
        <v>2017</v>
      </c>
      <c r="AQ38" s="49">
        <f>V8</f>
        <v>893</v>
      </c>
      <c r="AR38" s="49">
        <f>W8</f>
        <v>2</v>
      </c>
      <c r="AS38" s="49">
        <f>Z8</f>
        <v>229</v>
      </c>
    </row>
    <row r="39" spans="1:47">
      <c r="AR39" s="83"/>
      <c r="AS39" s="45"/>
    </row>
    <row r="45" spans="1:47">
      <c r="AP45" s="48"/>
      <c r="AQ45" s="48" t="s">
        <v>3</v>
      </c>
      <c r="AR45" s="48" t="s">
        <v>4</v>
      </c>
    </row>
    <row r="46" spans="1:47">
      <c r="AP46" s="49" t="s">
        <v>80</v>
      </c>
      <c r="AQ46" s="49">
        <f>U16</f>
        <v>720</v>
      </c>
      <c r="AR46" s="49">
        <f>U23</f>
        <v>30</v>
      </c>
      <c r="AS46" s="49">
        <f>SUM(AQ46:AR46)</f>
        <v>750</v>
      </c>
      <c r="AT46" s="152">
        <f>AQ46/AS46*100</f>
        <v>96</v>
      </c>
      <c r="AU46" s="152">
        <f>AR46/AS46*100</f>
        <v>4</v>
      </c>
    </row>
    <row r="47" spans="1:47">
      <c r="AP47" s="49" t="s">
        <v>82</v>
      </c>
      <c r="AQ47" s="49">
        <f t="shared" ref="AQ47:AQ51" si="28">U17</f>
        <v>96</v>
      </c>
      <c r="AR47" s="49">
        <f t="shared" ref="AR47:AR51" si="29">U24</f>
        <v>21</v>
      </c>
      <c r="AS47" s="49">
        <f t="shared" ref="AS47:AS51" si="30">SUM(AQ47:AR47)</f>
        <v>117</v>
      </c>
      <c r="AT47" s="152">
        <f t="shared" ref="AT47:AT51" si="31">AQ47/AS47*100</f>
        <v>82.051282051282044</v>
      </c>
      <c r="AU47" s="152">
        <f t="shared" ref="AU47:AU51" si="32">AR47/AS47*100</f>
        <v>17.948717948717949</v>
      </c>
    </row>
    <row r="48" spans="1:47">
      <c r="AP48" s="49" t="s">
        <v>84</v>
      </c>
      <c r="AQ48" s="49">
        <f t="shared" si="28"/>
        <v>19</v>
      </c>
      <c r="AR48" s="49">
        <f t="shared" si="29"/>
        <v>3</v>
      </c>
      <c r="AS48" s="49">
        <f t="shared" si="30"/>
        <v>22</v>
      </c>
      <c r="AT48" s="152">
        <f t="shared" si="31"/>
        <v>86.36363636363636</v>
      </c>
      <c r="AU48" s="152">
        <f t="shared" si="32"/>
        <v>13.636363636363635</v>
      </c>
    </row>
    <row r="49" spans="6:47">
      <c r="F49" s="49"/>
      <c r="G49" s="49"/>
      <c r="I49" s="49"/>
      <c r="J49" s="49"/>
      <c r="K49" s="49"/>
      <c r="L49" s="49"/>
      <c r="M49" s="49"/>
      <c r="Q49" s="49"/>
      <c r="R49" s="49"/>
      <c r="S49" s="49"/>
      <c r="T49" s="49"/>
      <c r="X49" s="49"/>
      <c r="Y49" s="49"/>
      <c r="Z49" s="49"/>
      <c r="AA49" s="49"/>
      <c r="AP49" s="49" t="s">
        <v>86</v>
      </c>
      <c r="AQ49" s="49">
        <f t="shared" si="28"/>
        <v>142</v>
      </c>
      <c r="AR49" s="49">
        <f t="shared" si="29"/>
        <v>8</v>
      </c>
      <c r="AS49" s="49">
        <f t="shared" si="30"/>
        <v>150</v>
      </c>
      <c r="AT49" s="152">
        <f t="shared" si="31"/>
        <v>94.666666666666671</v>
      </c>
      <c r="AU49" s="152">
        <f t="shared" si="32"/>
        <v>5.3333333333333339</v>
      </c>
    </row>
    <row r="50" spans="6:47">
      <c r="F50" s="49"/>
      <c r="G50" s="49"/>
      <c r="I50" s="49"/>
      <c r="J50" s="49"/>
      <c r="K50" s="49"/>
      <c r="L50" s="49"/>
      <c r="M50" s="49"/>
      <c r="Q50" s="49"/>
      <c r="R50" s="49"/>
      <c r="S50" s="49"/>
      <c r="T50" s="49"/>
      <c r="X50" s="49"/>
      <c r="Y50" s="49"/>
      <c r="Z50" s="49"/>
      <c r="AA50" s="49"/>
      <c r="AP50" s="49" t="s">
        <v>88</v>
      </c>
      <c r="AQ50" s="49">
        <f t="shared" si="28"/>
        <v>4</v>
      </c>
      <c r="AR50" s="49">
        <f t="shared" si="29"/>
        <v>0</v>
      </c>
      <c r="AS50" s="49">
        <f t="shared" si="30"/>
        <v>4</v>
      </c>
      <c r="AT50" s="152">
        <f t="shared" si="31"/>
        <v>100</v>
      </c>
      <c r="AU50" s="152">
        <f t="shared" si="32"/>
        <v>0</v>
      </c>
    </row>
    <row r="51" spans="6:47">
      <c r="F51" s="49"/>
      <c r="G51" s="49"/>
      <c r="I51" s="49"/>
      <c r="J51" s="49"/>
      <c r="K51" s="49"/>
      <c r="L51" s="49"/>
      <c r="M51" s="49"/>
      <c r="Q51" s="49"/>
      <c r="R51" s="49"/>
      <c r="S51" s="49"/>
      <c r="T51" s="49"/>
      <c r="X51" s="49"/>
      <c r="Y51" s="49"/>
      <c r="Z51" s="49"/>
      <c r="AA51" s="49"/>
      <c r="AP51" s="49" t="s">
        <v>90</v>
      </c>
      <c r="AQ51" s="49">
        <f t="shared" si="28"/>
        <v>75</v>
      </c>
      <c r="AR51" s="49">
        <f t="shared" si="29"/>
        <v>6</v>
      </c>
      <c r="AS51" s="49">
        <f t="shared" si="30"/>
        <v>81</v>
      </c>
      <c r="AT51" s="152">
        <f t="shared" si="31"/>
        <v>92.592592592592595</v>
      </c>
      <c r="AU51" s="152">
        <f t="shared" si="32"/>
        <v>7.4074074074074066</v>
      </c>
    </row>
    <row r="52" spans="6:47">
      <c r="F52" s="49"/>
      <c r="G52" s="49"/>
      <c r="I52" s="49"/>
      <c r="J52" s="49"/>
      <c r="K52" s="49"/>
      <c r="L52" s="49"/>
      <c r="M52" s="49"/>
      <c r="Q52" s="49"/>
      <c r="R52" s="49"/>
      <c r="S52" s="49"/>
      <c r="T52" s="49"/>
      <c r="X52" s="49"/>
      <c r="Y52" s="49"/>
      <c r="Z52" s="49"/>
      <c r="AA52" s="49"/>
    </row>
    <row r="53" spans="6:47">
      <c r="F53" s="49"/>
      <c r="G53" s="49"/>
      <c r="I53" s="49"/>
      <c r="J53" s="49"/>
      <c r="K53" s="49"/>
      <c r="L53" s="49"/>
      <c r="M53" s="49"/>
      <c r="Q53" s="49"/>
      <c r="R53" s="49"/>
      <c r="S53" s="49"/>
      <c r="T53" s="49"/>
      <c r="X53" s="49"/>
      <c r="Y53" s="49"/>
      <c r="Z53" s="49"/>
      <c r="AA53" s="49"/>
    </row>
    <row r="54" spans="6:47">
      <c r="F54" s="49"/>
      <c r="G54" s="49"/>
      <c r="I54" s="49"/>
      <c r="J54" s="49"/>
      <c r="K54" s="49"/>
      <c r="L54" s="49"/>
      <c r="M54" s="49"/>
      <c r="Q54" s="49"/>
      <c r="R54" s="49"/>
      <c r="S54" s="49"/>
      <c r="T54" s="49"/>
      <c r="X54" s="49"/>
      <c r="Y54" s="49"/>
      <c r="Z54" s="49"/>
      <c r="AA54" s="49"/>
    </row>
    <row r="55" spans="6:47">
      <c r="F55" s="49"/>
      <c r="G55" s="49"/>
      <c r="I55" s="49"/>
      <c r="J55" s="49"/>
      <c r="K55" s="49"/>
      <c r="L55" s="49"/>
      <c r="M55" s="49"/>
      <c r="Q55" s="49"/>
      <c r="R55" s="49"/>
      <c r="S55" s="49"/>
      <c r="T55" s="49"/>
      <c r="X55" s="49"/>
      <c r="Y55" s="49"/>
      <c r="Z55" s="49"/>
      <c r="AA55" s="49"/>
    </row>
    <row r="56" spans="6:47">
      <c r="F56" s="49"/>
      <c r="G56" s="49"/>
      <c r="I56" s="49"/>
      <c r="J56" s="49"/>
      <c r="K56" s="49"/>
      <c r="L56" s="49"/>
      <c r="M56" s="49"/>
      <c r="Q56" s="49"/>
      <c r="R56" s="49"/>
      <c r="S56" s="49"/>
      <c r="T56" s="49"/>
      <c r="X56" s="49"/>
      <c r="Y56" s="49"/>
      <c r="Z56" s="49"/>
      <c r="AA56" s="49"/>
    </row>
    <row r="57" spans="6:47">
      <c r="F57" s="49"/>
      <c r="G57" s="49"/>
      <c r="I57" s="49"/>
      <c r="J57" s="49"/>
      <c r="K57" s="49"/>
      <c r="L57" s="49"/>
      <c r="M57" s="49"/>
      <c r="Q57" s="49"/>
      <c r="R57" s="49"/>
      <c r="S57" s="49"/>
      <c r="T57" s="49"/>
      <c r="X57" s="49"/>
      <c r="Y57" s="49"/>
      <c r="Z57" s="49"/>
      <c r="AA57" s="49"/>
    </row>
    <row r="58" spans="6:47">
      <c r="F58" s="49"/>
      <c r="G58" s="49"/>
      <c r="I58" s="49"/>
      <c r="J58" s="49"/>
      <c r="K58" s="49"/>
      <c r="L58" s="49"/>
      <c r="M58" s="49"/>
      <c r="Q58" s="49"/>
      <c r="R58" s="49"/>
      <c r="S58" s="49"/>
      <c r="T58" s="49"/>
      <c r="X58" s="49"/>
      <c r="Y58" s="49"/>
      <c r="Z58" s="49"/>
      <c r="AA58" s="49"/>
    </row>
    <row r="59" spans="6:47">
      <c r="F59" s="49"/>
      <c r="G59" s="49"/>
      <c r="I59" s="49"/>
      <c r="J59" s="49"/>
      <c r="K59" s="49"/>
      <c r="L59" s="49"/>
      <c r="M59" s="49"/>
      <c r="Q59" s="49"/>
      <c r="R59" s="49"/>
      <c r="S59" s="49"/>
      <c r="T59" s="49"/>
      <c r="X59" s="49"/>
      <c r="Y59" s="49"/>
      <c r="Z59" s="49"/>
      <c r="AA59" s="49"/>
      <c r="AQ59" s="49">
        <v>2014</v>
      </c>
      <c r="AR59" s="49">
        <v>2015</v>
      </c>
      <c r="AS59" s="49">
        <v>2016</v>
      </c>
      <c r="AT59" s="49">
        <v>2017</v>
      </c>
    </row>
    <row r="60" spans="6:47">
      <c r="F60" s="49"/>
      <c r="G60" s="49"/>
      <c r="I60" s="49"/>
      <c r="J60" s="49"/>
      <c r="K60" s="49"/>
      <c r="L60" s="49"/>
      <c r="M60" s="49"/>
      <c r="Q60" s="49"/>
      <c r="R60" s="49"/>
      <c r="S60" s="49"/>
      <c r="T60" s="49"/>
      <c r="X60" s="49"/>
      <c r="Y60" s="49"/>
      <c r="Z60" s="49"/>
      <c r="AA60" s="49"/>
      <c r="AP60" s="49" t="s">
        <v>80</v>
      </c>
      <c r="AQ60" s="49">
        <v>93</v>
      </c>
      <c r="AR60" s="49">
        <v>92</v>
      </c>
      <c r="AS60" s="49">
        <v>79</v>
      </c>
      <c r="AT60" s="49">
        <f>U9</f>
        <v>750</v>
      </c>
    </row>
    <row r="61" spans="6:47">
      <c r="F61" s="49"/>
      <c r="G61" s="49"/>
      <c r="I61" s="49"/>
      <c r="J61" s="49"/>
      <c r="K61" s="49"/>
      <c r="L61" s="49"/>
      <c r="M61" s="49"/>
      <c r="Q61" s="49"/>
      <c r="R61" s="49"/>
      <c r="S61" s="49"/>
      <c r="T61" s="49"/>
      <c r="X61" s="49"/>
      <c r="Y61" s="49"/>
      <c r="Z61" s="49"/>
      <c r="AA61" s="49"/>
      <c r="AP61" s="49" t="s">
        <v>82</v>
      </c>
      <c r="AQ61" s="49">
        <v>98</v>
      </c>
      <c r="AR61" s="49">
        <v>51</v>
      </c>
      <c r="AS61" s="49">
        <v>60</v>
      </c>
      <c r="AT61" s="49">
        <f t="shared" ref="AT61:AT65" si="33">U10</f>
        <v>117</v>
      </c>
    </row>
    <row r="62" spans="6:47">
      <c r="F62" s="49"/>
      <c r="G62" s="49"/>
      <c r="I62" s="49"/>
      <c r="J62" s="49"/>
      <c r="K62" s="49"/>
      <c r="L62" s="49"/>
      <c r="M62" s="49"/>
      <c r="Q62" s="49"/>
      <c r="R62" s="49"/>
      <c r="S62" s="49"/>
      <c r="T62" s="49"/>
      <c r="X62" s="49"/>
      <c r="Y62" s="49"/>
      <c r="Z62" s="49"/>
      <c r="AA62" s="49"/>
      <c r="AP62" s="49" t="s">
        <v>84</v>
      </c>
      <c r="AQ62" s="49">
        <v>94</v>
      </c>
      <c r="AR62" s="49">
        <v>66</v>
      </c>
      <c r="AS62" s="49">
        <v>162</v>
      </c>
      <c r="AT62" s="49">
        <f t="shared" si="33"/>
        <v>22</v>
      </c>
    </row>
    <row r="63" spans="6:47">
      <c r="F63" s="49"/>
      <c r="G63" s="49"/>
      <c r="I63" s="49"/>
      <c r="J63" s="49"/>
      <c r="K63" s="49"/>
      <c r="L63" s="49"/>
      <c r="M63" s="49"/>
      <c r="Q63" s="49"/>
      <c r="R63" s="49"/>
      <c r="S63" s="49"/>
      <c r="T63" s="49"/>
      <c r="X63" s="49"/>
      <c r="Y63" s="49"/>
      <c r="Z63" s="49"/>
      <c r="AA63" s="49"/>
      <c r="AP63" s="49" t="s">
        <v>86</v>
      </c>
      <c r="AQ63" s="49">
        <v>25</v>
      </c>
      <c r="AR63" s="49">
        <v>87</v>
      </c>
      <c r="AS63" s="49">
        <v>188</v>
      </c>
      <c r="AT63" s="49">
        <f t="shared" si="33"/>
        <v>150</v>
      </c>
    </row>
    <row r="64" spans="6:47">
      <c r="F64" s="49"/>
      <c r="G64" s="49"/>
      <c r="I64" s="49"/>
      <c r="J64" s="49"/>
      <c r="K64" s="49"/>
      <c r="L64" s="49"/>
      <c r="M64" s="49"/>
      <c r="Q64" s="49"/>
      <c r="R64" s="49"/>
      <c r="S64" s="49"/>
      <c r="T64" s="49"/>
      <c r="X64" s="49"/>
      <c r="Y64" s="49"/>
      <c r="Z64" s="49"/>
      <c r="AA64" s="49"/>
      <c r="AP64" s="49" t="s">
        <v>88</v>
      </c>
      <c r="AQ64" s="49">
        <v>56</v>
      </c>
      <c r="AR64" s="49">
        <v>47</v>
      </c>
      <c r="AS64" s="49">
        <v>100</v>
      </c>
      <c r="AT64" s="49">
        <f t="shared" si="33"/>
        <v>4</v>
      </c>
    </row>
    <row r="65" spans="1:46">
      <c r="F65" s="49"/>
      <c r="G65" s="49"/>
      <c r="I65" s="49"/>
      <c r="J65" s="49"/>
      <c r="K65" s="49"/>
      <c r="L65" s="49"/>
      <c r="M65" s="49"/>
      <c r="Q65" s="49"/>
      <c r="R65" s="49"/>
      <c r="S65" s="49"/>
      <c r="T65" s="49"/>
      <c r="X65" s="49"/>
      <c r="Y65" s="49"/>
      <c r="Z65" s="49"/>
      <c r="AA65" s="49"/>
      <c r="AP65" s="49" t="s">
        <v>90</v>
      </c>
      <c r="AQ65" s="49">
        <v>34</v>
      </c>
      <c r="AR65" s="49">
        <v>15</v>
      </c>
      <c r="AS65" s="49">
        <v>239</v>
      </c>
      <c r="AT65" s="49">
        <f t="shared" si="33"/>
        <v>81</v>
      </c>
    </row>
    <row r="66" spans="1:46">
      <c r="F66" s="49"/>
      <c r="G66" s="49"/>
      <c r="I66" s="49"/>
      <c r="J66" s="49"/>
      <c r="K66" s="49"/>
      <c r="L66" s="49"/>
      <c r="M66" s="49"/>
      <c r="Q66" s="49"/>
      <c r="R66" s="49"/>
      <c r="S66" s="49"/>
      <c r="T66" s="49"/>
      <c r="X66" s="49"/>
      <c r="Y66" s="49"/>
      <c r="Z66" s="49"/>
      <c r="AA66" s="49"/>
    </row>
    <row r="67" spans="1:46">
      <c r="F67" s="49"/>
      <c r="G67" s="49"/>
      <c r="I67" s="49"/>
      <c r="J67" s="49"/>
      <c r="K67" s="49"/>
      <c r="L67" s="49"/>
      <c r="M67" s="49"/>
      <c r="Q67" s="49"/>
      <c r="R67" s="49"/>
      <c r="S67" s="49"/>
      <c r="T67" s="49"/>
      <c r="X67" s="49"/>
      <c r="Y67" s="49"/>
      <c r="Z67" s="49"/>
      <c r="AA67" s="49"/>
    </row>
    <row r="68" spans="1:46">
      <c r="F68" s="49"/>
      <c r="G68" s="49"/>
      <c r="I68" s="49"/>
      <c r="J68" s="49"/>
      <c r="K68" s="49"/>
      <c r="L68" s="49"/>
      <c r="M68" s="49"/>
      <c r="Q68" s="49"/>
      <c r="X68" s="49"/>
    </row>
    <row r="69" spans="1:46">
      <c r="F69" s="49"/>
      <c r="G69" s="49"/>
      <c r="I69" s="49"/>
      <c r="J69" s="49"/>
      <c r="K69" s="49"/>
      <c r="L69" s="49"/>
      <c r="M69" s="49"/>
      <c r="Q69" s="49"/>
      <c r="X69" s="49"/>
      <c r="AP69" s="49" t="s">
        <v>80</v>
      </c>
      <c r="AQ69" s="49">
        <v>79</v>
      </c>
    </row>
    <row r="70" spans="1:46">
      <c r="A70" s="46"/>
      <c r="B70" s="46"/>
      <c r="C70" s="46"/>
      <c r="D70" s="46"/>
      <c r="F70" s="49"/>
      <c r="G70" s="49"/>
      <c r="I70" s="49"/>
      <c r="J70" s="49"/>
      <c r="K70" s="49"/>
      <c r="L70" s="49"/>
      <c r="M70" s="49"/>
      <c r="Q70" s="49"/>
      <c r="X70" s="49"/>
      <c r="AP70" s="49" t="s">
        <v>82</v>
      </c>
      <c r="AQ70" s="49">
        <v>60</v>
      </c>
    </row>
    <row r="71" spans="1:46">
      <c r="A71" s="46"/>
      <c r="B71" s="46"/>
      <c r="C71" s="46"/>
      <c r="D71" s="46"/>
      <c r="F71" s="49"/>
      <c r="G71" s="49"/>
      <c r="I71" s="49"/>
      <c r="J71" s="49"/>
      <c r="K71" s="49"/>
      <c r="L71" s="49"/>
      <c r="M71" s="49"/>
      <c r="Q71" s="49"/>
      <c r="X71" s="49"/>
      <c r="AP71" s="49" t="s">
        <v>84</v>
      </c>
      <c r="AQ71" s="49">
        <v>162</v>
      </c>
    </row>
    <row r="72" spans="1:46">
      <c r="A72" s="111"/>
      <c r="B72" s="46"/>
      <c r="C72" s="46"/>
      <c r="D72" s="46"/>
      <c r="F72" s="49"/>
      <c r="G72" s="49"/>
      <c r="I72" s="49"/>
      <c r="J72" s="49"/>
      <c r="K72" s="49"/>
      <c r="L72" s="49"/>
      <c r="M72" s="49"/>
      <c r="Q72" s="49"/>
      <c r="R72" s="49"/>
      <c r="S72" s="49"/>
      <c r="T72" s="49"/>
      <c r="X72" s="49"/>
      <c r="Y72" s="49"/>
      <c r="Z72" s="49"/>
      <c r="AA72" s="49"/>
      <c r="AP72" s="49" t="s">
        <v>86</v>
      </c>
      <c r="AQ72" s="49">
        <v>188</v>
      </c>
    </row>
    <row r="73" spans="1:46">
      <c r="A73" s="112"/>
      <c r="B73" s="46"/>
      <c r="C73" s="46"/>
      <c r="D73" s="46"/>
      <c r="F73" s="49"/>
      <c r="G73" s="49"/>
      <c r="I73" s="49"/>
      <c r="J73" s="49"/>
      <c r="K73" s="49"/>
      <c r="L73" s="49"/>
      <c r="M73" s="49"/>
      <c r="Q73" s="49"/>
      <c r="R73" s="49"/>
      <c r="S73" s="49"/>
      <c r="T73" s="49"/>
      <c r="X73" s="49"/>
      <c r="Y73" s="49"/>
      <c r="Z73" s="49"/>
      <c r="AA73" s="49"/>
      <c r="AP73" s="49" t="s">
        <v>88</v>
      </c>
      <c r="AQ73" s="49">
        <v>100</v>
      </c>
    </row>
    <row r="74" spans="1:46">
      <c r="A74" s="112"/>
      <c r="B74" s="46"/>
      <c r="C74" s="46"/>
      <c r="D74" s="46"/>
      <c r="F74" s="49"/>
      <c r="G74" s="49"/>
      <c r="I74" s="49"/>
      <c r="J74" s="49"/>
      <c r="K74" s="49"/>
      <c r="L74" s="49"/>
      <c r="M74" s="49"/>
      <c r="Q74" s="49"/>
      <c r="R74" s="49"/>
      <c r="S74" s="49"/>
      <c r="T74" s="49"/>
      <c r="X74" s="49"/>
      <c r="Y74" s="49"/>
      <c r="Z74" s="49"/>
      <c r="AA74" s="49"/>
      <c r="AP74" s="49" t="s">
        <v>90</v>
      </c>
      <c r="AQ74" s="49">
        <v>239</v>
      </c>
    </row>
    <row r="75" spans="1:46">
      <c r="A75" s="113"/>
      <c r="B75" s="46"/>
      <c r="C75" s="46"/>
      <c r="D75" s="46"/>
      <c r="F75" s="49"/>
      <c r="G75" s="49"/>
      <c r="I75" s="49"/>
      <c r="J75" s="49"/>
      <c r="K75" s="49"/>
      <c r="L75" s="49"/>
      <c r="M75" s="49"/>
      <c r="Q75" s="49"/>
      <c r="R75" s="49"/>
      <c r="S75" s="49"/>
      <c r="T75" s="49"/>
      <c r="X75" s="49"/>
      <c r="Y75" s="49"/>
      <c r="Z75" s="49"/>
      <c r="AA75" s="49"/>
    </row>
    <row r="76" spans="1:46">
      <c r="A76" s="114"/>
      <c r="B76" s="46"/>
      <c r="C76" s="46"/>
      <c r="D76" s="46"/>
      <c r="F76" s="49"/>
      <c r="G76" s="49"/>
      <c r="I76" s="49"/>
      <c r="J76" s="49"/>
      <c r="K76" s="49"/>
      <c r="L76" s="49"/>
      <c r="M76" s="49"/>
      <c r="Q76" s="49"/>
      <c r="R76" s="49"/>
      <c r="S76" s="49"/>
      <c r="T76" s="49"/>
      <c r="X76" s="49"/>
      <c r="Y76" s="49"/>
      <c r="Z76" s="49"/>
      <c r="AA76" s="49"/>
    </row>
    <row r="77" spans="1:46">
      <c r="A77" s="114"/>
      <c r="B77" s="46"/>
      <c r="C77" s="46"/>
      <c r="D77" s="46"/>
      <c r="F77" s="49"/>
      <c r="G77" s="49"/>
      <c r="I77" s="49"/>
      <c r="J77" s="49"/>
      <c r="K77" s="49"/>
      <c r="L77" s="49"/>
      <c r="M77" s="49"/>
      <c r="Q77" s="49"/>
      <c r="R77" s="49"/>
      <c r="S77" s="49"/>
      <c r="T77" s="49"/>
      <c r="X77" s="49"/>
      <c r="Y77" s="49"/>
      <c r="Z77" s="49"/>
      <c r="AA77" s="49"/>
    </row>
    <row r="78" spans="1:46">
      <c r="A78" s="114"/>
      <c r="B78" s="46"/>
      <c r="C78" s="46"/>
      <c r="D78" s="46"/>
      <c r="F78" s="49"/>
      <c r="G78" s="49"/>
      <c r="I78" s="49"/>
      <c r="J78" s="49"/>
      <c r="K78" s="49"/>
      <c r="L78" s="49"/>
      <c r="M78" s="49"/>
      <c r="Q78" s="49"/>
      <c r="R78" s="49"/>
      <c r="S78" s="49"/>
      <c r="T78" s="49"/>
      <c r="X78" s="49"/>
      <c r="Y78" s="49"/>
      <c r="Z78" s="49"/>
      <c r="AA78" s="49"/>
    </row>
    <row r="79" spans="1:46">
      <c r="A79" s="114"/>
      <c r="B79" s="46"/>
      <c r="C79" s="46"/>
      <c r="D79" s="46"/>
      <c r="F79" s="49"/>
      <c r="G79" s="49"/>
      <c r="I79" s="49"/>
      <c r="J79" s="49"/>
      <c r="K79" s="49"/>
      <c r="L79" s="49"/>
      <c r="M79" s="49"/>
      <c r="Q79" s="49"/>
      <c r="R79" s="49"/>
      <c r="S79" s="49"/>
      <c r="T79" s="49"/>
      <c r="X79" s="49"/>
      <c r="Y79" s="49"/>
      <c r="Z79" s="49"/>
      <c r="AA79" s="49"/>
      <c r="AQ79" s="110" t="s">
        <v>72</v>
      </c>
      <c r="AR79" s="110" t="s">
        <v>73</v>
      </c>
      <c r="AS79" s="49" t="s">
        <v>74</v>
      </c>
    </row>
    <row r="80" spans="1:46">
      <c r="A80" s="114"/>
      <c r="B80" s="46"/>
      <c r="C80" s="46"/>
      <c r="D80" s="46"/>
      <c r="F80" s="49"/>
      <c r="G80" s="49"/>
      <c r="I80" s="49"/>
      <c r="J80" s="49"/>
      <c r="K80" s="49"/>
      <c r="L80" s="49"/>
      <c r="M80" s="49"/>
      <c r="Q80" s="49"/>
      <c r="R80" s="49"/>
      <c r="S80" s="49"/>
      <c r="T80" s="49"/>
      <c r="X80" s="49"/>
      <c r="Y80" s="49"/>
      <c r="Z80" s="49"/>
      <c r="AA80" s="49"/>
      <c r="AP80" s="49">
        <f>SUM(AQ80:AS80)</f>
        <v>1124</v>
      </c>
      <c r="AQ80" s="110">
        <f>V8</f>
        <v>893</v>
      </c>
      <c r="AR80" s="110">
        <f>W8</f>
        <v>2</v>
      </c>
      <c r="AS80" s="49">
        <f>Z8</f>
        <v>229</v>
      </c>
    </row>
    <row r="81" spans="1:45">
      <c r="A81" s="114"/>
      <c r="B81" s="46"/>
      <c r="C81" s="46"/>
      <c r="D81" s="46"/>
      <c r="F81" s="49"/>
      <c r="G81" s="49"/>
      <c r="I81" s="49"/>
      <c r="J81" s="49"/>
      <c r="K81" s="49"/>
      <c r="L81" s="49"/>
      <c r="M81" s="49"/>
      <c r="Q81" s="49"/>
      <c r="R81" s="49"/>
      <c r="S81" s="49"/>
      <c r="T81" s="49"/>
      <c r="X81" s="49"/>
      <c r="Y81" s="49"/>
      <c r="Z81" s="49"/>
      <c r="AA81" s="49"/>
    </row>
    <row r="82" spans="1:45">
      <c r="A82" s="113"/>
      <c r="B82" s="46"/>
      <c r="C82" s="46"/>
      <c r="D82" s="46"/>
      <c r="F82" s="49"/>
      <c r="G82" s="49"/>
      <c r="I82" s="49"/>
      <c r="J82" s="49"/>
      <c r="K82" s="49"/>
      <c r="L82" s="49"/>
      <c r="M82" s="49"/>
      <c r="Q82" s="49"/>
      <c r="R82" s="49"/>
      <c r="S82" s="49"/>
      <c r="T82" s="49"/>
      <c r="X82" s="49"/>
      <c r="Y82" s="49"/>
      <c r="Z82" s="49"/>
      <c r="AA82" s="49"/>
      <c r="AQ82" s="49">
        <f>AQ80/AP80*100</f>
        <v>79.44839857651246</v>
      </c>
      <c r="AR82" s="49">
        <f>AR80/AQ80*100</f>
        <v>0.22396416573348266</v>
      </c>
      <c r="AS82" s="49">
        <f>AS80/AQ80*100</f>
        <v>25.643896976483759</v>
      </c>
    </row>
    <row r="83" spans="1:45">
      <c r="A83" s="114"/>
      <c r="B83" s="46"/>
      <c r="C83" s="46"/>
      <c r="D83" s="46"/>
      <c r="F83" s="49"/>
      <c r="G83" s="49"/>
      <c r="I83" s="49"/>
      <c r="J83" s="49"/>
      <c r="K83" s="49"/>
      <c r="L83" s="49"/>
      <c r="M83" s="49"/>
      <c r="Q83" s="49"/>
      <c r="R83" s="49"/>
      <c r="S83" s="49"/>
      <c r="T83" s="49"/>
      <c r="X83" s="49"/>
      <c r="Y83" s="49"/>
      <c r="Z83" s="49"/>
      <c r="AA83" s="49"/>
    </row>
    <row r="84" spans="1:45">
      <c r="A84" s="114"/>
      <c r="B84" s="46"/>
      <c r="C84" s="46"/>
      <c r="D84" s="46"/>
      <c r="F84" s="49"/>
      <c r="G84" s="49"/>
      <c r="I84" s="49"/>
      <c r="J84" s="49"/>
      <c r="K84" s="49"/>
      <c r="L84" s="49"/>
      <c r="M84" s="49"/>
      <c r="Q84" s="49"/>
      <c r="R84" s="49"/>
      <c r="S84" s="49"/>
      <c r="T84" s="49"/>
      <c r="X84" s="49"/>
      <c r="Y84" s="49"/>
      <c r="Z84" s="49"/>
      <c r="AA84" s="49"/>
    </row>
    <row r="85" spans="1:45">
      <c r="A85" s="114"/>
      <c r="B85" s="46"/>
      <c r="C85" s="46"/>
      <c r="D85" s="46"/>
      <c r="F85" s="49"/>
      <c r="G85" s="49"/>
      <c r="I85" s="49"/>
      <c r="J85" s="49"/>
      <c r="K85" s="49"/>
      <c r="L85" s="49"/>
      <c r="M85" s="49"/>
      <c r="Q85" s="49"/>
      <c r="R85" s="49"/>
      <c r="S85" s="49"/>
      <c r="T85" s="49"/>
      <c r="X85" s="49"/>
      <c r="Y85" s="49"/>
      <c r="Z85" s="49"/>
      <c r="AA85" s="49"/>
    </row>
    <row r="86" spans="1:45">
      <c r="A86" s="114"/>
      <c r="B86" s="46"/>
      <c r="C86" s="46"/>
      <c r="D86" s="46"/>
      <c r="F86" s="49"/>
      <c r="G86" s="49"/>
      <c r="I86" s="49"/>
      <c r="J86" s="49"/>
      <c r="K86" s="49"/>
      <c r="L86" s="49"/>
      <c r="M86" s="49"/>
      <c r="Q86" s="49"/>
      <c r="R86" s="49"/>
      <c r="S86" s="49"/>
      <c r="T86" s="49"/>
      <c r="X86" s="49"/>
      <c r="Y86" s="49"/>
      <c r="Z86" s="49"/>
      <c r="AA86" s="49"/>
    </row>
    <row r="87" spans="1:45">
      <c r="A87" s="114"/>
      <c r="B87" s="46"/>
      <c r="C87" s="46"/>
      <c r="D87" s="46"/>
      <c r="F87" s="49"/>
      <c r="G87" s="49"/>
      <c r="I87" s="49"/>
      <c r="J87" s="49"/>
      <c r="K87" s="49"/>
      <c r="L87" s="49"/>
      <c r="M87" s="49"/>
      <c r="Q87" s="49"/>
      <c r="R87" s="49"/>
      <c r="S87" s="49"/>
      <c r="T87" s="49"/>
      <c r="X87" s="49"/>
      <c r="Y87" s="49"/>
      <c r="Z87" s="49"/>
      <c r="AA87" s="49"/>
    </row>
    <row r="88" spans="1:45">
      <c r="A88" s="114"/>
      <c r="B88" s="46"/>
      <c r="C88" s="46"/>
      <c r="D88" s="46"/>
      <c r="F88" s="49"/>
      <c r="G88" s="49"/>
      <c r="I88" s="49"/>
      <c r="J88" s="49"/>
      <c r="K88" s="49"/>
      <c r="L88" s="49"/>
      <c r="M88" s="49"/>
      <c r="Q88" s="49"/>
      <c r="R88" s="49"/>
      <c r="S88" s="49"/>
      <c r="T88" s="49"/>
      <c r="X88" s="49"/>
      <c r="Y88" s="49"/>
      <c r="Z88" s="49"/>
      <c r="AA88" s="49"/>
    </row>
    <row r="89" spans="1:45">
      <c r="A89" s="113"/>
      <c r="B89" s="46"/>
      <c r="C89" s="46"/>
      <c r="D89" s="46"/>
      <c r="F89" s="49"/>
      <c r="G89" s="49"/>
      <c r="I89" s="49"/>
      <c r="J89" s="49"/>
      <c r="K89" s="49"/>
      <c r="L89" s="49"/>
      <c r="M89" s="49"/>
      <c r="Q89" s="49"/>
      <c r="R89" s="49"/>
      <c r="S89" s="49"/>
      <c r="T89" s="49"/>
      <c r="X89" s="49"/>
      <c r="Y89" s="49"/>
      <c r="Z89" s="49"/>
      <c r="AA89" s="49"/>
    </row>
    <row r="90" spans="1:45">
      <c r="A90" s="114"/>
      <c r="B90" s="46"/>
      <c r="C90" s="46"/>
      <c r="D90" s="46"/>
      <c r="F90" s="49"/>
      <c r="G90" s="49"/>
      <c r="I90" s="49"/>
      <c r="J90" s="49"/>
      <c r="K90" s="49"/>
      <c r="L90" s="49"/>
      <c r="M90" s="49"/>
      <c r="Q90" s="49"/>
      <c r="R90" s="49"/>
      <c r="S90" s="49"/>
      <c r="T90" s="49"/>
      <c r="X90" s="49"/>
      <c r="Y90" s="49"/>
      <c r="Z90" s="49"/>
      <c r="AA90" s="49"/>
    </row>
    <row r="91" spans="1:45">
      <c r="A91" s="114"/>
      <c r="B91" s="46"/>
      <c r="C91" s="46"/>
      <c r="D91" s="46"/>
      <c r="F91" s="49"/>
      <c r="G91" s="49"/>
      <c r="I91" s="49"/>
      <c r="J91" s="49"/>
      <c r="K91" s="49"/>
      <c r="L91" s="49"/>
      <c r="M91" s="49"/>
      <c r="Q91" s="49"/>
      <c r="R91" s="49"/>
      <c r="S91" s="49"/>
      <c r="T91" s="49"/>
      <c r="X91" s="49"/>
      <c r="Y91" s="49"/>
      <c r="Z91" s="49"/>
      <c r="AA91" s="49"/>
    </row>
    <row r="92" spans="1:45">
      <c r="A92" s="114"/>
      <c r="B92" s="46"/>
      <c r="C92" s="46"/>
      <c r="D92" s="46"/>
      <c r="F92" s="49"/>
      <c r="G92" s="49"/>
      <c r="I92" s="49"/>
      <c r="J92" s="49"/>
      <c r="K92" s="49"/>
      <c r="L92" s="49"/>
      <c r="M92" s="49"/>
      <c r="Q92" s="49"/>
      <c r="R92" s="49"/>
      <c r="S92" s="49"/>
      <c r="T92" s="49"/>
      <c r="X92" s="49"/>
      <c r="Y92" s="49"/>
      <c r="Z92" s="49"/>
      <c r="AA92" s="49"/>
    </row>
    <row r="93" spans="1:45">
      <c r="A93" s="114"/>
      <c r="B93" s="46"/>
      <c r="C93" s="46"/>
      <c r="D93" s="46"/>
      <c r="F93" s="49"/>
      <c r="G93" s="49"/>
      <c r="I93" s="49"/>
      <c r="J93" s="49"/>
      <c r="K93" s="49"/>
      <c r="L93" s="49"/>
      <c r="M93" s="49"/>
      <c r="Q93" s="49"/>
      <c r="R93" s="49"/>
      <c r="S93" s="49"/>
      <c r="T93" s="49"/>
      <c r="X93" s="49"/>
      <c r="Y93" s="49"/>
      <c r="Z93" s="49"/>
      <c r="AA93" s="49"/>
    </row>
    <row r="94" spans="1:45">
      <c r="A94" s="114"/>
      <c r="B94" s="46"/>
      <c r="C94" s="46"/>
      <c r="D94" s="46"/>
      <c r="F94" s="49"/>
      <c r="G94" s="49"/>
      <c r="I94" s="49"/>
      <c r="J94" s="49"/>
      <c r="K94" s="49"/>
      <c r="L94" s="49"/>
      <c r="M94" s="49"/>
      <c r="Q94" s="49"/>
      <c r="R94" s="49"/>
      <c r="S94" s="49"/>
      <c r="T94" s="49"/>
      <c r="X94" s="49"/>
      <c r="Y94" s="49"/>
      <c r="Z94" s="49"/>
      <c r="AA94" s="49"/>
    </row>
    <row r="95" spans="1:45">
      <c r="A95" s="114"/>
      <c r="B95" s="46"/>
      <c r="C95" s="46"/>
      <c r="D95" s="46"/>
      <c r="F95" s="49"/>
      <c r="G95" s="49"/>
      <c r="I95" s="49"/>
      <c r="J95" s="49"/>
      <c r="K95" s="49"/>
      <c r="L95" s="49"/>
      <c r="M95" s="49"/>
      <c r="Q95" s="49"/>
      <c r="R95" s="49"/>
      <c r="S95" s="49"/>
      <c r="T95" s="49"/>
      <c r="X95" s="49"/>
      <c r="Y95" s="49"/>
      <c r="Z95" s="49"/>
      <c r="AA95" s="49"/>
    </row>
    <row r="96" spans="1:45">
      <c r="A96" s="115"/>
      <c r="B96" s="46"/>
      <c r="C96" s="46"/>
      <c r="D96" s="46"/>
      <c r="F96" s="49"/>
      <c r="G96" s="49"/>
      <c r="I96" s="49"/>
      <c r="J96" s="49"/>
      <c r="K96" s="49"/>
      <c r="L96" s="49"/>
      <c r="M96" s="49"/>
      <c r="Q96" s="49"/>
      <c r="R96" s="49"/>
      <c r="S96" s="49"/>
      <c r="T96" s="49"/>
      <c r="X96" s="49"/>
      <c r="Y96" s="49"/>
      <c r="Z96" s="49"/>
      <c r="AA96" s="49"/>
    </row>
    <row r="97" spans="1:4">
      <c r="A97" s="46"/>
      <c r="B97" s="46"/>
      <c r="C97" s="46"/>
      <c r="D97" s="46"/>
    </row>
    <row r="98" spans="1:4">
      <c r="A98" s="46"/>
      <c r="B98" s="46"/>
      <c r="C98" s="46"/>
      <c r="D98" s="46"/>
    </row>
    <row r="99" spans="1:4">
      <c r="A99" s="46"/>
      <c r="B99" s="46"/>
      <c r="C99" s="46"/>
      <c r="D99" s="46"/>
    </row>
    <row r="100" spans="1:4">
      <c r="A100" s="46"/>
      <c r="B100" s="46"/>
      <c r="C100" s="46"/>
      <c r="D100" s="46"/>
    </row>
    <row r="101" spans="1:4">
      <c r="A101" s="46"/>
      <c r="B101" s="46"/>
      <c r="C101" s="46"/>
      <c r="D101" s="46"/>
    </row>
    <row r="102" spans="1:4">
      <c r="A102" s="46"/>
      <c r="B102" s="46"/>
      <c r="C102" s="46"/>
      <c r="D102" s="46"/>
    </row>
  </sheetData>
  <mergeCells count="28">
    <mergeCell ref="X5:Z5"/>
    <mergeCell ref="N5:N6"/>
    <mergeCell ref="O5:O6"/>
    <mergeCell ref="P5:P6"/>
    <mergeCell ref="Q5:S5"/>
    <mergeCell ref="U5:U6"/>
    <mergeCell ref="V5:V6"/>
    <mergeCell ref="H5:H6"/>
    <mergeCell ref="I5:I6"/>
    <mergeCell ref="J5:J6"/>
    <mergeCell ref="K5:M5"/>
    <mergeCell ref="W5:W6"/>
    <mergeCell ref="A1:AB1"/>
    <mergeCell ref="A2:AB2"/>
    <mergeCell ref="A3:A7"/>
    <mergeCell ref="B3:G3"/>
    <mergeCell ref="H3:M3"/>
    <mergeCell ref="N3:S3"/>
    <mergeCell ref="U3:Z3"/>
    <mergeCell ref="AB3:AB7"/>
    <mergeCell ref="E4:G4"/>
    <mergeCell ref="K4:M4"/>
    <mergeCell ref="Q4:S4"/>
    <mergeCell ref="X4:Z4"/>
    <mergeCell ref="B5:B6"/>
    <mergeCell ref="C5:C6"/>
    <mergeCell ref="D5:D6"/>
    <mergeCell ref="E5:G5"/>
  </mergeCells>
  <pageMargins left="0.7" right="0.7" top="0.75" bottom="0.75" header="0.3" footer="0.3"/>
  <pageSetup paperSize="9" scale="69" orientation="landscape" horizontalDpi="4294967295" verticalDpi="4294967295" r:id="rId1"/>
  <rowBreaks count="1" manualBreakCount="1">
    <brk id="29" max="27" man="1"/>
  </rowBreaks>
  <ignoredErrors>
    <ignoredError sqref="N15 U15 U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181" t="s">
        <v>51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</row>
    <row r="2" spans="1:36">
      <c r="A2" s="156" t="s">
        <v>44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</row>
    <row r="3" spans="1:36" ht="15" customHeight="1">
      <c r="A3" s="182"/>
      <c r="B3" s="182"/>
      <c r="C3" s="183" t="s">
        <v>40</v>
      </c>
      <c r="D3" s="183"/>
      <c r="E3" s="183"/>
      <c r="F3" s="183"/>
      <c r="G3" s="183"/>
      <c r="H3" s="31"/>
      <c r="I3" s="31"/>
      <c r="J3" s="184" t="s">
        <v>6</v>
      </c>
      <c r="K3" s="184"/>
      <c r="L3" s="184"/>
      <c r="M3" s="184"/>
      <c r="N3" s="184"/>
      <c r="O3" s="26"/>
      <c r="P3" s="184" t="s">
        <v>7</v>
      </c>
      <c r="Q3" s="184"/>
      <c r="R3" s="184"/>
      <c r="S3" s="184"/>
      <c r="T3" s="184"/>
      <c r="U3" s="8"/>
      <c r="V3" s="8"/>
      <c r="W3" s="8"/>
      <c r="X3" s="185" t="s">
        <v>8</v>
      </c>
      <c r="Y3" s="185"/>
      <c r="Z3" s="185"/>
      <c r="AA3" s="185"/>
      <c r="AB3" s="185"/>
      <c r="AC3" s="27"/>
      <c r="AD3" s="27"/>
      <c r="AE3" s="185" t="s">
        <v>9</v>
      </c>
      <c r="AF3" s="185"/>
      <c r="AG3" s="185"/>
      <c r="AH3" s="185"/>
      <c r="AI3" s="185"/>
    </row>
    <row r="4" spans="1:36" ht="25.5">
      <c r="A4" s="180"/>
      <c r="B4" s="180"/>
      <c r="C4" s="32" t="s">
        <v>10</v>
      </c>
      <c r="D4" s="32" t="s">
        <v>11</v>
      </c>
      <c r="E4" s="32" t="s">
        <v>5</v>
      </c>
      <c r="F4" s="33" t="s">
        <v>12</v>
      </c>
      <c r="G4" s="32" t="s">
        <v>13</v>
      </c>
      <c r="H4" s="32" t="s">
        <v>46</v>
      </c>
      <c r="I4" s="32" t="s">
        <v>52</v>
      </c>
      <c r="J4" s="15" t="s">
        <v>10</v>
      </c>
      <c r="K4" s="15" t="s">
        <v>11</v>
      </c>
      <c r="L4" s="15" t="s">
        <v>5</v>
      </c>
      <c r="M4" s="16" t="s">
        <v>12</v>
      </c>
      <c r="N4" s="15" t="s">
        <v>13</v>
      </c>
      <c r="O4" s="32" t="s">
        <v>46</v>
      </c>
      <c r="P4" s="15" t="s">
        <v>10</v>
      </c>
      <c r="Q4" s="15" t="s">
        <v>11</v>
      </c>
      <c r="R4" s="15" t="s">
        <v>5</v>
      </c>
      <c r="S4" s="16" t="s">
        <v>12</v>
      </c>
      <c r="T4" s="15" t="s">
        <v>13</v>
      </c>
      <c r="U4" s="32" t="s">
        <v>46</v>
      </c>
      <c r="V4" s="32"/>
      <c r="W4" s="32"/>
      <c r="X4" s="15" t="s">
        <v>10</v>
      </c>
      <c r="Y4" s="15" t="s">
        <v>11</v>
      </c>
      <c r="Z4" s="15" t="s">
        <v>5</v>
      </c>
      <c r="AA4" s="16" t="s">
        <v>12</v>
      </c>
      <c r="AB4" s="15" t="s">
        <v>13</v>
      </c>
      <c r="AC4" s="32" t="s">
        <v>46</v>
      </c>
      <c r="AD4" s="32"/>
      <c r="AE4" s="15" t="s">
        <v>10</v>
      </c>
      <c r="AF4" s="15" t="s">
        <v>11</v>
      </c>
      <c r="AG4" s="15" t="s">
        <v>5</v>
      </c>
      <c r="AH4" s="16" t="s">
        <v>12</v>
      </c>
      <c r="AI4" s="15" t="s">
        <v>13</v>
      </c>
      <c r="AJ4" s="32" t="s">
        <v>46</v>
      </c>
    </row>
    <row r="5" spans="1:36" ht="14.25" customHeight="1">
      <c r="A5" s="25"/>
      <c r="B5" s="29" t="s">
        <v>48</v>
      </c>
      <c r="C5" s="34">
        <f t="shared" ref="C5:G32" si="0">J5+P5</f>
        <v>3010</v>
      </c>
      <c r="D5" s="34">
        <f t="shared" si="0"/>
        <v>2381</v>
      </c>
      <c r="E5" s="34">
        <f t="shared" si="0"/>
        <v>5391</v>
      </c>
      <c r="F5" s="34">
        <f>M5+S5</f>
        <v>1774</v>
      </c>
      <c r="G5" s="34">
        <f t="shared" si="0"/>
        <v>3617</v>
      </c>
      <c r="H5" s="35">
        <f>F5/E5*100</f>
        <v>32.906696345761453</v>
      </c>
      <c r="I5" s="35">
        <f>G5/E5*100</f>
        <v>67.093303654238539</v>
      </c>
      <c r="J5" s="12">
        <v>2893</v>
      </c>
      <c r="K5" s="12">
        <v>2200</v>
      </c>
      <c r="L5" s="12">
        <v>5093</v>
      </c>
      <c r="M5" s="12">
        <v>1617</v>
      </c>
      <c r="N5" s="12">
        <v>3476</v>
      </c>
      <c r="O5" s="35">
        <f>M5/L5*100</f>
        <v>31.749460043196542</v>
      </c>
      <c r="P5" s="12">
        <v>117</v>
      </c>
      <c r="Q5" s="12">
        <v>181</v>
      </c>
      <c r="R5" s="12">
        <v>298</v>
      </c>
      <c r="S5" s="12">
        <v>157</v>
      </c>
      <c r="T5" s="12">
        <v>141</v>
      </c>
      <c r="U5" s="35">
        <f>S5/R5*100</f>
        <v>52.68456375838926</v>
      </c>
      <c r="V5" s="35"/>
      <c r="W5" s="29" t="s">
        <v>48</v>
      </c>
      <c r="X5" s="12">
        <v>3628</v>
      </c>
      <c r="Y5" s="12">
        <v>6873</v>
      </c>
      <c r="Z5" s="12">
        <v>10500</v>
      </c>
      <c r="AA5" s="12">
        <v>6554</v>
      </c>
      <c r="AB5" s="12">
        <v>3946</v>
      </c>
      <c r="AC5" s="35">
        <f>AA5/Z5*100</f>
        <v>62.419047619047618</v>
      </c>
      <c r="AD5" s="29" t="s">
        <v>48</v>
      </c>
      <c r="AE5" s="12">
        <v>890</v>
      </c>
      <c r="AF5" s="12">
        <v>6097</v>
      </c>
      <c r="AG5" s="12">
        <v>6987</v>
      </c>
      <c r="AH5" s="12">
        <v>5904</v>
      </c>
      <c r="AI5" s="12">
        <v>1083</v>
      </c>
      <c r="AJ5" s="35">
        <f>AH5/AG5*100</f>
        <v>84.499785315586081</v>
      </c>
    </row>
    <row r="6" spans="1:36" ht="14.25" customHeight="1">
      <c r="A6" s="25"/>
      <c r="B6" s="29" t="s">
        <v>49</v>
      </c>
      <c r="C6" s="34">
        <f t="shared" si="0"/>
        <v>2247</v>
      </c>
      <c r="D6" s="34">
        <f t="shared" si="0"/>
        <v>1246</v>
      </c>
      <c r="E6" s="34">
        <f t="shared" si="0"/>
        <v>3493</v>
      </c>
      <c r="F6" s="34">
        <f t="shared" si="0"/>
        <v>1084</v>
      </c>
      <c r="G6" s="34">
        <f t="shared" si="0"/>
        <v>2409</v>
      </c>
      <c r="H6" s="35">
        <f>F6/E6*100</f>
        <v>31.033495562553682</v>
      </c>
      <c r="I6" s="35">
        <f>G6/E6*100</f>
        <v>68.966504437446318</v>
      </c>
      <c r="J6" s="14">
        <v>2193</v>
      </c>
      <c r="K6" s="14">
        <v>1163</v>
      </c>
      <c r="L6" s="14">
        <v>3356</v>
      </c>
      <c r="M6" s="14">
        <v>990</v>
      </c>
      <c r="N6" s="14">
        <v>2366</v>
      </c>
      <c r="O6" s="35">
        <f>M6/L6*100</f>
        <v>29.499404052443385</v>
      </c>
      <c r="P6" s="14">
        <v>54</v>
      </c>
      <c r="Q6" s="14">
        <v>83</v>
      </c>
      <c r="R6" s="14">
        <v>137</v>
      </c>
      <c r="S6" s="14">
        <v>94</v>
      </c>
      <c r="T6" s="14">
        <v>43</v>
      </c>
      <c r="U6" s="35">
        <f>S6/R6*100</f>
        <v>68.613138686131393</v>
      </c>
      <c r="V6" s="35"/>
      <c r="W6" s="29" t="s">
        <v>49</v>
      </c>
      <c r="X6" s="14">
        <v>1847</v>
      </c>
      <c r="Y6" s="14">
        <v>2725</v>
      </c>
      <c r="Z6" s="14">
        <v>4571</v>
      </c>
      <c r="AA6" s="14">
        <v>2719</v>
      </c>
      <c r="AB6" s="14">
        <v>1852</v>
      </c>
      <c r="AC6" s="35">
        <f>AA6/Z6*100</f>
        <v>59.483701597024719</v>
      </c>
      <c r="AD6" s="29" t="s">
        <v>49</v>
      </c>
      <c r="AE6" s="14">
        <v>456</v>
      </c>
      <c r="AF6" s="14">
        <v>2367</v>
      </c>
      <c r="AG6" s="14">
        <v>2823</v>
      </c>
      <c r="AH6" s="14">
        <v>2296</v>
      </c>
      <c r="AI6" s="14">
        <v>527</v>
      </c>
      <c r="AJ6" s="35">
        <f>AH6/AG6*100</f>
        <v>81.331916400991858</v>
      </c>
    </row>
    <row r="7" spans="1:36" s="23" customFormat="1" ht="14.25" customHeight="1">
      <c r="A7" s="21"/>
      <c r="B7" s="29" t="s">
        <v>50</v>
      </c>
      <c r="C7" s="34">
        <f t="shared" si="0"/>
        <v>763</v>
      </c>
      <c r="D7" s="34">
        <f t="shared" si="0"/>
        <v>1135</v>
      </c>
      <c r="E7" s="34">
        <f t="shared" si="0"/>
        <v>1898</v>
      </c>
      <c r="F7" s="34">
        <f t="shared" si="0"/>
        <v>690</v>
      </c>
      <c r="G7" s="34">
        <f t="shared" si="0"/>
        <v>1208</v>
      </c>
      <c r="H7" s="35">
        <f>F7/E7*100</f>
        <v>36.354056902002107</v>
      </c>
      <c r="I7" s="35">
        <f>G7/E7*100</f>
        <v>63.645943097997893</v>
      </c>
      <c r="J7" s="14">
        <v>700</v>
      </c>
      <c r="K7" s="14">
        <v>1037</v>
      </c>
      <c r="L7" s="14">
        <v>1737</v>
      </c>
      <c r="M7" s="14">
        <v>627</v>
      </c>
      <c r="N7" s="14">
        <v>1110</v>
      </c>
      <c r="O7" s="35">
        <f>M7/L7*100</f>
        <v>36.096718480138165</v>
      </c>
      <c r="P7" s="14">
        <v>63</v>
      </c>
      <c r="Q7" s="14">
        <v>98</v>
      </c>
      <c r="R7" s="14">
        <v>161</v>
      </c>
      <c r="S7" s="14">
        <v>63</v>
      </c>
      <c r="T7" s="14">
        <v>98</v>
      </c>
      <c r="U7" s="35">
        <f>S7/R7*100</f>
        <v>39.130434782608695</v>
      </c>
      <c r="V7" s="35"/>
      <c r="W7" s="29" t="s">
        <v>50</v>
      </c>
      <c r="X7" s="14">
        <v>1781</v>
      </c>
      <c r="Y7" s="14">
        <v>4148</v>
      </c>
      <c r="Z7" s="14">
        <v>5929</v>
      </c>
      <c r="AA7" s="14">
        <v>3835</v>
      </c>
      <c r="AB7" s="14">
        <v>2094</v>
      </c>
      <c r="AC7" s="35">
        <f>AA7/Z7*100</f>
        <v>64.682071175577676</v>
      </c>
      <c r="AD7" s="29" t="s">
        <v>50</v>
      </c>
      <c r="AE7" s="14">
        <v>434</v>
      </c>
      <c r="AF7" s="14">
        <v>3730</v>
      </c>
      <c r="AG7" s="14">
        <v>4164</v>
      </c>
      <c r="AH7" s="14">
        <v>3608</v>
      </c>
      <c r="AI7" s="14">
        <v>556</v>
      </c>
      <c r="AJ7" s="35">
        <f>AH7/AG7*100</f>
        <v>86.647454370797306</v>
      </c>
    </row>
    <row r="8" spans="1:36" s="23" customFormat="1" ht="14.25" customHeight="1">
      <c r="A8" s="25" t="s">
        <v>20</v>
      </c>
      <c r="B8" s="9" t="s">
        <v>0</v>
      </c>
      <c r="C8" s="34">
        <f t="shared" si="0"/>
        <v>68</v>
      </c>
      <c r="D8" s="34">
        <f t="shared" si="0"/>
        <v>28</v>
      </c>
      <c r="E8" s="34">
        <f t="shared" si="0"/>
        <v>96</v>
      </c>
      <c r="F8" s="34">
        <f t="shared" si="0"/>
        <v>21</v>
      </c>
      <c r="G8" s="34">
        <f t="shared" si="0"/>
        <v>75</v>
      </c>
      <c r="H8" s="34"/>
      <c r="I8" s="34"/>
      <c r="J8" s="14">
        <v>61</v>
      </c>
      <c r="K8" s="14">
        <v>27</v>
      </c>
      <c r="L8" s="14">
        <v>88</v>
      </c>
      <c r="M8" s="14">
        <v>18</v>
      </c>
      <c r="N8" s="14">
        <v>70</v>
      </c>
      <c r="O8" s="14"/>
      <c r="P8" s="14">
        <v>7</v>
      </c>
      <c r="Q8" s="14">
        <v>1</v>
      </c>
      <c r="R8" s="14">
        <v>8</v>
      </c>
      <c r="S8" s="14">
        <v>3</v>
      </c>
      <c r="T8" s="14">
        <v>5</v>
      </c>
      <c r="U8" s="14"/>
      <c r="V8" s="14"/>
      <c r="W8" s="14"/>
      <c r="X8" s="14">
        <v>123</v>
      </c>
      <c r="Y8" s="14">
        <v>181</v>
      </c>
      <c r="Z8" s="14">
        <v>304</v>
      </c>
      <c r="AA8" s="14">
        <v>148</v>
      </c>
      <c r="AB8" s="14">
        <v>156</v>
      </c>
      <c r="AC8" s="14"/>
      <c r="AD8" s="14"/>
      <c r="AE8" s="14">
        <v>21</v>
      </c>
      <c r="AF8" s="14">
        <v>169</v>
      </c>
      <c r="AG8" s="14">
        <v>190</v>
      </c>
      <c r="AH8" s="14">
        <v>170</v>
      </c>
      <c r="AI8" s="14">
        <v>20</v>
      </c>
    </row>
    <row r="9" spans="1:36" s="23" customFormat="1" ht="14.25" customHeight="1">
      <c r="A9" s="25" t="s">
        <v>21</v>
      </c>
      <c r="B9" s="9" t="s">
        <v>0</v>
      </c>
      <c r="C9" s="34">
        <f t="shared" si="0"/>
        <v>81</v>
      </c>
      <c r="D9" s="34">
        <f t="shared" si="0"/>
        <v>73</v>
      </c>
      <c r="E9" s="34">
        <f t="shared" si="0"/>
        <v>154</v>
      </c>
      <c r="F9" s="34">
        <f t="shared" si="0"/>
        <v>41</v>
      </c>
      <c r="G9" s="34">
        <f t="shared" si="0"/>
        <v>113</v>
      </c>
      <c r="H9" s="34"/>
      <c r="I9" s="34"/>
      <c r="J9" s="14">
        <v>74</v>
      </c>
      <c r="K9" s="14">
        <v>69</v>
      </c>
      <c r="L9" s="14">
        <v>143</v>
      </c>
      <c r="M9" s="14">
        <v>34</v>
      </c>
      <c r="N9" s="14">
        <v>109</v>
      </c>
      <c r="O9" s="14"/>
      <c r="P9" s="14">
        <v>7</v>
      </c>
      <c r="Q9" s="14">
        <v>4</v>
      </c>
      <c r="R9" s="14">
        <v>11</v>
      </c>
      <c r="S9" s="14">
        <v>7</v>
      </c>
      <c r="T9" s="14">
        <v>4</v>
      </c>
      <c r="U9" s="14"/>
      <c r="V9" s="14"/>
      <c r="W9" s="14"/>
      <c r="X9" s="14">
        <v>93</v>
      </c>
      <c r="Y9" s="14">
        <v>178</v>
      </c>
      <c r="Z9" s="14">
        <v>271</v>
      </c>
      <c r="AA9" s="14">
        <v>104</v>
      </c>
      <c r="AB9" s="14">
        <v>167</v>
      </c>
      <c r="AC9" s="14"/>
      <c r="AD9" s="14"/>
      <c r="AE9" s="14">
        <v>34</v>
      </c>
      <c r="AF9" s="14">
        <v>233</v>
      </c>
      <c r="AG9" s="14">
        <v>267</v>
      </c>
      <c r="AH9" s="14">
        <v>222</v>
      </c>
      <c r="AI9" s="14">
        <v>45</v>
      </c>
    </row>
    <row r="10" spans="1:36" s="23" customFormat="1" ht="14.25" customHeight="1">
      <c r="A10" s="25" t="s">
        <v>22</v>
      </c>
      <c r="B10" s="9" t="s">
        <v>0</v>
      </c>
      <c r="C10" s="34">
        <f t="shared" si="0"/>
        <v>10</v>
      </c>
      <c r="D10" s="34">
        <f t="shared" si="0"/>
        <v>24</v>
      </c>
      <c r="E10" s="34">
        <f t="shared" si="0"/>
        <v>34</v>
      </c>
      <c r="F10" s="34">
        <f t="shared" si="0"/>
        <v>28</v>
      </c>
      <c r="G10" s="34">
        <f t="shared" si="0"/>
        <v>6</v>
      </c>
      <c r="H10" s="34"/>
      <c r="I10" s="34"/>
      <c r="J10" s="14">
        <v>10</v>
      </c>
      <c r="K10" s="14">
        <v>22</v>
      </c>
      <c r="L10" s="14">
        <v>32</v>
      </c>
      <c r="M10" s="14">
        <v>28</v>
      </c>
      <c r="N10" s="14">
        <v>4</v>
      </c>
      <c r="O10" s="14"/>
      <c r="P10" s="14">
        <v>0</v>
      </c>
      <c r="Q10" s="14">
        <v>2</v>
      </c>
      <c r="R10" s="14">
        <v>2</v>
      </c>
      <c r="S10" s="14">
        <v>0</v>
      </c>
      <c r="T10" s="14">
        <v>2</v>
      </c>
      <c r="U10" s="14"/>
      <c r="V10" s="14"/>
      <c r="W10" s="14"/>
      <c r="X10" s="14">
        <v>43</v>
      </c>
      <c r="Y10" s="14">
        <v>145</v>
      </c>
      <c r="Z10" s="14">
        <v>188</v>
      </c>
      <c r="AA10" s="14">
        <v>142</v>
      </c>
      <c r="AB10" s="14">
        <v>46</v>
      </c>
      <c r="AC10" s="14"/>
      <c r="AD10" s="14"/>
      <c r="AE10" s="14">
        <v>16</v>
      </c>
      <c r="AF10" s="14">
        <v>162</v>
      </c>
      <c r="AG10" s="14">
        <v>178</v>
      </c>
      <c r="AH10" s="14">
        <v>162</v>
      </c>
      <c r="AI10" s="14">
        <v>16</v>
      </c>
    </row>
    <row r="11" spans="1:36" s="23" customFormat="1" ht="14.25" customHeight="1">
      <c r="A11" s="25" t="s">
        <v>23</v>
      </c>
      <c r="B11" s="9" t="s">
        <v>0</v>
      </c>
      <c r="C11" s="34">
        <f t="shared" si="0"/>
        <v>48</v>
      </c>
      <c r="D11" s="34">
        <f t="shared" si="0"/>
        <v>62</v>
      </c>
      <c r="E11" s="34">
        <f t="shared" si="0"/>
        <v>110</v>
      </c>
      <c r="F11" s="34">
        <f t="shared" si="0"/>
        <v>45</v>
      </c>
      <c r="G11" s="34">
        <f t="shared" si="0"/>
        <v>65</v>
      </c>
      <c r="H11" s="34"/>
      <c r="I11" s="34"/>
      <c r="J11" s="14">
        <v>47</v>
      </c>
      <c r="K11" s="14">
        <v>58</v>
      </c>
      <c r="L11" s="14">
        <v>105</v>
      </c>
      <c r="M11" s="14">
        <v>42</v>
      </c>
      <c r="N11" s="14">
        <v>63</v>
      </c>
      <c r="O11" s="14"/>
      <c r="P11" s="14">
        <v>1</v>
      </c>
      <c r="Q11" s="14">
        <v>4</v>
      </c>
      <c r="R11" s="14">
        <v>5</v>
      </c>
      <c r="S11" s="14">
        <v>3</v>
      </c>
      <c r="T11" s="14">
        <v>2</v>
      </c>
      <c r="U11" s="14"/>
      <c r="V11" s="14"/>
      <c r="W11" s="14"/>
      <c r="X11" s="14">
        <v>117</v>
      </c>
      <c r="Y11" s="14">
        <v>186</v>
      </c>
      <c r="Z11" s="14">
        <v>303</v>
      </c>
      <c r="AA11" s="14">
        <v>174</v>
      </c>
      <c r="AB11" s="14">
        <v>129</v>
      </c>
      <c r="AC11" s="14"/>
      <c r="AD11" s="14"/>
      <c r="AE11" s="14">
        <v>30</v>
      </c>
      <c r="AF11" s="14">
        <v>215</v>
      </c>
      <c r="AG11" s="14">
        <v>245</v>
      </c>
      <c r="AH11" s="14">
        <v>188</v>
      </c>
      <c r="AI11" s="14">
        <v>57</v>
      </c>
    </row>
    <row r="12" spans="1:36" s="23" customFormat="1" ht="14.25" customHeight="1">
      <c r="A12" s="25" t="s">
        <v>24</v>
      </c>
      <c r="B12" s="9" t="s">
        <v>0</v>
      </c>
      <c r="C12" s="34">
        <f t="shared" si="0"/>
        <v>73</v>
      </c>
      <c r="D12" s="34">
        <f t="shared" si="0"/>
        <v>84</v>
      </c>
      <c r="E12" s="34">
        <f t="shared" si="0"/>
        <v>157</v>
      </c>
      <c r="F12" s="34">
        <f t="shared" si="0"/>
        <v>80</v>
      </c>
      <c r="G12" s="34">
        <f t="shared" si="0"/>
        <v>77</v>
      </c>
      <c r="H12" s="34"/>
      <c r="I12" s="34"/>
      <c r="J12" s="14">
        <v>70</v>
      </c>
      <c r="K12" s="14">
        <v>78</v>
      </c>
      <c r="L12" s="14">
        <v>148</v>
      </c>
      <c r="M12" s="14">
        <v>76</v>
      </c>
      <c r="N12" s="14">
        <v>72</v>
      </c>
      <c r="O12" s="14"/>
      <c r="P12" s="14">
        <v>3</v>
      </c>
      <c r="Q12" s="14">
        <v>6</v>
      </c>
      <c r="R12" s="14">
        <v>9</v>
      </c>
      <c r="S12" s="14">
        <v>4</v>
      </c>
      <c r="T12" s="14">
        <v>5</v>
      </c>
      <c r="U12" s="14"/>
      <c r="V12" s="14"/>
      <c r="W12" s="14"/>
      <c r="X12" s="14">
        <v>71</v>
      </c>
      <c r="Y12" s="14">
        <v>202</v>
      </c>
      <c r="Z12" s="14">
        <v>273</v>
      </c>
      <c r="AA12" s="14">
        <v>186</v>
      </c>
      <c r="AB12" s="14">
        <v>87</v>
      </c>
      <c r="AC12" s="14"/>
      <c r="AD12" s="14"/>
      <c r="AE12" s="14">
        <v>18</v>
      </c>
      <c r="AF12" s="14">
        <v>231</v>
      </c>
      <c r="AG12" s="14">
        <v>249</v>
      </c>
      <c r="AH12" s="14">
        <v>219</v>
      </c>
      <c r="AI12" s="14">
        <v>30</v>
      </c>
    </row>
    <row r="13" spans="1:36" s="23" customFormat="1" ht="14.25" customHeight="1">
      <c r="A13" s="25" t="s">
        <v>25</v>
      </c>
      <c r="B13" s="9" t="s">
        <v>0</v>
      </c>
      <c r="C13" s="34">
        <f t="shared" si="0"/>
        <v>21</v>
      </c>
      <c r="D13" s="34">
        <f t="shared" si="0"/>
        <v>26</v>
      </c>
      <c r="E13" s="34">
        <f t="shared" si="0"/>
        <v>47</v>
      </c>
      <c r="F13" s="34">
        <f t="shared" si="0"/>
        <v>10</v>
      </c>
      <c r="G13" s="34">
        <f t="shared" si="0"/>
        <v>37</v>
      </c>
      <c r="H13" s="34"/>
      <c r="I13" s="34"/>
      <c r="J13" s="14">
        <v>17</v>
      </c>
      <c r="K13" s="14">
        <v>23</v>
      </c>
      <c r="L13" s="14">
        <v>40</v>
      </c>
      <c r="M13" s="14">
        <v>9</v>
      </c>
      <c r="N13" s="14">
        <v>31</v>
      </c>
      <c r="O13" s="14"/>
      <c r="P13" s="14">
        <v>4</v>
      </c>
      <c r="Q13" s="14">
        <v>3</v>
      </c>
      <c r="R13" s="14">
        <v>7</v>
      </c>
      <c r="S13" s="14">
        <v>1</v>
      </c>
      <c r="T13" s="14">
        <v>6</v>
      </c>
      <c r="U13" s="14"/>
      <c r="V13" s="14"/>
      <c r="W13" s="14"/>
      <c r="X13" s="14">
        <v>38</v>
      </c>
      <c r="Y13" s="14">
        <v>183</v>
      </c>
      <c r="Z13" s="14">
        <v>221</v>
      </c>
      <c r="AA13" s="14">
        <v>119</v>
      </c>
      <c r="AB13" s="14">
        <v>102</v>
      </c>
      <c r="AC13" s="14"/>
      <c r="AD13" s="14"/>
      <c r="AE13" s="14">
        <v>20</v>
      </c>
      <c r="AF13" s="14">
        <v>135</v>
      </c>
      <c r="AG13" s="14">
        <v>155</v>
      </c>
      <c r="AH13" s="14">
        <v>124</v>
      </c>
      <c r="AI13" s="14">
        <v>31</v>
      </c>
    </row>
    <row r="14" spans="1:36" s="23" customFormat="1" ht="14.25" customHeight="1">
      <c r="A14" s="25" t="s">
        <v>26</v>
      </c>
      <c r="B14" s="9" t="s">
        <v>0</v>
      </c>
      <c r="C14" s="34">
        <f t="shared" si="0"/>
        <v>77</v>
      </c>
      <c r="D14" s="34">
        <f t="shared" si="0"/>
        <v>61</v>
      </c>
      <c r="E14" s="34">
        <f t="shared" si="0"/>
        <v>138</v>
      </c>
      <c r="F14" s="34">
        <f t="shared" si="0"/>
        <v>57</v>
      </c>
      <c r="G14" s="34">
        <f t="shared" si="0"/>
        <v>81</v>
      </c>
      <c r="H14" s="34"/>
      <c r="I14" s="34"/>
      <c r="J14" s="14">
        <v>72</v>
      </c>
      <c r="K14" s="14">
        <v>57</v>
      </c>
      <c r="L14" s="14">
        <v>129</v>
      </c>
      <c r="M14" s="14">
        <v>52</v>
      </c>
      <c r="N14" s="14">
        <v>77</v>
      </c>
      <c r="O14" s="14"/>
      <c r="P14" s="14">
        <v>5</v>
      </c>
      <c r="Q14" s="14">
        <v>4</v>
      </c>
      <c r="R14" s="14">
        <v>9</v>
      </c>
      <c r="S14" s="14">
        <v>5</v>
      </c>
      <c r="T14" s="14">
        <v>4</v>
      </c>
      <c r="U14" s="14"/>
      <c r="V14" s="14"/>
      <c r="W14" s="14"/>
      <c r="X14" s="14">
        <v>124</v>
      </c>
      <c r="Y14" s="14">
        <v>124</v>
      </c>
      <c r="Z14" s="14">
        <v>248</v>
      </c>
      <c r="AA14" s="14">
        <v>127</v>
      </c>
      <c r="AB14" s="14">
        <v>121</v>
      </c>
      <c r="AC14" s="14"/>
      <c r="AD14" s="14"/>
      <c r="AE14" s="14">
        <v>44</v>
      </c>
      <c r="AF14" s="14">
        <v>178</v>
      </c>
      <c r="AG14" s="14">
        <v>222</v>
      </c>
      <c r="AH14" s="14">
        <v>182</v>
      </c>
      <c r="AI14" s="14">
        <v>40</v>
      </c>
    </row>
    <row r="15" spans="1:36" s="23" customFormat="1" ht="14.25" customHeight="1">
      <c r="A15" s="25" t="s">
        <v>27</v>
      </c>
      <c r="B15" s="9" t="s">
        <v>0</v>
      </c>
      <c r="C15" s="34">
        <f t="shared" si="0"/>
        <v>31</v>
      </c>
      <c r="D15" s="34">
        <f t="shared" si="0"/>
        <v>41</v>
      </c>
      <c r="E15" s="34">
        <f t="shared" si="0"/>
        <v>72</v>
      </c>
      <c r="F15" s="34">
        <f t="shared" si="0"/>
        <v>31</v>
      </c>
      <c r="G15" s="34">
        <f t="shared" si="0"/>
        <v>41</v>
      </c>
      <c r="H15" s="34"/>
      <c r="I15" s="34"/>
      <c r="J15" s="14">
        <v>30</v>
      </c>
      <c r="K15" s="14">
        <v>37</v>
      </c>
      <c r="L15" s="14">
        <v>67</v>
      </c>
      <c r="M15" s="14">
        <v>30</v>
      </c>
      <c r="N15" s="14">
        <v>37</v>
      </c>
      <c r="O15" s="14"/>
      <c r="P15" s="14">
        <v>1</v>
      </c>
      <c r="Q15" s="14">
        <v>4</v>
      </c>
      <c r="R15" s="14">
        <v>5</v>
      </c>
      <c r="S15" s="14">
        <v>1</v>
      </c>
      <c r="T15" s="14">
        <v>4</v>
      </c>
      <c r="U15" s="14"/>
      <c r="V15" s="14"/>
      <c r="W15" s="14"/>
      <c r="X15" s="14">
        <v>67</v>
      </c>
      <c r="Y15" s="14">
        <v>145</v>
      </c>
      <c r="Z15" s="14">
        <v>212</v>
      </c>
      <c r="AA15" s="14">
        <v>153</v>
      </c>
      <c r="AB15" s="14">
        <v>59</v>
      </c>
      <c r="AC15" s="14"/>
      <c r="AD15" s="14"/>
      <c r="AE15" s="14">
        <v>17</v>
      </c>
      <c r="AF15" s="14">
        <v>218</v>
      </c>
      <c r="AG15" s="14">
        <v>235</v>
      </c>
      <c r="AH15" s="14">
        <v>217</v>
      </c>
      <c r="AI15" s="14">
        <v>18</v>
      </c>
    </row>
    <row r="16" spans="1:36" s="23" customFormat="1" ht="14.25" customHeight="1">
      <c r="A16" s="25" t="s">
        <v>28</v>
      </c>
      <c r="B16" s="9" t="s">
        <v>0</v>
      </c>
      <c r="C16" s="34">
        <f t="shared" si="0"/>
        <v>13</v>
      </c>
      <c r="D16" s="34">
        <f t="shared" si="0"/>
        <v>13</v>
      </c>
      <c r="E16" s="34">
        <f t="shared" si="0"/>
        <v>26</v>
      </c>
      <c r="F16" s="34">
        <f t="shared" si="0"/>
        <v>11</v>
      </c>
      <c r="G16" s="34">
        <f t="shared" si="0"/>
        <v>15</v>
      </c>
      <c r="H16" s="34"/>
      <c r="I16" s="34"/>
      <c r="J16" s="14">
        <v>12</v>
      </c>
      <c r="K16" s="14">
        <v>11</v>
      </c>
      <c r="L16" s="14">
        <v>23</v>
      </c>
      <c r="M16" s="14">
        <v>11</v>
      </c>
      <c r="N16" s="14">
        <v>12</v>
      </c>
      <c r="O16" s="14"/>
      <c r="P16" s="14">
        <v>1</v>
      </c>
      <c r="Q16" s="14">
        <v>2</v>
      </c>
      <c r="R16" s="14">
        <v>3</v>
      </c>
      <c r="S16" s="14">
        <v>0</v>
      </c>
      <c r="T16" s="14">
        <v>3</v>
      </c>
      <c r="U16" s="14"/>
      <c r="V16" s="14"/>
      <c r="W16" s="14"/>
      <c r="X16" s="14">
        <v>58</v>
      </c>
      <c r="Y16" s="14">
        <v>123</v>
      </c>
      <c r="Z16" s="14">
        <v>181</v>
      </c>
      <c r="AA16" s="14">
        <v>142</v>
      </c>
      <c r="AB16" s="14">
        <v>39</v>
      </c>
      <c r="AC16" s="14"/>
      <c r="AD16" s="14"/>
      <c r="AE16" s="14">
        <v>9</v>
      </c>
      <c r="AF16" s="14">
        <v>123</v>
      </c>
      <c r="AG16" s="14">
        <v>132</v>
      </c>
      <c r="AH16" s="14">
        <v>126</v>
      </c>
      <c r="AI16" s="14">
        <v>6</v>
      </c>
    </row>
    <row r="17" spans="1:35" s="23" customFormat="1">
      <c r="A17" s="25" t="s">
        <v>29</v>
      </c>
      <c r="B17" s="9" t="s">
        <v>0</v>
      </c>
      <c r="C17" s="34">
        <f t="shared" si="0"/>
        <v>14</v>
      </c>
      <c r="D17" s="34">
        <f t="shared" si="0"/>
        <v>18</v>
      </c>
      <c r="E17" s="34">
        <f t="shared" si="0"/>
        <v>32</v>
      </c>
      <c r="F17" s="34">
        <f t="shared" si="0"/>
        <v>23</v>
      </c>
      <c r="G17" s="34">
        <f t="shared" si="0"/>
        <v>9</v>
      </c>
      <c r="H17" s="34"/>
      <c r="I17" s="34"/>
      <c r="J17" s="14">
        <v>13</v>
      </c>
      <c r="K17" s="14">
        <v>16</v>
      </c>
      <c r="L17" s="14">
        <v>29</v>
      </c>
      <c r="M17" s="14">
        <v>22</v>
      </c>
      <c r="N17" s="14">
        <v>7</v>
      </c>
      <c r="O17" s="14"/>
      <c r="P17" s="14">
        <v>1</v>
      </c>
      <c r="Q17" s="14">
        <v>2</v>
      </c>
      <c r="R17" s="14">
        <v>3</v>
      </c>
      <c r="S17" s="14">
        <v>1</v>
      </c>
      <c r="T17" s="14">
        <v>2</v>
      </c>
      <c r="U17" s="14"/>
      <c r="V17" s="14"/>
      <c r="W17" s="14"/>
      <c r="X17" s="14">
        <v>78</v>
      </c>
      <c r="Y17" s="14">
        <v>145</v>
      </c>
      <c r="Z17" s="14">
        <v>223</v>
      </c>
      <c r="AA17" s="14">
        <v>155</v>
      </c>
      <c r="AB17" s="14">
        <v>68</v>
      </c>
      <c r="AC17" s="14"/>
      <c r="AD17" s="14"/>
      <c r="AE17" s="14">
        <v>25</v>
      </c>
      <c r="AF17" s="14">
        <v>141</v>
      </c>
      <c r="AG17" s="14">
        <v>166</v>
      </c>
      <c r="AH17" s="14">
        <v>138</v>
      </c>
      <c r="AI17" s="14">
        <v>28</v>
      </c>
    </row>
    <row r="18" spans="1:35" s="23" customFormat="1">
      <c r="A18" s="25" t="s">
        <v>30</v>
      </c>
      <c r="B18" s="9" t="s">
        <v>0</v>
      </c>
      <c r="C18" s="34">
        <f t="shared" si="0"/>
        <v>2</v>
      </c>
      <c r="D18" s="34">
        <f t="shared" si="0"/>
        <v>1</v>
      </c>
      <c r="E18" s="34">
        <f t="shared" si="0"/>
        <v>3</v>
      </c>
      <c r="F18" s="34">
        <f t="shared" si="0"/>
        <v>2</v>
      </c>
      <c r="G18" s="34">
        <f t="shared" si="0"/>
        <v>1</v>
      </c>
      <c r="H18" s="34"/>
      <c r="I18" s="34"/>
      <c r="J18" s="14">
        <v>2</v>
      </c>
      <c r="K18" s="14">
        <v>1</v>
      </c>
      <c r="L18" s="14">
        <v>3</v>
      </c>
      <c r="M18" s="14">
        <v>2</v>
      </c>
      <c r="N18" s="14">
        <v>1</v>
      </c>
      <c r="O18" s="14"/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/>
      <c r="V18" s="14"/>
      <c r="W18" s="14"/>
      <c r="X18" s="14">
        <v>6</v>
      </c>
      <c r="Y18" s="14">
        <v>33</v>
      </c>
      <c r="Z18" s="14">
        <v>39</v>
      </c>
      <c r="AA18" s="14">
        <v>28</v>
      </c>
      <c r="AB18" s="14">
        <v>11</v>
      </c>
      <c r="AC18" s="14"/>
      <c r="AD18" s="14"/>
      <c r="AE18" s="14">
        <v>2</v>
      </c>
      <c r="AF18" s="14">
        <v>19</v>
      </c>
      <c r="AG18" s="14">
        <v>21</v>
      </c>
      <c r="AH18" s="14">
        <v>21</v>
      </c>
      <c r="AI18" s="14">
        <v>0</v>
      </c>
    </row>
    <row r="19" spans="1:35" s="23" customFormat="1">
      <c r="A19" s="25" t="s">
        <v>31</v>
      </c>
      <c r="B19" s="9" t="s">
        <v>0</v>
      </c>
      <c r="C19" s="34">
        <f t="shared" si="0"/>
        <v>4</v>
      </c>
      <c r="D19" s="34">
        <f t="shared" si="0"/>
        <v>4</v>
      </c>
      <c r="E19" s="34">
        <f t="shared" si="0"/>
        <v>8</v>
      </c>
      <c r="F19" s="34">
        <f t="shared" si="0"/>
        <v>3</v>
      </c>
      <c r="G19" s="34">
        <f t="shared" si="0"/>
        <v>5</v>
      </c>
      <c r="H19" s="34"/>
      <c r="I19" s="34"/>
      <c r="J19" s="14">
        <v>4</v>
      </c>
      <c r="K19" s="14">
        <v>3</v>
      </c>
      <c r="L19" s="14">
        <v>7</v>
      </c>
      <c r="M19" s="14">
        <v>3</v>
      </c>
      <c r="N19" s="14">
        <v>4</v>
      </c>
      <c r="O19" s="14"/>
      <c r="P19" s="14">
        <v>0</v>
      </c>
      <c r="Q19" s="14">
        <v>1</v>
      </c>
      <c r="R19" s="14">
        <v>1</v>
      </c>
      <c r="S19" s="14">
        <v>0</v>
      </c>
      <c r="T19" s="14">
        <v>1</v>
      </c>
      <c r="U19" s="14"/>
      <c r="V19" s="14"/>
      <c r="W19" s="14"/>
      <c r="X19" s="14">
        <v>89</v>
      </c>
      <c r="Y19" s="14">
        <v>62</v>
      </c>
      <c r="Z19" s="14">
        <v>151</v>
      </c>
      <c r="AA19" s="14">
        <v>109</v>
      </c>
      <c r="AB19" s="14">
        <v>42</v>
      </c>
      <c r="AC19" s="14"/>
      <c r="AD19" s="14"/>
      <c r="AE19" s="14">
        <v>6</v>
      </c>
      <c r="AF19" s="14">
        <v>72</v>
      </c>
      <c r="AG19" s="14">
        <v>78</v>
      </c>
      <c r="AH19" s="14">
        <v>71</v>
      </c>
      <c r="AI19" s="14">
        <v>7</v>
      </c>
    </row>
    <row r="20" spans="1:35" s="23" customFormat="1">
      <c r="A20" s="25" t="s">
        <v>32</v>
      </c>
      <c r="B20" s="9" t="s">
        <v>0</v>
      </c>
      <c r="C20" s="34">
        <f t="shared" si="0"/>
        <v>6</v>
      </c>
      <c r="D20" s="34">
        <f t="shared" si="0"/>
        <v>14</v>
      </c>
      <c r="E20" s="34">
        <f t="shared" si="0"/>
        <v>20</v>
      </c>
      <c r="F20" s="34">
        <f t="shared" si="0"/>
        <v>13</v>
      </c>
      <c r="G20" s="34">
        <f t="shared" si="0"/>
        <v>7</v>
      </c>
      <c r="H20" s="34"/>
      <c r="I20" s="34"/>
      <c r="J20" s="14">
        <v>5</v>
      </c>
      <c r="K20" s="14">
        <v>14</v>
      </c>
      <c r="L20" s="14">
        <v>19</v>
      </c>
      <c r="M20" s="14">
        <v>12</v>
      </c>
      <c r="N20" s="14">
        <v>7</v>
      </c>
      <c r="O20" s="14"/>
      <c r="P20" s="14">
        <v>1</v>
      </c>
      <c r="Q20" s="14">
        <v>0</v>
      </c>
      <c r="R20" s="14">
        <v>1</v>
      </c>
      <c r="S20" s="14">
        <v>1</v>
      </c>
      <c r="T20" s="14">
        <v>0</v>
      </c>
      <c r="U20" s="14"/>
      <c r="V20" s="14"/>
      <c r="W20" s="14"/>
      <c r="X20" s="14">
        <v>50</v>
      </c>
      <c r="Y20" s="14">
        <v>83</v>
      </c>
      <c r="Z20" s="14">
        <v>133</v>
      </c>
      <c r="AA20" s="14">
        <v>84</v>
      </c>
      <c r="AB20" s="14">
        <v>49</v>
      </c>
      <c r="AC20" s="14"/>
      <c r="AD20" s="14"/>
      <c r="AE20" s="14">
        <v>14</v>
      </c>
      <c r="AF20" s="14">
        <v>70</v>
      </c>
      <c r="AG20" s="14">
        <v>84</v>
      </c>
      <c r="AH20" s="14">
        <v>70</v>
      </c>
      <c r="AI20" s="14">
        <v>14</v>
      </c>
    </row>
    <row r="21" spans="1:35" s="23" customFormat="1">
      <c r="A21" s="25" t="s">
        <v>33</v>
      </c>
      <c r="B21" s="9" t="s">
        <v>0</v>
      </c>
      <c r="C21" s="34">
        <f t="shared" si="0"/>
        <v>5</v>
      </c>
      <c r="D21" s="34">
        <f t="shared" si="0"/>
        <v>4</v>
      </c>
      <c r="E21" s="34">
        <f t="shared" si="0"/>
        <v>9</v>
      </c>
      <c r="F21" s="34">
        <f t="shared" si="0"/>
        <v>6</v>
      </c>
      <c r="G21" s="34">
        <f t="shared" si="0"/>
        <v>3</v>
      </c>
      <c r="H21" s="34"/>
      <c r="I21" s="34"/>
      <c r="J21" s="14">
        <v>3</v>
      </c>
      <c r="K21" s="14">
        <v>4</v>
      </c>
      <c r="L21" s="14">
        <v>7</v>
      </c>
      <c r="M21" s="14">
        <v>6</v>
      </c>
      <c r="N21" s="14">
        <v>1</v>
      </c>
      <c r="O21" s="14"/>
      <c r="P21" s="14">
        <v>2</v>
      </c>
      <c r="Q21" s="14">
        <v>0</v>
      </c>
      <c r="R21" s="14">
        <v>2</v>
      </c>
      <c r="S21" s="14">
        <v>0</v>
      </c>
      <c r="T21" s="14">
        <v>2</v>
      </c>
      <c r="U21" s="14"/>
      <c r="V21" s="14"/>
      <c r="W21" s="14"/>
      <c r="X21" s="14">
        <v>57</v>
      </c>
      <c r="Y21" s="14">
        <v>89</v>
      </c>
      <c r="Z21" s="14">
        <v>146</v>
      </c>
      <c r="AA21" s="14">
        <v>111</v>
      </c>
      <c r="AB21" s="14">
        <v>35</v>
      </c>
      <c r="AC21" s="14"/>
      <c r="AD21" s="14"/>
      <c r="AE21" s="14">
        <v>14</v>
      </c>
      <c r="AF21" s="14">
        <v>85</v>
      </c>
      <c r="AG21" s="14">
        <v>99</v>
      </c>
      <c r="AH21" s="14">
        <v>87</v>
      </c>
      <c r="AI21" s="14">
        <v>12</v>
      </c>
    </row>
    <row r="22" spans="1:35" s="23" customFormat="1">
      <c r="A22" s="25" t="s">
        <v>34</v>
      </c>
      <c r="B22" s="9" t="s">
        <v>0</v>
      </c>
      <c r="C22" s="34">
        <f t="shared" si="0"/>
        <v>46</v>
      </c>
      <c r="D22" s="34">
        <f t="shared" si="0"/>
        <v>76</v>
      </c>
      <c r="E22" s="34">
        <f t="shared" si="0"/>
        <v>122</v>
      </c>
      <c r="F22" s="34">
        <f t="shared" si="0"/>
        <v>34</v>
      </c>
      <c r="G22" s="34">
        <f t="shared" si="0"/>
        <v>88</v>
      </c>
      <c r="H22" s="34"/>
      <c r="I22" s="34"/>
      <c r="J22" s="14">
        <v>42</v>
      </c>
      <c r="K22" s="14">
        <v>67</v>
      </c>
      <c r="L22" s="14">
        <v>109</v>
      </c>
      <c r="M22" s="14">
        <v>27</v>
      </c>
      <c r="N22" s="14">
        <v>82</v>
      </c>
      <c r="O22" s="14"/>
      <c r="P22" s="14">
        <v>4</v>
      </c>
      <c r="Q22" s="14">
        <v>9</v>
      </c>
      <c r="R22" s="14">
        <v>13</v>
      </c>
      <c r="S22" s="14">
        <v>7</v>
      </c>
      <c r="T22" s="14">
        <v>6</v>
      </c>
      <c r="U22" s="14"/>
      <c r="V22" s="14"/>
      <c r="W22" s="14"/>
      <c r="X22" s="14">
        <v>103</v>
      </c>
      <c r="Y22" s="14">
        <v>177</v>
      </c>
      <c r="Z22" s="14">
        <v>280</v>
      </c>
      <c r="AA22" s="14">
        <v>172</v>
      </c>
      <c r="AB22" s="14">
        <v>108</v>
      </c>
      <c r="AC22" s="14"/>
      <c r="AD22" s="14"/>
      <c r="AE22" s="14">
        <v>22</v>
      </c>
      <c r="AF22" s="14">
        <v>171</v>
      </c>
      <c r="AG22" s="14">
        <v>193</v>
      </c>
      <c r="AH22" s="14">
        <v>168</v>
      </c>
      <c r="AI22" s="14">
        <v>25</v>
      </c>
    </row>
    <row r="23" spans="1:35" s="23" customFormat="1">
      <c r="A23" s="25" t="s">
        <v>35</v>
      </c>
      <c r="B23" s="9" t="s">
        <v>0</v>
      </c>
      <c r="C23" s="34">
        <f t="shared" si="0"/>
        <v>89</v>
      </c>
      <c r="D23" s="34">
        <f t="shared" si="0"/>
        <v>108</v>
      </c>
      <c r="E23" s="34">
        <f t="shared" si="0"/>
        <v>197</v>
      </c>
      <c r="F23" s="34">
        <f t="shared" si="0"/>
        <v>33</v>
      </c>
      <c r="G23" s="34">
        <f t="shared" si="0"/>
        <v>164</v>
      </c>
      <c r="H23" s="34"/>
      <c r="I23" s="34"/>
      <c r="J23" s="14">
        <v>82</v>
      </c>
      <c r="K23" s="14">
        <v>104</v>
      </c>
      <c r="L23" s="14">
        <v>186</v>
      </c>
      <c r="M23" s="14">
        <v>31</v>
      </c>
      <c r="N23" s="14">
        <v>155</v>
      </c>
      <c r="O23" s="14"/>
      <c r="P23" s="14">
        <v>7</v>
      </c>
      <c r="Q23" s="14">
        <v>4</v>
      </c>
      <c r="R23" s="14">
        <v>11</v>
      </c>
      <c r="S23" s="14">
        <v>2</v>
      </c>
      <c r="T23" s="14">
        <v>9</v>
      </c>
      <c r="U23" s="14"/>
      <c r="V23" s="14"/>
      <c r="W23" s="14"/>
      <c r="X23" s="14">
        <v>292</v>
      </c>
      <c r="Y23" s="14">
        <v>374</v>
      </c>
      <c r="Z23" s="14">
        <v>666</v>
      </c>
      <c r="AA23" s="14">
        <v>422</v>
      </c>
      <c r="AB23" s="14">
        <v>244</v>
      </c>
      <c r="AC23" s="14"/>
      <c r="AD23" s="14"/>
      <c r="AE23" s="14">
        <v>55</v>
      </c>
      <c r="AF23" s="14">
        <v>291</v>
      </c>
      <c r="AG23" s="14">
        <v>346</v>
      </c>
      <c r="AH23" s="14">
        <v>281</v>
      </c>
      <c r="AI23" s="14">
        <v>65</v>
      </c>
    </row>
    <row r="24" spans="1:35" s="23" customFormat="1">
      <c r="A24" s="25" t="s">
        <v>36</v>
      </c>
      <c r="B24" s="9" t="s">
        <v>0</v>
      </c>
      <c r="C24" s="34">
        <f t="shared" si="0"/>
        <v>34</v>
      </c>
      <c r="D24" s="34">
        <f t="shared" si="0"/>
        <v>48</v>
      </c>
      <c r="E24" s="34">
        <f t="shared" si="0"/>
        <v>82</v>
      </c>
      <c r="F24" s="34">
        <f t="shared" si="0"/>
        <v>48</v>
      </c>
      <c r="G24" s="34">
        <f t="shared" si="0"/>
        <v>34</v>
      </c>
      <c r="H24" s="34"/>
      <c r="I24" s="34"/>
      <c r="J24" s="14">
        <v>29</v>
      </c>
      <c r="K24" s="14">
        <v>47</v>
      </c>
      <c r="L24" s="14">
        <v>76</v>
      </c>
      <c r="M24" s="14">
        <v>45</v>
      </c>
      <c r="N24" s="14">
        <v>31</v>
      </c>
      <c r="O24" s="14"/>
      <c r="P24" s="14">
        <v>5</v>
      </c>
      <c r="Q24" s="14">
        <v>1</v>
      </c>
      <c r="R24" s="14">
        <v>6</v>
      </c>
      <c r="S24" s="14">
        <v>3</v>
      </c>
      <c r="T24" s="14">
        <v>3</v>
      </c>
      <c r="U24" s="14"/>
      <c r="V24" s="14"/>
      <c r="W24" s="14"/>
      <c r="X24" s="14">
        <v>185</v>
      </c>
      <c r="Y24" s="14">
        <v>652</v>
      </c>
      <c r="Z24" s="14">
        <v>837</v>
      </c>
      <c r="AA24" s="14">
        <v>625</v>
      </c>
      <c r="AB24" s="14">
        <v>212</v>
      </c>
      <c r="AC24" s="14"/>
      <c r="AD24" s="14"/>
      <c r="AE24" s="14">
        <v>31</v>
      </c>
      <c r="AF24" s="14">
        <v>238</v>
      </c>
      <c r="AG24" s="14">
        <v>269</v>
      </c>
      <c r="AH24" s="14">
        <v>245</v>
      </c>
      <c r="AI24" s="14">
        <v>24</v>
      </c>
    </row>
    <row r="25" spans="1:35" s="23" customFormat="1">
      <c r="A25" s="25" t="s">
        <v>37</v>
      </c>
      <c r="B25" s="9" t="s">
        <v>0</v>
      </c>
      <c r="C25" s="34">
        <f t="shared" si="0"/>
        <v>28</v>
      </c>
      <c r="D25" s="34">
        <f t="shared" si="0"/>
        <v>57</v>
      </c>
      <c r="E25" s="34">
        <f t="shared" si="0"/>
        <v>85</v>
      </c>
      <c r="F25" s="34">
        <f t="shared" si="0"/>
        <v>33</v>
      </c>
      <c r="G25" s="34">
        <f t="shared" si="0"/>
        <v>52</v>
      </c>
      <c r="H25" s="34"/>
      <c r="I25" s="34"/>
      <c r="J25" s="14">
        <v>27</v>
      </c>
      <c r="K25" s="14">
        <v>50</v>
      </c>
      <c r="L25" s="14">
        <v>77</v>
      </c>
      <c r="M25" s="14">
        <v>29</v>
      </c>
      <c r="N25" s="14">
        <v>48</v>
      </c>
      <c r="O25" s="14"/>
      <c r="P25" s="14">
        <v>1</v>
      </c>
      <c r="Q25" s="14">
        <v>7</v>
      </c>
      <c r="R25" s="14">
        <v>8</v>
      </c>
      <c r="S25" s="14">
        <v>4</v>
      </c>
      <c r="T25" s="14">
        <v>4</v>
      </c>
      <c r="U25" s="14"/>
      <c r="V25" s="14"/>
      <c r="W25" s="14"/>
      <c r="X25" s="14">
        <v>97</v>
      </c>
      <c r="Y25" s="14">
        <v>381</v>
      </c>
      <c r="Z25" s="14">
        <v>478</v>
      </c>
      <c r="AA25" s="14">
        <v>354</v>
      </c>
      <c r="AB25" s="14">
        <v>124</v>
      </c>
      <c r="AC25" s="14"/>
      <c r="AD25" s="14"/>
      <c r="AE25" s="14">
        <v>25</v>
      </c>
      <c r="AF25" s="14">
        <v>309</v>
      </c>
      <c r="AG25" s="14">
        <v>334</v>
      </c>
      <c r="AH25" s="14">
        <v>314</v>
      </c>
      <c r="AI25" s="14">
        <v>20</v>
      </c>
    </row>
    <row r="26" spans="1:35" s="23" customFormat="1">
      <c r="A26" s="25" t="s">
        <v>38</v>
      </c>
      <c r="B26" s="9" t="s">
        <v>0</v>
      </c>
      <c r="C26" s="34">
        <f t="shared" si="0"/>
        <v>106</v>
      </c>
      <c r="D26" s="34">
        <f t="shared" si="0"/>
        <v>149</v>
      </c>
      <c r="E26" s="34">
        <f t="shared" si="0"/>
        <v>255</v>
      </c>
      <c r="F26" s="34">
        <f t="shared" si="0"/>
        <v>110</v>
      </c>
      <c r="G26" s="34">
        <f t="shared" si="0"/>
        <v>145</v>
      </c>
      <c r="H26" s="34"/>
      <c r="I26" s="34"/>
      <c r="J26" s="14">
        <v>94</v>
      </c>
      <c r="K26" s="14">
        <v>128</v>
      </c>
      <c r="L26" s="14">
        <v>222</v>
      </c>
      <c r="M26" s="14">
        <v>95</v>
      </c>
      <c r="N26" s="14">
        <v>127</v>
      </c>
      <c r="O26" s="14"/>
      <c r="P26" s="14">
        <v>12</v>
      </c>
      <c r="Q26" s="14">
        <v>21</v>
      </c>
      <c r="R26" s="14">
        <v>33</v>
      </c>
      <c r="S26" s="14">
        <v>15</v>
      </c>
      <c r="T26" s="14">
        <v>18</v>
      </c>
      <c r="U26" s="14"/>
      <c r="V26" s="14"/>
      <c r="W26" s="14"/>
      <c r="X26" s="14">
        <v>49</v>
      </c>
      <c r="Y26" s="14">
        <v>295</v>
      </c>
      <c r="Z26" s="14">
        <v>344</v>
      </c>
      <c r="AA26" s="14">
        <v>257</v>
      </c>
      <c r="AB26" s="14">
        <v>87</v>
      </c>
      <c r="AC26" s="14"/>
      <c r="AD26" s="14"/>
      <c r="AE26" s="14">
        <v>18</v>
      </c>
      <c r="AF26" s="14">
        <v>242</v>
      </c>
      <c r="AG26" s="14">
        <v>260</v>
      </c>
      <c r="AH26" s="14">
        <v>228</v>
      </c>
      <c r="AI26" s="14">
        <v>32</v>
      </c>
    </row>
    <row r="27" spans="1:35" s="24" customFormat="1">
      <c r="A27" s="25" t="s">
        <v>39</v>
      </c>
      <c r="B27" s="9" t="s">
        <v>0</v>
      </c>
      <c r="C27" s="34">
        <f t="shared" si="0"/>
        <v>7</v>
      </c>
      <c r="D27" s="34">
        <f t="shared" si="0"/>
        <v>244</v>
      </c>
      <c r="E27" s="34">
        <f t="shared" si="0"/>
        <v>251</v>
      </c>
      <c r="F27" s="34">
        <f t="shared" si="0"/>
        <v>61</v>
      </c>
      <c r="G27" s="34">
        <f t="shared" si="0"/>
        <v>190</v>
      </c>
      <c r="H27" s="34"/>
      <c r="I27" s="34"/>
      <c r="J27" s="14">
        <v>6</v>
      </c>
      <c r="K27" s="14">
        <v>221</v>
      </c>
      <c r="L27" s="14">
        <v>227</v>
      </c>
      <c r="M27" s="14">
        <v>55</v>
      </c>
      <c r="N27" s="14">
        <v>172</v>
      </c>
      <c r="O27" s="14"/>
      <c r="P27" s="14">
        <v>1</v>
      </c>
      <c r="Q27" s="14">
        <v>23</v>
      </c>
      <c r="R27" s="14">
        <v>24</v>
      </c>
      <c r="S27" s="14">
        <v>6</v>
      </c>
      <c r="T27" s="14">
        <v>18</v>
      </c>
      <c r="U27" s="14"/>
      <c r="V27" s="14"/>
      <c r="W27" s="14"/>
      <c r="X27" s="14">
        <v>41</v>
      </c>
      <c r="Y27" s="14">
        <v>390</v>
      </c>
      <c r="Z27" s="14">
        <v>431</v>
      </c>
      <c r="AA27" s="14">
        <v>223</v>
      </c>
      <c r="AB27" s="14">
        <v>208</v>
      </c>
      <c r="AC27" s="14"/>
      <c r="AD27" s="14"/>
      <c r="AE27" s="14">
        <v>13</v>
      </c>
      <c r="AF27" s="14">
        <v>428</v>
      </c>
      <c r="AG27" s="14">
        <v>441</v>
      </c>
      <c r="AH27" s="14">
        <v>375</v>
      </c>
      <c r="AI27" s="14">
        <v>66</v>
      </c>
    </row>
    <row r="28" spans="1:35">
      <c r="A28" s="10" t="s">
        <v>14</v>
      </c>
      <c r="B28" s="11" t="s">
        <v>15</v>
      </c>
      <c r="C28" s="34">
        <f t="shared" si="0"/>
        <v>0</v>
      </c>
      <c r="D28" s="34">
        <f t="shared" si="0"/>
        <v>0</v>
      </c>
      <c r="E28" s="34">
        <f t="shared" si="0"/>
        <v>0</v>
      </c>
      <c r="F28" s="34">
        <f t="shared" si="0"/>
        <v>0</v>
      </c>
      <c r="G28" s="34">
        <f t="shared" si="0"/>
        <v>0</v>
      </c>
      <c r="H28" s="34"/>
      <c r="I28" s="34"/>
      <c r="J28" s="12">
        <v>0</v>
      </c>
      <c r="K28" s="13">
        <v>0</v>
      </c>
      <c r="L28" s="13">
        <v>0</v>
      </c>
      <c r="M28" s="13">
        <v>0</v>
      </c>
      <c r="N28" s="14">
        <v>0</v>
      </c>
      <c r="O28" s="14"/>
      <c r="P28" s="13">
        <v>0</v>
      </c>
      <c r="Q28" s="13">
        <v>0</v>
      </c>
      <c r="R28" s="13">
        <v>0</v>
      </c>
      <c r="S28" s="13">
        <v>0</v>
      </c>
      <c r="T28" s="14">
        <v>0</v>
      </c>
      <c r="U28" s="14"/>
      <c r="V28" s="14"/>
      <c r="W28" s="14"/>
      <c r="X28" s="13">
        <v>1736</v>
      </c>
      <c r="Y28" s="13">
        <v>2277</v>
      </c>
      <c r="Z28" s="13">
        <v>4013</v>
      </c>
      <c r="AA28" s="13">
        <v>2412</v>
      </c>
      <c r="AB28" s="14">
        <v>1601</v>
      </c>
      <c r="AC28" s="14"/>
      <c r="AD28" s="14"/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1:35">
      <c r="A29" s="10" t="s">
        <v>14</v>
      </c>
      <c r="B29" s="11" t="s">
        <v>16</v>
      </c>
      <c r="C29" s="34">
        <f t="shared" si="0"/>
        <v>2191</v>
      </c>
      <c r="D29" s="34">
        <f t="shared" si="0"/>
        <v>1158</v>
      </c>
      <c r="E29" s="34">
        <f t="shared" si="0"/>
        <v>3349</v>
      </c>
      <c r="F29" s="34">
        <f t="shared" si="0"/>
        <v>990</v>
      </c>
      <c r="G29" s="34">
        <f t="shared" si="0"/>
        <v>2359</v>
      </c>
      <c r="H29" s="34"/>
      <c r="I29" s="34"/>
      <c r="J29" s="13">
        <v>2191</v>
      </c>
      <c r="K29" s="13">
        <v>1158</v>
      </c>
      <c r="L29" s="13">
        <v>3349</v>
      </c>
      <c r="M29" s="13">
        <v>990</v>
      </c>
      <c r="N29" s="14">
        <v>2359</v>
      </c>
      <c r="O29" s="14"/>
      <c r="P29" s="13">
        <v>0</v>
      </c>
      <c r="Q29" s="13">
        <v>0</v>
      </c>
      <c r="R29" s="13">
        <v>0</v>
      </c>
      <c r="S29" s="13">
        <v>0</v>
      </c>
      <c r="T29" s="14">
        <v>0</v>
      </c>
      <c r="U29" s="14"/>
      <c r="V29" s="14"/>
      <c r="W29" s="14"/>
      <c r="X29" s="13">
        <v>0</v>
      </c>
      <c r="Y29" s="13">
        <v>0</v>
      </c>
      <c r="Z29" s="13">
        <v>0</v>
      </c>
      <c r="AA29" s="13">
        <v>0</v>
      </c>
      <c r="AB29" s="14">
        <v>0</v>
      </c>
      <c r="AC29" s="14"/>
      <c r="AD29" s="14"/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1:35">
      <c r="A30" s="10" t="s">
        <v>14</v>
      </c>
      <c r="B30" s="11" t="s">
        <v>17</v>
      </c>
      <c r="C30" s="34">
        <f t="shared" si="0"/>
        <v>0</v>
      </c>
      <c r="D30" s="34">
        <f t="shared" si="0"/>
        <v>0</v>
      </c>
      <c r="E30" s="34">
        <f t="shared" si="0"/>
        <v>0</v>
      </c>
      <c r="F30" s="34">
        <f t="shared" si="0"/>
        <v>0</v>
      </c>
      <c r="G30" s="34">
        <f t="shared" si="0"/>
        <v>0</v>
      </c>
      <c r="H30" s="34"/>
      <c r="I30" s="34"/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4"/>
      <c r="P30" s="13">
        <v>0</v>
      </c>
      <c r="Q30" s="13">
        <v>0</v>
      </c>
      <c r="R30" s="13">
        <v>0</v>
      </c>
      <c r="S30" s="13">
        <v>0</v>
      </c>
      <c r="T30" s="14">
        <v>0</v>
      </c>
      <c r="U30" s="14"/>
      <c r="V30" s="14"/>
      <c r="W30" s="14"/>
      <c r="X30" s="13">
        <v>0</v>
      </c>
      <c r="Y30" s="13">
        <v>0</v>
      </c>
      <c r="Z30" s="13">
        <v>0</v>
      </c>
      <c r="AA30" s="13">
        <v>0</v>
      </c>
      <c r="AB30" s="14">
        <v>0</v>
      </c>
      <c r="AC30" s="14"/>
      <c r="AD30" s="14"/>
      <c r="AE30" s="13">
        <v>451</v>
      </c>
      <c r="AF30" s="13">
        <v>2251</v>
      </c>
      <c r="AG30" s="13">
        <v>2702</v>
      </c>
      <c r="AH30" s="13">
        <v>2194</v>
      </c>
      <c r="AI30" s="13">
        <v>508</v>
      </c>
    </row>
    <row r="31" spans="1:35">
      <c r="A31" s="10" t="s">
        <v>14</v>
      </c>
      <c r="B31" s="11" t="s">
        <v>18</v>
      </c>
      <c r="C31" s="34">
        <f t="shared" si="0"/>
        <v>54</v>
      </c>
      <c r="D31" s="34">
        <f t="shared" si="0"/>
        <v>83</v>
      </c>
      <c r="E31" s="34">
        <f t="shared" si="0"/>
        <v>137</v>
      </c>
      <c r="F31" s="34">
        <f t="shared" si="0"/>
        <v>94</v>
      </c>
      <c r="G31" s="34">
        <f t="shared" si="0"/>
        <v>43</v>
      </c>
      <c r="H31" s="34"/>
      <c r="I31" s="34"/>
      <c r="J31" s="13">
        <v>0</v>
      </c>
      <c r="K31" s="13">
        <v>0</v>
      </c>
      <c r="L31" s="13">
        <v>0</v>
      </c>
      <c r="M31" s="13">
        <v>0</v>
      </c>
      <c r="N31" s="14">
        <v>0</v>
      </c>
      <c r="O31" s="14"/>
      <c r="P31" s="13">
        <v>54</v>
      </c>
      <c r="Q31" s="13">
        <v>83</v>
      </c>
      <c r="R31" s="13">
        <v>137</v>
      </c>
      <c r="S31" s="13">
        <v>94</v>
      </c>
      <c r="T31" s="14">
        <v>43</v>
      </c>
      <c r="U31" s="14"/>
      <c r="V31" s="14"/>
      <c r="W31" s="14"/>
      <c r="X31" s="13">
        <v>0</v>
      </c>
      <c r="Y31" s="13">
        <v>0</v>
      </c>
      <c r="Z31" s="13">
        <v>0</v>
      </c>
      <c r="AA31" s="13">
        <v>0</v>
      </c>
      <c r="AB31" s="14">
        <v>0</v>
      </c>
      <c r="AC31" s="14"/>
      <c r="AD31" s="14"/>
      <c r="AE31" s="13">
        <v>0</v>
      </c>
      <c r="AF31" s="13">
        <v>0</v>
      </c>
      <c r="AG31" s="13">
        <v>0</v>
      </c>
      <c r="AH31" s="13">
        <v>0</v>
      </c>
      <c r="AI31" s="13">
        <v>0</v>
      </c>
    </row>
    <row r="32" spans="1:35">
      <c r="A32" s="17" t="s">
        <v>14</v>
      </c>
      <c r="B32" s="18" t="s">
        <v>19</v>
      </c>
      <c r="C32" s="34">
        <f t="shared" si="0"/>
        <v>2</v>
      </c>
      <c r="D32" s="34">
        <f t="shared" si="0"/>
        <v>5</v>
      </c>
      <c r="E32" s="34">
        <f t="shared" si="0"/>
        <v>7</v>
      </c>
      <c r="F32" s="34">
        <f t="shared" si="0"/>
        <v>0</v>
      </c>
      <c r="G32" s="34">
        <f t="shared" si="0"/>
        <v>7</v>
      </c>
      <c r="H32" s="34"/>
      <c r="I32" s="34"/>
      <c r="J32" s="19">
        <v>2</v>
      </c>
      <c r="K32" s="19">
        <v>5</v>
      </c>
      <c r="L32" s="19">
        <v>7</v>
      </c>
      <c r="M32" s="19">
        <v>0</v>
      </c>
      <c r="N32" s="20">
        <v>7</v>
      </c>
      <c r="O32" s="20"/>
      <c r="P32" s="19">
        <v>0</v>
      </c>
      <c r="Q32" s="19">
        <v>0</v>
      </c>
      <c r="R32" s="19">
        <v>0</v>
      </c>
      <c r="S32" s="19">
        <v>0</v>
      </c>
      <c r="T32" s="20">
        <v>0</v>
      </c>
      <c r="U32" s="20"/>
      <c r="V32" s="20"/>
      <c r="W32" s="20"/>
      <c r="X32" s="19">
        <v>111</v>
      </c>
      <c r="Y32" s="19">
        <v>448</v>
      </c>
      <c r="Z32" s="19">
        <v>558</v>
      </c>
      <c r="AA32" s="19">
        <v>307</v>
      </c>
      <c r="AB32" s="20">
        <v>251</v>
      </c>
      <c r="AC32" s="20"/>
      <c r="AD32" s="20"/>
      <c r="AE32" s="19">
        <v>5</v>
      </c>
      <c r="AF32" s="19">
        <v>116</v>
      </c>
      <c r="AG32" s="19">
        <v>121</v>
      </c>
      <c r="AH32" s="19">
        <v>102</v>
      </c>
      <c r="AI32" s="19">
        <v>19</v>
      </c>
    </row>
    <row r="33" spans="1:35">
      <c r="A33" s="22" t="s">
        <v>1</v>
      </c>
      <c r="AI33" s="7" t="s">
        <v>45</v>
      </c>
    </row>
    <row r="36" spans="1:35">
      <c r="A36" s="1"/>
      <c r="B36" s="28" t="s">
        <v>46</v>
      </c>
    </row>
    <row r="37" spans="1:35">
      <c r="B37" s="29" t="s">
        <v>40</v>
      </c>
      <c r="C37" s="29" t="s">
        <v>47</v>
      </c>
      <c r="D37" s="29" t="s">
        <v>41</v>
      </c>
      <c r="E37" s="29"/>
      <c r="F37" s="29"/>
    </row>
    <row r="38" spans="1:35">
      <c r="A38" s="29" t="s">
        <v>48</v>
      </c>
      <c r="B38" s="30">
        <f>H5</f>
        <v>32.906696345761453</v>
      </c>
      <c r="C38" s="30">
        <f>AC5</f>
        <v>62.419047619047618</v>
      </c>
      <c r="D38" s="30">
        <f>AJ5</f>
        <v>84.499785315586081</v>
      </c>
    </row>
    <row r="39" spans="1:35">
      <c r="A39" s="29" t="s">
        <v>49</v>
      </c>
      <c r="B39" s="30">
        <f>H6</f>
        <v>31.033495562553682</v>
      </c>
      <c r="C39" s="30">
        <f>AC6</f>
        <v>59.483701597024719</v>
      </c>
      <c r="D39" s="30">
        <f>AJ6</f>
        <v>81.331916400991858</v>
      </c>
    </row>
    <row r="40" spans="1:35">
      <c r="A40" s="29" t="s">
        <v>50</v>
      </c>
      <c r="B40" s="30">
        <f>H7</f>
        <v>36.354056902002107</v>
      </c>
      <c r="C40" s="30">
        <f>AC7</f>
        <v>64.682071175577676</v>
      </c>
      <c r="D40" s="30">
        <f>AJ7</f>
        <v>86.647454370797306</v>
      </c>
    </row>
    <row r="42" spans="1:35">
      <c r="B42" s="36" t="s">
        <v>53</v>
      </c>
      <c r="C42" s="36"/>
      <c r="D42" s="36"/>
    </row>
    <row r="43" spans="1:35">
      <c r="B43" s="29" t="s">
        <v>40</v>
      </c>
      <c r="C43" s="29" t="s">
        <v>47</v>
      </c>
      <c r="D43" s="29" t="s">
        <v>41</v>
      </c>
    </row>
    <row r="44" spans="1:35">
      <c r="A44" s="29" t="s">
        <v>48</v>
      </c>
      <c r="B44" s="37">
        <f>G5</f>
        <v>3617</v>
      </c>
      <c r="C44" s="37">
        <f>AB5</f>
        <v>3946</v>
      </c>
      <c r="D44" s="37">
        <f>AI5</f>
        <v>1083</v>
      </c>
    </row>
    <row r="45" spans="1:35">
      <c r="A45" s="29" t="s">
        <v>49</v>
      </c>
      <c r="B45" s="37">
        <f>G6</f>
        <v>2409</v>
      </c>
      <c r="C45" s="37">
        <f>AB6</f>
        <v>1852</v>
      </c>
      <c r="D45" s="37">
        <f>AI6</f>
        <v>527</v>
      </c>
    </row>
    <row r="46" spans="1:35">
      <c r="A46" s="29" t="s">
        <v>50</v>
      </c>
      <c r="B46" s="37">
        <f>G7</f>
        <v>1208</v>
      </c>
      <c r="C46" s="37">
        <f>AB7</f>
        <v>2094</v>
      </c>
      <c r="D46" s="37">
        <f>AI7</f>
        <v>556</v>
      </c>
    </row>
    <row r="49" spans="1:5">
      <c r="B49" s="36" t="s">
        <v>54</v>
      </c>
      <c r="C49" s="36"/>
      <c r="D49" s="36"/>
    </row>
    <row r="50" spans="1:5">
      <c r="B50" s="29" t="s">
        <v>40</v>
      </c>
      <c r="C50" s="29" t="s">
        <v>47</v>
      </c>
      <c r="D50" s="29" t="s">
        <v>41</v>
      </c>
    </row>
    <row r="51" spans="1:5">
      <c r="A51" s="29" t="s">
        <v>48</v>
      </c>
      <c r="B51" s="37">
        <f>F5</f>
        <v>1774</v>
      </c>
      <c r="C51" s="37">
        <f>AA5</f>
        <v>6554</v>
      </c>
      <c r="D51" s="37">
        <f>AH5</f>
        <v>5904</v>
      </c>
    </row>
    <row r="52" spans="1:5">
      <c r="A52" s="29" t="s">
        <v>49</v>
      </c>
      <c r="B52" s="37">
        <f>F6</f>
        <v>1084</v>
      </c>
      <c r="C52" s="37">
        <f>AA6</f>
        <v>2719</v>
      </c>
      <c r="D52" s="37">
        <f>AH6</f>
        <v>2296</v>
      </c>
    </row>
    <row r="53" spans="1:5">
      <c r="A53" s="29" t="s">
        <v>50</v>
      </c>
      <c r="B53" s="37">
        <f>F7</f>
        <v>690</v>
      </c>
      <c r="C53" s="37">
        <f>AA7</f>
        <v>3835</v>
      </c>
      <c r="D53" s="37">
        <f>AH7</f>
        <v>3608</v>
      </c>
    </row>
    <row r="55" spans="1:5">
      <c r="A55" s="28" t="s">
        <v>0</v>
      </c>
      <c r="B55" s="36"/>
      <c r="C55" s="36"/>
      <c r="D55" s="36"/>
    </row>
    <row r="56" spans="1:5">
      <c r="A56" s="28"/>
      <c r="B56" s="36" t="s">
        <v>43</v>
      </c>
      <c r="C56" s="36" t="s">
        <v>14</v>
      </c>
      <c r="D56" s="36" t="s">
        <v>42</v>
      </c>
    </row>
    <row r="57" spans="1:5">
      <c r="A57" s="36" t="s">
        <v>55</v>
      </c>
      <c r="B57" s="37">
        <v>7528</v>
      </c>
      <c r="C57" s="37">
        <v>4550</v>
      </c>
      <c r="D57" s="37">
        <v>2978</v>
      </c>
      <c r="E57" s="6"/>
    </row>
    <row r="58" spans="1:5">
      <c r="A58" s="36" t="s">
        <v>56</v>
      </c>
      <c r="B58" s="37">
        <v>15351</v>
      </c>
      <c r="C58" s="37">
        <v>6338</v>
      </c>
      <c r="D58" s="37">
        <v>9013</v>
      </c>
      <c r="E58" s="6"/>
    </row>
    <row r="59" spans="1:5">
      <c r="A59" s="36" t="s">
        <v>54</v>
      </c>
      <c r="B59" s="37">
        <v>14232</v>
      </c>
      <c r="C59" s="37">
        <v>6099</v>
      </c>
      <c r="D59" s="37">
        <v>8133</v>
      </c>
    </row>
    <row r="60" spans="1:5">
      <c r="A60" s="36" t="s">
        <v>53</v>
      </c>
      <c r="B60" s="37">
        <v>8646</v>
      </c>
      <c r="C60" s="37">
        <v>4788</v>
      </c>
      <c r="D60" s="37">
        <v>3858</v>
      </c>
    </row>
    <row r="61" spans="1:5">
      <c r="B61" s="9"/>
      <c r="C61" s="9"/>
      <c r="D61" s="9"/>
    </row>
    <row r="62" spans="1:5">
      <c r="A62" s="1"/>
      <c r="B62" s="6"/>
      <c r="C62" s="6"/>
      <c r="D62" s="6"/>
      <c r="E62" s="6"/>
    </row>
    <row r="63" spans="1:5">
      <c r="A63" s="1"/>
      <c r="B63" s="6"/>
      <c r="C63" s="6"/>
      <c r="D63" s="6"/>
      <c r="E63" s="6"/>
    </row>
    <row r="64" spans="1:5">
      <c r="A64" s="1"/>
      <c r="B64" s="6"/>
      <c r="C64" s="6"/>
      <c r="D64" s="6"/>
      <c r="E64" s="6"/>
    </row>
    <row r="65" spans="1:11">
      <c r="A65" s="1"/>
      <c r="B65" s="6"/>
      <c r="C65" s="6"/>
      <c r="D65" s="6"/>
      <c r="E65" s="6"/>
    </row>
    <row r="66" spans="1:11">
      <c r="B66" s="28" t="s">
        <v>57</v>
      </c>
    </row>
    <row r="67" spans="1:11">
      <c r="B67" s="36"/>
      <c r="H67" s="36" t="s">
        <v>58</v>
      </c>
    </row>
    <row r="68" spans="1:11">
      <c r="A68" s="1"/>
      <c r="B68" s="36"/>
      <c r="C68" s="36" t="s">
        <v>59</v>
      </c>
      <c r="D68" s="36" t="s">
        <v>60</v>
      </c>
      <c r="E68" s="36" t="s">
        <v>61</v>
      </c>
      <c r="F68" s="36" t="s">
        <v>62</v>
      </c>
      <c r="G68" s="36"/>
      <c r="H68" s="38" t="s">
        <v>63</v>
      </c>
      <c r="I68" s="36" t="s">
        <v>64</v>
      </c>
      <c r="J68" s="36" t="s">
        <v>65</v>
      </c>
      <c r="K68" s="36"/>
    </row>
    <row r="69" spans="1:11">
      <c r="A69" s="1"/>
      <c r="B69" s="36" t="s">
        <v>20</v>
      </c>
      <c r="C69" s="36">
        <v>590</v>
      </c>
      <c r="D69" s="36">
        <v>339</v>
      </c>
      <c r="E69" s="36">
        <v>251</v>
      </c>
      <c r="F69" s="30">
        <f>D69/C69*100</f>
        <v>57.457627118644069</v>
      </c>
      <c r="G69" s="36"/>
      <c r="H69" s="39">
        <v>10</v>
      </c>
      <c r="I69" s="30">
        <f t="shared" ref="I69:I88" si="1">C69/H69</f>
        <v>59</v>
      </c>
      <c r="J69" s="30">
        <f t="shared" ref="J69:J88" si="2">D69/H69</f>
        <v>33.9</v>
      </c>
      <c r="K69" s="36"/>
    </row>
    <row r="70" spans="1:11">
      <c r="A70" s="1"/>
      <c r="B70" s="36" t="s">
        <v>21</v>
      </c>
      <c r="C70" s="36">
        <v>692</v>
      </c>
      <c r="D70" s="36">
        <v>367</v>
      </c>
      <c r="E70" s="36">
        <v>325</v>
      </c>
      <c r="F70" s="30">
        <f t="shared" ref="F70:F88" si="3">D70/C70*100</f>
        <v>53.034682080924853</v>
      </c>
      <c r="G70" s="36"/>
      <c r="H70" s="39">
        <v>8</v>
      </c>
      <c r="I70" s="30">
        <f t="shared" si="1"/>
        <v>86.5</v>
      </c>
      <c r="J70" s="30">
        <f t="shared" si="2"/>
        <v>45.875</v>
      </c>
      <c r="K70" s="36"/>
    </row>
    <row r="71" spans="1:11">
      <c r="A71" s="1"/>
      <c r="B71" s="36" t="s">
        <v>22</v>
      </c>
      <c r="C71" s="36">
        <v>400</v>
      </c>
      <c r="D71" s="36">
        <v>332</v>
      </c>
      <c r="E71" s="36">
        <v>68</v>
      </c>
      <c r="F71" s="30">
        <f t="shared" si="3"/>
        <v>83</v>
      </c>
      <c r="G71" s="36"/>
      <c r="H71" s="39">
        <v>4</v>
      </c>
      <c r="I71" s="30">
        <f t="shared" si="1"/>
        <v>100</v>
      </c>
      <c r="J71" s="30">
        <f t="shared" si="2"/>
        <v>83</v>
      </c>
      <c r="K71" s="36"/>
    </row>
    <row r="72" spans="1:11">
      <c r="A72" s="1"/>
      <c r="B72" s="36" t="s">
        <v>23</v>
      </c>
      <c r="C72" s="36">
        <v>658</v>
      </c>
      <c r="D72" s="36">
        <v>407</v>
      </c>
      <c r="E72" s="36">
        <v>251</v>
      </c>
      <c r="F72" s="30">
        <f t="shared" si="3"/>
        <v>61.854103343465049</v>
      </c>
      <c r="G72" s="36"/>
      <c r="H72" s="39">
        <v>5</v>
      </c>
      <c r="I72" s="30">
        <f t="shared" si="1"/>
        <v>131.6</v>
      </c>
      <c r="J72" s="30">
        <f t="shared" si="2"/>
        <v>81.400000000000006</v>
      </c>
      <c r="K72" s="36"/>
    </row>
    <row r="73" spans="1:11">
      <c r="A73" s="1"/>
      <c r="B73" s="36" t="s">
        <v>24</v>
      </c>
      <c r="C73" s="36">
        <v>679</v>
      </c>
      <c r="D73" s="36">
        <v>485</v>
      </c>
      <c r="E73" s="36">
        <v>194</v>
      </c>
      <c r="F73" s="30">
        <f t="shared" si="3"/>
        <v>71.428571428571431</v>
      </c>
      <c r="G73" s="36"/>
      <c r="H73" s="39">
        <v>7</v>
      </c>
      <c r="I73" s="30">
        <f t="shared" si="1"/>
        <v>97</v>
      </c>
      <c r="J73" s="30">
        <f t="shared" si="2"/>
        <v>69.285714285714292</v>
      </c>
      <c r="K73" s="36"/>
    </row>
    <row r="74" spans="1:11">
      <c r="B74" s="36" t="s">
        <v>25</v>
      </c>
      <c r="C74" s="36">
        <v>423</v>
      </c>
      <c r="D74" s="36">
        <v>253</v>
      </c>
      <c r="E74" s="36">
        <v>170</v>
      </c>
      <c r="F74" s="30">
        <f t="shared" si="3"/>
        <v>59.810874704491724</v>
      </c>
      <c r="G74" s="36"/>
      <c r="H74" s="39">
        <v>5</v>
      </c>
      <c r="I74" s="30">
        <f t="shared" si="1"/>
        <v>84.6</v>
      </c>
      <c r="J74" s="30">
        <f t="shared" si="2"/>
        <v>50.6</v>
      </c>
      <c r="K74" s="36"/>
    </row>
    <row r="75" spans="1:11">
      <c r="B75" s="36" t="s">
        <v>26</v>
      </c>
      <c r="C75" s="36">
        <v>608</v>
      </c>
      <c r="D75" s="36">
        <v>366</v>
      </c>
      <c r="E75" s="36">
        <v>242</v>
      </c>
      <c r="F75" s="30">
        <f t="shared" si="3"/>
        <v>60.19736842105263</v>
      </c>
      <c r="G75" s="36"/>
      <c r="H75" s="39">
        <v>1</v>
      </c>
      <c r="I75" s="30">
        <f t="shared" si="1"/>
        <v>608</v>
      </c>
      <c r="J75" s="30">
        <f t="shared" si="2"/>
        <v>366</v>
      </c>
      <c r="K75" s="36"/>
    </row>
    <row r="76" spans="1:11">
      <c r="B76" s="36" t="s">
        <v>27</v>
      </c>
      <c r="C76" s="36">
        <v>519</v>
      </c>
      <c r="D76" s="36">
        <v>401</v>
      </c>
      <c r="E76" s="36">
        <v>118</v>
      </c>
      <c r="F76" s="30">
        <f t="shared" si="3"/>
        <v>77.263969171483623</v>
      </c>
      <c r="G76" s="36"/>
      <c r="H76" s="39">
        <v>8</v>
      </c>
      <c r="I76" s="30">
        <f t="shared" si="1"/>
        <v>64.875</v>
      </c>
      <c r="J76" s="30">
        <f t="shared" si="2"/>
        <v>50.125</v>
      </c>
      <c r="K76" s="36"/>
    </row>
    <row r="77" spans="1:11">
      <c r="B77" s="36" t="s">
        <v>28</v>
      </c>
      <c r="C77" s="36">
        <v>339</v>
      </c>
      <c r="D77" s="36">
        <v>279</v>
      </c>
      <c r="E77" s="36">
        <v>60</v>
      </c>
      <c r="F77" s="30">
        <f t="shared" si="3"/>
        <v>82.30088495575221</v>
      </c>
      <c r="G77" s="36"/>
      <c r="H77" s="39">
        <v>7</v>
      </c>
      <c r="I77" s="30">
        <f t="shared" si="1"/>
        <v>48.428571428571431</v>
      </c>
      <c r="J77" s="30">
        <f t="shared" si="2"/>
        <v>39.857142857142854</v>
      </c>
      <c r="K77" s="36"/>
    </row>
    <row r="78" spans="1:11">
      <c r="B78" s="36" t="s">
        <v>29</v>
      </c>
      <c r="C78" s="36">
        <v>421</v>
      </c>
      <c r="D78" s="36">
        <v>316</v>
      </c>
      <c r="E78" s="36">
        <v>105</v>
      </c>
      <c r="F78" s="30">
        <f t="shared" si="3"/>
        <v>75.059382422802841</v>
      </c>
      <c r="G78" s="36"/>
      <c r="H78" s="39">
        <v>4</v>
      </c>
      <c r="I78" s="30">
        <f t="shared" si="1"/>
        <v>105.25</v>
      </c>
      <c r="J78" s="30">
        <f t="shared" si="2"/>
        <v>79</v>
      </c>
      <c r="K78" s="36"/>
    </row>
    <row r="79" spans="1:11">
      <c r="B79" s="36" t="s">
        <v>30</v>
      </c>
      <c r="C79" s="36">
        <v>63</v>
      </c>
      <c r="D79" s="36">
        <v>51</v>
      </c>
      <c r="E79" s="36">
        <v>12</v>
      </c>
      <c r="F79" s="30">
        <f t="shared" si="3"/>
        <v>80.952380952380949</v>
      </c>
      <c r="G79" s="36"/>
      <c r="H79" s="39">
        <v>2</v>
      </c>
      <c r="I79" s="30">
        <f t="shared" si="1"/>
        <v>31.5</v>
      </c>
      <c r="J79" s="30">
        <f t="shared" si="2"/>
        <v>25.5</v>
      </c>
      <c r="K79" s="36"/>
    </row>
    <row r="80" spans="1:11">
      <c r="B80" s="36" t="s">
        <v>31</v>
      </c>
      <c r="C80" s="36">
        <v>237</v>
      </c>
      <c r="D80" s="36">
        <v>183</v>
      </c>
      <c r="E80" s="36">
        <v>54</v>
      </c>
      <c r="F80" s="30">
        <f t="shared" si="3"/>
        <v>77.215189873417728</v>
      </c>
      <c r="G80" s="36"/>
      <c r="H80" s="39">
        <v>5</v>
      </c>
      <c r="I80" s="30">
        <f t="shared" si="1"/>
        <v>47.4</v>
      </c>
      <c r="J80" s="30">
        <f t="shared" si="2"/>
        <v>36.6</v>
      </c>
      <c r="K80" s="36"/>
    </row>
    <row r="81" spans="2:11">
      <c r="B81" s="36" t="s">
        <v>32</v>
      </c>
      <c r="C81" s="36">
        <v>237</v>
      </c>
      <c r="D81" s="36">
        <v>167</v>
      </c>
      <c r="E81" s="36">
        <v>70</v>
      </c>
      <c r="F81" s="30">
        <f t="shared" si="3"/>
        <v>70.46413502109705</v>
      </c>
      <c r="G81" s="36"/>
      <c r="H81" s="39">
        <v>3</v>
      </c>
      <c r="I81" s="30">
        <f t="shared" si="1"/>
        <v>79</v>
      </c>
      <c r="J81" s="30">
        <f t="shared" si="2"/>
        <v>55.666666666666664</v>
      </c>
      <c r="K81" s="36"/>
    </row>
    <row r="82" spans="2:11">
      <c r="B82" s="36" t="s">
        <v>33</v>
      </c>
      <c r="C82" s="36">
        <v>254</v>
      </c>
      <c r="D82" s="36">
        <v>204</v>
      </c>
      <c r="E82" s="36">
        <v>50</v>
      </c>
      <c r="F82" s="30">
        <f t="shared" si="3"/>
        <v>80.314960629921259</v>
      </c>
      <c r="G82" s="36"/>
      <c r="H82" s="39">
        <v>4</v>
      </c>
      <c r="I82" s="30">
        <f t="shared" si="1"/>
        <v>63.5</v>
      </c>
      <c r="J82" s="30">
        <f t="shared" si="2"/>
        <v>51</v>
      </c>
      <c r="K82" s="36"/>
    </row>
    <row r="83" spans="2:11">
      <c r="B83" s="36" t="s">
        <v>34</v>
      </c>
      <c r="C83" s="36">
        <v>595</v>
      </c>
      <c r="D83" s="36">
        <v>374</v>
      </c>
      <c r="E83" s="36">
        <v>221</v>
      </c>
      <c r="F83" s="30">
        <f t="shared" si="3"/>
        <v>62.857142857142854</v>
      </c>
      <c r="G83" s="36"/>
      <c r="H83" s="39">
        <v>10</v>
      </c>
      <c r="I83" s="30">
        <f t="shared" si="1"/>
        <v>59.5</v>
      </c>
      <c r="J83" s="30">
        <f t="shared" si="2"/>
        <v>37.4</v>
      </c>
      <c r="K83" s="36"/>
    </row>
    <row r="84" spans="2:11">
      <c r="B84" s="36" t="s">
        <v>35</v>
      </c>
      <c r="C84" s="36">
        <v>1209</v>
      </c>
      <c r="D84" s="36">
        <v>736</v>
      </c>
      <c r="E84" s="36">
        <v>473</v>
      </c>
      <c r="F84" s="30">
        <f t="shared" si="3"/>
        <v>60.876757650951198</v>
      </c>
      <c r="G84" s="36"/>
      <c r="H84" s="39">
        <v>9</v>
      </c>
      <c r="I84" s="30">
        <f t="shared" si="1"/>
        <v>134.33333333333334</v>
      </c>
      <c r="J84" s="30">
        <f t="shared" si="2"/>
        <v>81.777777777777771</v>
      </c>
      <c r="K84" s="36"/>
    </row>
    <row r="85" spans="2:11">
      <c r="B85" s="36" t="s">
        <v>36</v>
      </c>
      <c r="C85" s="36">
        <v>1188</v>
      </c>
      <c r="D85" s="36">
        <v>918</v>
      </c>
      <c r="E85" s="36">
        <v>270</v>
      </c>
      <c r="F85" s="30">
        <f t="shared" si="3"/>
        <v>77.272727272727266</v>
      </c>
      <c r="G85" s="36"/>
      <c r="H85" s="39">
        <v>10</v>
      </c>
      <c r="I85" s="30">
        <f t="shared" si="1"/>
        <v>118.8</v>
      </c>
      <c r="J85" s="30">
        <f t="shared" si="2"/>
        <v>91.8</v>
      </c>
      <c r="K85" s="36"/>
    </row>
    <row r="86" spans="2:11">
      <c r="B86" s="36" t="s">
        <v>37</v>
      </c>
      <c r="C86" s="36">
        <v>897</v>
      </c>
      <c r="D86" s="36">
        <v>701</v>
      </c>
      <c r="E86" s="36">
        <v>196</v>
      </c>
      <c r="F86" s="30">
        <f t="shared" si="3"/>
        <v>78.149386845039018</v>
      </c>
      <c r="G86" s="36"/>
      <c r="H86" s="39">
        <v>8</v>
      </c>
      <c r="I86" s="30">
        <f t="shared" si="1"/>
        <v>112.125</v>
      </c>
      <c r="J86" s="30">
        <f t="shared" si="2"/>
        <v>87.625</v>
      </c>
      <c r="K86" s="36"/>
    </row>
    <row r="87" spans="2:11">
      <c r="B87" s="36" t="s">
        <v>38</v>
      </c>
      <c r="C87" s="36">
        <v>859</v>
      </c>
      <c r="D87" s="36">
        <v>595</v>
      </c>
      <c r="E87" s="36">
        <v>264</v>
      </c>
      <c r="F87" s="30">
        <f t="shared" si="3"/>
        <v>69.266589057043078</v>
      </c>
      <c r="G87" s="36"/>
      <c r="H87" s="39">
        <v>2</v>
      </c>
      <c r="I87" s="30">
        <f t="shared" si="1"/>
        <v>429.5</v>
      </c>
      <c r="J87" s="30">
        <f t="shared" si="2"/>
        <v>297.5</v>
      </c>
      <c r="K87" s="36"/>
    </row>
    <row r="88" spans="2:11">
      <c r="B88" s="36" t="s">
        <v>39</v>
      </c>
      <c r="C88" s="36">
        <v>1123</v>
      </c>
      <c r="D88" s="36">
        <v>659</v>
      </c>
      <c r="E88" s="36">
        <v>464</v>
      </c>
      <c r="F88" s="30">
        <f t="shared" si="3"/>
        <v>58.682101513802323</v>
      </c>
      <c r="G88" s="36"/>
      <c r="H88" s="39">
        <v>8</v>
      </c>
      <c r="I88" s="30">
        <f t="shared" si="1"/>
        <v>140.375</v>
      </c>
      <c r="J88" s="30">
        <f t="shared" si="2"/>
        <v>82.375</v>
      </c>
      <c r="K88" s="3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8.40</vt:lpstr>
      <vt:lpstr>8.20 workings</vt:lpstr>
      <vt:lpstr>'8.40'!Print_Area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2018-09-26T05:54:05Z</cp:lastPrinted>
  <dcterms:created xsi:type="dcterms:W3CDTF">2013-04-04T04:05:16Z</dcterms:created>
  <dcterms:modified xsi:type="dcterms:W3CDTF">2018-09-26T05:54:15Z</dcterms:modified>
</cp:coreProperties>
</file>