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0" sheetId="38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'8.10'!$A$1:$L$69</definedName>
  </definedNames>
  <calcPr calcId="162913"/>
</workbook>
</file>

<file path=xl/calcChain.xml><?xml version="1.0" encoding="utf-8"?>
<calcChain xmlns="http://schemas.openxmlformats.org/spreadsheetml/2006/main">
  <c r="K8" i="38" l="1"/>
  <c r="K7" i="38" l="1"/>
  <c r="K5" i="38"/>
  <c r="K10" i="38" l="1"/>
  <c r="K9" i="38"/>
  <c r="H6" i="38"/>
  <c r="H5" i="38" l="1"/>
  <c r="J6" i="38" s="1"/>
  <c r="J10" i="38" l="1"/>
  <c r="J9" i="38"/>
  <c r="J7" i="38"/>
  <c r="J5" i="38"/>
  <c r="J8" i="38"/>
  <c r="G6" i="38" l="1"/>
  <c r="K6" i="38" s="1"/>
  <c r="G5" i="38" l="1"/>
  <c r="E6" i="38" l="1"/>
  <c r="F6" i="38" l="1"/>
  <c r="F5" i="38" l="1"/>
  <c r="D6" i="38" l="1"/>
  <c r="D5" i="38" s="1"/>
  <c r="C6" i="38"/>
  <c r="C5" i="38" s="1"/>
  <c r="B6" i="38"/>
  <c r="B5" i="38" s="1"/>
  <c r="E5" i="38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<sst xmlns="http://schemas.openxmlformats.org/spreadsheetml/2006/main" count="181" uniqueCount="86">
  <si>
    <t>Total</t>
  </si>
  <si>
    <t>Source: Department of Judicial Administration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</si>
  <si>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</si>
  <si>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</si>
  <si>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</si>
  <si>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</si>
  <si>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</si>
  <si>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</si>
  <si>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</si>
  <si>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</si>
  <si>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</si>
  <si>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</si>
  <si>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</si>
  <si>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</si>
  <si>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</si>
  <si>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</si>
  <si>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</si>
  <si>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</si>
  <si>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</si>
  <si>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</si>
  <si>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</si>
  <si>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</si>
  <si>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</si>
  <si>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</si>
  <si>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</si>
  <si>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</si>
  <si>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</si>
  <si>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</si>
  <si>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</si>
  <si>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</si>
  <si>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</si>
  <si>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</si>
  <si>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</si>
  <si>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</si>
  <si>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</si>
  <si>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</si>
  <si>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</si>
  <si>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</si>
  <si>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</si>
  <si>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</si>
  <si>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</si>
  <si>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</si>
  <si>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</si>
  <si>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</si>
  <si>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</si>
  <si>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</si>
  <si>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</si>
  <si>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</si>
  <si>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</si>
  <si>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</si>
  <si>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</si>
  <si>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</si>
  <si>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</si>
  <si>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</si>
  <si>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</si>
  <si>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</si>
  <si>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</si>
  <si>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</si>
  <si>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</si>
  <si>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</si>
  <si>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</si>
  <si>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</si>
  <si>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</si>
  <si>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</si>
  <si>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</si>
  <si>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</si>
  <si>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</si>
  <si>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މައްސަލައިގެ ބާވަތް</t>
  </si>
  <si>
    <t xml:space="preserve">  ކުރީ އަހަރާއި  އަޅާބަލާއިރު  އިތުރުވި މިންވަރު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</si>
  <si>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</si>
  <si>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</si>
  <si>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</si>
  <si>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</si>
  <si>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</si>
  <si>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>Without use of weapons</t>
  </si>
  <si>
    <t xml:space="preserve">   ތޫނު ހަތިޔާރު ބޭނުންކޮށްގެން</t>
  </si>
  <si>
    <t>Other Assault</t>
  </si>
  <si>
    <t>އެހެނިހެން މާރާމާރީ</t>
  </si>
  <si>
    <t xml:space="preserve">   ހަތިޔާރު ބޭނުންނުކޮށް</t>
  </si>
  <si>
    <t xml:space="preserve">Percentage share </t>
  </si>
  <si>
    <t>%change over 2016</t>
  </si>
  <si>
    <t>Table 8.10:  ASSAULT CASES LOGGED BY TYPE, 2013 - 2017</t>
  </si>
  <si>
    <t>ތާވަލު 8.10: ހުށަހެޅިފައިވާ މާރާމާރީގެ މައްސަލަތައް، 2013- 2017</t>
  </si>
  <si>
    <t>އިންސައްތަ 2017</t>
  </si>
  <si>
    <t>Note: 2016 data revised</t>
  </si>
  <si>
    <t>ނޯޓް: 2016 ގެ މަޢުލޫމާތު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</si>
</sst>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0"/>
      <name val="Faruma"/>
      <family val="3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Faruma"/>
      <family val="3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30" fillId="0" borderId="12" applyNumberFormat="0" applyFill="0" applyAlignment="0" applyProtection="0"/>
    <xf numFmtId="0" fontId="20" fillId="0" borderId="0"/>
    <xf numFmtId="166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2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6" applyNumberFormat="0" applyAlignment="0" applyProtection="0"/>
    <xf numFmtId="0" fontId="42" fillId="8" borderId="17" applyNumberFormat="0" applyAlignment="0" applyProtection="0"/>
    <xf numFmtId="0" fontId="43" fillId="8" borderId="16" applyNumberFormat="0" applyAlignment="0" applyProtection="0"/>
    <xf numFmtId="0" fontId="44" fillId="0" borderId="18" applyNumberFormat="0" applyFill="0" applyAlignment="0" applyProtection="0"/>
    <xf numFmtId="0" fontId="45" fillId="9" borderId="19" applyNumberFormat="0" applyAlignment="0" applyProtection="0"/>
    <xf numFmtId="0" fontId="33" fillId="0" borderId="0" applyNumberFormat="0" applyFill="0" applyBorder="0" applyAlignment="0" applyProtection="0"/>
    <xf numFmtId="0" fontId="1" fillId="10" borderId="20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0" fillId="0" borderId="0"/>
    <xf numFmtId="0" fontId="48" fillId="0" borderId="0" applyNumberFormat="0" applyFill="0" applyBorder="0" applyAlignment="0" applyProtection="0"/>
  </cellStyleXfs>
  <cellXfs count="106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26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3" xfId="0" applyNumberFormat="1" applyFont="1" applyFill="1" applyBorder="1" applyAlignment="1">
      <alignment horizontal="center" vertical="center"/>
    </xf>
    <xf numFmtId="0" fontId="5" fillId="2" borderId="13" xfId="0" applyNumberFormat="1" applyFont="1" applyFill="1" applyBorder="1" applyAlignment="1">
      <alignment horizontal="left" vertical="center" wrapText="1"/>
    </xf>
    <xf numFmtId="3" fontId="5" fillId="2" borderId="13" xfId="1" applyNumberFormat="1" applyFont="1" applyFill="1" applyBorder="1" applyAlignment="1"/>
    <xf numFmtId="3" fontId="3" fillId="2" borderId="1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3" fontId="3" fillId="2" borderId="0" xfId="1" applyNumberFormat="1" applyFont="1" applyFill="1" applyBorder="1" applyAlignment="1">
      <alignment horizontal="right" vertical="center"/>
    </xf>
    <xf numFmtId="164" fontId="22" fillId="2" borderId="0" xfId="0" applyNumberFormat="1" applyFont="1" applyFill="1" applyAlignment="1">
      <alignment vertical="center"/>
    </xf>
    <xf numFmtId="164" fontId="32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164" fontId="29" fillId="2" borderId="0" xfId="0" applyNumberFormat="1" applyFont="1" applyFill="1" applyBorder="1" applyAlignment="1">
      <alignment horizontal="left" vertical="center" indent="1"/>
    </xf>
    <xf numFmtId="164" fontId="25" fillId="2" borderId="0" xfId="0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vertical="center"/>
    </xf>
    <xf numFmtId="3" fontId="9" fillId="2" borderId="6" xfId="1" applyNumberFormat="1" applyFont="1" applyFill="1" applyBorder="1" applyAlignment="1">
      <alignment horizontal="right" vertical="center"/>
    </xf>
    <xf numFmtId="164" fontId="24" fillId="2" borderId="6" xfId="0" applyNumberFormat="1" applyFont="1" applyFill="1" applyBorder="1" applyAlignment="1" applyProtection="1">
      <alignment horizontal="right" vertical="center"/>
    </xf>
    <xf numFmtId="166" fontId="9" fillId="2" borderId="6" xfId="1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center"/>
    </xf>
    <xf numFmtId="164" fontId="26" fillId="2" borderId="0" xfId="0" applyNumberFormat="1" applyFont="1" applyFill="1" applyBorder="1"/>
    <xf numFmtId="164" fontId="0" fillId="2" borderId="0" xfId="0" applyNumberFormat="1" applyFill="1"/>
    <xf numFmtId="164" fontId="8" fillId="2" borderId="1" xfId="0" applyNumberFormat="1" applyFont="1" applyFill="1" applyBorder="1" applyAlignment="1">
      <alignment horizontal="right" vertical="center"/>
    </xf>
    <xf numFmtId="164" fontId="45" fillId="2" borderId="0" xfId="50" applyNumberFormat="1" applyFont="1" applyFill="1" applyAlignment="1">
      <alignment vertical="center"/>
    </xf>
    <xf numFmtId="164" fontId="49" fillId="2" borderId="0" xfId="0" applyNumberFormat="1" applyFont="1" applyFill="1" applyAlignment="1">
      <alignment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50" fillId="2" borderId="0" xfId="0" applyNumberFormat="1" applyFont="1" applyFill="1" applyBorder="1" applyAlignment="1" applyProtection="1">
      <alignment horizontal="right" vertical="center"/>
    </xf>
    <xf numFmtId="164" fontId="11" fillId="2" borderId="11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3" fontId="3" fillId="2" borderId="10" xfId="0" applyNumberFormat="1" applyFont="1" applyFill="1" applyBorder="1" applyAlignment="1">
      <alignment horizontal="right" vertical="center" indent="3"/>
    </xf>
    <xf numFmtId="3" fontId="3" fillId="2" borderId="0" xfId="0" applyNumberFormat="1" applyFont="1" applyFill="1" applyBorder="1" applyAlignment="1">
      <alignment horizontal="right" vertical="center" indent="4"/>
    </xf>
    <xf numFmtId="3" fontId="9" fillId="2" borderId="10" xfId="1" applyNumberFormat="1" applyFont="1" applyFill="1" applyBorder="1" applyAlignment="1">
      <alignment horizontal="right" vertical="center" indent="3"/>
    </xf>
    <xf numFmtId="3" fontId="29" fillId="2" borderId="10" xfId="1" applyNumberFormat="1" applyFont="1" applyFill="1" applyBorder="1" applyAlignment="1">
      <alignment horizontal="right" vertical="center" indent="3"/>
    </xf>
    <xf numFmtId="3" fontId="5" fillId="2" borderId="0" xfId="0" applyNumberFormat="1" applyFont="1" applyFill="1" applyBorder="1" applyAlignment="1">
      <alignment horizontal="right" vertical="center" indent="4"/>
    </xf>
    <xf numFmtId="3" fontId="9" fillId="2" borderId="9" xfId="1" applyNumberFormat="1" applyFont="1" applyFill="1" applyBorder="1" applyAlignment="1">
      <alignment horizontal="right" vertical="center" indent="3"/>
    </xf>
    <xf numFmtId="3" fontId="3" fillId="2" borderId="6" xfId="0" applyNumberFormat="1" applyFont="1" applyFill="1" applyBorder="1" applyAlignment="1">
      <alignment horizontal="right" vertical="center" indent="4"/>
    </xf>
    <xf numFmtId="164" fontId="21" fillId="2" borderId="4" xfId="0" applyNumberFormat="1" applyFont="1" applyFill="1" applyBorder="1" applyAlignment="1">
      <alignment horizontal="center" vertical="top"/>
    </xf>
    <xf numFmtId="164" fontId="14" fillId="2" borderId="6" xfId="0" applyNumberFormat="1" applyFont="1" applyFill="1" applyBorder="1" applyAlignment="1">
      <alignment horizontal="right" vertical="center" wrapText="1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9" fillId="2" borderId="5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24" fillId="2" borderId="3" xfId="0" applyNumberFormat="1" applyFont="1" applyFill="1" applyBorder="1" applyAlignment="1">
      <alignment horizontal="center" vertical="center"/>
    </xf>
    <xf numFmtId="164" fontId="25" fillId="2" borderId="3" xfId="0" applyNumberFormat="1" applyFont="1" applyFill="1" applyBorder="1" applyAlignment="1">
      <alignment horizontal="center" vertical="center"/>
    </xf>
    <xf numFmtId="164" fontId="28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27" fillId="2" borderId="0" xfId="0" applyNumberFormat="1" applyFont="1" applyFill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'8.10'!$F$3:$F$4</c:f>
              <c:strCache>
                <c:ptCount val="2"/>
                <c:pt idx="0">
                  <c:v>2015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'8.10'!$F$7:$F$9</c:f>
              <c:numCache>
                <c:formatCode>General</c:formatCode>
                <c:ptCount val="3"/>
                <c:pt idx="0">
                  <c:v>18</c:v>
                </c:pt>
                <c:pt idx="1">
                  <c:v>21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1-4411-B897-F7DF6A088332}"/>
            </c:ext>
          </c:extLst>
        </c:ser>
        <c:ser>
          <c:idx val="2"/>
          <c:order val="1"/>
          <c:tx>
            <c:strRef>
              <c:f>'8.10'!$G$3:$G$4</c:f>
              <c:strCache>
                <c:ptCount val="2"/>
                <c:pt idx="0">
                  <c:v>2016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'8.10'!$G$7:$G$9</c:f>
              <c:numCache>
                <c:formatCode>General</c:formatCode>
                <c:ptCount val="3"/>
                <c:pt idx="0">
                  <c:v>22</c:v>
                </c:pt>
                <c:pt idx="1">
                  <c:v>24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1-4411-B897-F7DF6A088332}"/>
            </c:ext>
          </c:extLst>
        </c:ser>
        <c:ser>
          <c:idx val="0"/>
          <c:order val="2"/>
          <c:tx>
            <c:strRef>
              <c:f>'8.10'!$H$3:$H$4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'8.10'!$H$7:$H$9</c:f>
              <c:numCache>
                <c:formatCode>General</c:formatCode>
                <c:ptCount val="3"/>
                <c:pt idx="0">
                  <c:v>17</c:v>
                </c:pt>
                <c:pt idx="1">
                  <c:v>34</c:v>
                </c:pt>
                <c:pt idx="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1-4411-B897-F7DF6A088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45312"/>
        <c:axId val="61246848"/>
      </c:barChart>
      <c:catAx>
        <c:axId val="61245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1246848"/>
        <c:crosses val="autoZero"/>
        <c:auto val="1"/>
        <c:lblAlgn val="ctr"/>
        <c:lblOffset val="100"/>
        <c:noMultiLvlLbl val="0"/>
      </c:catAx>
      <c:valAx>
        <c:axId val="612468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24531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4742914554385229"/>
          <c:y val="0.25041820588407893"/>
          <c:w val="0.24368189807640112"/>
          <c:h val="7.053244183696164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62138724079476"/>
          <c:y val="0.15964250756362341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3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BC2-4C17-9A8C-88BE505EE4D6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EBC2-4C17-9A8C-88BE505EE4D6}"/>
              </c:ext>
            </c:extLst>
          </c:dPt>
          <c:dLbls>
            <c:dLbl>
              <c:idx val="0"/>
              <c:layout>
                <c:manualLayout>
                  <c:x val="9.2570719008023897E-2"/>
                  <c:y val="-0.1281945514567242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chemeClr val="accent1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51319135798123"/>
                      <c:h val="0.173150357995226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BC2-4C17-9A8C-88BE505EE4D6}"/>
                </c:ext>
              </c:extLst>
            </c:dLbl>
            <c:dLbl>
              <c:idx val="1"/>
              <c:layout>
                <c:manualLayout>
                  <c:x val="6.4698551199865464E-2"/>
                  <c:y val="0.196199755746303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BC2-4C17-9A8C-88BE505EE4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('8.10'!$J$6,'8.10'!$J$10)</c:f>
              <c:numCache>
                <c:formatCode>#,##0</c:formatCode>
                <c:ptCount val="2"/>
                <c:pt idx="0">
                  <c:v>28.441558441558438</c:v>
                </c:pt>
                <c:pt idx="1">
                  <c:v>71.558441558441558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2-4C17-9A8C-88BE505EE4D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(2016)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5016834274146842E-3"/>
                  <c:y val="0.120370370370370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FCD-42D0-84D6-D090B8EF44BB}"/>
                </c:ext>
              </c:extLst>
            </c:dLbl>
            <c:dLbl>
              <c:idx val="1"/>
              <c:layout>
                <c:manualLayout>
                  <c:x val="3.5016834274146521E-3"/>
                  <c:y val="0.129629629629629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CD-42D0-84D6-D090B8EF44BB}"/>
                </c:ext>
              </c:extLst>
            </c:dLbl>
            <c:dLbl>
              <c:idx val="2"/>
              <c:layout>
                <c:manualLayout>
                  <c:x val="3.5082877773878144E-3"/>
                  <c:y val="-5.5554826480023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FCD-42D0-84D6-D090B8EF4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'8.10'!$A$5:$A$10</c15:sqref>
                  </c15:fullRef>
                </c:ext>
              </c:extLst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'8.10'!$K$5:$K$10</c15:sqref>
                  </c15:fullRef>
                </c:ext>
              </c:extLst>
              <c:f>'8.10'!$K$7:$K$9</c:f>
              <c:numCache>
                <c:formatCode>#,##0</c:formatCode>
                <c:ptCount val="3"/>
                <c:pt idx="0">
                  <c:v>-22.727272727272727</c:v>
                </c:pt>
                <c:pt idx="1">
                  <c:v>41.666666666666671</c:v>
                </c:pt>
                <c:pt idx="2">
                  <c:v>-0.59171597633136097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D-42D0-84D6-D090B8EF4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0121472"/>
        <c:axId val="1140132288"/>
      </c:barChart>
      <c:catAx>
        <c:axId val="114012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32288"/>
        <c:crosses val="autoZero"/>
        <c:auto val="1"/>
        <c:lblAlgn val="ctr"/>
        <c:lblOffset val="100"/>
        <c:noMultiLvlLbl val="0"/>
      </c:catAx>
      <c:valAx>
        <c:axId val="11401322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2147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929348</xdr:colOff>
      <xdr:row>12</xdr:row>
      <xdr:rowOff>88838</xdr:rowOff>
    </xdr:from>
    <xdr:to>
      <xdr:col>11</xdr:col>
      <xdr:colOff>1051268</xdr:colOff>
      <xdr:row>26</xdr:row>
      <xdr:rowOff>153133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917232</xdr:colOff>
      <xdr:row>30</xdr:row>
      <xdr:rowOff>76638</xdr:rowOff>
    </xdr:from>
    <xdr:to>
      <xdr:col>11</xdr:col>
      <xdr:colOff>978243</xdr:colOff>
      <xdr:row>49</xdr:row>
      <xdr:rowOff>139375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424541</xdr:colOff>
      <xdr:row>31</xdr:row>
      <xdr:rowOff>21896</xdr:rowOff>
    </xdr:from>
    <xdr:to>
      <xdr:col>10</xdr:col>
      <xdr:colOff>941552</xdr:colOff>
      <xdr:row>32</xdr:row>
      <xdr:rowOff>123523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2712731" y="7160172"/>
          <a:ext cx="4239424" cy="287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2017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5</xdr:col>
      <xdr:colOff>109904</xdr:colOff>
      <xdr:row>14</xdr:row>
      <xdr:rowOff>0</xdr:rowOff>
    </xdr:from>
    <xdr:to>
      <xdr:col>10</xdr:col>
      <xdr:colOff>293077</xdr:colOff>
      <xdr:row>14</xdr:row>
      <xdr:rowOff>0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>
          <a:off x="3121269" y="3949212"/>
          <a:ext cx="3194539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481520</xdr:colOff>
      <xdr:row>32</xdr:row>
      <xdr:rowOff>112311</xdr:rowOff>
    </xdr:from>
    <xdr:to>
      <xdr:col>10</xdr:col>
      <xdr:colOff>843018</xdr:colOff>
      <xdr:row>32</xdr:row>
      <xdr:rowOff>112311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>
          <a:off x="2769710" y="7436708"/>
          <a:ext cx="4083911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915865</xdr:colOff>
      <xdr:row>50</xdr:row>
      <xdr:rowOff>137745</xdr:rowOff>
    </xdr:from>
    <xdr:to>
      <xdr:col>11</xdr:col>
      <xdr:colOff>981807</xdr:colOff>
      <xdr:row>67</xdr:row>
      <xdr:rowOff>164224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175403</xdr:colOff>
      <xdr:row>52</xdr:row>
      <xdr:rowOff>67533</xdr:rowOff>
    </xdr:from>
    <xdr:to>
      <xdr:col>11</xdr:col>
      <xdr:colOff>200526</xdr:colOff>
      <xdr:row>52</xdr:row>
      <xdr:rowOff>70185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>
          <a:off x="1739508" y="11256901"/>
          <a:ext cx="5639860" cy="2652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922422</xdr:colOff>
      <xdr:row>52</xdr:row>
      <xdr:rowOff>100263</xdr:rowOff>
    </xdr:from>
    <xdr:to>
      <xdr:col>3</xdr:col>
      <xdr:colOff>170449</xdr:colOff>
      <xdr:row>53</xdr:row>
      <xdr:rowOff>140369</xdr:rowOff>
    </xdr:to>
    <xdr:sp macro="" textlink="">
      <xdr:nvSpPr>
        <xdr:cNvPr id="6" name="TextBox 5"/>
        <xdr:cNvSpPr txBox="1"/>
      </xdr:nvSpPr>
      <xdr:spPr>
        <a:xfrm>
          <a:off x="922422" y="11289631"/>
          <a:ext cx="812132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50" b="1"/>
            <a:t>Percentage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0.29165</cdr:x>
      <cdr:y>0.01773</cdr:y>
    </cdr:from>
    <cdr:to>
      <cdr:x>0.75093</cdr:x>
      <cdr:y>0.10584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131888" y="48932"/>
          <a:ext cx="3357149" cy="243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2015 - 2017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6"/>
  <sheetViews>
    <sheetView tabSelected="1" zoomScale="70" zoomScaleNormal="70" zoomScaleSheetLayoutView="95" workbookViewId="0">
      <selection activeCell="Q14" sqref="Q14"/>
    </sheetView>
  </sheetViews>
  <sheetFormatPr defaultColWidth="15.42578125" defaultRowHeight="15"/>
  <cols>
    <col min="1" max="1" width="23.42578125" style="71" customWidth="1"/>
    <col min="2" max="3" width="10.85546875" style="71" hidden="1" customWidth="1"/>
    <col min="4" max="8" width="10.85546875" style="71" customWidth="1"/>
    <col min="9" max="9" width="1" style="71" customWidth="1"/>
    <col min="10" max="10" width="11.5703125" style="71" customWidth="1"/>
    <col min="11" max="11" width="17.42578125" style="71" customWidth="1"/>
    <col min="12" max="12" width="21.140625" style="71" customWidth="1"/>
    <col min="13" max="13" width="15.42578125" style="71"/>
    <col min="14" max="14" width="22.140625" style="71" bestFit="1" customWidth="1"/>
    <col min="15" max="16384" width="15.42578125" style="71"/>
  </cols>
  <sheetData>
    <row r="1" spans="1:18" ht="18.75">
      <c r="A1" s="97" t="s">
        <v>82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8" ht="21.75" customHeight="1">
      <c r="A2" s="88" t="s">
        <v>81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N2" s="73"/>
    </row>
    <row r="3" spans="1:18" ht="33.75" customHeight="1">
      <c r="A3" s="91" t="s">
        <v>44</v>
      </c>
      <c r="B3" s="95">
        <v>2011</v>
      </c>
      <c r="C3" s="95">
        <v>2012</v>
      </c>
      <c r="D3" s="93">
        <v>2013</v>
      </c>
      <c r="E3" s="93">
        <v>2014</v>
      </c>
      <c r="F3" s="93">
        <v>2015</v>
      </c>
      <c r="G3" s="93">
        <v>2016</v>
      </c>
      <c r="H3" s="93">
        <v>2017</v>
      </c>
      <c r="I3" s="76"/>
      <c r="J3" s="79" t="s">
        <v>83</v>
      </c>
      <c r="K3" s="75" t="s">
        <v>68</v>
      </c>
      <c r="L3" s="90" t="s">
        <v>67</v>
      </c>
      <c r="O3" s="3"/>
      <c r="P3" s="3"/>
      <c r="Q3" s="3"/>
      <c r="R3" s="3"/>
    </row>
    <row r="4" spans="1:18" ht="25.5" customHeight="1">
      <c r="A4" s="92"/>
      <c r="B4" s="96"/>
      <c r="C4" s="96"/>
      <c r="D4" s="94"/>
      <c r="E4" s="94"/>
      <c r="F4" s="94"/>
      <c r="G4" s="94"/>
      <c r="H4" s="94"/>
      <c r="I4" s="77"/>
      <c r="J4" s="80" t="s">
        <v>79</v>
      </c>
      <c r="K4" s="4" t="s">
        <v>80</v>
      </c>
      <c r="L4" s="89"/>
      <c r="O4" s="3"/>
      <c r="P4" s="3"/>
      <c r="Q4" s="3"/>
      <c r="R4" s="3"/>
    </row>
    <row r="5" spans="1:18" s="53" customFormat="1" ht="24.75" customHeight="1">
      <c r="A5" s="16" t="s">
        <v>0</v>
      </c>
      <c r="B5" s="56">
        <f t="shared" ref="B5:G5" si="0">B6+B10</f>
        <v>1320</v>
      </c>
      <c r="C5" s="56">
        <f t="shared" si="0"/>
        <v>1264</v>
      </c>
      <c r="D5" s="56">
        <f t="shared" si="0"/>
        <v>1289</v>
      </c>
      <c r="E5" s="56">
        <f t="shared" si="0"/>
        <v>1062</v>
      </c>
      <c r="F5" s="56">
        <f t="shared" si="0"/>
        <v>932</v>
      </c>
      <c r="G5" s="56">
        <f t="shared" si="0"/>
        <v>781</v>
      </c>
      <c r="H5" s="56">
        <f t="shared" ref="H5" si="1">H6+H10</f>
        <v>770</v>
      </c>
      <c r="I5" s="56"/>
      <c r="J5" s="81">
        <f>H5/H5*100</f>
        <v>100</v>
      </c>
      <c r="K5" s="82">
        <f>((H5-G5)/G5*100)</f>
        <v>-1.4084507042253522</v>
      </c>
      <c r="L5" s="59" t="s">
        <v>3</v>
      </c>
      <c r="M5" s="68"/>
      <c r="N5" s="56"/>
      <c r="O5" s="54"/>
      <c r="P5" s="54"/>
      <c r="Q5" s="54"/>
      <c r="R5" s="54"/>
    </row>
    <row r="6" spans="1:18" s="53" customFormat="1" ht="24.75" customHeight="1">
      <c r="A6" s="16" t="s">
        <v>69</v>
      </c>
      <c r="B6" s="60">
        <f t="shared" ref="B6:G6" si="2">SUM(B7:B9)</f>
        <v>207</v>
      </c>
      <c r="C6" s="60">
        <f t="shared" si="2"/>
        <v>158</v>
      </c>
      <c r="D6" s="60">
        <f t="shared" si="2"/>
        <v>192</v>
      </c>
      <c r="E6" s="60">
        <f t="shared" si="2"/>
        <v>268</v>
      </c>
      <c r="F6" s="60">
        <f t="shared" si="2"/>
        <v>199</v>
      </c>
      <c r="G6" s="60">
        <f t="shared" si="2"/>
        <v>215</v>
      </c>
      <c r="H6" s="60">
        <f t="shared" ref="H6" si="3">SUM(H7:H9)</f>
        <v>219</v>
      </c>
      <c r="I6" s="60"/>
      <c r="J6" s="83">
        <f>H6/$H$5*100</f>
        <v>28.441558441558438</v>
      </c>
      <c r="K6" s="82">
        <f t="shared" ref="K6:K10" si="4">((H6-G6)/G6*100)</f>
        <v>1.8604651162790697</v>
      </c>
      <c r="L6" s="59" t="s">
        <v>70</v>
      </c>
      <c r="M6" s="60"/>
      <c r="N6" s="60"/>
      <c r="O6" s="54"/>
      <c r="P6" s="54"/>
      <c r="Q6" s="54"/>
      <c r="R6" s="54"/>
    </row>
    <row r="7" spans="1:18" s="12" customFormat="1" ht="24.75" customHeight="1">
      <c r="A7" s="58" t="s">
        <v>71</v>
      </c>
      <c r="B7" s="57">
        <v>113</v>
      </c>
      <c r="C7" s="57">
        <v>34</v>
      </c>
      <c r="D7" s="57">
        <v>23</v>
      </c>
      <c r="E7" s="66">
        <v>20</v>
      </c>
      <c r="F7" s="66">
        <v>18</v>
      </c>
      <c r="G7" s="66">
        <v>22</v>
      </c>
      <c r="H7" s="66">
        <v>17</v>
      </c>
      <c r="I7" s="66"/>
      <c r="J7" s="84">
        <f>H7/$H$5*100</f>
        <v>2.2077922077922079</v>
      </c>
      <c r="K7" s="85">
        <f>((H7-G7)/G7*100)</f>
        <v>-22.727272727272727</v>
      </c>
      <c r="L7" s="15" t="s">
        <v>72</v>
      </c>
      <c r="M7" s="67"/>
      <c r="N7" s="57"/>
      <c r="O7" s="54"/>
      <c r="P7" s="55"/>
      <c r="Q7" s="55"/>
      <c r="R7" s="55"/>
    </row>
    <row r="8" spans="1:18" s="12" customFormat="1" ht="24.75" customHeight="1">
      <c r="A8" s="58" t="s">
        <v>73</v>
      </c>
      <c r="B8" s="57">
        <v>49</v>
      </c>
      <c r="C8" s="57">
        <v>38</v>
      </c>
      <c r="D8" s="57">
        <v>26</v>
      </c>
      <c r="E8" s="66">
        <v>21</v>
      </c>
      <c r="F8" s="66">
        <v>21</v>
      </c>
      <c r="G8" s="66">
        <v>24</v>
      </c>
      <c r="H8" s="66">
        <v>34</v>
      </c>
      <c r="I8" s="66"/>
      <c r="J8" s="84">
        <f t="shared" ref="J8:J9" si="5">H8/$H$5*100</f>
        <v>4.4155844155844157</v>
      </c>
      <c r="K8" s="85">
        <f>((H8-G8)/G8*100)</f>
        <v>41.666666666666671</v>
      </c>
      <c r="L8" s="15" t="s">
        <v>75</v>
      </c>
      <c r="M8" s="67"/>
      <c r="N8" s="67"/>
      <c r="O8" s="54"/>
      <c r="P8" s="55"/>
      <c r="Q8" s="55"/>
      <c r="R8" s="55"/>
    </row>
    <row r="9" spans="1:18" s="12" customFormat="1" ht="24.75" customHeight="1">
      <c r="A9" s="58" t="s">
        <v>74</v>
      </c>
      <c r="B9" s="57">
        <v>45</v>
      </c>
      <c r="C9" s="57">
        <v>86</v>
      </c>
      <c r="D9" s="57">
        <v>143</v>
      </c>
      <c r="E9" s="66">
        <v>227</v>
      </c>
      <c r="F9" s="66">
        <v>160</v>
      </c>
      <c r="G9" s="66">
        <v>169</v>
      </c>
      <c r="H9" s="66">
        <v>168</v>
      </c>
      <c r="I9" s="66"/>
      <c r="J9" s="84">
        <f t="shared" si="5"/>
        <v>21.818181818181817</v>
      </c>
      <c r="K9" s="85">
        <f t="shared" si="4"/>
        <v>-0.59171597633136097</v>
      </c>
      <c r="L9" s="15" t="s">
        <v>78</v>
      </c>
      <c r="M9" s="67"/>
      <c r="N9" s="67"/>
      <c r="O9" s="54"/>
      <c r="P9" s="55"/>
      <c r="Q9" s="55"/>
      <c r="R9" s="55"/>
    </row>
    <row r="10" spans="1:18" s="65" customFormat="1" ht="24.75" customHeight="1">
      <c r="A10" s="61" t="s">
        <v>76</v>
      </c>
      <c r="B10" s="62">
        <v>1113</v>
      </c>
      <c r="C10" s="62">
        <v>1106</v>
      </c>
      <c r="D10" s="62">
        <v>1097</v>
      </c>
      <c r="E10" s="64">
        <v>794</v>
      </c>
      <c r="F10" s="64">
        <v>733</v>
      </c>
      <c r="G10" s="64">
        <v>566</v>
      </c>
      <c r="H10" s="64">
        <v>551</v>
      </c>
      <c r="I10" s="64"/>
      <c r="J10" s="86">
        <f>H10/$H$5*100</f>
        <v>71.558441558441558</v>
      </c>
      <c r="K10" s="87">
        <f t="shared" si="4"/>
        <v>-2.6501766784452299</v>
      </c>
      <c r="L10" s="63" t="s">
        <v>77</v>
      </c>
      <c r="M10" s="60"/>
      <c r="N10" s="60"/>
      <c r="O10" s="54"/>
      <c r="P10" s="54"/>
      <c r="Q10" s="54"/>
      <c r="R10" s="54"/>
    </row>
    <row r="11" spans="1:18" ht="16.5">
      <c r="A11" s="74" t="s">
        <v>84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78" t="s">
        <v>85</v>
      </c>
      <c r="N11" s="11"/>
      <c r="O11" s="3"/>
      <c r="P11" s="3"/>
      <c r="Q11" s="3"/>
      <c r="R11" s="3"/>
    </row>
    <row r="12" spans="1:18">
      <c r="A12" s="1" t="s">
        <v>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72" t="s">
        <v>5</v>
      </c>
      <c r="N12" s="11"/>
      <c r="O12" s="3"/>
      <c r="P12" s="3"/>
      <c r="Q12" s="3"/>
      <c r="R12" s="3"/>
    </row>
    <row r="13" spans="1:18">
      <c r="N13" s="11"/>
      <c r="O13" s="3"/>
      <c r="P13" s="3"/>
      <c r="Q13" s="3"/>
      <c r="R13" s="3"/>
    </row>
    <row r="14" spans="1:18">
      <c r="A14" s="9"/>
      <c r="N14" s="11"/>
      <c r="O14" s="3"/>
      <c r="P14" s="3"/>
      <c r="Q14" s="3"/>
      <c r="R14" s="3"/>
    </row>
    <row r="15" spans="1:18">
      <c r="N15" s="11"/>
      <c r="O15" s="3"/>
      <c r="P15" s="3"/>
      <c r="Q15" s="3"/>
      <c r="R15" s="3"/>
    </row>
    <row r="16" spans="1:18">
      <c r="N16" s="11"/>
      <c r="O16" s="3"/>
      <c r="P16" s="3"/>
      <c r="Q16" s="3"/>
      <c r="R16" s="3"/>
    </row>
    <row r="17" spans="1:18">
      <c r="O17" s="3"/>
      <c r="P17" s="3"/>
      <c r="Q17" s="3"/>
      <c r="R17" s="3"/>
    </row>
    <row r="18" spans="1:18">
      <c r="O18" s="3"/>
      <c r="P18" s="3"/>
      <c r="Q18" s="3"/>
      <c r="R18" s="3"/>
    </row>
    <row r="19" spans="1:18" ht="17.25">
      <c r="A19" s="5"/>
      <c r="B19" s="6"/>
      <c r="C19" s="6"/>
      <c r="D19" s="6"/>
      <c r="E19" s="6"/>
      <c r="F19" s="6"/>
      <c r="G19" s="6"/>
      <c r="H19" s="6"/>
      <c r="I19" s="6"/>
      <c r="J19" s="6"/>
      <c r="K19" s="7"/>
      <c r="L19" s="8"/>
      <c r="O19" s="3"/>
      <c r="P19" s="3"/>
      <c r="Q19" s="3"/>
      <c r="R19" s="3"/>
    </row>
    <row r="20" spans="1:18">
      <c r="O20" s="3"/>
      <c r="P20" s="3"/>
      <c r="Q20" s="3"/>
      <c r="R20" s="3"/>
    </row>
    <row r="21" spans="1:18">
      <c r="O21" s="3"/>
      <c r="P21" s="3"/>
      <c r="Q21" s="3"/>
      <c r="R21" s="3"/>
    </row>
    <row r="28" spans="1:18">
      <c r="M28" s="13"/>
      <c r="N28" s="13"/>
      <c r="O28" s="13"/>
    </row>
    <row r="29" spans="1:18">
      <c r="M29" s="53"/>
      <c r="N29" s="53"/>
      <c r="O29" s="13"/>
    </row>
    <row r="30" spans="1:18">
      <c r="M30" s="53"/>
      <c r="N30" s="53"/>
      <c r="O30" s="13"/>
    </row>
    <row r="31" spans="1:18">
      <c r="M31" s="53"/>
      <c r="N31" s="53"/>
      <c r="O31" s="13"/>
    </row>
    <row r="32" spans="1:18">
      <c r="M32" s="53"/>
      <c r="N32" s="53"/>
      <c r="O32" s="13"/>
    </row>
    <row r="33" spans="13:19">
      <c r="M33" s="53"/>
      <c r="N33" s="53"/>
      <c r="O33" s="13"/>
    </row>
    <row r="34" spans="13:19">
      <c r="M34" s="53"/>
      <c r="N34" s="53"/>
      <c r="O34" s="13"/>
    </row>
    <row r="35" spans="13:19">
      <c r="P35" s="69"/>
      <c r="Q35" s="52"/>
      <c r="R35" s="13"/>
    </row>
    <row r="36" spans="13:19">
      <c r="P36" s="69"/>
      <c r="Q36" s="52"/>
      <c r="R36" s="70"/>
      <c r="S36" s="11"/>
    </row>
    <row r="37" spans="13:19">
      <c r="M37" s="13"/>
      <c r="N37" s="13"/>
      <c r="O37" s="13"/>
      <c r="Q37" s="16"/>
      <c r="R37" s="60"/>
      <c r="S37" s="11"/>
    </row>
    <row r="38" spans="13:19">
      <c r="M38" s="13"/>
      <c r="N38" s="13"/>
      <c r="O38" s="13"/>
      <c r="Q38" s="11"/>
      <c r="R38" s="11"/>
      <c r="S38" s="11"/>
    </row>
    <row r="39" spans="13:19">
      <c r="M39" s="13"/>
      <c r="N39" s="13"/>
      <c r="O39" s="13"/>
      <c r="Q39" s="11"/>
      <c r="R39" s="11"/>
      <c r="S39" s="11"/>
    </row>
    <row r="40" spans="13:19">
      <c r="M40" s="13"/>
      <c r="N40" s="13"/>
      <c r="O40" s="13"/>
      <c r="Q40" s="11"/>
      <c r="R40" s="11"/>
      <c r="S40" s="11"/>
    </row>
    <row r="41" spans="13:19">
      <c r="M41" s="13"/>
      <c r="N41" s="13"/>
      <c r="O41" s="13"/>
      <c r="Q41" s="11"/>
      <c r="R41" s="11"/>
      <c r="S41" s="11"/>
    </row>
    <row r="42" spans="13:19">
      <c r="Q42" s="11"/>
      <c r="R42" s="11"/>
      <c r="S42" s="11"/>
    </row>
    <row r="43" spans="13:19">
      <c r="Q43" s="11"/>
      <c r="R43" s="11"/>
      <c r="S43" s="11"/>
    </row>
    <row r="44" spans="13:19">
      <c r="Q44" s="11"/>
      <c r="R44" s="11"/>
      <c r="S44" s="11"/>
    </row>
    <row r="45" spans="13:19">
      <c r="Q45" s="11"/>
      <c r="R45" s="11"/>
      <c r="S45" s="11"/>
    </row>
    <row r="46" spans="13:19">
      <c r="Q46" s="11"/>
      <c r="R46" s="11"/>
      <c r="S46" s="11"/>
    </row>
  </sheetData>
  <mergeCells count="11">
    <mergeCell ref="A1:L1"/>
    <mergeCell ref="A2:L2"/>
    <mergeCell ref="A3:A4"/>
    <mergeCell ref="B3:B4"/>
    <mergeCell ref="C3:C4"/>
    <mergeCell ref="L3:L4"/>
    <mergeCell ref="D3:D4"/>
    <mergeCell ref="E3:E4"/>
    <mergeCell ref="F3:F4"/>
    <mergeCell ref="G3:G4"/>
    <mergeCell ref="H3:H4"/>
  </mergeCells>
  <pageMargins left="0.2" right="0.17" top="0.3" bottom="0.75" header="0.3" footer="0.3"/>
  <pageSetup paperSize="9" scale="87" orientation="landscape" horizontalDpi="4294967295" verticalDpi="4294967295" r:id="rId1"/>
  <rowBreaks count="2" manualBreakCount="2">
    <brk id="28" max="11" man="1"/>
    <brk id="69" max="11" man="1"/>
  </rowBreaks>
  <colBreaks count="1" manualBreakCount="1">
    <brk id="12" max="1048575" man="1"/>
  </colBreaks>
  <ignoredErrors>
    <ignoredError sqref="B6:H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4" customWidth="1"/>
    <col min="36" max="16384" width="12.28515625" style="2"/>
  </cols>
  <sheetData>
    <row r="1" spans="1:36" ht="21">
      <c r="A1" s="102" t="s">
        <v>52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</row>
    <row r="2" spans="1:36">
      <c r="A2" s="99" t="s">
        <v>45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</row>
    <row r="3" spans="1:36" ht="15" customHeight="1">
      <c r="A3" s="100"/>
      <c r="B3" s="100"/>
      <c r="C3" s="103" t="s">
        <v>40</v>
      </c>
      <c r="D3" s="103"/>
      <c r="E3" s="103"/>
      <c r="F3" s="103"/>
      <c r="G3" s="103"/>
      <c r="H3" s="42"/>
      <c r="I3" s="42"/>
      <c r="J3" s="104" t="s">
        <v>6</v>
      </c>
      <c r="K3" s="104"/>
      <c r="L3" s="104"/>
      <c r="M3" s="104"/>
      <c r="N3" s="104"/>
      <c r="O3" s="37"/>
      <c r="P3" s="104" t="s">
        <v>7</v>
      </c>
      <c r="Q3" s="104"/>
      <c r="R3" s="104"/>
      <c r="S3" s="104"/>
      <c r="T3" s="104"/>
      <c r="U3" s="19"/>
      <c r="V3" s="19"/>
      <c r="W3" s="19"/>
      <c r="X3" s="105" t="s">
        <v>8</v>
      </c>
      <c r="Y3" s="105"/>
      <c r="Z3" s="105"/>
      <c r="AA3" s="105"/>
      <c r="AB3" s="105"/>
      <c r="AC3" s="38"/>
      <c r="AD3" s="38"/>
      <c r="AE3" s="105" t="s">
        <v>9</v>
      </c>
      <c r="AF3" s="105"/>
      <c r="AG3" s="105"/>
      <c r="AH3" s="105"/>
      <c r="AI3" s="105"/>
    </row>
    <row r="4" spans="1:36" ht="25.5">
      <c r="A4" s="101"/>
      <c r="B4" s="101"/>
      <c r="C4" s="43" t="s">
        <v>10</v>
      </c>
      <c r="D4" s="43" t="s">
        <v>11</v>
      </c>
      <c r="E4" s="43" t="s">
        <v>4</v>
      </c>
      <c r="F4" s="44" t="s">
        <v>12</v>
      </c>
      <c r="G4" s="43" t="s">
        <v>13</v>
      </c>
      <c r="H4" s="43" t="s">
        <v>47</v>
      </c>
      <c r="I4" s="43" t="s">
        <v>53</v>
      </c>
      <c r="J4" s="26" t="s">
        <v>10</v>
      </c>
      <c r="K4" s="26" t="s">
        <v>11</v>
      </c>
      <c r="L4" s="26" t="s">
        <v>4</v>
      </c>
      <c r="M4" s="27" t="s">
        <v>12</v>
      </c>
      <c r="N4" s="26" t="s">
        <v>13</v>
      </c>
      <c r="O4" s="43" t="s">
        <v>47</v>
      </c>
      <c r="P4" s="26" t="s">
        <v>10</v>
      </c>
      <c r="Q4" s="26" t="s">
        <v>11</v>
      </c>
      <c r="R4" s="26" t="s">
        <v>4</v>
      </c>
      <c r="S4" s="27" t="s">
        <v>12</v>
      </c>
      <c r="T4" s="26" t="s">
        <v>13</v>
      </c>
      <c r="U4" s="43" t="s">
        <v>47</v>
      </c>
      <c r="V4" s="43"/>
      <c r="W4" s="43"/>
      <c r="X4" s="26" t="s">
        <v>10</v>
      </c>
      <c r="Y4" s="26" t="s">
        <v>11</v>
      </c>
      <c r="Z4" s="26" t="s">
        <v>4</v>
      </c>
      <c r="AA4" s="27" t="s">
        <v>12</v>
      </c>
      <c r="AB4" s="26" t="s">
        <v>13</v>
      </c>
      <c r="AC4" s="43" t="s">
        <v>47</v>
      </c>
      <c r="AD4" s="43"/>
      <c r="AE4" s="26" t="s">
        <v>10</v>
      </c>
      <c r="AF4" s="26" t="s">
        <v>11</v>
      </c>
      <c r="AG4" s="26" t="s">
        <v>4</v>
      </c>
      <c r="AH4" s="27" t="s">
        <v>12</v>
      </c>
      <c r="AI4" s="26" t="s">
        <v>13</v>
      </c>
      <c r="AJ4" s="43" t="s">
        <v>47</v>
      </c>
    </row>
    <row r="5" spans="1:36" ht="14.25" customHeight="1">
      <c r="A5" s="36"/>
      <c r="B5" s="40" t="s">
        <v>49</v>
      </c>
      <c r="C5" s="45">
        <f t="shared" ref="C5:G32" si="0">J5+P5</f>
        <v>3010</v>
      </c>
      <c r="D5" s="45">
        <f t="shared" si="0"/>
        <v>2381</v>
      </c>
      <c r="E5" s="45">
        <f t="shared" si="0"/>
        <v>5391</v>
      </c>
      <c r="F5" s="45">
        <f>M5+S5</f>
        <v>1774</v>
      </c>
      <c r="G5" s="45">
        <f t="shared" si="0"/>
        <v>3617</v>
      </c>
      <c r="H5" s="46">
        <f>F5/E5*100</f>
        <v>32.906696345761453</v>
      </c>
      <c r="I5" s="46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46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46">
        <f>S5/R5*100</f>
        <v>52.68456375838926</v>
      </c>
      <c r="V5" s="46"/>
      <c r="W5" s="40" t="s">
        <v>49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46">
        <f>AA5/Z5*100</f>
        <v>62.419047619047618</v>
      </c>
      <c r="AD5" s="40" t="s">
        <v>49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46">
        <f>AH5/AG5*100</f>
        <v>84.499785315586081</v>
      </c>
    </row>
    <row r="6" spans="1:36" ht="14.25" customHeight="1">
      <c r="A6" s="36"/>
      <c r="B6" s="40" t="s">
        <v>50</v>
      </c>
      <c r="C6" s="45">
        <f t="shared" si="0"/>
        <v>2247</v>
      </c>
      <c r="D6" s="45">
        <f t="shared" si="0"/>
        <v>1246</v>
      </c>
      <c r="E6" s="45">
        <f t="shared" si="0"/>
        <v>3493</v>
      </c>
      <c r="F6" s="45">
        <f t="shared" si="0"/>
        <v>1084</v>
      </c>
      <c r="G6" s="45">
        <f t="shared" si="0"/>
        <v>2409</v>
      </c>
      <c r="H6" s="46">
        <f>F6/E6*100</f>
        <v>31.033495562553682</v>
      </c>
      <c r="I6" s="46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46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46">
        <f>S6/R6*100</f>
        <v>68.613138686131393</v>
      </c>
      <c r="V6" s="46"/>
      <c r="W6" s="40" t="s">
        <v>50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46">
        <f>AA6/Z6*100</f>
        <v>59.483701597024719</v>
      </c>
      <c r="AD6" s="40" t="s">
        <v>50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46">
        <f>AH6/AG6*100</f>
        <v>81.331916400991858</v>
      </c>
    </row>
    <row r="7" spans="1:36" s="34" customFormat="1" ht="14.25" customHeight="1">
      <c r="A7" s="32"/>
      <c r="B7" s="40" t="s">
        <v>51</v>
      </c>
      <c r="C7" s="45">
        <f t="shared" si="0"/>
        <v>763</v>
      </c>
      <c r="D7" s="45">
        <f t="shared" si="0"/>
        <v>1135</v>
      </c>
      <c r="E7" s="45">
        <f t="shared" si="0"/>
        <v>1898</v>
      </c>
      <c r="F7" s="45">
        <f t="shared" si="0"/>
        <v>690</v>
      </c>
      <c r="G7" s="45">
        <f t="shared" si="0"/>
        <v>1208</v>
      </c>
      <c r="H7" s="46">
        <f>F7/E7*100</f>
        <v>36.354056902002107</v>
      </c>
      <c r="I7" s="46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46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46">
        <f>S7/R7*100</f>
        <v>39.130434782608695</v>
      </c>
      <c r="V7" s="46"/>
      <c r="W7" s="40" t="s">
        <v>51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46">
        <f>AA7/Z7*100</f>
        <v>64.682071175577676</v>
      </c>
      <c r="AD7" s="40" t="s">
        <v>51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46">
        <f>AH7/AG7*100</f>
        <v>86.647454370797306</v>
      </c>
    </row>
    <row r="8" spans="1:36" s="34" customFormat="1" ht="14.25" customHeight="1">
      <c r="A8" s="36" t="s">
        <v>20</v>
      </c>
      <c r="B8" s="20" t="s">
        <v>0</v>
      </c>
      <c r="C8" s="45">
        <f t="shared" si="0"/>
        <v>68</v>
      </c>
      <c r="D8" s="45">
        <f t="shared" si="0"/>
        <v>28</v>
      </c>
      <c r="E8" s="45">
        <f t="shared" si="0"/>
        <v>96</v>
      </c>
      <c r="F8" s="45">
        <f t="shared" si="0"/>
        <v>21</v>
      </c>
      <c r="G8" s="45">
        <f t="shared" si="0"/>
        <v>75</v>
      </c>
      <c r="H8" s="45"/>
      <c r="I8" s="45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36" t="s">
        <v>21</v>
      </c>
      <c r="B9" s="20" t="s">
        <v>0</v>
      </c>
      <c r="C9" s="45">
        <f t="shared" si="0"/>
        <v>81</v>
      </c>
      <c r="D9" s="45">
        <f t="shared" si="0"/>
        <v>73</v>
      </c>
      <c r="E9" s="45">
        <f t="shared" si="0"/>
        <v>154</v>
      </c>
      <c r="F9" s="45">
        <f t="shared" si="0"/>
        <v>41</v>
      </c>
      <c r="G9" s="45">
        <f t="shared" si="0"/>
        <v>113</v>
      </c>
      <c r="H9" s="45"/>
      <c r="I9" s="45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36" t="s">
        <v>22</v>
      </c>
      <c r="B10" s="20" t="s">
        <v>0</v>
      </c>
      <c r="C10" s="45">
        <f t="shared" si="0"/>
        <v>10</v>
      </c>
      <c r="D10" s="45">
        <f t="shared" si="0"/>
        <v>24</v>
      </c>
      <c r="E10" s="45">
        <f t="shared" si="0"/>
        <v>34</v>
      </c>
      <c r="F10" s="45">
        <f t="shared" si="0"/>
        <v>28</v>
      </c>
      <c r="G10" s="45">
        <f t="shared" si="0"/>
        <v>6</v>
      </c>
      <c r="H10" s="45"/>
      <c r="I10" s="45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36" t="s">
        <v>23</v>
      </c>
      <c r="B11" s="20" t="s">
        <v>0</v>
      </c>
      <c r="C11" s="45">
        <f t="shared" si="0"/>
        <v>48</v>
      </c>
      <c r="D11" s="45">
        <f t="shared" si="0"/>
        <v>62</v>
      </c>
      <c r="E11" s="45">
        <f t="shared" si="0"/>
        <v>110</v>
      </c>
      <c r="F11" s="45">
        <f t="shared" si="0"/>
        <v>45</v>
      </c>
      <c r="G11" s="45">
        <f t="shared" si="0"/>
        <v>65</v>
      </c>
      <c r="H11" s="45"/>
      <c r="I11" s="45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36" t="s">
        <v>24</v>
      </c>
      <c r="B12" s="20" t="s">
        <v>0</v>
      </c>
      <c r="C12" s="45">
        <f t="shared" si="0"/>
        <v>73</v>
      </c>
      <c r="D12" s="45">
        <f t="shared" si="0"/>
        <v>84</v>
      </c>
      <c r="E12" s="45">
        <f t="shared" si="0"/>
        <v>157</v>
      </c>
      <c r="F12" s="45">
        <f t="shared" si="0"/>
        <v>80</v>
      </c>
      <c r="G12" s="45">
        <f t="shared" si="0"/>
        <v>77</v>
      </c>
      <c r="H12" s="45"/>
      <c r="I12" s="45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36" t="s">
        <v>25</v>
      </c>
      <c r="B13" s="20" t="s">
        <v>0</v>
      </c>
      <c r="C13" s="45">
        <f t="shared" si="0"/>
        <v>21</v>
      </c>
      <c r="D13" s="45">
        <f t="shared" si="0"/>
        <v>26</v>
      </c>
      <c r="E13" s="45">
        <f t="shared" si="0"/>
        <v>47</v>
      </c>
      <c r="F13" s="45">
        <f t="shared" si="0"/>
        <v>10</v>
      </c>
      <c r="G13" s="45">
        <f t="shared" si="0"/>
        <v>37</v>
      </c>
      <c r="H13" s="45"/>
      <c r="I13" s="45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36" t="s">
        <v>26</v>
      </c>
      <c r="B14" s="20" t="s">
        <v>0</v>
      </c>
      <c r="C14" s="45">
        <f t="shared" si="0"/>
        <v>77</v>
      </c>
      <c r="D14" s="45">
        <f t="shared" si="0"/>
        <v>61</v>
      </c>
      <c r="E14" s="45">
        <f t="shared" si="0"/>
        <v>138</v>
      </c>
      <c r="F14" s="45">
        <f t="shared" si="0"/>
        <v>57</v>
      </c>
      <c r="G14" s="45">
        <f t="shared" si="0"/>
        <v>81</v>
      </c>
      <c r="H14" s="45"/>
      <c r="I14" s="45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36" t="s">
        <v>27</v>
      </c>
      <c r="B15" s="20" t="s">
        <v>0</v>
      </c>
      <c r="C15" s="45">
        <f t="shared" si="0"/>
        <v>31</v>
      </c>
      <c r="D15" s="45">
        <f t="shared" si="0"/>
        <v>41</v>
      </c>
      <c r="E15" s="45">
        <f t="shared" si="0"/>
        <v>72</v>
      </c>
      <c r="F15" s="45">
        <f t="shared" si="0"/>
        <v>31</v>
      </c>
      <c r="G15" s="45">
        <f t="shared" si="0"/>
        <v>41</v>
      </c>
      <c r="H15" s="45"/>
      <c r="I15" s="45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36" t="s">
        <v>28</v>
      </c>
      <c r="B16" s="20" t="s">
        <v>0</v>
      </c>
      <c r="C16" s="45">
        <f t="shared" si="0"/>
        <v>13</v>
      </c>
      <c r="D16" s="45">
        <f t="shared" si="0"/>
        <v>13</v>
      </c>
      <c r="E16" s="45">
        <f t="shared" si="0"/>
        <v>26</v>
      </c>
      <c r="F16" s="45">
        <f t="shared" si="0"/>
        <v>11</v>
      </c>
      <c r="G16" s="45">
        <f t="shared" si="0"/>
        <v>15</v>
      </c>
      <c r="H16" s="45"/>
      <c r="I16" s="45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36" t="s">
        <v>29</v>
      </c>
      <c r="B17" s="20" t="s">
        <v>0</v>
      </c>
      <c r="C17" s="45">
        <f t="shared" si="0"/>
        <v>14</v>
      </c>
      <c r="D17" s="45">
        <f t="shared" si="0"/>
        <v>18</v>
      </c>
      <c r="E17" s="45">
        <f t="shared" si="0"/>
        <v>32</v>
      </c>
      <c r="F17" s="45">
        <f t="shared" si="0"/>
        <v>23</v>
      </c>
      <c r="G17" s="45">
        <f t="shared" si="0"/>
        <v>9</v>
      </c>
      <c r="H17" s="45"/>
      <c r="I17" s="45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36" t="s">
        <v>30</v>
      </c>
      <c r="B18" s="20" t="s">
        <v>0</v>
      </c>
      <c r="C18" s="45">
        <f t="shared" si="0"/>
        <v>2</v>
      </c>
      <c r="D18" s="45">
        <f t="shared" si="0"/>
        <v>1</v>
      </c>
      <c r="E18" s="45">
        <f t="shared" si="0"/>
        <v>3</v>
      </c>
      <c r="F18" s="45">
        <f t="shared" si="0"/>
        <v>2</v>
      </c>
      <c r="G18" s="45">
        <f t="shared" si="0"/>
        <v>1</v>
      </c>
      <c r="H18" s="45"/>
      <c r="I18" s="45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36" t="s">
        <v>31</v>
      </c>
      <c r="B19" s="20" t="s">
        <v>0</v>
      </c>
      <c r="C19" s="45">
        <f t="shared" si="0"/>
        <v>4</v>
      </c>
      <c r="D19" s="45">
        <f t="shared" si="0"/>
        <v>4</v>
      </c>
      <c r="E19" s="45">
        <f t="shared" si="0"/>
        <v>8</v>
      </c>
      <c r="F19" s="45">
        <f t="shared" si="0"/>
        <v>3</v>
      </c>
      <c r="G19" s="45">
        <f t="shared" si="0"/>
        <v>5</v>
      </c>
      <c r="H19" s="45"/>
      <c r="I19" s="45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36" t="s">
        <v>32</v>
      </c>
      <c r="B20" s="20" t="s">
        <v>0</v>
      </c>
      <c r="C20" s="45">
        <f t="shared" si="0"/>
        <v>6</v>
      </c>
      <c r="D20" s="45">
        <f t="shared" si="0"/>
        <v>14</v>
      </c>
      <c r="E20" s="45">
        <f t="shared" si="0"/>
        <v>20</v>
      </c>
      <c r="F20" s="45">
        <f t="shared" si="0"/>
        <v>13</v>
      </c>
      <c r="G20" s="45">
        <f t="shared" si="0"/>
        <v>7</v>
      </c>
      <c r="H20" s="45"/>
      <c r="I20" s="45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36" t="s">
        <v>33</v>
      </c>
      <c r="B21" s="20" t="s">
        <v>0</v>
      </c>
      <c r="C21" s="45">
        <f t="shared" si="0"/>
        <v>5</v>
      </c>
      <c r="D21" s="45">
        <f t="shared" si="0"/>
        <v>4</v>
      </c>
      <c r="E21" s="45">
        <f t="shared" si="0"/>
        <v>9</v>
      </c>
      <c r="F21" s="45">
        <f t="shared" si="0"/>
        <v>6</v>
      </c>
      <c r="G21" s="45">
        <f t="shared" si="0"/>
        <v>3</v>
      </c>
      <c r="H21" s="45"/>
      <c r="I21" s="45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36" t="s">
        <v>34</v>
      </c>
      <c r="B22" s="20" t="s">
        <v>0</v>
      </c>
      <c r="C22" s="45">
        <f t="shared" si="0"/>
        <v>46</v>
      </c>
      <c r="D22" s="45">
        <f t="shared" si="0"/>
        <v>76</v>
      </c>
      <c r="E22" s="45">
        <f t="shared" si="0"/>
        <v>122</v>
      </c>
      <c r="F22" s="45">
        <f t="shared" si="0"/>
        <v>34</v>
      </c>
      <c r="G22" s="45">
        <f t="shared" si="0"/>
        <v>88</v>
      </c>
      <c r="H22" s="45"/>
      <c r="I22" s="45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36" t="s">
        <v>35</v>
      </c>
      <c r="B23" s="20" t="s">
        <v>0</v>
      </c>
      <c r="C23" s="45">
        <f t="shared" si="0"/>
        <v>89</v>
      </c>
      <c r="D23" s="45">
        <f t="shared" si="0"/>
        <v>108</v>
      </c>
      <c r="E23" s="45">
        <f t="shared" si="0"/>
        <v>197</v>
      </c>
      <c r="F23" s="45">
        <f t="shared" si="0"/>
        <v>33</v>
      </c>
      <c r="G23" s="45">
        <f t="shared" si="0"/>
        <v>164</v>
      </c>
      <c r="H23" s="45"/>
      <c r="I23" s="45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36" t="s">
        <v>36</v>
      </c>
      <c r="B24" s="20" t="s">
        <v>0</v>
      </c>
      <c r="C24" s="45">
        <f t="shared" si="0"/>
        <v>34</v>
      </c>
      <c r="D24" s="45">
        <f t="shared" si="0"/>
        <v>48</v>
      </c>
      <c r="E24" s="45">
        <f t="shared" si="0"/>
        <v>82</v>
      </c>
      <c r="F24" s="45">
        <f t="shared" si="0"/>
        <v>48</v>
      </c>
      <c r="G24" s="45">
        <f t="shared" si="0"/>
        <v>34</v>
      </c>
      <c r="H24" s="45"/>
      <c r="I24" s="45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36" t="s">
        <v>37</v>
      </c>
      <c r="B25" s="20" t="s">
        <v>0</v>
      </c>
      <c r="C25" s="45">
        <f t="shared" si="0"/>
        <v>28</v>
      </c>
      <c r="D25" s="45">
        <f t="shared" si="0"/>
        <v>57</v>
      </c>
      <c r="E25" s="45">
        <f t="shared" si="0"/>
        <v>85</v>
      </c>
      <c r="F25" s="45">
        <f t="shared" si="0"/>
        <v>33</v>
      </c>
      <c r="G25" s="45">
        <f t="shared" si="0"/>
        <v>52</v>
      </c>
      <c r="H25" s="45"/>
      <c r="I25" s="45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36" t="s">
        <v>38</v>
      </c>
      <c r="B26" s="20" t="s">
        <v>0</v>
      </c>
      <c r="C26" s="45">
        <f t="shared" si="0"/>
        <v>106</v>
      </c>
      <c r="D26" s="45">
        <f t="shared" si="0"/>
        <v>149</v>
      </c>
      <c r="E26" s="45">
        <f t="shared" si="0"/>
        <v>255</v>
      </c>
      <c r="F26" s="45">
        <f t="shared" si="0"/>
        <v>110</v>
      </c>
      <c r="G26" s="45">
        <f t="shared" si="0"/>
        <v>145</v>
      </c>
      <c r="H26" s="45"/>
      <c r="I26" s="45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36" t="s">
        <v>39</v>
      </c>
      <c r="B27" s="20" t="s">
        <v>0</v>
      </c>
      <c r="C27" s="45">
        <f t="shared" si="0"/>
        <v>7</v>
      </c>
      <c r="D27" s="45">
        <f t="shared" si="0"/>
        <v>244</v>
      </c>
      <c r="E27" s="45">
        <f t="shared" si="0"/>
        <v>251</v>
      </c>
      <c r="F27" s="45">
        <f t="shared" si="0"/>
        <v>61</v>
      </c>
      <c r="G27" s="45">
        <f t="shared" si="0"/>
        <v>190</v>
      </c>
      <c r="H27" s="45"/>
      <c r="I27" s="45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14</v>
      </c>
      <c r="B28" s="22" t="s">
        <v>15</v>
      </c>
      <c r="C28" s="45">
        <f t="shared" si="0"/>
        <v>0</v>
      </c>
      <c r="D28" s="45">
        <f t="shared" si="0"/>
        <v>0</v>
      </c>
      <c r="E28" s="45">
        <f t="shared" si="0"/>
        <v>0</v>
      </c>
      <c r="F28" s="45">
        <f t="shared" si="0"/>
        <v>0</v>
      </c>
      <c r="G28" s="45">
        <f t="shared" si="0"/>
        <v>0</v>
      </c>
      <c r="H28" s="45"/>
      <c r="I28" s="45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14</v>
      </c>
      <c r="B29" s="22" t="s">
        <v>16</v>
      </c>
      <c r="C29" s="45">
        <f t="shared" si="0"/>
        <v>2191</v>
      </c>
      <c r="D29" s="45">
        <f t="shared" si="0"/>
        <v>1158</v>
      </c>
      <c r="E29" s="45">
        <f t="shared" si="0"/>
        <v>3349</v>
      </c>
      <c r="F29" s="45">
        <f t="shared" si="0"/>
        <v>990</v>
      </c>
      <c r="G29" s="45">
        <f t="shared" si="0"/>
        <v>2359</v>
      </c>
      <c r="H29" s="45"/>
      <c r="I29" s="45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14</v>
      </c>
      <c r="B30" s="22" t="s">
        <v>17</v>
      </c>
      <c r="C30" s="45">
        <f t="shared" si="0"/>
        <v>0</v>
      </c>
      <c r="D30" s="45">
        <f t="shared" si="0"/>
        <v>0</v>
      </c>
      <c r="E30" s="45">
        <f t="shared" si="0"/>
        <v>0</v>
      </c>
      <c r="F30" s="45">
        <f t="shared" si="0"/>
        <v>0</v>
      </c>
      <c r="G30" s="45">
        <f t="shared" si="0"/>
        <v>0</v>
      </c>
      <c r="H30" s="45"/>
      <c r="I30" s="45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14</v>
      </c>
      <c r="B31" s="22" t="s">
        <v>18</v>
      </c>
      <c r="C31" s="45">
        <f t="shared" si="0"/>
        <v>54</v>
      </c>
      <c r="D31" s="45">
        <f t="shared" si="0"/>
        <v>83</v>
      </c>
      <c r="E31" s="45">
        <f t="shared" si="0"/>
        <v>137</v>
      </c>
      <c r="F31" s="45">
        <f t="shared" si="0"/>
        <v>94</v>
      </c>
      <c r="G31" s="45">
        <f t="shared" si="0"/>
        <v>43</v>
      </c>
      <c r="H31" s="45"/>
      <c r="I31" s="45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14</v>
      </c>
      <c r="B32" s="29" t="s">
        <v>19</v>
      </c>
      <c r="C32" s="45">
        <f t="shared" si="0"/>
        <v>2</v>
      </c>
      <c r="D32" s="45">
        <f t="shared" si="0"/>
        <v>5</v>
      </c>
      <c r="E32" s="45">
        <f t="shared" si="0"/>
        <v>7</v>
      </c>
      <c r="F32" s="45">
        <f t="shared" si="0"/>
        <v>0</v>
      </c>
      <c r="G32" s="45">
        <f t="shared" si="0"/>
        <v>7</v>
      </c>
      <c r="H32" s="45"/>
      <c r="I32" s="45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46</v>
      </c>
    </row>
    <row r="36" spans="1:35">
      <c r="A36" s="2"/>
      <c r="B36" s="39" t="s">
        <v>47</v>
      </c>
    </row>
    <row r="37" spans="1:35">
      <c r="B37" s="40" t="s">
        <v>40</v>
      </c>
      <c r="C37" s="40" t="s">
        <v>48</v>
      </c>
      <c r="D37" s="40" t="s">
        <v>41</v>
      </c>
      <c r="E37" s="40"/>
      <c r="F37" s="40"/>
    </row>
    <row r="38" spans="1:35">
      <c r="A38" s="40" t="s">
        <v>49</v>
      </c>
      <c r="B38" s="41">
        <f>H5</f>
        <v>32.906696345761453</v>
      </c>
      <c r="C38" s="41">
        <f>AC5</f>
        <v>62.419047619047618</v>
      </c>
      <c r="D38" s="41">
        <f>AJ5</f>
        <v>84.499785315586081</v>
      </c>
    </row>
    <row r="39" spans="1:35">
      <c r="A39" s="40" t="s">
        <v>50</v>
      </c>
      <c r="B39" s="41">
        <f>H6</f>
        <v>31.033495562553682</v>
      </c>
      <c r="C39" s="41">
        <f>AC6</f>
        <v>59.483701597024719</v>
      </c>
      <c r="D39" s="41">
        <f>AJ6</f>
        <v>81.331916400991858</v>
      </c>
    </row>
    <row r="40" spans="1:35">
      <c r="A40" s="40" t="s">
        <v>51</v>
      </c>
      <c r="B40" s="41">
        <f>H7</f>
        <v>36.354056902002107</v>
      </c>
      <c r="C40" s="41">
        <f>AC7</f>
        <v>64.682071175577676</v>
      </c>
      <c r="D40" s="41">
        <f>AJ7</f>
        <v>86.647454370797306</v>
      </c>
    </row>
    <row r="42" spans="1:35">
      <c r="B42" s="47" t="s">
        <v>54</v>
      </c>
      <c r="C42" s="47"/>
      <c r="D42" s="47"/>
    </row>
    <row r="43" spans="1:35">
      <c r="B43" s="40" t="s">
        <v>40</v>
      </c>
      <c r="C43" s="40" t="s">
        <v>48</v>
      </c>
      <c r="D43" s="40" t="s">
        <v>41</v>
      </c>
    </row>
    <row r="44" spans="1:35">
      <c r="A44" s="40" t="s">
        <v>49</v>
      </c>
      <c r="B44" s="48">
        <f>G5</f>
        <v>3617</v>
      </c>
      <c r="C44" s="48">
        <f>AB5</f>
        <v>3946</v>
      </c>
      <c r="D44" s="48">
        <f>AI5</f>
        <v>1083</v>
      </c>
    </row>
    <row r="45" spans="1:35">
      <c r="A45" s="40" t="s">
        <v>50</v>
      </c>
      <c r="B45" s="48">
        <f>G6</f>
        <v>2409</v>
      </c>
      <c r="C45" s="48">
        <f>AB6</f>
        <v>1852</v>
      </c>
      <c r="D45" s="48">
        <f>AI6</f>
        <v>527</v>
      </c>
    </row>
    <row r="46" spans="1:35">
      <c r="A46" s="40" t="s">
        <v>51</v>
      </c>
      <c r="B46" s="48">
        <f>G7</f>
        <v>1208</v>
      </c>
      <c r="C46" s="48">
        <f>AB7</f>
        <v>2094</v>
      </c>
      <c r="D46" s="48">
        <f>AI7</f>
        <v>556</v>
      </c>
    </row>
    <row r="49" spans="1:5">
      <c r="B49" s="47" t="s">
        <v>55</v>
      </c>
      <c r="C49" s="47"/>
      <c r="D49" s="47"/>
    </row>
    <row r="50" spans="1:5">
      <c r="B50" s="40" t="s">
        <v>40</v>
      </c>
      <c r="C50" s="40" t="s">
        <v>48</v>
      </c>
      <c r="D50" s="40" t="s">
        <v>41</v>
      </c>
    </row>
    <row r="51" spans="1:5">
      <c r="A51" s="40" t="s">
        <v>49</v>
      </c>
      <c r="B51" s="48">
        <f>F5</f>
        <v>1774</v>
      </c>
      <c r="C51" s="48">
        <f>AA5</f>
        <v>6554</v>
      </c>
      <c r="D51" s="48">
        <f>AH5</f>
        <v>5904</v>
      </c>
    </row>
    <row r="52" spans="1:5">
      <c r="A52" s="40" t="s">
        <v>50</v>
      </c>
      <c r="B52" s="48">
        <f>F6</f>
        <v>1084</v>
      </c>
      <c r="C52" s="48">
        <f>AA6</f>
        <v>2719</v>
      </c>
      <c r="D52" s="48">
        <f>AH6</f>
        <v>2296</v>
      </c>
    </row>
    <row r="53" spans="1:5">
      <c r="A53" s="40" t="s">
        <v>51</v>
      </c>
      <c r="B53" s="48">
        <f>F7</f>
        <v>690</v>
      </c>
      <c r="C53" s="48">
        <f>AA7</f>
        <v>3835</v>
      </c>
      <c r="D53" s="48">
        <f>AH7</f>
        <v>3608</v>
      </c>
    </row>
    <row r="55" spans="1:5">
      <c r="A55" s="39" t="s">
        <v>0</v>
      </c>
      <c r="B55" s="47"/>
      <c r="C55" s="47"/>
      <c r="D55" s="47"/>
    </row>
    <row r="56" spans="1:5">
      <c r="A56" s="39"/>
      <c r="B56" s="47" t="s">
        <v>43</v>
      </c>
      <c r="C56" s="47" t="s">
        <v>14</v>
      </c>
      <c r="D56" s="47" t="s">
        <v>42</v>
      </c>
    </row>
    <row r="57" spans="1:5">
      <c r="A57" s="47" t="s">
        <v>56</v>
      </c>
      <c r="B57" s="48">
        <v>7528</v>
      </c>
      <c r="C57" s="48">
        <v>4550</v>
      </c>
      <c r="D57" s="48">
        <v>2978</v>
      </c>
      <c r="E57" s="17"/>
    </row>
    <row r="58" spans="1:5">
      <c r="A58" s="47" t="s">
        <v>57</v>
      </c>
      <c r="B58" s="48">
        <v>15351</v>
      </c>
      <c r="C58" s="48">
        <v>6338</v>
      </c>
      <c r="D58" s="48">
        <v>9013</v>
      </c>
      <c r="E58" s="17"/>
    </row>
    <row r="59" spans="1:5">
      <c r="A59" s="47" t="s">
        <v>55</v>
      </c>
      <c r="B59" s="48">
        <v>14232</v>
      </c>
      <c r="C59" s="48">
        <v>6099</v>
      </c>
      <c r="D59" s="48">
        <v>8133</v>
      </c>
    </row>
    <row r="60" spans="1:5">
      <c r="A60" s="47" t="s">
        <v>54</v>
      </c>
      <c r="B60" s="48">
        <v>8646</v>
      </c>
      <c r="C60" s="48">
        <v>4788</v>
      </c>
      <c r="D60" s="48">
        <v>3858</v>
      </c>
    </row>
    <row r="61" spans="1:5">
      <c r="B61" s="20"/>
      <c r="C61" s="20"/>
      <c r="D61" s="20"/>
    </row>
    <row r="62" spans="1:5">
      <c r="A62" s="2"/>
      <c r="B62" s="17"/>
      <c r="C62" s="17"/>
      <c r="D62" s="17"/>
      <c r="E62" s="17"/>
    </row>
    <row r="63" spans="1:5">
      <c r="A63" s="2"/>
      <c r="B63" s="17"/>
      <c r="C63" s="17"/>
      <c r="D63" s="17"/>
      <c r="E63" s="17"/>
    </row>
    <row r="64" spans="1:5">
      <c r="A64" s="2"/>
      <c r="B64" s="17"/>
      <c r="C64" s="17"/>
      <c r="D64" s="17"/>
      <c r="E64" s="17"/>
    </row>
    <row r="65" spans="1:11">
      <c r="A65" s="2"/>
      <c r="B65" s="17"/>
      <c r="C65" s="17"/>
      <c r="D65" s="17"/>
      <c r="E65" s="17"/>
    </row>
    <row r="66" spans="1:11">
      <c r="B66" s="39" t="s">
        <v>58</v>
      </c>
    </row>
    <row r="67" spans="1:11">
      <c r="B67" s="47"/>
      <c r="H67" s="47" t="s">
        <v>59</v>
      </c>
    </row>
    <row r="68" spans="1:11">
      <c r="A68" s="2"/>
      <c r="B68" s="47"/>
      <c r="C68" s="47" t="s">
        <v>60</v>
      </c>
      <c r="D68" s="47" t="s">
        <v>61</v>
      </c>
      <c r="E68" s="47" t="s">
        <v>62</v>
      </c>
      <c r="F68" s="47" t="s">
        <v>63</v>
      </c>
      <c r="G68" s="47"/>
      <c r="H68" s="49" t="s">
        <v>64</v>
      </c>
      <c r="I68" s="47" t="s">
        <v>65</v>
      </c>
      <c r="J68" s="47" t="s">
        <v>66</v>
      </c>
      <c r="K68" s="47"/>
    </row>
    <row r="69" spans="1:11">
      <c r="A69" s="2"/>
      <c r="B69" s="47" t="s">
        <v>20</v>
      </c>
      <c r="C69" s="47">
        <v>590</v>
      </c>
      <c r="D69" s="47">
        <v>339</v>
      </c>
      <c r="E69" s="47">
        <v>251</v>
      </c>
      <c r="F69" s="41">
        <f>D69/C69*100</f>
        <v>57.457627118644069</v>
      </c>
      <c r="G69" s="47"/>
      <c r="H69" s="50">
        <v>10</v>
      </c>
      <c r="I69" s="41">
        <f t="shared" ref="I69:I88" si="1">C69/H69</f>
        <v>59</v>
      </c>
      <c r="J69" s="41">
        <f t="shared" ref="J69:J88" si="2">D69/H69</f>
        <v>33.9</v>
      </c>
      <c r="K69" s="47"/>
    </row>
    <row r="70" spans="1:11">
      <c r="A70" s="2"/>
      <c r="B70" s="47" t="s">
        <v>21</v>
      </c>
      <c r="C70" s="47">
        <v>692</v>
      </c>
      <c r="D70" s="47">
        <v>367</v>
      </c>
      <c r="E70" s="47">
        <v>325</v>
      </c>
      <c r="F70" s="41">
        <f t="shared" ref="F70:F88" si="3">D70/C70*100</f>
        <v>53.034682080924853</v>
      </c>
      <c r="G70" s="47"/>
      <c r="H70" s="50">
        <v>8</v>
      </c>
      <c r="I70" s="41">
        <f t="shared" si="1"/>
        <v>86.5</v>
      </c>
      <c r="J70" s="41">
        <f t="shared" si="2"/>
        <v>45.875</v>
      </c>
      <c r="K70" s="47"/>
    </row>
    <row r="71" spans="1:11">
      <c r="A71" s="2"/>
      <c r="B71" s="47" t="s">
        <v>22</v>
      </c>
      <c r="C71" s="47">
        <v>400</v>
      </c>
      <c r="D71" s="47">
        <v>332</v>
      </c>
      <c r="E71" s="47">
        <v>68</v>
      </c>
      <c r="F71" s="41">
        <f t="shared" si="3"/>
        <v>83</v>
      </c>
      <c r="G71" s="47"/>
      <c r="H71" s="50">
        <v>4</v>
      </c>
      <c r="I71" s="41">
        <f t="shared" si="1"/>
        <v>100</v>
      </c>
      <c r="J71" s="41">
        <f t="shared" si="2"/>
        <v>83</v>
      </c>
      <c r="K71" s="47"/>
    </row>
    <row r="72" spans="1:11">
      <c r="A72" s="2"/>
      <c r="B72" s="47" t="s">
        <v>23</v>
      </c>
      <c r="C72" s="47">
        <v>658</v>
      </c>
      <c r="D72" s="47">
        <v>407</v>
      </c>
      <c r="E72" s="47">
        <v>251</v>
      </c>
      <c r="F72" s="41">
        <f t="shared" si="3"/>
        <v>61.854103343465049</v>
      </c>
      <c r="G72" s="47"/>
      <c r="H72" s="50">
        <v>5</v>
      </c>
      <c r="I72" s="41">
        <f t="shared" si="1"/>
        <v>131.6</v>
      </c>
      <c r="J72" s="41">
        <f t="shared" si="2"/>
        <v>81.400000000000006</v>
      </c>
      <c r="K72" s="47"/>
    </row>
    <row r="73" spans="1:11">
      <c r="A73" s="2"/>
      <c r="B73" s="47" t="s">
        <v>24</v>
      </c>
      <c r="C73" s="47">
        <v>679</v>
      </c>
      <c r="D73" s="47">
        <v>485</v>
      </c>
      <c r="E73" s="47">
        <v>194</v>
      </c>
      <c r="F73" s="41">
        <f t="shared" si="3"/>
        <v>71.428571428571431</v>
      </c>
      <c r="G73" s="47"/>
      <c r="H73" s="50">
        <v>7</v>
      </c>
      <c r="I73" s="41">
        <f t="shared" si="1"/>
        <v>97</v>
      </c>
      <c r="J73" s="41">
        <f t="shared" si="2"/>
        <v>69.285714285714292</v>
      </c>
      <c r="K73" s="47"/>
    </row>
    <row r="74" spans="1:11">
      <c r="B74" s="47" t="s">
        <v>25</v>
      </c>
      <c r="C74" s="47">
        <v>423</v>
      </c>
      <c r="D74" s="47">
        <v>253</v>
      </c>
      <c r="E74" s="47">
        <v>170</v>
      </c>
      <c r="F74" s="41">
        <f t="shared" si="3"/>
        <v>59.810874704491724</v>
      </c>
      <c r="G74" s="47"/>
      <c r="H74" s="50">
        <v>5</v>
      </c>
      <c r="I74" s="41">
        <f t="shared" si="1"/>
        <v>84.6</v>
      </c>
      <c r="J74" s="41">
        <f t="shared" si="2"/>
        <v>50.6</v>
      </c>
      <c r="K74" s="47"/>
    </row>
    <row r="75" spans="1:11">
      <c r="B75" s="47" t="s">
        <v>26</v>
      </c>
      <c r="C75" s="47">
        <v>608</v>
      </c>
      <c r="D75" s="47">
        <v>366</v>
      </c>
      <c r="E75" s="47">
        <v>242</v>
      </c>
      <c r="F75" s="41">
        <f t="shared" si="3"/>
        <v>60.19736842105263</v>
      </c>
      <c r="G75" s="47"/>
      <c r="H75" s="50">
        <v>1</v>
      </c>
      <c r="I75" s="41">
        <f t="shared" si="1"/>
        <v>608</v>
      </c>
      <c r="J75" s="41">
        <f t="shared" si="2"/>
        <v>366</v>
      </c>
      <c r="K75" s="47"/>
    </row>
    <row r="76" spans="1:11">
      <c r="B76" s="47" t="s">
        <v>27</v>
      </c>
      <c r="C76" s="47">
        <v>519</v>
      </c>
      <c r="D76" s="47">
        <v>401</v>
      </c>
      <c r="E76" s="47">
        <v>118</v>
      </c>
      <c r="F76" s="41">
        <f t="shared" si="3"/>
        <v>77.263969171483623</v>
      </c>
      <c r="G76" s="47"/>
      <c r="H76" s="50">
        <v>8</v>
      </c>
      <c r="I76" s="41">
        <f t="shared" si="1"/>
        <v>64.875</v>
      </c>
      <c r="J76" s="41">
        <f t="shared" si="2"/>
        <v>50.125</v>
      </c>
      <c r="K76" s="47"/>
    </row>
    <row r="77" spans="1:11">
      <c r="B77" s="47" t="s">
        <v>28</v>
      </c>
      <c r="C77" s="47">
        <v>339</v>
      </c>
      <c r="D77" s="47">
        <v>279</v>
      </c>
      <c r="E77" s="47">
        <v>60</v>
      </c>
      <c r="F77" s="41">
        <f t="shared" si="3"/>
        <v>82.30088495575221</v>
      </c>
      <c r="G77" s="47"/>
      <c r="H77" s="50">
        <v>7</v>
      </c>
      <c r="I77" s="41">
        <f t="shared" si="1"/>
        <v>48.428571428571431</v>
      </c>
      <c r="J77" s="41">
        <f t="shared" si="2"/>
        <v>39.857142857142854</v>
      </c>
      <c r="K77" s="47"/>
    </row>
    <row r="78" spans="1:11">
      <c r="B78" s="47" t="s">
        <v>29</v>
      </c>
      <c r="C78" s="47">
        <v>421</v>
      </c>
      <c r="D78" s="47">
        <v>316</v>
      </c>
      <c r="E78" s="47">
        <v>105</v>
      </c>
      <c r="F78" s="41">
        <f t="shared" si="3"/>
        <v>75.059382422802841</v>
      </c>
      <c r="G78" s="47"/>
      <c r="H78" s="50">
        <v>4</v>
      </c>
      <c r="I78" s="41">
        <f t="shared" si="1"/>
        <v>105.25</v>
      </c>
      <c r="J78" s="41">
        <f t="shared" si="2"/>
        <v>79</v>
      </c>
      <c r="K78" s="47"/>
    </row>
    <row r="79" spans="1:11">
      <c r="B79" s="47" t="s">
        <v>30</v>
      </c>
      <c r="C79" s="47">
        <v>63</v>
      </c>
      <c r="D79" s="47">
        <v>51</v>
      </c>
      <c r="E79" s="47">
        <v>12</v>
      </c>
      <c r="F79" s="41">
        <f t="shared" si="3"/>
        <v>80.952380952380949</v>
      </c>
      <c r="G79" s="47"/>
      <c r="H79" s="50">
        <v>2</v>
      </c>
      <c r="I79" s="41">
        <f t="shared" si="1"/>
        <v>31.5</v>
      </c>
      <c r="J79" s="41">
        <f t="shared" si="2"/>
        <v>25.5</v>
      </c>
      <c r="K79" s="47"/>
    </row>
    <row r="80" spans="1:11">
      <c r="B80" s="47" t="s">
        <v>31</v>
      </c>
      <c r="C80" s="47">
        <v>237</v>
      </c>
      <c r="D80" s="47">
        <v>183</v>
      </c>
      <c r="E80" s="47">
        <v>54</v>
      </c>
      <c r="F80" s="41">
        <f t="shared" si="3"/>
        <v>77.215189873417728</v>
      </c>
      <c r="G80" s="47"/>
      <c r="H80" s="50">
        <v>5</v>
      </c>
      <c r="I80" s="41">
        <f t="shared" si="1"/>
        <v>47.4</v>
      </c>
      <c r="J80" s="41">
        <f t="shared" si="2"/>
        <v>36.6</v>
      </c>
      <c r="K80" s="47"/>
    </row>
    <row r="81" spans="2:11">
      <c r="B81" s="47" t="s">
        <v>32</v>
      </c>
      <c r="C81" s="47">
        <v>237</v>
      </c>
      <c r="D81" s="47">
        <v>167</v>
      </c>
      <c r="E81" s="47">
        <v>70</v>
      </c>
      <c r="F81" s="41">
        <f t="shared" si="3"/>
        <v>70.46413502109705</v>
      </c>
      <c r="G81" s="47"/>
      <c r="H81" s="50">
        <v>3</v>
      </c>
      <c r="I81" s="41">
        <f t="shared" si="1"/>
        <v>79</v>
      </c>
      <c r="J81" s="41">
        <f t="shared" si="2"/>
        <v>55.666666666666664</v>
      </c>
      <c r="K81" s="47"/>
    </row>
    <row r="82" spans="2:11">
      <c r="B82" s="47" t="s">
        <v>33</v>
      </c>
      <c r="C82" s="47">
        <v>254</v>
      </c>
      <c r="D82" s="47">
        <v>204</v>
      </c>
      <c r="E82" s="47">
        <v>50</v>
      </c>
      <c r="F82" s="41">
        <f t="shared" si="3"/>
        <v>80.314960629921259</v>
      </c>
      <c r="G82" s="47"/>
      <c r="H82" s="50">
        <v>4</v>
      </c>
      <c r="I82" s="41">
        <f t="shared" si="1"/>
        <v>63.5</v>
      </c>
      <c r="J82" s="41">
        <f t="shared" si="2"/>
        <v>51</v>
      </c>
      <c r="K82" s="47"/>
    </row>
    <row r="83" spans="2:11">
      <c r="B83" s="47" t="s">
        <v>34</v>
      </c>
      <c r="C83" s="47">
        <v>595</v>
      </c>
      <c r="D83" s="47">
        <v>374</v>
      </c>
      <c r="E83" s="47">
        <v>221</v>
      </c>
      <c r="F83" s="41">
        <f t="shared" si="3"/>
        <v>62.857142857142854</v>
      </c>
      <c r="G83" s="47"/>
      <c r="H83" s="50">
        <v>10</v>
      </c>
      <c r="I83" s="41">
        <f t="shared" si="1"/>
        <v>59.5</v>
      </c>
      <c r="J83" s="41">
        <f t="shared" si="2"/>
        <v>37.4</v>
      </c>
      <c r="K83" s="47"/>
    </row>
    <row r="84" spans="2:11">
      <c r="B84" s="47" t="s">
        <v>35</v>
      </c>
      <c r="C84" s="47">
        <v>1209</v>
      </c>
      <c r="D84" s="47">
        <v>736</v>
      </c>
      <c r="E84" s="47">
        <v>473</v>
      </c>
      <c r="F84" s="41">
        <f t="shared" si="3"/>
        <v>60.876757650951198</v>
      </c>
      <c r="G84" s="47"/>
      <c r="H84" s="50">
        <v>9</v>
      </c>
      <c r="I84" s="41">
        <f t="shared" si="1"/>
        <v>134.33333333333334</v>
      </c>
      <c r="J84" s="41">
        <f t="shared" si="2"/>
        <v>81.777777777777771</v>
      </c>
      <c r="K84" s="47"/>
    </row>
    <row r="85" spans="2:11">
      <c r="B85" s="47" t="s">
        <v>36</v>
      </c>
      <c r="C85" s="47">
        <v>1188</v>
      </c>
      <c r="D85" s="47">
        <v>918</v>
      </c>
      <c r="E85" s="47">
        <v>270</v>
      </c>
      <c r="F85" s="41">
        <f t="shared" si="3"/>
        <v>77.272727272727266</v>
      </c>
      <c r="G85" s="47"/>
      <c r="H85" s="50">
        <v>10</v>
      </c>
      <c r="I85" s="41">
        <f t="shared" si="1"/>
        <v>118.8</v>
      </c>
      <c r="J85" s="41">
        <f t="shared" si="2"/>
        <v>91.8</v>
      </c>
      <c r="K85" s="47"/>
    </row>
    <row r="86" spans="2:11">
      <c r="B86" s="47" t="s">
        <v>37</v>
      </c>
      <c r="C86" s="47">
        <v>897</v>
      </c>
      <c r="D86" s="47">
        <v>701</v>
      </c>
      <c r="E86" s="47">
        <v>196</v>
      </c>
      <c r="F86" s="41">
        <f t="shared" si="3"/>
        <v>78.149386845039018</v>
      </c>
      <c r="G86" s="47"/>
      <c r="H86" s="50">
        <v>8</v>
      </c>
      <c r="I86" s="41">
        <f t="shared" si="1"/>
        <v>112.125</v>
      </c>
      <c r="J86" s="41">
        <f t="shared" si="2"/>
        <v>87.625</v>
      </c>
      <c r="K86" s="47"/>
    </row>
    <row r="87" spans="2:11">
      <c r="B87" s="47" t="s">
        <v>38</v>
      </c>
      <c r="C87" s="47">
        <v>859</v>
      </c>
      <c r="D87" s="47">
        <v>595</v>
      </c>
      <c r="E87" s="47">
        <v>264</v>
      </c>
      <c r="F87" s="41">
        <f t="shared" si="3"/>
        <v>69.266589057043078</v>
      </c>
      <c r="G87" s="47"/>
      <c r="H87" s="50">
        <v>2</v>
      </c>
      <c r="I87" s="41">
        <f t="shared" si="1"/>
        <v>429.5</v>
      </c>
      <c r="J87" s="41">
        <f t="shared" si="2"/>
        <v>297.5</v>
      </c>
      <c r="K87" s="47"/>
    </row>
    <row r="88" spans="2:11">
      <c r="B88" s="47" t="s">
        <v>39</v>
      </c>
      <c r="C88" s="47">
        <v>1123</v>
      </c>
      <c r="D88" s="47">
        <v>659</v>
      </c>
      <c r="E88" s="47">
        <v>464</v>
      </c>
      <c r="F88" s="41">
        <f t="shared" si="3"/>
        <v>58.682101513802323</v>
      </c>
      <c r="G88" s="47"/>
      <c r="H88" s="50">
        <v>8</v>
      </c>
      <c r="I88" s="41">
        <f t="shared" si="1"/>
        <v>140.375</v>
      </c>
      <c r="J88" s="41">
        <f t="shared" si="2"/>
        <v>82.375</v>
      </c>
      <c r="K88" s="4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8.10</vt:lpstr>
      <vt:lpstr>8.20 workings</vt:lpstr>
      <vt:lpstr>'8.10'!Print_Area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2018-05-29T08:40:37Z</cp:lastPrinted>
  <dcterms:created xsi:type="dcterms:W3CDTF">2013-04-04T04:05:16Z</dcterms:created>
  <dcterms:modified xsi:type="dcterms:W3CDTF">2018-05-29T08:40:43Z</dcterms:modified>
</cp:coreProperties>
</file>