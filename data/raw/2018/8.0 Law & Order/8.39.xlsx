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39" sheetId="82" r:id="rId1"/>
    <sheet name="8.20 workings" sheetId="36" state="hidden" r:id="rId2"/>
  </sheets>
  <externalReferences>
    <externalReference r:id="rId3"/>
  </externalReferences>
  <definedNames>
    <definedName name="_xlnm.Print_Area" localSheetId="0">'8.39'!$A$1:$O$50</definedName>
  </definedNames>
  <calcPr calcId="162913"/>
</workbook>
</file>

<file path=xl/calcChain.xml><?xml version="1.0" encoding="utf-8"?>
<calcChain xmlns="http://schemas.openxmlformats.org/spreadsheetml/2006/main">
  <c r="AD18" i="82" l="1"/>
  <c r="K15" i="82"/>
  <c r="H15" i="82"/>
  <c r="E15" i="82"/>
  <c r="B15" i="82"/>
  <c r="K14" i="82"/>
  <c r="H14" i="82"/>
  <c r="E14" i="82"/>
  <c r="B14" i="82"/>
  <c r="K13" i="82"/>
  <c r="H13" i="82"/>
  <c r="E13" i="82"/>
  <c r="B13" i="82"/>
  <c r="K12" i="82"/>
  <c r="H12" i="82"/>
  <c r="E12" i="82"/>
  <c r="B12" i="82"/>
  <c r="K11" i="82"/>
  <c r="H11" i="82"/>
  <c r="E11" i="82"/>
  <c r="B11" i="82"/>
  <c r="K10" i="82"/>
  <c r="H10" i="82"/>
  <c r="E10" i="82"/>
  <c r="B10" i="82"/>
  <c r="K9" i="82"/>
  <c r="H9" i="82"/>
  <c r="E9" i="82"/>
  <c r="B9" i="82"/>
  <c r="K8" i="82"/>
  <c r="H8" i="82"/>
  <c r="E8" i="82"/>
  <c r="B8" i="82"/>
  <c r="M7" i="82"/>
  <c r="L7" i="82"/>
  <c r="J7" i="82"/>
  <c r="I7" i="82"/>
  <c r="H7" i="82" s="1"/>
  <c r="AC17" i="82" s="1"/>
  <c r="G7" i="82"/>
  <c r="F7" i="82"/>
  <c r="E7" i="82"/>
  <c r="AC16" i="82" s="1"/>
  <c r="D7" i="82"/>
  <c r="C7" i="82"/>
  <c r="B7" i="82"/>
  <c r="AC15" i="82" s="1"/>
  <c r="K7" i="82" l="1"/>
  <c r="AC18" i="82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<sst xmlns="http://schemas.openxmlformats.org/spreadsheetml/2006/main" count="208" uniqueCount="93">
  <si>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</si>
  <si>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</si>
  <si>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</si>
  <si>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</si>
  <si>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</si>
  <si>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</si>
  <si>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</si>
  <si>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</si>
  <si>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</si>
  <si>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</si>
  <si>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</si>
  <si>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</si>
  <si>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</si>
  <si>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</si>
  <si>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</si>
  <si>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</si>
  <si>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</si>
  <si>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</si>
  <si>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</si>
  <si>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</si>
  <si>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</si>
  <si>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</si>
  <si>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</si>
  <si>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</si>
  <si>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</si>
  <si>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</si>
  <si>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</si>
  <si>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</si>
  <si>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</si>
  <si>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</si>
  <si>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</si>
  <si>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</si>
  <si>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</si>
  <si>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</si>
  <si>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</si>
  <si>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</si>
  <si>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</si>
  <si>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</si>
  <si>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</si>
  <si>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</si>
  <si>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</si>
  <si>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</si>
  <si>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</si>
  <si>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</si>
  <si>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</si>
  <si>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</si>
  <si>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</si>
  <si>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</si>
  <si>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</si>
  <si>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</si>
  <si>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</si>
  <si>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</si>
  <si>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</si>
  <si>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</si>
  <si>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</si>
  <si>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</si>
  <si>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</si>
  <si>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</si>
  <si>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</si>
  <si>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</si>
  <si>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</si>
  <si>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</si>
  <si>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</si>
  <si>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</si>
  <si>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</si>
  <si>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Both sexes</t>
  </si>
  <si>
    <t>Age groups</t>
  </si>
  <si>
    <t>Wruf egurumuA</t>
  </si>
  <si>
    <t>cscnijed</t>
  </si>
  <si>
    <t>cnehirif</t>
  </si>
  <si>
    <t>cnehcnwa</t>
  </si>
  <si>
    <t>All ages</t>
  </si>
  <si>
    <t>caerumua Whiruh</t>
  </si>
  <si>
    <t>Under 15</t>
  </si>
  <si>
    <t>cSwdcnurwhwa 15</t>
  </si>
  <si>
    <t>15 - 19</t>
  </si>
  <si>
    <t xml:space="preserve">19 - 15 </t>
  </si>
  <si>
    <t>20 - 24</t>
  </si>
  <si>
    <t>24 - 20</t>
  </si>
  <si>
    <t>25 - 29</t>
  </si>
  <si>
    <t>29 - 25</t>
  </si>
  <si>
    <t>30 - 34</t>
  </si>
  <si>
    <t>34 - 30</t>
  </si>
  <si>
    <t>35 - 39</t>
  </si>
  <si>
    <t xml:space="preserve">39 - 35 </t>
  </si>
  <si>
    <t>40 - 49</t>
  </si>
  <si>
    <t>49 - 40</t>
  </si>
  <si>
    <t>50 &amp; Over</t>
  </si>
  <si>
    <t>itwmcnurwa 50</t>
  </si>
  <si>
    <t>Source:Maldives Correctional  Service</t>
  </si>
  <si>
    <t>މައުލޫމާތު ދެއްވީ: މޯލްޑިވްސް ކަރެކްޝަނަލް ސަރވިސް</t>
  </si>
  <si>
    <t>Table  8.39 : PERSONS SENTENCED, BY AGE AND SEX, 2014 - 2017</t>
  </si>
  <si>
    <t>2017- 2014,cnirevcSuk unuLeawDnwkWyin cSokcmukuK cnutogegWrufurumua iaWncnutogeguscnij : 8.39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</si>
</sst>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i/>
      <sz val="8"/>
      <name val="Arial"/>
      <family val="2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sz val="9"/>
      <name val="Faruma"/>
    </font>
    <font>
      <b/>
      <sz val="9"/>
      <name val="Arial"/>
      <family val="2"/>
    </font>
    <font>
      <b/>
      <sz val="12"/>
      <name val="A_Viligili"/>
    </font>
    <font>
      <b/>
      <sz val="10"/>
      <name val="Arial"/>
      <family val="2"/>
    </font>
    <font>
      <b/>
      <sz val="9"/>
      <color theme="1"/>
      <name val="A_Viligili"/>
    </font>
    <font>
      <sz val="9"/>
      <color theme="1"/>
      <name val="Arial"/>
      <family val="2"/>
    </font>
    <font>
      <sz val="9"/>
      <color theme="1"/>
      <name val="Akuru-Bodu Bold"/>
      <family val="2"/>
      <charset val="2"/>
    </font>
    <font>
      <sz val="9"/>
      <name val="Akuru-Bodu Bold"/>
      <family val="2"/>
      <charset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6" fillId="0" borderId="8" applyNumberFormat="0" applyFill="0" applyAlignment="0" applyProtection="0"/>
    <xf numFmtId="0" fontId="10" fillId="0" borderId="0"/>
    <xf numFmtId="166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13" applyNumberFormat="0" applyAlignment="0" applyProtection="0"/>
    <xf numFmtId="0" fontId="27" fillId="8" borderId="14" applyNumberFormat="0" applyAlignment="0" applyProtection="0"/>
    <xf numFmtId="0" fontId="28" fillId="8" borderId="13" applyNumberFormat="0" applyAlignment="0" applyProtection="0"/>
    <xf numFmtId="0" fontId="29" fillId="0" borderId="15" applyNumberFormat="0" applyFill="0" applyAlignment="0" applyProtection="0"/>
    <xf numFmtId="0" fontId="30" fillId="9" borderId="16" applyNumberFormat="0" applyAlignment="0" applyProtection="0"/>
    <xf numFmtId="0" fontId="18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1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2" fillId="34" borderId="0" applyNumberFormat="0" applyBorder="0" applyAlignment="0" applyProtection="0"/>
    <xf numFmtId="0" fontId="1" fillId="0" borderId="0"/>
    <xf numFmtId="0" fontId="10" fillId="0" borderId="0"/>
  </cellStyleXfs>
  <cellXfs count="11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4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5" xfId="1" applyNumberFormat="1" applyFont="1" applyFill="1" applyBorder="1" applyAlignment="1">
      <alignment horizontal="right" vertical="center" wrapText="1"/>
    </xf>
    <xf numFmtId="166" fontId="3" fillId="2" borderId="5" xfId="1" applyNumberFormat="1" applyFont="1" applyFill="1" applyBorder="1" applyAlignment="1">
      <alignment horizontal="right" vertical="top" wrapText="1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left" vertical="center" wrapText="1"/>
    </xf>
    <xf numFmtId="3" fontId="5" fillId="2" borderId="9" xfId="1" applyNumberFormat="1" applyFont="1" applyFill="1" applyBorder="1" applyAlignment="1"/>
    <xf numFmtId="3" fontId="3" fillId="2" borderId="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6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5" xfId="1" applyNumberFormat="1" applyFont="1" applyFill="1" applyBorder="1" applyAlignment="1">
      <alignment horizontal="right" vertical="center" wrapText="1"/>
    </xf>
    <xf numFmtId="166" fontId="3" fillId="3" borderId="5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164" fontId="5" fillId="2" borderId="0" xfId="0" applyNumberFormat="1" applyFont="1" applyFill="1" applyBorder="1" applyAlignment="1">
      <alignment horizontal="right" vertical="center"/>
    </xf>
    <xf numFmtId="164" fontId="0" fillId="2" borderId="21" xfId="0" applyNumberFormat="1" applyFill="1" applyBorder="1"/>
    <xf numFmtId="164" fontId="0" fillId="2" borderId="23" xfId="0" applyNumberFormat="1" applyFill="1" applyBorder="1"/>
    <xf numFmtId="164" fontId="5" fillId="2" borderId="23" xfId="0" applyNumberFormat="1" applyFont="1" applyFill="1" applyBorder="1"/>
    <xf numFmtId="164" fontId="5" fillId="2" borderId="21" xfId="0" applyNumberFormat="1" applyFont="1" applyFill="1" applyBorder="1"/>
    <xf numFmtId="164" fontId="15" fillId="2" borderId="22" xfId="0" applyNumberFormat="1" applyFont="1" applyFill="1" applyBorder="1" applyAlignment="1" applyProtection="1">
      <alignment horizontal="left" vertical="center"/>
    </xf>
    <xf numFmtId="164" fontId="40" fillId="2" borderId="1" xfId="0" applyNumberFormat="1" applyFont="1" applyFill="1" applyBorder="1" applyAlignment="1">
      <alignment horizontal="center"/>
    </xf>
    <xf numFmtId="164" fontId="39" fillId="2" borderId="1" xfId="0" applyNumberFormat="1" applyFont="1" applyFill="1" applyBorder="1" applyAlignment="1">
      <alignment horizontal="center"/>
    </xf>
    <xf numFmtId="164" fontId="33" fillId="2" borderId="1" xfId="0" applyNumberFormat="1" applyFont="1" applyFill="1" applyBorder="1"/>
    <xf numFmtId="164" fontId="41" fillId="2" borderId="1" xfId="0" applyNumberFormat="1" applyFont="1" applyFill="1" applyBorder="1" applyAlignment="1">
      <alignment horizontal="right"/>
    </xf>
    <xf numFmtId="164" fontId="34" fillId="2" borderId="0" xfId="0" applyNumberFormat="1" applyFont="1" applyFill="1" applyBorder="1" applyAlignment="1">
      <alignment horizontal="right" vertical="center"/>
    </xf>
    <xf numFmtId="164" fontId="33" fillId="2" borderId="23" xfId="0" applyNumberFormat="1" applyFont="1" applyFill="1" applyBorder="1" applyAlignment="1" applyProtection="1">
      <alignment horizontal="left" vertical="center"/>
    </xf>
    <xf numFmtId="164" fontId="0" fillId="2" borderId="21" xfId="0" applyNumberFormat="1" applyFont="1" applyFill="1" applyBorder="1" applyAlignment="1">
      <alignment horizontal="center"/>
    </xf>
    <xf numFmtId="164" fontId="33" fillId="2" borderId="23" xfId="0" applyNumberFormat="1" applyFont="1" applyFill="1" applyBorder="1" applyAlignment="1" applyProtection="1">
      <alignment horizontal="left" vertical="center" wrapText="1"/>
    </xf>
    <xf numFmtId="164" fontId="5" fillId="2" borderId="0" xfId="0" applyNumberFormat="1" applyFont="1" applyFill="1" applyBorder="1" applyAlignment="1" applyProtection="1">
      <alignment horizontal="left" vertical="center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38" fillId="2" borderId="32" xfId="0" applyNumberFormat="1" applyFont="1" applyFill="1" applyBorder="1" applyAlignment="1">
      <alignment horizontal="right" vertical="center"/>
    </xf>
    <xf numFmtId="164" fontId="38" fillId="2" borderId="26" xfId="0" applyNumberFormat="1" applyFont="1" applyFill="1" applyBorder="1" applyAlignment="1">
      <alignment horizontal="right" vertical="center"/>
    </xf>
    <xf numFmtId="164" fontId="38" fillId="2" borderId="20" xfId="0" applyNumberFormat="1" applyFont="1" applyFill="1" applyBorder="1" applyAlignment="1">
      <alignment horizontal="right" vertical="center"/>
    </xf>
    <xf numFmtId="164" fontId="38" fillId="2" borderId="0" xfId="0" applyNumberFormat="1" applyFont="1" applyFill="1" applyBorder="1" applyAlignment="1">
      <alignment horizontal="right" vertical="center"/>
    </xf>
    <xf numFmtId="37" fontId="2" fillId="2" borderId="26" xfId="0" applyNumberFormat="1" applyFont="1" applyFill="1" applyBorder="1" applyAlignment="1" applyProtection="1">
      <alignment horizontal="right" vertical="center"/>
    </xf>
    <xf numFmtId="37" fontId="2" fillId="2" borderId="33" xfId="0" applyNumberFormat="1" applyFont="1" applyFill="1" applyBorder="1" applyAlignment="1" applyProtection="1">
      <alignment horizontal="right" vertical="center"/>
    </xf>
    <xf numFmtId="37" fontId="2" fillId="2" borderId="34" xfId="0" applyNumberFormat="1" applyFont="1" applyFill="1" applyBorder="1" applyAlignment="1" applyProtection="1">
      <alignment horizontal="right" vertical="center"/>
    </xf>
    <xf numFmtId="37" fontId="14" fillId="2" borderId="32" xfId="0" applyNumberFormat="1" applyFont="1" applyFill="1" applyBorder="1" applyAlignment="1" applyProtection="1">
      <alignment horizontal="right" vertical="center"/>
    </xf>
    <xf numFmtId="37" fontId="14" fillId="2" borderId="33" xfId="0" applyNumberFormat="1" applyFont="1" applyFill="1" applyBorder="1" applyAlignment="1" applyProtection="1">
      <alignment horizontal="right" vertical="center"/>
    </xf>
    <xf numFmtId="37" fontId="14" fillId="2" borderId="34" xfId="0" applyNumberFormat="1" applyFont="1" applyFill="1" applyBorder="1" applyAlignment="1" applyProtection="1">
      <alignment horizontal="right" vertical="center"/>
    </xf>
    <xf numFmtId="37" fontId="14" fillId="2" borderId="28" xfId="0" applyNumberFormat="1" applyFont="1" applyFill="1" applyBorder="1" applyAlignment="1" applyProtection="1">
      <alignment horizontal="right" vertical="center"/>
    </xf>
    <xf numFmtId="164" fontId="0" fillId="2" borderId="33" xfId="0" applyNumberFormat="1" applyFont="1" applyFill="1" applyBorder="1" applyAlignment="1">
      <alignment horizontal="right" vertical="center"/>
    </xf>
    <xf numFmtId="164" fontId="0" fillId="2" borderId="34" xfId="0" applyNumberFormat="1" applyFont="1" applyFill="1" applyBorder="1" applyAlignment="1">
      <alignment horizontal="right" vertical="center"/>
    </xf>
    <xf numFmtId="164" fontId="12" fillId="2" borderId="33" xfId="0" applyNumberFormat="1" applyFont="1" applyFill="1" applyBorder="1" applyAlignment="1">
      <alignment horizontal="right" vertical="center"/>
    </xf>
    <xf numFmtId="164" fontId="12" fillId="2" borderId="34" xfId="0" applyNumberFormat="1" applyFont="1" applyFill="1" applyBorder="1" applyAlignment="1">
      <alignment horizontal="right" vertical="center"/>
    </xf>
    <xf numFmtId="164" fontId="12" fillId="2" borderId="28" xfId="0" applyNumberFormat="1" applyFont="1" applyFill="1" applyBorder="1" applyAlignment="1">
      <alignment horizontal="right" vertical="center"/>
    </xf>
    <xf numFmtId="164" fontId="5" fillId="2" borderId="5" xfId="0" applyNumberFormat="1" applyFont="1" applyFill="1" applyBorder="1" applyAlignment="1" applyProtection="1">
      <alignment horizontal="left" vertical="center" wrapText="1"/>
    </xf>
    <xf numFmtId="37" fontId="2" fillId="2" borderId="27" xfId="0" applyNumberFormat="1" applyFont="1" applyFill="1" applyBorder="1" applyAlignment="1" applyProtection="1">
      <alignment horizontal="right" vertical="center"/>
    </xf>
    <xf numFmtId="164" fontId="0" fillId="2" borderId="35" xfId="0" applyNumberFormat="1" applyFont="1" applyFill="1" applyBorder="1" applyAlignment="1">
      <alignment horizontal="right" vertical="center"/>
    </xf>
    <xf numFmtId="164" fontId="0" fillId="2" borderId="36" xfId="0" applyNumberFormat="1" applyFont="1" applyFill="1" applyBorder="1" applyAlignment="1">
      <alignment horizontal="right" vertical="center"/>
    </xf>
    <xf numFmtId="37" fontId="14" fillId="2" borderId="37" xfId="0" applyNumberFormat="1" applyFont="1" applyFill="1" applyBorder="1" applyAlignment="1" applyProtection="1">
      <alignment horizontal="right" vertical="center"/>
    </xf>
    <xf numFmtId="164" fontId="12" fillId="2" borderId="35" xfId="0" applyNumberFormat="1" applyFont="1" applyFill="1" applyBorder="1" applyAlignment="1">
      <alignment horizontal="right" vertical="center"/>
    </xf>
    <xf numFmtId="164" fontId="12" fillId="2" borderId="36" xfId="0" applyNumberFormat="1" applyFont="1" applyFill="1" applyBorder="1" applyAlignment="1">
      <alignment horizontal="right" vertical="center"/>
    </xf>
    <xf numFmtId="164" fontId="12" fillId="2" borderId="25" xfId="0" applyNumberFormat="1" applyFont="1" applyFill="1" applyBorder="1" applyAlignment="1">
      <alignment horizontal="right" vertical="center"/>
    </xf>
    <xf numFmtId="164" fontId="9" fillId="2" borderId="35" xfId="0" applyNumberFormat="1" applyFont="1" applyFill="1" applyBorder="1" applyAlignment="1">
      <alignment horizontal="right" vertical="center"/>
    </xf>
    <xf numFmtId="164" fontId="9" fillId="2" borderId="36" xfId="0" applyNumberFormat="1" applyFont="1" applyFill="1" applyBorder="1" applyAlignment="1">
      <alignment horizontal="right" vertical="center"/>
    </xf>
    <xf numFmtId="164" fontId="3" fillId="2" borderId="37" xfId="0" applyNumberFormat="1" applyFont="1" applyFill="1" applyBorder="1" applyAlignment="1">
      <alignment horizontal="right" vertical="center"/>
    </xf>
    <xf numFmtId="164" fontId="3" fillId="2" borderId="35" xfId="0" applyNumberFormat="1" applyFont="1" applyFill="1" applyBorder="1" applyAlignment="1">
      <alignment horizontal="right" vertical="center"/>
    </xf>
    <xf numFmtId="164" fontId="3" fillId="2" borderId="36" xfId="0" applyNumberFormat="1" applyFont="1" applyFill="1" applyBorder="1" applyAlignment="1">
      <alignment horizontal="right" vertical="center"/>
    </xf>
    <xf numFmtId="164" fontId="3" fillId="2" borderId="27" xfId="0" applyNumberFormat="1" applyFont="1" applyFill="1" applyBorder="1" applyAlignment="1">
      <alignment horizontal="right" vertical="center"/>
    </xf>
    <xf numFmtId="164" fontId="3" fillId="2" borderId="25" xfId="0" applyNumberFormat="1" applyFont="1" applyFill="1" applyBorder="1" applyAlignment="1">
      <alignment horizontal="right" vertical="center"/>
    </xf>
    <xf numFmtId="164" fontId="38" fillId="2" borderId="5" xfId="0" applyNumberFormat="1" applyFont="1" applyFill="1" applyBorder="1" applyAlignment="1">
      <alignment horizontal="right" vertical="center"/>
    </xf>
    <xf numFmtId="164" fontId="9" fillId="2" borderId="27" xfId="0" applyNumberFormat="1" applyFont="1" applyFill="1" applyBorder="1" applyAlignment="1">
      <alignment horizontal="right" vertical="center"/>
    </xf>
    <xf numFmtId="164" fontId="36" fillId="2" borderId="3" xfId="0" applyNumberFormat="1" applyFont="1" applyFill="1" applyBorder="1" applyAlignment="1">
      <alignment horizontal="center"/>
    </xf>
    <xf numFmtId="164" fontId="36" fillId="2" borderId="22" xfId="0" applyNumberFormat="1" applyFont="1" applyFill="1" applyBorder="1" applyAlignment="1">
      <alignment horizontal="center"/>
    </xf>
    <xf numFmtId="164" fontId="37" fillId="2" borderId="10" xfId="0" applyNumberFormat="1" applyFont="1" applyFill="1" applyBorder="1" applyAlignment="1" applyProtection="1">
      <alignment horizontal="center" vertical="center"/>
    </xf>
    <xf numFmtId="164" fontId="37" fillId="2" borderId="24" xfId="0" applyNumberFormat="1" applyFont="1" applyFill="1" applyBorder="1" applyAlignment="1" applyProtection="1">
      <alignment horizontal="center" vertical="center"/>
    </xf>
    <xf numFmtId="164" fontId="3" fillId="2" borderId="30" xfId="0" applyNumberFormat="1" applyFont="1" applyFill="1" applyBorder="1" applyAlignment="1" applyProtection="1">
      <alignment horizontal="left" vertical="center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3" fillId="2" borderId="5" xfId="0" applyNumberFormat="1" applyFont="1" applyFill="1" applyBorder="1" applyAlignment="1" applyProtection="1">
      <alignment horizontal="left" vertical="center"/>
    </xf>
    <xf numFmtId="164" fontId="8" fillId="2" borderId="30" xfId="0" applyNumberFormat="1" applyFont="1" applyFill="1" applyBorder="1" applyAlignment="1" applyProtection="1">
      <alignment horizontal="center" vertical="center"/>
    </xf>
    <xf numFmtId="164" fontId="8" fillId="2" borderId="19" xfId="0" applyNumberFormat="1" applyFont="1" applyFill="1" applyBorder="1" applyAlignment="1" applyProtection="1">
      <alignment horizontal="center" vertical="center"/>
    </xf>
    <xf numFmtId="164" fontId="8" fillId="2" borderId="29" xfId="0" applyNumberFormat="1" applyFont="1" applyFill="1" applyBorder="1" applyAlignment="1" applyProtection="1">
      <alignment horizontal="center" vertical="center"/>
    </xf>
    <xf numFmtId="164" fontId="8" fillId="2" borderId="38" xfId="0" applyNumberFormat="1" applyFont="1" applyFill="1" applyBorder="1" applyAlignment="1" applyProtection="1">
      <alignment horizontal="center" vertical="center"/>
    </xf>
    <xf numFmtId="164" fontId="35" fillId="2" borderId="31" xfId="0" applyNumberFormat="1" applyFont="1" applyFill="1" applyBorder="1" applyAlignment="1" applyProtection="1">
      <alignment horizontal="center" vertical="center"/>
    </xf>
    <xf numFmtId="164" fontId="35" fillId="2" borderId="30" xfId="0" applyNumberFormat="1" applyFont="1" applyFill="1" applyBorder="1" applyAlignment="1" applyProtection="1">
      <alignment horizontal="center" vertical="center"/>
    </xf>
    <xf numFmtId="164" fontId="35" fillId="2" borderId="19" xfId="0" applyNumberFormat="1" applyFont="1" applyFill="1" applyBorder="1" applyAlignment="1" applyProtection="1">
      <alignment horizontal="center" vertical="center"/>
    </xf>
    <xf numFmtId="164" fontId="35" fillId="2" borderId="39" xfId="0" applyNumberFormat="1" applyFont="1" applyFill="1" applyBorder="1" applyAlignment="1" applyProtection="1">
      <alignment horizontal="center" vertical="center"/>
    </xf>
    <xf numFmtId="164" fontId="35" fillId="2" borderId="29" xfId="0" applyNumberFormat="1" applyFont="1" applyFill="1" applyBorder="1" applyAlignment="1" applyProtection="1">
      <alignment horizontal="center" vertical="center"/>
    </xf>
    <xf numFmtId="164" fontId="35" fillId="2" borderId="38" xfId="0" applyNumberFormat="1" applyFont="1" applyFill="1" applyBorder="1" applyAlignment="1" applyProtection="1">
      <alignment horizontal="center" vertical="center"/>
    </xf>
    <xf numFmtId="164" fontId="38" fillId="2" borderId="30" xfId="0" applyNumberFormat="1" applyFont="1" applyFill="1" applyBorder="1" applyAlignment="1">
      <alignment horizontal="center" vertical="center"/>
    </xf>
    <xf numFmtId="164" fontId="38" fillId="2" borderId="0" xfId="0" applyNumberFormat="1" applyFont="1" applyFill="1" applyBorder="1" applyAlignment="1">
      <alignment horizontal="center" vertical="center"/>
    </xf>
    <xf numFmtId="164" fontId="38" fillId="2" borderId="5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Alignment="1">
      <alignment horizontal="center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962264150943396E-2"/>
          <c:y val="0.14605498902801084"/>
          <c:w val="0.93104273575301755"/>
          <c:h val="0.71394655995869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'8.39'!$L$6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'8.39'!$A$9:$A$15</c:f>
              <c:strCache>
                <c:ptCount val="7"/>
                <c:pt idx="0">
                  <c:v>15 - 19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40 - 49</c:v>
                </c:pt>
                <c:pt idx="6">
                  <c:v>50 &amp; Over</c:v>
                </c:pt>
              </c:strCache>
            </c:strRef>
          </c:cat>
          <c:val>
            <c:numRef>
              <c:f>'8.39'!$L$9:$L$15</c:f>
              <c:numCache>
                <c:formatCode>General_)</c:formatCode>
                <c:ptCount val="7"/>
                <c:pt idx="0">
                  <c:v>73</c:v>
                </c:pt>
                <c:pt idx="1">
                  <c:v>205</c:v>
                </c:pt>
                <c:pt idx="2">
                  <c:v>260</c:v>
                </c:pt>
                <c:pt idx="3">
                  <c:v>209</c:v>
                </c:pt>
                <c:pt idx="4">
                  <c:v>146</c:v>
                </c:pt>
                <c:pt idx="5">
                  <c:v>108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1-492D-9630-EEC39E15E11C}"/>
            </c:ext>
          </c:extLst>
        </c:ser>
        <c:ser>
          <c:idx val="1"/>
          <c:order val="1"/>
          <c:tx>
            <c:strRef>
              <c:f>'8.39'!$M$6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'8.39'!$A$9:$A$15</c:f>
              <c:strCache>
                <c:ptCount val="7"/>
                <c:pt idx="0">
                  <c:v>15 - 19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40 - 49</c:v>
                </c:pt>
                <c:pt idx="6">
                  <c:v>50 &amp; Over</c:v>
                </c:pt>
              </c:strCache>
            </c:strRef>
          </c:cat>
          <c:val>
            <c:numRef>
              <c:f>'8.39'!$M$9:$M$15</c:f>
              <c:numCache>
                <c:formatCode>General_)</c:formatCode>
                <c:ptCount val="7"/>
                <c:pt idx="0">
                  <c:v>4</c:v>
                </c:pt>
                <c:pt idx="1">
                  <c:v>16</c:v>
                </c:pt>
                <c:pt idx="2">
                  <c:v>19</c:v>
                </c:pt>
                <c:pt idx="3">
                  <c:v>5</c:v>
                </c:pt>
                <c:pt idx="4">
                  <c:v>13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41-492D-9630-EEC39E15E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239808"/>
        <c:axId val="183241344"/>
      </c:barChart>
      <c:catAx>
        <c:axId val="18323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83241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241344"/>
        <c:scaling>
          <c:orientation val="minMax"/>
        </c:scaling>
        <c:delete val="0"/>
        <c:axPos val="l"/>
        <c:majorGridlines>
          <c:spPr>
            <a:ln w="3175">
              <a:solidFill>
                <a:schemeClr val="accent1">
                  <a:lumMod val="40000"/>
                  <a:lumOff val="60000"/>
                </a:schemeClr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080108103054644E-3"/>
              <c:y val="6.9979041767531988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23980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 w="9525">
          <a:solidFill>
            <a:schemeClr val="bg1">
              <a:lumMod val="6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838013293926183"/>
          <c:y val="0.27625935646933025"/>
          <c:w val="0.18775675866996563"/>
          <c:h val="8.2423771102686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18449256342959E-2"/>
          <c:y val="0.14850721784776902"/>
          <c:w val="0.92203042979002625"/>
          <c:h val="0.73551290463692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'8.39'!$AC$14</c:f>
              <c:strCache>
                <c:ptCount val="1"/>
                <c:pt idx="0">
                  <c:v>Both sexes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'8.39'!$AB$15:$AB$18</c:f>
              <c:numCache>
                <c:formatCode>General_)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'8.39'!$AC$15:$AC$18</c:f>
              <c:numCache>
                <c:formatCode>General_)</c:formatCode>
                <c:ptCount val="4"/>
                <c:pt idx="0">
                  <c:v>401</c:v>
                </c:pt>
                <c:pt idx="1">
                  <c:v>358</c:v>
                </c:pt>
                <c:pt idx="2">
                  <c:v>828</c:v>
                </c:pt>
                <c:pt idx="3">
                  <c:v>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5-4E70-A164-ECD014225AE2}"/>
            </c:ext>
          </c:extLst>
        </c:ser>
        <c:ser>
          <c:idx val="1"/>
          <c:order val="1"/>
          <c:tx>
            <c:strRef>
              <c:f>'8.39'!$AD$14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'8.39'!$AB$15:$AB$18</c:f>
              <c:numCache>
                <c:formatCode>General_)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'8.39'!$AD$15:$AD$18</c:f>
              <c:numCache>
                <c:formatCode>General_)</c:formatCode>
                <c:ptCount val="4"/>
                <c:pt idx="0">
                  <c:v>342</c:v>
                </c:pt>
                <c:pt idx="1">
                  <c:v>302</c:v>
                </c:pt>
                <c:pt idx="2">
                  <c:v>752</c:v>
                </c:pt>
                <c:pt idx="3">
                  <c:v>1058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5-4E70-A164-ECD014225AE2}"/>
            </c:ext>
          </c:extLst>
        </c:ser>
        <c:ser>
          <c:idx val="2"/>
          <c:order val="2"/>
          <c:tx>
            <c:strRef>
              <c:f>'8.39'!$AE$14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numRef>
              <c:f>'8.39'!$AB$15:$AB$18</c:f>
              <c:numCache>
                <c:formatCode>General_)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'8.39'!$AE$15:$AE$18</c:f>
              <c:numCache>
                <c:formatCode>General_)</c:formatCode>
                <c:ptCount val="4"/>
                <c:pt idx="0">
                  <c:v>59</c:v>
                </c:pt>
                <c:pt idx="1">
                  <c:v>56</c:v>
                </c:pt>
                <c:pt idx="2">
                  <c:v>76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25-4E70-A164-ECD014225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720192"/>
        <c:axId val="183730176"/>
      </c:barChart>
      <c:catAx>
        <c:axId val="18372019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83730176"/>
        <c:crosses val="autoZero"/>
        <c:auto val="1"/>
        <c:lblAlgn val="ctr"/>
        <c:lblOffset val="100"/>
        <c:noMultiLvlLbl val="0"/>
      </c:catAx>
      <c:valAx>
        <c:axId val="18373017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8372019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7333270773439331E-2"/>
          <c:y val="0.28408865558471857"/>
          <c:w val="0.27355380577427818"/>
          <c:h val="9.374416739574219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532222</xdr:colOff>
      <xdr:row>17</xdr:row>
      <xdr:rowOff>102421</xdr:rowOff>
    </xdr:from>
    <xdr:to>
      <xdr:col>11</xdr:col>
      <xdr:colOff>278259</xdr:colOff>
      <xdr:row>32</xdr:row>
      <xdr:rowOff>150046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168059</xdr:colOff>
      <xdr:row>18</xdr:row>
      <xdr:rowOff>42809</xdr:rowOff>
    </xdr:from>
    <xdr:to>
      <xdr:col>9</xdr:col>
      <xdr:colOff>214045</xdr:colOff>
      <xdr:row>18</xdr:row>
      <xdr:rowOff>42859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436935" y="4730393"/>
          <a:ext cx="3963009" cy="5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533400</xdr:colOff>
      <xdr:row>34</xdr:row>
      <xdr:rowOff>28574</xdr:rowOff>
    </xdr:from>
    <xdr:to>
      <xdr:col>11</xdr:col>
      <xdr:colOff>95250</xdr:colOff>
      <xdr:row>49</xdr:row>
      <xdr:rowOff>152399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647700</xdr:colOff>
      <xdr:row>34</xdr:row>
      <xdr:rowOff>60685</xdr:rowOff>
    </xdr:from>
    <xdr:to>
      <xdr:col>8</xdr:col>
      <xdr:colOff>570723</xdr:colOff>
      <xdr:row>35</xdr:row>
      <xdr:rowOff>148726</xdr:rowOff>
    </xdr:to>
    <xdr:sp macro="" textlink="">
      <xdr:nvSpPr>
        <xdr:cNvPr id="5" name="TextBox 4"/>
        <xdr:cNvSpPr txBox="1"/>
      </xdr:nvSpPr>
      <xdr:spPr>
        <a:xfrm>
          <a:off x="1609725" y="7814035"/>
          <a:ext cx="4523598" cy="278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8.52: </a:t>
          </a:r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Persons sentenced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by  sex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locality, 2014 -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2017</a:t>
          </a:r>
          <a:endParaRPr lang="en-US" sz="1100"/>
        </a:p>
      </xdr:txBody>
    </xdr:sp>
    <xdr:clientData/>
  </xdr:twoCellAnchor>
  <xdr:twoCellAnchor>
    <xdr:from>
      <xdr:col>3</xdr:col>
      <xdr:colOff>7335</xdr:colOff>
      <xdr:row>35</xdr:row>
      <xdr:rowOff>139193</xdr:rowOff>
    </xdr:from>
    <xdr:to>
      <xdr:col>8</xdr:col>
      <xdr:colOff>490794</xdr:colOff>
      <xdr:row>35</xdr:row>
      <xdr:rowOff>141524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2283810" y="8083043"/>
          <a:ext cx="3769584" cy="233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0.24733</cdr:x>
      <cdr:y>0.01695</cdr:y>
    </cdr:from>
    <cdr:to>
      <cdr:x>0.94745</cdr:x>
      <cdr:y>0.11096</cdr:y>
    </cdr:to>
    <cdr:sp macro="" textlink="">
      <cdr:nvSpPr>
        <cdr:cNvPr id="1024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46889" y="52863"/>
          <a:ext cx="4944906" cy="2932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200" b="1" i="0" strike="noStrike">
              <a:solidFill>
                <a:schemeClr val="tx1"/>
              </a:solidFill>
              <a:latin typeface="+mn-lt"/>
              <a:cs typeface="Arial"/>
            </a:rPr>
            <a:t>Figure 8.51:  </a:t>
          </a:r>
          <a:r>
            <a:rPr lang="en-US" sz="1200" b="1" i="0" strike="noStrike">
              <a:solidFill>
                <a:srgbClr val="000000"/>
              </a:solidFill>
              <a:latin typeface="+mn-lt"/>
              <a:cs typeface="Arial"/>
            </a:rPr>
            <a:t>Persons sentenced, by age group and sex, 2017</a:t>
          </a:r>
          <a:endParaRPr lang="en-US" sz="1100" b="1" i="0" strike="noStrike">
            <a:solidFill>
              <a:srgbClr val="000000"/>
            </a:solidFill>
            <a:latin typeface="+mn-lt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45"/>
  <sheetViews>
    <sheetView tabSelected="1" zoomScale="89" zoomScaleNormal="89" workbookViewId="0">
      <selection activeCell="R13" sqref="R13"/>
    </sheetView>
  </sheetViews>
  <sheetFormatPr defaultColWidth="17.28515625" defaultRowHeight="15"/>
  <cols>
    <col min="1" max="1" width="14.42578125" style="41" customWidth="1"/>
    <col min="2" max="4" width="9.85546875" style="51" customWidth="1"/>
    <col min="5" max="13" width="9.85546875" style="40" customWidth="1"/>
    <col min="14" max="14" width="19.85546875" style="40" customWidth="1"/>
    <col min="15" max="15" width="1.5703125" style="40" customWidth="1"/>
    <col min="16" max="22" width="17.28515625" style="40"/>
    <col min="23" max="25" width="4.85546875" style="40" customWidth="1"/>
    <col min="26" max="27" width="17.28515625" style="40"/>
    <col min="28" max="31" width="8.28515625" style="40" customWidth="1"/>
    <col min="32" max="16384" width="17.28515625" style="40"/>
  </cols>
  <sheetData>
    <row r="1" spans="1:31" ht="19.5">
      <c r="A1" s="88" t="s">
        <v>92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</row>
    <row r="2" spans="1:31" ht="26.25" customHeight="1">
      <c r="A2" s="90" t="s">
        <v>91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1"/>
    </row>
    <row r="3" spans="1:31" ht="12.75" customHeight="1">
      <c r="A3" s="92" t="s">
        <v>66</v>
      </c>
      <c r="B3" s="95">
        <v>2014</v>
      </c>
      <c r="C3" s="95"/>
      <c r="D3" s="96"/>
      <c r="E3" s="99">
        <v>2015</v>
      </c>
      <c r="F3" s="100"/>
      <c r="G3" s="101"/>
      <c r="H3" s="99">
        <v>2016</v>
      </c>
      <c r="I3" s="100"/>
      <c r="J3" s="100"/>
      <c r="K3" s="99">
        <v>2017</v>
      </c>
      <c r="L3" s="100"/>
      <c r="M3" s="100"/>
      <c r="N3" s="105" t="s">
        <v>67</v>
      </c>
      <c r="O3" s="41"/>
    </row>
    <row r="4" spans="1:31" ht="6.75" customHeight="1">
      <c r="A4" s="93"/>
      <c r="B4" s="97"/>
      <c r="C4" s="97"/>
      <c r="D4" s="98"/>
      <c r="E4" s="102"/>
      <c r="F4" s="103"/>
      <c r="G4" s="104"/>
      <c r="H4" s="102"/>
      <c r="I4" s="103"/>
      <c r="J4" s="103"/>
      <c r="K4" s="102"/>
      <c r="L4" s="103"/>
      <c r="M4" s="103"/>
      <c r="N4" s="106"/>
      <c r="O4" s="41"/>
    </row>
    <row r="5" spans="1:31" ht="21" customHeight="1">
      <c r="A5" s="93"/>
      <c r="B5" s="56" t="s">
        <v>68</v>
      </c>
      <c r="C5" s="56" t="s">
        <v>69</v>
      </c>
      <c r="D5" s="57" t="s">
        <v>70</v>
      </c>
      <c r="E5" s="55" t="s">
        <v>68</v>
      </c>
      <c r="F5" s="56" t="s">
        <v>69</v>
      </c>
      <c r="G5" s="57" t="s">
        <v>70</v>
      </c>
      <c r="H5" s="55" t="s">
        <v>68</v>
      </c>
      <c r="I5" s="56" t="s">
        <v>69</v>
      </c>
      <c r="J5" s="57" t="s">
        <v>70</v>
      </c>
      <c r="K5" s="56" t="s">
        <v>68</v>
      </c>
      <c r="L5" s="56" t="s">
        <v>69</v>
      </c>
      <c r="M5" s="58" t="s">
        <v>70</v>
      </c>
      <c r="N5" s="106"/>
      <c r="O5" s="41"/>
    </row>
    <row r="6" spans="1:31" s="43" customFormat="1" ht="12.75">
      <c r="A6" s="94"/>
      <c r="B6" s="87" t="s">
        <v>65</v>
      </c>
      <c r="C6" s="79" t="s">
        <v>2</v>
      </c>
      <c r="D6" s="80" t="s">
        <v>3</v>
      </c>
      <c r="E6" s="81" t="s">
        <v>65</v>
      </c>
      <c r="F6" s="82" t="s">
        <v>2</v>
      </c>
      <c r="G6" s="83" t="s">
        <v>3</v>
      </c>
      <c r="H6" s="81" t="s">
        <v>65</v>
      </c>
      <c r="I6" s="82" t="s">
        <v>2</v>
      </c>
      <c r="J6" s="83" t="s">
        <v>3</v>
      </c>
      <c r="K6" s="84" t="s">
        <v>65</v>
      </c>
      <c r="L6" s="82" t="s">
        <v>2</v>
      </c>
      <c r="M6" s="85" t="s">
        <v>3</v>
      </c>
      <c r="N6" s="107"/>
      <c r="O6" s="42"/>
    </row>
    <row r="7" spans="1:31" s="43" customFormat="1" ht="14.25" customHeight="1">
      <c r="A7" s="54" t="s">
        <v>71</v>
      </c>
      <c r="B7" s="59">
        <f>C7+D7</f>
        <v>401</v>
      </c>
      <c r="C7" s="60">
        <f>SUM(C8:C15)</f>
        <v>342</v>
      </c>
      <c r="D7" s="61">
        <f>SUM(D8:D15)</f>
        <v>59</v>
      </c>
      <c r="E7" s="62">
        <f>SUM(F7:G7)</f>
        <v>358</v>
      </c>
      <c r="F7" s="63">
        <f>SUM(F8:F15)</f>
        <v>302</v>
      </c>
      <c r="G7" s="64">
        <f>SUM(G8:G15)</f>
        <v>56</v>
      </c>
      <c r="H7" s="62">
        <f>I7+J7</f>
        <v>828</v>
      </c>
      <c r="I7" s="63">
        <f>SUM(I8:I15)</f>
        <v>752</v>
      </c>
      <c r="J7" s="65">
        <f>SUM(J8:J15)</f>
        <v>76</v>
      </c>
      <c r="K7" s="62">
        <f>L7+M7</f>
        <v>1124</v>
      </c>
      <c r="L7" s="63">
        <f>SUM(L8:L15)</f>
        <v>1058</v>
      </c>
      <c r="M7" s="65">
        <f>SUM(M8:M15)</f>
        <v>66</v>
      </c>
      <c r="N7" s="58" t="s">
        <v>72</v>
      </c>
      <c r="O7" s="42"/>
    </row>
    <row r="8" spans="1:31" s="43" customFormat="1" ht="21" customHeight="1">
      <c r="A8" s="38" t="s">
        <v>73</v>
      </c>
      <c r="B8" s="59">
        <f>C8+D8</f>
        <v>0</v>
      </c>
      <c r="C8" s="66">
        <v>0</v>
      </c>
      <c r="D8" s="67">
        <v>0</v>
      </c>
      <c r="E8" s="62">
        <f>F8+G8</f>
        <v>0</v>
      </c>
      <c r="F8" s="68">
        <v>0</v>
      </c>
      <c r="G8" s="69">
        <v>0</v>
      </c>
      <c r="H8" s="62">
        <f>I8+J8</f>
        <v>0</v>
      </c>
      <c r="I8" s="68">
        <v>0</v>
      </c>
      <c r="J8" s="70">
        <v>0</v>
      </c>
      <c r="K8" s="62">
        <f>L8+M8</f>
        <v>0</v>
      </c>
      <c r="L8" s="68">
        <v>0</v>
      </c>
      <c r="M8" s="70">
        <v>0</v>
      </c>
      <c r="N8" s="58" t="s">
        <v>74</v>
      </c>
      <c r="O8" s="42"/>
    </row>
    <row r="9" spans="1:31" s="43" customFormat="1" ht="26.25" customHeight="1">
      <c r="A9" s="53" t="s">
        <v>75</v>
      </c>
      <c r="B9" s="59">
        <f t="shared" ref="B9:B15" si="0">C9+D9</f>
        <v>15</v>
      </c>
      <c r="C9" s="66">
        <v>8</v>
      </c>
      <c r="D9" s="67">
        <v>7</v>
      </c>
      <c r="E9" s="62">
        <f t="shared" ref="E9:E15" si="1">F9+G9</f>
        <v>18</v>
      </c>
      <c r="F9" s="68">
        <v>8</v>
      </c>
      <c r="G9" s="69">
        <v>10</v>
      </c>
      <c r="H9" s="62">
        <f t="shared" ref="H9:H15" si="2">I9+J9</f>
        <v>42</v>
      </c>
      <c r="I9" s="68">
        <v>34</v>
      </c>
      <c r="J9" s="70">
        <v>8</v>
      </c>
      <c r="K9" s="62">
        <f t="shared" ref="K9:K15" si="3">L9+M9</f>
        <v>77</v>
      </c>
      <c r="L9" s="68">
        <v>73</v>
      </c>
      <c r="M9" s="70">
        <v>4</v>
      </c>
      <c r="N9" s="39" t="s">
        <v>76</v>
      </c>
      <c r="O9" s="42"/>
    </row>
    <row r="10" spans="1:31" s="43" customFormat="1" ht="26.25" customHeight="1">
      <c r="A10" s="53" t="s">
        <v>77</v>
      </c>
      <c r="B10" s="59">
        <f t="shared" si="0"/>
        <v>76</v>
      </c>
      <c r="C10" s="66">
        <v>62</v>
      </c>
      <c r="D10" s="67">
        <v>14</v>
      </c>
      <c r="E10" s="62">
        <f t="shared" si="1"/>
        <v>49</v>
      </c>
      <c r="F10" s="68">
        <v>37</v>
      </c>
      <c r="G10" s="69">
        <v>12</v>
      </c>
      <c r="H10" s="62">
        <f t="shared" si="2"/>
        <v>186</v>
      </c>
      <c r="I10" s="68">
        <v>161</v>
      </c>
      <c r="J10" s="70">
        <v>25</v>
      </c>
      <c r="K10" s="62">
        <f t="shared" si="3"/>
        <v>221</v>
      </c>
      <c r="L10" s="68">
        <v>205</v>
      </c>
      <c r="M10" s="70">
        <v>16</v>
      </c>
      <c r="N10" s="39" t="s">
        <v>78</v>
      </c>
      <c r="O10" s="42"/>
    </row>
    <row r="11" spans="1:31" s="43" customFormat="1" ht="26.25" customHeight="1">
      <c r="A11" s="53" t="s">
        <v>79</v>
      </c>
      <c r="B11" s="59">
        <f t="shared" si="0"/>
        <v>79</v>
      </c>
      <c r="C11" s="66">
        <v>65</v>
      </c>
      <c r="D11" s="67">
        <v>14</v>
      </c>
      <c r="E11" s="62">
        <f t="shared" si="1"/>
        <v>79</v>
      </c>
      <c r="F11" s="68">
        <v>65</v>
      </c>
      <c r="G11" s="69">
        <v>14</v>
      </c>
      <c r="H11" s="62">
        <f t="shared" si="2"/>
        <v>204</v>
      </c>
      <c r="I11" s="68">
        <v>185</v>
      </c>
      <c r="J11" s="70">
        <v>19</v>
      </c>
      <c r="K11" s="62">
        <f t="shared" si="3"/>
        <v>279</v>
      </c>
      <c r="L11" s="68">
        <v>260</v>
      </c>
      <c r="M11" s="70">
        <v>19</v>
      </c>
      <c r="N11" s="39" t="s">
        <v>80</v>
      </c>
      <c r="O11" s="42"/>
    </row>
    <row r="12" spans="1:31" s="43" customFormat="1" ht="26.25" customHeight="1">
      <c r="A12" s="53" t="s">
        <v>81</v>
      </c>
      <c r="B12" s="59">
        <f t="shared" si="0"/>
        <v>74</v>
      </c>
      <c r="C12" s="66">
        <v>66</v>
      </c>
      <c r="D12" s="67">
        <v>8</v>
      </c>
      <c r="E12" s="62">
        <f t="shared" si="1"/>
        <v>78</v>
      </c>
      <c r="F12" s="68">
        <v>66</v>
      </c>
      <c r="G12" s="69">
        <v>12</v>
      </c>
      <c r="H12" s="62">
        <f t="shared" si="2"/>
        <v>162</v>
      </c>
      <c r="I12" s="68">
        <v>157</v>
      </c>
      <c r="J12" s="70">
        <v>5</v>
      </c>
      <c r="K12" s="62">
        <f t="shared" si="3"/>
        <v>214</v>
      </c>
      <c r="L12" s="68">
        <v>209</v>
      </c>
      <c r="M12" s="70">
        <v>5</v>
      </c>
      <c r="N12" s="39" t="s">
        <v>82</v>
      </c>
      <c r="O12" s="42"/>
    </row>
    <row r="13" spans="1:31" s="43" customFormat="1" ht="26.25" customHeight="1">
      <c r="A13" s="53" t="s">
        <v>83</v>
      </c>
      <c r="B13" s="59">
        <f t="shared" si="0"/>
        <v>58</v>
      </c>
      <c r="C13" s="66">
        <v>48</v>
      </c>
      <c r="D13" s="67">
        <v>10</v>
      </c>
      <c r="E13" s="62">
        <f t="shared" si="1"/>
        <v>55</v>
      </c>
      <c r="F13" s="68">
        <v>53</v>
      </c>
      <c r="G13" s="69">
        <v>2</v>
      </c>
      <c r="H13" s="62">
        <f t="shared" si="2"/>
        <v>92</v>
      </c>
      <c r="I13" s="68">
        <v>80</v>
      </c>
      <c r="J13" s="70">
        <v>12</v>
      </c>
      <c r="K13" s="62">
        <f t="shared" si="3"/>
        <v>159</v>
      </c>
      <c r="L13" s="68">
        <v>146</v>
      </c>
      <c r="M13" s="70">
        <v>13</v>
      </c>
      <c r="N13" s="39" t="s">
        <v>84</v>
      </c>
      <c r="O13" s="42"/>
    </row>
    <row r="14" spans="1:31" s="43" customFormat="1" ht="26.25" customHeight="1">
      <c r="A14" s="53" t="s">
        <v>85</v>
      </c>
      <c r="B14" s="59">
        <f t="shared" si="0"/>
        <v>67</v>
      </c>
      <c r="C14" s="66">
        <v>61</v>
      </c>
      <c r="D14" s="67">
        <v>6</v>
      </c>
      <c r="E14" s="62">
        <f t="shared" si="1"/>
        <v>52</v>
      </c>
      <c r="F14" s="68">
        <v>49</v>
      </c>
      <c r="G14" s="69">
        <v>3</v>
      </c>
      <c r="H14" s="62">
        <f t="shared" si="2"/>
        <v>94</v>
      </c>
      <c r="I14" s="68">
        <v>88</v>
      </c>
      <c r="J14" s="70">
        <v>6</v>
      </c>
      <c r="K14" s="62">
        <f t="shared" si="3"/>
        <v>112</v>
      </c>
      <c r="L14" s="68">
        <v>108</v>
      </c>
      <c r="M14" s="70">
        <v>4</v>
      </c>
      <c r="N14" s="39" t="s">
        <v>86</v>
      </c>
      <c r="O14" s="42"/>
      <c r="AC14" s="43" t="s">
        <v>65</v>
      </c>
      <c r="AD14" s="43" t="s">
        <v>2</v>
      </c>
      <c r="AE14" s="43" t="s">
        <v>3</v>
      </c>
    </row>
    <row r="15" spans="1:31" s="43" customFormat="1">
      <c r="A15" s="71" t="s">
        <v>87</v>
      </c>
      <c r="B15" s="72">
        <f t="shared" si="0"/>
        <v>32</v>
      </c>
      <c r="C15" s="73">
        <v>32</v>
      </c>
      <c r="D15" s="74">
        <v>0</v>
      </c>
      <c r="E15" s="75">
        <f t="shared" si="1"/>
        <v>27</v>
      </c>
      <c r="F15" s="76">
        <v>24</v>
      </c>
      <c r="G15" s="77">
        <v>3</v>
      </c>
      <c r="H15" s="75">
        <f t="shared" si="2"/>
        <v>48</v>
      </c>
      <c r="I15" s="76">
        <v>47</v>
      </c>
      <c r="J15" s="78">
        <v>1</v>
      </c>
      <c r="K15" s="75">
        <f t="shared" si="3"/>
        <v>62</v>
      </c>
      <c r="L15" s="76">
        <v>57</v>
      </c>
      <c r="M15" s="78">
        <v>5</v>
      </c>
      <c r="N15" s="86" t="s">
        <v>88</v>
      </c>
      <c r="O15" s="42"/>
      <c r="AB15" s="43">
        <v>2014</v>
      </c>
      <c r="AC15" s="43">
        <f>B7</f>
        <v>401</v>
      </c>
      <c r="AD15" s="43">
        <v>342</v>
      </c>
      <c r="AE15" s="43">
        <v>59</v>
      </c>
    </row>
    <row r="16" spans="1:31" ht="17.25">
      <c r="A16" s="44" t="s">
        <v>89</v>
      </c>
      <c r="B16" s="46"/>
      <c r="C16" s="45"/>
      <c r="D16" s="46"/>
      <c r="E16" s="47"/>
      <c r="F16" s="48"/>
      <c r="G16" s="47"/>
      <c r="H16" s="47"/>
      <c r="I16" s="48"/>
      <c r="J16" s="47"/>
      <c r="K16" s="47"/>
      <c r="L16" s="48"/>
      <c r="M16" s="47"/>
      <c r="N16" s="49" t="s">
        <v>90</v>
      </c>
      <c r="AB16" s="43">
        <v>2015</v>
      </c>
      <c r="AC16" s="43">
        <f>E7</f>
        <v>358</v>
      </c>
      <c r="AD16" s="43">
        <v>302</v>
      </c>
      <c r="AE16" s="43">
        <v>56</v>
      </c>
    </row>
    <row r="17" spans="1:31" ht="17.25">
      <c r="A17" s="44"/>
      <c r="B17" s="46"/>
      <c r="C17" s="45"/>
      <c r="D17" s="46"/>
      <c r="E17" s="47"/>
      <c r="F17" s="48"/>
      <c r="G17" s="47"/>
      <c r="H17" s="47"/>
      <c r="I17" s="48"/>
      <c r="J17" s="47"/>
      <c r="K17" s="47"/>
      <c r="L17" s="48"/>
      <c r="M17" s="47"/>
      <c r="N17" s="49"/>
      <c r="AB17" s="43">
        <v>2016</v>
      </c>
      <c r="AC17" s="43">
        <f>H7</f>
        <v>828</v>
      </c>
      <c r="AD17" s="43">
        <v>752</v>
      </c>
      <c r="AE17" s="43">
        <v>76</v>
      </c>
    </row>
    <row r="18" spans="1:31" ht="29.25" customHeight="1">
      <c r="A18" s="50"/>
      <c r="AB18" s="40">
        <v>2017</v>
      </c>
      <c r="AC18" s="40">
        <f>K7</f>
        <v>1124</v>
      </c>
      <c r="AD18" s="40">
        <f t="shared" ref="AD18" si="4">L7</f>
        <v>1058</v>
      </c>
      <c r="AE18" s="40">
        <v>66</v>
      </c>
    </row>
    <row r="19" spans="1:31">
      <c r="A19" s="50"/>
      <c r="AB19" s="43"/>
      <c r="AC19" s="43"/>
      <c r="AD19" s="43"/>
      <c r="AE19" s="43"/>
    </row>
    <row r="20" spans="1:31">
      <c r="A20" s="50"/>
    </row>
    <row r="21" spans="1:31">
      <c r="A21" s="50"/>
    </row>
    <row r="22" spans="1:31">
      <c r="A22" s="50"/>
    </row>
    <row r="23" spans="1:31">
      <c r="A23" s="50"/>
    </row>
    <row r="24" spans="1:31">
      <c r="A24" s="52"/>
    </row>
    <row r="37" spans="1:4">
      <c r="A37" s="40"/>
      <c r="B37" s="40"/>
      <c r="C37" s="40"/>
      <c r="D37" s="40"/>
    </row>
    <row r="38" spans="1:4">
      <c r="A38" s="40"/>
      <c r="B38" s="40"/>
      <c r="C38" s="40"/>
      <c r="D38" s="40"/>
    </row>
    <row r="39" spans="1:4">
      <c r="A39" s="40"/>
      <c r="B39" s="40"/>
      <c r="C39" s="40"/>
      <c r="D39" s="40"/>
    </row>
    <row r="40" spans="1:4">
      <c r="A40" s="40"/>
      <c r="B40" s="40"/>
      <c r="C40" s="40"/>
      <c r="D40" s="40"/>
    </row>
    <row r="41" spans="1:4">
      <c r="A41" s="40"/>
      <c r="B41" s="40"/>
      <c r="C41" s="40"/>
      <c r="D41" s="40"/>
    </row>
    <row r="42" spans="1:4">
      <c r="A42" s="40"/>
      <c r="B42" s="40"/>
      <c r="C42" s="40"/>
      <c r="D42" s="40"/>
    </row>
    <row r="43" spans="1:4">
      <c r="A43" s="40"/>
      <c r="B43" s="40"/>
      <c r="C43" s="40"/>
      <c r="D43" s="40"/>
    </row>
    <row r="44" spans="1:4">
      <c r="A44" s="40"/>
      <c r="B44" s="40"/>
      <c r="C44" s="40"/>
      <c r="D44" s="40"/>
    </row>
    <row r="45" spans="1:4">
      <c r="A45" s="40"/>
      <c r="B45" s="40"/>
      <c r="C45" s="40"/>
      <c r="D45" s="40"/>
    </row>
  </sheetData>
  <mergeCells count="8">
    <mergeCell ref="A1:N1"/>
    <mergeCell ref="A2:N2"/>
    <mergeCell ref="A3:A6"/>
    <mergeCell ref="B3:D4"/>
    <mergeCell ref="E3:G4"/>
    <mergeCell ref="H3:J4"/>
    <mergeCell ref="K3:M4"/>
    <mergeCell ref="N3:N6"/>
  </mergeCells>
  <pageMargins left="0.7" right="0.7" top="0.75" bottom="0.75" header="0.3" footer="0.3"/>
  <pageSetup paperSize="9" scale="56" orientation="landscape" horizontalDpi="4294967295" verticalDpi="4294967295" r:id="rId1"/>
  <ignoredErrors>
    <ignoredError sqref="K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110" t="s">
        <v>50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6">
      <c r="A2" s="108" t="s">
        <v>43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</row>
    <row r="3" spans="1:36" ht="15" customHeight="1">
      <c r="A3" s="111"/>
      <c r="B3" s="111"/>
      <c r="C3" s="112" t="s">
        <v>39</v>
      </c>
      <c r="D3" s="112"/>
      <c r="E3" s="112"/>
      <c r="F3" s="112"/>
      <c r="G3" s="112"/>
      <c r="H3" s="29"/>
      <c r="I3" s="29"/>
      <c r="J3" s="113" t="s">
        <v>5</v>
      </c>
      <c r="K3" s="113"/>
      <c r="L3" s="113"/>
      <c r="M3" s="113"/>
      <c r="N3" s="113"/>
      <c r="O3" s="24"/>
      <c r="P3" s="113" t="s">
        <v>6</v>
      </c>
      <c r="Q3" s="113"/>
      <c r="R3" s="113"/>
      <c r="S3" s="113"/>
      <c r="T3" s="113"/>
      <c r="U3" s="6"/>
      <c r="V3" s="6"/>
      <c r="W3" s="6"/>
      <c r="X3" s="114" t="s">
        <v>7</v>
      </c>
      <c r="Y3" s="114"/>
      <c r="Z3" s="114"/>
      <c r="AA3" s="114"/>
      <c r="AB3" s="114"/>
      <c r="AC3" s="25"/>
      <c r="AD3" s="25"/>
      <c r="AE3" s="114" t="s">
        <v>8</v>
      </c>
      <c r="AF3" s="114"/>
      <c r="AG3" s="114"/>
      <c r="AH3" s="114"/>
      <c r="AI3" s="114"/>
    </row>
    <row r="4" spans="1:36" ht="25.5">
      <c r="A4" s="109"/>
      <c r="B4" s="109"/>
      <c r="C4" s="30" t="s">
        <v>9</v>
      </c>
      <c r="D4" s="30" t="s">
        <v>10</v>
      </c>
      <c r="E4" s="30" t="s">
        <v>4</v>
      </c>
      <c r="F4" s="31" t="s">
        <v>11</v>
      </c>
      <c r="G4" s="30" t="s">
        <v>12</v>
      </c>
      <c r="H4" s="30" t="s">
        <v>45</v>
      </c>
      <c r="I4" s="30" t="s">
        <v>51</v>
      </c>
      <c r="J4" s="13" t="s">
        <v>9</v>
      </c>
      <c r="K4" s="13" t="s">
        <v>10</v>
      </c>
      <c r="L4" s="13" t="s">
        <v>4</v>
      </c>
      <c r="M4" s="14" t="s">
        <v>11</v>
      </c>
      <c r="N4" s="13" t="s">
        <v>12</v>
      </c>
      <c r="O4" s="30" t="s">
        <v>45</v>
      </c>
      <c r="P4" s="13" t="s">
        <v>9</v>
      </c>
      <c r="Q4" s="13" t="s">
        <v>10</v>
      </c>
      <c r="R4" s="13" t="s">
        <v>4</v>
      </c>
      <c r="S4" s="14" t="s">
        <v>11</v>
      </c>
      <c r="T4" s="13" t="s">
        <v>12</v>
      </c>
      <c r="U4" s="30" t="s">
        <v>45</v>
      </c>
      <c r="V4" s="30"/>
      <c r="W4" s="30"/>
      <c r="X4" s="13" t="s">
        <v>9</v>
      </c>
      <c r="Y4" s="13" t="s">
        <v>10</v>
      </c>
      <c r="Z4" s="13" t="s">
        <v>4</v>
      </c>
      <c r="AA4" s="14" t="s">
        <v>11</v>
      </c>
      <c r="AB4" s="13" t="s">
        <v>12</v>
      </c>
      <c r="AC4" s="30" t="s">
        <v>45</v>
      </c>
      <c r="AD4" s="30"/>
      <c r="AE4" s="13" t="s">
        <v>9</v>
      </c>
      <c r="AF4" s="13" t="s">
        <v>10</v>
      </c>
      <c r="AG4" s="13" t="s">
        <v>4</v>
      </c>
      <c r="AH4" s="14" t="s">
        <v>11</v>
      </c>
      <c r="AI4" s="13" t="s">
        <v>12</v>
      </c>
      <c r="AJ4" s="30" t="s">
        <v>45</v>
      </c>
    </row>
    <row r="5" spans="1:36" ht="14.25" customHeight="1">
      <c r="A5" s="23"/>
      <c r="B5" s="27" t="s">
        <v>47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47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47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48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48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48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49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49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49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19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20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21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22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23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24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25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26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27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28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29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30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31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32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33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34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35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36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37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38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13</v>
      </c>
      <c r="B28" s="9" t="s">
        <v>14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13</v>
      </c>
      <c r="B29" s="9" t="s">
        <v>15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13</v>
      </c>
      <c r="B30" s="9" t="s">
        <v>16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13</v>
      </c>
      <c r="B31" s="9" t="s">
        <v>17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13</v>
      </c>
      <c r="B32" s="16" t="s">
        <v>18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44</v>
      </c>
    </row>
    <row r="36" spans="1:35">
      <c r="A36" s="1"/>
      <c r="B36" s="26" t="s">
        <v>45</v>
      </c>
    </row>
    <row r="37" spans="1:35">
      <c r="B37" s="27" t="s">
        <v>39</v>
      </c>
      <c r="C37" s="27" t="s">
        <v>46</v>
      </c>
      <c r="D37" s="27" t="s">
        <v>40</v>
      </c>
      <c r="E37" s="27"/>
      <c r="F37" s="27"/>
    </row>
    <row r="38" spans="1:35">
      <c r="A38" s="27" t="s">
        <v>47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48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49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52</v>
      </c>
      <c r="C42" s="34"/>
      <c r="D42" s="34"/>
    </row>
    <row r="43" spans="1:35">
      <c r="B43" s="27" t="s">
        <v>39</v>
      </c>
      <c r="C43" s="27" t="s">
        <v>46</v>
      </c>
      <c r="D43" s="27" t="s">
        <v>40</v>
      </c>
    </row>
    <row r="44" spans="1:35">
      <c r="A44" s="27" t="s">
        <v>47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48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49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53</v>
      </c>
      <c r="C49" s="34"/>
      <c r="D49" s="34"/>
    </row>
    <row r="50" spans="1:5">
      <c r="B50" s="27" t="s">
        <v>39</v>
      </c>
      <c r="C50" s="27" t="s">
        <v>46</v>
      </c>
      <c r="D50" s="27" t="s">
        <v>40</v>
      </c>
    </row>
    <row r="51" spans="1:5">
      <c r="A51" s="27" t="s">
        <v>47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48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49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13</v>
      </c>
      <c r="D56" s="34" t="s">
        <v>41</v>
      </c>
    </row>
    <row r="57" spans="1:5">
      <c r="A57" s="34" t="s">
        <v>54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55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53</v>
      </c>
      <c r="B59" s="35">
        <v>14232</v>
      </c>
      <c r="C59" s="35">
        <v>6099</v>
      </c>
      <c r="D59" s="35">
        <v>8133</v>
      </c>
    </row>
    <row r="60" spans="1:5">
      <c r="A60" s="34" t="s">
        <v>52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56</v>
      </c>
    </row>
    <row r="67" spans="1:11">
      <c r="B67" s="34"/>
      <c r="H67" s="34" t="s">
        <v>57</v>
      </c>
    </row>
    <row r="68" spans="1:11">
      <c r="A68" s="1"/>
      <c r="B68" s="34"/>
      <c r="C68" s="34" t="s">
        <v>58</v>
      </c>
      <c r="D68" s="34" t="s">
        <v>59</v>
      </c>
      <c r="E68" s="34" t="s">
        <v>60</v>
      </c>
      <c r="F68" s="34" t="s">
        <v>61</v>
      </c>
      <c r="G68" s="34"/>
      <c r="H68" s="36" t="s">
        <v>62</v>
      </c>
      <c r="I68" s="34" t="s">
        <v>63</v>
      </c>
      <c r="J68" s="34" t="s">
        <v>64</v>
      </c>
      <c r="K68" s="34"/>
    </row>
    <row r="69" spans="1:11">
      <c r="A69" s="1"/>
      <c r="B69" s="34" t="s">
        <v>19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20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21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22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23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24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25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26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27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28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29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30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31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32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33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34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35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36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37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38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8.39</vt:lpstr>
      <vt:lpstr>8.20 workings</vt:lpstr>
      <vt:lpstr>'8.39'!Print_Area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2018-09-26T05:52:19Z</cp:lastPrinted>
  <dcterms:created xsi:type="dcterms:W3CDTF">2013-04-04T04:05:16Z</dcterms:created>
  <dcterms:modified xsi:type="dcterms:W3CDTF">2018-09-26T05:52:23Z</dcterms:modified>
</cp:coreProperties>
</file>