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7" sheetId="92" r:id="rId1"/>
    <sheet name="8.20 workings" sheetId="36" state="hidden" r:id="rId2"/>
  </sheets>
  <externalReferences>
    <externalReference r:id="rId3"/>
  </externalReferences>
  <definedNames>
    <definedName name="_xlnm.Print_Area" localSheetId="0">'8.47'!$A$1:$R$27</definedName>
  </definedNames>
  <calcPr calcId="162913"/>
</workbook>
</file>

<file path=xl/calcChain.xml><?xml version="1.0" encoding="utf-8"?>
<calcChain xmlns="http://schemas.openxmlformats.org/spreadsheetml/2006/main">
  <c r="O26" i="92" l="1"/>
  <c r="L26" i="92"/>
  <c r="I26" i="92"/>
  <c r="F26" i="92"/>
  <c r="C26" i="92"/>
  <c r="O25" i="92"/>
  <c r="L25" i="92"/>
  <c r="I25" i="92"/>
  <c r="F25" i="92"/>
  <c r="C25" i="92"/>
  <c r="O24" i="92"/>
  <c r="L24" i="92"/>
  <c r="I24" i="92"/>
  <c r="F24" i="92"/>
  <c r="C24" i="92"/>
  <c r="O23" i="92"/>
  <c r="L23" i="92"/>
  <c r="I23" i="92"/>
  <c r="F23" i="92"/>
  <c r="C23" i="92"/>
  <c r="O22" i="92"/>
  <c r="L22" i="92"/>
  <c r="I22" i="92"/>
  <c r="F22" i="92"/>
  <c r="C22" i="92"/>
  <c r="O21" i="92"/>
  <c r="L21" i="92"/>
  <c r="I21" i="92"/>
  <c r="F21" i="92"/>
  <c r="C21" i="92"/>
  <c r="O20" i="92"/>
  <c r="L20" i="92"/>
  <c r="I20" i="92"/>
  <c r="F20" i="92"/>
  <c r="C20" i="92"/>
  <c r="O19" i="92"/>
  <c r="L19" i="92"/>
  <c r="I19" i="92"/>
  <c r="F19" i="92"/>
  <c r="C19" i="92"/>
  <c r="O18" i="92"/>
  <c r="L18" i="92"/>
  <c r="I18" i="92"/>
  <c r="F18" i="92"/>
  <c r="C18" i="92"/>
  <c r="O17" i="92"/>
  <c r="L17" i="92"/>
  <c r="I17" i="92"/>
  <c r="F17" i="92"/>
  <c r="C17" i="92"/>
  <c r="O16" i="92"/>
  <c r="L16" i="92"/>
  <c r="I16" i="92"/>
  <c r="F16" i="92"/>
  <c r="C16" i="92"/>
  <c r="O15" i="92"/>
  <c r="L15" i="92"/>
  <c r="I15" i="92"/>
  <c r="F15" i="92"/>
  <c r="C15" i="92"/>
  <c r="L14" i="92"/>
  <c r="I14" i="92"/>
  <c r="F14" i="92"/>
  <c r="C14" i="92"/>
  <c r="O13" i="92"/>
  <c r="L13" i="92"/>
  <c r="I13" i="92"/>
  <c r="F13" i="92"/>
  <c r="C13" i="92"/>
  <c r="O12" i="92"/>
  <c r="L12" i="92"/>
  <c r="I12" i="92"/>
  <c r="F12" i="92"/>
  <c r="C12" i="92"/>
  <c r="O11" i="92"/>
  <c r="L11" i="92"/>
  <c r="I11" i="92"/>
  <c r="F11" i="92"/>
  <c r="C11" i="92"/>
  <c r="O10" i="92"/>
  <c r="L10" i="92"/>
  <c r="I10" i="92"/>
  <c r="H10" i="92" s="1"/>
  <c r="C10" i="92"/>
  <c r="O9" i="92"/>
  <c r="L9" i="92"/>
  <c r="I9" i="92"/>
  <c r="F9" i="92"/>
  <c r="C9" i="92"/>
  <c r="O8" i="92"/>
  <c r="L8" i="92"/>
  <c r="I8" i="92"/>
  <c r="F8" i="92"/>
  <c r="C8" i="92"/>
  <c r="O7" i="92"/>
  <c r="L7" i="92"/>
  <c r="I7" i="92"/>
  <c r="F7" i="92"/>
  <c r="C7" i="92"/>
  <c r="Q6" i="92"/>
  <c r="P6" i="92"/>
  <c r="O6" i="92"/>
  <c r="N6" i="92"/>
  <c r="M6" i="92"/>
  <c r="L6" i="92" s="1"/>
  <c r="K6" i="92"/>
  <c r="I6" i="92" s="1"/>
  <c r="J6" i="92"/>
  <c r="E6" i="92"/>
  <c r="D6" i="92"/>
  <c r="C6" i="92" l="1"/>
  <c r="G10" i="92"/>
  <c r="H6" i="92"/>
  <c r="F10" i="92" l="1"/>
  <c r="G6" i="92"/>
  <c r="F6" i="92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<sst xmlns="http://schemas.openxmlformats.org/spreadsheetml/2006/main" count="220" uniqueCount="113">
  <si>
    <t>Total</t>
  </si>
  <si>
    <t>Source: Department of Judicial Administration</t>
  </si>
  <si>
    <t>Both Sexes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</si>
  <si>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</si>
  <si>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</si>
  <si>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</si>
  <si>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</si>
  <si>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</si>
  <si>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</si>
  <si>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</si>
  <si>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</si>
  <si>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</si>
  <si>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</si>
  <si>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</si>
  <si>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</si>
  <si>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</si>
  <si>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</si>
  <si>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</si>
  <si>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</si>
  <si>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</si>
  <si>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</si>
  <si>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</si>
  <si>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</si>
  <si>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</si>
  <si>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</si>
  <si>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</si>
  <si>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</si>
  <si>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</si>
  <si>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</si>
  <si>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</si>
  <si>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</si>
  <si>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</si>
  <si>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</si>
  <si>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</si>
  <si>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</si>
  <si>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</si>
  <si>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</si>
  <si>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</si>
  <si>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</si>
  <si>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</si>
  <si>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</si>
  <si>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</si>
  <si>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</si>
  <si>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</si>
  <si>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</si>
  <si>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</si>
  <si>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</si>
  <si>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</si>
  <si>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</si>
  <si>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</si>
  <si>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</si>
  <si>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</si>
  <si>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</si>
  <si>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</si>
  <si>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</si>
  <si>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</si>
  <si>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</si>
  <si>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</si>
  <si>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</si>
  <si>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</si>
  <si>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</si>
  <si>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</si>
  <si>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</si>
  <si>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</si>
  <si>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</si>
  <si>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</si>
  <si>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Source: Ministry of Gender &amp; Family</t>
  </si>
  <si>
    <t>މަޢުލޫމާތު ދެއްވީ: މިނިސްޓްރީ އޮފް ޖެންޑަރ އެންޑް ފެމިލީ</t>
  </si>
  <si>
    <t>Family and Children Service Centre</t>
  </si>
  <si>
    <t>ފެމިލީ އެންޑް ޗިލްޑްރެން ސަރވިސް ސެންޓަރ</t>
  </si>
  <si>
    <t xml:space="preserve">ޖުމްލަ </t>
  </si>
  <si>
    <t>HA. Dhidhdhoo</t>
  </si>
  <si>
    <t>ހއ.ދިއްދޫ</t>
  </si>
  <si>
    <t>HDh.Kulhuduffushi</t>
  </si>
  <si>
    <t>ހދ.ކުޅުދުއްފުށި</t>
  </si>
  <si>
    <t>Sh.Funadhoo</t>
  </si>
  <si>
    <t>ށ.ފުނަދޫ</t>
  </si>
  <si>
    <t>N.Manadhoo</t>
  </si>
  <si>
    <t>ނ.މަނަދޫ</t>
  </si>
  <si>
    <t>R.Dhuvaafaru</t>
  </si>
  <si>
    <t>ރ.ދުވާފަރު</t>
  </si>
  <si>
    <t>B.Eydhafushi</t>
  </si>
  <si>
    <t>ބ.އޭދަފުށި</t>
  </si>
  <si>
    <t>Lh.Naifaru</t>
  </si>
  <si>
    <t>ޅ.ނައިފަރު</t>
  </si>
  <si>
    <t>AA.Rasdhoo</t>
  </si>
  <si>
    <t>އއ.ރަސްދޫ</t>
  </si>
  <si>
    <t>ADh.Mahinbadhoo</t>
  </si>
  <si>
    <t>އދ.މަހިބަދޫ</t>
  </si>
  <si>
    <t>V.Fulhidhoo</t>
  </si>
  <si>
    <t>ވ.ފުލިދޫ</t>
  </si>
  <si>
    <t xml:space="preserve"> M. Mulah  </t>
  </si>
  <si>
    <t>މ.މުލަށް</t>
  </si>
  <si>
    <t xml:space="preserve"> F. Nilandhoo</t>
  </si>
  <si>
    <t>ފ.ނިލަންދޫ</t>
  </si>
  <si>
    <t xml:space="preserve">Dh. Kudahuvadhoo </t>
  </si>
  <si>
    <t>ދ.ކުޑަހުވަދޫ</t>
  </si>
  <si>
    <t xml:space="preserve">Th. Veymandoo </t>
  </si>
  <si>
    <t>ތ.ވޭމަންޑޫ</t>
  </si>
  <si>
    <t xml:space="preserve">L. Funadhoo </t>
  </si>
  <si>
    <t>ލ.ފޮނަދޫ</t>
  </si>
  <si>
    <t>GA.Villingili</t>
  </si>
  <si>
    <t>ގއ.ވިލިގިލި</t>
  </si>
  <si>
    <t>GDh. Thinadhoo</t>
  </si>
  <si>
    <t>ގދ.ތިނަދޫ</t>
  </si>
  <si>
    <t>Gn. Fuvahmulah</t>
  </si>
  <si>
    <t>ޏ.ފުވައްމުލަށް</t>
  </si>
  <si>
    <t xml:space="preserve">S. Hithadhoo </t>
  </si>
  <si>
    <t>ސ.ހިތަދޫ</t>
  </si>
  <si>
    <t>K.Male'</t>
  </si>
  <si>
    <t>ކ. މާލެ</t>
  </si>
  <si>
    <t>Table 8.47: Number of cases reported to Family and Children Service Centers by Atolls, 2013 - 2016</t>
  </si>
  <si>
    <t>ތާވަލު 8.47: ފެމިލީ އެންޑް ޗިލްޑްރަން ސަރވިސް ސެންޓަރަށް ހުށަހެޅިފައިވާ މައްސަލަތަކުގެ އަދަދު އަދި ޖިންސު 2013 - 2017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</si>
</sst>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Faruma"/>
    </font>
    <font>
      <b/>
      <sz val="10"/>
      <name val="Faruma"/>
    </font>
    <font>
      <sz val="10"/>
      <name val="Faruma"/>
    </font>
    <font>
      <sz val="10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3" fillId="0" borderId="7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7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left" vertical="center" wrapText="1"/>
    </xf>
    <xf numFmtId="3" fontId="5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3" fillId="2" borderId="0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/>
    <xf numFmtId="164" fontId="33" fillId="2" borderId="0" xfId="0" applyNumberFormat="1" applyFont="1" applyFill="1"/>
    <xf numFmtId="164" fontId="6" fillId="2" borderId="21" xfId="0" applyNumberFormat="1" applyFont="1" applyFill="1" applyBorder="1" applyAlignment="1">
      <alignment vertical="top"/>
    </xf>
    <xf numFmtId="164" fontId="4" fillId="2" borderId="21" xfId="0" applyNumberFormat="1" applyFont="1" applyFill="1" applyBorder="1" applyAlignment="1">
      <alignment vertical="top"/>
    </xf>
    <xf numFmtId="164" fontId="5" fillId="2" borderId="0" xfId="0" applyNumberFormat="1" applyFont="1" applyFill="1" applyBorder="1"/>
    <xf numFmtId="164" fontId="3" fillId="2" borderId="18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Border="1" applyAlignment="1">
      <alignment horizontal="left" indent="1"/>
    </xf>
    <xf numFmtId="164" fontId="32" fillId="2" borderId="0" xfId="0" applyNumberFormat="1" applyFont="1" applyFill="1" applyBorder="1" applyAlignment="1">
      <alignment horizontal="right" vertical="center" indent="2"/>
    </xf>
    <xf numFmtId="164" fontId="5" fillId="2" borderId="4" xfId="0" applyNumberFormat="1" applyFont="1" applyFill="1" applyBorder="1" applyAlignment="1">
      <alignment horizontal="left" indent="1"/>
    </xf>
    <xf numFmtId="164" fontId="5" fillId="2" borderId="4" xfId="0" applyNumberFormat="1" applyFont="1" applyFill="1" applyBorder="1"/>
    <xf numFmtId="164" fontId="32" fillId="2" borderId="4" xfId="0" applyNumberFormat="1" applyFont="1" applyFill="1" applyBorder="1" applyAlignment="1">
      <alignment horizontal="right" vertical="center" indent="2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left" vertical="center" wrapText="1"/>
    </xf>
    <xf numFmtId="164" fontId="3" fillId="2" borderId="20" xfId="0" applyNumberFormat="1" applyFont="1" applyFill="1" applyBorder="1" applyAlignment="1">
      <alignment horizontal="center"/>
    </xf>
    <xf numFmtId="164" fontId="31" fillId="2" borderId="0" xfId="0" applyNumberFormat="1" applyFont="1" applyFill="1" applyBorder="1" applyAlignment="1">
      <alignment horizontal="right" vertical="center" wrapText="1"/>
    </xf>
    <xf numFmtId="3" fontId="5" fillId="2" borderId="0" xfId="0" applyNumberFormat="1" applyFont="1" applyFill="1" applyBorder="1"/>
    <xf numFmtId="3" fontId="5" fillId="2" borderId="17" xfId="0" applyNumberFormat="1" applyFont="1" applyFill="1" applyBorder="1"/>
    <xf numFmtId="3" fontId="5" fillId="2" borderId="4" xfId="0" applyNumberFormat="1" applyFont="1" applyFill="1" applyBorder="1"/>
    <xf numFmtId="3" fontId="5" fillId="2" borderId="18" xfId="0" applyNumberFormat="1" applyFont="1" applyFill="1" applyBorder="1"/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0" xfId="0" applyNumberFormat="1" applyFont="1" applyFill="1" applyBorder="1" applyAlignment="1">
      <alignment horizontal="center"/>
    </xf>
    <xf numFmtId="164" fontId="30" fillId="2" borderId="0" xfId="0" applyNumberFormat="1" applyFont="1" applyFill="1" applyAlignment="1">
      <alignment horizontal="center"/>
    </xf>
    <xf numFmtId="164" fontId="32" fillId="2" borderId="21" xfId="0" applyNumberFormat="1" applyFont="1" applyFill="1" applyBorder="1" applyAlignment="1">
      <alignment horizontal="right" vertical="top" wrapText="1" readingOrder="2"/>
    </xf>
    <xf numFmtId="164" fontId="12" fillId="2" borderId="0" xfId="0" applyNumberFormat="1" applyFont="1" applyFill="1" applyAlignment="1">
      <alignment horizontal="center"/>
    </xf>
    <xf numFmtId="164" fontId="3" fillId="2" borderId="19" xfId="0" applyNumberFormat="1" applyFont="1" applyFill="1" applyBorder="1" applyAlignment="1">
      <alignment horizontal="center"/>
    </xf>
    <xf numFmtId="164" fontId="31" fillId="2" borderId="21" xfId="0" applyNumberFormat="1" applyFont="1" applyFill="1" applyBorder="1" applyAlignment="1">
      <alignment horizontal="right" vertical="center" wrapText="1"/>
    </xf>
    <xf numFmtId="164" fontId="31" fillId="2" borderId="4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27"/>
  <sheetViews>
    <sheetView tabSelected="1" zoomScaleNormal="100" workbookViewId="0">
      <selection activeCell="G31" sqref="G31"/>
    </sheetView>
  </sheetViews>
  <sheetFormatPr defaultColWidth="9.140625" defaultRowHeight="12.75"/>
  <cols>
    <col min="1" max="1" width="19.42578125" style="39" customWidth="1"/>
    <col min="2" max="2" width="1.5703125" style="39" customWidth="1"/>
    <col min="3" max="3" width="11.85546875" style="39" customWidth="1"/>
    <col min="4" max="5" width="9.140625" style="39"/>
    <col min="6" max="6" width="9.7109375" style="39" customWidth="1"/>
    <col min="7" max="8" width="9.140625" style="39"/>
    <col min="9" max="9" width="9.7109375" style="39" customWidth="1"/>
    <col min="10" max="11" width="9.140625" style="39"/>
    <col min="12" max="12" width="9.7109375" style="39" customWidth="1"/>
    <col min="13" max="14" width="9.140625" style="39"/>
    <col min="15" max="15" width="9.7109375" style="39" customWidth="1"/>
    <col min="16" max="17" width="9.140625" style="39"/>
    <col min="18" max="18" width="20.85546875" style="39" customWidth="1"/>
    <col min="19" max="19" width="3.42578125" style="39" customWidth="1"/>
    <col min="20" max="16384" width="9.140625" style="39"/>
  </cols>
  <sheetData>
    <row r="1" spans="1:19" ht="21">
      <c r="A1" s="64" t="s">
        <v>112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9" ht="15">
      <c r="A2" s="66" t="s">
        <v>111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4" spans="1:19">
      <c r="A4" s="61" t="s">
        <v>68</v>
      </c>
      <c r="B4" s="54"/>
      <c r="C4" s="63">
        <v>2013</v>
      </c>
      <c r="D4" s="63"/>
      <c r="E4" s="63"/>
      <c r="F4" s="67">
        <v>2014</v>
      </c>
      <c r="G4" s="63"/>
      <c r="H4" s="63"/>
      <c r="I4" s="67">
        <v>2015</v>
      </c>
      <c r="J4" s="63"/>
      <c r="K4" s="63"/>
      <c r="L4" s="67">
        <v>2016</v>
      </c>
      <c r="M4" s="63"/>
      <c r="N4" s="63"/>
      <c r="O4" s="67">
        <v>2017</v>
      </c>
      <c r="P4" s="63"/>
      <c r="Q4" s="63"/>
      <c r="R4" s="68" t="s">
        <v>69</v>
      </c>
    </row>
    <row r="5" spans="1:19" s="43" customFormat="1" ht="19.5" customHeight="1">
      <c r="A5" s="62"/>
      <c r="B5" s="52"/>
      <c r="C5" s="52" t="s">
        <v>2</v>
      </c>
      <c r="D5" s="52" t="s">
        <v>3</v>
      </c>
      <c r="E5" s="52" t="s">
        <v>4</v>
      </c>
      <c r="F5" s="44" t="s">
        <v>2</v>
      </c>
      <c r="G5" s="52" t="s">
        <v>3</v>
      </c>
      <c r="H5" s="52" t="s">
        <v>4</v>
      </c>
      <c r="I5" s="44" t="s">
        <v>2</v>
      </c>
      <c r="J5" s="52" t="s">
        <v>3</v>
      </c>
      <c r="K5" s="52" t="s">
        <v>4</v>
      </c>
      <c r="L5" s="44" t="s">
        <v>2</v>
      </c>
      <c r="M5" s="52" t="s">
        <v>3</v>
      </c>
      <c r="N5" s="52" t="s">
        <v>4</v>
      </c>
      <c r="O5" s="44" t="s">
        <v>2</v>
      </c>
      <c r="P5" s="52" t="s">
        <v>3</v>
      </c>
      <c r="Q5" s="52" t="s">
        <v>4</v>
      </c>
      <c r="R5" s="69"/>
    </row>
    <row r="6" spans="1:19" s="43" customFormat="1" ht="18.75">
      <c r="A6" s="53" t="s">
        <v>5</v>
      </c>
      <c r="B6" s="38"/>
      <c r="C6" s="50">
        <f t="shared" ref="C6:C26" si="0">SUM(D6:E6)</f>
        <v>1356</v>
      </c>
      <c r="D6" s="50">
        <f>SUM(D7:D26)</f>
        <v>572</v>
      </c>
      <c r="E6" s="50">
        <f>SUM(E7:E26)</f>
        <v>784</v>
      </c>
      <c r="F6" s="51">
        <f t="shared" ref="F6:H24" si="1">SUM(G6:H6)</f>
        <v>1352</v>
      </c>
      <c r="G6" s="50">
        <f>SUM(G7:G26)</f>
        <v>655</v>
      </c>
      <c r="H6" s="50">
        <f>SUM(H7:H26)</f>
        <v>697</v>
      </c>
      <c r="I6" s="51">
        <f t="shared" ref="I6:I24" si="2">SUM(J6:K6)</f>
        <v>1985</v>
      </c>
      <c r="J6" s="50">
        <f>SUM(J7:J26)</f>
        <v>910</v>
      </c>
      <c r="K6" s="50">
        <f>SUM(K7:K26)</f>
        <v>1075</v>
      </c>
      <c r="L6" s="51">
        <f t="shared" ref="L6:L24" si="3">SUM(M6:N6)</f>
        <v>2260</v>
      </c>
      <c r="M6" s="50">
        <f>SUM(M7:M26)</f>
        <v>1121</v>
      </c>
      <c r="N6" s="50">
        <f>SUM(N7:N26)</f>
        <v>1139</v>
      </c>
      <c r="O6" s="51">
        <f>SUM(P6:Q6)</f>
        <v>2720</v>
      </c>
      <c r="P6" s="50">
        <f>SUM(P7:P26)</f>
        <v>1267</v>
      </c>
      <c r="Q6" s="50">
        <f>SUM(Q7:Q26)</f>
        <v>1453</v>
      </c>
      <c r="R6" s="55" t="s">
        <v>70</v>
      </c>
    </row>
    <row r="7" spans="1:19" ht="18.75">
      <c r="A7" s="45" t="s">
        <v>71</v>
      </c>
      <c r="B7" s="43"/>
      <c r="C7" s="56">
        <f t="shared" si="0"/>
        <v>11</v>
      </c>
      <c r="D7" s="56">
        <v>5</v>
      </c>
      <c r="E7" s="56">
        <v>6</v>
      </c>
      <c r="F7" s="57">
        <f t="shared" si="1"/>
        <v>59</v>
      </c>
      <c r="G7" s="56">
        <v>31</v>
      </c>
      <c r="H7" s="56">
        <v>28</v>
      </c>
      <c r="I7" s="57">
        <f t="shared" si="2"/>
        <v>56</v>
      </c>
      <c r="J7" s="56">
        <v>25</v>
      </c>
      <c r="K7" s="56">
        <v>31</v>
      </c>
      <c r="L7" s="57">
        <f t="shared" si="3"/>
        <v>58</v>
      </c>
      <c r="M7" s="56">
        <v>17</v>
      </c>
      <c r="N7" s="56">
        <v>41</v>
      </c>
      <c r="O7" s="57">
        <f t="shared" ref="O7" si="4">SUM(P7:Q7)</f>
        <v>88</v>
      </c>
      <c r="P7" s="56">
        <v>37</v>
      </c>
      <c r="Q7" s="56">
        <v>51</v>
      </c>
      <c r="R7" s="46" t="s">
        <v>72</v>
      </c>
    </row>
    <row r="8" spans="1:19" ht="18.75">
      <c r="A8" s="45" t="s">
        <v>73</v>
      </c>
      <c r="B8" s="43"/>
      <c r="C8" s="56">
        <f t="shared" si="0"/>
        <v>22</v>
      </c>
      <c r="D8" s="56">
        <v>5</v>
      </c>
      <c r="E8" s="56">
        <v>17</v>
      </c>
      <c r="F8" s="57">
        <f t="shared" si="1"/>
        <v>42</v>
      </c>
      <c r="G8" s="56">
        <v>13</v>
      </c>
      <c r="H8" s="56">
        <v>29</v>
      </c>
      <c r="I8" s="57">
        <f t="shared" si="2"/>
        <v>38</v>
      </c>
      <c r="J8" s="56">
        <v>21</v>
      </c>
      <c r="K8" s="56">
        <v>17</v>
      </c>
      <c r="L8" s="57">
        <f>SUM(M8:N8)</f>
        <v>34</v>
      </c>
      <c r="M8" s="56">
        <v>14</v>
      </c>
      <c r="N8" s="56">
        <v>20</v>
      </c>
      <c r="O8" s="57">
        <f>SUM(P8:Q8)</f>
        <v>110</v>
      </c>
      <c r="P8" s="56">
        <v>42</v>
      </c>
      <c r="Q8" s="56">
        <v>68</v>
      </c>
      <c r="R8" s="46" t="s">
        <v>74</v>
      </c>
    </row>
    <row r="9" spans="1:19" ht="18.75">
      <c r="A9" s="45" t="s">
        <v>75</v>
      </c>
      <c r="B9" s="43"/>
      <c r="C9" s="56">
        <f t="shared" si="0"/>
        <v>62</v>
      </c>
      <c r="D9" s="56">
        <v>22</v>
      </c>
      <c r="E9" s="56">
        <v>40</v>
      </c>
      <c r="F9" s="57">
        <f t="shared" si="1"/>
        <v>49</v>
      </c>
      <c r="G9" s="56">
        <v>14</v>
      </c>
      <c r="H9" s="56">
        <v>35</v>
      </c>
      <c r="I9" s="57">
        <f t="shared" si="2"/>
        <v>53</v>
      </c>
      <c r="J9" s="56">
        <v>20</v>
      </c>
      <c r="K9" s="56">
        <v>33</v>
      </c>
      <c r="L9" s="57">
        <f t="shared" si="3"/>
        <v>35</v>
      </c>
      <c r="M9" s="56">
        <v>20</v>
      </c>
      <c r="N9" s="56">
        <v>15</v>
      </c>
      <c r="O9" s="57">
        <f t="shared" ref="O9:O24" si="5">SUM(P9:Q9)</f>
        <v>54</v>
      </c>
      <c r="P9" s="56">
        <v>33</v>
      </c>
      <c r="Q9" s="56">
        <v>21</v>
      </c>
      <c r="R9" s="46" t="s">
        <v>76</v>
      </c>
    </row>
    <row r="10" spans="1:19" ht="18.75">
      <c r="A10" s="45" t="s">
        <v>77</v>
      </c>
      <c r="B10" s="43"/>
      <c r="C10" s="56">
        <f t="shared" si="0"/>
        <v>27</v>
      </c>
      <c r="D10" s="56">
        <v>18</v>
      </c>
      <c r="E10" s="56">
        <v>9</v>
      </c>
      <c r="F10" s="57">
        <f t="shared" si="1"/>
        <v>133</v>
      </c>
      <c r="G10" s="56">
        <f t="shared" si="1"/>
        <v>83</v>
      </c>
      <c r="H10" s="56">
        <f t="shared" si="1"/>
        <v>50</v>
      </c>
      <c r="I10" s="57">
        <f t="shared" si="2"/>
        <v>33</v>
      </c>
      <c r="J10" s="56">
        <v>17</v>
      </c>
      <c r="K10" s="56">
        <v>16</v>
      </c>
      <c r="L10" s="57">
        <f t="shared" si="3"/>
        <v>56</v>
      </c>
      <c r="M10" s="56">
        <v>23</v>
      </c>
      <c r="N10" s="56">
        <v>33</v>
      </c>
      <c r="O10" s="57">
        <f t="shared" si="5"/>
        <v>56</v>
      </c>
      <c r="P10" s="56">
        <v>24</v>
      </c>
      <c r="Q10" s="56">
        <v>32</v>
      </c>
      <c r="R10" s="46" t="s">
        <v>78</v>
      </c>
    </row>
    <row r="11" spans="1:19" ht="18.75">
      <c r="A11" s="45" t="s">
        <v>79</v>
      </c>
      <c r="B11" s="43"/>
      <c r="C11" s="56">
        <f t="shared" si="0"/>
        <v>101</v>
      </c>
      <c r="D11" s="56">
        <v>38</v>
      </c>
      <c r="E11" s="56">
        <v>63</v>
      </c>
      <c r="F11" s="57">
        <f t="shared" si="1"/>
        <v>82</v>
      </c>
      <c r="G11" s="56">
        <v>35</v>
      </c>
      <c r="H11" s="56">
        <v>47</v>
      </c>
      <c r="I11" s="57">
        <f t="shared" si="2"/>
        <v>177</v>
      </c>
      <c r="J11" s="56">
        <v>91</v>
      </c>
      <c r="K11" s="56">
        <v>86</v>
      </c>
      <c r="L11" s="57">
        <f t="shared" si="3"/>
        <v>91</v>
      </c>
      <c r="M11" s="56">
        <v>33</v>
      </c>
      <c r="N11" s="56">
        <v>58</v>
      </c>
      <c r="O11" s="57">
        <f t="shared" si="5"/>
        <v>73</v>
      </c>
      <c r="P11" s="56">
        <v>41</v>
      </c>
      <c r="Q11" s="56">
        <v>32</v>
      </c>
      <c r="R11" s="46" t="s">
        <v>80</v>
      </c>
    </row>
    <row r="12" spans="1:19" ht="18.75">
      <c r="A12" s="45" t="s">
        <v>81</v>
      </c>
      <c r="B12" s="43"/>
      <c r="C12" s="56">
        <f t="shared" si="0"/>
        <v>34</v>
      </c>
      <c r="D12" s="56">
        <v>15</v>
      </c>
      <c r="E12" s="56">
        <v>19</v>
      </c>
      <c r="F12" s="57">
        <f t="shared" si="1"/>
        <v>27</v>
      </c>
      <c r="G12" s="56">
        <v>15</v>
      </c>
      <c r="H12" s="56">
        <v>12</v>
      </c>
      <c r="I12" s="57">
        <f t="shared" si="2"/>
        <v>46</v>
      </c>
      <c r="J12" s="56">
        <v>27</v>
      </c>
      <c r="K12" s="56">
        <v>19</v>
      </c>
      <c r="L12" s="57">
        <f t="shared" si="3"/>
        <v>36</v>
      </c>
      <c r="M12" s="56">
        <v>15</v>
      </c>
      <c r="N12" s="56">
        <v>21</v>
      </c>
      <c r="O12" s="57">
        <f t="shared" si="5"/>
        <v>49</v>
      </c>
      <c r="P12" s="56">
        <v>33</v>
      </c>
      <c r="Q12" s="56">
        <v>16</v>
      </c>
      <c r="R12" s="46" t="s">
        <v>82</v>
      </c>
    </row>
    <row r="13" spans="1:19" ht="18.75">
      <c r="A13" s="45" t="s">
        <v>83</v>
      </c>
      <c r="B13" s="43"/>
      <c r="C13" s="56">
        <f t="shared" si="0"/>
        <v>34</v>
      </c>
      <c r="D13" s="56">
        <v>10</v>
      </c>
      <c r="E13" s="56">
        <v>24</v>
      </c>
      <c r="F13" s="57">
        <f t="shared" si="1"/>
        <v>28</v>
      </c>
      <c r="G13" s="56">
        <v>11</v>
      </c>
      <c r="H13" s="56">
        <v>17</v>
      </c>
      <c r="I13" s="57">
        <f t="shared" si="2"/>
        <v>53</v>
      </c>
      <c r="J13" s="56">
        <v>22</v>
      </c>
      <c r="K13" s="56">
        <v>31</v>
      </c>
      <c r="L13" s="57">
        <f t="shared" si="3"/>
        <v>42</v>
      </c>
      <c r="M13" s="56">
        <v>18</v>
      </c>
      <c r="N13" s="56">
        <v>24</v>
      </c>
      <c r="O13" s="57">
        <f t="shared" si="5"/>
        <v>76</v>
      </c>
      <c r="P13" s="56">
        <v>38</v>
      </c>
      <c r="Q13" s="56">
        <v>38</v>
      </c>
      <c r="R13" s="46" t="s">
        <v>84</v>
      </c>
    </row>
    <row r="14" spans="1:19" ht="18.75">
      <c r="A14" s="45" t="s">
        <v>109</v>
      </c>
      <c r="B14" s="43"/>
      <c r="C14" s="56">
        <f t="shared" si="0"/>
        <v>559</v>
      </c>
      <c r="D14" s="56">
        <v>217</v>
      </c>
      <c r="E14" s="56">
        <v>342</v>
      </c>
      <c r="F14" s="57">
        <f t="shared" si="1"/>
        <v>398</v>
      </c>
      <c r="G14" s="56">
        <v>187</v>
      </c>
      <c r="H14" s="56">
        <v>211</v>
      </c>
      <c r="I14" s="57">
        <f t="shared" si="2"/>
        <v>499</v>
      </c>
      <c r="J14" s="56">
        <v>215</v>
      </c>
      <c r="K14" s="56">
        <v>284</v>
      </c>
      <c r="L14" s="57">
        <f t="shared" si="3"/>
        <v>348</v>
      </c>
      <c r="M14" s="56">
        <v>197</v>
      </c>
      <c r="N14" s="56">
        <v>151</v>
      </c>
      <c r="O14" s="57">
        <v>959</v>
      </c>
      <c r="P14" s="56">
        <v>413</v>
      </c>
      <c r="Q14" s="56">
        <v>546</v>
      </c>
      <c r="R14" s="46" t="s">
        <v>110</v>
      </c>
      <c r="S14" s="40"/>
    </row>
    <row r="15" spans="1:19" ht="18.75">
      <c r="A15" s="45" t="s">
        <v>85</v>
      </c>
      <c r="B15" s="43"/>
      <c r="C15" s="56">
        <f t="shared" si="0"/>
        <v>20</v>
      </c>
      <c r="D15" s="56">
        <v>6</v>
      </c>
      <c r="E15" s="56">
        <v>14</v>
      </c>
      <c r="F15" s="57">
        <f t="shared" si="1"/>
        <v>24</v>
      </c>
      <c r="G15" s="56">
        <v>13</v>
      </c>
      <c r="H15" s="56">
        <v>11</v>
      </c>
      <c r="I15" s="57">
        <f t="shared" si="2"/>
        <v>56</v>
      </c>
      <c r="J15" s="56">
        <v>27</v>
      </c>
      <c r="K15" s="56">
        <v>29</v>
      </c>
      <c r="L15" s="57">
        <f t="shared" si="3"/>
        <v>81</v>
      </c>
      <c r="M15" s="56">
        <v>40</v>
      </c>
      <c r="N15" s="56">
        <v>41</v>
      </c>
      <c r="O15" s="57">
        <f t="shared" si="5"/>
        <v>131</v>
      </c>
      <c r="P15" s="56">
        <v>48</v>
      </c>
      <c r="Q15" s="56">
        <v>83</v>
      </c>
      <c r="R15" s="46" t="s">
        <v>86</v>
      </c>
    </row>
    <row r="16" spans="1:19" ht="18.75">
      <c r="A16" s="45" t="s">
        <v>87</v>
      </c>
      <c r="B16" s="43"/>
      <c r="C16" s="56">
        <f t="shared" si="0"/>
        <v>34</v>
      </c>
      <c r="D16" s="56">
        <v>21</v>
      </c>
      <c r="E16" s="56">
        <v>13</v>
      </c>
      <c r="F16" s="57">
        <f t="shared" si="1"/>
        <v>62</v>
      </c>
      <c r="G16" s="56">
        <v>35</v>
      </c>
      <c r="H16" s="56">
        <v>27</v>
      </c>
      <c r="I16" s="57">
        <f t="shared" si="2"/>
        <v>63</v>
      </c>
      <c r="J16" s="56">
        <v>26</v>
      </c>
      <c r="K16" s="56">
        <v>37</v>
      </c>
      <c r="L16" s="57">
        <f t="shared" si="3"/>
        <v>91</v>
      </c>
      <c r="M16" s="56">
        <v>42</v>
      </c>
      <c r="N16" s="56">
        <v>49</v>
      </c>
      <c r="O16" s="57">
        <f t="shared" si="5"/>
        <v>198</v>
      </c>
      <c r="P16" s="56">
        <v>87</v>
      </c>
      <c r="Q16" s="56">
        <v>111</v>
      </c>
      <c r="R16" s="46" t="s">
        <v>88</v>
      </c>
    </row>
    <row r="17" spans="1:18" ht="18.75">
      <c r="A17" s="45" t="s">
        <v>89</v>
      </c>
      <c r="B17" s="43"/>
      <c r="C17" s="56">
        <f t="shared" si="0"/>
        <v>5</v>
      </c>
      <c r="D17" s="56">
        <v>3</v>
      </c>
      <c r="E17" s="56">
        <v>2</v>
      </c>
      <c r="F17" s="57">
        <f t="shared" si="1"/>
        <v>2</v>
      </c>
      <c r="G17" s="56">
        <v>2</v>
      </c>
      <c r="H17" s="56">
        <v>0</v>
      </c>
      <c r="I17" s="57">
        <f t="shared" si="2"/>
        <v>8</v>
      </c>
      <c r="J17" s="56">
        <v>3</v>
      </c>
      <c r="K17" s="56">
        <v>5</v>
      </c>
      <c r="L17" s="57">
        <f t="shared" si="3"/>
        <v>4</v>
      </c>
      <c r="M17" s="56">
        <v>4</v>
      </c>
      <c r="N17" s="56">
        <v>0</v>
      </c>
      <c r="O17" s="57">
        <f t="shared" si="5"/>
        <v>21</v>
      </c>
      <c r="P17" s="56">
        <v>15</v>
      </c>
      <c r="Q17" s="56">
        <v>6</v>
      </c>
      <c r="R17" s="46" t="s">
        <v>90</v>
      </c>
    </row>
    <row r="18" spans="1:18" ht="18.75">
      <c r="A18" s="45" t="s">
        <v>91</v>
      </c>
      <c r="B18" s="43"/>
      <c r="C18" s="56">
        <f t="shared" si="0"/>
        <v>17</v>
      </c>
      <c r="D18" s="56">
        <v>6</v>
      </c>
      <c r="E18" s="56">
        <v>11</v>
      </c>
      <c r="F18" s="57">
        <f t="shared" si="1"/>
        <v>9</v>
      </c>
      <c r="G18" s="56">
        <v>6</v>
      </c>
      <c r="H18" s="56">
        <v>3</v>
      </c>
      <c r="I18" s="57">
        <f t="shared" si="2"/>
        <v>12</v>
      </c>
      <c r="J18" s="56">
        <v>8</v>
      </c>
      <c r="K18" s="56">
        <v>4</v>
      </c>
      <c r="L18" s="57">
        <f t="shared" si="3"/>
        <v>6</v>
      </c>
      <c r="M18" s="56">
        <v>2</v>
      </c>
      <c r="N18" s="56">
        <v>4</v>
      </c>
      <c r="O18" s="57">
        <f t="shared" si="5"/>
        <v>18</v>
      </c>
      <c r="P18" s="56">
        <v>10</v>
      </c>
      <c r="Q18" s="56">
        <v>8</v>
      </c>
      <c r="R18" s="46" t="s">
        <v>92</v>
      </c>
    </row>
    <row r="19" spans="1:18" ht="18.75">
      <c r="A19" s="45" t="s">
        <v>93</v>
      </c>
      <c r="B19" s="43"/>
      <c r="C19" s="56">
        <f t="shared" si="0"/>
        <v>22</v>
      </c>
      <c r="D19" s="56">
        <v>14</v>
      </c>
      <c r="E19" s="56">
        <v>8</v>
      </c>
      <c r="F19" s="57">
        <f t="shared" si="1"/>
        <v>28</v>
      </c>
      <c r="G19" s="56">
        <v>12</v>
      </c>
      <c r="H19" s="56">
        <v>16</v>
      </c>
      <c r="I19" s="57">
        <f t="shared" si="2"/>
        <v>37</v>
      </c>
      <c r="J19" s="56">
        <v>19</v>
      </c>
      <c r="K19" s="56">
        <v>18</v>
      </c>
      <c r="L19" s="57">
        <f t="shared" si="3"/>
        <v>73</v>
      </c>
      <c r="M19" s="56">
        <v>51</v>
      </c>
      <c r="N19" s="56">
        <v>22</v>
      </c>
      <c r="O19" s="57">
        <f t="shared" si="5"/>
        <v>39</v>
      </c>
      <c r="P19" s="56">
        <v>23</v>
      </c>
      <c r="Q19" s="56">
        <v>16</v>
      </c>
      <c r="R19" s="46" t="s">
        <v>94</v>
      </c>
    </row>
    <row r="20" spans="1:18" ht="18.75">
      <c r="A20" s="45" t="s">
        <v>95</v>
      </c>
      <c r="B20" s="43"/>
      <c r="C20" s="56">
        <f t="shared" si="0"/>
        <v>20</v>
      </c>
      <c r="D20" s="56">
        <v>6</v>
      </c>
      <c r="E20" s="56">
        <v>14</v>
      </c>
      <c r="F20" s="57">
        <f t="shared" si="1"/>
        <v>0</v>
      </c>
      <c r="G20" s="56">
        <v>0</v>
      </c>
      <c r="H20" s="56">
        <v>0</v>
      </c>
      <c r="I20" s="57">
        <f t="shared" si="2"/>
        <v>29</v>
      </c>
      <c r="J20" s="56">
        <v>22</v>
      </c>
      <c r="K20" s="56">
        <v>7</v>
      </c>
      <c r="L20" s="57">
        <f t="shared" si="3"/>
        <v>43</v>
      </c>
      <c r="M20" s="56">
        <v>20</v>
      </c>
      <c r="N20" s="56">
        <v>23</v>
      </c>
      <c r="O20" s="57">
        <f t="shared" si="5"/>
        <v>28</v>
      </c>
      <c r="P20" s="56">
        <v>8</v>
      </c>
      <c r="Q20" s="56">
        <v>20</v>
      </c>
      <c r="R20" s="46" t="s">
        <v>96</v>
      </c>
    </row>
    <row r="21" spans="1:18" ht="18.75">
      <c r="A21" s="45" t="s">
        <v>97</v>
      </c>
      <c r="B21" s="43"/>
      <c r="C21" s="56">
        <f t="shared" si="0"/>
        <v>39</v>
      </c>
      <c r="D21" s="56">
        <v>20</v>
      </c>
      <c r="E21" s="56">
        <v>19</v>
      </c>
      <c r="F21" s="57">
        <f t="shared" si="1"/>
        <v>40</v>
      </c>
      <c r="G21" s="56">
        <v>22</v>
      </c>
      <c r="H21" s="56">
        <v>18</v>
      </c>
      <c r="I21" s="57">
        <f t="shared" si="2"/>
        <v>55</v>
      </c>
      <c r="J21" s="56">
        <v>22</v>
      </c>
      <c r="K21" s="56">
        <v>33</v>
      </c>
      <c r="L21" s="57">
        <f t="shared" si="3"/>
        <v>55</v>
      </c>
      <c r="M21" s="56">
        <v>32</v>
      </c>
      <c r="N21" s="56">
        <v>23</v>
      </c>
      <c r="O21" s="57">
        <f t="shared" si="5"/>
        <v>79</v>
      </c>
      <c r="P21" s="56">
        <v>46</v>
      </c>
      <c r="Q21" s="56">
        <v>33</v>
      </c>
      <c r="R21" s="46" t="s">
        <v>98</v>
      </c>
    </row>
    <row r="22" spans="1:18" ht="18.75">
      <c r="A22" s="45" t="s">
        <v>99</v>
      </c>
      <c r="B22" s="43"/>
      <c r="C22" s="56">
        <f t="shared" si="0"/>
        <v>123</v>
      </c>
      <c r="D22" s="56">
        <v>61</v>
      </c>
      <c r="E22" s="56">
        <v>62</v>
      </c>
      <c r="F22" s="57">
        <f t="shared" si="1"/>
        <v>0</v>
      </c>
      <c r="G22" s="56">
        <v>0</v>
      </c>
      <c r="H22" s="56">
        <v>0</v>
      </c>
      <c r="I22" s="57">
        <f t="shared" si="2"/>
        <v>79</v>
      </c>
      <c r="J22" s="56">
        <v>27</v>
      </c>
      <c r="K22" s="56">
        <v>52</v>
      </c>
      <c r="L22" s="57">
        <f t="shared" si="3"/>
        <v>149</v>
      </c>
      <c r="M22" s="56">
        <v>70</v>
      </c>
      <c r="N22" s="56">
        <v>79</v>
      </c>
      <c r="O22" s="57">
        <f t="shared" si="5"/>
        <v>87</v>
      </c>
      <c r="P22" s="56">
        <v>39</v>
      </c>
      <c r="Q22" s="56">
        <v>48</v>
      </c>
      <c r="R22" s="46" t="s">
        <v>100</v>
      </c>
    </row>
    <row r="23" spans="1:18" ht="18.75">
      <c r="A23" s="45" t="s">
        <v>101</v>
      </c>
      <c r="B23" s="43"/>
      <c r="C23" s="56">
        <f t="shared" si="0"/>
        <v>22</v>
      </c>
      <c r="D23" s="56">
        <v>5</v>
      </c>
      <c r="E23" s="56">
        <v>17</v>
      </c>
      <c r="F23" s="57">
        <f t="shared" si="1"/>
        <v>0</v>
      </c>
      <c r="G23" s="56">
        <v>0</v>
      </c>
      <c r="H23" s="56">
        <v>0</v>
      </c>
      <c r="I23" s="57">
        <f t="shared" si="2"/>
        <v>33</v>
      </c>
      <c r="J23" s="56">
        <v>16</v>
      </c>
      <c r="K23" s="56">
        <v>17</v>
      </c>
      <c r="L23" s="57">
        <f t="shared" si="3"/>
        <v>27</v>
      </c>
      <c r="M23" s="56">
        <v>15</v>
      </c>
      <c r="N23" s="56">
        <v>12</v>
      </c>
      <c r="O23" s="57">
        <f t="shared" si="5"/>
        <v>17</v>
      </c>
      <c r="P23" s="56">
        <v>6</v>
      </c>
      <c r="Q23" s="56">
        <v>11</v>
      </c>
      <c r="R23" s="46" t="s">
        <v>102</v>
      </c>
    </row>
    <row r="24" spans="1:18" ht="18.75">
      <c r="A24" s="45" t="s">
        <v>103</v>
      </c>
      <c r="B24" s="43"/>
      <c r="C24" s="56">
        <f t="shared" si="0"/>
        <v>0</v>
      </c>
      <c r="D24" s="56">
        <v>0</v>
      </c>
      <c r="E24" s="56">
        <v>0</v>
      </c>
      <c r="F24" s="57">
        <f t="shared" si="1"/>
        <v>69</v>
      </c>
      <c r="G24" s="56">
        <v>33</v>
      </c>
      <c r="H24" s="56">
        <v>36</v>
      </c>
      <c r="I24" s="57">
        <f t="shared" si="2"/>
        <v>138</v>
      </c>
      <c r="J24" s="56">
        <v>62</v>
      </c>
      <c r="K24" s="56">
        <v>76</v>
      </c>
      <c r="L24" s="57">
        <f t="shared" si="3"/>
        <v>274</v>
      </c>
      <c r="M24" s="56">
        <v>118</v>
      </c>
      <c r="N24" s="56">
        <v>156</v>
      </c>
      <c r="O24" s="57">
        <f t="shared" si="5"/>
        <v>189</v>
      </c>
      <c r="P24" s="56">
        <v>94</v>
      </c>
      <c r="Q24" s="56">
        <v>95</v>
      </c>
      <c r="R24" s="46" t="s">
        <v>104</v>
      </c>
    </row>
    <row r="25" spans="1:18" ht="18.75">
      <c r="A25" s="45" t="s">
        <v>105</v>
      </c>
      <c r="B25" s="43"/>
      <c r="C25" s="56">
        <f t="shared" si="0"/>
        <v>111</v>
      </c>
      <c r="D25" s="56">
        <v>55</v>
      </c>
      <c r="E25" s="56">
        <v>56</v>
      </c>
      <c r="F25" s="57">
        <f>SUM(G25:H25)</f>
        <v>91</v>
      </c>
      <c r="G25" s="56">
        <v>44</v>
      </c>
      <c r="H25" s="56">
        <v>47</v>
      </c>
      <c r="I25" s="57">
        <f>SUM(J25:K25)</f>
        <v>196</v>
      </c>
      <c r="J25" s="56">
        <v>95</v>
      </c>
      <c r="K25" s="56">
        <v>101</v>
      </c>
      <c r="L25" s="57">
        <f>SUM(M25:N25)</f>
        <v>301</v>
      </c>
      <c r="M25" s="56">
        <v>150</v>
      </c>
      <c r="N25" s="56">
        <v>151</v>
      </c>
      <c r="O25" s="57">
        <f>SUM(P25:Q25)</f>
        <v>178</v>
      </c>
      <c r="P25" s="56">
        <v>91</v>
      </c>
      <c r="Q25" s="56">
        <v>87</v>
      </c>
      <c r="R25" s="46" t="s">
        <v>106</v>
      </c>
    </row>
    <row r="26" spans="1:18" ht="18.75">
      <c r="A26" s="47" t="s">
        <v>107</v>
      </c>
      <c r="B26" s="48"/>
      <c r="C26" s="58">
        <f t="shared" si="0"/>
        <v>93</v>
      </c>
      <c r="D26" s="58">
        <v>45</v>
      </c>
      <c r="E26" s="58">
        <v>48</v>
      </c>
      <c r="F26" s="59">
        <f t="shared" ref="F26" si="6">SUM(G26:H26)</f>
        <v>209</v>
      </c>
      <c r="G26" s="58">
        <v>99</v>
      </c>
      <c r="H26" s="58">
        <v>110</v>
      </c>
      <c r="I26" s="59">
        <f t="shared" ref="I26" si="7">SUM(J26:K26)</f>
        <v>324</v>
      </c>
      <c r="J26" s="58">
        <v>145</v>
      </c>
      <c r="K26" s="58">
        <v>179</v>
      </c>
      <c r="L26" s="59">
        <f t="shared" ref="L26" si="8">SUM(M26:N26)</f>
        <v>456</v>
      </c>
      <c r="M26" s="58">
        <v>240</v>
      </c>
      <c r="N26" s="58">
        <v>216</v>
      </c>
      <c r="O26" s="59">
        <f t="shared" ref="O26" si="9">SUM(P26:Q26)</f>
        <v>270</v>
      </c>
      <c r="P26" s="58">
        <v>139</v>
      </c>
      <c r="Q26" s="58">
        <v>131</v>
      </c>
      <c r="R26" s="49" t="s">
        <v>108</v>
      </c>
    </row>
    <row r="27" spans="1:18" ht="18.75">
      <c r="A27" s="41" t="s">
        <v>66</v>
      </c>
      <c r="B27" s="42"/>
      <c r="C27" s="42"/>
      <c r="D27" s="65" t="s">
        <v>67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</row>
  </sheetData>
  <mergeCells count="10">
    <mergeCell ref="A1:R1"/>
    <mergeCell ref="D27:R27"/>
    <mergeCell ref="A2:R2"/>
    <mergeCell ref="A4:A5"/>
    <mergeCell ref="C4:E4"/>
    <mergeCell ref="F4:H4"/>
    <mergeCell ref="I4:K4"/>
    <mergeCell ref="L4:N4"/>
    <mergeCell ref="O4:Q4"/>
    <mergeCell ref="R4:R5"/>
  </mergeCells>
  <pageMargins left="0.7" right="0.7" top="0.75" bottom="0.75" header="0.3" footer="0.3"/>
  <pageSetup paperSize="9" scale="7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70" t="s">
        <v>51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</row>
    <row r="2" spans="1:36">
      <c r="A2" s="60" t="s">
        <v>44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</row>
    <row r="3" spans="1:36" ht="15" customHeight="1">
      <c r="A3" s="71"/>
      <c r="B3" s="71"/>
      <c r="C3" s="72" t="s">
        <v>40</v>
      </c>
      <c r="D3" s="72"/>
      <c r="E3" s="72"/>
      <c r="F3" s="72"/>
      <c r="G3" s="72"/>
      <c r="H3" s="29"/>
      <c r="I3" s="29"/>
      <c r="J3" s="73" t="s">
        <v>6</v>
      </c>
      <c r="K3" s="73"/>
      <c r="L3" s="73"/>
      <c r="M3" s="73"/>
      <c r="N3" s="73"/>
      <c r="O3" s="24"/>
      <c r="P3" s="73" t="s">
        <v>7</v>
      </c>
      <c r="Q3" s="73"/>
      <c r="R3" s="73"/>
      <c r="S3" s="73"/>
      <c r="T3" s="73"/>
      <c r="U3" s="6"/>
      <c r="V3" s="6"/>
      <c r="W3" s="6"/>
      <c r="X3" s="74" t="s">
        <v>8</v>
      </c>
      <c r="Y3" s="74"/>
      <c r="Z3" s="74"/>
      <c r="AA3" s="74"/>
      <c r="AB3" s="74"/>
      <c r="AC3" s="25"/>
      <c r="AD3" s="25"/>
      <c r="AE3" s="74" t="s">
        <v>9</v>
      </c>
      <c r="AF3" s="74"/>
      <c r="AG3" s="74"/>
      <c r="AH3" s="74"/>
      <c r="AI3" s="74"/>
    </row>
    <row r="4" spans="1:36" ht="25.5">
      <c r="A4" s="62"/>
      <c r="B4" s="62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46</v>
      </c>
      <c r="I4" s="30" t="s">
        <v>52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46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46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46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40</v>
      </c>
      <c r="C37" s="27" t="s">
        <v>47</v>
      </c>
      <c r="D37" s="27" t="s">
        <v>41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40</v>
      </c>
      <c r="C43" s="27" t="s">
        <v>47</v>
      </c>
      <c r="D43" s="27" t="s">
        <v>41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40</v>
      </c>
      <c r="C50" s="27" t="s">
        <v>47</v>
      </c>
      <c r="D50" s="27" t="s">
        <v>41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8.47</vt:lpstr>
      <vt:lpstr>8.20 workings</vt:lpstr>
      <vt:lpstr>'8.47'!Print_Area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2018-09-26T06:05:23Z</cp:lastPrinted>
  <dcterms:created xsi:type="dcterms:W3CDTF">2013-04-04T04:05:16Z</dcterms:created>
  <dcterms:modified xsi:type="dcterms:W3CDTF">2018-09-26T06:05:28Z</dcterms:modified>
</cp:coreProperties>
</file>