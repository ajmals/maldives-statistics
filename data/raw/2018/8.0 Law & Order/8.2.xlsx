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New folder\"/>
    </mc:Choice>
  </mc:AlternateContent>
  <bookViews>
    <workbookView xWindow="0" yWindow="0" windowWidth="28800" windowHeight="12330" tabRatio="942"/>
  </bookViews>
  <sheets>
    <sheet name="8.2" sheetId="42" r:id="rId1"/>
    <sheet name="8.20 workings" sheetId="36" state="hidden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xlnm.Print_Area" localSheetId="0">'8.2'!$B$1:$R$69</definedName>
  </definedNames>
  <calcPr calcId="162913"/>
</workbook>
</file>

<file path=xl/calcChain.xml><?xml version="1.0" encoding="utf-8"?>
<calcChain xmlns="http://schemas.openxmlformats.org/spreadsheetml/2006/main">
  <c r="Q7" i="42" l="1"/>
  <c r="P7" i="42"/>
  <c r="O7" i="42"/>
  <c r="L25" i="42" l="1"/>
  <c r="L23" i="42"/>
  <c r="L22" i="42"/>
  <c r="L29" i="42"/>
  <c r="L28" i="42"/>
  <c r="L27" i="42"/>
  <c r="L26" i="42"/>
  <c r="L24" i="42"/>
  <c r="I21" i="42"/>
  <c r="I25" i="42"/>
  <c r="I26" i="42"/>
  <c r="I22" i="42"/>
  <c r="I23" i="42"/>
  <c r="I24" i="42"/>
  <c r="I9" i="42"/>
  <c r="I10" i="42"/>
  <c r="I11" i="42"/>
  <c r="I12" i="42"/>
  <c r="I13" i="42"/>
  <c r="I14" i="42"/>
  <c r="I15" i="42"/>
  <c r="I16" i="42"/>
  <c r="I17" i="42"/>
  <c r="I18" i="42"/>
  <c r="I19" i="42"/>
  <c r="I8" i="42"/>
  <c r="I7" i="42" l="1"/>
  <c r="L21" i="42"/>
  <c r="L20" i="42"/>
  <c r="I27" i="42"/>
  <c r="I29" i="42"/>
  <c r="I28" i="42"/>
  <c r="I20" i="42"/>
  <c r="L30" i="42" l="1"/>
  <c r="I30" i="42"/>
  <c r="Q30" i="42" l="1"/>
  <c r="P30" i="42"/>
  <c r="O30" i="42"/>
  <c r="Q29" i="42"/>
  <c r="P29" i="42"/>
  <c r="O29" i="42"/>
  <c r="Q28" i="42"/>
  <c r="P28" i="42"/>
  <c r="O28" i="42"/>
  <c r="Q27" i="42"/>
  <c r="O27" i="42"/>
  <c r="Q26" i="42"/>
  <c r="P26" i="42"/>
  <c r="O26" i="42"/>
  <c r="Q25" i="42"/>
  <c r="P25" i="42"/>
  <c r="O25" i="42"/>
  <c r="Q24" i="42"/>
  <c r="P24" i="42"/>
  <c r="O24" i="42"/>
  <c r="Q23" i="42"/>
  <c r="P23" i="42"/>
  <c r="O23" i="42"/>
  <c r="Q22" i="42"/>
  <c r="P22" i="42"/>
  <c r="O22" i="42"/>
  <c r="Q21" i="42"/>
  <c r="P21" i="42"/>
  <c r="O21" i="42"/>
  <c r="Q20" i="42"/>
  <c r="P20" i="42"/>
  <c r="O20" i="42"/>
  <c r="Q19" i="42"/>
  <c r="P19" i="42"/>
  <c r="Q18" i="42"/>
  <c r="P18" i="42"/>
  <c r="Q17" i="42"/>
  <c r="P17" i="42"/>
  <c r="Q16" i="42"/>
  <c r="P16" i="42"/>
  <c r="Q15" i="42"/>
  <c r="P15" i="42"/>
  <c r="Q14" i="42"/>
  <c r="P14" i="42"/>
  <c r="Q13" i="42"/>
  <c r="P13" i="42"/>
  <c r="Q12" i="42"/>
  <c r="P12" i="42"/>
  <c r="Q11" i="42"/>
  <c r="P11" i="42"/>
  <c r="Q10" i="42"/>
  <c r="P10" i="42"/>
  <c r="Q9" i="42"/>
  <c r="P9" i="42"/>
  <c r="Q8" i="42"/>
  <c r="P8" i="42"/>
  <c r="L19" i="42"/>
  <c r="O19" i="42" s="1"/>
  <c r="L9" i="42"/>
  <c r="O9" i="42" s="1"/>
  <c r="L10" i="42"/>
  <c r="O10" i="42" s="1"/>
  <c r="L11" i="42"/>
  <c r="O11" i="42" s="1"/>
  <c r="L12" i="42"/>
  <c r="O12" i="42" s="1"/>
  <c r="L13" i="42"/>
  <c r="O13" i="42" s="1"/>
  <c r="L14" i="42"/>
  <c r="O14" i="42" s="1"/>
  <c r="L15" i="42"/>
  <c r="O15" i="42" s="1"/>
  <c r="L16" i="42"/>
  <c r="O16" i="42" s="1"/>
  <c r="L17" i="42"/>
  <c r="O17" i="42" s="1"/>
  <c r="L18" i="42"/>
  <c r="O18" i="42" s="1"/>
  <c r="L8" i="42"/>
  <c r="O8" i="42" s="1"/>
  <c r="M7" i="42"/>
  <c r="N7" i="42"/>
  <c r="L7" i="42" l="1"/>
  <c r="K7" i="42" l="1"/>
  <c r="J7" i="42"/>
  <c r="H7" i="42"/>
  <c r="G7" i="42"/>
  <c r="F7" i="42"/>
  <c r="C30" i="42" l="1"/>
  <c r="E19" i="42" l="1"/>
  <c r="E7" i="42" s="1"/>
  <c r="D19" i="42"/>
  <c r="D7" i="42" l="1"/>
  <c r="C7" i="42" s="1"/>
  <c r="C29" i="42" l="1"/>
  <c r="C28" i="42"/>
  <c r="C27" i="42"/>
  <c r="C26" i="42"/>
  <c r="C25" i="42"/>
  <c r="C24" i="42"/>
  <c r="C23" i="42"/>
  <c r="C22" i="42"/>
  <c r="C21" i="42"/>
  <c r="C20" i="42"/>
  <c r="C19" i="42"/>
  <c r="C18" i="42"/>
  <c r="C17" i="42"/>
  <c r="C16" i="42"/>
  <c r="C15" i="42"/>
  <c r="C14" i="42"/>
  <c r="C13" i="42"/>
  <c r="C12" i="42"/>
  <c r="C11" i="42"/>
  <c r="C10" i="42"/>
  <c r="C9" i="42"/>
  <c r="C8" i="42"/>
  <c r="F5" i="36" l="1"/>
  <c r="J88" i="36"/>
  <c r="I88" i="36"/>
  <c r="F88" i="36"/>
  <c r="J87" i="36"/>
  <c r="I87" i="36"/>
  <c r="F87" i="36"/>
  <c r="J86" i="36"/>
  <c r="I86" i="36"/>
  <c r="F86" i="36"/>
  <c r="J85" i="36"/>
  <c r="I85" i="36"/>
  <c r="F85" i="36"/>
  <c r="J84" i="36"/>
  <c r="I84" i="36"/>
  <c r="F84" i="36"/>
  <c r="J83" i="36"/>
  <c r="I83" i="36"/>
  <c r="F83" i="36"/>
  <c r="J82" i="36"/>
  <c r="I82" i="36"/>
  <c r="F82" i="36"/>
  <c r="J81" i="36"/>
  <c r="I81" i="36"/>
  <c r="F81" i="36"/>
  <c r="J80" i="36"/>
  <c r="I80" i="36"/>
  <c r="F80" i="36"/>
  <c r="J79" i="36"/>
  <c r="I79" i="36"/>
  <c r="F79" i="36"/>
  <c r="J78" i="36"/>
  <c r="I78" i="36"/>
  <c r="F78" i="36"/>
  <c r="J77" i="36"/>
  <c r="I77" i="36"/>
  <c r="F77" i="36"/>
  <c r="J76" i="36"/>
  <c r="I76" i="36"/>
  <c r="F76" i="36"/>
  <c r="J75" i="36"/>
  <c r="I75" i="36"/>
  <c r="F75" i="36"/>
  <c r="J74" i="36"/>
  <c r="I74" i="36"/>
  <c r="F74" i="36"/>
  <c r="J73" i="36"/>
  <c r="I73" i="36"/>
  <c r="F73" i="36"/>
  <c r="J72" i="36"/>
  <c r="I72" i="36"/>
  <c r="F72" i="36"/>
  <c r="J71" i="36"/>
  <c r="I71" i="36"/>
  <c r="F71" i="36"/>
  <c r="J70" i="36"/>
  <c r="I70" i="36"/>
  <c r="F70" i="36"/>
  <c r="J69" i="36"/>
  <c r="I69" i="36"/>
  <c r="F69" i="36"/>
  <c r="D53" i="36"/>
  <c r="C53" i="36"/>
  <c r="D52" i="36"/>
  <c r="C52" i="36"/>
  <c r="D51" i="36"/>
  <c r="C51" i="36"/>
  <c r="D46" i="36"/>
  <c r="C46" i="36"/>
  <c r="D45" i="36"/>
  <c r="C45" i="36"/>
  <c r="D44" i="36"/>
  <c r="C44" i="36"/>
  <c r="G32" i="36"/>
  <c r="F32" i="36"/>
  <c r="E32" i="36"/>
  <c r="D32" i="36"/>
  <c r="C32" i="36"/>
  <c r="G31" i="36"/>
  <c r="F31" i="36"/>
  <c r="E31" i="36"/>
  <c r="D31" i="36"/>
  <c r="C31" i="36"/>
  <c r="G30" i="36"/>
  <c r="F30" i="36"/>
  <c r="E30" i="36"/>
  <c r="D30" i="36"/>
  <c r="C30" i="36"/>
  <c r="G29" i="36"/>
  <c r="F29" i="36"/>
  <c r="E29" i="36"/>
  <c r="D29" i="36"/>
  <c r="C29" i="36"/>
  <c r="G28" i="36"/>
  <c r="F28" i="36"/>
  <c r="E28" i="36"/>
  <c r="D28" i="36"/>
  <c r="C28" i="36"/>
  <c r="G27" i="36"/>
  <c r="F27" i="36"/>
  <c r="E27" i="36"/>
  <c r="D27" i="36"/>
  <c r="C27" i="36"/>
  <c r="G26" i="36"/>
  <c r="F26" i="36"/>
  <c r="E26" i="36"/>
  <c r="D26" i="36"/>
  <c r="C26" i="36"/>
  <c r="G25" i="36"/>
  <c r="F25" i="36"/>
  <c r="E25" i="36"/>
  <c r="D25" i="36"/>
  <c r="C25" i="36"/>
  <c r="G24" i="36"/>
  <c r="F24" i="36"/>
  <c r="E24" i="36"/>
  <c r="D24" i="36"/>
  <c r="C24" i="36"/>
  <c r="G23" i="36"/>
  <c r="F23" i="36"/>
  <c r="E23" i="36"/>
  <c r="D23" i="36"/>
  <c r="C23" i="36"/>
  <c r="G22" i="36"/>
  <c r="F22" i="36"/>
  <c r="E22" i="36"/>
  <c r="D22" i="36"/>
  <c r="C22" i="36"/>
  <c r="G21" i="36"/>
  <c r="F21" i="36"/>
  <c r="E21" i="36"/>
  <c r="D21" i="36"/>
  <c r="C21" i="36"/>
  <c r="G20" i="36"/>
  <c r="F20" i="36"/>
  <c r="E20" i="36"/>
  <c r="D20" i="36"/>
  <c r="C20" i="36"/>
  <c r="G19" i="36"/>
  <c r="F19" i="36"/>
  <c r="E19" i="36"/>
  <c r="D19" i="36"/>
  <c r="C19" i="36"/>
  <c r="G18" i="36"/>
  <c r="F18" i="36"/>
  <c r="E18" i="36"/>
  <c r="D18" i="36"/>
  <c r="C18" i="36"/>
  <c r="G17" i="36"/>
  <c r="F17" i="36"/>
  <c r="E17" i="36"/>
  <c r="D17" i="36"/>
  <c r="C17" i="36"/>
  <c r="G16" i="36"/>
  <c r="F16" i="36"/>
  <c r="E16" i="36"/>
  <c r="D16" i="36"/>
  <c r="C16" i="36"/>
  <c r="G15" i="36"/>
  <c r="F15" i="36"/>
  <c r="E15" i="36"/>
  <c r="D15" i="36"/>
  <c r="C15" i="36"/>
  <c r="G14" i="36"/>
  <c r="F14" i="36"/>
  <c r="E14" i="36"/>
  <c r="D14" i="36"/>
  <c r="C14" i="36"/>
  <c r="G13" i="36"/>
  <c r="F13" i="36"/>
  <c r="E13" i="36"/>
  <c r="D13" i="36"/>
  <c r="C13" i="36"/>
  <c r="G12" i="36"/>
  <c r="F12" i="36"/>
  <c r="E12" i="36"/>
  <c r="D12" i="36"/>
  <c r="C12" i="36"/>
  <c r="G11" i="36"/>
  <c r="F11" i="36"/>
  <c r="E11" i="36"/>
  <c r="D11" i="36"/>
  <c r="C11" i="36"/>
  <c r="G10" i="36"/>
  <c r="F10" i="36"/>
  <c r="E10" i="36"/>
  <c r="D10" i="36"/>
  <c r="C10" i="36"/>
  <c r="G9" i="36"/>
  <c r="F9" i="36"/>
  <c r="E9" i="36"/>
  <c r="D9" i="36"/>
  <c r="C9" i="36"/>
  <c r="G8" i="36"/>
  <c r="F8" i="36"/>
  <c r="E8" i="36"/>
  <c r="D8" i="36"/>
  <c r="C8" i="36"/>
  <c r="AJ7" i="36"/>
  <c r="D40" i="36" s="1"/>
  <c r="AC7" i="36"/>
  <c r="C40" i="36" s="1"/>
  <c r="U7" i="36"/>
  <c r="O7" i="36"/>
  <c r="G7" i="36"/>
  <c r="B46" i="36" s="1"/>
  <c r="F7" i="36"/>
  <c r="B53" i="36" s="1"/>
  <c r="E7" i="36"/>
  <c r="D7" i="36"/>
  <c r="C7" i="36"/>
  <c r="AJ6" i="36"/>
  <c r="D39" i="36" s="1"/>
  <c r="AC6" i="36"/>
  <c r="C39" i="36" s="1"/>
  <c r="U6" i="36"/>
  <c r="O6" i="36"/>
  <c r="G6" i="36"/>
  <c r="B45" i="36" s="1"/>
  <c r="F6" i="36"/>
  <c r="B52" i="36" s="1"/>
  <c r="E6" i="36"/>
  <c r="D6" i="36"/>
  <c r="C6" i="36"/>
  <c r="AJ5" i="36"/>
  <c r="D38" i="36" s="1"/>
  <c r="AC5" i="36"/>
  <c r="C38" i="36" s="1"/>
  <c r="U5" i="36"/>
  <c r="O5" i="36"/>
  <c r="G5" i="36"/>
  <c r="B44" i="36" s="1"/>
  <c r="B51" i="36"/>
  <c r="E5" i="36"/>
  <c r="H5" i="36" s="1"/>
  <c r="D5" i="36"/>
  <c r="C5" i="36"/>
  <c r="B38" i="36" l="1"/>
  <c r="I5" i="36"/>
  <c r="H6" i="36"/>
  <c r="B39" i="36" s="1"/>
  <c r="I6" i="36"/>
  <c r="H7" i="36"/>
  <c r="B40" i="36" s="1"/>
  <c r="I7" i="36"/>
</calcChain>
</file>

<file path=xl/sharedStrings.xml><?xml version="1.0" encoding="utf-8"?>
<sst xmlns="http://schemas.openxmlformats.org/spreadsheetml/2006/main" count="257" uniqueCount="133">
  <si>
    <t>Total</t>
  </si>
  <si>
    <t>wlcmuj</t>
  </si>
  <si>
    <t>Source: Department of Judicial Administration</t>
  </si>
  <si>
    <t>ހުށަހެޅިފައިވާ މައްސަލަތައް</t>
  </si>
  <si>
    <t>Theft</t>
  </si>
  <si>
    <t>ވައްކަން</t>
  </si>
  <si>
    <t>Drugs</t>
  </si>
  <si>
    <t>މަސްތުވާތަކެތި</t>
  </si>
  <si>
    <t>Lost items</t>
  </si>
  <si>
    <t>ގެއްލޭތަކެތި</t>
  </si>
  <si>
    <t>Assault</t>
  </si>
  <si>
    <t>މާރާމާރީ</t>
  </si>
  <si>
    <t>Vandalism</t>
  </si>
  <si>
    <t>މުދަލަށް ގެއްލުންދިނުން</t>
  </si>
  <si>
    <t>Robbery</t>
  </si>
  <si>
    <t>ފޭރުން</t>
  </si>
  <si>
    <t>Sexual offences</t>
  </si>
  <si>
    <t>ބަދުއަޙްލާޤީ</t>
  </si>
  <si>
    <t>މަކަރާއި ޙީލަތް</t>
  </si>
  <si>
    <t>Domestic violence</t>
  </si>
  <si>
    <t>އާއިލީ</t>
  </si>
  <si>
    <t>Others</t>
  </si>
  <si>
    <t>އެހެނިހެން</t>
  </si>
  <si>
    <t>Source: Maldives Police Service</t>
  </si>
  <si>
    <t>Counterfeit and forgery</t>
  </si>
  <si>
    <t>Embezzlement</t>
  </si>
  <si>
    <t xml:space="preserve">Total </t>
  </si>
  <si>
    <t>csivrws csilop cscviDclOm :Ivcaed utWmUluAwm</t>
  </si>
  <si>
    <t>Criminal Cases above 18</t>
  </si>
  <si>
    <t>Criminal Cases below 18</t>
  </si>
  <si>
    <t xml:space="preserve">Civil Cases </t>
  </si>
  <si>
    <t xml:space="preserve">Family Cases </t>
  </si>
  <si>
    <t>Starting Balance</t>
  </si>
  <si>
    <t>New cases filed</t>
  </si>
  <si>
    <t>Concluded</t>
  </si>
  <si>
    <t>Ending Balance</t>
  </si>
  <si>
    <t>Male'</t>
  </si>
  <si>
    <t>Civil Court</t>
  </si>
  <si>
    <t>Criminal Court</t>
  </si>
  <si>
    <t>Family Court</t>
  </si>
  <si>
    <t>Juvenile Court</t>
  </si>
  <si>
    <t>HulhuMale' Court</t>
  </si>
  <si>
    <t>HA</t>
  </si>
  <si>
    <t>HDh</t>
  </si>
  <si>
    <t>Sh</t>
  </si>
  <si>
    <t>N</t>
  </si>
  <si>
    <t>R</t>
  </si>
  <si>
    <t>B</t>
  </si>
  <si>
    <t>Lh</t>
  </si>
  <si>
    <t>K</t>
  </si>
  <si>
    <t>AA</t>
  </si>
  <si>
    <t>ADh</t>
  </si>
  <si>
    <t>V</t>
  </si>
  <si>
    <t>M</t>
  </si>
  <si>
    <t>F</t>
  </si>
  <si>
    <t>Dh</t>
  </si>
  <si>
    <t>Th</t>
  </si>
  <si>
    <t>L</t>
  </si>
  <si>
    <t>GA</t>
  </si>
  <si>
    <t>GDh</t>
  </si>
  <si>
    <t>Gn</t>
  </si>
  <si>
    <t>S</t>
  </si>
  <si>
    <t xml:space="preserve">Criminal Cases </t>
  </si>
  <si>
    <t>Family Cases</t>
  </si>
  <si>
    <t>މާލެ</t>
  </si>
  <si>
    <t>Atolls</t>
  </si>
  <si>
    <t>Republic</t>
  </si>
  <si>
    <t>އަތޮޅުތައް</t>
  </si>
  <si>
    <t>Table 8.9: CASES FILED, CONCLUDED AND PENDING BY CASE TYPE, 2012</t>
  </si>
  <si>
    <t>cnwxErcTcsinimcDea clwxiDuj cfoa cTcnwmcTWpiD : utWmUluAwm</t>
  </si>
  <si>
    <t>% share completed</t>
  </si>
  <si>
    <t>Civil cases</t>
  </si>
  <si>
    <t xml:space="preserve">Republic </t>
  </si>
  <si>
    <t xml:space="preserve">Male' </t>
  </si>
  <si>
    <t xml:space="preserve">Atoll </t>
  </si>
  <si>
    <t>ތާވަލު 8.9: ހުށަހެޅުނު، ނިމުނު އަދި ނުނިމެ ހުރި މައްސަލަތައް، 2012</t>
  </si>
  <si>
    <t>% share pending</t>
  </si>
  <si>
    <t>ending balance</t>
  </si>
  <si>
    <t>concluded</t>
  </si>
  <si>
    <t>Starting balance</t>
  </si>
  <si>
    <t>new cases filed</t>
  </si>
  <si>
    <t>Atoll : All cases</t>
  </si>
  <si>
    <t>taken from table 8.19</t>
  </si>
  <si>
    <t>All cases submitted</t>
  </si>
  <si>
    <t>Completed</t>
  </si>
  <si>
    <t>Pending</t>
  </si>
  <si>
    <t>completion rate</t>
  </si>
  <si>
    <t>no. of majistrates</t>
  </si>
  <si>
    <t>cases per majistrate</t>
  </si>
  <si>
    <t>cases completed per majistrate</t>
  </si>
  <si>
    <t>Type of case</t>
  </si>
  <si>
    <t>Traffic Accidents</t>
  </si>
  <si>
    <t>ޓްރެފިކް އެކްސިޑެންޓްސް</t>
  </si>
  <si>
    <t>Threatening</t>
  </si>
  <si>
    <t>Fire incidents</t>
  </si>
  <si>
    <t>Environmental offences</t>
  </si>
  <si>
    <t>ތިމާވެއްޓާއި ގުޅުންހުރި މައްސަލަތައް</t>
  </si>
  <si>
    <t>Illegal immigration</t>
  </si>
  <si>
    <t>ރާއްޖެއަށް ނުވަތަ ރާއްޖޭގެ ސަރަހައްދަކަށް ޤަވާއިދާއި ހިލާފަށް ވަނުން</t>
  </si>
  <si>
    <t>Arson</t>
  </si>
  <si>
    <t>ހުޅުޖެހުން</t>
  </si>
  <si>
    <t>Obstruction of Justice</t>
  </si>
  <si>
    <t>ފުލުހުންގެ ވާޖިބަށް ހުރަސް އެޅުން</t>
  </si>
  <si>
    <t>Illegally entering households</t>
  </si>
  <si>
    <t>ޤަވާއިދާއި ޚިލާފަށް ގޯތިގެދޮރަށް ވަނުން</t>
  </si>
  <si>
    <t>Sudden death</t>
  </si>
  <si>
    <t>ކުއްލި މަރު</t>
  </si>
  <si>
    <t>Attempt to suicide</t>
  </si>
  <si>
    <t>އަމިއްލައަށް މަރުވާން އުޅުން</t>
  </si>
  <si>
    <t>Unlawful posession of weapons</t>
  </si>
  <si>
    <t>ހަތިޔާރު ގެންގުޅުން</t>
  </si>
  <si>
    <t xml:space="preserve">  ބިރުދެއްކުން</t>
  </si>
  <si>
    <t xml:space="preserve">  އަލިފާނުގެ ހާދިސާ</t>
  </si>
  <si>
    <t>ރާއްޖެ</t>
  </si>
  <si>
    <t>ވަގުފައިސާ އަދި ފޯރޖްކުރުން</t>
  </si>
  <si>
    <t>ކުރީ އަހަރާއި  އަޅާ ބަލާއިރު އިތުރުވި މިންވަރު</t>
  </si>
  <si>
    <t>ތާވަލު 8.2: މާލެ އަދި އަތޮޅުތަކުން ހުށަހެޅިފައިވާ މައްސަލަތަކުގެ ޢަދަދު އަދި ބާވަތް، 2015- 2017</t>
  </si>
  <si>
    <t>TABLE 8.2  : NUMBER OF  LOGGED CASES BY  LOCALITY &amp; TYPE OF CASES, 2015 - 2017</t>
  </si>
  <si>
    <t>% change over 2016</t>
  </si>
  <si>
    <t>2.3.</t>
  </si>
  <si>
    <t>1.1.5.2.</t>
  </si>
  <si>
    <t>6.1.17.</t>
  </si>
  <si>
    <t>6.1.5.</t>
  </si>
  <si>
    <t>1.1.8.*</t>
  </si>
  <si>
    <t>1.1.7.*</t>
  </si>
  <si>
    <t>2.12.*</t>
  </si>
  <si>
    <t>11.1.1.,11.1.5.,11.1.6.</t>
  </si>
  <si>
    <t>1.1.6.* M 1.1.6.10.</t>
  </si>
  <si>
    <t>13.20.,6.5.3.,</t>
  </si>
  <si>
    <t>GO BACK TO CONTENTS</t>
  </si>
  <si>
    <r>
      <t>2016</t>
    </r>
    <r>
      <rPr>
        <b/>
        <vertAlign val="superscript"/>
        <sz val="10"/>
        <color rgb="FF000000"/>
        <rFont val="Calibri"/>
        <family val="2"/>
        <scheme val="minor"/>
      </rPr>
      <t>1_/</t>
    </r>
  </si>
  <si>
    <t>Note: 1_/: Data revised</t>
  </si>
  <si>
    <t>ނޯޓް: /_1 އިސްލާޙުކުރެވިފައި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</si>
</sst>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General_)"/>
    <numFmt numFmtId="165" formatCode="#,##0.0"/>
    <numFmt numFmtId="166" formatCode="_-* #,##0_-;\-* #,##0_-;_-* &quot;-&quot;??_-;_-@_-"/>
    <numFmt numFmtId="168" formatCode="0.0"/>
    <numFmt numFmtId="170" formatCode="_(* #,##0_);_(* \(#,##0\);_(* &quot;-&quot;??_);_(@_)"/>
  </numFmts>
  <fonts count="5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name val="Courier"/>
      <family val="3"/>
    </font>
    <font>
      <i/>
      <sz val="9"/>
      <name val="Calibri"/>
      <family val="2"/>
      <scheme val="minor"/>
    </font>
    <font>
      <sz val="9"/>
      <name val="A_Randhoo"/>
    </font>
    <font>
      <b/>
      <sz val="10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rgb="FF000000"/>
      <name val="Faruma"/>
      <family val="3"/>
    </font>
    <font>
      <sz val="10"/>
      <color rgb="FFFF0000"/>
      <name val="Courier"/>
      <family val="3"/>
    </font>
    <font>
      <sz val="10"/>
      <name val="Faruma"/>
      <family val="3"/>
    </font>
    <font>
      <sz val="9"/>
      <color rgb="FF000000"/>
      <name val="Calibri"/>
      <family val="2"/>
      <scheme val="minor"/>
    </font>
    <font>
      <sz val="9"/>
      <name val="Faruma"/>
      <family val="3"/>
    </font>
    <font>
      <sz val="10"/>
      <name val="Courier"/>
      <family val="3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1"/>
      <color rgb="FF000000"/>
      <name val="Calibri"/>
      <family val="2"/>
      <scheme val="minor"/>
    </font>
    <font>
      <b/>
      <sz val="10"/>
      <name val="Courier"/>
      <family val="3"/>
    </font>
    <font>
      <b/>
      <sz val="10"/>
      <color rgb="FF000000"/>
      <name val="Faruma"/>
      <family val="3"/>
    </font>
    <font>
      <i/>
      <sz val="10"/>
      <name val="Calibri"/>
      <family val="2"/>
      <scheme val="minor"/>
    </font>
    <font>
      <b/>
      <sz val="10"/>
      <name val="Faruma"/>
      <family val="3"/>
    </font>
    <font>
      <sz val="10"/>
      <name val="Faruma"/>
      <family val="3"/>
    </font>
    <font>
      <b/>
      <sz val="11"/>
      <color theme="1"/>
      <name val="Faruma"/>
      <family val="3"/>
    </font>
    <font>
      <i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A_Randhoo"/>
    </font>
    <font>
      <b/>
      <sz val="11"/>
      <name val="Faruma"/>
      <family val="3"/>
    </font>
    <font>
      <sz val="10"/>
      <color rgb="FF000000"/>
      <name val="Calibri"/>
      <family val="2"/>
      <scheme val="minor"/>
    </font>
    <font>
      <b/>
      <sz val="15"/>
      <color theme="3"/>
      <name val="Arial Mäori"/>
      <family val="2"/>
    </font>
    <font>
      <sz val="11"/>
      <color indexed="8"/>
      <name val="Calibri"/>
      <family val="2"/>
    </font>
    <font>
      <b/>
      <sz val="11"/>
      <name val="Faruma"/>
      <family val="3"/>
    </font>
    <font>
      <i/>
      <sz val="10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vertAlign val="superscript"/>
      <sz val="10"/>
      <color rgb="FF000000"/>
      <name val="Calibri"/>
      <family val="2"/>
      <scheme val="minor"/>
    </font>
    <font>
      <sz val="10"/>
      <name val="MS Sans Serif"/>
      <family val="2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7"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9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indexed="64"/>
      </top>
      <bottom style="hair">
        <color theme="1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hair">
        <color theme="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9"/>
      </left>
      <right/>
      <top/>
      <bottom style="thin">
        <color indexed="9"/>
      </bottom>
      <diagonal/>
    </border>
  </borders>
  <cellStyleXfs count="51">
    <xf numFmtId="0" fontId="0" fillId="0" borderId="0"/>
    <xf numFmtId="43" fontId="1" fillId="0" borderId="0" applyFont="0" applyFill="0" applyBorder="0" applyAlignment="0" applyProtection="0"/>
    <xf numFmtId="165" fontId="16" fillId="0" borderId="0"/>
    <xf numFmtId="0" fontId="31" fillId="0" borderId="16" applyNumberFormat="0" applyFill="0" applyAlignment="0" applyProtection="0"/>
    <xf numFmtId="0" fontId="18" fillId="0" borderId="0"/>
    <xf numFmtId="166" fontId="32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16" applyNumberFormat="0" applyFill="0" applyAlignment="0" applyProtection="0"/>
    <xf numFmtId="0" fontId="38" fillId="0" borderId="18" applyNumberFormat="0" applyFill="0" applyAlignment="0" applyProtection="0"/>
    <xf numFmtId="0" fontId="39" fillId="0" borderId="19" applyNumberFormat="0" applyFill="0" applyAlignment="0" applyProtection="0"/>
    <xf numFmtId="0" fontId="39" fillId="0" borderId="0" applyNumberFormat="0" applyFill="0" applyBorder="0" applyAlignment="0" applyProtection="0"/>
    <xf numFmtId="0" fontId="40" fillId="4" borderId="0" applyNumberFormat="0" applyBorder="0" applyAlignment="0" applyProtection="0"/>
    <xf numFmtId="0" fontId="41" fillId="5" borderId="0" applyNumberFormat="0" applyBorder="0" applyAlignment="0" applyProtection="0"/>
    <xf numFmtId="0" fontId="42" fillId="6" borderId="0" applyNumberFormat="0" applyBorder="0" applyAlignment="0" applyProtection="0"/>
    <xf numFmtId="0" fontId="43" fillId="7" borderId="20" applyNumberFormat="0" applyAlignment="0" applyProtection="0"/>
    <xf numFmtId="0" fontId="44" fillId="8" borderId="21" applyNumberFormat="0" applyAlignment="0" applyProtection="0"/>
    <xf numFmtId="0" fontId="45" fillId="8" borderId="20" applyNumberFormat="0" applyAlignment="0" applyProtection="0"/>
    <xf numFmtId="0" fontId="46" fillId="0" borderId="22" applyNumberFormat="0" applyFill="0" applyAlignment="0" applyProtection="0"/>
    <xf numFmtId="0" fontId="47" fillId="9" borderId="23" applyNumberFormat="0" applyAlignment="0" applyProtection="0"/>
    <xf numFmtId="0" fontId="35" fillId="0" borderId="0" applyNumberFormat="0" applyFill="0" applyBorder="0" applyAlignment="0" applyProtection="0"/>
    <xf numFmtId="0" fontId="1" fillId="10" borderId="24" applyNumberFormat="0" applyFont="0" applyAlignment="0" applyProtection="0"/>
    <xf numFmtId="0" fontId="48" fillId="0" borderId="0" applyNumberFormat="0" applyFill="0" applyBorder="0" applyAlignment="0" applyProtection="0"/>
    <xf numFmtId="0" fontId="2" fillId="0" borderId="25" applyNumberFormat="0" applyFill="0" applyAlignment="0" applyProtection="0"/>
    <xf numFmtId="0" fontId="49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49" fillId="18" borderId="0" applyNumberFormat="0" applyBorder="0" applyAlignment="0" applyProtection="0"/>
    <xf numFmtId="0" fontId="49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49" fillId="22" borderId="0" applyNumberFormat="0" applyBorder="0" applyAlignment="0" applyProtection="0"/>
    <xf numFmtId="0" fontId="49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49" fillId="26" borderId="0" applyNumberFormat="0" applyBorder="0" applyAlignment="0" applyProtection="0"/>
    <xf numFmtId="0" fontId="49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49" fillId="30" borderId="0" applyNumberFormat="0" applyBorder="0" applyAlignment="0" applyProtection="0"/>
    <xf numFmtId="0" fontId="49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49" fillId="34" borderId="0" applyNumberFormat="0" applyBorder="0" applyAlignment="0" applyProtection="0"/>
    <xf numFmtId="0" fontId="1" fillId="0" borderId="0"/>
    <xf numFmtId="0" fontId="18" fillId="0" borderId="0"/>
    <xf numFmtId="0" fontId="50" fillId="0" borderId="0" applyNumberFormat="0" applyFill="0" applyBorder="0" applyAlignment="0" applyProtection="0"/>
  </cellStyleXfs>
  <cellXfs count="119">
    <xf numFmtId="0" fontId="0" fillId="0" borderId="0" xfId="0"/>
    <xf numFmtId="164" fontId="7" fillId="2" borderId="1" xfId="0" applyNumberFormat="1" applyFont="1" applyFill="1" applyBorder="1" applyAlignment="1" applyProtection="1">
      <alignment vertical="center"/>
    </xf>
    <xf numFmtId="164" fontId="0" fillId="2" borderId="0" xfId="0" applyNumberFormat="1" applyFill="1"/>
    <xf numFmtId="164" fontId="14" fillId="2" borderId="0" xfId="0" applyNumberFormat="1" applyFont="1" applyFill="1" applyBorder="1"/>
    <xf numFmtId="165" fontId="4" fillId="2" borderId="0" xfId="1" applyNumberFormat="1" applyFont="1" applyFill="1" applyBorder="1" applyAlignment="1">
      <alignment horizontal="right"/>
    </xf>
    <xf numFmtId="164" fontId="15" fillId="2" borderId="0" xfId="0" applyNumberFormat="1" applyFont="1" applyFill="1" applyBorder="1" applyAlignment="1" applyProtection="1">
      <alignment horizontal="right" vertical="center"/>
    </xf>
    <xf numFmtId="164" fontId="0" fillId="2" borderId="0" xfId="0" applyNumberFormat="1" applyFill="1" applyAlignment="1">
      <alignment horizontal="center"/>
    </xf>
    <xf numFmtId="164" fontId="0" fillId="2" borderId="0" xfId="0" applyNumberFormat="1" applyFill="1" applyBorder="1"/>
    <xf numFmtId="164" fontId="20" fillId="2" borderId="0" xfId="0" applyNumberFormat="1" applyFont="1" applyFill="1"/>
    <xf numFmtId="164" fontId="0" fillId="2" borderId="0" xfId="0" applyNumberFormat="1" applyFont="1" applyFill="1"/>
    <xf numFmtId="164" fontId="13" fillId="2" borderId="0" xfId="0" applyNumberFormat="1" applyFont="1" applyFill="1" applyBorder="1" applyAlignment="1" applyProtection="1">
      <alignment horizontal="right" vertical="center"/>
    </xf>
    <xf numFmtId="164" fontId="9" fillId="2" borderId="0" xfId="0" applyNumberFormat="1" applyFont="1" applyFill="1" applyBorder="1" applyAlignment="1">
      <alignment vertical="center"/>
    </xf>
    <xf numFmtId="164" fontId="30" fillId="2" borderId="0" xfId="0" applyNumberFormat="1" applyFont="1" applyFill="1" applyBorder="1" applyAlignment="1">
      <alignment vertical="center"/>
    </xf>
    <xf numFmtId="170" fontId="0" fillId="2" borderId="0" xfId="1" applyNumberFormat="1" applyFont="1" applyFill="1"/>
    <xf numFmtId="164" fontId="8" fillId="2" borderId="1" xfId="0" applyNumberFormat="1" applyFont="1" applyFill="1" applyBorder="1" applyAlignment="1">
      <alignment horizontal="right" vertical="center"/>
    </xf>
    <xf numFmtId="166" fontId="3" fillId="2" borderId="5" xfId="1" applyNumberFormat="1" applyFont="1" applyFill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horizontal="left" vertical="center" wrapText="1"/>
    </xf>
    <xf numFmtId="0" fontId="5" fillId="2" borderId="0" xfId="0" applyNumberFormat="1" applyFont="1" applyFill="1" applyBorder="1" applyAlignment="1">
      <alignment horizontal="center" vertical="center"/>
    </xf>
    <xf numFmtId="0" fontId="5" fillId="2" borderId="0" xfId="0" applyNumberFormat="1" applyFont="1" applyFill="1" applyBorder="1" applyAlignment="1">
      <alignment horizontal="left" vertical="center" wrapText="1"/>
    </xf>
    <xf numFmtId="3" fontId="3" fillId="2" borderId="0" xfId="1" applyNumberFormat="1" applyFont="1" applyFill="1" applyBorder="1" applyAlignment="1" applyProtection="1"/>
    <xf numFmtId="3" fontId="5" fillId="2" borderId="0" xfId="1" applyNumberFormat="1" applyFont="1" applyFill="1" applyBorder="1" applyAlignment="1"/>
    <xf numFmtId="3" fontId="3" fillId="2" borderId="0" xfId="1" applyNumberFormat="1" applyFont="1" applyFill="1" applyBorder="1" applyAlignment="1"/>
    <xf numFmtId="166" fontId="3" fillId="2" borderId="6" xfId="1" applyNumberFormat="1" applyFont="1" applyFill="1" applyBorder="1" applyAlignment="1">
      <alignment horizontal="right" vertical="center" wrapText="1"/>
    </xf>
    <xf numFmtId="166" fontId="3" fillId="2" borderId="6" xfId="1" applyNumberFormat="1" applyFont="1" applyFill="1" applyBorder="1" applyAlignment="1">
      <alignment horizontal="right" vertical="top" wrapText="1"/>
    </xf>
    <xf numFmtId="0" fontId="5" fillId="2" borderId="17" xfId="0" applyNumberFormat="1" applyFont="1" applyFill="1" applyBorder="1" applyAlignment="1">
      <alignment horizontal="center" vertical="center"/>
    </xf>
    <xf numFmtId="0" fontId="5" fillId="2" borderId="17" xfId="0" applyNumberFormat="1" applyFont="1" applyFill="1" applyBorder="1" applyAlignment="1">
      <alignment horizontal="left" vertical="center" wrapText="1"/>
    </xf>
    <xf numFmtId="3" fontId="5" fillId="2" borderId="17" xfId="1" applyNumberFormat="1" applyFont="1" applyFill="1" applyBorder="1" applyAlignment="1"/>
    <xf numFmtId="3" fontId="3" fillId="2" borderId="17" xfId="1" applyNumberFormat="1" applyFont="1" applyFill="1" applyBorder="1" applyAlignment="1"/>
    <xf numFmtId="0" fontId="3" fillId="2" borderId="0" xfId="0" applyNumberFormat="1" applyFont="1" applyFill="1" applyBorder="1" applyAlignment="1">
      <alignment vertical="center"/>
    </xf>
    <xf numFmtId="164" fontId="22" fillId="2" borderId="7" xfId="0" applyNumberFormat="1" applyFont="1" applyFill="1" applyBorder="1" applyAlignment="1" applyProtection="1">
      <alignment vertical="center"/>
    </xf>
    <xf numFmtId="164" fontId="2" fillId="2" borderId="0" xfId="0" applyNumberFormat="1" applyFont="1" applyFill="1"/>
    <xf numFmtId="164" fontId="2" fillId="2" borderId="0" xfId="0" applyNumberFormat="1" applyFont="1" applyFill="1" applyBorder="1"/>
    <xf numFmtId="0" fontId="3" fillId="2" borderId="0" xfId="0" applyNumberFormat="1" applyFont="1" applyFill="1" applyBorder="1" applyAlignment="1">
      <alignment horizontal="center" vertical="center"/>
    </xf>
    <xf numFmtId="166" fontId="3" fillId="2" borderId="9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164" fontId="0" fillId="3" borderId="0" xfId="0" applyNumberFormat="1" applyFill="1" applyAlignment="1">
      <alignment horizontal="center"/>
    </xf>
    <xf numFmtId="0" fontId="3" fillId="3" borderId="0" xfId="0" applyNumberFormat="1" applyFont="1" applyFill="1" applyBorder="1" applyAlignment="1">
      <alignment horizontal="left" vertical="center" wrapText="1"/>
    </xf>
    <xf numFmtId="168" fontId="0" fillId="3" borderId="0" xfId="0" applyNumberFormat="1" applyFill="1"/>
    <xf numFmtId="166" fontId="3" fillId="3" borderId="9" xfId="1" applyNumberFormat="1" applyFont="1" applyFill="1" applyBorder="1" applyAlignment="1">
      <alignment horizontal="center" vertical="center" wrapText="1"/>
    </xf>
    <xf numFmtId="166" fontId="3" fillId="3" borderId="6" xfId="1" applyNumberFormat="1" applyFont="1" applyFill="1" applyBorder="1" applyAlignment="1">
      <alignment horizontal="right" vertical="center" wrapText="1"/>
    </xf>
    <xf numFmtId="166" fontId="3" fillId="3" borderId="6" xfId="1" applyNumberFormat="1" applyFont="1" applyFill="1" applyBorder="1" applyAlignment="1">
      <alignment horizontal="right" vertical="top" wrapText="1"/>
    </xf>
    <xf numFmtId="3" fontId="3" fillId="3" borderId="0" xfId="1" applyNumberFormat="1" applyFont="1" applyFill="1" applyBorder="1" applyAlignment="1" applyProtection="1"/>
    <xf numFmtId="165" fontId="3" fillId="3" borderId="0" xfId="1" applyNumberFormat="1" applyFont="1" applyFill="1" applyBorder="1" applyAlignment="1" applyProtection="1"/>
    <xf numFmtId="164" fontId="0" fillId="3" borderId="0" xfId="0" applyNumberFormat="1" applyFill="1"/>
    <xf numFmtId="170" fontId="0" fillId="3" borderId="0" xfId="1" applyNumberFormat="1" applyFont="1" applyFill="1"/>
    <xf numFmtId="0" fontId="2" fillId="3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  <xf numFmtId="164" fontId="6" fillId="2" borderId="0" xfId="0" applyNumberFormat="1" applyFont="1" applyFill="1"/>
    <xf numFmtId="164" fontId="21" fillId="2" borderId="5" xfId="0" applyNumberFormat="1" applyFont="1" applyFill="1" applyBorder="1" applyAlignment="1">
      <alignment horizontal="right" vertical="center" wrapText="1"/>
    </xf>
    <xf numFmtId="164" fontId="21" fillId="2" borderId="10" xfId="0" applyNumberFormat="1" applyFont="1" applyFill="1" applyBorder="1" applyAlignment="1">
      <alignment horizontal="right" vertical="center" wrapText="1"/>
    </xf>
    <xf numFmtId="164" fontId="9" fillId="2" borderId="11" xfId="0" applyNumberFormat="1" applyFont="1" applyFill="1" applyBorder="1" applyAlignment="1">
      <alignment horizontal="right" vertical="center" wrapText="1"/>
    </xf>
    <xf numFmtId="164" fontId="9" fillId="2" borderId="12" xfId="0" applyNumberFormat="1" applyFont="1" applyFill="1" applyBorder="1" applyAlignment="1">
      <alignment horizontal="right" vertical="center" wrapText="1"/>
    </xf>
    <xf numFmtId="164" fontId="24" fillId="2" borderId="0" xfId="0" applyNumberFormat="1" applyFont="1" applyFill="1" applyBorder="1" applyAlignment="1" applyProtection="1">
      <alignment horizontal="right" vertical="center"/>
    </xf>
    <xf numFmtId="164" fontId="34" fillId="2" borderId="0" xfId="0" applyNumberFormat="1" applyFont="1" applyFill="1" applyBorder="1" applyAlignment="1">
      <alignment horizontal="left" vertical="center" indent="1"/>
    </xf>
    <xf numFmtId="164" fontId="24" fillId="2" borderId="0" xfId="0" applyNumberFormat="1" applyFont="1" applyFill="1" applyBorder="1" applyAlignment="1" applyProtection="1">
      <alignment horizontal="right" vertical="center" indent="1"/>
    </xf>
    <xf numFmtId="164" fontId="22" fillId="2" borderId="6" xfId="0" applyNumberFormat="1" applyFont="1" applyFill="1" applyBorder="1" applyAlignment="1">
      <alignment horizontal="left" vertical="center" indent="1"/>
    </xf>
    <xf numFmtId="164" fontId="24" fillId="2" borderId="6" xfId="0" applyNumberFormat="1" applyFont="1" applyFill="1" applyBorder="1" applyAlignment="1" applyProtection="1">
      <alignment horizontal="right" vertical="center" indent="1"/>
    </xf>
    <xf numFmtId="164" fontId="30" fillId="2" borderId="0" xfId="0" applyNumberFormat="1" applyFont="1" applyFill="1" applyBorder="1"/>
    <xf numFmtId="164" fontId="12" fillId="2" borderId="0" xfId="0" applyNumberFormat="1" applyFont="1" applyFill="1" applyBorder="1"/>
    <xf numFmtId="166" fontId="9" fillId="2" borderId="5" xfId="5" applyNumberFormat="1" applyFont="1" applyFill="1" applyBorder="1" applyAlignment="1">
      <alignment horizontal="center" vertical="center"/>
    </xf>
    <xf numFmtId="166" fontId="9" fillId="2" borderId="0" xfId="5" applyNumberFormat="1" applyFont="1" applyFill="1" applyBorder="1" applyAlignment="1">
      <alignment horizontal="center" vertical="center"/>
    </xf>
    <xf numFmtId="166" fontId="9" fillId="2" borderId="10" xfId="5" applyNumberFormat="1" applyFont="1" applyFill="1" applyBorder="1" applyAlignment="1">
      <alignment horizontal="center" vertical="center"/>
    </xf>
    <xf numFmtId="166" fontId="9" fillId="2" borderId="14" xfId="5" applyNumberFormat="1" applyFont="1" applyFill="1" applyBorder="1" applyAlignment="1">
      <alignment horizontal="center" vertical="center"/>
    </xf>
    <xf numFmtId="166" fontId="30" fillId="2" borderId="0" xfId="5" applyNumberFormat="1" applyFont="1" applyFill="1" applyBorder="1" applyAlignment="1">
      <alignment horizontal="center" vertical="center"/>
    </xf>
    <xf numFmtId="166" fontId="30" fillId="2" borderId="15" xfId="5" applyNumberFormat="1" applyFont="1" applyFill="1" applyBorder="1" applyAlignment="1">
      <alignment horizontal="center" vertical="center"/>
    </xf>
    <xf numFmtId="166" fontId="9" fillId="2" borderId="13" xfId="5" applyNumberFormat="1" applyFont="1" applyFill="1" applyBorder="1" applyAlignment="1">
      <alignment horizontal="center" vertical="center"/>
    </xf>
    <xf numFmtId="166" fontId="17" fillId="2" borderId="0" xfId="5" applyNumberFormat="1" applyFont="1" applyFill="1" applyBorder="1" applyAlignment="1">
      <alignment horizontal="center" vertical="center"/>
    </xf>
    <xf numFmtId="166" fontId="17" fillId="2" borderId="15" xfId="5" applyNumberFormat="1" applyFont="1" applyFill="1" applyBorder="1" applyAlignment="1">
      <alignment horizontal="center" vertical="center"/>
    </xf>
    <xf numFmtId="166" fontId="9" fillId="2" borderId="6" xfId="5" applyNumberFormat="1" applyFont="1" applyFill="1" applyBorder="1" applyAlignment="1">
      <alignment horizontal="center" vertical="center"/>
    </xf>
    <xf numFmtId="166" fontId="30" fillId="2" borderId="6" xfId="5" applyNumberFormat="1" applyFont="1" applyFill="1" applyBorder="1" applyAlignment="1">
      <alignment horizontal="center" vertical="center"/>
    </xf>
    <xf numFmtId="166" fontId="9" fillId="2" borderId="12" xfId="5" applyNumberFormat="1" applyFont="1" applyFill="1" applyBorder="1" applyAlignment="1">
      <alignment horizontal="center" vertical="center"/>
    </xf>
    <xf numFmtId="166" fontId="30" fillId="2" borderId="11" xfId="5" applyNumberFormat="1" applyFont="1" applyFill="1" applyBorder="1" applyAlignment="1">
      <alignment horizontal="center" vertical="center"/>
    </xf>
    <xf numFmtId="168" fontId="3" fillId="2" borderId="14" xfId="6" applyNumberFormat="1" applyFont="1" applyFill="1" applyBorder="1" applyAlignment="1" applyProtection="1">
      <alignment horizontal="right" vertical="center"/>
      <protection locked="0"/>
    </xf>
    <xf numFmtId="168" fontId="5" fillId="2" borderId="13" xfId="6" applyNumberFormat="1" applyFont="1" applyFill="1" applyBorder="1" applyAlignment="1" applyProtection="1">
      <alignment horizontal="right" vertical="center"/>
      <protection locked="0"/>
    </xf>
    <xf numFmtId="168" fontId="5" fillId="2" borderId="0" xfId="6" applyNumberFormat="1" applyFont="1" applyFill="1" applyBorder="1" applyAlignment="1" applyProtection="1">
      <alignment horizontal="right" vertical="center"/>
      <protection locked="0"/>
    </xf>
    <xf numFmtId="168" fontId="5" fillId="2" borderId="12" xfId="6" applyNumberFormat="1" applyFont="1" applyFill="1" applyBorder="1" applyAlignment="1" applyProtection="1">
      <alignment horizontal="right" vertical="center"/>
      <protection locked="0"/>
    </xf>
    <xf numFmtId="168" fontId="5" fillId="2" borderId="6" xfId="6" applyNumberFormat="1" applyFont="1" applyFill="1" applyBorder="1" applyAlignment="1" applyProtection="1">
      <alignment horizontal="right" vertical="center"/>
      <protection locked="0"/>
    </xf>
    <xf numFmtId="164" fontId="21" fillId="2" borderId="14" xfId="0" applyNumberFormat="1" applyFont="1" applyFill="1" applyBorder="1" applyAlignment="1">
      <alignment horizontal="right" vertical="center" wrapText="1"/>
    </xf>
    <xf numFmtId="168" fontId="3" fillId="2" borderId="5" xfId="6" applyNumberFormat="1" applyFont="1" applyFill="1" applyBorder="1" applyAlignment="1" applyProtection="1">
      <alignment horizontal="right" vertical="center"/>
      <protection locked="0"/>
    </xf>
    <xf numFmtId="166" fontId="14" fillId="2" borderId="0" xfId="5" applyNumberFormat="1" applyFont="1" applyFill="1" applyBorder="1" applyAlignment="1">
      <alignment horizontal="center" vertical="center"/>
    </xf>
    <xf numFmtId="166" fontId="10" fillId="2" borderId="0" xfId="5" applyNumberFormat="1" applyFont="1" applyFill="1" applyBorder="1" applyAlignment="1">
      <alignment horizontal="center" vertical="center"/>
    </xf>
    <xf numFmtId="164" fontId="28" fillId="2" borderId="8" xfId="0" applyNumberFormat="1" applyFont="1" applyFill="1" applyBorder="1" applyAlignment="1" applyProtection="1">
      <alignment horizontal="right" vertical="center"/>
    </xf>
    <xf numFmtId="164" fontId="8" fillId="2" borderId="26" xfId="0" applyNumberFormat="1" applyFont="1" applyFill="1" applyBorder="1" applyAlignment="1">
      <alignment horizontal="right"/>
    </xf>
    <xf numFmtId="164" fontId="20" fillId="2" borderId="0" xfId="0" applyNumberFormat="1" applyFont="1" applyFill="1" applyBorder="1"/>
    <xf numFmtId="164" fontId="13" fillId="2" borderId="0" xfId="0" applyNumberFormat="1" applyFont="1" applyFill="1" applyBorder="1" applyAlignment="1" applyProtection="1">
      <alignment horizontal="right" vertical="center" wrapText="1"/>
    </xf>
    <xf numFmtId="164" fontId="0" fillId="2" borderId="0" xfId="0" applyNumberFormat="1" applyFill="1"/>
    <xf numFmtId="3" fontId="17" fillId="2" borderId="0" xfId="5" applyNumberFormat="1" applyFont="1" applyFill="1" applyBorder="1" applyAlignment="1">
      <alignment horizontal="right" vertical="center"/>
    </xf>
    <xf numFmtId="164" fontId="9" fillId="2" borderId="0" xfId="0" applyNumberFormat="1" applyFont="1" applyFill="1" applyBorder="1" applyAlignment="1">
      <alignment horizontal="right" vertical="center" wrapText="1"/>
    </xf>
    <xf numFmtId="164" fontId="9" fillId="2" borderId="6" xfId="0" applyNumberFormat="1" applyFont="1" applyFill="1" applyBorder="1" applyAlignment="1">
      <alignment horizontal="right" vertical="center" wrapText="1"/>
    </xf>
    <xf numFmtId="164" fontId="47" fillId="2" borderId="0" xfId="50" applyNumberFormat="1" applyFont="1" applyFill="1" applyAlignment="1">
      <alignment vertical="center"/>
    </xf>
    <xf numFmtId="164" fontId="26" fillId="2" borderId="0" xfId="0" applyNumberFormat="1" applyFont="1" applyFill="1" applyAlignment="1">
      <alignment vertical="center"/>
    </xf>
    <xf numFmtId="164" fontId="19" fillId="2" borderId="4" xfId="0" applyNumberFormat="1" applyFont="1" applyFill="1" applyBorder="1" applyAlignment="1">
      <alignment horizontal="center" vertical="top"/>
    </xf>
    <xf numFmtId="164" fontId="9" fillId="2" borderId="5" xfId="0" applyNumberFormat="1" applyFont="1" applyFill="1" applyBorder="1" applyAlignment="1">
      <alignment horizontal="left" vertical="center" wrapText="1"/>
    </xf>
    <xf numFmtId="164" fontId="9" fillId="2" borderId="6" xfId="0" applyNumberFormat="1" applyFont="1" applyFill="1" applyBorder="1" applyAlignment="1">
      <alignment horizontal="left" vertical="center" wrapText="1"/>
    </xf>
    <xf numFmtId="164" fontId="29" fillId="2" borderId="3" xfId="0" applyNumberFormat="1" applyFont="1" applyFill="1" applyBorder="1" applyAlignment="1">
      <alignment horizontal="center" vertical="center"/>
    </xf>
    <xf numFmtId="164" fontId="33" fillId="2" borderId="3" xfId="0" applyNumberFormat="1" applyFont="1" applyFill="1" applyBorder="1" applyAlignment="1">
      <alignment horizontal="center" vertical="center"/>
    </xf>
    <xf numFmtId="164" fontId="9" fillId="2" borderId="0" xfId="0" applyNumberFormat="1" applyFont="1" applyFill="1" applyBorder="1" applyAlignment="1">
      <alignment horizontal="left" vertical="center" wrapText="1"/>
    </xf>
    <xf numFmtId="164" fontId="23" fillId="2" borderId="5" xfId="0" applyNumberFormat="1" applyFont="1" applyFill="1" applyBorder="1" applyAlignment="1" applyProtection="1">
      <alignment horizontal="right" vertical="center" wrapText="1"/>
    </xf>
    <xf numFmtId="164" fontId="23" fillId="2" borderId="0" xfId="0" applyNumberFormat="1" applyFont="1" applyFill="1" applyBorder="1" applyAlignment="1" applyProtection="1">
      <alignment horizontal="right" vertical="center" wrapText="1"/>
    </xf>
    <xf numFmtId="164" fontId="23" fillId="2" borderId="6" xfId="0" applyNumberFormat="1" applyFont="1" applyFill="1" applyBorder="1" applyAlignment="1" applyProtection="1">
      <alignment horizontal="right" vertical="center" wrapText="1"/>
    </xf>
    <xf numFmtId="164" fontId="21" fillId="2" borderId="5" xfId="0" applyNumberFormat="1" applyFont="1" applyFill="1" applyBorder="1" applyAlignment="1">
      <alignment horizontal="center" vertical="center" wrapText="1"/>
    </xf>
    <xf numFmtId="164" fontId="21" fillId="2" borderId="10" xfId="0" applyNumberFormat="1" applyFont="1" applyFill="1" applyBorder="1" applyAlignment="1">
      <alignment horizontal="center" vertical="center" wrapText="1"/>
    </xf>
    <xf numFmtId="164" fontId="21" fillId="2" borderId="6" xfId="0" applyNumberFormat="1" applyFont="1" applyFill="1" applyBorder="1" applyAlignment="1">
      <alignment horizontal="center" vertical="center" wrapText="1"/>
    </xf>
    <xf numFmtId="164" fontId="21" fillId="2" borderId="11" xfId="0" applyNumberFormat="1" applyFont="1" applyFill="1" applyBorder="1" applyAlignment="1">
      <alignment horizontal="center" vertical="center" wrapText="1"/>
    </xf>
    <xf numFmtId="164" fontId="9" fillId="2" borderId="14" xfId="0" applyNumberFormat="1" applyFont="1" applyFill="1" applyBorder="1" applyAlignment="1">
      <alignment horizontal="center" vertical="center" wrapText="1"/>
    </xf>
    <xf numFmtId="164" fontId="9" fillId="2" borderId="5" xfId="0" applyNumberFormat="1" applyFont="1" applyFill="1" applyBorder="1" applyAlignment="1">
      <alignment horizontal="center" vertical="center" wrapText="1"/>
    </xf>
    <xf numFmtId="164" fontId="9" fillId="2" borderId="10" xfId="0" applyNumberFormat="1" applyFont="1" applyFill="1" applyBorder="1" applyAlignment="1">
      <alignment horizontal="center" vertical="center" wrapText="1"/>
    </xf>
    <xf numFmtId="164" fontId="9" fillId="2" borderId="12" xfId="0" applyNumberFormat="1" applyFont="1" applyFill="1" applyBorder="1" applyAlignment="1">
      <alignment horizontal="center" vertical="center" wrapText="1"/>
    </xf>
    <xf numFmtId="164" fontId="9" fillId="2" borderId="6" xfId="0" applyNumberFormat="1" applyFont="1" applyFill="1" applyBorder="1" applyAlignment="1">
      <alignment horizontal="center" vertical="center" wrapText="1"/>
    </xf>
    <xf numFmtId="164" fontId="9" fillId="2" borderId="11" xfId="0" applyNumberFormat="1" applyFont="1" applyFill="1" applyBorder="1" applyAlignment="1">
      <alignment horizontal="center" vertical="center" wrapText="1"/>
    </xf>
    <xf numFmtId="164" fontId="11" fillId="2" borderId="5" xfId="0" applyNumberFormat="1" applyFont="1" applyFill="1" applyBorder="1" applyAlignment="1">
      <alignment horizontal="center" vertical="center" wrapText="1"/>
    </xf>
    <xf numFmtId="164" fontId="9" fillId="2" borderId="0" xfId="0" applyNumberFormat="1" applyFont="1" applyFill="1" applyBorder="1" applyAlignment="1">
      <alignment horizontal="center" vertical="center" wrapText="1"/>
    </xf>
    <xf numFmtId="164" fontId="27" fillId="2" borderId="0" xfId="0" applyNumberFormat="1" applyFont="1" applyFill="1" applyBorder="1" applyAlignment="1" applyProtection="1">
      <alignment horizontal="center" vertical="center"/>
    </xf>
    <xf numFmtId="164" fontId="3" fillId="2" borderId="5" xfId="0" applyNumberFormat="1" applyFont="1" applyFill="1" applyBorder="1" applyAlignment="1">
      <alignment horizontal="center" vertical="center" wrapText="1"/>
    </xf>
    <xf numFmtId="164" fontId="3" fillId="2" borderId="6" xfId="0" applyNumberFormat="1" applyFont="1" applyFill="1" applyBorder="1" applyAlignment="1">
      <alignment horizontal="center" vertical="center" wrapText="1"/>
    </xf>
    <xf numFmtId="164" fontId="25" fillId="2" borderId="0" xfId="0" applyNumberFormat="1" applyFont="1" applyFill="1" applyAlignment="1">
      <alignment horizontal="center"/>
    </xf>
    <xf numFmtId="166" fontId="3" fillId="3" borderId="9" xfId="1" applyNumberFormat="1" applyFont="1" applyFill="1" applyBorder="1" applyAlignment="1">
      <alignment horizontal="center" vertical="center" wrapText="1"/>
    </xf>
    <xf numFmtId="166" fontId="3" fillId="2" borderId="9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</cellXfs>
  <cellStyles count="51">
    <cellStyle name="20% - Accent1" xfId="25" builtinId="30" customBuiltin="1"/>
    <cellStyle name="20% - Accent2" xfId="29" builtinId="34" customBuiltin="1"/>
    <cellStyle name="20% - Accent3" xfId="33" builtinId="38" customBuiltin="1"/>
    <cellStyle name="20% - Accent4" xfId="37" builtinId="42" customBuiltin="1"/>
    <cellStyle name="20% - Accent5" xfId="41" builtinId="46" customBuiltin="1"/>
    <cellStyle name="20% - Accent6" xfId="45" builtinId="50" customBuiltin="1"/>
    <cellStyle name="40% - Accent1" xfId="26" builtinId="31" customBuiltin="1"/>
    <cellStyle name="40% - Accent2" xfId="30" builtinId="35" customBuiltin="1"/>
    <cellStyle name="40% - Accent3" xfId="34" builtinId="39" customBuiltin="1"/>
    <cellStyle name="40% - Accent4" xfId="38" builtinId="43" customBuiltin="1"/>
    <cellStyle name="40% - Accent5" xfId="42" builtinId="47" customBuiltin="1"/>
    <cellStyle name="40% - Accent6" xfId="46" builtinId="51" customBuiltin="1"/>
    <cellStyle name="60% - Accent1" xfId="27" builtinId="32" customBuiltin="1"/>
    <cellStyle name="60% - Accent2" xfId="31" builtinId="36" customBuiltin="1"/>
    <cellStyle name="60% - Accent3" xfId="35" builtinId="40" customBuiltin="1"/>
    <cellStyle name="60% - Accent4" xfId="39" builtinId="44" customBuiltin="1"/>
    <cellStyle name="60% - Accent5" xfId="43" builtinId="48" customBuiltin="1"/>
    <cellStyle name="60% - Accent6" xfId="47" builtinId="52" customBuiltin="1"/>
    <cellStyle name="Accent1" xfId="24" builtinId="29" customBuiltin="1"/>
    <cellStyle name="Accent2" xfId="28" builtinId="33" customBuiltin="1"/>
    <cellStyle name="Accent3" xfId="32" builtinId="37" customBuiltin="1"/>
    <cellStyle name="Accent4" xfId="36" builtinId="41" customBuiltin="1"/>
    <cellStyle name="Accent5" xfId="40" builtinId="45" customBuiltin="1"/>
    <cellStyle name="Accent6" xfId="44" builtinId="49" customBuiltin="1"/>
    <cellStyle name="Bad" xfId="13" builtinId="27" customBuiltin="1"/>
    <cellStyle name="Calculation" xfId="17" builtinId="22" customBuiltin="1"/>
    <cellStyle name="Check Cell" xfId="19" builtinId="23" customBuiltin="1"/>
    <cellStyle name="Comma" xfId="1" builtinId="3"/>
    <cellStyle name="Comma 2" xfId="5"/>
    <cellStyle name="Explanatory Text" xfId="22" builtinId="53" customBuiltin="1"/>
    <cellStyle name="Good" xfId="12" builtinId="26" customBuiltin="1"/>
    <cellStyle name="Heading 1" xfId="8" builtinId="16" customBuiltin="1"/>
    <cellStyle name="Heading 1 2" xfId="3"/>
    <cellStyle name="Heading 2" xfId="9" builtinId="17" customBuiltin="1"/>
    <cellStyle name="Heading 3" xfId="10" builtinId="18" customBuiltin="1"/>
    <cellStyle name="Heading 4" xfId="11" builtinId="19" customBuiltin="1"/>
    <cellStyle name="Hyperlink" xfId="50" builtinId="8"/>
    <cellStyle name="Input" xfId="15" builtinId="20" customBuiltin="1"/>
    <cellStyle name="Linked Cell" xfId="18" builtinId="24" customBuiltin="1"/>
    <cellStyle name="Neutral" xfId="14" builtinId="28" customBuiltin="1"/>
    <cellStyle name="Normal" xfId="0" builtinId="0"/>
    <cellStyle name="Normal 2" xfId="49"/>
    <cellStyle name="Normal 2 2" xfId="48"/>
    <cellStyle name="Normal 3" xfId="2"/>
    <cellStyle name="Normal 5" xfId="4"/>
    <cellStyle name="Note" xfId="21" builtinId="10" customBuiltin="1"/>
    <cellStyle name="Output" xfId="16" builtinId="21" customBuiltin="1"/>
    <cellStyle name="Percent 2" xfId="6"/>
    <cellStyle name="Title" xfId="7" builtinId="15" customBuiltin="1"/>
    <cellStyle name="Total" xfId="23" builtinId="25" customBuiltin="1"/>
    <cellStyle name="Warning Text" xfId="20" builtinId="11" customBuiltin="1"/>
  </cellStyles>
  <dxfs count="0"/>
  <tableStyles count="0" defaultTableStyle="TableStyleMedium9" defaultPivotStyle="PivotStyleLight16"/>
  <colors>
    <mruColors>
      <color rgb="FFFBC497"/>
      <color rgb="FFCE2049"/>
      <color rgb="FF953735"/>
      <color rgb="FFF8A45E"/>
      <color rgb="FFF27A16"/>
      <color rgb="FFFDEADA"/>
      <color rgb="FFF79747"/>
      <color rgb="FFFABF8E"/>
      <color rgb="FF542804"/>
      <color rgb="FFFCD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545517067784222"/>
          <c:y val="0.1784770735971532"/>
          <c:w val="0.86783136382889325"/>
          <c:h val="0.5162117262317121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'8.2'!$M$6</c:f>
              <c:strCache>
                <c:ptCount val="1"/>
                <c:pt idx="0">
                  <c:v>Male'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</c:spPr>
          <c:invertIfNegative val="0"/>
          <c:cat>
            <c:strRef>
              <c:f>'8.2'!$B$8:$B$19</c:f>
              <c:strCache>
                <c:ptCount val="12"/>
                <c:pt idx="0">
                  <c:v>Theft</c:v>
                </c:pt>
                <c:pt idx="1">
                  <c:v>Traffic Accidents</c:v>
                </c:pt>
                <c:pt idx="2">
                  <c:v>Drugs</c:v>
                </c:pt>
                <c:pt idx="3">
                  <c:v>Lost items</c:v>
                </c:pt>
                <c:pt idx="4">
                  <c:v>Assault</c:v>
                </c:pt>
                <c:pt idx="5">
                  <c:v>Vandalism</c:v>
                </c:pt>
                <c:pt idx="6">
                  <c:v>Robbery</c:v>
                </c:pt>
                <c:pt idx="7">
                  <c:v>Sexual offences</c:v>
                </c:pt>
                <c:pt idx="8">
                  <c:v>Embezzlement</c:v>
                </c:pt>
                <c:pt idx="9">
                  <c:v>Domestic violence</c:v>
                </c:pt>
                <c:pt idx="10">
                  <c:v>Counterfeit and forgery</c:v>
                </c:pt>
                <c:pt idx="11">
                  <c:v>Others</c:v>
                </c:pt>
              </c:strCache>
            </c:strRef>
          </c:cat>
          <c:val>
            <c:numRef>
              <c:f>'8.2'!$M$8:$M$19</c:f>
              <c:numCache>
                <c:formatCode>_-* #,##0_-;\-* #,##0_-;_-* "-"??_-;_-@_-</c:formatCode>
                <c:ptCount val="12"/>
                <c:pt idx="0">
                  <c:v>2509</c:v>
                </c:pt>
                <c:pt idx="1">
                  <c:v>1926</c:v>
                </c:pt>
                <c:pt idx="2">
                  <c:v>1167</c:v>
                </c:pt>
                <c:pt idx="3">
                  <c:v>1306</c:v>
                </c:pt>
                <c:pt idx="4">
                  <c:v>360</c:v>
                </c:pt>
                <c:pt idx="5">
                  <c:v>296</c:v>
                </c:pt>
                <c:pt idx="6">
                  <c:v>619</c:v>
                </c:pt>
                <c:pt idx="7">
                  <c:v>129</c:v>
                </c:pt>
                <c:pt idx="8">
                  <c:v>435</c:v>
                </c:pt>
                <c:pt idx="9">
                  <c:v>133</c:v>
                </c:pt>
                <c:pt idx="10">
                  <c:v>71</c:v>
                </c:pt>
                <c:pt idx="11">
                  <c:v>1979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49-407F-96CB-1D2D8B1B4A54}"/>
            </c:ext>
          </c:extLst>
        </c:ser>
        <c:ser>
          <c:idx val="1"/>
          <c:order val="1"/>
          <c:tx>
            <c:strRef>
              <c:f>'8.2'!$N$6</c:f>
              <c:strCache>
                <c:ptCount val="1"/>
                <c:pt idx="0">
                  <c:v>Atolls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</c:spPr>
          <c:invertIfNegative val="0"/>
          <c:cat>
            <c:strRef>
              <c:f>'8.2'!$B$8:$B$19</c:f>
              <c:strCache>
                <c:ptCount val="12"/>
                <c:pt idx="0">
                  <c:v>Theft</c:v>
                </c:pt>
                <c:pt idx="1">
                  <c:v>Traffic Accidents</c:v>
                </c:pt>
                <c:pt idx="2">
                  <c:v>Drugs</c:v>
                </c:pt>
                <c:pt idx="3">
                  <c:v>Lost items</c:v>
                </c:pt>
                <c:pt idx="4">
                  <c:v>Assault</c:v>
                </c:pt>
                <c:pt idx="5">
                  <c:v>Vandalism</c:v>
                </c:pt>
                <c:pt idx="6">
                  <c:v>Robbery</c:v>
                </c:pt>
                <c:pt idx="7">
                  <c:v>Sexual offences</c:v>
                </c:pt>
                <c:pt idx="8">
                  <c:v>Embezzlement</c:v>
                </c:pt>
                <c:pt idx="9">
                  <c:v>Domestic violence</c:v>
                </c:pt>
                <c:pt idx="10">
                  <c:v>Counterfeit and forgery</c:v>
                </c:pt>
                <c:pt idx="11">
                  <c:v>Others</c:v>
                </c:pt>
              </c:strCache>
            </c:strRef>
          </c:cat>
          <c:val>
            <c:numRef>
              <c:f>'8.2'!$N$8:$N$19</c:f>
              <c:numCache>
                <c:formatCode>_-* #,##0_-;\-* #,##0_-;_-* "-"??_-;_-@_-</c:formatCode>
                <c:ptCount val="12"/>
                <c:pt idx="0">
                  <c:v>994</c:v>
                </c:pt>
                <c:pt idx="1">
                  <c:v>179</c:v>
                </c:pt>
                <c:pt idx="2">
                  <c:v>871</c:v>
                </c:pt>
                <c:pt idx="3">
                  <c:v>349</c:v>
                </c:pt>
                <c:pt idx="4">
                  <c:v>410</c:v>
                </c:pt>
                <c:pt idx="5">
                  <c:v>159</c:v>
                </c:pt>
                <c:pt idx="6">
                  <c:v>43</c:v>
                </c:pt>
                <c:pt idx="7">
                  <c:v>288</c:v>
                </c:pt>
                <c:pt idx="8">
                  <c:v>83</c:v>
                </c:pt>
                <c:pt idx="9">
                  <c:v>146</c:v>
                </c:pt>
                <c:pt idx="10">
                  <c:v>15</c:v>
                </c:pt>
                <c:pt idx="11">
                  <c:v>1068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49-407F-96CB-1D2D8B1B4A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7"/>
        <c:axId val="54974720"/>
        <c:axId val="54976512"/>
      </c:barChart>
      <c:catAx>
        <c:axId val="5497472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900">
                <a:latin typeface="+mn-lt"/>
              </a:defRPr>
            </a:pPr>
            <a:endParaRPr lang="en-US"/>
          </a:p>
        </c:txPr>
        <c:crossAx val="54976512"/>
        <c:crosses val="autoZero"/>
        <c:auto val="1"/>
        <c:lblAlgn val="ctr"/>
        <c:lblOffset val="100"/>
        <c:noMultiLvlLbl val="0"/>
      </c:catAx>
      <c:valAx>
        <c:axId val="54976512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60000"/>
                  <a:lumOff val="40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</a:t>
                </a:r>
                <a:r>
                  <a:rPr lang="en-US" baseline="0"/>
                  <a:t> of cases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9.8808255778023608E-3"/>
              <c:y val="0.25301070299482753"/>
            </c:manualLayout>
          </c:layout>
          <c:overlay val="0"/>
        </c:title>
        <c:numFmt formatCode="_-* #,##0_-;\-* #,##0_-;_-* &quot;-&quot;??_-;_-@_-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54974720"/>
        <c:crosses val="autoZero"/>
        <c:crossBetween val="between"/>
      </c:valAx>
      <c:spPr>
        <a:solidFill>
          <a:schemeClr val="accent1">
            <a:lumMod val="20000"/>
            <a:lumOff val="80000"/>
          </a:schemeClr>
        </a:solidFill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0513524056367918"/>
          <c:y val="0.2454842030394257"/>
          <c:w val="0.18600515524547906"/>
          <c:h val="0.10312697613318542"/>
        </c:manualLayout>
      </c:layout>
      <c:overlay val="0"/>
      <c:txPr>
        <a:bodyPr/>
        <a:lstStyle/>
        <a:p>
          <a:pPr>
            <a:defRPr sz="1050" b="0"/>
          </a:pPr>
          <a:endParaRPr lang="en-US"/>
        </a:p>
      </c:txPr>
    </c:legend>
    <c:plotVisOnly val="1"/>
    <c:dispBlanksAs val="gap"/>
    <c:showDLblsOverMax val="0"/>
  </c:chart>
  <c:spPr>
    <a:noFill/>
    <a:ln>
      <a:solidFill>
        <a:schemeClr val="bg1">
          <a:lumMod val="75000"/>
        </a:schemeClr>
      </a:solidFill>
    </a:ln>
  </c:spPr>
  <c:printSettings>
    <c:headerFooter/>
    <c:pageMargins b="0.75000000000000344" l="0.70000000000000062" r="0.70000000000000062" t="0.75000000000000344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9540029912908872"/>
          <c:y val="0.18141358627834758"/>
          <c:w val="0.38882937296076686"/>
          <c:h val="0.7924713536842497"/>
        </c:manualLayout>
      </c:layout>
      <c:pieChart>
        <c:varyColors val="1"/>
        <c:ser>
          <c:idx val="0"/>
          <c:order val="0"/>
          <c:spPr>
            <a:solidFill>
              <a:srgbClr val="1C706E"/>
            </a:solidFill>
          </c:spPr>
          <c:explosion val="3"/>
          <c:dPt>
            <c:idx val="0"/>
            <c:bubble3D val="0"/>
            <c:spPr>
              <a:solidFill>
                <a:schemeClr val="accent1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0D94-47AA-8757-3C77DA19AAB8}"/>
              </c:ext>
            </c:extLst>
          </c:dPt>
          <c:dPt>
            <c:idx val="1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0D94-47AA-8757-3C77DA19AAB8}"/>
              </c:ext>
            </c:extLst>
          </c:dPt>
          <c:dLbls>
            <c:dLbl>
              <c:idx val="0"/>
              <c:layout>
                <c:manualLayout>
                  <c:x val="-0.11570800776339746"/>
                  <c:y val="-0.1833941602712416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0D94-47AA-8757-3C77DA19AAB8}"/>
                </c:ext>
              </c:extLst>
            </c:dLbl>
            <c:dLbl>
              <c:idx val="1"/>
              <c:layout>
                <c:manualLayout>
                  <c:x val="8.1868208524860264E-2"/>
                  <c:y val="0.17845703724339268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050" b="1">
                      <a:solidFill>
                        <a:schemeClr val="accent1">
                          <a:lumMod val="50000"/>
                        </a:schemeClr>
                      </a:solidFill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0D94-47AA-8757-3C77DA19AA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50" b="1"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'8.2'!$M$6:$N$6</c:f>
              <c:strCache>
                <c:ptCount val="2"/>
                <c:pt idx="0">
                  <c:v>Male'</c:v>
                </c:pt>
                <c:pt idx="1">
                  <c:v>Atolls</c:v>
                </c:pt>
              </c:strCache>
            </c:strRef>
          </c:cat>
          <c:val>
            <c:numRef>
              <c:f>'8.2'!$M$7:$N$7</c:f>
              <c:numCache>
                <c:formatCode>_-* #,##0_-;\-* #,##0_-;_-* "-"??_-;_-@_-</c:formatCode>
                <c:ptCount val="2"/>
                <c:pt idx="0">
                  <c:v>10930</c:v>
                </c:pt>
                <c:pt idx="1">
                  <c:v>4605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D94-47AA-8757-3C77DA19AAB8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zero"/>
    <c:showDLblsOverMax val="0"/>
  </c:chart>
  <c:printSettings>
    <c:headerFooter/>
    <c:pageMargins b="0.75000000000000344" l="0.70000000000000062" r="0.70000000000000062" t="0.75000000000000344" header="0.30000000000000032" footer="0.30000000000000032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Completion rate of cases in courts by type, 2012</a:t>
            </a:r>
          </a:p>
        </c:rich>
      </c:tx>
      <c:layout>
        <c:manualLayout>
          <c:xMode val="edge"/>
          <c:yMode val="edge"/>
          <c:x val="0.10979855643044679"/>
          <c:y val="1.8532814025400173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'[9]8.9graphs'!$B$37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'[9]8.9graphs'!$A$38:$A$40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'[9]8.9graphs'!$B$38:$B$40</c:f>
              <c:numCache>
                <c:formatCode>General</c:formatCode>
                <c:ptCount val="3"/>
                <c:pt idx="0">
                  <c:v>32.906696345761453</c:v>
                </c:pt>
                <c:pt idx="1">
                  <c:v>31.033495562553682</c:v>
                </c:pt>
                <c:pt idx="2">
                  <c:v>36.354056902002107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39-48CA-8C83-287891D5AA1C}"/>
            </c:ext>
          </c:extLst>
        </c:ser>
        <c:ser>
          <c:idx val="1"/>
          <c:order val="1"/>
          <c:tx>
            <c:strRef>
              <c:f>'[9]8.9graphs'!$C$37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'[9]8.9graphs'!$A$38:$A$40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'[9]8.9graphs'!$C$38:$C$40</c:f>
              <c:numCache>
                <c:formatCode>General</c:formatCode>
                <c:ptCount val="3"/>
                <c:pt idx="0">
                  <c:v>62.419047619047618</c:v>
                </c:pt>
                <c:pt idx="1">
                  <c:v>59.483701597024719</c:v>
                </c:pt>
                <c:pt idx="2">
                  <c:v>64.682071175577676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39-48CA-8C83-287891D5AA1C}"/>
            </c:ext>
          </c:extLst>
        </c:ser>
        <c:ser>
          <c:idx val="2"/>
          <c:order val="2"/>
          <c:tx>
            <c:strRef>
              <c:f>'[9]8.9graphs'!$D$37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'[9]8.9graphs'!$A$38:$A$40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'[9]8.9graphs'!$D$38:$D$40</c:f>
              <c:numCache>
                <c:formatCode>General</c:formatCode>
                <c:ptCount val="3"/>
                <c:pt idx="0">
                  <c:v>84.499785315586081</c:v>
                </c:pt>
                <c:pt idx="1">
                  <c:v>81.331916400991858</c:v>
                </c:pt>
                <c:pt idx="2">
                  <c:v>86.647454370797306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39-48CA-8C83-287891D5AA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7018368"/>
        <c:axId val="130421504"/>
      </c:barChart>
      <c:catAx>
        <c:axId val="1370183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421504"/>
        <c:crosses val="autoZero"/>
        <c:auto val="1"/>
        <c:lblAlgn val="ctr"/>
        <c:lblOffset val="100"/>
        <c:noMultiLvlLbl val="0"/>
      </c:catAx>
      <c:valAx>
        <c:axId val="13042150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370183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pending at courts at the end of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'[9]8.9graphs'!$B$43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'[9]8.9graphs'!$A$44:$A$46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'[9]8.9graphs'!$B$44:$B$46</c:f>
              <c:numCache>
                <c:formatCode>General</c:formatCode>
                <c:ptCount val="3"/>
                <c:pt idx="0">
                  <c:v>3617</c:v>
                </c:pt>
                <c:pt idx="1">
                  <c:v>2409</c:v>
                </c:pt>
                <c:pt idx="2">
                  <c:v>1208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AE-4B59-A4E1-F841AC222173}"/>
            </c:ext>
          </c:extLst>
        </c:ser>
        <c:ser>
          <c:idx val="1"/>
          <c:order val="1"/>
          <c:tx>
            <c:strRef>
              <c:f>'[9]8.9graphs'!$C$43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'[9]8.9graphs'!$A$44:$A$46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'[9]8.9graphs'!$C$44:$C$46</c:f>
              <c:numCache>
                <c:formatCode>General</c:formatCode>
                <c:ptCount val="3"/>
                <c:pt idx="0">
                  <c:v>3946</c:v>
                </c:pt>
                <c:pt idx="1">
                  <c:v>1852</c:v>
                </c:pt>
                <c:pt idx="2">
                  <c:v>2094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AE-4B59-A4E1-F841AC222173}"/>
            </c:ext>
          </c:extLst>
        </c:ser>
        <c:ser>
          <c:idx val="2"/>
          <c:order val="2"/>
          <c:tx>
            <c:strRef>
              <c:f>'[9]8.9graphs'!$D$43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'[9]8.9graphs'!$A$44:$A$46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'[9]8.9graphs'!$D$44:$D$46</c:f>
              <c:numCache>
                <c:formatCode>General</c:formatCode>
                <c:ptCount val="3"/>
                <c:pt idx="0">
                  <c:v>1083</c:v>
                </c:pt>
                <c:pt idx="1">
                  <c:v>527</c:v>
                </c:pt>
                <c:pt idx="2">
                  <c:v>556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AE-4B59-A4E1-F841AC2221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443904"/>
        <c:axId val="130449792"/>
      </c:barChart>
      <c:catAx>
        <c:axId val="130443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449792"/>
        <c:crosses val="autoZero"/>
        <c:auto val="1"/>
        <c:lblAlgn val="ctr"/>
        <c:lblOffset val="100"/>
        <c:noMultiLvlLbl val="0"/>
      </c:catAx>
      <c:valAx>
        <c:axId val="13044979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4439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/>
              <a:t>Cases  concluded and those in courts at the beginning and end of 2012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'[9]8.9graphs'!$B$56</c:f>
              <c:strCache>
                <c:ptCount val="1"/>
                <c:pt idx="0">
                  <c:v>Republic</c:v>
                </c:pt>
              </c:strCache>
            </c:strRef>
          </c:tx>
          <c:invertIfNegative val="0"/>
          <c:cat>
            <c:strRef>
              <c:f>'[9]8.9graphs'!$A$57:$A$60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'[9]8.9graphs'!$B$57:$B$60</c:f>
              <c:numCache>
                <c:formatCode>General</c:formatCode>
                <c:ptCount val="4"/>
                <c:pt idx="0">
                  <c:v>7528</c:v>
                </c:pt>
                <c:pt idx="1">
                  <c:v>15351</c:v>
                </c:pt>
                <c:pt idx="2">
                  <c:v>14232</c:v>
                </c:pt>
                <c:pt idx="3">
                  <c:v>8646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01-41D2-A2DC-901465384B4B}"/>
            </c:ext>
          </c:extLst>
        </c:ser>
        <c:ser>
          <c:idx val="1"/>
          <c:order val="1"/>
          <c:tx>
            <c:strRef>
              <c:f>'[9]8.9graphs'!$C$56</c:f>
              <c:strCache>
                <c:ptCount val="1"/>
                <c:pt idx="0">
                  <c:v>Male'</c:v>
                </c:pt>
              </c:strCache>
            </c:strRef>
          </c:tx>
          <c:invertIfNegative val="0"/>
          <c:cat>
            <c:strRef>
              <c:f>'[9]8.9graphs'!$A$57:$A$60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'[9]8.9graphs'!$C$57:$C$60</c:f>
              <c:numCache>
                <c:formatCode>General</c:formatCode>
                <c:ptCount val="4"/>
                <c:pt idx="0">
                  <c:v>4550</c:v>
                </c:pt>
                <c:pt idx="1">
                  <c:v>6338</c:v>
                </c:pt>
                <c:pt idx="2">
                  <c:v>6099</c:v>
                </c:pt>
                <c:pt idx="3">
                  <c:v>4788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01-41D2-A2DC-901465384B4B}"/>
            </c:ext>
          </c:extLst>
        </c:ser>
        <c:ser>
          <c:idx val="2"/>
          <c:order val="2"/>
          <c:tx>
            <c:strRef>
              <c:f>'[9]8.9graphs'!$D$56</c:f>
              <c:strCache>
                <c:ptCount val="1"/>
                <c:pt idx="0">
                  <c:v>Atolls</c:v>
                </c:pt>
              </c:strCache>
            </c:strRef>
          </c:tx>
          <c:invertIfNegative val="0"/>
          <c:cat>
            <c:strRef>
              <c:f>'[9]8.9graphs'!$A$57:$A$60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'[9]8.9graphs'!$D$57:$D$60</c:f>
              <c:numCache>
                <c:formatCode>General</c:formatCode>
                <c:ptCount val="4"/>
                <c:pt idx="0">
                  <c:v>2978</c:v>
                </c:pt>
                <c:pt idx="1">
                  <c:v>9013</c:v>
                </c:pt>
                <c:pt idx="2">
                  <c:v>8133</c:v>
                </c:pt>
                <c:pt idx="3">
                  <c:v>3858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01-41D2-A2DC-901465384B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476288"/>
        <c:axId val="136994816"/>
      </c:barChart>
      <c:catAx>
        <c:axId val="130476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6994816"/>
        <c:crosses val="autoZero"/>
        <c:auto val="1"/>
        <c:lblAlgn val="ctr"/>
        <c:lblOffset val="100"/>
        <c:noMultiLvlLbl val="0"/>
      </c:catAx>
      <c:valAx>
        <c:axId val="13699481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4762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concluded at courts during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'[9]8.9graphs'!$B$50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'[9]8.9graphs'!$A$51:$A$53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'[9]8.9graphs'!$B$51:$B$53</c:f>
              <c:numCache>
                <c:formatCode>General</c:formatCode>
                <c:ptCount val="3"/>
                <c:pt idx="0">
                  <c:v>1774</c:v>
                </c:pt>
                <c:pt idx="1">
                  <c:v>1084</c:v>
                </c:pt>
                <c:pt idx="2">
                  <c:v>690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27-4E27-B572-24D83DA51C6D}"/>
            </c:ext>
          </c:extLst>
        </c:ser>
        <c:ser>
          <c:idx val="1"/>
          <c:order val="1"/>
          <c:tx>
            <c:strRef>
              <c:f>'[9]8.9graphs'!$C$50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'[9]8.9graphs'!$A$51:$A$53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'[9]8.9graphs'!$C$51:$C$53</c:f>
              <c:numCache>
                <c:formatCode>General</c:formatCode>
                <c:ptCount val="3"/>
                <c:pt idx="0">
                  <c:v>6554</c:v>
                </c:pt>
                <c:pt idx="1">
                  <c:v>2719</c:v>
                </c:pt>
                <c:pt idx="2">
                  <c:v>3835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27-4E27-B572-24D83DA51C6D}"/>
            </c:ext>
          </c:extLst>
        </c:ser>
        <c:ser>
          <c:idx val="2"/>
          <c:order val="2"/>
          <c:tx>
            <c:strRef>
              <c:f>'[9]8.9graphs'!$D$50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'[9]8.9graphs'!$A$51:$A$53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'[9]8.9graphs'!$D$51:$D$53</c:f>
              <c:numCache>
                <c:formatCode>General</c:formatCode>
                <c:ptCount val="3"/>
                <c:pt idx="0">
                  <c:v>5904</c:v>
                </c:pt>
                <c:pt idx="1">
                  <c:v>2296</c:v>
                </c:pt>
                <c:pt idx="2">
                  <c:v>3608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27-4E27-B572-24D83DA51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238336"/>
        <c:axId val="130239872"/>
      </c:barChart>
      <c:catAx>
        <c:axId val="1302383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239872"/>
        <c:crosses val="autoZero"/>
        <c:auto val="1"/>
        <c:lblAlgn val="ctr"/>
        <c:lblOffset val="100"/>
        <c:noMultiLvlLbl val="0"/>
      </c:catAx>
      <c:valAx>
        <c:axId val="13023987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2383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completed during 2012 and  pending at end year, by Atoll</a:t>
            </a:r>
            <a:endParaRPr lang="en-US" sz="1200"/>
          </a:p>
        </c:rich>
      </c:tx>
      <c:layout>
        <c:manualLayout>
          <c:xMode val="edge"/>
          <c:yMode val="edge"/>
          <c:x val="0.15903814782281558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workings'!$D$68</c:f>
              <c:strCache>
                <c:ptCount val="1"/>
                <c:pt idx="0">
                  <c:v>Completed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workings'!$D$69:$D$88</c:f>
              <c:numCache>
                <c:formatCode>General_)</c:formatCode>
                <c:ptCount val="20"/>
                <c:pt idx="0">
                  <c:v>339</c:v>
                </c:pt>
                <c:pt idx="1">
                  <c:v>367</c:v>
                </c:pt>
                <c:pt idx="2">
                  <c:v>332</c:v>
                </c:pt>
                <c:pt idx="3">
                  <c:v>407</c:v>
                </c:pt>
                <c:pt idx="4">
                  <c:v>485</c:v>
                </c:pt>
                <c:pt idx="5">
                  <c:v>253</c:v>
                </c:pt>
                <c:pt idx="6">
                  <c:v>366</c:v>
                </c:pt>
                <c:pt idx="7">
                  <c:v>401</c:v>
                </c:pt>
                <c:pt idx="8">
                  <c:v>279</c:v>
                </c:pt>
                <c:pt idx="9">
                  <c:v>316</c:v>
                </c:pt>
                <c:pt idx="10">
                  <c:v>51</c:v>
                </c:pt>
                <c:pt idx="11">
                  <c:v>183</c:v>
                </c:pt>
                <c:pt idx="12">
                  <c:v>167</c:v>
                </c:pt>
                <c:pt idx="13">
                  <c:v>204</c:v>
                </c:pt>
                <c:pt idx="14">
                  <c:v>374</c:v>
                </c:pt>
                <c:pt idx="15">
                  <c:v>736</c:v>
                </c:pt>
                <c:pt idx="16">
                  <c:v>918</c:v>
                </c:pt>
                <c:pt idx="17">
                  <c:v>701</c:v>
                </c:pt>
                <c:pt idx="18">
                  <c:v>595</c:v>
                </c:pt>
                <c:pt idx="19">
                  <c:v>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18-4063-9A14-17ACCE215032}"/>
            </c:ext>
          </c:extLst>
        </c:ser>
        <c:ser>
          <c:idx val="1"/>
          <c:order val="1"/>
          <c:tx>
            <c:strRef>
              <c:f>'8.20 workings'!$E$68</c:f>
              <c:strCache>
                <c:ptCount val="1"/>
                <c:pt idx="0">
                  <c:v>Pending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workings'!$E$69:$E$88</c:f>
              <c:numCache>
                <c:formatCode>General_)</c:formatCode>
                <c:ptCount val="20"/>
                <c:pt idx="0">
                  <c:v>251</c:v>
                </c:pt>
                <c:pt idx="1">
                  <c:v>325</c:v>
                </c:pt>
                <c:pt idx="2">
                  <c:v>68</c:v>
                </c:pt>
                <c:pt idx="3">
                  <c:v>251</c:v>
                </c:pt>
                <c:pt idx="4">
                  <c:v>194</c:v>
                </c:pt>
                <c:pt idx="5">
                  <c:v>170</c:v>
                </c:pt>
                <c:pt idx="6">
                  <c:v>242</c:v>
                </c:pt>
                <c:pt idx="7">
                  <c:v>118</c:v>
                </c:pt>
                <c:pt idx="8">
                  <c:v>60</c:v>
                </c:pt>
                <c:pt idx="9">
                  <c:v>105</c:v>
                </c:pt>
                <c:pt idx="10">
                  <c:v>12</c:v>
                </c:pt>
                <c:pt idx="11">
                  <c:v>54</c:v>
                </c:pt>
                <c:pt idx="12">
                  <c:v>70</c:v>
                </c:pt>
                <c:pt idx="13">
                  <c:v>50</c:v>
                </c:pt>
                <c:pt idx="14">
                  <c:v>221</c:v>
                </c:pt>
                <c:pt idx="15">
                  <c:v>473</c:v>
                </c:pt>
                <c:pt idx="16">
                  <c:v>270</c:v>
                </c:pt>
                <c:pt idx="17">
                  <c:v>196</c:v>
                </c:pt>
                <c:pt idx="18">
                  <c:v>264</c:v>
                </c:pt>
                <c:pt idx="19">
                  <c:v>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18-4063-9A14-17ACCE215032}"/>
            </c:ext>
          </c:extLst>
        </c:ser>
        <c:ser>
          <c:idx val="2"/>
          <c:order val="2"/>
          <c:tx>
            <c:strRef>
              <c:f>'8.20 workings'!$B$69</c:f>
              <c:strCache>
                <c:ptCount val="1"/>
                <c:pt idx="0">
                  <c:v>HA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workings'!$B$70:$B$88</c:f>
              <c:numCache>
                <c:formatCode>General_)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18-4063-9A14-17ACCE2150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262912"/>
        <c:axId val="130264448"/>
      </c:barChart>
      <c:catAx>
        <c:axId val="1302629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0264448"/>
        <c:crosses val="autoZero"/>
        <c:auto val="1"/>
        <c:lblAlgn val="ctr"/>
        <c:lblOffset val="100"/>
        <c:noMultiLvlLbl val="0"/>
      </c:catAx>
      <c:valAx>
        <c:axId val="13026444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16"/>
            </c:manualLayout>
          </c:layout>
          <c:overlay val="0"/>
        </c:title>
        <c:numFmt formatCode="General_)" sourceLinked="1"/>
        <c:majorTickMark val="out"/>
        <c:minorTickMark val="none"/>
        <c:tickLblPos val="nextTo"/>
        <c:crossAx val="130262912"/>
        <c:crosses val="autoZero"/>
        <c:crossBetween val="between"/>
      </c:valAx>
    </c:plotArea>
    <c:legend>
      <c:legendPos val="b"/>
      <c:legendEntry>
        <c:idx val="2"/>
        <c:delete val="1"/>
      </c:legendEntry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</a:t>
            </a:r>
            <a:r>
              <a:rPr lang="en-US" sz="1200" baseline="0"/>
              <a:t>ompletion rate of cases in majistrate courts, by Atoll, 2012</a:t>
            </a:r>
            <a:endParaRPr lang="en-US" sz="1200"/>
          </a:p>
        </c:rich>
      </c:tx>
      <c:layout>
        <c:manualLayout>
          <c:xMode val="edge"/>
          <c:yMode val="edge"/>
          <c:x val="0.13295119779622425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workings'!$F$69:$F$88</c:f>
              <c:numCache>
                <c:formatCode>0.0</c:formatCode>
                <c:ptCount val="20"/>
                <c:pt idx="0">
                  <c:v>57.457627118644069</c:v>
                </c:pt>
                <c:pt idx="1">
                  <c:v>53.034682080924853</c:v>
                </c:pt>
                <c:pt idx="2">
                  <c:v>83</c:v>
                </c:pt>
                <c:pt idx="3">
                  <c:v>61.854103343465049</c:v>
                </c:pt>
                <c:pt idx="4">
                  <c:v>71.428571428571431</c:v>
                </c:pt>
                <c:pt idx="5">
                  <c:v>59.810874704491724</c:v>
                </c:pt>
                <c:pt idx="6">
                  <c:v>60.19736842105263</c:v>
                </c:pt>
                <c:pt idx="7">
                  <c:v>77.263969171483623</c:v>
                </c:pt>
                <c:pt idx="8">
                  <c:v>82.30088495575221</c:v>
                </c:pt>
                <c:pt idx="9">
                  <c:v>75.059382422802841</c:v>
                </c:pt>
                <c:pt idx="10">
                  <c:v>80.952380952380949</c:v>
                </c:pt>
                <c:pt idx="11">
                  <c:v>77.215189873417728</c:v>
                </c:pt>
                <c:pt idx="12">
                  <c:v>70.46413502109705</c:v>
                </c:pt>
                <c:pt idx="13">
                  <c:v>80.314960629921259</c:v>
                </c:pt>
                <c:pt idx="14">
                  <c:v>62.857142857142854</c:v>
                </c:pt>
                <c:pt idx="15">
                  <c:v>60.876757650951198</c:v>
                </c:pt>
                <c:pt idx="16">
                  <c:v>77.272727272727266</c:v>
                </c:pt>
                <c:pt idx="17">
                  <c:v>78.149386845039018</c:v>
                </c:pt>
                <c:pt idx="18">
                  <c:v>69.266589057043078</c:v>
                </c:pt>
                <c:pt idx="19">
                  <c:v>58.682101513802323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90-4C9E-978D-34509C47DF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322816"/>
        <c:axId val="130324352"/>
      </c:barChart>
      <c:catAx>
        <c:axId val="1303228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0324352"/>
        <c:crosses val="autoZero"/>
        <c:auto val="1"/>
        <c:lblAlgn val="ctr"/>
        <c:lblOffset val="100"/>
        <c:noMultiLvlLbl val="0"/>
      </c:catAx>
      <c:valAx>
        <c:axId val="13032435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38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3032281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per majistrate by Atoll, 2012</a:t>
            </a:r>
            <a:endParaRPr lang="en-US" sz="1200"/>
          </a:p>
        </c:rich>
      </c:tx>
      <c:layout>
        <c:manualLayout>
          <c:xMode val="edge"/>
          <c:yMode val="edge"/>
          <c:x val="0.23967053881409509"/>
          <c:y val="3.2084818007291252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workings'!$I$68</c:f>
              <c:strCache>
                <c:ptCount val="1"/>
                <c:pt idx="0">
                  <c:v>cases per majistrate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workings'!$I$69:$I$88</c:f>
              <c:numCache>
                <c:formatCode>0.0</c:formatCode>
                <c:ptCount val="20"/>
                <c:pt idx="0">
                  <c:v>59</c:v>
                </c:pt>
                <c:pt idx="1">
                  <c:v>86.5</c:v>
                </c:pt>
                <c:pt idx="2">
                  <c:v>100</c:v>
                </c:pt>
                <c:pt idx="3">
                  <c:v>131.6</c:v>
                </c:pt>
                <c:pt idx="4">
                  <c:v>97</c:v>
                </c:pt>
                <c:pt idx="5">
                  <c:v>84.6</c:v>
                </c:pt>
                <c:pt idx="6">
                  <c:v>608</c:v>
                </c:pt>
                <c:pt idx="7">
                  <c:v>64.875</c:v>
                </c:pt>
                <c:pt idx="8">
                  <c:v>48.428571428571431</c:v>
                </c:pt>
                <c:pt idx="9">
                  <c:v>105.25</c:v>
                </c:pt>
                <c:pt idx="10">
                  <c:v>31.5</c:v>
                </c:pt>
                <c:pt idx="11">
                  <c:v>47.4</c:v>
                </c:pt>
                <c:pt idx="12">
                  <c:v>79</c:v>
                </c:pt>
                <c:pt idx="13">
                  <c:v>63.5</c:v>
                </c:pt>
                <c:pt idx="14">
                  <c:v>59.5</c:v>
                </c:pt>
                <c:pt idx="15">
                  <c:v>134.33333333333334</c:v>
                </c:pt>
                <c:pt idx="16">
                  <c:v>118.8</c:v>
                </c:pt>
                <c:pt idx="17">
                  <c:v>112.125</c:v>
                </c:pt>
                <c:pt idx="18">
                  <c:v>429.5</c:v>
                </c:pt>
                <c:pt idx="19">
                  <c:v>140.375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BA-429D-BC3A-EC2AAF7E4960}"/>
            </c:ext>
          </c:extLst>
        </c:ser>
        <c:ser>
          <c:idx val="1"/>
          <c:order val="1"/>
          <c:tx>
            <c:strRef>
              <c:f>'8.20 workings'!$J$68</c:f>
              <c:strCache>
                <c:ptCount val="1"/>
                <c:pt idx="0">
                  <c:v>cases completed per majistrate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workings'!$J$69:$J$88</c:f>
              <c:numCache>
                <c:formatCode>0.0</c:formatCode>
                <c:ptCount val="20"/>
                <c:pt idx="0">
                  <c:v>33.9</c:v>
                </c:pt>
                <c:pt idx="1">
                  <c:v>45.875</c:v>
                </c:pt>
                <c:pt idx="2">
                  <c:v>83</c:v>
                </c:pt>
                <c:pt idx="3">
                  <c:v>81.400000000000006</c:v>
                </c:pt>
                <c:pt idx="4">
                  <c:v>69.285714285714292</c:v>
                </c:pt>
                <c:pt idx="5">
                  <c:v>50.6</c:v>
                </c:pt>
                <c:pt idx="6">
                  <c:v>366</c:v>
                </c:pt>
                <c:pt idx="7">
                  <c:v>50.125</c:v>
                </c:pt>
                <c:pt idx="8">
                  <c:v>39.857142857142854</c:v>
                </c:pt>
                <c:pt idx="9">
                  <c:v>79</c:v>
                </c:pt>
                <c:pt idx="10">
                  <c:v>25.5</c:v>
                </c:pt>
                <c:pt idx="11">
                  <c:v>36.6</c:v>
                </c:pt>
                <c:pt idx="12">
                  <c:v>55.666666666666664</c:v>
                </c:pt>
                <c:pt idx="13">
                  <c:v>51</c:v>
                </c:pt>
                <c:pt idx="14">
                  <c:v>37.4</c:v>
                </c:pt>
                <c:pt idx="15">
                  <c:v>81.777777777777771</c:v>
                </c:pt>
                <c:pt idx="16">
                  <c:v>91.8</c:v>
                </c:pt>
                <c:pt idx="17">
                  <c:v>87.625</c:v>
                </c:pt>
                <c:pt idx="18">
                  <c:v>297.5</c:v>
                </c:pt>
                <c:pt idx="19">
                  <c:v>82.375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BA-429D-BC3A-EC2AAF7E49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337792"/>
        <c:axId val="130347776"/>
      </c:barChart>
      <c:catAx>
        <c:axId val="130337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0347776"/>
        <c:crosses val="autoZero"/>
        <c:auto val="1"/>
        <c:lblAlgn val="ctr"/>
        <c:lblOffset val="100"/>
        <c:noMultiLvlLbl val="0"/>
      </c:catAx>
      <c:valAx>
        <c:axId val="13034777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7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30337792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5724492676980567"/>
          <c:y val="0.88393035814739651"/>
          <c:w val="0.65570312801747865"/>
          <c:h val="7.7498208942431493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409575</xdr:colOff>
      <xdr:row>32</xdr:row>
      <xdr:rowOff>85259</xdr:rowOff>
    </xdr:from>
    <xdr:to>
      <xdr:col>17</xdr:col>
      <xdr:colOff>76200</xdr:colOff>
      <xdr:row>48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414416</xdr:colOff>
      <xdr:row>49</xdr:row>
      <xdr:rowOff>129893</xdr:rowOff>
    </xdr:from>
    <xdr:to>
      <xdr:col>17</xdr:col>
      <xdr:colOff>95250</xdr:colOff>
      <xdr:row>64</xdr:row>
      <xdr:rowOff>190234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180975</xdr:colOff>
      <xdr:row>33</xdr:row>
      <xdr:rowOff>20781</xdr:rowOff>
    </xdr:from>
    <xdr:to>
      <xdr:col>16</xdr:col>
      <xdr:colOff>542925</xdr:colOff>
      <xdr:row>34</xdr:row>
      <xdr:rowOff>66675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3238500" y="8059881"/>
          <a:ext cx="5886450" cy="236394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Figure 8.3: Number of logged cases for Male' and Atolls by type, 2017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>
          <a:endParaRPr lang="en-US" sz="1100">
            <a:latin typeface="Consolas" pitchFamily="49" charset="0"/>
            <a:cs typeface="Consolas" pitchFamily="49" charset="0"/>
          </a:endParaRPr>
        </a:p>
      </xdr:txBody>
    </xdr:sp>
    <xdr:clientData/>
  </xdr:twoCellAnchor>
  <xdr:twoCellAnchor>
    <xdr:from>
      <xdr:col>7</xdr:col>
      <xdr:colOff>257174</xdr:colOff>
      <xdr:row>34</xdr:row>
      <xdr:rowOff>66674</xdr:rowOff>
    </xdr:from>
    <xdr:to>
      <xdr:col>16</xdr:col>
      <xdr:colOff>95249</xdr:colOff>
      <xdr:row>34</xdr:row>
      <xdr:rowOff>76198</xdr:rowOff>
    </xdr:to>
    <xdr:sp macro="" textlink="">
      <xdr:nvSpPr>
        <xdr:cNvPr id="8" name="Line 4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>
          <a:spLocks noChangeShapeType="1"/>
        </xdr:cNvSpPr>
      </xdr:nvSpPr>
      <xdr:spPr bwMode="auto">
        <a:xfrm flipV="1">
          <a:off x="3314699" y="8296274"/>
          <a:ext cx="5362575" cy="9524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6</xdr:col>
      <xdr:colOff>571501</xdr:colOff>
      <xdr:row>51</xdr:row>
      <xdr:rowOff>103772</xdr:rowOff>
    </xdr:from>
    <xdr:to>
      <xdr:col>15</xdr:col>
      <xdr:colOff>571500</xdr:colOff>
      <xdr:row>51</xdr:row>
      <xdr:rowOff>114300</xdr:rowOff>
    </xdr:to>
    <xdr:sp macro="" textlink="">
      <xdr:nvSpPr>
        <xdr:cNvPr id="9" name="Line 4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>
          <a:spLocks noChangeShapeType="1"/>
        </xdr:cNvSpPr>
      </xdr:nvSpPr>
      <xdr:spPr bwMode="auto">
        <a:xfrm>
          <a:off x="3019426" y="11600447"/>
          <a:ext cx="5505449" cy="10528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6</xdr:col>
      <xdr:colOff>514349</xdr:colOff>
      <xdr:row>50</xdr:row>
      <xdr:rowOff>53643</xdr:rowOff>
    </xdr:from>
    <xdr:to>
      <xdr:col>16</xdr:col>
      <xdr:colOff>85724</xdr:colOff>
      <xdr:row>51</xdr:row>
      <xdr:rowOff>105277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2962274" y="11359818"/>
          <a:ext cx="5705475" cy="242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Figure 8.4: Percentage share of logged cases for Male' and Atolls, 2017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>
          <a:endParaRPr lang="en-US" sz="1100">
            <a:latin typeface="Consolas" pitchFamily="49" charset="0"/>
            <a:cs typeface="Consolas" pitchFamily="49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179917</xdr:colOff>
      <xdr:row>34</xdr:row>
      <xdr:rowOff>148167</xdr:rowOff>
    </xdr:from>
    <xdr:to>
      <xdr:col>13</xdr:col>
      <xdr:colOff>158750</xdr:colOff>
      <xdr:row>49</xdr:row>
      <xdr:rowOff>31751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211667</xdr:colOff>
      <xdr:row>50</xdr:row>
      <xdr:rowOff>52915</xdr:rowOff>
    </xdr:from>
    <xdr:to>
      <xdr:col>13</xdr:col>
      <xdr:colOff>190500</xdr:colOff>
      <xdr:row>64</xdr:row>
      <xdr:rowOff>126998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529167</xdr:colOff>
      <xdr:row>50</xdr:row>
      <xdr:rowOff>52916</xdr:rowOff>
    </xdr:from>
    <xdr:to>
      <xdr:col>20</xdr:col>
      <xdr:colOff>296334</xdr:colOff>
      <xdr:row>64</xdr:row>
      <xdr:rowOff>126999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349250</xdr:colOff>
      <xdr:row>34</xdr:row>
      <xdr:rowOff>158750</xdr:rowOff>
    </xdr:from>
    <xdr:to>
      <xdr:col>20</xdr:col>
      <xdr:colOff>116417</xdr:colOff>
      <xdr:row>49</xdr:row>
      <xdr:rowOff>42333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137583</xdr:colOff>
      <xdr:row>65</xdr:row>
      <xdr:rowOff>126999</xdr:rowOff>
    </xdr:from>
    <xdr:to>
      <xdr:col>20</xdr:col>
      <xdr:colOff>31751</xdr:colOff>
      <xdr:row>81</xdr:row>
      <xdr:rowOff>42332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306917</xdr:colOff>
      <xdr:row>82</xdr:row>
      <xdr:rowOff>63501</xdr:rowOff>
    </xdr:from>
    <xdr:to>
      <xdr:col>20</xdr:col>
      <xdr:colOff>201085</xdr:colOff>
      <xdr:row>97</xdr:row>
      <xdr:rowOff>169334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1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455084</xdr:colOff>
      <xdr:row>90</xdr:row>
      <xdr:rowOff>42333</xdr:rowOff>
    </xdr:from>
    <xdr:to>
      <xdr:col>8</xdr:col>
      <xdr:colOff>137585</xdr:colOff>
      <xdr:row>105</xdr:row>
      <xdr:rowOff>148166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1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8/RECEIVED/8.%20LAW%20AND%20ORDER_MPS%20-%20final%20tabl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8/RECEIVED/8.%20LAW%20AND%20ORDER%20-%20DJ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.shifaza/AppData/Local/Microsoft/Windows/INetCache/Content.Outlook/JLAH1LI0/8%20%20LAW%20%20ORDER%20-%20DJA%20(2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8/RECEIVED/LAW%20AND%20ORDER_%20PG%20%20with%20Translation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8/RECEIVED/8.%20LAW%20AND%20ORDER%20-%20JSC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.shifaza\AppData\Local\Microsoft\Windows\INetCache\Content.Outlook\JLAH1LI0\8%20%20LAW%20%20ORDER%20-%20DJA%20(2)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8/RECEIVED/8.%20LAW%20AND%20ORDER_%20ACC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8/RECEIVED/8.%20LAW%20AND%20ORDER%20_%20MC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erver\Users\fa_2482\AppData\Local\Temp\Rar$DIa0.269\8.Law%20and%20order%20more%20new%20graphs%20shahud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8.1"/>
      <sheetName val="8.1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"/>
      <sheetName val="8.13.1"/>
      <sheetName val="8.14"/>
      <sheetName val="8.15"/>
      <sheetName val="8.15.1"/>
      <sheetName val="8.16"/>
      <sheetName val="8.16.1"/>
      <sheetName val="8.17"/>
      <sheetName val="8.18"/>
      <sheetName val="8.19"/>
      <sheetName val="8.20 workin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8">
          <cell r="T8">
            <v>3811</v>
          </cell>
        </row>
      </sheetData>
      <sheetData sheetId="15"/>
      <sheetData sheetId="16">
        <row r="5">
          <cell r="J5">
            <v>3961</v>
          </cell>
        </row>
      </sheetData>
      <sheetData sheetId="17"/>
      <sheetData sheetId="18"/>
      <sheetData sheetId="19"/>
      <sheetData sheetId="20"/>
      <sheetData sheetId="21"/>
      <sheetData sheetId="22"/>
      <sheetData sheetId="23">
        <row r="3">
          <cell r="Z3" t="str">
            <v>&lt; 18 yrs</v>
          </cell>
          <cell r="AA3" t="str">
            <v>18 - 34 yrs</v>
          </cell>
          <cell r="AB3" t="str">
            <v>35 yrs  and above</v>
          </cell>
          <cell r="AC3" t="str">
            <v>N/A</v>
          </cell>
        </row>
        <row r="4">
          <cell r="Z4">
            <v>922</v>
          </cell>
          <cell r="AA4">
            <v>806</v>
          </cell>
          <cell r="AB4">
            <v>474</v>
          </cell>
          <cell r="AC4">
            <v>1759</v>
          </cell>
        </row>
        <row r="7">
          <cell r="Z7" t="str">
            <v>Male</v>
          </cell>
          <cell r="AA7">
            <v>1228</v>
          </cell>
        </row>
        <row r="8">
          <cell r="Z8" t="str">
            <v>Female</v>
          </cell>
          <cell r="AA8">
            <v>974</v>
          </cell>
        </row>
        <row r="9">
          <cell r="Z9" t="str">
            <v>N/A</v>
          </cell>
          <cell r="AA9">
            <v>1759</v>
          </cell>
        </row>
        <row r="12">
          <cell r="AA12" t="str">
            <v>Male</v>
          </cell>
          <cell r="AB12" t="str">
            <v>Female</v>
          </cell>
        </row>
        <row r="13">
          <cell r="Z13" t="str">
            <v>&lt; 18 yrs</v>
          </cell>
          <cell r="AA13">
            <v>417</v>
          </cell>
          <cell r="AB13">
            <v>505</v>
          </cell>
        </row>
        <row r="14">
          <cell r="Z14" t="str">
            <v>18 - 34 yrs</v>
          </cell>
          <cell r="AA14">
            <v>491</v>
          </cell>
          <cell r="AB14">
            <v>315</v>
          </cell>
        </row>
        <row r="15">
          <cell r="Z15" t="str">
            <v>35 yrs  and above</v>
          </cell>
          <cell r="AA15">
            <v>320</v>
          </cell>
          <cell r="AB15">
            <v>154</v>
          </cell>
        </row>
        <row r="16">
          <cell r="Z16" t="str">
            <v>N/A</v>
          </cell>
          <cell r="AA16">
            <v>2583</v>
          </cell>
          <cell r="AB16">
            <v>-824</v>
          </cell>
        </row>
      </sheetData>
      <sheetData sheetId="2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18"/>
      <sheetName val="8.20"/>
      <sheetName val="8.21"/>
      <sheetName val="8.22"/>
      <sheetName val="8.23"/>
      <sheetName val="8.28"/>
      <sheetName val="8.29"/>
    </sheetNames>
    <sheetDataSet>
      <sheetData sheetId="0"/>
      <sheetData sheetId="1"/>
      <sheetData sheetId="2">
        <row r="240">
          <cell r="AE240" t="str">
            <v xml:space="preserve">Criminal Cases </v>
          </cell>
          <cell r="AF240" t="str">
            <v>Civil cases</v>
          </cell>
          <cell r="AG240" t="str">
            <v>Family Cases</v>
          </cell>
        </row>
        <row r="241">
          <cell r="AD241" t="str">
            <v xml:space="preserve">Republic </v>
          </cell>
          <cell r="AE241">
            <v>45.523385300668153</v>
          </cell>
          <cell r="AF241">
            <v>70.860927152317871</v>
          </cell>
          <cell r="AG241">
            <v>82.176047694196043</v>
          </cell>
        </row>
        <row r="242">
          <cell r="AD242" t="str">
            <v xml:space="preserve">Male' </v>
          </cell>
          <cell r="AE242">
            <v>46.537495514890566</v>
          </cell>
          <cell r="AF242">
            <v>71.522556390977442</v>
          </cell>
          <cell r="AG242">
            <v>82.48571428571428</v>
          </cell>
        </row>
        <row r="243">
          <cell r="AD243" t="str">
            <v xml:space="preserve">Atoll </v>
          </cell>
          <cell r="AE243">
            <v>43.86376981796829</v>
          </cell>
          <cell r="AF243">
            <v>69.814126394052039</v>
          </cell>
          <cell r="AG243">
            <v>82.038957753604862</v>
          </cell>
        </row>
        <row r="246">
          <cell r="AE246" t="str">
            <v xml:space="preserve">Criminal Cases </v>
          </cell>
          <cell r="AF246" t="str">
            <v>Civil cases</v>
          </cell>
          <cell r="AG246" t="str">
            <v>Family Cases</v>
          </cell>
        </row>
        <row r="247">
          <cell r="AD247" t="str">
            <v xml:space="preserve">Republic </v>
          </cell>
          <cell r="AE247">
            <v>4892</v>
          </cell>
          <cell r="AF247">
            <v>2024</v>
          </cell>
          <cell r="AG247">
            <v>2033</v>
          </cell>
        </row>
        <row r="248">
          <cell r="AD248" t="str">
            <v xml:space="preserve">Male' </v>
          </cell>
          <cell r="AE248">
            <v>2980</v>
          </cell>
          <cell r="AF248">
            <v>1212</v>
          </cell>
          <cell r="AG248">
            <v>613</v>
          </cell>
        </row>
        <row r="249">
          <cell r="AD249" t="str">
            <v xml:space="preserve">Atoll </v>
          </cell>
          <cell r="AE249">
            <v>1912</v>
          </cell>
          <cell r="AF249">
            <v>812</v>
          </cell>
          <cell r="AG249">
            <v>1420</v>
          </cell>
        </row>
        <row r="254">
          <cell r="AE254" t="str">
            <v xml:space="preserve">Criminal Cases </v>
          </cell>
          <cell r="AF254" t="str">
            <v>Civil cases</v>
          </cell>
          <cell r="AG254" t="str">
            <v>Family Cases</v>
          </cell>
        </row>
        <row r="255">
          <cell r="AD255" t="str">
            <v xml:space="preserve">Republic </v>
          </cell>
          <cell r="AE255">
            <v>4088</v>
          </cell>
          <cell r="AF255">
            <v>4922</v>
          </cell>
          <cell r="AG255">
            <v>9373</v>
          </cell>
        </row>
        <row r="256">
          <cell r="AD256" t="str">
            <v xml:space="preserve">Male' </v>
          </cell>
          <cell r="AE256">
            <v>2594</v>
          </cell>
          <cell r="AF256">
            <v>3044</v>
          </cell>
          <cell r="AG256">
            <v>2887</v>
          </cell>
        </row>
        <row r="257">
          <cell r="AD257" t="str">
            <v xml:space="preserve">Atoll </v>
          </cell>
          <cell r="AE257">
            <v>1494</v>
          </cell>
          <cell r="AF257">
            <v>1878</v>
          </cell>
          <cell r="AG257">
            <v>6486</v>
          </cell>
        </row>
        <row r="260">
          <cell r="AE260" t="str">
            <v>Republic</v>
          </cell>
          <cell r="AF260" t="str">
            <v>Male'</v>
          </cell>
          <cell r="AG260" t="str">
            <v>Atolls</v>
          </cell>
        </row>
        <row r="261">
          <cell r="AD261" t="str">
            <v>Starting balance</v>
          </cell>
          <cell r="AE261">
            <v>6637</v>
          </cell>
          <cell r="AF261">
            <v>3686</v>
          </cell>
          <cell r="AG261">
            <v>2951</v>
          </cell>
        </row>
        <row r="262">
          <cell r="AD262" t="str">
            <v>new cases filed</v>
          </cell>
          <cell r="AE262">
            <v>20695</v>
          </cell>
          <cell r="AF262">
            <v>9644</v>
          </cell>
          <cell r="AG262">
            <v>11051</v>
          </cell>
        </row>
        <row r="263">
          <cell r="AD263" t="str">
            <v>concluded</v>
          </cell>
          <cell r="AE263">
            <v>18383</v>
          </cell>
          <cell r="AF263">
            <v>8525</v>
          </cell>
          <cell r="AG263">
            <v>9858</v>
          </cell>
        </row>
        <row r="264">
          <cell r="AD264" t="str">
            <v>ending balance</v>
          </cell>
          <cell r="AE264">
            <v>8949</v>
          </cell>
          <cell r="AF264">
            <v>4805</v>
          </cell>
          <cell r="AG264">
            <v>4144</v>
          </cell>
        </row>
        <row r="270">
          <cell r="AE270" t="str">
            <v>Concluded</v>
          </cell>
          <cell r="AF270" t="str">
            <v>Pending</v>
          </cell>
        </row>
        <row r="271">
          <cell r="AD271" t="str">
            <v>HA</v>
          </cell>
          <cell r="AE271">
            <v>341</v>
          </cell>
          <cell r="AF271">
            <v>215</v>
          </cell>
        </row>
        <row r="272">
          <cell r="AD272" t="str">
            <v>HDh</v>
          </cell>
          <cell r="AE272">
            <v>670</v>
          </cell>
          <cell r="AF272">
            <v>204</v>
          </cell>
        </row>
        <row r="273">
          <cell r="AD273" t="str">
            <v>Sh</v>
          </cell>
          <cell r="AE273">
            <v>397</v>
          </cell>
          <cell r="AF273">
            <v>117</v>
          </cell>
        </row>
        <row r="274">
          <cell r="AD274" t="str">
            <v>N</v>
          </cell>
          <cell r="AE274">
            <v>487</v>
          </cell>
          <cell r="AF274">
            <v>266</v>
          </cell>
        </row>
        <row r="275">
          <cell r="AD275" t="str">
            <v>R</v>
          </cell>
          <cell r="AE275">
            <v>668</v>
          </cell>
          <cell r="AF275">
            <v>141</v>
          </cell>
        </row>
        <row r="276">
          <cell r="AD276" t="str">
            <v>B</v>
          </cell>
          <cell r="AE276">
            <v>333</v>
          </cell>
          <cell r="AF276">
            <v>99</v>
          </cell>
        </row>
        <row r="277">
          <cell r="AD277" t="str">
            <v>Lh</v>
          </cell>
          <cell r="AE277">
            <v>430</v>
          </cell>
          <cell r="AF277">
            <v>332</v>
          </cell>
        </row>
        <row r="278">
          <cell r="AD278" t="str">
            <v>K</v>
          </cell>
          <cell r="AE278">
            <v>650</v>
          </cell>
          <cell r="AF278">
            <v>93</v>
          </cell>
        </row>
        <row r="279">
          <cell r="AD279" t="str">
            <v>AA</v>
          </cell>
          <cell r="AE279">
            <v>356</v>
          </cell>
          <cell r="AF279">
            <v>165</v>
          </cell>
        </row>
        <row r="280">
          <cell r="AD280" t="str">
            <v>ADh</v>
          </cell>
          <cell r="AE280">
            <v>395</v>
          </cell>
          <cell r="AF280">
            <v>135</v>
          </cell>
        </row>
        <row r="281">
          <cell r="AD281" t="str">
            <v>V</v>
          </cell>
          <cell r="AE281">
            <v>75</v>
          </cell>
          <cell r="AF281">
            <v>22</v>
          </cell>
        </row>
        <row r="282">
          <cell r="AD282" t="str">
            <v>M</v>
          </cell>
          <cell r="AE282">
            <v>148</v>
          </cell>
          <cell r="AF282">
            <v>47</v>
          </cell>
        </row>
        <row r="283">
          <cell r="AD283" t="str">
            <v>F</v>
          </cell>
          <cell r="AE283">
            <v>245</v>
          </cell>
          <cell r="AF283">
            <v>58</v>
          </cell>
        </row>
        <row r="284">
          <cell r="AD284" t="str">
            <v>Dh</v>
          </cell>
          <cell r="AE284">
            <v>208</v>
          </cell>
          <cell r="AF284">
            <v>58</v>
          </cell>
        </row>
        <row r="285">
          <cell r="AD285" t="str">
            <v>Th</v>
          </cell>
          <cell r="AE285">
            <v>428</v>
          </cell>
          <cell r="AF285">
            <v>227</v>
          </cell>
        </row>
        <row r="286">
          <cell r="AD286" t="str">
            <v>L</v>
          </cell>
          <cell r="AE286">
            <v>904</v>
          </cell>
          <cell r="AF286">
            <v>354</v>
          </cell>
        </row>
        <row r="287">
          <cell r="AD287" t="str">
            <v>GA</v>
          </cell>
          <cell r="AE287">
            <v>707</v>
          </cell>
          <cell r="AF287">
            <v>355</v>
          </cell>
        </row>
        <row r="288">
          <cell r="AD288" t="str">
            <v>GDh</v>
          </cell>
          <cell r="AE288">
            <v>599</v>
          </cell>
          <cell r="AF288">
            <v>491</v>
          </cell>
        </row>
        <row r="289">
          <cell r="AD289" t="str">
            <v>Gn</v>
          </cell>
          <cell r="AE289">
            <v>543</v>
          </cell>
          <cell r="AF289">
            <v>292</v>
          </cell>
        </row>
        <row r="290">
          <cell r="AD290" t="str">
            <v>S</v>
          </cell>
          <cell r="AE290">
            <v>1274</v>
          </cell>
          <cell r="AF290">
            <v>473</v>
          </cell>
        </row>
        <row r="295">
          <cell r="AE295" t="str">
            <v>HA</v>
          </cell>
          <cell r="AF295">
            <v>61.330935251798557</v>
          </cell>
        </row>
        <row r="296">
          <cell r="AE296" t="str">
            <v>HDh</v>
          </cell>
          <cell r="AF296">
            <v>76.659038901601832</v>
          </cell>
        </row>
        <row r="297">
          <cell r="AE297" t="str">
            <v>Sh</v>
          </cell>
          <cell r="AF297">
            <v>77.237354085603116</v>
          </cell>
        </row>
        <row r="298">
          <cell r="AE298" t="str">
            <v>N</v>
          </cell>
          <cell r="AF298">
            <v>64.674634794156702</v>
          </cell>
        </row>
        <row r="299">
          <cell r="AE299" t="str">
            <v>R</v>
          </cell>
          <cell r="AF299">
            <v>82.571075401730525</v>
          </cell>
        </row>
        <row r="300">
          <cell r="AE300" t="str">
            <v>B</v>
          </cell>
          <cell r="AF300">
            <v>77.083333333333343</v>
          </cell>
        </row>
        <row r="301">
          <cell r="AE301" t="str">
            <v>Lh</v>
          </cell>
          <cell r="AF301">
            <v>56.430446194225723</v>
          </cell>
        </row>
        <row r="302">
          <cell r="AE302" t="str">
            <v>K</v>
          </cell>
          <cell r="AF302">
            <v>87.48317631224765</v>
          </cell>
        </row>
        <row r="303">
          <cell r="AE303" t="str">
            <v>AA</v>
          </cell>
          <cell r="AF303">
            <v>68.330134357005761</v>
          </cell>
        </row>
        <row r="304">
          <cell r="AE304" t="str">
            <v>ADh</v>
          </cell>
          <cell r="AF304">
            <v>74.528301886792448</v>
          </cell>
        </row>
        <row r="305">
          <cell r="AE305" t="str">
            <v>V</v>
          </cell>
          <cell r="AF305">
            <v>77.319587628865989</v>
          </cell>
        </row>
        <row r="306">
          <cell r="AE306" t="str">
            <v>M</v>
          </cell>
          <cell r="AF306">
            <v>75.897435897435898</v>
          </cell>
        </row>
        <row r="307">
          <cell r="AE307" t="str">
            <v>F</v>
          </cell>
          <cell r="AF307">
            <v>80.858085808580853</v>
          </cell>
        </row>
        <row r="308">
          <cell r="AE308" t="str">
            <v>Dh</v>
          </cell>
          <cell r="AF308">
            <v>78.195488721804509</v>
          </cell>
        </row>
        <row r="309">
          <cell r="AE309" t="str">
            <v>Th</v>
          </cell>
          <cell r="AF309">
            <v>65.343511450381669</v>
          </cell>
        </row>
        <row r="310">
          <cell r="AE310" t="str">
            <v>L</v>
          </cell>
          <cell r="AF310">
            <v>71.860095389507151</v>
          </cell>
        </row>
        <row r="311">
          <cell r="AE311" t="str">
            <v>GA</v>
          </cell>
          <cell r="AF311">
            <v>66.572504708097924</v>
          </cell>
        </row>
        <row r="312">
          <cell r="AE312" t="str">
            <v>GDh</v>
          </cell>
          <cell r="AF312">
            <v>54.954128440366965</v>
          </cell>
        </row>
        <row r="313">
          <cell r="AE313" t="str">
            <v>Gn</v>
          </cell>
          <cell r="AF313">
            <v>65.029940119760482</v>
          </cell>
        </row>
        <row r="314">
          <cell r="AE314" t="str">
            <v>S</v>
          </cell>
          <cell r="AF314">
            <v>72.925014310246141</v>
          </cell>
        </row>
      </sheetData>
      <sheetData sheetId="3"/>
      <sheetData sheetId="4"/>
      <sheetData sheetId="5"/>
      <sheetData sheetId="6">
        <row r="7">
          <cell r="A7" t="str">
            <v>Male</v>
          </cell>
          <cell r="H7">
            <v>173</v>
          </cell>
        </row>
        <row r="8">
          <cell r="A8" t="str">
            <v>Female</v>
          </cell>
          <cell r="H8">
            <v>5</v>
          </cell>
        </row>
        <row r="14">
          <cell r="Y14">
            <v>2010</v>
          </cell>
          <cell r="Z14">
            <v>2011</v>
          </cell>
          <cell r="AA14">
            <v>2012</v>
          </cell>
          <cell r="AB14">
            <v>2013</v>
          </cell>
          <cell r="AC14">
            <v>2014</v>
          </cell>
          <cell r="AD14">
            <v>2015</v>
          </cell>
          <cell r="AE14">
            <v>2016</v>
          </cell>
        </row>
        <row r="17">
          <cell r="Y17">
            <v>1.9801980198019802</v>
          </cell>
          <cell r="Z17">
            <v>2.5380710659898478</v>
          </cell>
          <cell r="AA17">
            <v>3.0487804878048781</v>
          </cell>
          <cell r="AB17">
            <v>4.8648648648648649</v>
          </cell>
          <cell r="AC17">
            <v>4.395604395604396</v>
          </cell>
          <cell r="AD17">
            <v>3.8251366120218582</v>
          </cell>
          <cell r="AE17">
            <v>2.8089887640449436</v>
          </cell>
        </row>
      </sheetData>
      <sheetData sheetId="7">
        <row r="4">
          <cell r="R4" t="str">
            <v xml:space="preserve">Male </v>
          </cell>
          <cell r="S4" t="str">
            <v>Female</v>
          </cell>
        </row>
        <row r="7">
          <cell r="R7">
            <v>0</v>
          </cell>
          <cell r="S7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18"/>
      <sheetName val="8.20"/>
      <sheetName val="8.21"/>
      <sheetName val="8.22"/>
      <sheetName val="8.23"/>
      <sheetName val="8.28"/>
      <sheetName val="7.28"/>
    </sheetNames>
    <sheetDataSet>
      <sheetData sheetId="0"/>
      <sheetData sheetId="1"/>
      <sheetData sheetId="2"/>
      <sheetData sheetId="3"/>
      <sheetData sheetId="4"/>
      <sheetData sheetId="5"/>
      <sheetData sheetId="6">
        <row r="14">
          <cell r="W14">
            <v>2010</v>
          </cell>
        </row>
        <row r="22">
          <cell r="X22" t="str">
            <v>Male</v>
          </cell>
          <cell r="Y22">
            <v>96</v>
          </cell>
        </row>
        <row r="23">
          <cell r="X23" t="str">
            <v>Female</v>
          </cell>
          <cell r="Y23">
            <v>4</v>
          </cell>
        </row>
      </sheetData>
      <sheetData sheetId="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24"/>
      <sheetName val="8.25"/>
      <sheetName val="8.26"/>
      <sheetName val="Cases by Type 2017"/>
    </sheetNames>
    <sheetDataSet>
      <sheetData sheetId="0"/>
      <sheetData sheetId="1"/>
      <sheetData sheetId="2">
        <row r="30">
          <cell r="T30">
            <v>2011</v>
          </cell>
          <cell r="U30">
            <v>2012</v>
          </cell>
          <cell r="V30">
            <v>2013</v>
          </cell>
          <cell r="W30">
            <v>2014</v>
          </cell>
          <cell r="X30">
            <v>2015</v>
          </cell>
          <cell r="Y30">
            <v>2016</v>
          </cell>
          <cell r="Z30">
            <v>2017</v>
          </cell>
        </row>
        <row r="31">
          <cell r="S31" t="str">
            <v>Completion rate</v>
          </cell>
          <cell r="T31">
            <v>86.812804453723032</v>
          </cell>
          <cell r="U31">
            <v>61.540749553837003</v>
          </cell>
          <cell r="V31">
            <v>70.99408617290905</v>
          </cell>
          <cell r="W31">
            <v>70.70082449941107</v>
          </cell>
          <cell r="X31">
            <v>70.769571967176759</v>
          </cell>
          <cell r="Y31">
            <v>96.101645971700833</v>
          </cell>
          <cell r="Z31">
            <v>98.131868131868131</v>
          </cell>
        </row>
        <row r="32">
          <cell r="S32" t="str">
            <v>Submission rate to courts</v>
          </cell>
          <cell r="T32">
            <v>64.370215727209469</v>
          </cell>
          <cell r="U32">
            <v>42.504461629982153</v>
          </cell>
          <cell r="V32">
            <v>51.281329203041395</v>
          </cell>
          <cell r="W32">
            <v>44.081272084805654</v>
          </cell>
          <cell r="X32">
            <v>40.607673541805276</v>
          </cell>
          <cell r="Y32">
            <v>97.458850707479058</v>
          </cell>
          <cell r="Z32">
            <v>118.05860805860806</v>
          </cell>
        </row>
        <row r="34">
          <cell r="T34">
            <v>2011</v>
          </cell>
          <cell r="U34">
            <v>2012</v>
          </cell>
          <cell r="V34">
            <v>2013</v>
          </cell>
          <cell r="W34">
            <v>2014</v>
          </cell>
          <cell r="X34">
            <v>2015</v>
          </cell>
          <cell r="Y34">
            <v>2016</v>
          </cell>
          <cell r="Z34">
            <v>2017</v>
          </cell>
        </row>
        <row r="35">
          <cell r="S35" t="str">
            <v xml:space="preserve">Completed </v>
          </cell>
          <cell r="T35">
            <v>2495</v>
          </cell>
          <cell r="U35">
            <v>2069</v>
          </cell>
          <cell r="V35">
            <v>2521</v>
          </cell>
          <cell r="W35">
            <v>2401</v>
          </cell>
          <cell r="X35">
            <v>3191</v>
          </cell>
          <cell r="Y35">
            <v>3328</v>
          </cell>
          <cell r="Z35">
            <v>2679</v>
          </cell>
        </row>
        <row r="36">
          <cell r="S36" t="str">
            <v>Submitted to court</v>
          </cell>
          <cell r="T36">
            <v>1850</v>
          </cell>
          <cell r="U36">
            <v>1429</v>
          </cell>
          <cell r="V36">
            <v>1821</v>
          </cell>
          <cell r="W36">
            <v>1497</v>
          </cell>
          <cell r="X36">
            <v>1831</v>
          </cell>
          <cell r="Y36">
            <v>3375</v>
          </cell>
          <cell r="Z36">
            <v>3223</v>
          </cell>
        </row>
        <row r="37">
          <cell r="S37" t="str">
            <v xml:space="preserve">Not sent to court </v>
          </cell>
          <cell r="T37">
            <v>379</v>
          </cell>
          <cell r="U37">
            <v>1293</v>
          </cell>
          <cell r="V37">
            <v>1030</v>
          </cell>
          <cell r="W37">
            <v>995</v>
          </cell>
          <cell r="X37">
            <v>1318</v>
          </cell>
          <cell r="Y37">
            <v>135</v>
          </cell>
          <cell r="Z37">
            <v>51</v>
          </cell>
        </row>
      </sheetData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27"/>
      <sheetName val="8.28"/>
    </sheetNames>
    <sheetDataSet>
      <sheetData sheetId="0"/>
      <sheetData sheetId="1">
        <row r="91">
          <cell r="T91" t="str">
            <v>Number  of majistrates</v>
          </cell>
          <cell r="U91" t="str">
            <v>Number of islands with majistrate courts</v>
          </cell>
        </row>
        <row r="92">
          <cell r="S92" t="str">
            <v>HA</v>
          </cell>
          <cell r="T92">
            <v>10</v>
          </cell>
          <cell r="U92">
            <v>14</v>
          </cell>
        </row>
        <row r="93">
          <cell r="S93" t="str">
            <v>HDh</v>
          </cell>
          <cell r="T93">
            <v>8</v>
          </cell>
          <cell r="U93">
            <v>13</v>
          </cell>
        </row>
        <row r="94">
          <cell r="S94" t="str">
            <v>Sh</v>
          </cell>
          <cell r="T94">
            <v>4</v>
          </cell>
          <cell r="U94">
            <v>13</v>
          </cell>
        </row>
        <row r="95">
          <cell r="S95" t="str">
            <v>N</v>
          </cell>
          <cell r="T95">
            <v>7</v>
          </cell>
          <cell r="U95">
            <v>13</v>
          </cell>
        </row>
        <row r="96">
          <cell r="S96" t="str">
            <v>R</v>
          </cell>
          <cell r="T96">
            <v>12</v>
          </cell>
          <cell r="U96">
            <v>15</v>
          </cell>
        </row>
        <row r="97">
          <cell r="S97" t="str">
            <v>B</v>
          </cell>
          <cell r="T97">
            <v>8</v>
          </cell>
          <cell r="U97">
            <v>13</v>
          </cell>
        </row>
        <row r="98">
          <cell r="S98" t="str">
            <v>Lh</v>
          </cell>
          <cell r="T98">
            <v>2</v>
          </cell>
          <cell r="U98">
            <v>4</v>
          </cell>
        </row>
        <row r="99">
          <cell r="S99" t="str">
            <v>K</v>
          </cell>
          <cell r="T99">
            <v>8</v>
          </cell>
          <cell r="U99">
            <v>9</v>
          </cell>
        </row>
        <row r="100">
          <cell r="S100" t="str">
            <v>AA</v>
          </cell>
          <cell r="T100">
            <v>4</v>
          </cell>
          <cell r="U100">
            <v>8</v>
          </cell>
        </row>
        <row r="101">
          <cell r="S101" t="str">
            <v>ADh</v>
          </cell>
          <cell r="T101">
            <v>5</v>
          </cell>
          <cell r="U101">
            <v>10</v>
          </cell>
        </row>
        <row r="102">
          <cell r="S102" t="str">
            <v>V</v>
          </cell>
          <cell r="T102">
            <v>2</v>
          </cell>
          <cell r="U102">
            <v>5</v>
          </cell>
        </row>
        <row r="103">
          <cell r="S103" t="str">
            <v>M</v>
          </cell>
          <cell r="T103">
            <v>5</v>
          </cell>
          <cell r="U103">
            <v>8</v>
          </cell>
        </row>
        <row r="104">
          <cell r="S104" t="str">
            <v>F</v>
          </cell>
          <cell r="T104">
            <v>3</v>
          </cell>
          <cell r="U104">
            <v>5</v>
          </cell>
        </row>
        <row r="105">
          <cell r="S105" t="str">
            <v>Dh</v>
          </cell>
          <cell r="T105">
            <v>4</v>
          </cell>
          <cell r="U105">
            <v>6</v>
          </cell>
        </row>
        <row r="106">
          <cell r="S106" t="str">
            <v>Th</v>
          </cell>
          <cell r="T106">
            <v>7</v>
          </cell>
          <cell r="U106">
            <v>13</v>
          </cell>
        </row>
        <row r="107">
          <cell r="S107" t="str">
            <v>L</v>
          </cell>
          <cell r="T107">
            <v>11</v>
          </cell>
          <cell r="U107">
            <v>11</v>
          </cell>
        </row>
        <row r="108">
          <cell r="S108" t="str">
            <v>GA</v>
          </cell>
          <cell r="T108">
            <v>8</v>
          </cell>
          <cell r="U108">
            <v>9</v>
          </cell>
        </row>
        <row r="109">
          <cell r="S109" t="str">
            <v>GDh</v>
          </cell>
          <cell r="T109">
            <v>8</v>
          </cell>
          <cell r="U109">
            <v>9</v>
          </cell>
        </row>
        <row r="110">
          <cell r="S110" t="str">
            <v>Gn</v>
          </cell>
          <cell r="T110">
            <v>1</v>
          </cell>
          <cell r="U110">
            <v>1</v>
          </cell>
        </row>
        <row r="111">
          <cell r="S111" t="str">
            <v>S</v>
          </cell>
          <cell r="T111">
            <v>8</v>
          </cell>
          <cell r="U111">
            <v>6</v>
          </cell>
        </row>
        <row r="129">
          <cell r="R129" t="str">
            <v>Atolls</v>
          </cell>
          <cell r="T129">
            <v>70.224719101123597</v>
          </cell>
        </row>
        <row r="130">
          <cell r="R130" t="str">
            <v>Male'</v>
          </cell>
          <cell r="T130">
            <v>29.775280898876407</v>
          </cell>
        </row>
      </sheetData>
      <sheetData sheetId="2">
        <row r="7">
          <cell r="A7" t="str">
            <v>Male</v>
          </cell>
          <cell r="H7">
            <v>173</v>
          </cell>
        </row>
        <row r="8">
          <cell r="A8" t="str">
            <v>Female</v>
          </cell>
          <cell r="H8">
            <v>5</v>
          </cell>
        </row>
        <row r="14">
          <cell r="Y14">
            <v>2010</v>
          </cell>
          <cell r="Z14">
            <v>2011</v>
          </cell>
          <cell r="AA14">
            <v>2012</v>
          </cell>
          <cell r="AB14">
            <v>2013</v>
          </cell>
          <cell r="AC14">
            <v>2014</v>
          </cell>
          <cell r="AD14">
            <v>2015</v>
          </cell>
          <cell r="AE14">
            <v>2016</v>
          </cell>
        </row>
        <row r="17">
          <cell r="Y17">
            <v>1.9801980198019802</v>
          </cell>
          <cell r="Z17">
            <v>2.5380710659898478</v>
          </cell>
          <cell r="AA17">
            <v>3.0487804878048781</v>
          </cell>
          <cell r="AB17">
            <v>4.8648648648648649</v>
          </cell>
          <cell r="AC17">
            <v>4.395604395604396</v>
          </cell>
          <cell r="AD17">
            <v>3.8251366120218582</v>
          </cell>
          <cell r="AE17">
            <v>2.8089887640449436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18"/>
      <sheetName val="8.20"/>
      <sheetName val="8.21"/>
      <sheetName val="8.22"/>
      <sheetName val="8.23"/>
      <sheetName val="8.28"/>
      <sheetName val="7.28"/>
    </sheetNames>
    <sheetDataSet>
      <sheetData sheetId="0"/>
      <sheetData sheetId="1"/>
      <sheetData sheetId="2"/>
      <sheetData sheetId="3"/>
      <sheetData sheetId="4"/>
      <sheetData sheetId="5"/>
      <sheetData sheetId="6">
        <row r="22">
          <cell r="X22" t="str">
            <v>Male</v>
          </cell>
          <cell r="Y22">
            <v>96</v>
          </cell>
        </row>
        <row r="23">
          <cell r="X23" t="str">
            <v>Female</v>
          </cell>
          <cell r="Y23">
            <v>4</v>
          </cell>
        </row>
      </sheetData>
      <sheetData sheetId="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30"/>
      <sheetName val="8.31"/>
      <sheetName val="8.32"/>
      <sheetName val="8.33"/>
      <sheetName val="8.34"/>
      <sheetName val="8.35"/>
      <sheetName val="8.36"/>
    </sheetNames>
    <sheetDataSet>
      <sheetData sheetId="0"/>
      <sheetData sheetId="1">
        <row r="5">
          <cell r="B5">
            <v>2010</v>
          </cell>
          <cell r="C5">
            <v>2011</v>
          </cell>
          <cell r="D5">
            <v>2012</v>
          </cell>
          <cell r="E5">
            <v>2013</v>
          </cell>
          <cell r="F5">
            <v>2014</v>
          </cell>
          <cell r="G5">
            <v>2015</v>
          </cell>
          <cell r="H5">
            <v>2016</v>
          </cell>
        </row>
        <row r="7">
          <cell r="A7" t="str">
            <v>Male'</v>
          </cell>
          <cell r="B7">
            <v>437</v>
          </cell>
          <cell r="C7">
            <v>356</v>
          </cell>
          <cell r="D7">
            <v>512</v>
          </cell>
          <cell r="E7">
            <v>646</v>
          </cell>
          <cell r="F7">
            <v>520</v>
          </cell>
          <cell r="G7">
            <v>301</v>
          </cell>
          <cell r="H7">
            <v>357</v>
          </cell>
        </row>
        <row r="8">
          <cell r="A8" t="str">
            <v>Atolls</v>
          </cell>
          <cell r="B8">
            <v>495</v>
          </cell>
          <cell r="C8">
            <v>646</v>
          </cell>
          <cell r="D8">
            <v>782</v>
          </cell>
          <cell r="E8">
            <v>672</v>
          </cell>
          <cell r="F8">
            <v>412</v>
          </cell>
          <cell r="G8">
            <v>532</v>
          </cell>
          <cell r="H8">
            <v>601</v>
          </cell>
          <cell r="W8" t="str">
            <v>Male'</v>
          </cell>
          <cell r="X8">
            <v>37.265135699373694</v>
          </cell>
        </row>
        <row r="9">
          <cell r="W9" t="str">
            <v>Atolls</v>
          </cell>
          <cell r="X9">
            <v>62.734864300626306</v>
          </cell>
        </row>
      </sheetData>
      <sheetData sheetId="2"/>
      <sheetData sheetId="3"/>
      <sheetData sheetId="4">
        <row r="19">
          <cell r="J19" t="str">
            <v xml:space="preserve">މަޢުލޫމާތު ދެއްވި ފަރާތް: އެންޓި ކޮރަޕްޝަން ކޮމިޝަން </v>
          </cell>
        </row>
      </sheetData>
      <sheetData sheetId="5"/>
      <sheetData sheetId="6"/>
      <sheetData sheetId="7">
        <row r="6">
          <cell r="A6">
            <v>2010</v>
          </cell>
          <cell r="B6">
            <v>324</v>
          </cell>
        </row>
        <row r="7">
          <cell r="A7">
            <v>2011</v>
          </cell>
          <cell r="B7">
            <v>409</v>
          </cell>
        </row>
        <row r="8">
          <cell r="A8">
            <v>2012</v>
          </cell>
          <cell r="B8">
            <v>431</v>
          </cell>
        </row>
        <row r="9">
          <cell r="A9">
            <v>2013</v>
          </cell>
          <cell r="B9">
            <v>620</v>
          </cell>
        </row>
        <row r="10">
          <cell r="A10">
            <v>2014</v>
          </cell>
          <cell r="B10">
            <v>783</v>
          </cell>
        </row>
        <row r="11">
          <cell r="A11">
            <v>2015</v>
          </cell>
          <cell r="B11">
            <v>855</v>
          </cell>
        </row>
        <row r="12">
          <cell r="A12">
            <v>2016</v>
          </cell>
          <cell r="B12">
            <v>829</v>
          </cell>
        </row>
        <row r="13">
          <cell r="A13">
            <v>2017</v>
          </cell>
          <cell r="B13">
            <v>1326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42"/>
      <sheetName val="8.43"/>
    </sheetNames>
    <sheetDataSet>
      <sheetData sheetId="0"/>
      <sheetData sheetId="1">
        <row r="6">
          <cell r="I6" t="str">
            <v>Male</v>
          </cell>
          <cell r="M6" t="str">
            <v>Female</v>
          </cell>
        </row>
        <row r="7">
          <cell r="L7">
            <v>1058</v>
          </cell>
        </row>
        <row r="8">
          <cell r="A8" t="str">
            <v>Under 15</v>
          </cell>
          <cell r="L8">
            <v>0</v>
          </cell>
          <cell r="M8">
            <v>0</v>
          </cell>
        </row>
        <row r="9">
          <cell r="A9" t="str">
            <v>15 - 19</v>
          </cell>
          <cell r="L9">
            <v>73</v>
          </cell>
          <cell r="M9">
            <v>4</v>
          </cell>
        </row>
        <row r="10">
          <cell r="A10" t="str">
            <v>20 - 24</v>
          </cell>
          <cell r="L10">
            <v>205</v>
          </cell>
          <cell r="M10">
            <v>16</v>
          </cell>
        </row>
        <row r="11">
          <cell r="A11" t="str">
            <v>25 - 29</v>
          </cell>
          <cell r="L11">
            <v>260</v>
          </cell>
          <cell r="M11">
            <v>19</v>
          </cell>
        </row>
        <row r="12">
          <cell r="A12" t="str">
            <v>30 - 34</v>
          </cell>
          <cell r="L12">
            <v>209</v>
          </cell>
          <cell r="M12">
            <v>5</v>
          </cell>
        </row>
        <row r="13">
          <cell r="A13" t="str">
            <v>35 - 39</v>
          </cell>
          <cell r="L13">
            <v>146</v>
          </cell>
          <cell r="M13">
            <v>13</v>
          </cell>
        </row>
        <row r="14">
          <cell r="A14" t="str">
            <v>40 - 49</v>
          </cell>
          <cell r="L14">
            <v>108</v>
          </cell>
          <cell r="M14">
            <v>4</v>
          </cell>
          <cell r="X14" t="str">
            <v>Both sexes</v>
          </cell>
          <cell r="Y14" t="str">
            <v>Male</v>
          </cell>
          <cell r="Z14" t="str">
            <v>Female</v>
          </cell>
        </row>
        <row r="15">
          <cell r="A15" t="str">
            <v>50 &amp; Over</v>
          </cell>
          <cell r="M15">
            <v>5</v>
          </cell>
          <cell r="W15">
            <v>2014</v>
          </cell>
          <cell r="X15">
            <v>401</v>
          </cell>
          <cell r="Y15">
            <v>342</v>
          </cell>
          <cell r="Z15">
            <v>59</v>
          </cell>
        </row>
        <row r="16">
          <cell r="W16">
            <v>2015</v>
          </cell>
          <cell r="X16">
            <v>358</v>
          </cell>
          <cell r="Y16">
            <v>302</v>
          </cell>
          <cell r="Z16">
            <v>56</v>
          </cell>
        </row>
        <row r="17">
          <cell r="W17">
            <v>2016</v>
          </cell>
          <cell r="X17">
            <v>828</v>
          </cell>
          <cell r="Y17">
            <v>752</v>
          </cell>
          <cell r="Z17">
            <v>76</v>
          </cell>
        </row>
        <row r="18">
          <cell r="W18">
            <v>2017</v>
          </cell>
          <cell r="X18">
            <v>1124</v>
          </cell>
          <cell r="Y18">
            <v>1058</v>
          </cell>
          <cell r="Z18">
            <v>66</v>
          </cell>
        </row>
      </sheetData>
      <sheetData sheetId="2">
        <row r="34">
          <cell r="AF34" t="str">
            <v>Jailed</v>
          </cell>
          <cell r="AG34" t="str">
            <v>Banished</v>
          </cell>
          <cell r="AH34" t="str">
            <v>House Arrest/Detention</v>
          </cell>
        </row>
        <row r="35">
          <cell r="AE35">
            <v>2014</v>
          </cell>
          <cell r="AF35">
            <v>278</v>
          </cell>
          <cell r="AG35">
            <v>24</v>
          </cell>
          <cell r="AH35">
            <v>99</v>
          </cell>
        </row>
        <row r="36">
          <cell r="AE36">
            <v>2015</v>
          </cell>
          <cell r="AF36">
            <v>257</v>
          </cell>
          <cell r="AG36">
            <v>8</v>
          </cell>
          <cell r="AH36">
            <v>93</v>
          </cell>
        </row>
        <row r="37">
          <cell r="AE37">
            <v>2016</v>
          </cell>
          <cell r="AF37">
            <v>742</v>
          </cell>
          <cell r="AG37">
            <v>5</v>
          </cell>
          <cell r="AH37">
            <v>81</v>
          </cell>
        </row>
        <row r="38">
          <cell r="AE38">
            <v>2017</v>
          </cell>
          <cell r="AF38">
            <v>893</v>
          </cell>
          <cell r="AG38">
            <v>2</v>
          </cell>
          <cell r="AH38">
            <v>229</v>
          </cell>
        </row>
        <row r="45">
          <cell r="AF45" t="str">
            <v>Male</v>
          </cell>
          <cell r="AG45" t="str">
            <v>Female</v>
          </cell>
        </row>
        <row r="46">
          <cell r="AF46">
            <v>52</v>
          </cell>
          <cell r="AG46">
            <v>27</v>
          </cell>
        </row>
        <row r="47">
          <cell r="AF47">
            <v>37</v>
          </cell>
          <cell r="AG47">
            <v>23</v>
          </cell>
        </row>
        <row r="48">
          <cell r="AF48">
            <v>144</v>
          </cell>
          <cell r="AG48">
            <v>18</v>
          </cell>
        </row>
        <row r="49">
          <cell r="AF49">
            <v>185</v>
          </cell>
          <cell r="AG49">
            <v>3</v>
          </cell>
        </row>
        <row r="50">
          <cell r="AF50">
            <v>98</v>
          </cell>
          <cell r="AG50">
            <v>2</v>
          </cell>
        </row>
        <row r="51">
          <cell r="AF51">
            <v>236</v>
          </cell>
          <cell r="AG51">
            <v>3</v>
          </cell>
        </row>
        <row r="59">
          <cell r="AF59">
            <v>2014</v>
          </cell>
          <cell r="AG59">
            <v>2015</v>
          </cell>
          <cell r="AH59">
            <v>2016</v>
          </cell>
          <cell r="AI59">
            <v>2017</v>
          </cell>
        </row>
        <row r="60">
          <cell r="AE60" t="str">
            <v>Less than 1 year</v>
          </cell>
          <cell r="AF60">
            <v>93</v>
          </cell>
          <cell r="AG60">
            <v>92</v>
          </cell>
          <cell r="AH60">
            <v>79</v>
          </cell>
          <cell r="AI60">
            <v>750</v>
          </cell>
        </row>
        <row r="61">
          <cell r="AE61" t="str">
            <v>1 - 2 years</v>
          </cell>
          <cell r="AF61">
            <v>98</v>
          </cell>
          <cell r="AG61">
            <v>51</v>
          </cell>
          <cell r="AH61">
            <v>60</v>
          </cell>
          <cell r="AI61">
            <v>117</v>
          </cell>
        </row>
        <row r="62">
          <cell r="AE62" t="str">
            <v>2 - 3 years</v>
          </cell>
          <cell r="AF62">
            <v>94</v>
          </cell>
          <cell r="AG62">
            <v>66</v>
          </cell>
          <cell r="AH62">
            <v>162</v>
          </cell>
          <cell r="AI62">
            <v>22</v>
          </cell>
        </row>
        <row r="63">
          <cell r="AE63" t="str">
            <v>3 - 4 years</v>
          </cell>
          <cell r="AF63">
            <v>25</v>
          </cell>
          <cell r="AG63">
            <v>87</v>
          </cell>
          <cell r="AH63">
            <v>188</v>
          </cell>
          <cell r="AI63">
            <v>150</v>
          </cell>
        </row>
        <row r="64">
          <cell r="AE64" t="str">
            <v>4 - 5 years</v>
          </cell>
          <cell r="AF64">
            <v>56</v>
          </cell>
          <cell r="AG64">
            <v>47</v>
          </cell>
          <cell r="AH64">
            <v>100</v>
          </cell>
          <cell r="AI64">
            <v>4</v>
          </cell>
        </row>
        <row r="65">
          <cell r="AE65" t="str">
            <v>5 years &amp; Over</v>
          </cell>
          <cell r="AF65">
            <v>34</v>
          </cell>
          <cell r="AG65">
            <v>15</v>
          </cell>
          <cell r="AH65">
            <v>239</v>
          </cell>
          <cell r="AI65">
            <v>81</v>
          </cell>
        </row>
        <row r="69">
          <cell r="AE69" t="str">
            <v>Less than 1 year</v>
          </cell>
          <cell r="AF69">
            <v>79</v>
          </cell>
        </row>
        <row r="70">
          <cell r="AE70" t="str">
            <v>1 - 2 years</v>
          </cell>
          <cell r="AF70">
            <v>60</v>
          </cell>
        </row>
        <row r="71">
          <cell r="AE71" t="str">
            <v>2 - 3 years</v>
          </cell>
          <cell r="AF71">
            <v>162</v>
          </cell>
        </row>
        <row r="72">
          <cell r="AE72" t="str">
            <v>3 - 4 years</v>
          </cell>
          <cell r="AF72">
            <v>188</v>
          </cell>
        </row>
        <row r="73">
          <cell r="AE73" t="str">
            <v>4 - 5 years</v>
          </cell>
          <cell r="AF73">
            <v>100</v>
          </cell>
        </row>
        <row r="74">
          <cell r="AE74" t="str">
            <v>5 years &amp; Over</v>
          </cell>
          <cell r="AF74">
            <v>239</v>
          </cell>
        </row>
        <row r="79">
          <cell r="AF79" t="str">
            <v>Jailed</v>
          </cell>
          <cell r="AG79" t="str">
            <v>Banished</v>
          </cell>
          <cell r="AH79" t="str">
            <v>House Arrest/Detention</v>
          </cell>
        </row>
        <row r="80">
          <cell r="AF80">
            <v>742</v>
          </cell>
          <cell r="AG80">
            <v>5</v>
          </cell>
          <cell r="AH80">
            <v>81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9graphs"/>
      <sheetName val="8.10 graph"/>
      <sheetName val="8.17 graph"/>
      <sheetName val="8.19 graph"/>
      <sheetName val="8.20graph"/>
    </sheetNames>
    <sheetDataSet>
      <sheetData sheetId="0">
        <row r="37">
          <cell r="B37" t="str">
            <v xml:space="preserve">Criminal Cases </v>
          </cell>
          <cell r="C37" t="str">
            <v>Civil cases</v>
          </cell>
          <cell r="D37" t="str">
            <v>Family Cases</v>
          </cell>
        </row>
        <row r="38">
          <cell r="A38" t="str">
            <v xml:space="preserve">Republic </v>
          </cell>
          <cell r="B38">
            <v>32.906696345761453</v>
          </cell>
          <cell r="C38">
            <v>62.419047619047618</v>
          </cell>
          <cell r="D38">
            <v>84.499785315586081</v>
          </cell>
        </row>
        <row r="39">
          <cell r="A39" t="str">
            <v xml:space="preserve">Male' </v>
          </cell>
          <cell r="B39">
            <v>31.033495562553682</v>
          </cell>
          <cell r="C39">
            <v>59.483701597024719</v>
          </cell>
          <cell r="D39">
            <v>81.331916400991858</v>
          </cell>
        </row>
        <row r="40">
          <cell r="A40" t="str">
            <v xml:space="preserve">Atoll </v>
          </cell>
          <cell r="B40">
            <v>36.354056902002107</v>
          </cell>
          <cell r="C40">
            <v>64.682071175577676</v>
          </cell>
          <cell r="D40">
            <v>86.647454370797306</v>
          </cell>
        </row>
        <row r="43">
          <cell r="B43" t="str">
            <v xml:space="preserve">Criminal Cases </v>
          </cell>
          <cell r="C43" t="str">
            <v>Civil cases</v>
          </cell>
          <cell r="D43" t="str">
            <v>Family Cases</v>
          </cell>
        </row>
        <row r="44">
          <cell r="A44" t="str">
            <v xml:space="preserve">Republic </v>
          </cell>
          <cell r="B44">
            <v>3617</v>
          </cell>
          <cell r="C44">
            <v>3946</v>
          </cell>
          <cell r="D44">
            <v>1083</v>
          </cell>
        </row>
        <row r="45">
          <cell r="A45" t="str">
            <v xml:space="preserve">Male' </v>
          </cell>
          <cell r="B45">
            <v>2409</v>
          </cell>
          <cell r="C45">
            <v>1852</v>
          </cell>
          <cell r="D45">
            <v>527</v>
          </cell>
        </row>
        <row r="46">
          <cell r="A46" t="str">
            <v xml:space="preserve">Atoll </v>
          </cell>
          <cell r="B46">
            <v>1208</v>
          </cell>
          <cell r="C46">
            <v>2094</v>
          </cell>
          <cell r="D46">
            <v>556</v>
          </cell>
        </row>
        <row r="50">
          <cell r="B50" t="str">
            <v xml:space="preserve">Criminal Cases </v>
          </cell>
          <cell r="C50" t="str">
            <v>Civil cases</v>
          </cell>
          <cell r="D50" t="str">
            <v>Family Cases</v>
          </cell>
        </row>
        <row r="51">
          <cell r="A51" t="str">
            <v xml:space="preserve">Republic </v>
          </cell>
          <cell r="B51">
            <v>1774</v>
          </cell>
          <cell r="C51">
            <v>6554</v>
          </cell>
          <cell r="D51">
            <v>5904</v>
          </cell>
        </row>
        <row r="52">
          <cell r="A52" t="str">
            <v xml:space="preserve">Male' </v>
          </cell>
          <cell r="B52">
            <v>1084</v>
          </cell>
          <cell r="C52">
            <v>2719</v>
          </cell>
          <cell r="D52">
            <v>2296</v>
          </cell>
        </row>
        <row r="53">
          <cell r="A53" t="str">
            <v xml:space="preserve">Atoll </v>
          </cell>
          <cell r="B53">
            <v>690</v>
          </cell>
          <cell r="C53">
            <v>3835</v>
          </cell>
          <cell r="D53">
            <v>3608</v>
          </cell>
        </row>
        <row r="56">
          <cell r="B56" t="str">
            <v>Republic</v>
          </cell>
          <cell r="C56" t="str">
            <v>Male'</v>
          </cell>
          <cell r="D56" t="str">
            <v>Atolls</v>
          </cell>
        </row>
        <row r="57">
          <cell r="A57" t="str">
            <v>Starting balance</v>
          </cell>
          <cell r="B57">
            <v>7528</v>
          </cell>
          <cell r="C57">
            <v>4550</v>
          </cell>
          <cell r="D57">
            <v>2978</v>
          </cell>
        </row>
        <row r="58">
          <cell r="A58" t="str">
            <v>new cases filed</v>
          </cell>
          <cell r="B58">
            <v>15351</v>
          </cell>
          <cell r="C58">
            <v>6338</v>
          </cell>
          <cell r="D58">
            <v>9013</v>
          </cell>
        </row>
        <row r="59">
          <cell r="A59" t="str">
            <v>concluded</v>
          </cell>
          <cell r="B59">
            <v>14232</v>
          </cell>
          <cell r="C59">
            <v>6099</v>
          </cell>
          <cell r="D59">
            <v>8133</v>
          </cell>
        </row>
        <row r="60">
          <cell r="A60" t="str">
            <v>ending balance</v>
          </cell>
          <cell r="B60">
            <v>8646</v>
          </cell>
          <cell r="C60">
            <v>4788</v>
          </cell>
          <cell r="D60">
            <v>3858</v>
          </cell>
        </row>
      </sheetData>
      <sheetData sheetId="1">
        <row r="14">
          <cell r="B14" t="str">
            <v xml:space="preserve">Criminal Cases </v>
          </cell>
        </row>
      </sheetData>
      <sheetData sheetId="2" refreshError="1"/>
      <sheetData sheetId="3" refreshError="1"/>
      <sheetData sheetId="4">
        <row r="14">
          <cell r="E14" t="str">
            <v>% share 2012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V42"/>
  <sheetViews>
    <sheetView tabSelected="1" topLeftCell="B1" zoomScaleNormal="100" zoomScaleSheetLayoutView="100" workbookViewId="0">
      <selection activeCell="Q8" sqref="Q8"/>
    </sheetView>
  </sheetViews>
  <sheetFormatPr defaultColWidth="9.140625" defaultRowHeight="15"/>
  <cols>
    <col min="1" max="1" width="0.85546875" style="85" customWidth="1"/>
    <col min="2" max="2" width="26.7109375" style="85" customWidth="1"/>
    <col min="3" max="5" width="9.140625" style="85" hidden="1" customWidth="1"/>
    <col min="6" max="14" width="9.140625" style="85" customWidth="1"/>
    <col min="15" max="16" width="9.42578125" style="85" customWidth="1"/>
    <col min="17" max="17" width="9.28515625" style="85" customWidth="1"/>
    <col min="18" max="18" width="35.140625" style="85" customWidth="1"/>
    <col min="19" max="19" width="10.7109375" style="7" customWidth="1"/>
    <col min="20" max="20" width="9.140625" style="7"/>
    <col min="21" max="21" width="22.140625" style="7" bestFit="1" customWidth="1"/>
    <col min="22" max="48" width="9.140625" style="7"/>
    <col min="49" max="16384" width="9.140625" style="85"/>
  </cols>
  <sheetData>
    <row r="1" spans="2:48" ht="21">
      <c r="B1" s="94" t="s">
        <v>116</v>
      </c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</row>
    <row r="2" spans="2:48" ht="21.75" customHeight="1">
      <c r="B2" s="91" t="s">
        <v>117</v>
      </c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U2" s="89" t="s">
        <v>129</v>
      </c>
    </row>
    <row r="3" spans="2:48" ht="30.75" customHeight="1">
      <c r="B3" s="92" t="s">
        <v>90</v>
      </c>
      <c r="C3" s="100">
        <v>2014</v>
      </c>
      <c r="D3" s="100"/>
      <c r="E3" s="101"/>
      <c r="F3" s="104">
        <v>2015</v>
      </c>
      <c r="G3" s="105"/>
      <c r="H3" s="106"/>
      <c r="I3" s="104" t="s">
        <v>130</v>
      </c>
      <c r="J3" s="105"/>
      <c r="K3" s="106"/>
      <c r="L3" s="104">
        <v>2017</v>
      </c>
      <c r="M3" s="105"/>
      <c r="N3" s="106"/>
      <c r="O3" s="110" t="s">
        <v>115</v>
      </c>
      <c r="P3" s="110"/>
      <c r="Q3" s="110"/>
      <c r="R3" s="97" t="s">
        <v>3</v>
      </c>
    </row>
    <row r="4" spans="2:48" ht="16.5" customHeight="1">
      <c r="B4" s="96"/>
      <c r="C4" s="102"/>
      <c r="D4" s="102"/>
      <c r="E4" s="103"/>
      <c r="F4" s="107"/>
      <c r="G4" s="108"/>
      <c r="H4" s="109"/>
      <c r="I4" s="107"/>
      <c r="J4" s="108"/>
      <c r="K4" s="109"/>
      <c r="L4" s="107"/>
      <c r="M4" s="108"/>
      <c r="N4" s="109"/>
      <c r="O4" s="111" t="s">
        <v>118</v>
      </c>
      <c r="P4" s="111"/>
      <c r="Q4" s="111"/>
      <c r="R4" s="98"/>
      <c r="U4" s="58"/>
      <c r="V4" s="58"/>
      <c r="W4" s="58"/>
      <c r="X4" s="58"/>
      <c r="Y4" s="58"/>
      <c r="Z4" s="58"/>
    </row>
    <row r="5" spans="2:48" ht="13.5" customHeight="1">
      <c r="B5" s="96"/>
      <c r="C5" s="48" t="s">
        <v>113</v>
      </c>
      <c r="D5" s="48" t="s">
        <v>64</v>
      </c>
      <c r="E5" s="49" t="s">
        <v>67</v>
      </c>
      <c r="F5" s="77" t="s">
        <v>113</v>
      </c>
      <c r="G5" s="48" t="s">
        <v>64</v>
      </c>
      <c r="H5" s="49" t="s">
        <v>67</v>
      </c>
      <c r="I5" s="77" t="s">
        <v>113</v>
      </c>
      <c r="J5" s="48" t="s">
        <v>64</v>
      </c>
      <c r="K5" s="49" t="s">
        <v>67</v>
      </c>
      <c r="L5" s="77" t="s">
        <v>113</v>
      </c>
      <c r="M5" s="48" t="s">
        <v>64</v>
      </c>
      <c r="N5" s="49" t="s">
        <v>67</v>
      </c>
      <c r="O5" s="48" t="s">
        <v>113</v>
      </c>
      <c r="P5" s="48" t="s">
        <v>64</v>
      </c>
      <c r="Q5" s="48" t="s">
        <v>67</v>
      </c>
      <c r="R5" s="98"/>
      <c r="U5" s="58"/>
      <c r="V5" s="58"/>
      <c r="W5" s="58"/>
      <c r="X5" s="58"/>
      <c r="Y5" s="58"/>
      <c r="Z5" s="58"/>
    </row>
    <row r="6" spans="2:48" ht="13.5" customHeight="1">
      <c r="B6" s="93"/>
      <c r="C6" s="88" t="s">
        <v>66</v>
      </c>
      <c r="D6" s="88" t="s">
        <v>36</v>
      </c>
      <c r="E6" s="50" t="s">
        <v>65</v>
      </c>
      <c r="F6" s="51" t="s">
        <v>66</v>
      </c>
      <c r="G6" s="88" t="s">
        <v>36</v>
      </c>
      <c r="H6" s="50" t="s">
        <v>65</v>
      </c>
      <c r="I6" s="51" t="s">
        <v>66</v>
      </c>
      <c r="J6" s="88" t="s">
        <v>36</v>
      </c>
      <c r="K6" s="50" t="s">
        <v>65</v>
      </c>
      <c r="L6" s="51" t="s">
        <v>66</v>
      </c>
      <c r="M6" s="88" t="s">
        <v>36</v>
      </c>
      <c r="N6" s="50" t="s">
        <v>65</v>
      </c>
      <c r="O6" s="88" t="s">
        <v>66</v>
      </c>
      <c r="P6" s="87" t="s">
        <v>36</v>
      </c>
      <c r="Q6" s="87" t="s">
        <v>65</v>
      </c>
      <c r="R6" s="99"/>
      <c r="U6" s="58"/>
      <c r="V6" s="58"/>
      <c r="W6" s="58"/>
      <c r="X6" s="58"/>
      <c r="Y6" s="58"/>
      <c r="Z6" s="58"/>
    </row>
    <row r="7" spans="2:48" s="8" customFormat="1" ht="19.5" customHeight="1">
      <c r="B7" s="11" t="s">
        <v>0</v>
      </c>
      <c r="C7" s="59">
        <f>SUM(D7:E7)</f>
        <v>18193</v>
      </c>
      <c r="D7" s="60">
        <f t="shared" ref="D7:K7" si="0">SUM(D8:D19)</f>
        <v>12660</v>
      </c>
      <c r="E7" s="61">
        <f t="shared" si="0"/>
        <v>5533</v>
      </c>
      <c r="F7" s="62">
        <f t="shared" si="0"/>
        <v>16362</v>
      </c>
      <c r="G7" s="60">
        <f t="shared" si="0"/>
        <v>11039</v>
      </c>
      <c r="H7" s="60">
        <f t="shared" si="0"/>
        <v>5323</v>
      </c>
      <c r="I7" s="62">
        <f>SUM(I8:I19)</f>
        <v>16287</v>
      </c>
      <c r="J7" s="60">
        <f t="shared" si="0"/>
        <v>11481</v>
      </c>
      <c r="K7" s="60">
        <f t="shared" si="0"/>
        <v>4806</v>
      </c>
      <c r="L7" s="62">
        <f>SUM(L8:L19)</f>
        <v>15535</v>
      </c>
      <c r="M7" s="60">
        <f t="shared" ref="M7:N7" si="1">SUM(M8:M19)</f>
        <v>10930</v>
      </c>
      <c r="N7" s="60">
        <f t="shared" si="1"/>
        <v>4605</v>
      </c>
      <c r="O7" s="72">
        <f>(L7-I7)/I7*100</f>
        <v>-4.6171793454902677</v>
      </c>
      <c r="P7" s="78">
        <f>(M7-J7)/J7*100</f>
        <v>-4.7992335162442297</v>
      </c>
      <c r="Q7" s="78">
        <f>(N7-K7)/K7*100</f>
        <v>-4.1822721598002497</v>
      </c>
      <c r="R7" s="81" t="s">
        <v>1</v>
      </c>
      <c r="S7" s="83"/>
      <c r="T7" s="80"/>
      <c r="U7" s="79"/>
      <c r="V7" s="79"/>
      <c r="W7" s="80"/>
      <c r="X7" s="79"/>
      <c r="Y7" s="79"/>
      <c r="Z7" s="11"/>
      <c r="AA7" s="11"/>
      <c r="AB7" s="11"/>
      <c r="AC7" s="83"/>
      <c r="AD7" s="83"/>
      <c r="AE7" s="83"/>
      <c r="AF7" s="83"/>
      <c r="AG7" s="83"/>
      <c r="AH7" s="83"/>
      <c r="AI7" s="83"/>
      <c r="AJ7" s="83"/>
      <c r="AK7" s="83"/>
      <c r="AL7" s="83"/>
      <c r="AM7" s="83"/>
      <c r="AN7" s="83"/>
      <c r="AO7" s="83"/>
      <c r="AP7" s="83"/>
      <c r="AQ7" s="83"/>
      <c r="AR7" s="83"/>
      <c r="AS7" s="83"/>
      <c r="AT7" s="83"/>
      <c r="AU7" s="83"/>
      <c r="AV7" s="83"/>
    </row>
    <row r="8" spans="2:48" ht="19.5" customHeight="1">
      <c r="B8" s="12" t="s">
        <v>4</v>
      </c>
      <c r="C8" s="60">
        <f>SUM(D8:E8)</f>
        <v>5080</v>
      </c>
      <c r="D8" s="63">
        <v>3662</v>
      </c>
      <c r="E8" s="64">
        <v>1418</v>
      </c>
      <c r="F8" s="65">
        <v>3994</v>
      </c>
      <c r="G8" s="63">
        <v>2816</v>
      </c>
      <c r="H8" s="64">
        <v>1178</v>
      </c>
      <c r="I8" s="65">
        <f>J8+K8</f>
        <v>3616</v>
      </c>
      <c r="J8" s="63">
        <v>2596</v>
      </c>
      <c r="K8" s="64">
        <v>1020</v>
      </c>
      <c r="L8" s="65">
        <f>SUM(M8:N8)</f>
        <v>3503</v>
      </c>
      <c r="M8" s="63">
        <v>2509</v>
      </c>
      <c r="N8" s="64">
        <v>994</v>
      </c>
      <c r="O8" s="73">
        <f>(L8-I8)/I8*100</f>
        <v>-3.125</v>
      </c>
      <c r="P8" s="74">
        <f t="shared" ref="P8:P26" si="2">(M8-J8)/J8*100</f>
        <v>-3.3513097072419105</v>
      </c>
      <c r="Q8" s="74">
        <f t="shared" ref="Q8:Q30" si="3">(N8-K8)/K8*100</f>
        <v>-2.5490196078431371</v>
      </c>
      <c r="R8" s="52" t="s">
        <v>5</v>
      </c>
      <c r="S8" s="12"/>
      <c r="T8" s="80"/>
      <c r="U8" s="79"/>
      <c r="V8" s="79"/>
      <c r="W8" s="80"/>
      <c r="X8" s="79"/>
      <c r="Y8" s="79"/>
      <c r="Z8" s="11"/>
      <c r="AA8" s="11"/>
      <c r="AB8" s="11"/>
    </row>
    <row r="9" spans="2:48" ht="19.5" customHeight="1">
      <c r="B9" s="12" t="s">
        <v>91</v>
      </c>
      <c r="C9" s="60">
        <f t="shared" ref="C9:C29" si="4">SUM(D9:E9)</f>
        <v>2137</v>
      </c>
      <c r="D9" s="63">
        <v>1993</v>
      </c>
      <c r="E9" s="64">
        <v>144</v>
      </c>
      <c r="F9" s="65">
        <v>2044</v>
      </c>
      <c r="G9" s="63">
        <v>1921</v>
      </c>
      <c r="H9" s="64">
        <v>123</v>
      </c>
      <c r="I9" s="65">
        <f t="shared" ref="I9:I30" si="5">J9+K9</f>
        <v>2242</v>
      </c>
      <c r="J9" s="63">
        <v>2061</v>
      </c>
      <c r="K9" s="64">
        <v>181</v>
      </c>
      <c r="L9" s="65">
        <f t="shared" ref="L9:L18" si="6">SUM(M9:N9)</f>
        <v>2105</v>
      </c>
      <c r="M9" s="63">
        <v>1926</v>
      </c>
      <c r="N9" s="64">
        <v>179</v>
      </c>
      <c r="O9" s="73">
        <f t="shared" ref="O9:O30" si="7">(L9-I9)/I9*100</f>
        <v>-6.1106155218554861</v>
      </c>
      <c r="P9" s="74">
        <f t="shared" si="2"/>
        <v>-6.5502183406113534</v>
      </c>
      <c r="Q9" s="74">
        <f t="shared" si="3"/>
        <v>-1.1049723756906076</v>
      </c>
      <c r="R9" s="52" t="s">
        <v>92</v>
      </c>
      <c r="S9" s="12"/>
      <c r="T9" s="80"/>
      <c r="U9" s="79"/>
      <c r="V9" s="79"/>
      <c r="W9" s="80"/>
      <c r="X9" s="79"/>
      <c r="Y9" s="79"/>
      <c r="Z9" s="11"/>
      <c r="AA9" s="11"/>
      <c r="AB9" s="11"/>
    </row>
    <row r="10" spans="2:48" ht="19.5" customHeight="1">
      <c r="B10" s="12" t="s">
        <v>6</v>
      </c>
      <c r="C10" s="60">
        <f t="shared" si="4"/>
        <v>3140</v>
      </c>
      <c r="D10" s="63">
        <v>1906</v>
      </c>
      <c r="E10" s="64">
        <v>1234</v>
      </c>
      <c r="F10" s="65">
        <v>2079</v>
      </c>
      <c r="G10" s="63">
        <v>1170</v>
      </c>
      <c r="H10" s="64">
        <v>909</v>
      </c>
      <c r="I10" s="65">
        <f t="shared" si="5"/>
        <v>2375</v>
      </c>
      <c r="J10" s="63">
        <v>1369</v>
      </c>
      <c r="K10" s="64">
        <v>1006</v>
      </c>
      <c r="L10" s="65">
        <f t="shared" si="6"/>
        <v>2038</v>
      </c>
      <c r="M10" s="63">
        <v>1167</v>
      </c>
      <c r="N10" s="64">
        <v>871</v>
      </c>
      <c r="O10" s="73">
        <f t="shared" si="7"/>
        <v>-14.189473684210526</v>
      </c>
      <c r="P10" s="74">
        <f t="shared" si="2"/>
        <v>-14.755295836376916</v>
      </c>
      <c r="Q10" s="74">
        <f t="shared" si="3"/>
        <v>-13.419483101391648</v>
      </c>
      <c r="R10" s="52" t="s">
        <v>7</v>
      </c>
      <c r="S10" s="12"/>
      <c r="T10" s="80"/>
      <c r="U10" s="79"/>
      <c r="V10" s="79"/>
      <c r="W10" s="80"/>
      <c r="X10" s="79"/>
      <c r="Y10" s="79"/>
      <c r="Z10" s="11"/>
      <c r="AA10" s="11"/>
      <c r="AB10" s="11"/>
    </row>
    <row r="11" spans="2:48" ht="19.5" customHeight="1">
      <c r="B11" s="12" t="s">
        <v>8</v>
      </c>
      <c r="C11" s="60">
        <f t="shared" si="4"/>
        <v>2014</v>
      </c>
      <c r="D11" s="63">
        <v>1611</v>
      </c>
      <c r="E11" s="64">
        <v>403</v>
      </c>
      <c r="F11" s="65">
        <v>1712</v>
      </c>
      <c r="G11" s="63">
        <v>1289</v>
      </c>
      <c r="H11" s="64">
        <v>423</v>
      </c>
      <c r="I11" s="65">
        <f t="shared" si="5"/>
        <v>1829</v>
      </c>
      <c r="J11" s="63">
        <v>1431</v>
      </c>
      <c r="K11" s="64">
        <v>398</v>
      </c>
      <c r="L11" s="65">
        <f t="shared" si="6"/>
        <v>1655</v>
      </c>
      <c r="M11" s="63">
        <v>1306</v>
      </c>
      <c r="N11" s="64">
        <v>349</v>
      </c>
      <c r="O11" s="73">
        <f t="shared" si="7"/>
        <v>-9.5133952979770378</v>
      </c>
      <c r="P11" s="74">
        <f t="shared" si="2"/>
        <v>-8.7351502445842062</v>
      </c>
      <c r="Q11" s="74">
        <f t="shared" si="3"/>
        <v>-12.311557788944723</v>
      </c>
      <c r="R11" s="52" t="s">
        <v>9</v>
      </c>
      <c r="S11" s="12"/>
      <c r="T11" s="80"/>
      <c r="U11" s="79"/>
      <c r="V11" s="79"/>
      <c r="W11" s="80"/>
      <c r="X11" s="79"/>
      <c r="Y11" s="79"/>
      <c r="Z11" s="11"/>
      <c r="AA11" s="11"/>
      <c r="AB11" s="11"/>
    </row>
    <row r="12" spans="2:48" ht="19.5" customHeight="1">
      <c r="B12" s="12" t="s">
        <v>10</v>
      </c>
      <c r="C12" s="60">
        <f t="shared" si="4"/>
        <v>1062</v>
      </c>
      <c r="D12" s="63">
        <v>494</v>
      </c>
      <c r="E12" s="64">
        <v>568</v>
      </c>
      <c r="F12" s="65">
        <v>932</v>
      </c>
      <c r="G12" s="63">
        <v>399</v>
      </c>
      <c r="H12" s="64">
        <v>533</v>
      </c>
      <c r="I12" s="65">
        <f t="shared" si="5"/>
        <v>781</v>
      </c>
      <c r="J12" s="63">
        <v>375</v>
      </c>
      <c r="K12" s="64">
        <v>406</v>
      </c>
      <c r="L12" s="65">
        <f t="shared" si="6"/>
        <v>770</v>
      </c>
      <c r="M12" s="63">
        <v>360</v>
      </c>
      <c r="N12" s="64">
        <v>410</v>
      </c>
      <c r="O12" s="73">
        <f t="shared" si="7"/>
        <v>-1.4084507042253522</v>
      </c>
      <c r="P12" s="74">
        <f t="shared" si="2"/>
        <v>-4</v>
      </c>
      <c r="Q12" s="74">
        <f t="shared" si="3"/>
        <v>0.98522167487684731</v>
      </c>
      <c r="R12" s="52" t="s">
        <v>11</v>
      </c>
      <c r="S12" s="12"/>
      <c r="T12" s="80"/>
      <c r="U12" s="79"/>
      <c r="V12" s="79"/>
      <c r="W12" s="80"/>
      <c r="X12" s="79"/>
      <c r="Y12" s="79"/>
      <c r="Z12" s="11"/>
      <c r="AA12" s="11"/>
      <c r="AB12" s="11"/>
    </row>
    <row r="13" spans="2:48" ht="19.5" customHeight="1">
      <c r="B13" s="12" t="s">
        <v>12</v>
      </c>
      <c r="C13" s="60">
        <f t="shared" si="4"/>
        <v>520</v>
      </c>
      <c r="D13" s="63">
        <v>277</v>
      </c>
      <c r="E13" s="64">
        <v>243</v>
      </c>
      <c r="F13" s="65">
        <v>535</v>
      </c>
      <c r="G13" s="63">
        <v>289</v>
      </c>
      <c r="H13" s="64">
        <v>246</v>
      </c>
      <c r="I13" s="65">
        <f t="shared" si="5"/>
        <v>359</v>
      </c>
      <c r="J13" s="63">
        <v>202</v>
      </c>
      <c r="K13" s="64">
        <v>157</v>
      </c>
      <c r="L13" s="65">
        <f t="shared" si="6"/>
        <v>455</v>
      </c>
      <c r="M13" s="63">
        <v>296</v>
      </c>
      <c r="N13" s="64">
        <v>159</v>
      </c>
      <c r="O13" s="73">
        <f t="shared" si="7"/>
        <v>26.740947075208915</v>
      </c>
      <c r="P13" s="74">
        <f t="shared" si="2"/>
        <v>46.534653465346537</v>
      </c>
      <c r="Q13" s="74">
        <f t="shared" si="3"/>
        <v>1.2738853503184715</v>
      </c>
      <c r="R13" s="52" t="s">
        <v>13</v>
      </c>
      <c r="S13" s="12"/>
      <c r="T13" s="80"/>
      <c r="U13" s="79"/>
      <c r="V13" s="79"/>
      <c r="W13" s="80"/>
      <c r="X13" s="79"/>
      <c r="Y13" s="79"/>
      <c r="Z13" s="11"/>
      <c r="AA13" s="11"/>
      <c r="AB13" s="11"/>
    </row>
    <row r="14" spans="2:48" ht="19.5" customHeight="1">
      <c r="B14" s="12" t="s">
        <v>14</v>
      </c>
      <c r="C14" s="60">
        <f t="shared" si="4"/>
        <v>620</v>
      </c>
      <c r="D14" s="63">
        <v>561</v>
      </c>
      <c r="E14" s="64">
        <v>59</v>
      </c>
      <c r="F14" s="65">
        <v>545</v>
      </c>
      <c r="G14" s="63">
        <v>496</v>
      </c>
      <c r="H14" s="64">
        <v>49</v>
      </c>
      <c r="I14" s="65">
        <f t="shared" si="5"/>
        <v>716</v>
      </c>
      <c r="J14" s="63">
        <v>675</v>
      </c>
      <c r="K14" s="64">
        <v>41</v>
      </c>
      <c r="L14" s="65">
        <f t="shared" si="6"/>
        <v>662</v>
      </c>
      <c r="M14" s="63">
        <v>619</v>
      </c>
      <c r="N14" s="64">
        <v>43</v>
      </c>
      <c r="O14" s="73">
        <f t="shared" si="7"/>
        <v>-7.5418994413407825</v>
      </c>
      <c r="P14" s="74">
        <f t="shared" si="2"/>
        <v>-8.2962962962962958</v>
      </c>
      <c r="Q14" s="74">
        <f t="shared" si="3"/>
        <v>4.8780487804878048</v>
      </c>
      <c r="R14" s="52" t="s">
        <v>15</v>
      </c>
      <c r="S14" s="12"/>
      <c r="T14" s="80"/>
      <c r="U14" s="79"/>
      <c r="V14" s="79"/>
      <c r="W14" s="80"/>
      <c r="X14" s="79"/>
      <c r="Y14" s="79"/>
      <c r="Z14" s="11"/>
      <c r="AA14" s="11"/>
      <c r="AB14" s="11"/>
    </row>
    <row r="15" spans="2:48" ht="19.5" customHeight="1">
      <c r="B15" s="12" t="s">
        <v>16</v>
      </c>
      <c r="C15" s="60">
        <f t="shared" si="4"/>
        <v>475</v>
      </c>
      <c r="D15" s="63">
        <v>136</v>
      </c>
      <c r="E15" s="64">
        <v>339</v>
      </c>
      <c r="F15" s="65">
        <v>534</v>
      </c>
      <c r="G15" s="63">
        <v>135</v>
      </c>
      <c r="H15" s="64">
        <v>399</v>
      </c>
      <c r="I15" s="65">
        <f t="shared" si="5"/>
        <v>467</v>
      </c>
      <c r="J15" s="63">
        <v>152</v>
      </c>
      <c r="K15" s="64">
        <v>315</v>
      </c>
      <c r="L15" s="65">
        <f t="shared" si="6"/>
        <v>417</v>
      </c>
      <c r="M15" s="63">
        <v>129</v>
      </c>
      <c r="N15" s="64">
        <v>288</v>
      </c>
      <c r="O15" s="73">
        <f t="shared" si="7"/>
        <v>-10.706638115631693</v>
      </c>
      <c r="P15" s="74">
        <f t="shared" si="2"/>
        <v>-15.131578947368421</v>
      </c>
      <c r="Q15" s="74">
        <f t="shared" si="3"/>
        <v>-8.5714285714285712</v>
      </c>
      <c r="R15" s="52" t="s">
        <v>17</v>
      </c>
      <c r="S15" s="12"/>
      <c r="T15" s="80"/>
      <c r="U15" s="79"/>
      <c r="V15" s="79"/>
      <c r="W15" s="80"/>
      <c r="X15" s="79"/>
      <c r="Y15" s="79"/>
      <c r="Z15" s="11"/>
      <c r="AA15" s="11"/>
      <c r="AB15" s="11"/>
    </row>
    <row r="16" spans="2:48" ht="19.5" customHeight="1">
      <c r="B16" s="12" t="s">
        <v>25</v>
      </c>
      <c r="C16" s="60">
        <f t="shared" si="4"/>
        <v>377</v>
      </c>
      <c r="D16" s="63">
        <v>288</v>
      </c>
      <c r="E16" s="64">
        <v>89</v>
      </c>
      <c r="F16" s="65">
        <v>743</v>
      </c>
      <c r="G16" s="63">
        <v>607</v>
      </c>
      <c r="H16" s="64">
        <v>136</v>
      </c>
      <c r="I16" s="65">
        <f t="shared" si="5"/>
        <v>523</v>
      </c>
      <c r="J16" s="63">
        <v>438</v>
      </c>
      <c r="K16" s="64">
        <v>85</v>
      </c>
      <c r="L16" s="65">
        <f t="shared" si="6"/>
        <v>518</v>
      </c>
      <c r="M16" s="63">
        <v>435</v>
      </c>
      <c r="N16" s="64">
        <v>83</v>
      </c>
      <c r="O16" s="73">
        <f t="shared" si="7"/>
        <v>-0.95602294455066927</v>
      </c>
      <c r="P16" s="74">
        <f t="shared" si="2"/>
        <v>-0.68493150684931503</v>
      </c>
      <c r="Q16" s="74">
        <f t="shared" si="3"/>
        <v>-2.3529411764705883</v>
      </c>
      <c r="R16" s="52" t="s">
        <v>18</v>
      </c>
      <c r="S16" s="12"/>
      <c r="T16" s="80"/>
      <c r="U16" s="79"/>
      <c r="V16" s="79"/>
      <c r="W16" s="80"/>
      <c r="X16" s="79"/>
      <c r="Y16" s="79"/>
      <c r="Z16" s="11"/>
      <c r="AA16" s="11"/>
      <c r="AB16" s="11"/>
    </row>
    <row r="17" spans="1:28" ht="19.5" customHeight="1">
      <c r="B17" s="12" t="s">
        <v>19</v>
      </c>
      <c r="C17" s="60">
        <f t="shared" si="4"/>
        <v>186</v>
      </c>
      <c r="D17" s="63">
        <v>101</v>
      </c>
      <c r="E17" s="64">
        <v>85</v>
      </c>
      <c r="F17" s="65">
        <v>341</v>
      </c>
      <c r="G17" s="63">
        <v>135</v>
      </c>
      <c r="H17" s="64">
        <v>206</v>
      </c>
      <c r="I17" s="65">
        <f t="shared" si="5"/>
        <v>305</v>
      </c>
      <c r="J17" s="63">
        <v>149</v>
      </c>
      <c r="K17" s="64">
        <v>156</v>
      </c>
      <c r="L17" s="65">
        <f t="shared" si="6"/>
        <v>279</v>
      </c>
      <c r="M17" s="63">
        <v>133</v>
      </c>
      <c r="N17" s="64">
        <v>146</v>
      </c>
      <c r="O17" s="73">
        <f t="shared" si="7"/>
        <v>-8.524590163934425</v>
      </c>
      <c r="P17" s="74">
        <f t="shared" si="2"/>
        <v>-10.738255033557047</v>
      </c>
      <c r="Q17" s="74">
        <f t="shared" si="3"/>
        <v>-6.4102564102564097</v>
      </c>
      <c r="R17" s="52" t="s">
        <v>20</v>
      </c>
      <c r="S17" s="12"/>
      <c r="T17" s="80"/>
      <c r="U17" s="79"/>
      <c r="V17" s="79"/>
      <c r="W17" s="80"/>
      <c r="X17" s="79"/>
      <c r="Y17" s="79"/>
      <c r="Z17" s="11"/>
      <c r="AA17" s="11"/>
      <c r="AB17" s="11"/>
    </row>
    <row r="18" spans="1:28" ht="19.5" customHeight="1">
      <c r="B18" s="12" t="s">
        <v>24</v>
      </c>
      <c r="C18" s="60">
        <f t="shared" si="4"/>
        <v>77</v>
      </c>
      <c r="D18" s="63">
        <v>65</v>
      </c>
      <c r="E18" s="64">
        <v>12</v>
      </c>
      <c r="F18" s="65">
        <v>91</v>
      </c>
      <c r="G18" s="63">
        <v>75</v>
      </c>
      <c r="H18" s="64">
        <v>16</v>
      </c>
      <c r="I18" s="65">
        <f t="shared" si="5"/>
        <v>97</v>
      </c>
      <c r="J18" s="63">
        <v>76</v>
      </c>
      <c r="K18" s="64">
        <v>21</v>
      </c>
      <c r="L18" s="65">
        <f t="shared" si="6"/>
        <v>86</v>
      </c>
      <c r="M18" s="63">
        <v>71</v>
      </c>
      <c r="N18" s="64">
        <v>15</v>
      </c>
      <c r="O18" s="73">
        <f t="shared" si="7"/>
        <v>-11.340206185567011</v>
      </c>
      <c r="P18" s="74">
        <f t="shared" si="2"/>
        <v>-6.5789473684210522</v>
      </c>
      <c r="Q18" s="74">
        <f t="shared" si="3"/>
        <v>-28.571428571428569</v>
      </c>
      <c r="R18" s="10" t="s">
        <v>114</v>
      </c>
      <c r="S18" s="12"/>
      <c r="T18" s="80"/>
      <c r="U18" s="79"/>
      <c r="V18" s="79"/>
      <c r="W18" s="80"/>
      <c r="X18" s="79"/>
      <c r="Y18" s="79"/>
      <c r="Z18" s="11"/>
      <c r="AA18" s="11"/>
      <c r="AB18" s="11"/>
    </row>
    <row r="19" spans="1:28" ht="19.5" customHeight="1">
      <c r="B19" s="12" t="s">
        <v>21</v>
      </c>
      <c r="C19" s="60">
        <f t="shared" si="4"/>
        <v>2505</v>
      </c>
      <c r="D19" s="63">
        <f>SUM(D20:D30)</f>
        <v>1566</v>
      </c>
      <c r="E19" s="64">
        <f>SUM(E20:E30)</f>
        <v>939</v>
      </c>
      <c r="F19" s="65">
        <v>2812</v>
      </c>
      <c r="G19" s="63">
        <v>1707</v>
      </c>
      <c r="H19" s="64">
        <v>1105</v>
      </c>
      <c r="I19" s="65">
        <f t="shared" si="5"/>
        <v>2977</v>
      </c>
      <c r="J19" s="63">
        <v>1957</v>
      </c>
      <c r="K19" s="63">
        <v>1020</v>
      </c>
      <c r="L19" s="65">
        <f>SUM(M19:N19)</f>
        <v>3047</v>
      </c>
      <c r="M19" s="63">
        <v>1979</v>
      </c>
      <c r="N19" s="63">
        <v>1068</v>
      </c>
      <c r="O19" s="73">
        <f t="shared" si="7"/>
        <v>2.3513604299630502</v>
      </c>
      <c r="P19" s="74">
        <f t="shared" si="2"/>
        <v>1.1241696474195195</v>
      </c>
      <c r="Q19" s="74">
        <f t="shared" si="3"/>
        <v>4.7058823529411766</v>
      </c>
      <c r="R19" s="52" t="s">
        <v>22</v>
      </c>
      <c r="S19" s="12"/>
      <c r="T19" s="80"/>
      <c r="U19" s="79"/>
      <c r="V19" s="79"/>
      <c r="W19" s="80"/>
      <c r="X19" s="79"/>
      <c r="Y19" s="79"/>
      <c r="Z19" s="11"/>
      <c r="AA19" s="11"/>
      <c r="AB19" s="11"/>
    </row>
    <row r="20" spans="1:28" ht="19.5" customHeight="1">
      <c r="A20" s="85" t="s">
        <v>123</v>
      </c>
      <c r="B20" s="53" t="s">
        <v>93</v>
      </c>
      <c r="C20" s="60">
        <f t="shared" si="4"/>
        <v>592</v>
      </c>
      <c r="D20" s="63">
        <v>329</v>
      </c>
      <c r="E20" s="64">
        <v>263</v>
      </c>
      <c r="F20" s="65">
        <v>530</v>
      </c>
      <c r="G20" s="63">
        <v>268</v>
      </c>
      <c r="H20" s="64">
        <v>262</v>
      </c>
      <c r="I20" s="65">
        <f t="shared" si="5"/>
        <v>593</v>
      </c>
      <c r="J20" s="63">
        <v>362</v>
      </c>
      <c r="K20" s="63">
        <v>231</v>
      </c>
      <c r="L20" s="65">
        <f t="shared" ref="L20:L30" si="8">M20+N20</f>
        <v>636</v>
      </c>
      <c r="M20" s="63">
        <v>402</v>
      </c>
      <c r="N20" s="63">
        <v>234</v>
      </c>
      <c r="O20" s="73">
        <f t="shared" si="7"/>
        <v>7.2512647554806078</v>
      </c>
      <c r="P20" s="74">
        <f t="shared" si="2"/>
        <v>11.049723756906078</v>
      </c>
      <c r="Q20" s="74">
        <f t="shared" si="3"/>
        <v>1.2987012987012987</v>
      </c>
      <c r="R20" s="52" t="s">
        <v>111</v>
      </c>
      <c r="U20" s="58"/>
      <c r="V20" s="58"/>
      <c r="W20" s="58"/>
      <c r="X20" s="58"/>
      <c r="Y20" s="58"/>
      <c r="Z20" s="58"/>
    </row>
    <row r="21" spans="1:28" ht="19.5" customHeight="1">
      <c r="A21" s="85" t="s">
        <v>124</v>
      </c>
      <c r="B21" s="53" t="s">
        <v>94</v>
      </c>
      <c r="C21" s="60">
        <f t="shared" si="4"/>
        <v>57</v>
      </c>
      <c r="D21" s="63">
        <v>22</v>
      </c>
      <c r="E21" s="64">
        <v>35</v>
      </c>
      <c r="F21" s="65">
        <v>60</v>
      </c>
      <c r="G21" s="63">
        <v>26</v>
      </c>
      <c r="H21" s="64">
        <v>34</v>
      </c>
      <c r="I21" s="65">
        <f t="shared" si="5"/>
        <v>66</v>
      </c>
      <c r="J21" s="63">
        <v>31</v>
      </c>
      <c r="K21" s="63">
        <v>35</v>
      </c>
      <c r="L21" s="65">
        <f t="shared" si="8"/>
        <v>75</v>
      </c>
      <c r="M21" s="63">
        <v>29</v>
      </c>
      <c r="N21" s="63">
        <v>46</v>
      </c>
      <c r="O21" s="73">
        <f t="shared" si="7"/>
        <v>13.636363636363635</v>
      </c>
      <c r="P21" s="74">
        <f t="shared" si="2"/>
        <v>-6.4516129032258061</v>
      </c>
      <c r="Q21" s="74">
        <f t="shared" si="3"/>
        <v>31.428571428571427</v>
      </c>
      <c r="R21" s="52" t="s">
        <v>112</v>
      </c>
      <c r="U21" s="58"/>
      <c r="V21" s="58"/>
      <c r="W21" s="58"/>
      <c r="X21" s="58"/>
      <c r="Y21" s="58"/>
      <c r="Z21" s="58"/>
    </row>
    <row r="22" spans="1:28" ht="19.5" customHeight="1">
      <c r="A22" s="85" t="s">
        <v>125</v>
      </c>
      <c r="B22" s="53" t="s">
        <v>95</v>
      </c>
      <c r="C22" s="60">
        <f t="shared" si="4"/>
        <v>52</v>
      </c>
      <c r="D22" s="63">
        <v>4</v>
      </c>
      <c r="E22" s="64">
        <v>48</v>
      </c>
      <c r="F22" s="65">
        <v>25</v>
      </c>
      <c r="G22" s="63">
        <v>8</v>
      </c>
      <c r="H22" s="64">
        <v>17</v>
      </c>
      <c r="I22" s="65">
        <f t="shared" si="5"/>
        <v>22</v>
      </c>
      <c r="J22" s="63">
        <v>6</v>
      </c>
      <c r="K22" s="63">
        <v>16</v>
      </c>
      <c r="L22" s="65">
        <f t="shared" si="8"/>
        <v>9</v>
      </c>
      <c r="M22" s="63">
        <v>2</v>
      </c>
      <c r="N22" s="63">
        <v>7</v>
      </c>
      <c r="O22" s="73">
        <f t="shared" si="7"/>
        <v>-59.090909090909093</v>
      </c>
      <c r="P22" s="74">
        <f t="shared" si="2"/>
        <v>-66.666666666666657</v>
      </c>
      <c r="Q22" s="74">
        <f t="shared" si="3"/>
        <v>-56.25</v>
      </c>
      <c r="R22" s="54" t="s">
        <v>96</v>
      </c>
      <c r="U22" s="58"/>
      <c r="V22" s="58"/>
      <c r="W22" s="58"/>
      <c r="X22" s="58"/>
      <c r="Y22" s="58"/>
      <c r="Z22" s="58"/>
    </row>
    <row r="23" spans="1:28" ht="35.25" customHeight="1">
      <c r="A23" s="85" t="s">
        <v>126</v>
      </c>
      <c r="B23" s="53" t="s">
        <v>97</v>
      </c>
      <c r="C23" s="60">
        <f t="shared" si="4"/>
        <v>40</v>
      </c>
      <c r="D23" s="66">
        <v>26</v>
      </c>
      <c r="E23" s="67">
        <v>14</v>
      </c>
      <c r="F23" s="65">
        <v>38</v>
      </c>
      <c r="G23" s="66">
        <v>19</v>
      </c>
      <c r="H23" s="67">
        <v>19</v>
      </c>
      <c r="I23" s="65">
        <f t="shared" si="5"/>
        <v>45</v>
      </c>
      <c r="J23" s="63">
        <v>31</v>
      </c>
      <c r="K23" s="63">
        <v>14</v>
      </c>
      <c r="L23" s="65">
        <f t="shared" si="8"/>
        <v>26</v>
      </c>
      <c r="M23" s="63">
        <v>16</v>
      </c>
      <c r="N23" s="63">
        <v>10</v>
      </c>
      <c r="O23" s="73">
        <f t="shared" si="7"/>
        <v>-42.222222222222221</v>
      </c>
      <c r="P23" s="74">
        <f t="shared" si="2"/>
        <v>-48.387096774193552</v>
      </c>
      <c r="Q23" s="74">
        <f t="shared" si="3"/>
        <v>-28.571428571428569</v>
      </c>
      <c r="R23" s="84" t="s">
        <v>98</v>
      </c>
      <c r="U23" s="58"/>
      <c r="V23" s="58"/>
      <c r="W23" s="58"/>
      <c r="X23" s="58"/>
      <c r="Y23" s="58"/>
      <c r="Z23" s="58"/>
    </row>
    <row r="24" spans="1:28" ht="19.5" customHeight="1">
      <c r="A24" s="85" t="s">
        <v>127</v>
      </c>
      <c r="B24" s="53" t="s">
        <v>99</v>
      </c>
      <c r="C24" s="60">
        <f t="shared" si="4"/>
        <v>42</v>
      </c>
      <c r="D24" s="66">
        <v>5</v>
      </c>
      <c r="E24" s="67">
        <v>37</v>
      </c>
      <c r="F24" s="65">
        <v>61</v>
      </c>
      <c r="G24" s="66">
        <v>14</v>
      </c>
      <c r="H24" s="67">
        <v>47</v>
      </c>
      <c r="I24" s="65">
        <f t="shared" si="5"/>
        <v>35</v>
      </c>
      <c r="J24" s="63">
        <v>8</v>
      </c>
      <c r="K24" s="63">
        <v>27</v>
      </c>
      <c r="L24" s="65">
        <f t="shared" si="8"/>
        <v>32</v>
      </c>
      <c r="M24" s="63">
        <v>6</v>
      </c>
      <c r="N24" s="63">
        <v>26</v>
      </c>
      <c r="O24" s="73">
        <f t="shared" si="7"/>
        <v>-8.5714285714285712</v>
      </c>
      <c r="P24" s="74">
        <f t="shared" si="2"/>
        <v>-25</v>
      </c>
      <c r="Q24" s="74">
        <f t="shared" si="3"/>
        <v>-3.7037037037037033</v>
      </c>
      <c r="R24" s="54" t="s">
        <v>100</v>
      </c>
      <c r="U24" s="58"/>
      <c r="V24" s="58"/>
      <c r="W24" s="58"/>
      <c r="X24" s="58"/>
      <c r="Y24" s="58"/>
      <c r="Z24" s="58"/>
    </row>
    <row r="25" spans="1:28" ht="19.5" customHeight="1">
      <c r="A25" s="85" t="s">
        <v>128</v>
      </c>
      <c r="B25" s="53" t="s">
        <v>101</v>
      </c>
      <c r="C25" s="60">
        <f t="shared" si="4"/>
        <v>166</v>
      </c>
      <c r="D25" s="66">
        <v>70</v>
      </c>
      <c r="E25" s="67">
        <v>96</v>
      </c>
      <c r="F25" s="65">
        <v>145</v>
      </c>
      <c r="G25" s="66">
        <v>77</v>
      </c>
      <c r="H25" s="67">
        <v>68</v>
      </c>
      <c r="I25" s="65">
        <f t="shared" si="5"/>
        <v>144</v>
      </c>
      <c r="J25" s="63">
        <v>75</v>
      </c>
      <c r="K25" s="63">
        <v>69</v>
      </c>
      <c r="L25" s="65">
        <f t="shared" si="8"/>
        <v>145</v>
      </c>
      <c r="M25" s="63">
        <v>74</v>
      </c>
      <c r="N25" s="63">
        <v>71</v>
      </c>
      <c r="O25" s="73">
        <f t="shared" si="7"/>
        <v>0.69444444444444442</v>
      </c>
      <c r="P25" s="74">
        <f t="shared" si="2"/>
        <v>-1.3333333333333335</v>
      </c>
      <c r="Q25" s="74">
        <f t="shared" si="3"/>
        <v>2.8985507246376812</v>
      </c>
      <c r="R25" s="54" t="s">
        <v>102</v>
      </c>
      <c r="U25" s="58"/>
      <c r="V25" s="58"/>
      <c r="W25" s="58"/>
      <c r="X25" s="58"/>
      <c r="Y25" s="58"/>
      <c r="Z25" s="58"/>
    </row>
    <row r="26" spans="1:28" ht="19.5" customHeight="1">
      <c r="A26" s="85" t="s">
        <v>119</v>
      </c>
      <c r="B26" s="53" t="s">
        <v>103</v>
      </c>
      <c r="C26" s="60">
        <f t="shared" si="4"/>
        <v>65</v>
      </c>
      <c r="D26" s="66">
        <v>39</v>
      </c>
      <c r="E26" s="67">
        <v>26</v>
      </c>
      <c r="F26" s="65">
        <v>96</v>
      </c>
      <c r="G26" s="66">
        <v>58</v>
      </c>
      <c r="H26" s="67">
        <v>38</v>
      </c>
      <c r="I26" s="65">
        <f t="shared" si="5"/>
        <v>51</v>
      </c>
      <c r="J26" s="63">
        <v>33</v>
      </c>
      <c r="K26" s="63">
        <v>18</v>
      </c>
      <c r="L26" s="65">
        <f t="shared" si="8"/>
        <v>71</v>
      </c>
      <c r="M26" s="63">
        <v>38</v>
      </c>
      <c r="N26" s="63">
        <v>33</v>
      </c>
      <c r="O26" s="73">
        <f t="shared" si="7"/>
        <v>39.215686274509807</v>
      </c>
      <c r="P26" s="74">
        <f t="shared" si="2"/>
        <v>15.151515151515152</v>
      </c>
      <c r="Q26" s="74">
        <f t="shared" si="3"/>
        <v>83.333333333333343</v>
      </c>
      <c r="R26" s="54" t="s">
        <v>104</v>
      </c>
      <c r="U26" s="58"/>
      <c r="V26" s="58"/>
      <c r="W26" s="58"/>
      <c r="X26" s="58"/>
      <c r="Y26" s="58"/>
      <c r="Z26" s="58"/>
    </row>
    <row r="27" spans="1:28" ht="19.5" customHeight="1">
      <c r="A27" s="85" t="s">
        <v>122</v>
      </c>
      <c r="B27" s="53" t="s">
        <v>105</v>
      </c>
      <c r="C27" s="60">
        <f t="shared" si="4"/>
        <v>5</v>
      </c>
      <c r="D27" s="66">
        <v>3</v>
      </c>
      <c r="E27" s="67">
        <v>2</v>
      </c>
      <c r="F27" s="65">
        <v>6</v>
      </c>
      <c r="G27" s="86">
        <v>0</v>
      </c>
      <c r="H27" s="67">
        <v>6</v>
      </c>
      <c r="I27" s="65">
        <f t="shared" si="5"/>
        <v>3</v>
      </c>
      <c r="J27" s="63">
        <v>1</v>
      </c>
      <c r="K27" s="63">
        <v>2</v>
      </c>
      <c r="L27" s="65">
        <f t="shared" si="8"/>
        <v>4</v>
      </c>
      <c r="M27" s="63">
        <v>2</v>
      </c>
      <c r="N27" s="63">
        <v>2</v>
      </c>
      <c r="O27" s="73">
        <f t="shared" si="7"/>
        <v>33.333333333333329</v>
      </c>
      <c r="P27" s="74">
        <v>0</v>
      </c>
      <c r="Q27" s="74">
        <f t="shared" si="3"/>
        <v>0</v>
      </c>
      <c r="R27" s="54" t="s">
        <v>106</v>
      </c>
      <c r="U27" s="58"/>
      <c r="V27" s="58"/>
      <c r="W27" s="58"/>
      <c r="X27" s="58"/>
      <c r="Y27" s="58"/>
      <c r="Z27" s="58"/>
    </row>
    <row r="28" spans="1:28" ht="19.5" customHeight="1">
      <c r="A28" s="85" t="s">
        <v>121</v>
      </c>
      <c r="B28" s="53" t="s">
        <v>107</v>
      </c>
      <c r="C28" s="60">
        <f t="shared" si="4"/>
        <v>42</v>
      </c>
      <c r="D28" s="66">
        <v>22</v>
      </c>
      <c r="E28" s="67">
        <v>20</v>
      </c>
      <c r="F28" s="65">
        <v>62</v>
      </c>
      <c r="G28" s="66">
        <v>29</v>
      </c>
      <c r="H28" s="67">
        <v>33</v>
      </c>
      <c r="I28" s="65">
        <f t="shared" si="5"/>
        <v>59</v>
      </c>
      <c r="J28" s="63">
        <v>27</v>
      </c>
      <c r="K28" s="63">
        <v>32</v>
      </c>
      <c r="L28" s="65">
        <f t="shared" si="8"/>
        <v>70</v>
      </c>
      <c r="M28" s="63">
        <v>28</v>
      </c>
      <c r="N28" s="63">
        <v>42</v>
      </c>
      <c r="O28" s="73">
        <f t="shared" si="7"/>
        <v>18.64406779661017</v>
      </c>
      <c r="P28" s="74">
        <f t="shared" ref="P28:P30" si="9">(M28-J28)/J28*100</f>
        <v>3.7037037037037033</v>
      </c>
      <c r="Q28" s="74">
        <f t="shared" si="3"/>
        <v>31.25</v>
      </c>
      <c r="R28" s="54" t="s">
        <v>108</v>
      </c>
      <c r="U28" s="58"/>
      <c r="V28" s="58"/>
      <c r="W28" s="58"/>
      <c r="X28" s="58"/>
      <c r="Y28" s="58"/>
      <c r="Z28" s="58"/>
    </row>
    <row r="29" spans="1:28" ht="19.5" customHeight="1">
      <c r="A29" s="85" t="s">
        <v>120</v>
      </c>
      <c r="B29" s="53" t="s">
        <v>109</v>
      </c>
      <c r="C29" s="60">
        <f t="shared" si="4"/>
        <v>77</v>
      </c>
      <c r="D29" s="63">
        <v>48</v>
      </c>
      <c r="E29" s="64">
        <v>29</v>
      </c>
      <c r="F29" s="65">
        <v>45</v>
      </c>
      <c r="G29" s="63">
        <v>20</v>
      </c>
      <c r="H29" s="64">
        <v>25</v>
      </c>
      <c r="I29" s="65">
        <f t="shared" si="5"/>
        <v>39</v>
      </c>
      <c r="J29" s="63">
        <v>17</v>
      </c>
      <c r="K29" s="63">
        <v>22</v>
      </c>
      <c r="L29" s="65">
        <f t="shared" si="8"/>
        <v>27</v>
      </c>
      <c r="M29" s="63">
        <v>19</v>
      </c>
      <c r="N29" s="63">
        <v>8</v>
      </c>
      <c r="O29" s="73">
        <f t="shared" si="7"/>
        <v>-30.76923076923077</v>
      </c>
      <c r="P29" s="74">
        <f t="shared" si="9"/>
        <v>11.76470588235294</v>
      </c>
      <c r="Q29" s="74">
        <f t="shared" si="3"/>
        <v>-63.636363636363633</v>
      </c>
      <c r="R29" s="54" t="s">
        <v>110</v>
      </c>
      <c r="T29" s="10"/>
      <c r="U29" s="58"/>
      <c r="V29" s="58"/>
      <c r="W29" s="58"/>
      <c r="X29" s="58"/>
      <c r="Y29" s="58"/>
      <c r="Z29" s="58"/>
    </row>
    <row r="30" spans="1:28" ht="19.5" customHeight="1">
      <c r="B30" s="55" t="s">
        <v>21</v>
      </c>
      <c r="C30" s="68">
        <f>SUM(D30:E30)</f>
        <v>1367</v>
      </c>
      <c r="D30" s="69">
        <v>998</v>
      </c>
      <c r="E30" s="71">
        <v>369</v>
      </c>
      <c r="F30" s="70">
        <v>1744</v>
      </c>
      <c r="G30" s="69">
        <v>1188</v>
      </c>
      <c r="H30" s="69">
        <v>556</v>
      </c>
      <c r="I30" s="70">
        <f t="shared" si="5"/>
        <v>1920</v>
      </c>
      <c r="J30" s="69">
        <v>1366</v>
      </c>
      <c r="K30" s="69">
        <v>554</v>
      </c>
      <c r="L30" s="70">
        <f t="shared" si="8"/>
        <v>1952</v>
      </c>
      <c r="M30" s="69">
        <v>1363</v>
      </c>
      <c r="N30" s="69">
        <v>589</v>
      </c>
      <c r="O30" s="75">
        <f t="shared" si="7"/>
        <v>1.6666666666666667</v>
      </c>
      <c r="P30" s="76">
        <f t="shared" si="9"/>
        <v>-0.21961932650073207</v>
      </c>
      <c r="Q30" s="76">
        <f t="shared" si="3"/>
        <v>6.3176895306859198</v>
      </c>
      <c r="R30" s="56" t="s">
        <v>22</v>
      </c>
      <c r="T30" s="85"/>
      <c r="U30" s="58"/>
      <c r="V30" s="58"/>
      <c r="W30" s="58"/>
      <c r="X30" s="58"/>
      <c r="Y30" s="58"/>
      <c r="Z30" s="58"/>
    </row>
    <row r="31" spans="1:28" ht="19.5" customHeight="1">
      <c r="B31" s="90" t="s">
        <v>131</v>
      </c>
      <c r="C31" s="60"/>
      <c r="D31" s="63"/>
      <c r="E31" s="63"/>
      <c r="F31" s="60"/>
      <c r="G31" s="63"/>
      <c r="H31" s="63"/>
      <c r="I31" s="60"/>
      <c r="J31" s="63"/>
      <c r="K31" s="63"/>
      <c r="L31" s="60"/>
      <c r="M31" s="63"/>
      <c r="N31" s="63"/>
      <c r="O31" s="74"/>
      <c r="P31" s="74"/>
      <c r="Q31" s="74"/>
      <c r="R31" s="10" t="s">
        <v>132</v>
      </c>
      <c r="T31" s="10"/>
      <c r="U31" s="58"/>
      <c r="V31" s="58"/>
      <c r="W31" s="58"/>
      <c r="X31" s="58"/>
      <c r="Y31" s="58"/>
      <c r="Z31" s="58"/>
    </row>
    <row r="32" spans="1:28" ht="17.25" customHeight="1">
      <c r="B32" s="1" t="s">
        <v>23</v>
      </c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82" t="s">
        <v>27</v>
      </c>
      <c r="U32" s="58"/>
      <c r="V32" s="58"/>
      <c r="W32" s="58"/>
      <c r="X32" s="58"/>
      <c r="Y32" s="58"/>
      <c r="Z32" s="58"/>
    </row>
    <row r="34" spans="2:26"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U34" s="58"/>
      <c r="V34" s="58"/>
      <c r="W34" s="58"/>
      <c r="X34" s="58"/>
      <c r="Y34" s="58"/>
      <c r="Z34" s="58"/>
    </row>
    <row r="35" spans="2:26"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U35" s="58"/>
      <c r="V35" s="58"/>
      <c r="W35" s="58"/>
      <c r="X35" s="58"/>
      <c r="Y35" s="58"/>
      <c r="Z35" s="58"/>
    </row>
    <row r="36" spans="2:26">
      <c r="U36" s="58"/>
      <c r="V36" s="58"/>
      <c r="W36" s="58"/>
      <c r="X36" s="58"/>
      <c r="Y36" s="58"/>
      <c r="Z36" s="58"/>
    </row>
    <row r="37" spans="2:26">
      <c r="U37" s="58"/>
      <c r="V37" s="58"/>
      <c r="W37" s="58"/>
      <c r="X37" s="58"/>
      <c r="Y37" s="58"/>
      <c r="Z37" s="58"/>
    </row>
    <row r="38" spans="2:26">
      <c r="U38" s="58"/>
      <c r="V38" s="58"/>
      <c r="W38" s="58"/>
      <c r="X38" s="58"/>
      <c r="Y38" s="58"/>
      <c r="Z38" s="58"/>
    </row>
    <row r="39" spans="2:26">
      <c r="U39" s="58"/>
      <c r="V39" s="58"/>
      <c r="W39" s="58"/>
      <c r="X39" s="58"/>
      <c r="Y39" s="58"/>
      <c r="Z39" s="58"/>
    </row>
    <row r="40" spans="2:26" ht="17.25">
      <c r="B40" s="3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5"/>
      <c r="U40" s="58"/>
      <c r="V40" s="58"/>
      <c r="W40" s="58"/>
      <c r="X40" s="58"/>
      <c r="Y40" s="58"/>
      <c r="Z40" s="58"/>
    </row>
    <row r="41" spans="2:26">
      <c r="U41" s="58"/>
      <c r="V41" s="58"/>
      <c r="W41" s="58"/>
      <c r="X41" s="58"/>
      <c r="Y41" s="58"/>
      <c r="Z41" s="58"/>
    </row>
    <row r="42" spans="2:26">
      <c r="U42" s="58"/>
      <c r="V42" s="58"/>
      <c r="W42" s="58"/>
      <c r="X42" s="58"/>
      <c r="Y42" s="58"/>
      <c r="Z42" s="58"/>
    </row>
  </sheetData>
  <sheetProtection selectLockedCells="1" selectUnlockedCells="1"/>
  <mergeCells count="10">
    <mergeCell ref="B1:R1"/>
    <mergeCell ref="B2:R2"/>
    <mergeCell ref="B3:B6"/>
    <mergeCell ref="R3:R6"/>
    <mergeCell ref="C3:E4"/>
    <mergeCell ref="F3:H4"/>
    <mergeCell ref="I3:K4"/>
    <mergeCell ref="L3:N4"/>
    <mergeCell ref="O3:Q3"/>
    <mergeCell ref="O4:Q4"/>
  </mergeCells>
  <hyperlinks>
    <hyperlink ref="U2" location="Contents!A1" display="GO BACK TO CONTENTS"/>
  </hyperlinks>
  <pageMargins left="0.18" right="0.17" top="0.41" bottom="0.41" header="0.3" footer="0.3"/>
  <pageSetup paperSize="9" scale="83" orientation="landscape" horizontalDpi="4294967295" verticalDpi="4294967295" r:id="rId1"/>
  <rowBreaks count="1" manualBreakCount="1">
    <brk id="32" min="1" max="17" man="1"/>
  </rowBreaks>
  <colBreaks count="1" manualBreakCount="1">
    <brk id="19" max="1048575" man="1"/>
  </colBreaks>
  <ignoredErrors>
    <ignoredError sqref="O8:Q30" unlocked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J88"/>
  <sheetViews>
    <sheetView topLeftCell="H2" workbookViewId="0">
      <selection activeCell="O21" sqref="O21"/>
    </sheetView>
  </sheetViews>
  <sheetFormatPr defaultColWidth="12.28515625" defaultRowHeight="15"/>
  <cols>
    <col min="1" max="1" width="8.5703125" style="6" customWidth="1"/>
    <col min="2" max="2" width="19.85546875" style="2" customWidth="1"/>
    <col min="3" max="3" width="9.85546875" style="2" customWidth="1"/>
    <col min="4" max="4" width="16" style="2" customWidth="1"/>
    <col min="5" max="15" width="9.85546875" style="2" customWidth="1"/>
    <col min="16" max="30" width="10.42578125" style="2" customWidth="1"/>
    <col min="31" max="34" width="10" style="2" customWidth="1"/>
    <col min="35" max="35" width="10" style="9" customWidth="1"/>
    <col min="36" max="16384" width="12.28515625" style="2"/>
  </cols>
  <sheetData>
    <row r="1" spans="1:36" ht="21">
      <c r="A1" s="115" t="s">
        <v>75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</row>
    <row r="2" spans="1:36">
      <c r="A2" s="112" t="s">
        <v>68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2"/>
    </row>
    <row r="3" spans="1:36" ht="15" customHeight="1">
      <c r="A3" s="113"/>
      <c r="B3" s="113"/>
      <c r="C3" s="116" t="s">
        <v>62</v>
      </c>
      <c r="D3" s="116"/>
      <c r="E3" s="116"/>
      <c r="F3" s="116"/>
      <c r="G3" s="116"/>
      <c r="H3" s="38"/>
      <c r="I3" s="38"/>
      <c r="J3" s="117" t="s">
        <v>28</v>
      </c>
      <c r="K3" s="117"/>
      <c r="L3" s="117"/>
      <c r="M3" s="117"/>
      <c r="N3" s="117"/>
      <c r="O3" s="33"/>
      <c r="P3" s="117" t="s">
        <v>29</v>
      </c>
      <c r="Q3" s="117"/>
      <c r="R3" s="117"/>
      <c r="S3" s="117"/>
      <c r="T3" s="117"/>
      <c r="U3" s="15"/>
      <c r="V3" s="15"/>
      <c r="W3" s="15"/>
      <c r="X3" s="118" t="s">
        <v>30</v>
      </c>
      <c r="Y3" s="118"/>
      <c r="Z3" s="118"/>
      <c r="AA3" s="118"/>
      <c r="AB3" s="118"/>
      <c r="AC3" s="34"/>
      <c r="AD3" s="34"/>
      <c r="AE3" s="118" t="s">
        <v>31</v>
      </c>
      <c r="AF3" s="118"/>
      <c r="AG3" s="118"/>
      <c r="AH3" s="118"/>
      <c r="AI3" s="118"/>
    </row>
    <row r="4" spans="1:36" ht="25.5">
      <c r="A4" s="114"/>
      <c r="B4" s="114"/>
      <c r="C4" s="39" t="s">
        <v>32</v>
      </c>
      <c r="D4" s="39" t="s">
        <v>33</v>
      </c>
      <c r="E4" s="39" t="s">
        <v>26</v>
      </c>
      <c r="F4" s="40" t="s">
        <v>34</v>
      </c>
      <c r="G4" s="39" t="s">
        <v>35</v>
      </c>
      <c r="H4" s="39" t="s">
        <v>70</v>
      </c>
      <c r="I4" s="39" t="s">
        <v>76</v>
      </c>
      <c r="J4" s="22" t="s">
        <v>32</v>
      </c>
      <c r="K4" s="22" t="s">
        <v>33</v>
      </c>
      <c r="L4" s="22" t="s">
        <v>26</v>
      </c>
      <c r="M4" s="23" t="s">
        <v>34</v>
      </c>
      <c r="N4" s="22" t="s">
        <v>35</v>
      </c>
      <c r="O4" s="39" t="s">
        <v>70</v>
      </c>
      <c r="P4" s="22" t="s">
        <v>32</v>
      </c>
      <c r="Q4" s="22" t="s">
        <v>33</v>
      </c>
      <c r="R4" s="22" t="s">
        <v>26</v>
      </c>
      <c r="S4" s="23" t="s">
        <v>34</v>
      </c>
      <c r="T4" s="22" t="s">
        <v>35</v>
      </c>
      <c r="U4" s="39" t="s">
        <v>70</v>
      </c>
      <c r="V4" s="39"/>
      <c r="W4" s="39"/>
      <c r="X4" s="22" t="s">
        <v>32</v>
      </c>
      <c r="Y4" s="22" t="s">
        <v>33</v>
      </c>
      <c r="Z4" s="22" t="s">
        <v>26</v>
      </c>
      <c r="AA4" s="23" t="s">
        <v>34</v>
      </c>
      <c r="AB4" s="22" t="s">
        <v>35</v>
      </c>
      <c r="AC4" s="39" t="s">
        <v>70</v>
      </c>
      <c r="AD4" s="39"/>
      <c r="AE4" s="22" t="s">
        <v>32</v>
      </c>
      <c r="AF4" s="22" t="s">
        <v>33</v>
      </c>
      <c r="AG4" s="22" t="s">
        <v>26</v>
      </c>
      <c r="AH4" s="23" t="s">
        <v>34</v>
      </c>
      <c r="AI4" s="22" t="s">
        <v>35</v>
      </c>
      <c r="AJ4" s="39" t="s">
        <v>70</v>
      </c>
    </row>
    <row r="5" spans="1:36" ht="14.25" customHeight="1">
      <c r="A5" s="32"/>
      <c r="B5" s="36" t="s">
        <v>72</v>
      </c>
      <c r="C5" s="41">
        <f t="shared" ref="C5:G32" si="0">J5+P5</f>
        <v>3010</v>
      </c>
      <c r="D5" s="41">
        <f t="shared" si="0"/>
        <v>2381</v>
      </c>
      <c r="E5" s="41">
        <f t="shared" si="0"/>
        <v>5391</v>
      </c>
      <c r="F5" s="41">
        <f>M5+S5</f>
        <v>1774</v>
      </c>
      <c r="G5" s="41">
        <f t="shared" si="0"/>
        <v>3617</v>
      </c>
      <c r="H5" s="42">
        <f>F5/E5*100</f>
        <v>32.906696345761453</v>
      </c>
      <c r="I5" s="42">
        <f>G5/E5*100</f>
        <v>67.093303654238539</v>
      </c>
      <c r="J5" s="19">
        <v>2893</v>
      </c>
      <c r="K5" s="19">
        <v>2200</v>
      </c>
      <c r="L5" s="19">
        <v>5093</v>
      </c>
      <c r="M5" s="19">
        <v>1617</v>
      </c>
      <c r="N5" s="19">
        <v>3476</v>
      </c>
      <c r="O5" s="42">
        <f>M5/L5*100</f>
        <v>31.749460043196542</v>
      </c>
      <c r="P5" s="19">
        <v>117</v>
      </c>
      <c r="Q5" s="19">
        <v>181</v>
      </c>
      <c r="R5" s="19">
        <v>298</v>
      </c>
      <c r="S5" s="19">
        <v>157</v>
      </c>
      <c r="T5" s="19">
        <v>141</v>
      </c>
      <c r="U5" s="42">
        <f>S5/R5*100</f>
        <v>52.68456375838926</v>
      </c>
      <c r="V5" s="42"/>
      <c r="W5" s="36" t="s">
        <v>72</v>
      </c>
      <c r="X5" s="19">
        <v>3628</v>
      </c>
      <c r="Y5" s="19">
        <v>6873</v>
      </c>
      <c r="Z5" s="19">
        <v>10500</v>
      </c>
      <c r="AA5" s="19">
        <v>6554</v>
      </c>
      <c r="AB5" s="19">
        <v>3946</v>
      </c>
      <c r="AC5" s="42">
        <f>AA5/Z5*100</f>
        <v>62.419047619047618</v>
      </c>
      <c r="AD5" s="36" t="s">
        <v>72</v>
      </c>
      <c r="AE5" s="19">
        <v>890</v>
      </c>
      <c r="AF5" s="19">
        <v>6097</v>
      </c>
      <c r="AG5" s="19">
        <v>6987</v>
      </c>
      <c r="AH5" s="19">
        <v>5904</v>
      </c>
      <c r="AI5" s="19">
        <v>1083</v>
      </c>
      <c r="AJ5" s="42">
        <f>AH5/AG5*100</f>
        <v>84.499785315586081</v>
      </c>
    </row>
    <row r="6" spans="1:36" ht="14.25" customHeight="1">
      <c r="A6" s="32"/>
      <c r="B6" s="36" t="s">
        <v>73</v>
      </c>
      <c r="C6" s="41">
        <f t="shared" si="0"/>
        <v>2247</v>
      </c>
      <c r="D6" s="41">
        <f t="shared" si="0"/>
        <v>1246</v>
      </c>
      <c r="E6" s="41">
        <f t="shared" si="0"/>
        <v>3493</v>
      </c>
      <c r="F6" s="41">
        <f t="shared" si="0"/>
        <v>1084</v>
      </c>
      <c r="G6" s="41">
        <f t="shared" si="0"/>
        <v>2409</v>
      </c>
      <c r="H6" s="42">
        <f>F6/E6*100</f>
        <v>31.033495562553682</v>
      </c>
      <c r="I6" s="42">
        <f>G6/E6*100</f>
        <v>68.966504437446318</v>
      </c>
      <c r="J6" s="21">
        <v>2193</v>
      </c>
      <c r="K6" s="21">
        <v>1163</v>
      </c>
      <c r="L6" s="21">
        <v>3356</v>
      </c>
      <c r="M6" s="21">
        <v>990</v>
      </c>
      <c r="N6" s="21">
        <v>2366</v>
      </c>
      <c r="O6" s="42">
        <f>M6/L6*100</f>
        <v>29.499404052443385</v>
      </c>
      <c r="P6" s="21">
        <v>54</v>
      </c>
      <c r="Q6" s="21">
        <v>83</v>
      </c>
      <c r="R6" s="21">
        <v>137</v>
      </c>
      <c r="S6" s="21">
        <v>94</v>
      </c>
      <c r="T6" s="21">
        <v>43</v>
      </c>
      <c r="U6" s="42">
        <f>S6/R6*100</f>
        <v>68.613138686131393</v>
      </c>
      <c r="V6" s="42"/>
      <c r="W6" s="36" t="s">
        <v>73</v>
      </c>
      <c r="X6" s="21">
        <v>1847</v>
      </c>
      <c r="Y6" s="21">
        <v>2725</v>
      </c>
      <c r="Z6" s="21">
        <v>4571</v>
      </c>
      <c r="AA6" s="21">
        <v>2719</v>
      </c>
      <c r="AB6" s="21">
        <v>1852</v>
      </c>
      <c r="AC6" s="42">
        <f>AA6/Z6*100</f>
        <v>59.483701597024719</v>
      </c>
      <c r="AD6" s="36" t="s">
        <v>73</v>
      </c>
      <c r="AE6" s="21">
        <v>456</v>
      </c>
      <c r="AF6" s="21">
        <v>2367</v>
      </c>
      <c r="AG6" s="21">
        <v>2823</v>
      </c>
      <c r="AH6" s="21">
        <v>2296</v>
      </c>
      <c r="AI6" s="21">
        <v>527</v>
      </c>
      <c r="AJ6" s="42">
        <f>AH6/AG6*100</f>
        <v>81.331916400991858</v>
      </c>
    </row>
    <row r="7" spans="1:36" s="30" customFormat="1" ht="14.25" customHeight="1">
      <c r="A7" s="28"/>
      <c r="B7" s="36" t="s">
        <v>74</v>
      </c>
      <c r="C7" s="41">
        <f t="shared" si="0"/>
        <v>763</v>
      </c>
      <c r="D7" s="41">
        <f t="shared" si="0"/>
        <v>1135</v>
      </c>
      <c r="E7" s="41">
        <f t="shared" si="0"/>
        <v>1898</v>
      </c>
      <c r="F7" s="41">
        <f t="shared" si="0"/>
        <v>690</v>
      </c>
      <c r="G7" s="41">
        <f t="shared" si="0"/>
        <v>1208</v>
      </c>
      <c r="H7" s="42">
        <f>F7/E7*100</f>
        <v>36.354056902002107</v>
      </c>
      <c r="I7" s="42">
        <f>G7/E7*100</f>
        <v>63.645943097997893</v>
      </c>
      <c r="J7" s="21">
        <v>700</v>
      </c>
      <c r="K7" s="21">
        <v>1037</v>
      </c>
      <c r="L7" s="21">
        <v>1737</v>
      </c>
      <c r="M7" s="21">
        <v>627</v>
      </c>
      <c r="N7" s="21">
        <v>1110</v>
      </c>
      <c r="O7" s="42">
        <f>M7/L7*100</f>
        <v>36.096718480138165</v>
      </c>
      <c r="P7" s="21">
        <v>63</v>
      </c>
      <c r="Q7" s="21">
        <v>98</v>
      </c>
      <c r="R7" s="21">
        <v>161</v>
      </c>
      <c r="S7" s="21">
        <v>63</v>
      </c>
      <c r="T7" s="21">
        <v>98</v>
      </c>
      <c r="U7" s="42">
        <f>S7/R7*100</f>
        <v>39.130434782608695</v>
      </c>
      <c r="V7" s="42"/>
      <c r="W7" s="36" t="s">
        <v>74</v>
      </c>
      <c r="X7" s="21">
        <v>1781</v>
      </c>
      <c r="Y7" s="21">
        <v>4148</v>
      </c>
      <c r="Z7" s="21">
        <v>5929</v>
      </c>
      <c r="AA7" s="21">
        <v>3835</v>
      </c>
      <c r="AB7" s="21">
        <v>2094</v>
      </c>
      <c r="AC7" s="42">
        <f>AA7/Z7*100</f>
        <v>64.682071175577676</v>
      </c>
      <c r="AD7" s="36" t="s">
        <v>74</v>
      </c>
      <c r="AE7" s="21">
        <v>434</v>
      </c>
      <c r="AF7" s="21">
        <v>3730</v>
      </c>
      <c r="AG7" s="21">
        <v>4164</v>
      </c>
      <c r="AH7" s="21">
        <v>3608</v>
      </c>
      <c r="AI7" s="21">
        <v>556</v>
      </c>
      <c r="AJ7" s="42">
        <f>AH7/AG7*100</f>
        <v>86.647454370797306</v>
      </c>
    </row>
    <row r="8" spans="1:36" s="30" customFormat="1" ht="14.25" customHeight="1">
      <c r="A8" s="32" t="s">
        <v>42</v>
      </c>
      <c r="B8" s="16" t="s">
        <v>0</v>
      </c>
      <c r="C8" s="41">
        <f t="shared" si="0"/>
        <v>68</v>
      </c>
      <c r="D8" s="41">
        <f t="shared" si="0"/>
        <v>28</v>
      </c>
      <c r="E8" s="41">
        <f t="shared" si="0"/>
        <v>96</v>
      </c>
      <c r="F8" s="41">
        <f t="shared" si="0"/>
        <v>21</v>
      </c>
      <c r="G8" s="41">
        <f t="shared" si="0"/>
        <v>75</v>
      </c>
      <c r="H8" s="41"/>
      <c r="I8" s="41"/>
      <c r="J8" s="21">
        <v>61</v>
      </c>
      <c r="K8" s="21">
        <v>27</v>
      </c>
      <c r="L8" s="21">
        <v>88</v>
      </c>
      <c r="M8" s="21">
        <v>18</v>
      </c>
      <c r="N8" s="21">
        <v>70</v>
      </c>
      <c r="O8" s="21"/>
      <c r="P8" s="21">
        <v>7</v>
      </c>
      <c r="Q8" s="21">
        <v>1</v>
      </c>
      <c r="R8" s="21">
        <v>8</v>
      </c>
      <c r="S8" s="21">
        <v>3</v>
      </c>
      <c r="T8" s="21">
        <v>5</v>
      </c>
      <c r="U8" s="21"/>
      <c r="V8" s="21"/>
      <c r="W8" s="21"/>
      <c r="X8" s="21">
        <v>123</v>
      </c>
      <c r="Y8" s="21">
        <v>181</v>
      </c>
      <c r="Z8" s="21">
        <v>304</v>
      </c>
      <c r="AA8" s="21">
        <v>148</v>
      </c>
      <c r="AB8" s="21">
        <v>156</v>
      </c>
      <c r="AC8" s="21"/>
      <c r="AD8" s="21"/>
      <c r="AE8" s="21">
        <v>21</v>
      </c>
      <c r="AF8" s="21">
        <v>169</v>
      </c>
      <c r="AG8" s="21">
        <v>190</v>
      </c>
      <c r="AH8" s="21">
        <v>170</v>
      </c>
      <c r="AI8" s="21">
        <v>20</v>
      </c>
    </row>
    <row r="9" spans="1:36" s="30" customFormat="1" ht="14.25" customHeight="1">
      <c r="A9" s="32" t="s">
        <v>43</v>
      </c>
      <c r="B9" s="16" t="s">
        <v>0</v>
      </c>
      <c r="C9" s="41">
        <f t="shared" si="0"/>
        <v>81</v>
      </c>
      <c r="D9" s="41">
        <f t="shared" si="0"/>
        <v>73</v>
      </c>
      <c r="E9" s="41">
        <f t="shared" si="0"/>
        <v>154</v>
      </c>
      <c r="F9" s="41">
        <f t="shared" si="0"/>
        <v>41</v>
      </c>
      <c r="G9" s="41">
        <f t="shared" si="0"/>
        <v>113</v>
      </c>
      <c r="H9" s="41"/>
      <c r="I9" s="41"/>
      <c r="J9" s="21">
        <v>74</v>
      </c>
      <c r="K9" s="21">
        <v>69</v>
      </c>
      <c r="L9" s="21">
        <v>143</v>
      </c>
      <c r="M9" s="21">
        <v>34</v>
      </c>
      <c r="N9" s="21">
        <v>109</v>
      </c>
      <c r="O9" s="21"/>
      <c r="P9" s="21">
        <v>7</v>
      </c>
      <c r="Q9" s="21">
        <v>4</v>
      </c>
      <c r="R9" s="21">
        <v>11</v>
      </c>
      <c r="S9" s="21">
        <v>7</v>
      </c>
      <c r="T9" s="21">
        <v>4</v>
      </c>
      <c r="U9" s="21"/>
      <c r="V9" s="21"/>
      <c r="W9" s="21"/>
      <c r="X9" s="21">
        <v>93</v>
      </c>
      <c r="Y9" s="21">
        <v>178</v>
      </c>
      <c r="Z9" s="21">
        <v>271</v>
      </c>
      <c r="AA9" s="21">
        <v>104</v>
      </c>
      <c r="AB9" s="21">
        <v>167</v>
      </c>
      <c r="AC9" s="21"/>
      <c r="AD9" s="21"/>
      <c r="AE9" s="21">
        <v>34</v>
      </c>
      <c r="AF9" s="21">
        <v>233</v>
      </c>
      <c r="AG9" s="21">
        <v>267</v>
      </c>
      <c r="AH9" s="21">
        <v>222</v>
      </c>
      <c r="AI9" s="21">
        <v>45</v>
      </c>
    </row>
    <row r="10" spans="1:36" s="30" customFormat="1" ht="14.25" customHeight="1">
      <c r="A10" s="32" t="s">
        <v>44</v>
      </c>
      <c r="B10" s="16" t="s">
        <v>0</v>
      </c>
      <c r="C10" s="41">
        <f t="shared" si="0"/>
        <v>10</v>
      </c>
      <c r="D10" s="41">
        <f t="shared" si="0"/>
        <v>24</v>
      </c>
      <c r="E10" s="41">
        <f t="shared" si="0"/>
        <v>34</v>
      </c>
      <c r="F10" s="41">
        <f t="shared" si="0"/>
        <v>28</v>
      </c>
      <c r="G10" s="41">
        <f t="shared" si="0"/>
        <v>6</v>
      </c>
      <c r="H10" s="41"/>
      <c r="I10" s="41"/>
      <c r="J10" s="21">
        <v>10</v>
      </c>
      <c r="K10" s="21">
        <v>22</v>
      </c>
      <c r="L10" s="21">
        <v>32</v>
      </c>
      <c r="M10" s="21">
        <v>28</v>
      </c>
      <c r="N10" s="21">
        <v>4</v>
      </c>
      <c r="O10" s="21"/>
      <c r="P10" s="21">
        <v>0</v>
      </c>
      <c r="Q10" s="21">
        <v>2</v>
      </c>
      <c r="R10" s="21">
        <v>2</v>
      </c>
      <c r="S10" s="21">
        <v>0</v>
      </c>
      <c r="T10" s="21">
        <v>2</v>
      </c>
      <c r="U10" s="21"/>
      <c r="V10" s="21"/>
      <c r="W10" s="21"/>
      <c r="X10" s="21">
        <v>43</v>
      </c>
      <c r="Y10" s="21">
        <v>145</v>
      </c>
      <c r="Z10" s="21">
        <v>188</v>
      </c>
      <c r="AA10" s="21">
        <v>142</v>
      </c>
      <c r="AB10" s="21">
        <v>46</v>
      </c>
      <c r="AC10" s="21"/>
      <c r="AD10" s="21"/>
      <c r="AE10" s="21">
        <v>16</v>
      </c>
      <c r="AF10" s="21">
        <v>162</v>
      </c>
      <c r="AG10" s="21">
        <v>178</v>
      </c>
      <c r="AH10" s="21">
        <v>162</v>
      </c>
      <c r="AI10" s="21">
        <v>16</v>
      </c>
    </row>
    <row r="11" spans="1:36" s="30" customFormat="1" ht="14.25" customHeight="1">
      <c r="A11" s="32" t="s">
        <v>45</v>
      </c>
      <c r="B11" s="16" t="s">
        <v>0</v>
      </c>
      <c r="C11" s="41">
        <f t="shared" si="0"/>
        <v>48</v>
      </c>
      <c r="D11" s="41">
        <f t="shared" si="0"/>
        <v>62</v>
      </c>
      <c r="E11" s="41">
        <f t="shared" si="0"/>
        <v>110</v>
      </c>
      <c r="F11" s="41">
        <f t="shared" si="0"/>
        <v>45</v>
      </c>
      <c r="G11" s="41">
        <f t="shared" si="0"/>
        <v>65</v>
      </c>
      <c r="H11" s="41"/>
      <c r="I11" s="41"/>
      <c r="J11" s="21">
        <v>47</v>
      </c>
      <c r="K11" s="21">
        <v>58</v>
      </c>
      <c r="L11" s="21">
        <v>105</v>
      </c>
      <c r="M11" s="21">
        <v>42</v>
      </c>
      <c r="N11" s="21">
        <v>63</v>
      </c>
      <c r="O11" s="21"/>
      <c r="P11" s="21">
        <v>1</v>
      </c>
      <c r="Q11" s="21">
        <v>4</v>
      </c>
      <c r="R11" s="21">
        <v>5</v>
      </c>
      <c r="S11" s="21">
        <v>3</v>
      </c>
      <c r="T11" s="21">
        <v>2</v>
      </c>
      <c r="U11" s="21"/>
      <c r="V11" s="21"/>
      <c r="W11" s="21"/>
      <c r="X11" s="21">
        <v>117</v>
      </c>
      <c r="Y11" s="21">
        <v>186</v>
      </c>
      <c r="Z11" s="21">
        <v>303</v>
      </c>
      <c r="AA11" s="21">
        <v>174</v>
      </c>
      <c r="AB11" s="21">
        <v>129</v>
      </c>
      <c r="AC11" s="21"/>
      <c r="AD11" s="21"/>
      <c r="AE11" s="21">
        <v>30</v>
      </c>
      <c r="AF11" s="21">
        <v>215</v>
      </c>
      <c r="AG11" s="21">
        <v>245</v>
      </c>
      <c r="AH11" s="21">
        <v>188</v>
      </c>
      <c r="AI11" s="21">
        <v>57</v>
      </c>
    </row>
    <row r="12" spans="1:36" s="30" customFormat="1" ht="14.25" customHeight="1">
      <c r="A12" s="32" t="s">
        <v>46</v>
      </c>
      <c r="B12" s="16" t="s">
        <v>0</v>
      </c>
      <c r="C12" s="41">
        <f t="shared" si="0"/>
        <v>73</v>
      </c>
      <c r="D12" s="41">
        <f t="shared" si="0"/>
        <v>84</v>
      </c>
      <c r="E12" s="41">
        <f t="shared" si="0"/>
        <v>157</v>
      </c>
      <c r="F12" s="41">
        <f t="shared" si="0"/>
        <v>80</v>
      </c>
      <c r="G12" s="41">
        <f t="shared" si="0"/>
        <v>77</v>
      </c>
      <c r="H12" s="41"/>
      <c r="I12" s="41"/>
      <c r="J12" s="21">
        <v>70</v>
      </c>
      <c r="K12" s="21">
        <v>78</v>
      </c>
      <c r="L12" s="21">
        <v>148</v>
      </c>
      <c r="M12" s="21">
        <v>76</v>
      </c>
      <c r="N12" s="21">
        <v>72</v>
      </c>
      <c r="O12" s="21"/>
      <c r="P12" s="21">
        <v>3</v>
      </c>
      <c r="Q12" s="21">
        <v>6</v>
      </c>
      <c r="R12" s="21">
        <v>9</v>
      </c>
      <c r="S12" s="21">
        <v>4</v>
      </c>
      <c r="T12" s="21">
        <v>5</v>
      </c>
      <c r="U12" s="21"/>
      <c r="V12" s="21"/>
      <c r="W12" s="21"/>
      <c r="X12" s="21">
        <v>71</v>
      </c>
      <c r="Y12" s="21">
        <v>202</v>
      </c>
      <c r="Z12" s="21">
        <v>273</v>
      </c>
      <c r="AA12" s="21">
        <v>186</v>
      </c>
      <c r="AB12" s="21">
        <v>87</v>
      </c>
      <c r="AC12" s="21"/>
      <c r="AD12" s="21"/>
      <c r="AE12" s="21">
        <v>18</v>
      </c>
      <c r="AF12" s="21">
        <v>231</v>
      </c>
      <c r="AG12" s="21">
        <v>249</v>
      </c>
      <c r="AH12" s="21">
        <v>219</v>
      </c>
      <c r="AI12" s="21">
        <v>30</v>
      </c>
    </row>
    <row r="13" spans="1:36" s="30" customFormat="1" ht="14.25" customHeight="1">
      <c r="A13" s="32" t="s">
        <v>47</v>
      </c>
      <c r="B13" s="16" t="s">
        <v>0</v>
      </c>
      <c r="C13" s="41">
        <f t="shared" si="0"/>
        <v>21</v>
      </c>
      <c r="D13" s="41">
        <f t="shared" si="0"/>
        <v>26</v>
      </c>
      <c r="E13" s="41">
        <f t="shared" si="0"/>
        <v>47</v>
      </c>
      <c r="F13" s="41">
        <f t="shared" si="0"/>
        <v>10</v>
      </c>
      <c r="G13" s="41">
        <f t="shared" si="0"/>
        <v>37</v>
      </c>
      <c r="H13" s="41"/>
      <c r="I13" s="41"/>
      <c r="J13" s="21">
        <v>17</v>
      </c>
      <c r="K13" s="21">
        <v>23</v>
      </c>
      <c r="L13" s="21">
        <v>40</v>
      </c>
      <c r="M13" s="21">
        <v>9</v>
      </c>
      <c r="N13" s="21">
        <v>31</v>
      </c>
      <c r="O13" s="21"/>
      <c r="P13" s="21">
        <v>4</v>
      </c>
      <c r="Q13" s="21">
        <v>3</v>
      </c>
      <c r="R13" s="21">
        <v>7</v>
      </c>
      <c r="S13" s="21">
        <v>1</v>
      </c>
      <c r="T13" s="21">
        <v>6</v>
      </c>
      <c r="U13" s="21"/>
      <c r="V13" s="21"/>
      <c r="W13" s="21"/>
      <c r="X13" s="21">
        <v>38</v>
      </c>
      <c r="Y13" s="21">
        <v>183</v>
      </c>
      <c r="Z13" s="21">
        <v>221</v>
      </c>
      <c r="AA13" s="21">
        <v>119</v>
      </c>
      <c r="AB13" s="21">
        <v>102</v>
      </c>
      <c r="AC13" s="21"/>
      <c r="AD13" s="21"/>
      <c r="AE13" s="21">
        <v>20</v>
      </c>
      <c r="AF13" s="21">
        <v>135</v>
      </c>
      <c r="AG13" s="21">
        <v>155</v>
      </c>
      <c r="AH13" s="21">
        <v>124</v>
      </c>
      <c r="AI13" s="21">
        <v>31</v>
      </c>
    </row>
    <row r="14" spans="1:36" s="30" customFormat="1" ht="14.25" customHeight="1">
      <c r="A14" s="32" t="s">
        <v>48</v>
      </c>
      <c r="B14" s="16" t="s">
        <v>0</v>
      </c>
      <c r="C14" s="41">
        <f t="shared" si="0"/>
        <v>77</v>
      </c>
      <c r="D14" s="41">
        <f t="shared" si="0"/>
        <v>61</v>
      </c>
      <c r="E14" s="41">
        <f t="shared" si="0"/>
        <v>138</v>
      </c>
      <c r="F14" s="41">
        <f t="shared" si="0"/>
        <v>57</v>
      </c>
      <c r="G14" s="41">
        <f t="shared" si="0"/>
        <v>81</v>
      </c>
      <c r="H14" s="41"/>
      <c r="I14" s="41"/>
      <c r="J14" s="21">
        <v>72</v>
      </c>
      <c r="K14" s="21">
        <v>57</v>
      </c>
      <c r="L14" s="21">
        <v>129</v>
      </c>
      <c r="M14" s="21">
        <v>52</v>
      </c>
      <c r="N14" s="21">
        <v>77</v>
      </c>
      <c r="O14" s="21"/>
      <c r="P14" s="21">
        <v>5</v>
      </c>
      <c r="Q14" s="21">
        <v>4</v>
      </c>
      <c r="R14" s="21">
        <v>9</v>
      </c>
      <c r="S14" s="21">
        <v>5</v>
      </c>
      <c r="T14" s="21">
        <v>4</v>
      </c>
      <c r="U14" s="21"/>
      <c r="V14" s="21"/>
      <c r="W14" s="21"/>
      <c r="X14" s="21">
        <v>124</v>
      </c>
      <c r="Y14" s="21">
        <v>124</v>
      </c>
      <c r="Z14" s="21">
        <v>248</v>
      </c>
      <c r="AA14" s="21">
        <v>127</v>
      </c>
      <c r="AB14" s="21">
        <v>121</v>
      </c>
      <c r="AC14" s="21"/>
      <c r="AD14" s="21"/>
      <c r="AE14" s="21">
        <v>44</v>
      </c>
      <c r="AF14" s="21">
        <v>178</v>
      </c>
      <c r="AG14" s="21">
        <v>222</v>
      </c>
      <c r="AH14" s="21">
        <v>182</v>
      </c>
      <c r="AI14" s="21">
        <v>40</v>
      </c>
    </row>
    <row r="15" spans="1:36" s="30" customFormat="1" ht="14.25" customHeight="1">
      <c r="A15" s="32" t="s">
        <v>49</v>
      </c>
      <c r="B15" s="16" t="s">
        <v>0</v>
      </c>
      <c r="C15" s="41">
        <f t="shared" si="0"/>
        <v>31</v>
      </c>
      <c r="D15" s="41">
        <f t="shared" si="0"/>
        <v>41</v>
      </c>
      <c r="E15" s="41">
        <f t="shared" si="0"/>
        <v>72</v>
      </c>
      <c r="F15" s="41">
        <f t="shared" si="0"/>
        <v>31</v>
      </c>
      <c r="G15" s="41">
        <f t="shared" si="0"/>
        <v>41</v>
      </c>
      <c r="H15" s="41"/>
      <c r="I15" s="41"/>
      <c r="J15" s="21">
        <v>30</v>
      </c>
      <c r="K15" s="21">
        <v>37</v>
      </c>
      <c r="L15" s="21">
        <v>67</v>
      </c>
      <c r="M15" s="21">
        <v>30</v>
      </c>
      <c r="N15" s="21">
        <v>37</v>
      </c>
      <c r="O15" s="21"/>
      <c r="P15" s="21">
        <v>1</v>
      </c>
      <c r="Q15" s="21">
        <v>4</v>
      </c>
      <c r="R15" s="21">
        <v>5</v>
      </c>
      <c r="S15" s="21">
        <v>1</v>
      </c>
      <c r="T15" s="21">
        <v>4</v>
      </c>
      <c r="U15" s="21"/>
      <c r="V15" s="21"/>
      <c r="W15" s="21"/>
      <c r="X15" s="21">
        <v>67</v>
      </c>
      <c r="Y15" s="21">
        <v>145</v>
      </c>
      <c r="Z15" s="21">
        <v>212</v>
      </c>
      <c r="AA15" s="21">
        <v>153</v>
      </c>
      <c r="AB15" s="21">
        <v>59</v>
      </c>
      <c r="AC15" s="21"/>
      <c r="AD15" s="21"/>
      <c r="AE15" s="21">
        <v>17</v>
      </c>
      <c r="AF15" s="21">
        <v>218</v>
      </c>
      <c r="AG15" s="21">
        <v>235</v>
      </c>
      <c r="AH15" s="21">
        <v>217</v>
      </c>
      <c r="AI15" s="21">
        <v>18</v>
      </c>
    </row>
    <row r="16" spans="1:36" s="30" customFormat="1" ht="14.25" customHeight="1">
      <c r="A16" s="32" t="s">
        <v>50</v>
      </c>
      <c r="B16" s="16" t="s">
        <v>0</v>
      </c>
      <c r="C16" s="41">
        <f t="shared" si="0"/>
        <v>13</v>
      </c>
      <c r="D16" s="41">
        <f t="shared" si="0"/>
        <v>13</v>
      </c>
      <c r="E16" s="41">
        <f t="shared" si="0"/>
        <v>26</v>
      </c>
      <c r="F16" s="41">
        <f t="shared" si="0"/>
        <v>11</v>
      </c>
      <c r="G16" s="41">
        <f t="shared" si="0"/>
        <v>15</v>
      </c>
      <c r="H16" s="41"/>
      <c r="I16" s="41"/>
      <c r="J16" s="21">
        <v>12</v>
      </c>
      <c r="K16" s="21">
        <v>11</v>
      </c>
      <c r="L16" s="21">
        <v>23</v>
      </c>
      <c r="M16" s="21">
        <v>11</v>
      </c>
      <c r="N16" s="21">
        <v>12</v>
      </c>
      <c r="O16" s="21"/>
      <c r="P16" s="21">
        <v>1</v>
      </c>
      <c r="Q16" s="21">
        <v>2</v>
      </c>
      <c r="R16" s="21">
        <v>3</v>
      </c>
      <c r="S16" s="21">
        <v>0</v>
      </c>
      <c r="T16" s="21">
        <v>3</v>
      </c>
      <c r="U16" s="21"/>
      <c r="V16" s="21"/>
      <c r="W16" s="21"/>
      <c r="X16" s="21">
        <v>58</v>
      </c>
      <c r="Y16" s="21">
        <v>123</v>
      </c>
      <c r="Z16" s="21">
        <v>181</v>
      </c>
      <c r="AA16" s="21">
        <v>142</v>
      </c>
      <c r="AB16" s="21">
        <v>39</v>
      </c>
      <c r="AC16" s="21"/>
      <c r="AD16" s="21"/>
      <c r="AE16" s="21">
        <v>9</v>
      </c>
      <c r="AF16" s="21">
        <v>123</v>
      </c>
      <c r="AG16" s="21">
        <v>132</v>
      </c>
      <c r="AH16" s="21">
        <v>126</v>
      </c>
      <c r="AI16" s="21">
        <v>6</v>
      </c>
    </row>
    <row r="17" spans="1:35" s="30" customFormat="1">
      <c r="A17" s="32" t="s">
        <v>51</v>
      </c>
      <c r="B17" s="16" t="s">
        <v>0</v>
      </c>
      <c r="C17" s="41">
        <f t="shared" si="0"/>
        <v>14</v>
      </c>
      <c r="D17" s="41">
        <f t="shared" si="0"/>
        <v>18</v>
      </c>
      <c r="E17" s="41">
        <f t="shared" si="0"/>
        <v>32</v>
      </c>
      <c r="F17" s="41">
        <f t="shared" si="0"/>
        <v>23</v>
      </c>
      <c r="G17" s="41">
        <f t="shared" si="0"/>
        <v>9</v>
      </c>
      <c r="H17" s="41"/>
      <c r="I17" s="41"/>
      <c r="J17" s="21">
        <v>13</v>
      </c>
      <c r="K17" s="21">
        <v>16</v>
      </c>
      <c r="L17" s="21">
        <v>29</v>
      </c>
      <c r="M17" s="21">
        <v>22</v>
      </c>
      <c r="N17" s="21">
        <v>7</v>
      </c>
      <c r="O17" s="21"/>
      <c r="P17" s="21">
        <v>1</v>
      </c>
      <c r="Q17" s="21">
        <v>2</v>
      </c>
      <c r="R17" s="21">
        <v>3</v>
      </c>
      <c r="S17" s="21">
        <v>1</v>
      </c>
      <c r="T17" s="21">
        <v>2</v>
      </c>
      <c r="U17" s="21"/>
      <c r="V17" s="21"/>
      <c r="W17" s="21"/>
      <c r="X17" s="21">
        <v>78</v>
      </c>
      <c r="Y17" s="21">
        <v>145</v>
      </c>
      <c r="Z17" s="21">
        <v>223</v>
      </c>
      <c r="AA17" s="21">
        <v>155</v>
      </c>
      <c r="AB17" s="21">
        <v>68</v>
      </c>
      <c r="AC17" s="21"/>
      <c r="AD17" s="21"/>
      <c r="AE17" s="21">
        <v>25</v>
      </c>
      <c r="AF17" s="21">
        <v>141</v>
      </c>
      <c r="AG17" s="21">
        <v>166</v>
      </c>
      <c r="AH17" s="21">
        <v>138</v>
      </c>
      <c r="AI17" s="21">
        <v>28</v>
      </c>
    </row>
    <row r="18" spans="1:35" s="30" customFormat="1">
      <c r="A18" s="32" t="s">
        <v>52</v>
      </c>
      <c r="B18" s="16" t="s">
        <v>0</v>
      </c>
      <c r="C18" s="41">
        <f t="shared" si="0"/>
        <v>2</v>
      </c>
      <c r="D18" s="41">
        <f t="shared" si="0"/>
        <v>1</v>
      </c>
      <c r="E18" s="41">
        <f t="shared" si="0"/>
        <v>3</v>
      </c>
      <c r="F18" s="41">
        <f t="shared" si="0"/>
        <v>2</v>
      </c>
      <c r="G18" s="41">
        <f t="shared" si="0"/>
        <v>1</v>
      </c>
      <c r="H18" s="41"/>
      <c r="I18" s="41"/>
      <c r="J18" s="21">
        <v>2</v>
      </c>
      <c r="K18" s="21">
        <v>1</v>
      </c>
      <c r="L18" s="21">
        <v>3</v>
      </c>
      <c r="M18" s="21">
        <v>2</v>
      </c>
      <c r="N18" s="21">
        <v>1</v>
      </c>
      <c r="O18" s="21"/>
      <c r="P18" s="21">
        <v>0</v>
      </c>
      <c r="Q18" s="21">
        <v>0</v>
      </c>
      <c r="R18" s="21">
        <v>0</v>
      </c>
      <c r="S18" s="21">
        <v>0</v>
      </c>
      <c r="T18" s="21">
        <v>0</v>
      </c>
      <c r="U18" s="21"/>
      <c r="V18" s="21"/>
      <c r="W18" s="21"/>
      <c r="X18" s="21">
        <v>6</v>
      </c>
      <c r="Y18" s="21">
        <v>33</v>
      </c>
      <c r="Z18" s="21">
        <v>39</v>
      </c>
      <c r="AA18" s="21">
        <v>28</v>
      </c>
      <c r="AB18" s="21">
        <v>11</v>
      </c>
      <c r="AC18" s="21"/>
      <c r="AD18" s="21"/>
      <c r="AE18" s="21">
        <v>2</v>
      </c>
      <c r="AF18" s="21">
        <v>19</v>
      </c>
      <c r="AG18" s="21">
        <v>21</v>
      </c>
      <c r="AH18" s="21">
        <v>21</v>
      </c>
      <c r="AI18" s="21">
        <v>0</v>
      </c>
    </row>
    <row r="19" spans="1:35" s="30" customFormat="1">
      <c r="A19" s="32" t="s">
        <v>53</v>
      </c>
      <c r="B19" s="16" t="s">
        <v>0</v>
      </c>
      <c r="C19" s="41">
        <f t="shared" si="0"/>
        <v>4</v>
      </c>
      <c r="D19" s="41">
        <f t="shared" si="0"/>
        <v>4</v>
      </c>
      <c r="E19" s="41">
        <f t="shared" si="0"/>
        <v>8</v>
      </c>
      <c r="F19" s="41">
        <f t="shared" si="0"/>
        <v>3</v>
      </c>
      <c r="G19" s="41">
        <f t="shared" si="0"/>
        <v>5</v>
      </c>
      <c r="H19" s="41"/>
      <c r="I19" s="41"/>
      <c r="J19" s="21">
        <v>4</v>
      </c>
      <c r="K19" s="21">
        <v>3</v>
      </c>
      <c r="L19" s="21">
        <v>7</v>
      </c>
      <c r="M19" s="21">
        <v>3</v>
      </c>
      <c r="N19" s="21">
        <v>4</v>
      </c>
      <c r="O19" s="21"/>
      <c r="P19" s="21">
        <v>0</v>
      </c>
      <c r="Q19" s="21">
        <v>1</v>
      </c>
      <c r="R19" s="21">
        <v>1</v>
      </c>
      <c r="S19" s="21">
        <v>0</v>
      </c>
      <c r="T19" s="21">
        <v>1</v>
      </c>
      <c r="U19" s="21"/>
      <c r="V19" s="21"/>
      <c r="W19" s="21"/>
      <c r="X19" s="21">
        <v>89</v>
      </c>
      <c r="Y19" s="21">
        <v>62</v>
      </c>
      <c r="Z19" s="21">
        <v>151</v>
      </c>
      <c r="AA19" s="21">
        <v>109</v>
      </c>
      <c r="AB19" s="21">
        <v>42</v>
      </c>
      <c r="AC19" s="21"/>
      <c r="AD19" s="21"/>
      <c r="AE19" s="21">
        <v>6</v>
      </c>
      <c r="AF19" s="21">
        <v>72</v>
      </c>
      <c r="AG19" s="21">
        <v>78</v>
      </c>
      <c r="AH19" s="21">
        <v>71</v>
      </c>
      <c r="AI19" s="21">
        <v>7</v>
      </c>
    </row>
    <row r="20" spans="1:35" s="30" customFormat="1">
      <c r="A20" s="32" t="s">
        <v>54</v>
      </c>
      <c r="B20" s="16" t="s">
        <v>0</v>
      </c>
      <c r="C20" s="41">
        <f t="shared" si="0"/>
        <v>6</v>
      </c>
      <c r="D20" s="41">
        <f t="shared" si="0"/>
        <v>14</v>
      </c>
      <c r="E20" s="41">
        <f t="shared" si="0"/>
        <v>20</v>
      </c>
      <c r="F20" s="41">
        <f t="shared" si="0"/>
        <v>13</v>
      </c>
      <c r="G20" s="41">
        <f t="shared" si="0"/>
        <v>7</v>
      </c>
      <c r="H20" s="41"/>
      <c r="I20" s="41"/>
      <c r="J20" s="21">
        <v>5</v>
      </c>
      <c r="K20" s="21">
        <v>14</v>
      </c>
      <c r="L20" s="21">
        <v>19</v>
      </c>
      <c r="M20" s="21">
        <v>12</v>
      </c>
      <c r="N20" s="21">
        <v>7</v>
      </c>
      <c r="O20" s="21"/>
      <c r="P20" s="21">
        <v>1</v>
      </c>
      <c r="Q20" s="21">
        <v>0</v>
      </c>
      <c r="R20" s="21">
        <v>1</v>
      </c>
      <c r="S20" s="21">
        <v>1</v>
      </c>
      <c r="T20" s="21">
        <v>0</v>
      </c>
      <c r="U20" s="21"/>
      <c r="V20" s="21"/>
      <c r="W20" s="21"/>
      <c r="X20" s="21">
        <v>50</v>
      </c>
      <c r="Y20" s="21">
        <v>83</v>
      </c>
      <c r="Z20" s="21">
        <v>133</v>
      </c>
      <c r="AA20" s="21">
        <v>84</v>
      </c>
      <c r="AB20" s="21">
        <v>49</v>
      </c>
      <c r="AC20" s="21"/>
      <c r="AD20" s="21"/>
      <c r="AE20" s="21">
        <v>14</v>
      </c>
      <c r="AF20" s="21">
        <v>70</v>
      </c>
      <c r="AG20" s="21">
        <v>84</v>
      </c>
      <c r="AH20" s="21">
        <v>70</v>
      </c>
      <c r="AI20" s="21">
        <v>14</v>
      </c>
    </row>
    <row r="21" spans="1:35" s="30" customFormat="1">
      <c r="A21" s="32" t="s">
        <v>55</v>
      </c>
      <c r="B21" s="16" t="s">
        <v>0</v>
      </c>
      <c r="C21" s="41">
        <f t="shared" si="0"/>
        <v>5</v>
      </c>
      <c r="D21" s="41">
        <f t="shared" si="0"/>
        <v>4</v>
      </c>
      <c r="E21" s="41">
        <f t="shared" si="0"/>
        <v>9</v>
      </c>
      <c r="F21" s="41">
        <f t="shared" si="0"/>
        <v>6</v>
      </c>
      <c r="G21" s="41">
        <f t="shared" si="0"/>
        <v>3</v>
      </c>
      <c r="H21" s="41"/>
      <c r="I21" s="41"/>
      <c r="J21" s="21">
        <v>3</v>
      </c>
      <c r="K21" s="21">
        <v>4</v>
      </c>
      <c r="L21" s="21">
        <v>7</v>
      </c>
      <c r="M21" s="21">
        <v>6</v>
      </c>
      <c r="N21" s="21">
        <v>1</v>
      </c>
      <c r="O21" s="21"/>
      <c r="P21" s="21">
        <v>2</v>
      </c>
      <c r="Q21" s="21">
        <v>0</v>
      </c>
      <c r="R21" s="21">
        <v>2</v>
      </c>
      <c r="S21" s="21">
        <v>0</v>
      </c>
      <c r="T21" s="21">
        <v>2</v>
      </c>
      <c r="U21" s="21"/>
      <c r="V21" s="21"/>
      <c r="W21" s="21"/>
      <c r="X21" s="21">
        <v>57</v>
      </c>
      <c r="Y21" s="21">
        <v>89</v>
      </c>
      <c r="Z21" s="21">
        <v>146</v>
      </c>
      <c r="AA21" s="21">
        <v>111</v>
      </c>
      <c r="AB21" s="21">
        <v>35</v>
      </c>
      <c r="AC21" s="21"/>
      <c r="AD21" s="21"/>
      <c r="AE21" s="21">
        <v>14</v>
      </c>
      <c r="AF21" s="21">
        <v>85</v>
      </c>
      <c r="AG21" s="21">
        <v>99</v>
      </c>
      <c r="AH21" s="21">
        <v>87</v>
      </c>
      <c r="AI21" s="21">
        <v>12</v>
      </c>
    </row>
    <row r="22" spans="1:35" s="30" customFormat="1">
      <c r="A22" s="32" t="s">
        <v>56</v>
      </c>
      <c r="B22" s="16" t="s">
        <v>0</v>
      </c>
      <c r="C22" s="41">
        <f t="shared" si="0"/>
        <v>46</v>
      </c>
      <c r="D22" s="41">
        <f t="shared" si="0"/>
        <v>76</v>
      </c>
      <c r="E22" s="41">
        <f t="shared" si="0"/>
        <v>122</v>
      </c>
      <c r="F22" s="41">
        <f t="shared" si="0"/>
        <v>34</v>
      </c>
      <c r="G22" s="41">
        <f t="shared" si="0"/>
        <v>88</v>
      </c>
      <c r="H22" s="41"/>
      <c r="I22" s="41"/>
      <c r="J22" s="21">
        <v>42</v>
      </c>
      <c r="K22" s="21">
        <v>67</v>
      </c>
      <c r="L22" s="21">
        <v>109</v>
      </c>
      <c r="M22" s="21">
        <v>27</v>
      </c>
      <c r="N22" s="21">
        <v>82</v>
      </c>
      <c r="O22" s="21"/>
      <c r="P22" s="21">
        <v>4</v>
      </c>
      <c r="Q22" s="21">
        <v>9</v>
      </c>
      <c r="R22" s="21">
        <v>13</v>
      </c>
      <c r="S22" s="21">
        <v>7</v>
      </c>
      <c r="T22" s="21">
        <v>6</v>
      </c>
      <c r="U22" s="21"/>
      <c r="V22" s="21"/>
      <c r="W22" s="21"/>
      <c r="X22" s="21">
        <v>103</v>
      </c>
      <c r="Y22" s="21">
        <v>177</v>
      </c>
      <c r="Z22" s="21">
        <v>280</v>
      </c>
      <c r="AA22" s="21">
        <v>172</v>
      </c>
      <c r="AB22" s="21">
        <v>108</v>
      </c>
      <c r="AC22" s="21"/>
      <c r="AD22" s="21"/>
      <c r="AE22" s="21">
        <v>22</v>
      </c>
      <c r="AF22" s="21">
        <v>171</v>
      </c>
      <c r="AG22" s="21">
        <v>193</v>
      </c>
      <c r="AH22" s="21">
        <v>168</v>
      </c>
      <c r="AI22" s="21">
        <v>25</v>
      </c>
    </row>
    <row r="23" spans="1:35" s="30" customFormat="1">
      <c r="A23" s="32" t="s">
        <v>57</v>
      </c>
      <c r="B23" s="16" t="s">
        <v>0</v>
      </c>
      <c r="C23" s="41">
        <f t="shared" si="0"/>
        <v>89</v>
      </c>
      <c r="D23" s="41">
        <f t="shared" si="0"/>
        <v>108</v>
      </c>
      <c r="E23" s="41">
        <f t="shared" si="0"/>
        <v>197</v>
      </c>
      <c r="F23" s="41">
        <f t="shared" si="0"/>
        <v>33</v>
      </c>
      <c r="G23" s="41">
        <f t="shared" si="0"/>
        <v>164</v>
      </c>
      <c r="H23" s="41"/>
      <c r="I23" s="41"/>
      <c r="J23" s="21">
        <v>82</v>
      </c>
      <c r="K23" s="21">
        <v>104</v>
      </c>
      <c r="L23" s="21">
        <v>186</v>
      </c>
      <c r="M23" s="21">
        <v>31</v>
      </c>
      <c r="N23" s="21">
        <v>155</v>
      </c>
      <c r="O23" s="21"/>
      <c r="P23" s="21">
        <v>7</v>
      </c>
      <c r="Q23" s="21">
        <v>4</v>
      </c>
      <c r="R23" s="21">
        <v>11</v>
      </c>
      <c r="S23" s="21">
        <v>2</v>
      </c>
      <c r="T23" s="21">
        <v>9</v>
      </c>
      <c r="U23" s="21"/>
      <c r="V23" s="21"/>
      <c r="W23" s="21"/>
      <c r="X23" s="21">
        <v>292</v>
      </c>
      <c r="Y23" s="21">
        <v>374</v>
      </c>
      <c r="Z23" s="21">
        <v>666</v>
      </c>
      <c r="AA23" s="21">
        <v>422</v>
      </c>
      <c r="AB23" s="21">
        <v>244</v>
      </c>
      <c r="AC23" s="21"/>
      <c r="AD23" s="21"/>
      <c r="AE23" s="21">
        <v>55</v>
      </c>
      <c r="AF23" s="21">
        <v>291</v>
      </c>
      <c r="AG23" s="21">
        <v>346</v>
      </c>
      <c r="AH23" s="21">
        <v>281</v>
      </c>
      <c r="AI23" s="21">
        <v>65</v>
      </c>
    </row>
    <row r="24" spans="1:35" s="30" customFormat="1">
      <c r="A24" s="32" t="s">
        <v>58</v>
      </c>
      <c r="B24" s="16" t="s">
        <v>0</v>
      </c>
      <c r="C24" s="41">
        <f t="shared" si="0"/>
        <v>34</v>
      </c>
      <c r="D24" s="41">
        <f t="shared" si="0"/>
        <v>48</v>
      </c>
      <c r="E24" s="41">
        <f t="shared" si="0"/>
        <v>82</v>
      </c>
      <c r="F24" s="41">
        <f t="shared" si="0"/>
        <v>48</v>
      </c>
      <c r="G24" s="41">
        <f t="shared" si="0"/>
        <v>34</v>
      </c>
      <c r="H24" s="41"/>
      <c r="I24" s="41"/>
      <c r="J24" s="21">
        <v>29</v>
      </c>
      <c r="K24" s="21">
        <v>47</v>
      </c>
      <c r="L24" s="21">
        <v>76</v>
      </c>
      <c r="M24" s="21">
        <v>45</v>
      </c>
      <c r="N24" s="21">
        <v>31</v>
      </c>
      <c r="O24" s="21"/>
      <c r="P24" s="21">
        <v>5</v>
      </c>
      <c r="Q24" s="21">
        <v>1</v>
      </c>
      <c r="R24" s="21">
        <v>6</v>
      </c>
      <c r="S24" s="21">
        <v>3</v>
      </c>
      <c r="T24" s="21">
        <v>3</v>
      </c>
      <c r="U24" s="21"/>
      <c r="V24" s="21"/>
      <c r="W24" s="21"/>
      <c r="X24" s="21">
        <v>185</v>
      </c>
      <c r="Y24" s="21">
        <v>652</v>
      </c>
      <c r="Z24" s="21">
        <v>837</v>
      </c>
      <c r="AA24" s="21">
        <v>625</v>
      </c>
      <c r="AB24" s="21">
        <v>212</v>
      </c>
      <c r="AC24" s="21"/>
      <c r="AD24" s="21"/>
      <c r="AE24" s="21">
        <v>31</v>
      </c>
      <c r="AF24" s="21">
        <v>238</v>
      </c>
      <c r="AG24" s="21">
        <v>269</v>
      </c>
      <c r="AH24" s="21">
        <v>245</v>
      </c>
      <c r="AI24" s="21">
        <v>24</v>
      </c>
    </row>
    <row r="25" spans="1:35" s="30" customFormat="1">
      <c r="A25" s="32" t="s">
        <v>59</v>
      </c>
      <c r="B25" s="16" t="s">
        <v>0</v>
      </c>
      <c r="C25" s="41">
        <f t="shared" si="0"/>
        <v>28</v>
      </c>
      <c r="D25" s="41">
        <f t="shared" si="0"/>
        <v>57</v>
      </c>
      <c r="E25" s="41">
        <f t="shared" si="0"/>
        <v>85</v>
      </c>
      <c r="F25" s="41">
        <f t="shared" si="0"/>
        <v>33</v>
      </c>
      <c r="G25" s="41">
        <f t="shared" si="0"/>
        <v>52</v>
      </c>
      <c r="H25" s="41"/>
      <c r="I25" s="41"/>
      <c r="J25" s="21">
        <v>27</v>
      </c>
      <c r="K25" s="21">
        <v>50</v>
      </c>
      <c r="L25" s="21">
        <v>77</v>
      </c>
      <c r="M25" s="21">
        <v>29</v>
      </c>
      <c r="N25" s="21">
        <v>48</v>
      </c>
      <c r="O25" s="21"/>
      <c r="P25" s="21">
        <v>1</v>
      </c>
      <c r="Q25" s="21">
        <v>7</v>
      </c>
      <c r="R25" s="21">
        <v>8</v>
      </c>
      <c r="S25" s="21">
        <v>4</v>
      </c>
      <c r="T25" s="21">
        <v>4</v>
      </c>
      <c r="U25" s="21"/>
      <c r="V25" s="21"/>
      <c r="W25" s="21"/>
      <c r="X25" s="21">
        <v>97</v>
      </c>
      <c r="Y25" s="21">
        <v>381</v>
      </c>
      <c r="Z25" s="21">
        <v>478</v>
      </c>
      <c r="AA25" s="21">
        <v>354</v>
      </c>
      <c r="AB25" s="21">
        <v>124</v>
      </c>
      <c r="AC25" s="21"/>
      <c r="AD25" s="21"/>
      <c r="AE25" s="21">
        <v>25</v>
      </c>
      <c r="AF25" s="21">
        <v>309</v>
      </c>
      <c r="AG25" s="21">
        <v>334</v>
      </c>
      <c r="AH25" s="21">
        <v>314</v>
      </c>
      <c r="AI25" s="21">
        <v>20</v>
      </c>
    </row>
    <row r="26" spans="1:35" s="30" customFormat="1">
      <c r="A26" s="32" t="s">
        <v>60</v>
      </c>
      <c r="B26" s="16" t="s">
        <v>0</v>
      </c>
      <c r="C26" s="41">
        <f t="shared" si="0"/>
        <v>106</v>
      </c>
      <c r="D26" s="41">
        <f t="shared" si="0"/>
        <v>149</v>
      </c>
      <c r="E26" s="41">
        <f t="shared" si="0"/>
        <v>255</v>
      </c>
      <c r="F26" s="41">
        <f t="shared" si="0"/>
        <v>110</v>
      </c>
      <c r="G26" s="41">
        <f t="shared" si="0"/>
        <v>145</v>
      </c>
      <c r="H26" s="41"/>
      <c r="I26" s="41"/>
      <c r="J26" s="21">
        <v>94</v>
      </c>
      <c r="K26" s="21">
        <v>128</v>
      </c>
      <c r="L26" s="21">
        <v>222</v>
      </c>
      <c r="M26" s="21">
        <v>95</v>
      </c>
      <c r="N26" s="21">
        <v>127</v>
      </c>
      <c r="O26" s="21"/>
      <c r="P26" s="21">
        <v>12</v>
      </c>
      <c r="Q26" s="21">
        <v>21</v>
      </c>
      <c r="R26" s="21">
        <v>33</v>
      </c>
      <c r="S26" s="21">
        <v>15</v>
      </c>
      <c r="T26" s="21">
        <v>18</v>
      </c>
      <c r="U26" s="21"/>
      <c r="V26" s="21"/>
      <c r="W26" s="21"/>
      <c r="X26" s="21">
        <v>49</v>
      </c>
      <c r="Y26" s="21">
        <v>295</v>
      </c>
      <c r="Z26" s="21">
        <v>344</v>
      </c>
      <c r="AA26" s="21">
        <v>257</v>
      </c>
      <c r="AB26" s="21">
        <v>87</v>
      </c>
      <c r="AC26" s="21"/>
      <c r="AD26" s="21"/>
      <c r="AE26" s="21">
        <v>18</v>
      </c>
      <c r="AF26" s="21">
        <v>242</v>
      </c>
      <c r="AG26" s="21">
        <v>260</v>
      </c>
      <c r="AH26" s="21">
        <v>228</v>
      </c>
      <c r="AI26" s="21">
        <v>32</v>
      </c>
    </row>
    <row r="27" spans="1:35" s="31" customFormat="1">
      <c r="A27" s="32" t="s">
        <v>61</v>
      </c>
      <c r="B27" s="16" t="s">
        <v>0</v>
      </c>
      <c r="C27" s="41">
        <f t="shared" si="0"/>
        <v>7</v>
      </c>
      <c r="D27" s="41">
        <f t="shared" si="0"/>
        <v>244</v>
      </c>
      <c r="E27" s="41">
        <f t="shared" si="0"/>
        <v>251</v>
      </c>
      <c r="F27" s="41">
        <f t="shared" si="0"/>
        <v>61</v>
      </c>
      <c r="G27" s="41">
        <f t="shared" si="0"/>
        <v>190</v>
      </c>
      <c r="H27" s="41"/>
      <c r="I27" s="41"/>
      <c r="J27" s="21">
        <v>6</v>
      </c>
      <c r="K27" s="21">
        <v>221</v>
      </c>
      <c r="L27" s="21">
        <v>227</v>
      </c>
      <c r="M27" s="21">
        <v>55</v>
      </c>
      <c r="N27" s="21">
        <v>172</v>
      </c>
      <c r="O27" s="21"/>
      <c r="P27" s="21">
        <v>1</v>
      </c>
      <c r="Q27" s="21">
        <v>23</v>
      </c>
      <c r="R27" s="21">
        <v>24</v>
      </c>
      <c r="S27" s="21">
        <v>6</v>
      </c>
      <c r="T27" s="21">
        <v>18</v>
      </c>
      <c r="U27" s="21"/>
      <c r="V27" s="21"/>
      <c r="W27" s="21"/>
      <c r="X27" s="21">
        <v>41</v>
      </c>
      <c r="Y27" s="21">
        <v>390</v>
      </c>
      <c r="Z27" s="21">
        <v>431</v>
      </c>
      <c r="AA27" s="21">
        <v>223</v>
      </c>
      <c r="AB27" s="21">
        <v>208</v>
      </c>
      <c r="AC27" s="21"/>
      <c r="AD27" s="21"/>
      <c r="AE27" s="21">
        <v>13</v>
      </c>
      <c r="AF27" s="21">
        <v>428</v>
      </c>
      <c r="AG27" s="21">
        <v>441</v>
      </c>
      <c r="AH27" s="21">
        <v>375</v>
      </c>
      <c r="AI27" s="21">
        <v>66</v>
      </c>
    </row>
    <row r="28" spans="1:35">
      <c r="A28" s="17" t="s">
        <v>36</v>
      </c>
      <c r="B28" s="18" t="s">
        <v>37</v>
      </c>
      <c r="C28" s="41">
        <f t="shared" si="0"/>
        <v>0</v>
      </c>
      <c r="D28" s="41">
        <f t="shared" si="0"/>
        <v>0</v>
      </c>
      <c r="E28" s="41">
        <f t="shared" si="0"/>
        <v>0</v>
      </c>
      <c r="F28" s="41">
        <f t="shared" si="0"/>
        <v>0</v>
      </c>
      <c r="G28" s="41">
        <f t="shared" si="0"/>
        <v>0</v>
      </c>
      <c r="H28" s="41"/>
      <c r="I28" s="41"/>
      <c r="J28" s="19">
        <v>0</v>
      </c>
      <c r="K28" s="20">
        <v>0</v>
      </c>
      <c r="L28" s="20">
        <v>0</v>
      </c>
      <c r="M28" s="20">
        <v>0</v>
      </c>
      <c r="N28" s="21">
        <v>0</v>
      </c>
      <c r="O28" s="21"/>
      <c r="P28" s="20">
        <v>0</v>
      </c>
      <c r="Q28" s="20">
        <v>0</v>
      </c>
      <c r="R28" s="20">
        <v>0</v>
      </c>
      <c r="S28" s="20">
        <v>0</v>
      </c>
      <c r="T28" s="21">
        <v>0</v>
      </c>
      <c r="U28" s="21"/>
      <c r="V28" s="21"/>
      <c r="W28" s="21"/>
      <c r="X28" s="20">
        <v>1736</v>
      </c>
      <c r="Y28" s="20">
        <v>2277</v>
      </c>
      <c r="Z28" s="20">
        <v>4013</v>
      </c>
      <c r="AA28" s="20">
        <v>2412</v>
      </c>
      <c r="AB28" s="21">
        <v>1601</v>
      </c>
      <c r="AC28" s="21"/>
      <c r="AD28" s="21"/>
      <c r="AE28" s="20">
        <v>0</v>
      </c>
      <c r="AF28" s="20">
        <v>0</v>
      </c>
      <c r="AG28" s="20">
        <v>0</v>
      </c>
      <c r="AH28" s="20">
        <v>0</v>
      </c>
      <c r="AI28" s="20">
        <v>0</v>
      </c>
    </row>
    <row r="29" spans="1:35">
      <c r="A29" s="17" t="s">
        <v>36</v>
      </c>
      <c r="B29" s="18" t="s">
        <v>38</v>
      </c>
      <c r="C29" s="41">
        <f t="shared" si="0"/>
        <v>2191</v>
      </c>
      <c r="D29" s="41">
        <f t="shared" si="0"/>
        <v>1158</v>
      </c>
      <c r="E29" s="41">
        <f t="shared" si="0"/>
        <v>3349</v>
      </c>
      <c r="F29" s="41">
        <f t="shared" si="0"/>
        <v>990</v>
      </c>
      <c r="G29" s="41">
        <f t="shared" si="0"/>
        <v>2359</v>
      </c>
      <c r="H29" s="41"/>
      <c r="I29" s="41"/>
      <c r="J29" s="20">
        <v>2191</v>
      </c>
      <c r="K29" s="20">
        <v>1158</v>
      </c>
      <c r="L29" s="20">
        <v>3349</v>
      </c>
      <c r="M29" s="20">
        <v>990</v>
      </c>
      <c r="N29" s="21">
        <v>2359</v>
      </c>
      <c r="O29" s="21"/>
      <c r="P29" s="20">
        <v>0</v>
      </c>
      <c r="Q29" s="20">
        <v>0</v>
      </c>
      <c r="R29" s="20">
        <v>0</v>
      </c>
      <c r="S29" s="20">
        <v>0</v>
      </c>
      <c r="T29" s="21">
        <v>0</v>
      </c>
      <c r="U29" s="21"/>
      <c r="V29" s="21"/>
      <c r="W29" s="21"/>
      <c r="X29" s="20">
        <v>0</v>
      </c>
      <c r="Y29" s="20">
        <v>0</v>
      </c>
      <c r="Z29" s="20">
        <v>0</v>
      </c>
      <c r="AA29" s="20">
        <v>0</v>
      </c>
      <c r="AB29" s="21">
        <v>0</v>
      </c>
      <c r="AC29" s="21"/>
      <c r="AD29" s="21"/>
      <c r="AE29" s="20">
        <v>0</v>
      </c>
      <c r="AF29" s="20">
        <v>0</v>
      </c>
      <c r="AG29" s="20">
        <v>0</v>
      </c>
      <c r="AH29" s="20">
        <v>0</v>
      </c>
      <c r="AI29" s="20">
        <v>0</v>
      </c>
    </row>
    <row r="30" spans="1:35">
      <c r="A30" s="17" t="s">
        <v>36</v>
      </c>
      <c r="B30" s="18" t="s">
        <v>39</v>
      </c>
      <c r="C30" s="41">
        <f t="shared" si="0"/>
        <v>0</v>
      </c>
      <c r="D30" s="41">
        <f t="shared" si="0"/>
        <v>0</v>
      </c>
      <c r="E30" s="41">
        <f t="shared" si="0"/>
        <v>0</v>
      </c>
      <c r="F30" s="41">
        <f t="shared" si="0"/>
        <v>0</v>
      </c>
      <c r="G30" s="41">
        <f t="shared" si="0"/>
        <v>0</v>
      </c>
      <c r="H30" s="41"/>
      <c r="I30" s="41"/>
      <c r="J30" s="20">
        <v>0</v>
      </c>
      <c r="K30" s="20">
        <v>0</v>
      </c>
      <c r="L30" s="20">
        <v>0</v>
      </c>
      <c r="M30" s="20">
        <v>0</v>
      </c>
      <c r="N30" s="21">
        <v>0</v>
      </c>
      <c r="O30" s="21"/>
      <c r="P30" s="20">
        <v>0</v>
      </c>
      <c r="Q30" s="20">
        <v>0</v>
      </c>
      <c r="R30" s="20">
        <v>0</v>
      </c>
      <c r="S30" s="20">
        <v>0</v>
      </c>
      <c r="T30" s="21">
        <v>0</v>
      </c>
      <c r="U30" s="21"/>
      <c r="V30" s="21"/>
      <c r="W30" s="21"/>
      <c r="X30" s="20">
        <v>0</v>
      </c>
      <c r="Y30" s="20">
        <v>0</v>
      </c>
      <c r="Z30" s="20">
        <v>0</v>
      </c>
      <c r="AA30" s="20">
        <v>0</v>
      </c>
      <c r="AB30" s="21">
        <v>0</v>
      </c>
      <c r="AC30" s="21"/>
      <c r="AD30" s="21"/>
      <c r="AE30" s="20">
        <v>451</v>
      </c>
      <c r="AF30" s="20">
        <v>2251</v>
      </c>
      <c r="AG30" s="20">
        <v>2702</v>
      </c>
      <c r="AH30" s="20">
        <v>2194</v>
      </c>
      <c r="AI30" s="20">
        <v>508</v>
      </c>
    </row>
    <row r="31" spans="1:35">
      <c r="A31" s="17" t="s">
        <v>36</v>
      </c>
      <c r="B31" s="18" t="s">
        <v>40</v>
      </c>
      <c r="C31" s="41">
        <f t="shared" si="0"/>
        <v>54</v>
      </c>
      <c r="D31" s="41">
        <f t="shared" si="0"/>
        <v>83</v>
      </c>
      <c r="E31" s="41">
        <f t="shared" si="0"/>
        <v>137</v>
      </c>
      <c r="F31" s="41">
        <f t="shared" si="0"/>
        <v>94</v>
      </c>
      <c r="G31" s="41">
        <f t="shared" si="0"/>
        <v>43</v>
      </c>
      <c r="H31" s="41"/>
      <c r="I31" s="41"/>
      <c r="J31" s="20">
        <v>0</v>
      </c>
      <c r="K31" s="20">
        <v>0</v>
      </c>
      <c r="L31" s="20">
        <v>0</v>
      </c>
      <c r="M31" s="20">
        <v>0</v>
      </c>
      <c r="N31" s="21">
        <v>0</v>
      </c>
      <c r="O31" s="21"/>
      <c r="P31" s="20">
        <v>54</v>
      </c>
      <c r="Q31" s="20">
        <v>83</v>
      </c>
      <c r="R31" s="20">
        <v>137</v>
      </c>
      <c r="S31" s="20">
        <v>94</v>
      </c>
      <c r="T31" s="21">
        <v>43</v>
      </c>
      <c r="U31" s="21"/>
      <c r="V31" s="21"/>
      <c r="W31" s="21"/>
      <c r="X31" s="20">
        <v>0</v>
      </c>
      <c r="Y31" s="20">
        <v>0</v>
      </c>
      <c r="Z31" s="20">
        <v>0</v>
      </c>
      <c r="AA31" s="20">
        <v>0</v>
      </c>
      <c r="AB31" s="21">
        <v>0</v>
      </c>
      <c r="AC31" s="21"/>
      <c r="AD31" s="21"/>
      <c r="AE31" s="20">
        <v>0</v>
      </c>
      <c r="AF31" s="20">
        <v>0</v>
      </c>
      <c r="AG31" s="20">
        <v>0</v>
      </c>
      <c r="AH31" s="20">
        <v>0</v>
      </c>
      <c r="AI31" s="20">
        <v>0</v>
      </c>
    </row>
    <row r="32" spans="1:35">
      <c r="A32" s="24" t="s">
        <v>36</v>
      </c>
      <c r="B32" s="25" t="s">
        <v>41</v>
      </c>
      <c r="C32" s="41">
        <f t="shared" si="0"/>
        <v>2</v>
      </c>
      <c r="D32" s="41">
        <f t="shared" si="0"/>
        <v>5</v>
      </c>
      <c r="E32" s="41">
        <f t="shared" si="0"/>
        <v>7</v>
      </c>
      <c r="F32" s="41">
        <f t="shared" si="0"/>
        <v>0</v>
      </c>
      <c r="G32" s="41">
        <f t="shared" si="0"/>
        <v>7</v>
      </c>
      <c r="H32" s="41"/>
      <c r="I32" s="41"/>
      <c r="J32" s="26">
        <v>2</v>
      </c>
      <c r="K32" s="26">
        <v>5</v>
      </c>
      <c r="L32" s="26">
        <v>7</v>
      </c>
      <c r="M32" s="26">
        <v>0</v>
      </c>
      <c r="N32" s="27">
        <v>7</v>
      </c>
      <c r="O32" s="27"/>
      <c r="P32" s="26">
        <v>0</v>
      </c>
      <c r="Q32" s="26">
        <v>0</v>
      </c>
      <c r="R32" s="26">
        <v>0</v>
      </c>
      <c r="S32" s="26">
        <v>0</v>
      </c>
      <c r="T32" s="27">
        <v>0</v>
      </c>
      <c r="U32" s="27"/>
      <c r="V32" s="27"/>
      <c r="W32" s="27"/>
      <c r="X32" s="26">
        <v>111</v>
      </c>
      <c r="Y32" s="26">
        <v>448</v>
      </c>
      <c r="Z32" s="26">
        <v>558</v>
      </c>
      <c r="AA32" s="26">
        <v>307</v>
      </c>
      <c r="AB32" s="27">
        <v>251</v>
      </c>
      <c r="AC32" s="27"/>
      <c r="AD32" s="27"/>
      <c r="AE32" s="26">
        <v>5</v>
      </c>
      <c r="AF32" s="26">
        <v>116</v>
      </c>
      <c r="AG32" s="26">
        <v>121</v>
      </c>
      <c r="AH32" s="26">
        <v>102</v>
      </c>
      <c r="AI32" s="26">
        <v>19</v>
      </c>
    </row>
    <row r="33" spans="1:35">
      <c r="A33" s="29" t="s">
        <v>2</v>
      </c>
      <c r="AI33" s="14" t="s">
        <v>69</v>
      </c>
    </row>
    <row r="36" spans="1:35">
      <c r="A36" s="2"/>
      <c r="B36" s="35" t="s">
        <v>70</v>
      </c>
    </row>
    <row r="37" spans="1:35">
      <c r="B37" s="36" t="s">
        <v>62</v>
      </c>
      <c r="C37" s="36" t="s">
        <v>71</v>
      </c>
      <c r="D37" s="36" t="s">
        <v>63</v>
      </c>
      <c r="E37" s="36"/>
      <c r="F37" s="36"/>
    </row>
    <row r="38" spans="1:35">
      <c r="A38" s="36" t="s">
        <v>72</v>
      </c>
      <c r="B38" s="37">
        <f>H5</f>
        <v>32.906696345761453</v>
      </c>
      <c r="C38" s="37">
        <f>AC5</f>
        <v>62.419047619047618</v>
      </c>
      <c r="D38" s="37">
        <f>AJ5</f>
        <v>84.499785315586081</v>
      </c>
    </row>
    <row r="39" spans="1:35">
      <c r="A39" s="36" t="s">
        <v>73</v>
      </c>
      <c r="B39" s="37">
        <f>H6</f>
        <v>31.033495562553682</v>
      </c>
      <c r="C39" s="37">
        <f>AC6</f>
        <v>59.483701597024719</v>
      </c>
      <c r="D39" s="37">
        <f>AJ6</f>
        <v>81.331916400991858</v>
      </c>
    </row>
    <row r="40" spans="1:35">
      <c r="A40" s="36" t="s">
        <v>74</v>
      </c>
      <c r="B40" s="37">
        <f>H7</f>
        <v>36.354056902002107</v>
      </c>
      <c r="C40" s="37">
        <f>AC7</f>
        <v>64.682071175577676</v>
      </c>
      <c r="D40" s="37">
        <f>AJ7</f>
        <v>86.647454370797306</v>
      </c>
    </row>
    <row r="42" spans="1:35">
      <c r="B42" s="43" t="s">
        <v>77</v>
      </c>
      <c r="C42" s="43"/>
      <c r="D42" s="43"/>
    </row>
    <row r="43" spans="1:35">
      <c r="B43" s="36" t="s">
        <v>62</v>
      </c>
      <c r="C43" s="36" t="s">
        <v>71</v>
      </c>
      <c r="D43" s="36" t="s">
        <v>63</v>
      </c>
    </row>
    <row r="44" spans="1:35">
      <c r="A44" s="36" t="s">
        <v>72</v>
      </c>
      <c r="B44" s="44">
        <f>G5</f>
        <v>3617</v>
      </c>
      <c r="C44" s="44">
        <f>AB5</f>
        <v>3946</v>
      </c>
      <c r="D44" s="44">
        <f>AI5</f>
        <v>1083</v>
      </c>
    </row>
    <row r="45" spans="1:35">
      <c r="A45" s="36" t="s">
        <v>73</v>
      </c>
      <c r="B45" s="44">
        <f>G6</f>
        <v>2409</v>
      </c>
      <c r="C45" s="44">
        <f>AB6</f>
        <v>1852</v>
      </c>
      <c r="D45" s="44">
        <f>AI6</f>
        <v>527</v>
      </c>
    </row>
    <row r="46" spans="1:35">
      <c r="A46" s="36" t="s">
        <v>74</v>
      </c>
      <c r="B46" s="44">
        <f>G7</f>
        <v>1208</v>
      </c>
      <c r="C46" s="44">
        <f>AB7</f>
        <v>2094</v>
      </c>
      <c r="D46" s="44">
        <f>AI7</f>
        <v>556</v>
      </c>
    </row>
    <row r="49" spans="1:5">
      <c r="B49" s="43" t="s">
        <v>78</v>
      </c>
      <c r="C49" s="43"/>
      <c r="D49" s="43"/>
    </row>
    <row r="50" spans="1:5">
      <c r="B50" s="36" t="s">
        <v>62</v>
      </c>
      <c r="C50" s="36" t="s">
        <v>71</v>
      </c>
      <c r="D50" s="36" t="s">
        <v>63</v>
      </c>
    </row>
    <row r="51" spans="1:5">
      <c r="A51" s="36" t="s">
        <v>72</v>
      </c>
      <c r="B51" s="44">
        <f>F5</f>
        <v>1774</v>
      </c>
      <c r="C51" s="44">
        <f>AA5</f>
        <v>6554</v>
      </c>
      <c r="D51" s="44">
        <f>AH5</f>
        <v>5904</v>
      </c>
    </row>
    <row r="52" spans="1:5">
      <c r="A52" s="36" t="s">
        <v>73</v>
      </c>
      <c r="B52" s="44">
        <f>F6</f>
        <v>1084</v>
      </c>
      <c r="C52" s="44">
        <f>AA6</f>
        <v>2719</v>
      </c>
      <c r="D52" s="44">
        <f>AH6</f>
        <v>2296</v>
      </c>
    </row>
    <row r="53" spans="1:5">
      <c r="A53" s="36" t="s">
        <v>74</v>
      </c>
      <c r="B53" s="44">
        <f>F7</f>
        <v>690</v>
      </c>
      <c r="C53" s="44">
        <f>AA7</f>
        <v>3835</v>
      </c>
      <c r="D53" s="44">
        <f>AH7</f>
        <v>3608</v>
      </c>
    </row>
    <row r="55" spans="1:5">
      <c r="A55" s="35" t="s">
        <v>0</v>
      </c>
      <c r="B55" s="43"/>
      <c r="C55" s="43"/>
      <c r="D55" s="43"/>
    </row>
    <row r="56" spans="1:5">
      <c r="A56" s="35"/>
      <c r="B56" s="43" t="s">
        <v>66</v>
      </c>
      <c r="C56" s="43" t="s">
        <v>36</v>
      </c>
      <c r="D56" s="43" t="s">
        <v>65</v>
      </c>
    </row>
    <row r="57" spans="1:5">
      <c r="A57" s="43" t="s">
        <v>79</v>
      </c>
      <c r="B57" s="44">
        <v>7528</v>
      </c>
      <c r="C57" s="44">
        <v>4550</v>
      </c>
      <c r="D57" s="44">
        <v>2978</v>
      </c>
      <c r="E57" s="13"/>
    </row>
    <row r="58" spans="1:5">
      <c r="A58" s="43" t="s">
        <v>80</v>
      </c>
      <c r="B58" s="44">
        <v>15351</v>
      </c>
      <c r="C58" s="44">
        <v>6338</v>
      </c>
      <c r="D58" s="44">
        <v>9013</v>
      </c>
      <c r="E58" s="13"/>
    </row>
    <row r="59" spans="1:5">
      <c r="A59" s="43" t="s">
        <v>78</v>
      </c>
      <c r="B59" s="44">
        <v>14232</v>
      </c>
      <c r="C59" s="44">
        <v>6099</v>
      </c>
      <c r="D59" s="44">
        <v>8133</v>
      </c>
    </row>
    <row r="60" spans="1:5">
      <c r="A60" s="43" t="s">
        <v>77</v>
      </c>
      <c r="B60" s="44">
        <v>8646</v>
      </c>
      <c r="C60" s="44">
        <v>4788</v>
      </c>
      <c r="D60" s="44">
        <v>3858</v>
      </c>
    </row>
    <row r="61" spans="1:5">
      <c r="B61" s="16"/>
      <c r="C61" s="16"/>
      <c r="D61" s="16"/>
    </row>
    <row r="62" spans="1:5">
      <c r="A62" s="2"/>
      <c r="B62" s="13"/>
      <c r="C62" s="13"/>
      <c r="D62" s="13"/>
      <c r="E62" s="13"/>
    </row>
    <row r="63" spans="1:5">
      <c r="A63" s="2"/>
      <c r="B63" s="13"/>
      <c r="C63" s="13"/>
      <c r="D63" s="13"/>
      <c r="E63" s="13"/>
    </row>
    <row r="64" spans="1:5">
      <c r="A64" s="2"/>
      <c r="B64" s="13"/>
      <c r="C64" s="13"/>
      <c r="D64" s="13"/>
      <c r="E64" s="13"/>
    </row>
    <row r="65" spans="1:11">
      <c r="A65" s="2"/>
      <c r="B65" s="13"/>
      <c r="C65" s="13"/>
      <c r="D65" s="13"/>
      <c r="E65" s="13"/>
    </row>
    <row r="66" spans="1:11">
      <c r="B66" s="35" t="s">
        <v>81</v>
      </c>
    </row>
    <row r="67" spans="1:11">
      <c r="B67" s="43"/>
      <c r="H67" s="43" t="s">
        <v>82</v>
      </c>
    </row>
    <row r="68" spans="1:11">
      <c r="A68" s="2"/>
      <c r="B68" s="43"/>
      <c r="C68" s="43" t="s">
        <v>83</v>
      </c>
      <c r="D68" s="43" t="s">
        <v>84</v>
      </c>
      <c r="E68" s="43" t="s">
        <v>85</v>
      </c>
      <c r="F68" s="43" t="s">
        <v>86</v>
      </c>
      <c r="G68" s="43"/>
      <c r="H68" s="45" t="s">
        <v>87</v>
      </c>
      <c r="I68" s="43" t="s">
        <v>88</v>
      </c>
      <c r="J68" s="43" t="s">
        <v>89</v>
      </c>
      <c r="K68" s="43"/>
    </row>
    <row r="69" spans="1:11">
      <c r="A69" s="2"/>
      <c r="B69" s="43" t="s">
        <v>42</v>
      </c>
      <c r="C69" s="43">
        <v>590</v>
      </c>
      <c r="D69" s="43">
        <v>339</v>
      </c>
      <c r="E69" s="43">
        <v>251</v>
      </c>
      <c r="F69" s="37">
        <f>D69/C69*100</f>
        <v>57.457627118644069</v>
      </c>
      <c r="G69" s="43"/>
      <c r="H69" s="46">
        <v>10</v>
      </c>
      <c r="I69" s="37">
        <f t="shared" ref="I69:I88" si="1">C69/H69</f>
        <v>59</v>
      </c>
      <c r="J69" s="37">
        <f t="shared" ref="J69:J88" si="2">D69/H69</f>
        <v>33.9</v>
      </c>
      <c r="K69" s="43"/>
    </row>
    <row r="70" spans="1:11">
      <c r="A70" s="2"/>
      <c r="B70" s="43" t="s">
        <v>43</v>
      </c>
      <c r="C70" s="43">
        <v>692</v>
      </c>
      <c r="D70" s="43">
        <v>367</v>
      </c>
      <c r="E70" s="43">
        <v>325</v>
      </c>
      <c r="F70" s="37">
        <f t="shared" ref="F70:F88" si="3">D70/C70*100</f>
        <v>53.034682080924853</v>
      </c>
      <c r="G70" s="43"/>
      <c r="H70" s="46">
        <v>8</v>
      </c>
      <c r="I70" s="37">
        <f t="shared" si="1"/>
        <v>86.5</v>
      </c>
      <c r="J70" s="37">
        <f t="shared" si="2"/>
        <v>45.875</v>
      </c>
      <c r="K70" s="43"/>
    </row>
    <row r="71" spans="1:11">
      <c r="A71" s="2"/>
      <c r="B71" s="43" t="s">
        <v>44</v>
      </c>
      <c r="C71" s="43">
        <v>400</v>
      </c>
      <c r="D71" s="43">
        <v>332</v>
      </c>
      <c r="E71" s="43">
        <v>68</v>
      </c>
      <c r="F71" s="37">
        <f t="shared" si="3"/>
        <v>83</v>
      </c>
      <c r="G71" s="43"/>
      <c r="H71" s="46">
        <v>4</v>
      </c>
      <c r="I71" s="37">
        <f t="shared" si="1"/>
        <v>100</v>
      </c>
      <c r="J71" s="37">
        <f t="shared" si="2"/>
        <v>83</v>
      </c>
      <c r="K71" s="43"/>
    </row>
    <row r="72" spans="1:11">
      <c r="A72" s="2"/>
      <c r="B72" s="43" t="s">
        <v>45</v>
      </c>
      <c r="C72" s="43">
        <v>658</v>
      </c>
      <c r="D72" s="43">
        <v>407</v>
      </c>
      <c r="E72" s="43">
        <v>251</v>
      </c>
      <c r="F72" s="37">
        <f t="shared" si="3"/>
        <v>61.854103343465049</v>
      </c>
      <c r="G72" s="43"/>
      <c r="H72" s="46">
        <v>5</v>
      </c>
      <c r="I72" s="37">
        <f t="shared" si="1"/>
        <v>131.6</v>
      </c>
      <c r="J72" s="37">
        <f t="shared" si="2"/>
        <v>81.400000000000006</v>
      </c>
      <c r="K72" s="43"/>
    </row>
    <row r="73" spans="1:11">
      <c r="A73" s="2"/>
      <c r="B73" s="43" t="s">
        <v>46</v>
      </c>
      <c r="C73" s="43">
        <v>679</v>
      </c>
      <c r="D73" s="43">
        <v>485</v>
      </c>
      <c r="E73" s="43">
        <v>194</v>
      </c>
      <c r="F73" s="37">
        <f t="shared" si="3"/>
        <v>71.428571428571431</v>
      </c>
      <c r="G73" s="43"/>
      <c r="H73" s="46">
        <v>7</v>
      </c>
      <c r="I73" s="37">
        <f t="shared" si="1"/>
        <v>97</v>
      </c>
      <c r="J73" s="37">
        <f t="shared" si="2"/>
        <v>69.285714285714292</v>
      </c>
      <c r="K73" s="43"/>
    </row>
    <row r="74" spans="1:11">
      <c r="B74" s="43" t="s">
        <v>47</v>
      </c>
      <c r="C74" s="43">
        <v>423</v>
      </c>
      <c r="D74" s="43">
        <v>253</v>
      </c>
      <c r="E74" s="43">
        <v>170</v>
      </c>
      <c r="F74" s="37">
        <f t="shared" si="3"/>
        <v>59.810874704491724</v>
      </c>
      <c r="G74" s="43"/>
      <c r="H74" s="46">
        <v>5</v>
      </c>
      <c r="I74" s="37">
        <f t="shared" si="1"/>
        <v>84.6</v>
      </c>
      <c r="J74" s="37">
        <f t="shared" si="2"/>
        <v>50.6</v>
      </c>
      <c r="K74" s="43"/>
    </row>
    <row r="75" spans="1:11">
      <c r="B75" s="43" t="s">
        <v>48</v>
      </c>
      <c r="C75" s="43">
        <v>608</v>
      </c>
      <c r="D75" s="43">
        <v>366</v>
      </c>
      <c r="E75" s="43">
        <v>242</v>
      </c>
      <c r="F75" s="37">
        <f t="shared" si="3"/>
        <v>60.19736842105263</v>
      </c>
      <c r="G75" s="43"/>
      <c r="H75" s="46">
        <v>1</v>
      </c>
      <c r="I75" s="37">
        <f t="shared" si="1"/>
        <v>608</v>
      </c>
      <c r="J75" s="37">
        <f t="shared" si="2"/>
        <v>366</v>
      </c>
      <c r="K75" s="43"/>
    </row>
    <row r="76" spans="1:11">
      <c r="B76" s="43" t="s">
        <v>49</v>
      </c>
      <c r="C76" s="43">
        <v>519</v>
      </c>
      <c r="D76" s="43">
        <v>401</v>
      </c>
      <c r="E76" s="43">
        <v>118</v>
      </c>
      <c r="F76" s="37">
        <f t="shared" si="3"/>
        <v>77.263969171483623</v>
      </c>
      <c r="G76" s="43"/>
      <c r="H76" s="46">
        <v>8</v>
      </c>
      <c r="I76" s="37">
        <f t="shared" si="1"/>
        <v>64.875</v>
      </c>
      <c r="J76" s="37">
        <f t="shared" si="2"/>
        <v>50.125</v>
      </c>
      <c r="K76" s="43"/>
    </row>
    <row r="77" spans="1:11">
      <c r="B77" s="43" t="s">
        <v>50</v>
      </c>
      <c r="C77" s="43">
        <v>339</v>
      </c>
      <c r="D77" s="43">
        <v>279</v>
      </c>
      <c r="E77" s="43">
        <v>60</v>
      </c>
      <c r="F77" s="37">
        <f t="shared" si="3"/>
        <v>82.30088495575221</v>
      </c>
      <c r="G77" s="43"/>
      <c r="H77" s="46">
        <v>7</v>
      </c>
      <c r="I77" s="37">
        <f t="shared" si="1"/>
        <v>48.428571428571431</v>
      </c>
      <c r="J77" s="37">
        <f t="shared" si="2"/>
        <v>39.857142857142854</v>
      </c>
      <c r="K77" s="43"/>
    </row>
    <row r="78" spans="1:11">
      <c r="B78" s="43" t="s">
        <v>51</v>
      </c>
      <c r="C78" s="43">
        <v>421</v>
      </c>
      <c r="D78" s="43">
        <v>316</v>
      </c>
      <c r="E78" s="43">
        <v>105</v>
      </c>
      <c r="F78" s="37">
        <f t="shared" si="3"/>
        <v>75.059382422802841</v>
      </c>
      <c r="G78" s="43"/>
      <c r="H78" s="46">
        <v>4</v>
      </c>
      <c r="I78" s="37">
        <f t="shared" si="1"/>
        <v>105.25</v>
      </c>
      <c r="J78" s="37">
        <f t="shared" si="2"/>
        <v>79</v>
      </c>
      <c r="K78" s="43"/>
    </row>
    <row r="79" spans="1:11">
      <c r="B79" s="43" t="s">
        <v>52</v>
      </c>
      <c r="C79" s="43">
        <v>63</v>
      </c>
      <c r="D79" s="43">
        <v>51</v>
      </c>
      <c r="E79" s="43">
        <v>12</v>
      </c>
      <c r="F79" s="37">
        <f t="shared" si="3"/>
        <v>80.952380952380949</v>
      </c>
      <c r="G79" s="43"/>
      <c r="H79" s="46">
        <v>2</v>
      </c>
      <c r="I79" s="37">
        <f t="shared" si="1"/>
        <v>31.5</v>
      </c>
      <c r="J79" s="37">
        <f t="shared" si="2"/>
        <v>25.5</v>
      </c>
      <c r="K79" s="43"/>
    </row>
    <row r="80" spans="1:11">
      <c r="B80" s="43" t="s">
        <v>53</v>
      </c>
      <c r="C80" s="43">
        <v>237</v>
      </c>
      <c r="D80" s="43">
        <v>183</v>
      </c>
      <c r="E80" s="43">
        <v>54</v>
      </c>
      <c r="F80" s="37">
        <f t="shared" si="3"/>
        <v>77.215189873417728</v>
      </c>
      <c r="G80" s="43"/>
      <c r="H80" s="46">
        <v>5</v>
      </c>
      <c r="I80" s="37">
        <f t="shared" si="1"/>
        <v>47.4</v>
      </c>
      <c r="J80" s="37">
        <f t="shared" si="2"/>
        <v>36.6</v>
      </c>
      <c r="K80" s="43"/>
    </row>
    <row r="81" spans="2:11">
      <c r="B81" s="43" t="s">
        <v>54</v>
      </c>
      <c r="C81" s="43">
        <v>237</v>
      </c>
      <c r="D81" s="43">
        <v>167</v>
      </c>
      <c r="E81" s="43">
        <v>70</v>
      </c>
      <c r="F81" s="37">
        <f t="shared" si="3"/>
        <v>70.46413502109705</v>
      </c>
      <c r="G81" s="43"/>
      <c r="H81" s="46">
        <v>3</v>
      </c>
      <c r="I81" s="37">
        <f t="shared" si="1"/>
        <v>79</v>
      </c>
      <c r="J81" s="37">
        <f t="shared" si="2"/>
        <v>55.666666666666664</v>
      </c>
      <c r="K81" s="43"/>
    </row>
    <row r="82" spans="2:11">
      <c r="B82" s="43" t="s">
        <v>55</v>
      </c>
      <c r="C82" s="43">
        <v>254</v>
      </c>
      <c r="D82" s="43">
        <v>204</v>
      </c>
      <c r="E82" s="43">
        <v>50</v>
      </c>
      <c r="F82" s="37">
        <f t="shared" si="3"/>
        <v>80.314960629921259</v>
      </c>
      <c r="G82" s="43"/>
      <c r="H82" s="46">
        <v>4</v>
      </c>
      <c r="I82" s="37">
        <f t="shared" si="1"/>
        <v>63.5</v>
      </c>
      <c r="J82" s="37">
        <f t="shared" si="2"/>
        <v>51</v>
      </c>
      <c r="K82" s="43"/>
    </row>
    <row r="83" spans="2:11">
      <c r="B83" s="43" t="s">
        <v>56</v>
      </c>
      <c r="C83" s="43">
        <v>595</v>
      </c>
      <c r="D83" s="43">
        <v>374</v>
      </c>
      <c r="E83" s="43">
        <v>221</v>
      </c>
      <c r="F83" s="37">
        <f t="shared" si="3"/>
        <v>62.857142857142854</v>
      </c>
      <c r="G83" s="43"/>
      <c r="H83" s="46">
        <v>10</v>
      </c>
      <c r="I83" s="37">
        <f t="shared" si="1"/>
        <v>59.5</v>
      </c>
      <c r="J83" s="37">
        <f t="shared" si="2"/>
        <v>37.4</v>
      </c>
      <c r="K83" s="43"/>
    </row>
    <row r="84" spans="2:11">
      <c r="B84" s="43" t="s">
        <v>57</v>
      </c>
      <c r="C84" s="43">
        <v>1209</v>
      </c>
      <c r="D84" s="43">
        <v>736</v>
      </c>
      <c r="E84" s="43">
        <v>473</v>
      </c>
      <c r="F84" s="37">
        <f t="shared" si="3"/>
        <v>60.876757650951198</v>
      </c>
      <c r="G84" s="43"/>
      <c r="H84" s="46">
        <v>9</v>
      </c>
      <c r="I84" s="37">
        <f t="shared" si="1"/>
        <v>134.33333333333334</v>
      </c>
      <c r="J84" s="37">
        <f t="shared" si="2"/>
        <v>81.777777777777771</v>
      </c>
      <c r="K84" s="43"/>
    </row>
    <row r="85" spans="2:11">
      <c r="B85" s="43" t="s">
        <v>58</v>
      </c>
      <c r="C85" s="43">
        <v>1188</v>
      </c>
      <c r="D85" s="43">
        <v>918</v>
      </c>
      <c r="E85" s="43">
        <v>270</v>
      </c>
      <c r="F85" s="37">
        <f t="shared" si="3"/>
        <v>77.272727272727266</v>
      </c>
      <c r="G85" s="43"/>
      <c r="H85" s="46">
        <v>10</v>
      </c>
      <c r="I85" s="37">
        <f t="shared" si="1"/>
        <v>118.8</v>
      </c>
      <c r="J85" s="37">
        <f t="shared" si="2"/>
        <v>91.8</v>
      </c>
      <c r="K85" s="43"/>
    </row>
    <row r="86" spans="2:11">
      <c r="B86" s="43" t="s">
        <v>59</v>
      </c>
      <c r="C86" s="43">
        <v>897</v>
      </c>
      <c r="D86" s="43">
        <v>701</v>
      </c>
      <c r="E86" s="43">
        <v>196</v>
      </c>
      <c r="F86" s="37">
        <f t="shared" si="3"/>
        <v>78.149386845039018</v>
      </c>
      <c r="G86" s="43"/>
      <c r="H86" s="46">
        <v>8</v>
      </c>
      <c r="I86" s="37">
        <f t="shared" si="1"/>
        <v>112.125</v>
      </c>
      <c r="J86" s="37">
        <f t="shared" si="2"/>
        <v>87.625</v>
      </c>
      <c r="K86" s="43"/>
    </row>
    <row r="87" spans="2:11">
      <c r="B87" s="43" t="s">
        <v>60</v>
      </c>
      <c r="C87" s="43">
        <v>859</v>
      </c>
      <c r="D87" s="43">
        <v>595</v>
      </c>
      <c r="E87" s="43">
        <v>264</v>
      </c>
      <c r="F87" s="37">
        <f t="shared" si="3"/>
        <v>69.266589057043078</v>
      </c>
      <c r="G87" s="43"/>
      <c r="H87" s="46">
        <v>2</v>
      </c>
      <c r="I87" s="37">
        <f t="shared" si="1"/>
        <v>429.5</v>
      </c>
      <c r="J87" s="37">
        <f t="shared" si="2"/>
        <v>297.5</v>
      </c>
      <c r="K87" s="43"/>
    </row>
    <row r="88" spans="2:11">
      <c r="B88" s="43" t="s">
        <v>61</v>
      </c>
      <c r="C88" s="43">
        <v>1123</v>
      </c>
      <c r="D88" s="43">
        <v>659</v>
      </c>
      <c r="E88" s="43">
        <v>464</v>
      </c>
      <c r="F88" s="37">
        <f t="shared" si="3"/>
        <v>58.682101513802323</v>
      </c>
      <c r="G88" s="43"/>
      <c r="H88" s="46">
        <v>8</v>
      </c>
      <c r="I88" s="37">
        <f t="shared" si="1"/>
        <v>140.375</v>
      </c>
      <c r="J88" s="37">
        <f t="shared" si="2"/>
        <v>82.375</v>
      </c>
      <c r="K88" s="43"/>
    </row>
  </sheetData>
  <mergeCells count="9">
    <mergeCell ref="A1:AI1"/>
    <mergeCell ref="A2:AI2"/>
    <mergeCell ref="A3:A4"/>
    <mergeCell ref="B3:B4"/>
    <mergeCell ref="C3:G3"/>
    <mergeCell ref="J3:N3"/>
    <mergeCell ref="P3:T3"/>
    <mergeCell ref="X3:AB3"/>
    <mergeCell ref="AE3:AI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8.2</vt:lpstr>
      <vt:lpstr>8.20 workings</vt:lpstr>
      <vt:lpstr>'8.2'!Print_Area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2018-05-29T06:05:13Z</cp:lastPrinted>
  <dcterms:created xsi:type="dcterms:W3CDTF">2013-04-04T04:05:16Z</dcterms:created>
  <dcterms:modified xsi:type="dcterms:W3CDTF">2018-05-29T06:05:19Z</dcterms:modified>
</cp:coreProperties>
</file>