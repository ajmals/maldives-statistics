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46" sheetId="103" r:id="rId1"/>
    <sheet name="8.20 workings" sheetId="36" state="hidden" r:id="rId2"/>
  </sheets>
  <externalReferences>
    <externalReference r:id="rId3"/>
  </externalReferences>
  <definedNames>
    <definedName name="_xlnm.Print_Area" localSheetId="0">'8.46'!$A$1:$N$16</definedName>
  </definedNames>
  <calcPr calcId="162913"/>
</workbook>
</file>

<file path=xl/calcChain.xml><?xml version="1.0" encoding="utf-8"?>
<calcChain xmlns="http://schemas.openxmlformats.org/spreadsheetml/2006/main">
  <c r="K15" i="103" l="1"/>
  <c r="H15" i="103"/>
  <c r="E15" i="103"/>
  <c r="B15" i="103"/>
  <c r="K14" i="103"/>
  <c r="H14" i="103"/>
  <c r="E14" i="103"/>
  <c r="B14" i="103"/>
  <c r="K13" i="103"/>
  <c r="H13" i="103"/>
  <c r="E13" i="103"/>
  <c r="B13" i="103"/>
  <c r="K12" i="103"/>
  <c r="H12" i="103"/>
  <c r="E12" i="103"/>
  <c r="B12" i="103"/>
  <c r="K11" i="103"/>
  <c r="H11" i="103"/>
  <c r="E11" i="103"/>
  <c r="B11" i="103"/>
  <c r="K10" i="103"/>
  <c r="H10" i="103"/>
  <c r="E10" i="103"/>
  <c r="B10" i="103"/>
  <c r="K9" i="103"/>
  <c r="H9" i="103"/>
  <c r="E9" i="103"/>
  <c r="B9" i="103"/>
  <c r="K8" i="103"/>
  <c r="J8" i="103"/>
  <c r="I8" i="103"/>
  <c r="H8" i="103" s="1"/>
  <c r="G8" i="103"/>
  <c r="F8" i="103"/>
  <c r="D8" i="103"/>
  <c r="C8" i="103"/>
  <c r="E8" i="103" l="1"/>
  <c r="B8" i="103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<sst xmlns="http://schemas.openxmlformats.org/spreadsheetml/2006/main" count="186" uniqueCount="79">
  <si>
    <t>Total</t>
  </si>
  <si>
    <t>Source: Department of Judicial Administration</t>
  </si>
  <si>
    <t>Both Sexes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</si>
  <si>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</si>
  <si>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</si>
  <si>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</si>
  <si>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</si>
  <si>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</si>
  <si>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</si>
  <si>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</si>
  <si>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</si>
  <si>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</si>
  <si>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</si>
  <si>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</si>
  <si>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</si>
  <si>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</si>
  <si>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</si>
  <si>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</si>
  <si>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</si>
  <si>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</si>
  <si>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</si>
  <si>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</si>
  <si>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</si>
  <si>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</si>
  <si>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</si>
  <si>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</si>
  <si>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</si>
  <si>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</si>
  <si>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</si>
  <si>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</si>
  <si>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</si>
  <si>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</si>
  <si>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</si>
  <si>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</si>
  <si>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</si>
  <si>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</si>
  <si>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</si>
  <si>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</si>
  <si>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</si>
  <si>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</si>
  <si>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</si>
  <si>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</si>
  <si>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</si>
  <si>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</si>
  <si>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</si>
  <si>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</si>
  <si>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</si>
  <si>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</si>
  <si>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</si>
  <si>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</si>
  <si>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</si>
  <si>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</si>
  <si>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</si>
  <si>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</si>
  <si>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</si>
  <si>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</si>
  <si>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</si>
  <si>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</si>
  <si>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</si>
  <si>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</si>
  <si>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</si>
  <si>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</si>
  <si>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</si>
  <si>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</si>
  <si>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</si>
  <si>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</si>
  <si>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Less than 1 year</t>
  </si>
  <si>
    <t>Source: Ministry of Gender &amp; Family</t>
  </si>
  <si>
    <t>މަޢުލޫމާތު ދެއްވީ: މިނިސްޓްރީ އޮފް ޖެންޑަރ އެންޑް ފެމިލީ</t>
  </si>
  <si>
    <t>1 - 4</t>
  </si>
  <si>
    <t>5</t>
  </si>
  <si>
    <t>6 - 9</t>
  </si>
  <si>
    <t>10 - 14</t>
  </si>
  <si>
    <t>15</t>
  </si>
  <si>
    <t>16 - 18</t>
  </si>
  <si>
    <t>Age group</t>
  </si>
  <si>
    <t>Number of Children</t>
  </si>
  <si>
    <t>ތާވަލު 8.46: މިނިސްޓްރީ އޮފް ޖެންޑަރ އެންޑް ފެމިލީއަށް ހުށައެޅިފައިވާ މައްސަލަތަކުގެ އަދަދު،  2014 - 2017</t>
  </si>
  <si>
    <t>Table 8.46: Number of cases reported  to ministry  by age group and sex, 2014 - 2017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</si>
</sst>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Faruma"/>
    </font>
    <font>
      <b/>
      <sz val="12"/>
      <name val="Calibri"/>
      <family val="2"/>
      <scheme val="minor"/>
    </font>
    <font>
      <b/>
      <sz val="12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7" fillId="0" borderId="0"/>
    <xf numFmtId="0" fontId="8" fillId="0" borderId="0"/>
    <xf numFmtId="0" fontId="13" fillId="0" borderId="9" applyNumberFormat="0" applyFill="0" applyAlignment="0" applyProtection="0"/>
    <xf numFmtId="0" fontId="8" fillId="0" borderId="0"/>
    <xf numFmtId="166" fontId="1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12" applyNumberFormat="0" applyFill="0" applyAlignment="0" applyProtection="0"/>
    <xf numFmtId="0" fontId="19" fillId="0" borderId="13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14" applyNumberFormat="0" applyAlignment="0" applyProtection="0"/>
    <xf numFmtId="0" fontId="24" fillId="8" borderId="15" applyNumberFormat="0" applyAlignment="0" applyProtection="0"/>
    <xf numFmtId="0" fontId="25" fillId="8" borderId="14" applyNumberFormat="0" applyAlignment="0" applyProtection="0"/>
    <xf numFmtId="0" fontId="26" fillId="0" borderId="16" applyNumberFormat="0" applyFill="0" applyAlignment="0" applyProtection="0"/>
    <xf numFmtId="0" fontId="27" fillId="9" borderId="17" applyNumberFormat="0" applyAlignment="0" applyProtection="0"/>
    <xf numFmtId="0" fontId="15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28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8" fillId="0" borderId="0"/>
  </cellStyleXfs>
  <cellXfs count="71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6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0" xfId="0" applyNumberFormat="1" applyFont="1" applyFill="1" applyBorder="1" applyAlignment="1">
      <alignment horizontal="center" vertical="center"/>
    </xf>
    <xf numFmtId="0" fontId="4" fillId="2" borderId="10" xfId="0" applyNumberFormat="1" applyFont="1" applyFill="1" applyBorder="1" applyAlignment="1">
      <alignment horizontal="left" vertical="center" wrapText="1"/>
    </xf>
    <xf numFmtId="3" fontId="4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9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10" fillId="2" borderId="0" xfId="0" applyNumberFormat="1" applyFont="1" applyFill="1" applyBorder="1"/>
    <xf numFmtId="164" fontId="4" fillId="2" borderId="0" xfId="0" applyNumberFormat="1" applyFont="1" applyFill="1"/>
    <xf numFmtId="164" fontId="5" fillId="2" borderId="21" xfId="0" applyNumberFormat="1" applyFont="1" applyFill="1" applyBorder="1" applyAlignment="1">
      <alignment vertical="top"/>
    </xf>
    <xf numFmtId="164" fontId="30" fillId="2" borderId="0" xfId="0" applyNumberFormat="1" applyFont="1" applyFill="1" applyBorder="1" applyAlignment="1">
      <alignment vertical="top" readingOrder="2"/>
    </xf>
    <xf numFmtId="164" fontId="4" fillId="2" borderId="0" xfId="0" applyNumberFormat="1" applyFont="1" applyFill="1" applyBorder="1"/>
    <xf numFmtId="164" fontId="3" fillId="2" borderId="7" xfId="0" applyNumberFormat="1" applyFont="1" applyFill="1" applyBorder="1" applyAlignment="1">
      <alignment horizontal="center" vertical="center" wrapText="1"/>
    </xf>
    <xf numFmtId="164" fontId="12" fillId="2" borderId="21" xfId="0" applyNumberFormat="1" applyFont="1" applyFill="1" applyBorder="1"/>
    <xf numFmtId="0" fontId="10" fillId="2" borderId="0" xfId="3" applyFont="1" applyFill="1" applyBorder="1" applyAlignment="1">
      <alignment horizontal="left" vertical="top"/>
    </xf>
    <xf numFmtId="49" fontId="10" fillId="2" borderId="0" xfId="3" applyNumberFormat="1" applyFont="1" applyFill="1" applyBorder="1" applyAlignment="1">
      <alignment horizontal="left"/>
    </xf>
    <xf numFmtId="49" fontId="10" fillId="2" borderId="4" xfId="3" applyNumberFormat="1" applyFont="1" applyFill="1" applyBorder="1" applyAlignment="1">
      <alignment horizontal="left"/>
    </xf>
    <xf numFmtId="3" fontId="12" fillId="2" borderId="23" xfId="0" applyNumberFormat="1" applyFont="1" applyFill="1" applyBorder="1"/>
    <xf numFmtId="3" fontId="12" fillId="2" borderId="21" xfId="0" applyNumberFormat="1" applyFont="1" applyFill="1" applyBorder="1"/>
    <xf numFmtId="3" fontId="10" fillId="2" borderId="8" xfId="0" applyNumberFormat="1" applyFont="1" applyFill="1" applyBorder="1"/>
    <xf numFmtId="3" fontId="10" fillId="2" borderId="0" xfId="0" applyNumberFormat="1" applyFont="1" applyFill="1" applyBorder="1"/>
    <xf numFmtId="3" fontId="10" fillId="2" borderId="7" xfId="0" applyNumberFormat="1" applyFont="1" applyFill="1" applyBorder="1"/>
    <xf numFmtId="3" fontId="10" fillId="2" borderId="4" xfId="0" applyNumberFormat="1" applyFont="1" applyFill="1" applyBorder="1"/>
    <xf numFmtId="164" fontId="3" fillId="2" borderId="4" xfId="0" applyNumberFormat="1" applyFont="1" applyFill="1" applyBorder="1" applyAlignment="1">
      <alignment horizontal="center" vertical="center" wrapText="1"/>
    </xf>
    <xf numFmtId="164" fontId="12" fillId="2" borderId="0" xfId="0" applyNumberFormat="1" applyFont="1" applyFill="1" applyBorder="1" applyAlignment="1" applyProtection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 wrapText="1"/>
    </xf>
    <xf numFmtId="164" fontId="31" fillId="2" borderId="0" xfId="0" applyNumberFormat="1" applyFont="1" applyFill="1" applyAlignment="1">
      <alignment horizontal="center" vertical="center" wrapText="1"/>
    </xf>
    <xf numFmtId="164" fontId="31" fillId="2" borderId="4" xfId="0" applyNumberFormat="1" applyFont="1" applyFill="1" applyBorder="1" applyAlignment="1">
      <alignment horizontal="center" vertical="center" wrapText="1"/>
    </xf>
    <xf numFmtId="164" fontId="3" fillId="2" borderId="21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22" xfId="0" applyNumberFormat="1" applyFont="1" applyFill="1" applyBorder="1" applyAlignment="1">
      <alignment horizontal="center"/>
    </xf>
    <xf numFmtId="164" fontId="3" fillId="2" borderId="20" xfId="0" applyNumberFormat="1" applyFont="1" applyFill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32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1" builtinId="3"/>
    <cellStyle name="Comma 2" xfId="6"/>
    <cellStyle name="Explanatory Text" xfId="23" builtinId="53" customBuiltin="1"/>
    <cellStyle name="Good" xfId="13" builtinId="26" customBuiltin="1"/>
    <cellStyle name="Heading 1" xfId="9" builtinId="16" customBuiltin="1"/>
    <cellStyle name="Heading 1 2" xfId="4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50"/>
    <cellStyle name="Normal 2 2" xfId="49"/>
    <cellStyle name="Normal 3" xfId="2"/>
    <cellStyle name="Normal 5" xfId="5"/>
    <cellStyle name="Normal_II-14(Population)" xfId="3"/>
    <cellStyle name="Note" xfId="22" builtinId="10" customBuiltin="1"/>
    <cellStyle name="Output" xfId="17" builtinId="21" customBuiltin="1"/>
    <cellStyle name="Percent 2" xfId="7"/>
    <cellStyle name="Title" xfId="8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16"/>
  <sheetViews>
    <sheetView tabSelected="1" zoomScaleNormal="100" workbookViewId="0">
      <selection activeCell="O17" sqref="O17"/>
    </sheetView>
  </sheetViews>
  <sheetFormatPr defaultColWidth="9.140625" defaultRowHeight="12.75"/>
  <cols>
    <col min="1" max="1" width="20" style="39" customWidth="1"/>
    <col min="2" max="13" width="9.85546875" style="39" customWidth="1"/>
    <col min="14" max="14" width="3.7109375" style="39" customWidth="1"/>
    <col min="15" max="16384" width="9.140625" style="39"/>
  </cols>
  <sheetData>
    <row r="1" spans="1:13" ht="15">
      <c r="B1" s="42"/>
      <c r="C1" s="42"/>
      <c r="D1" s="42"/>
      <c r="E1" s="38"/>
      <c r="H1" s="38"/>
    </row>
    <row r="2" spans="1:13" ht="21.75">
      <c r="A2" s="65" t="s">
        <v>77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</row>
    <row r="3" spans="1:13">
      <c r="A3" s="57" t="s">
        <v>78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</row>
    <row r="4" spans="1:13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</row>
    <row r="5" spans="1:13">
      <c r="A5" s="59" t="s">
        <v>75</v>
      </c>
      <c r="B5" s="61">
        <v>2014</v>
      </c>
      <c r="C5" s="62"/>
      <c r="D5" s="62"/>
      <c r="E5" s="61">
        <v>2015</v>
      </c>
      <c r="F5" s="62"/>
      <c r="G5" s="62"/>
      <c r="H5" s="61">
        <v>2016</v>
      </c>
      <c r="I5" s="62"/>
      <c r="J5" s="62"/>
      <c r="K5" s="61">
        <v>2017</v>
      </c>
      <c r="L5" s="62"/>
      <c r="M5" s="62"/>
    </row>
    <row r="6" spans="1:13">
      <c r="A6" s="56"/>
      <c r="B6" s="63" t="s">
        <v>76</v>
      </c>
      <c r="C6" s="64"/>
      <c r="D6" s="64"/>
      <c r="E6" s="63" t="s">
        <v>76</v>
      </c>
      <c r="F6" s="64"/>
      <c r="G6" s="64"/>
      <c r="H6" s="63" t="s">
        <v>76</v>
      </c>
      <c r="I6" s="64"/>
      <c r="J6" s="64"/>
      <c r="K6" s="63" t="s">
        <v>76</v>
      </c>
      <c r="L6" s="64"/>
      <c r="M6" s="64"/>
    </row>
    <row r="7" spans="1:13">
      <c r="A7" s="60"/>
      <c r="B7" s="43" t="s">
        <v>2</v>
      </c>
      <c r="C7" s="54" t="s">
        <v>3</v>
      </c>
      <c r="D7" s="54" t="s">
        <v>4</v>
      </c>
      <c r="E7" s="43" t="s">
        <v>2</v>
      </c>
      <c r="F7" s="54" t="s">
        <v>3</v>
      </c>
      <c r="G7" s="54" t="s">
        <v>4</v>
      </c>
      <c r="H7" s="43" t="s">
        <v>2</v>
      </c>
      <c r="I7" s="54" t="s">
        <v>3</v>
      </c>
      <c r="J7" s="54" t="s">
        <v>4</v>
      </c>
      <c r="K7" s="43" t="s">
        <v>2</v>
      </c>
      <c r="L7" s="54" t="s">
        <v>3</v>
      </c>
      <c r="M7" s="54" t="s">
        <v>4</v>
      </c>
    </row>
    <row r="8" spans="1:13" ht="15">
      <c r="A8" s="44" t="s">
        <v>0</v>
      </c>
      <c r="B8" s="48">
        <f>C8+D8</f>
        <v>398</v>
      </c>
      <c r="C8" s="49">
        <f>SUM(C9:C15)</f>
        <v>187</v>
      </c>
      <c r="D8" s="49">
        <f>SUM(D9:D15)</f>
        <v>211</v>
      </c>
      <c r="E8" s="48">
        <f>F8+G8</f>
        <v>470</v>
      </c>
      <c r="F8" s="49">
        <f>SUM(F9:F15)</f>
        <v>198</v>
      </c>
      <c r="G8" s="49">
        <f>SUM(G9:G15)</f>
        <v>272</v>
      </c>
      <c r="H8" s="48">
        <f>I8+J8</f>
        <v>405</v>
      </c>
      <c r="I8" s="49">
        <f>SUM(I9:I15)</f>
        <v>171</v>
      </c>
      <c r="J8" s="49">
        <f>SUM(J9:J15)</f>
        <v>234</v>
      </c>
      <c r="K8" s="48">
        <f>L8+M8</f>
        <v>714</v>
      </c>
      <c r="L8" s="49">
        <v>344</v>
      </c>
      <c r="M8" s="49">
        <v>370</v>
      </c>
    </row>
    <row r="9" spans="1:13" ht="15">
      <c r="A9" s="45" t="s">
        <v>66</v>
      </c>
      <c r="B9" s="50">
        <f>C9+D9</f>
        <v>14</v>
      </c>
      <c r="C9" s="51">
        <v>13</v>
      </c>
      <c r="D9" s="51">
        <v>1</v>
      </c>
      <c r="E9" s="50">
        <f>F9+G9</f>
        <v>20</v>
      </c>
      <c r="F9" s="51">
        <v>7</v>
      </c>
      <c r="G9" s="51">
        <v>13</v>
      </c>
      <c r="H9" s="50">
        <f>I9+J9</f>
        <v>34</v>
      </c>
      <c r="I9" s="51">
        <v>16</v>
      </c>
      <c r="J9" s="51">
        <v>18</v>
      </c>
      <c r="K9" s="50">
        <f>L9+M9</f>
        <v>29</v>
      </c>
      <c r="L9" s="51">
        <v>8</v>
      </c>
      <c r="M9" s="51">
        <v>21</v>
      </c>
    </row>
    <row r="10" spans="1:13" ht="15">
      <c r="A10" s="46" t="s">
        <v>69</v>
      </c>
      <c r="B10" s="50">
        <f t="shared" ref="B10:B15" si="0">C10+D10</f>
        <v>85</v>
      </c>
      <c r="C10" s="51">
        <v>50</v>
      </c>
      <c r="D10" s="51">
        <v>35</v>
      </c>
      <c r="E10" s="50">
        <f t="shared" ref="E10:E15" si="1">F10+G10</f>
        <v>82</v>
      </c>
      <c r="F10" s="51">
        <v>32</v>
      </c>
      <c r="G10" s="51">
        <v>50</v>
      </c>
      <c r="H10" s="50">
        <f t="shared" ref="H10:H15" si="2">I10+J10</f>
        <v>52</v>
      </c>
      <c r="I10" s="51">
        <v>25</v>
      </c>
      <c r="J10" s="51">
        <v>27</v>
      </c>
      <c r="K10" s="50">
        <f>L10+M10</f>
        <v>142</v>
      </c>
      <c r="L10" s="51">
        <v>83</v>
      </c>
      <c r="M10" s="51">
        <v>59</v>
      </c>
    </row>
    <row r="11" spans="1:13" ht="15">
      <c r="A11" s="46" t="s">
        <v>70</v>
      </c>
      <c r="B11" s="50">
        <f t="shared" si="0"/>
        <v>37</v>
      </c>
      <c r="C11" s="51">
        <v>12</v>
      </c>
      <c r="D11" s="51">
        <v>25</v>
      </c>
      <c r="E11" s="50">
        <f t="shared" si="1"/>
        <v>32</v>
      </c>
      <c r="F11" s="51">
        <v>20</v>
      </c>
      <c r="G11" s="51">
        <v>12</v>
      </c>
      <c r="H11" s="50">
        <f t="shared" si="2"/>
        <v>7</v>
      </c>
      <c r="I11" s="51">
        <v>5</v>
      </c>
      <c r="J11" s="51">
        <v>2</v>
      </c>
      <c r="K11" s="50">
        <f t="shared" ref="K11:K15" si="3">L11+M11</f>
        <v>43</v>
      </c>
      <c r="L11" s="51">
        <v>24</v>
      </c>
      <c r="M11" s="51">
        <v>19</v>
      </c>
    </row>
    <row r="12" spans="1:13" ht="15">
      <c r="A12" s="46" t="s">
        <v>71</v>
      </c>
      <c r="B12" s="50">
        <f t="shared" si="0"/>
        <v>71</v>
      </c>
      <c r="C12" s="51">
        <v>53</v>
      </c>
      <c r="D12" s="51">
        <v>18</v>
      </c>
      <c r="E12" s="50">
        <f t="shared" si="1"/>
        <v>103</v>
      </c>
      <c r="F12" s="51">
        <v>50</v>
      </c>
      <c r="G12" s="51">
        <v>53</v>
      </c>
      <c r="H12" s="50">
        <f t="shared" si="2"/>
        <v>83</v>
      </c>
      <c r="I12" s="51">
        <v>39</v>
      </c>
      <c r="J12" s="51">
        <v>44</v>
      </c>
      <c r="K12" s="50">
        <f t="shared" si="3"/>
        <v>137</v>
      </c>
      <c r="L12" s="51">
        <v>76</v>
      </c>
      <c r="M12" s="51">
        <v>61</v>
      </c>
    </row>
    <row r="13" spans="1:13" ht="15">
      <c r="A13" s="46" t="s">
        <v>72</v>
      </c>
      <c r="B13" s="50">
        <f t="shared" si="0"/>
        <v>121</v>
      </c>
      <c r="C13" s="51">
        <v>41</v>
      </c>
      <c r="D13" s="51">
        <v>80</v>
      </c>
      <c r="E13" s="50">
        <f t="shared" si="1"/>
        <v>131</v>
      </c>
      <c r="F13" s="51">
        <v>55</v>
      </c>
      <c r="G13" s="51">
        <v>76</v>
      </c>
      <c r="H13" s="50">
        <f t="shared" si="2"/>
        <v>133</v>
      </c>
      <c r="I13" s="51">
        <v>56</v>
      </c>
      <c r="J13" s="51">
        <v>77</v>
      </c>
      <c r="K13" s="50">
        <f t="shared" si="3"/>
        <v>176</v>
      </c>
      <c r="L13" s="51">
        <v>86</v>
      </c>
      <c r="M13" s="51">
        <v>90</v>
      </c>
    </row>
    <row r="14" spans="1:13" ht="15">
      <c r="A14" s="46" t="s">
        <v>73</v>
      </c>
      <c r="B14" s="50">
        <f t="shared" si="0"/>
        <v>56</v>
      </c>
      <c r="C14" s="51">
        <v>15</v>
      </c>
      <c r="D14" s="51">
        <v>41</v>
      </c>
      <c r="E14" s="50">
        <f t="shared" si="1"/>
        <v>30</v>
      </c>
      <c r="F14" s="51">
        <v>10</v>
      </c>
      <c r="G14" s="51">
        <v>20</v>
      </c>
      <c r="H14" s="50">
        <f t="shared" si="2"/>
        <v>39</v>
      </c>
      <c r="I14" s="51">
        <v>14</v>
      </c>
      <c r="J14" s="51">
        <v>25</v>
      </c>
      <c r="K14" s="50">
        <f t="shared" si="3"/>
        <v>45</v>
      </c>
      <c r="L14" s="51">
        <v>16</v>
      </c>
      <c r="M14" s="51">
        <v>29</v>
      </c>
    </row>
    <row r="15" spans="1:13" ht="15">
      <c r="A15" s="47" t="s">
        <v>74</v>
      </c>
      <c r="B15" s="52">
        <f t="shared" si="0"/>
        <v>14</v>
      </c>
      <c r="C15" s="53">
        <v>3</v>
      </c>
      <c r="D15" s="53">
        <v>11</v>
      </c>
      <c r="E15" s="52">
        <f t="shared" si="1"/>
        <v>72</v>
      </c>
      <c r="F15" s="53">
        <v>24</v>
      </c>
      <c r="G15" s="53">
        <v>48</v>
      </c>
      <c r="H15" s="52">
        <f t="shared" si="2"/>
        <v>57</v>
      </c>
      <c r="I15" s="53">
        <v>16</v>
      </c>
      <c r="J15" s="53">
        <v>41</v>
      </c>
      <c r="K15" s="52">
        <f t="shared" si="3"/>
        <v>137</v>
      </c>
      <c r="L15" s="53">
        <v>51</v>
      </c>
      <c r="M15" s="53">
        <v>86</v>
      </c>
    </row>
    <row r="16" spans="1:13" ht="18.75">
      <c r="A16" s="40" t="s">
        <v>67</v>
      </c>
      <c r="M16" s="41" t="s">
        <v>68</v>
      </c>
    </row>
  </sheetData>
  <mergeCells count="11">
    <mergeCell ref="H6:J6"/>
    <mergeCell ref="K6:M6"/>
    <mergeCell ref="A2:M2"/>
    <mergeCell ref="A3:M4"/>
    <mergeCell ref="A5:A7"/>
    <mergeCell ref="B5:D5"/>
    <mergeCell ref="E5:G5"/>
    <mergeCell ref="H5:J5"/>
    <mergeCell ref="K5:M5"/>
    <mergeCell ref="B6:D6"/>
    <mergeCell ref="E6:G6"/>
  </mergeCells>
  <pageMargins left="0.7" right="0.7" top="0.75" bottom="0.75" header="0.3" footer="0.3"/>
  <pageSetup paperSize="9" scale="85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66" t="s">
        <v>51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</row>
    <row r="2" spans="1:36">
      <c r="A2" s="55" t="s">
        <v>44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</row>
    <row r="3" spans="1:36" ht="15" customHeight="1">
      <c r="A3" s="67"/>
      <c r="B3" s="67"/>
      <c r="C3" s="68" t="s">
        <v>40</v>
      </c>
      <c r="D3" s="68"/>
      <c r="E3" s="68"/>
      <c r="F3" s="68"/>
      <c r="G3" s="68"/>
      <c r="H3" s="29"/>
      <c r="I3" s="29"/>
      <c r="J3" s="69" t="s">
        <v>6</v>
      </c>
      <c r="K3" s="69"/>
      <c r="L3" s="69"/>
      <c r="M3" s="69"/>
      <c r="N3" s="69"/>
      <c r="O3" s="24"/>
      <c r="P3" s="69" t="s">
        <v>7</v>
      </c>
      <c r="Q3" s="69"/>
      <c r="R3" s="69"/>
      <c r="S3" s="69"/>
      <c r="T3" s="69"/>
      <c r="U3" s="6"/>
      <c r="V3" s="6"/>
      <c r="W3" s="6"/>
      <c r="X3" s="70" t="s">
        <v>8</v>
      </c>
      <c r="Y3" s="70"/>
      <c r="Z3" s="70"/>
      <c r="AA3" s="70"/>
      <c r="AB3" s="70"/>
      <c r="AC3" s="25"/>
      <c r="AD3" s="25"/>
      <c r="AE3" s="70" t="s">
        <v>9</v>
      </c>
      <c r="AF3" s="70"/>
      <c r="AG3" s="70"/>
      <c r="AH3" s="70"/>
      <c r="AI3" s="70"/>
    </row>
    <row r="4" spans="1:36" ht="25.5">
      <c r="A4" s="60"/>
      <c r="B4" s="60"/>
      <c r="C4" s="30" t="s">
        <v>10</v>
      </c>
      <c r="D4" s="30" t="s">
        <v>11</v>
      </c>
      <c r="E4" s="30" t="s">
        <v>5</v>
      </c>
      <c r="F4" s="31" t="s">
        <v>12</v>
      </c>
      <c r="G4" s="30" t="s">
        <v>13</v>
      </c>
      <c r="H4" s="30" t="s">
        <v>46</v>
      </c>
      <c r="I4" s="30" t="s">
        <v>52</v>
      </c>
      <c r="J4" s="13" t="s">
        <v>10</v>
      </c>
      <c r="K4" s="13" t="s">
        <v>11</v>
      </c>
      <c r="L4" s="13" t="s">
        <v>5</v>
      </c>
      <c r="M4" s="14" t="s">
        <v>12</v>
      </c>
      <c r="N4" s="13" t="s">
        <v>13</v>
      </c>
      <c r="O4" s="30" t="s">
        <v>46</v>
      </c>
      <c r="P4" s="13" t="s">
        <v>10</v>
      </c>
      <c r="Q4" s="13" t="s">
        <v>11</v>
      </c>
      <c r="R4" s="13" t="s">
        <v>5</v>
      </c>
      <c r="S4" s="14" t="s">
        <v>12</v>
      </c>
      <c r="T4" s="13" t="s">
        <v>13</v>
      </c>
      <c r="U4" s="30" t="s">
        <v>46</v>
      </c>
      <c r="V4" s="30"/>
      <c r="W4" s="30"/>
      <c r="X4" s="13" t="s">
        <v>10</v>
      </c>
      <c r="Y4" s="13" t="s">
        <v>11</v>
      </c>
      <c r="Z4" s="13" t="s">
        <v>5</v>
      </c>
      <c r="AA4" s="14" t="s">
        <v>12</v>
      </c>
      <c r="AB4" s="13" t="s">
        <v>13</v>
      </c>
      <c r="AC4" s="30" t="s">
        <v>46</v>
      </c>
      <c r="AD4" s="30"/>
      <c r="AE4" s="13" t="s">
        <v>10</v>
      </c>
      <c r="AF4" s="13" t="s">
        <v>11</v>
      </c>
      <c r="AG4" s="13" t="s">
        <v>5</v>
      </c>
      <c r="AH4" s="14" t="s">
        <v>12</v>
      </c>
      <c r="AI4" s="13" t="s">
        <v>13</v>
      </c>
      <c r="AJ4" s="30" t="s">
        <v>46</v>
      </c>
    </row>
    <row r="5" spans="1:36" ht="14.25" customHeight="1">
      <c r="A5" s="23"/>
      <c r="B5" s="27" t="s">
        <v>48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48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48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49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49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49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50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50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50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20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21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22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23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24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25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26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27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28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29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30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31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32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33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34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35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36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37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38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39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14</v>
      </c>
      <c r="B28" s="9" t="s">
        <v>15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14</v>
      </c>
      <c r="B29" s="9" t="s">
        <v>16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14</v>
      </c>
      <c r="B30" s="9" t="s">
        <v>17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14</v>
      </c>
      <c r="B31" s="9" t="s">
        <v>18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14</v>
      </c>
      <c r="B32" s="16" t="s">
        <v>19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45</v>
      </c>
    </row>
    <row r="36" spans="1:35">
      <c r="A36" s="1"/>
      <c r="B36" s="26" t="s">
        <v>46</v>
      </c>
    </row>
    <row r="37" spans="1:35">
      <c r="B37" s="27" t="s">
        <v>40</v>
      </c>
      <c r="C37" s="27" t="s">
        <v>47</v>
      </c>
      <c r="D37" s="27" t="s">
        <v>41</v>
      </c>
      <c r="E37" s="27"/>
      <c r="F37" s="27"/>
    </row>
    <row r="38" spans="1:35">
      <c r="A38" s="27" t="s">
        <v>48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49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50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53</v>
      </c>
      <c r="C42" s="34"/>
      <c r="D42" s="34"/>
    </row>
    <row r="43" spans="1:35">
      <c r="B43" s="27" t="s">
        <v>40</v>
      </c>
      <c r="C43" s="27" t="s">
        <v>47</v>
      </c>
      <c r="D43" s="27" t="s">
        <v>41</v>
      </c>
    </row>
    <row r="44" spans="1:35">
      <c r="A44" s="27" t="s">
        <v>48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49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50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54</v>
      </c>
      <c r="C49" s="34"/>
      <c r="D49" s="34"/>
    </row>
    <row r="50" spans="1:5">
      <c r="B50" s="27" t="s">
        <v>40</v>
      </c>
      <c r="C50" s="27" t="s">
        <v>47</v>
      </c>
      <c r="D50" s="27" t="s">
        <v>41</v>
      </c>
    </row>
    <row r="51" spans="1:5">
      <c r="A51" s="27" t="s">
        <v>48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49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50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43</v>
      </c>
      <c r="C56" s="34" t="s">
        <v>14</v>
      </c>
      <c r="D56" s="34" t="s">
        <v>42</v>
      </c>
    </row>
    <row r="57" spans="1:5">
      <c r="A57" s="34" t="s">
        <v>55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56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54</v>
      </c>
      <c r="B59" s="35">
        <v>14232</v>
      </c>
      <c r="C59" s="35">
        <v>6099</v>
      </c>
      <c r="D59" s="35">
        <v>8133</v>
      </c>
    </row>
    <row r="60" spans="1:5">
      <c r="A60" s="34" t="s">
        <v>53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57</v>
      </c>
    </row>
    <row r="67" spans="1:11">
      <c r="B67" s="34"/>
      <c r="H67" s="34" t="s">
        <v>58</v>
      </c>
    </row>
    <row r="68" spans="1:11">
      <c r="A68" s="1"/>
      <c r="B68" s="34"/>
      <c r="C68" s="34" t="s">
        <v>59</v>
      </c>
      <c r="D68" s="34" t="s">
        <v>60</v>
      </c>
      <c r="E68" s="34" t="s">
        <v>61</v>
      </c>
      <c r="F68" s="34" t="s">
        <v>62</v>
      </c>
      <c r="G68" s="34"/>
      <c r="H68" s="36" t="s">
        <v>63</v>
      </c>
      <c r="I68" s="34" t="s">
        <v>64</v>
      </c>
      <c r="J68" s="34" t="s">
        <v>65</v>
      </c>
      <c r="K68" s="34"/>
    </row>
    <row r="69" spans="1:11">
      <c r="A69" s="1"/>
      <c r="B69" s="34" t="s">
        <v>20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21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22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23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24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25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26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27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28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29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30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31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32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33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34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35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36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37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38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39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8.46</vt:lpstr>
      <vt:lpstr>8.20 workings</vt:lpstr>
      <vt:lpstr>'8.46'!Print_Area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2018-09-26T06:02:59Z</cp:lastPrinted>
  <dcterms:created xsi:type="dcterms:W3CDTF">2013-04-04T04:05:16Z</dcterms:created>
  <dcterms:modified xsi:type="dcterms:W3CDTF">2018-09-26T06:03:05Z</dcterms:modified>
</cp:coreProperties>
</file>