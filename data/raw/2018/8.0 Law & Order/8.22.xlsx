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8. LAW AND ORDER\"/>
    </mc:Choice>
  </mc:AlternateContent>
  <bookViews>
    <workbookView xWindow="0" yWindow="0" windowWidth="28800" windowHeight="12330" tabRatio="842"/>
  </bookViews>
  <sheets>
    <sheet name="8.22" sheetId="64" r:id="rId1"/>
    <sheet name="8.20 workings" sheetId="36" state="hidden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Print_Area" localSheetId="0">'8.22'!$A$1:$Z$253</definedName>
    <definedName name="_xlnm.Print_Titles" localSheetId="0">'8.22'!$3:$4</definedName>
  </definedNames>
  <calcPr calcId="162913"/>
</workbook>
</file>

<file path=xl/calcChain.xml><?xml version="1.0" encoding="utf-8"?>
<calcChain xmlns="http://schemas.openxmlformats.org/spreadsheetml/2006/main">
  <c r="Y214" i="64" l="1"/>
  <c r="X214" i="64"/>
  <c r="W214" i="64"/>
  <c r="V214" i="64"/>
  <c r="U214" i="64"/>
  <c r="S214" i="64"/>
  <c r="R214" i="64"/>
  <c r="Q214" i="64"/>
  <c r="P214" i="64"/>
  <c r="O214" i="64"/>
  <c r="M214" i="64"/>
  <c r="L214" i="64"/>
  <c r="K214" i="64"/>
  <c r="J214" i="64"/>
  <c r="I214" i="64"/>
  <c r="G214" i="64"/>
  <c r="F214" i="64"/>
  <c r="E214" i="64"/>
  <c r="D214" i="64"/>
  <c r="C214" i="64"/>
  <c r="Y212" i="64"/>
  <c r="X212" i="64"/>
  <c r="W212" i="64"/>
  <c r="V212" i="64"/>
  <c r="U212" i="64"/>
  <c r="S212" i="64"/>
  <c r="R212" i="64"/>
  <c r="Q212" i="64"/>
  <c r="P212" i="64"/>
  <c r="O212" i="64"/>
  <c r="M212" i="64"/>
  <c r="L212" i="64"/>
  <c r="K212" i="64"/>
  <c r="J212" i="64"/>
  <c r="I212" i="64"/>
  <c r="G212" i="64"/>
  <c r="F212" i="64"/>
  <c r="E212" i="64"/>
  <c r="D212" i="64"/>
  <c r="C212" i="64"/>
  <c r="Y202" i="64"/>
  <c r="X202" i="64"/>
  <c r="W202" i="64"/>
  <c r="V202" i="64"/>
  <c r="U202" i="64"/>
  <c r="S202" i="64"/>
  <c r="R202" i="64"/>
  <c r="Q202" i="64"/>
  <c r="P202" i="64"/>
  <c r="O202" i="64"/>
  <c r="M202" i="64"/>
  <c r="L202" i="64"/>
  <c r="K202" i="64"/>
  <c r="J202" i="64"/>
  <c r="I202" i="64"/>
  <c r="G202" i="64"/>
  <c r="F202" i="64"/>
  <c r="E202" i="64"/>
  <c r="D202" i="64"/>
  <c r="C202" i="64"/>
  <c r="Y192" i="64"/>
  <c r="X192" i="64"/>
  <c r="W192" i="64"/>
  <c r="V192" i="64"/>
  <c r="U192" i="64"/>
  <c r="S192" i="64"/>
  <c r="R192" i="64"/>
  <c r="Q192" i="64"/>
  <c r="P192" i="64"/>
  <c r="O192" i="64"/>
  <c r="M192" i="64"/>
  <c r="L192" i="64"/>
  <c r="K192" i="64"/>
  <c r="J192" i="64"/>
  <c r="I192" i="64"/>
  <c r="G192" i="64"/>
  <c r="F192" i="64"/>
  <c r="E192" i="64"/>
  <c r="D192" i="64"/>
  <c r="C192" i="64"/>
  <c r="Y180" i="64"/>
  <c r="X180" i="64"/>
  <c r="W180" i="64"/>
  <c r="V180" i="64"/>
  <c r="U180" i="64"/>
  <c r="S180" i="64"/>
  <c r="R180" i="64"/>
  <c r="Q180" i="64"/>
  <c r="P180" i="64"/>
  <c r="O180" i="64"/>
  <c r="M180" i="64"/>
  <c r="L180" i="64"/>
  <c r="K180" i="64"/>
  <c r="J180" i="64"/>
  <c r="I180" i="64"/>
  <c r="G180" i="64"/>
  <c r="F180" i="64"/>
  <c r="E180" i="64"/>
  <c r="D180" i="64"/>
  <c r="C180" i="64"/>
  <c r="Y166" i="64"/>
  <c r="X166" i="64"/>
  <c r="W166" i="64"/>
  <c r="V166" i="64"/>
  <c r="U166" i="64"/>
  <c r="S166" i="64"/>
  <c r="R166" i="64"/>
  <c r="Q166" i="64"/>
  <c r="P166" i="64"/>
  <c r="O166" i="64"/>
  <c r="M166" i="64"/>
  <c r="L166" i="64"/>
  <c r="K166" i="64"/>
  <c r="J166" i="64"/>
  <c r="I166" i="64"/>
  <c r="G166" i="64"/>
  <c r="F166" i="64"/>
  <c r="E166" i="64"/>
  <c r="D166" i="64"/>
  <c r="C166" i="64"/>
  <c r="Y159" i="64"/>
  <c r="X159" i="64"/>
  <c r="W159" i="64"/>
  <c r="V159" i="64"/>
  <c r="U159" i="64"/>
  <c r="S159" i="64"/>
  <c r="R159" i="64"/>
  <c r="Q159" i="64"/>
  <c r="P159" i="64"/>
  <c r="O159" i="64"/>
  <c r="M159" i="64"/>
  <c r="L159" i="64"/>
  <c r="K159" i="64"/>
  <c r="J159" i="64"/>
  <c r="I159" i="64"/>
  <c r="G159" i="64"/>
  <c r="F159" i="64"/>
  <c r="E159" i="64"/>
  <c r="D159" i="64"/>
  <c r="C159" i="64"/>
  <c r="Y153" i="64"/>
  <c r="X153" i="64"/>
  <c r="W153" i="64"/>
  <c r="V153" i="64"/>
  <c r="U153" i="64"/>
  <c r="S153" i="64"/>
  <c r="R153" i="64"/>
  <c r="Q153" i="64"/>
  <c r="P153" i="64"/>
  <c r="O153" i="64"/>
  <c r="M153" i="64"/>
  <c r="L153" i="64"/>
  <c r="K153" i="64"/>
  <c r="J153" i="64"/>
  <c r="I153" i="64"/>
  <c r="G153" i="64"/>
  <c r="F153" i="64"/>
  <c r="E153" i="64"/>
  <c r="D153" i="64"/>
  <c r="C153" i="64"/>
  <c r="Y144" i="64"/>
  <c r="X144" i="64"/>
  <c r="W144" i="64"/>
  <c r="V144" i="64"/>
  <c r="U144" i="64"/>
  <c r="S144" i="64"/>
  <c r="R144" i="64"/>
  <c r="Q144" i="64"/>
  <c r="P144" i="64"/>
  <c r="O144" i="64"/>
  <c r="M144" i="64"/>
  <c r="L144" i="64"/>
  <c r="K144" i="64"/>
  <c r="J144" i="64"/>
  <c r="I144" i="64"/>
  <c r="G144" i="64"/>
  <c r="F144" i="64"/>
  <c r="E144" i="64"/>
  <c r="D144" i="64"/>
  <c r="C144" i="64"/>
  <c r="Y138" i="64"/>
  <c r="X138" i="64"/>
  <c r="W138" i="64"/>
  <c r="V138" i="64"/>
  <c r="U138" i="64"/>
  <c r="S138" i="64"/>
  <c r="R138" i="64"/>
  <c r="Q138" i="64"/>
  <c r="P138" i="64"/>
  <c r="O138" i="64"/>
  <c r="M138" i="64"/>
  <c r="L138" i="64"/>
  <c r="K138" i="64"/>
  <c r="J138" i="64"/>
  <c r="I138" i="64"/>
  <c r="G138" i="64"/>
  <c r="F138" i="64"/>
  <c r="E138" i="64"/>
  <c r="D138" i="64"/>
  <c r="C138" i="64"/>
  <c r="Y127" i="64"/>
  <c r="X127" i="64"/>
  <c r="W127" i="64"/>
  <c r="V127" i="64"/>
  <c r="U127" i="64"/>
  <c r="S127" i="64"/>
  <c r="R127" i="64"/>
  <c r="Q127" i="64"/>
  <c r="P127" i="64"/>
  <c r="O127" i="64"/>
  <c r="M127" i="64"/>
  <c r="L127" i="64"/>
  <c r="K127" i="64"/>
  <c r="J127" i="64"/>
  <c r="I127" i="64"/>
  <c r="G127" i="64"/>
  <c r="F127" i="64"/>
  <c r="E127" i="64"/>
  <c r="D127" i="64"/>
  <c r="C127" i="64"/>
  <c r="Y118" i="64"/>
  <c r="X118" i="64"/>
  <c r="W118" i="64"/>
  <c r="V118" i="64"/>
  <c r="U118" i="64"/>
  <c r="S118" i="64"/>
  <c r="R118" i="64"/>
  <c r="Q118" i="64"/>
  <c r="P118" i="64"/>
  <c r="O118" i="64"/>
  <c r="M118" i="64"/>
  <c r="L118" i="64"/>
  <c r="K118" i="64"/>
  <c r="J118" i="64"/>
  <c r="I118" i="64"/>
  <c r="G118" i="64"/>
  <c r="F118" i="64"/>
  <c r="E118" i="64"/>
  <c r="D118" i="64"/>
  <c r="C118" i="64"/>
  <c r="Y108" i="64"/>
  <c r="X108" i="64"/>
  <c r="W108" i="64"/>
  <c r="V108" i="64"/>
  <c r="U108" i="64"/>
  <c r="S108" i="64"/>
  <c r="R108" i="64"/>
  <c r="Q108" i="64"/>
  <c r="P108" i="64"/>
  <c r="O108" i="64"/>
  <c r="M108" i="64"/>
  <c r="L108" i="64"/>
  <c r="K108" i="64"/>
  <c r="J108" i="64"/>
  <c r="I108" i="64"/>
  <c r="G108" i="64"/>
  <c r="F108" i="64"/>
  <c r="E108" i="64"/>
  <c r="D108" i="64"/>
  <c r="C108" i="64"/>
  <c r="Y103" i="64"/>
  <c r="X103" i="64"/>
  <c r="W103" i="64"/>
  <c r="V103" i="64"/>
  <c r="U103" i="64"/>
  <c r="S103" i="64"/>
  <c r="R103" i="64"/>
  <c r="Q103" i="64"/>
  <c r="P103" i="64"/>
  <c r="O103" i="64"/>
  <c r="M103" i="64"/>
  <c r="L103" i="64"/>
  <c r="K103" i="64"/>
  <c r="J103" i="64"/>
  <c r="I103" i="64"/>
  <c r="G103" i="64"/>
  <c r="F103" i="64"/>
  <c r="E103" i="64"/>
  <c r="D103" i="64"/>
  <c r="C103" i="64"/>
  <c r="Y89" i="64"/>
  <c r="X89" i="64"/>
  <c r="W89" i="64"/>
  <c r="V89" i="64"/>
  <c r="U89" i="64"/>
  <c r="S89" i="64"/>
  <c r="R89" i="64"/>
  <c r="Q89" i="64"/>
  <c r="P89" i="64"/>
  <c r="O89" i="64"/>
  <c r="M89" i="64"/>
  <c r="L89" i="64"/>
  <c r="K89" i="64"/>
  <c r="J89" i="64"/>
  <c r="I89" i="64"/>
  <c r="G89" i="64"/>
  <c r="F89" i="64"/>
  <c r="E89" i="64"/>
  <c r="D89" i="64"/>
  <c r="C89" i="64"/>
  <c r="Y73" i="64"/>
  <c r="X73" i="64"/>
  <c r="W73" i="64"/>
  <c r="V73" i="64"/>
  <c r="U73" i="64"/>
  <c r="S73" i="64"/>
  <c r="R73" i="64"/>
  <c r="Q73" i="64"/>
  <c r="P73" i="64"/>
  <c r="O73" i="64"/>
  <c r="M73" i="64"/>
  <c r="L73" i="64"/>
  <c r="K73" i="64"/>
  <c r="J73" i="64"/>
  <c r="I73" i="64"/>
  <c r="G73" i="64"/>
  <c r="F73" i="64"/>
  <c r="E73" i="64"/>
  <c r="D73" i="64"/>
  <c r="C73" i="64"/>
  <c r="Y59" i="64"/>
  <c r="X59" i="64"/>
  <c r="W59" i="64"/>
  <c r="V59" i="64"/>
  <c r="U59" i="64"/>
  <c r="S59" i="64"/>
  <c r="R59" i="64"/>
  <c r="Q59" i="64"/>
  <c r="P59" i="64"/>
  <c r="O59" i="64"/>
  <c r="M59" i="64"/>
  <c r="L59" i="64"/>
  <c r="K59" i="64"/>
  <c r="J59" i="64"/>
  <c r="I59" i="64"/>
  <c r="G59" i="64"/>
  <c r="F59" i="64"/>
  <c r="E59" i="64"/>
  <c r="D59" i="64"/>
  <c r="C59" i="64"/>
  <c r="Y44" i="64"/>
  <c r="X44" i="64"/>
  <c r="W44" i="64"/>
  <c r="V44" i="64"/>
  <c r="U44" i="64"/>
  <c r="S44" i="64"/>
  <c r="R44" i="64"/>
  <c r="Q44" i="64"/>
  <c r="P44" i="64"/>
  <c r="O44" i="64"/>
  <c r="M44" i="64"/>
  <c r="L44" i="64"/>
  <c r="K44" i="64"/>
  <c r="J44" i="64"/>
  <c r="I44" i="64"/>
  <c r="G44" i="64"/>
  <c r="F44" i="64"/>
  <c r="E44" i="64"/>
  <c r="D44" i="64"/>
  <c r="C44" i="64"/>
  <c r="Y30" i="64"/>
  <c r="X30" i="64"/>
  <c r="W30" i="64"/>
  <c r="V30" i="64"/>
  <c r="U30" i="64"/>
  <c r="S30" i="64"/>
  <c r="S14" i="64" s="1"/>
  <c r="CN247" i="64" s="1"/>
  <c r="R30" i="64"/>
  <c r="Q30" i="64"/>
  <c r="P30" i="64"/>
  <c r="O30" i="64"/>
  <c r="M30" i="64"/>
  <c r="M14" i="64" s="1"/>
  <c r="L30" i="64"/>
  <c r="K30" i="64"/>
  <c r="J30" i="64"/>
  <c r="I30" i="64"/>
  <c r="G30" i="64"/>
  <c r="F30" i="64"/>
  <c r="E30" i="64"/>
  <c r="D30" i="64"/>
  <c r="D14" i="64" s="1"/>
  <c r="C30" i="64"/>
  <c r="Y15" i="64"/>
  <c r="Y14" i="64" s="1"/>
  <c r="CO247" i="64" s="1"/>
  <c r="X15" i="64"/>
  <c r="X14" i="64" s="1"/>
  <c r="CO255" i="64" s="1"/>
  <c r="W15" i="64"/>
  <c r="V15" i="64"/>
  <c r="U15" i="64"/>
  <c r="S15" i="64"/>
  <c r="R15" i="64"/>
  <c r="R14" i="64" s="1"/>
  <c r="CN255" i="64" s="1"/>
  <c r="Q15" i="64"/>
  <c r="Q14" i="64" s="1"/>
  <c r="CN230" i="64" s="1"/>
  <c r="P15" i="64"/>
  <c r="P14" i="64" s="1"/>
  <c r="O15" i="64"/>
  <c r="O14" i="64" s="1"/>
  <c r="M15" i="64"/>
  <c r="L15" i="64"/>
  <c r="K15" i="64"/>
  <c r="J15" i="64"/>
  <c r="I15" i="64"/>
  <c r="G15" i="64"/>
  <c r="F15" i="64"/>
  <c r="E15" i="64"/>
  <c r="D15" i="64"/>
  <c r="C15" i="64"/>
  <c r="U14" i="64"/>
  <c r="Y6" i="64"/>
  <c r="CO246" i="64" s="1"/>
  <c r="X6" i="64"/>
  <c r="CO254" i="64" s="1"/>
  <c r="W6" i="64"/>
  <c r="CO229" i="64" s="1"/>
  <c r="V6" i="64"/>
  <c r="U6" i="64"/>
  <c r="S6" i="64"/>
  <c r="CN246" i="64" s="1"/>
  <c r="R6" i="64"/>
  <c r="Q6" i="64"/>
  <c r="P6" i="64"/>
  <c r="O6" i="64"/>
  <c r="M6" i="64"/>
  <c r="L6" i="64"/>
  <c r="K6" i="64"/>
  <c r="J6" i="64"/>
  <c r="I6" i="64"/>
  <c r="G6" i="64"/>
  <c r="F6" i="64"/>
  <c r="E6" i="64"/>
  <c r="CM229" i="64" s="1"/>
  <c r="D6" i="64"/>
  <c r="C6" i="64"/>
  <c r="I14" i="64" l="1"/>
  <c r="CO259" i="64" s="1"/>
  <c r="W14" i="64"/>
  <c r="CO230" i="64" s="1"/>
  <c r="C14" i="64"/>
  <c r="V14" i="64"/>
  <c r="L14" i="64"/>
  <c r="L5" i="64" s="1"/>
  <c r="M5" i="64"/>
  <c r="R5" i="64"/>
  <c r="CN253" i="64" s="1"/>
  <c r="CM270" i="64"/>
  <c r="CM272" i="64"/>
  <c r="CM274" i="64"/>
  <c r="CM276" i="64"/>
  <c r="CM278" i="64"/>
  <c r="CM280" i="64"/>
  <c r="CM282" i="64"/>
  <c r="CM284" i="64"/>
  <c r="CN286" i="64"/>
  <c r="CN270" i="64"/>
  <c r="CN259" i="64"/>
  <c r="CO269" i="64"/>
  <c r="O5" i="64"/>
  <c r="J14" i="64"/>
  <c r="J5" i="64" s="1"/>
  <c r="CO271" i="64"/>
  <c r="CO273" i="64"/>
  <c r="CM273" i="64"/>
  <c r="CN297" i="64" s="1"/>
  <c r="CO277" i="64"/>
  <c r="CN278" i="64"/>
  <c r="CO279" i="64"/>
  <c r="CO281" i="64"/>
  <c r="CO285" i="64"/>
  <c r="CO287" i="64"/>
  <c r="P5" i="64"/>
  <c r="K14" i="64"/>
  <c r="K5" i="64" s="1"/>
  <c r="CM281" i="64"/>
  <c r="CM271" i="64"/>
  <c r="CM275" i="64"/>
  <c r="CO240" i="64"/>
  <c r="V5" i="64"/>
  <c r="CN269" i="64"/>
  <c r="CN271" i="64"/>
  <c r="CN273" i="64"/>
  <c r="CN275" i="64"/>
  <c r="CO275" i="64"/>
  <c r="CN277" i="64"/>
  <c r="CN279" i="64"/>
  <c r="CN281" i="64"/>
  <c r="CN283" i="64"/>
  <c r="CO283" i="64"/>
  <c r="CN285" i="64"/>
  <c r="CN287" i="64"/>
  <c r="CM279" i="64"/>
  <c r="CM283" i="64"/>
  <c r="CN261" i="64"/>
  <c r="CN260" i="64"/>
  <c r="CM287" i="64"/>
  <c r="CN311" i="64" s="1"/>
  <c r="S5" i="64"/>
  <c r="CN245" i="64" s="1"/>
  <c r="C5" i="64"/>
  <c r="CO270" i="64"/>
  <c r="CO272" i="64"/>
  <c r="CO274" i="64"/>
  <c r="CO276" i="64"/>
  <c r="CO278" i="64"/>
  <c r="CO280" i="64"/>
  <c r="CO282" i="64"/>
  <c r="CN306" i="64" s="1"/>
  <c r="CO284" i="64"/>
  <c r="CN308" i="64" s="1"/>
  <c r="CO286" i="64"/>
  <c r="CO288" i="64"/>
  <c r="CM277" i="64"/>
  <c r="CN301" i="64" s="1"/>
  <c r="W5" i="64"/>
  <c r="CO228" i="64" s="1"/>
  <c r="CM286" i="64"/>
  <c r="CM288" i="64"/>
  <c r="CN312" i="64" s="1"/>
  <c r="CM285" i="64"/>
  <c r="D5" i="64"/>
  <c r="X5" i="64"/>
  <c r="CO253" i="64" s="1"/>
  <c r="CO239" i="64" s="1"/>
  <c r="E14" i="64"/>
  <c r="CN272" i="64"/>
  <c r="CN274" i="64"/>
  <c r="CN276" i="64"/>
  <c r="CN280" i="64"/>
  <c r="CN282" i="64"/>
  <c r="CN284" i="64"/>
  <c r="CN288" i="64"/>
  <c r="CM269" i="64"/>
  <c r="CN293" i="64" s="1"/>
  <c r="Y5" i="64"/>
  <c r="CO245" i="64" s="1"/>
  <c r="U5" i="64"/>
  <c r="F14" i="64"/>
  <c r="CO241" i="64"/>
  <c r="CN304" i="64"/>
  <c r="CN296" i="64"/>
  <c r="CN241" i="64"/>
  <c r="Q5" i="64"/>
  <c r="CN228" i="64" s="1"/>
  <c r="CN298" i="64"/>
  <c r="CN307" i="64"/>
  <c r="CM246" i="64"/>
  <c r="CM254" i="64"/>
  <c r="CM240" i="64" s="1"/>
  <c r="CN262" i="64"/>
  <c r="CN254" i="64"/>
  <c r="CN229" i="64"/>
  <c r="G14" i="64"/>
  <c r="G5" i="64" s="1"/>
  <c r="I5" i="64" l="1"/>
  <c r="CM259" i="64" s="1"/>
  <c r="CM255" i="64"/>
  <c r="CO260" i="64"/>
  <c r="CN310" i="64"/>
  <c r="CN294" i="64"/>
  <c r="CM260" i="64"/>
  <c r="F5" i="64"/>
  <c r="CM261" i="64" s="1"/>
  <c r="CM230" i="64"/>
  <c r="CN300" i="64"/>
  <c r="CN303" i="64"/>
  <c r="CN299" i="64"/>
  <c r="CN295" i="64"/>
  <c r="CN302" i="64"/>
  <c r="CN240" i="64"/>
  <c r="CN305" i="64"/>
  <c r="CN239" i="64"/>
  <c r="CN309" i="64"/>
  <c r="CO261" i="64"/>
  <c r="E5" i="64"/>
  <c r="CM228" i="64" s="1"/>
  <c r="CM245" i="64"/>
  <c r="CM262" i="64"/>
  <c r="CM247" i="64"/>
  <c r="CO262" i="64"/>
  <c r="CM241" i="64" l="1"/>
  <c r="CM253" i="64"/>
  <c r="CM239" i="64" s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<sst xmlns="http://schemas.openxmlformats.org/spreadsheetml/2006/main" count="696" uniqueCount="252">
  <si>
    <t>Total</t>
  </si>
  <si>
    <t>Source: Department of Judicial Administration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</si>
  <si>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</si>
  <si>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</si>
  <si>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</si>
  <si>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</si>
  <si>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</si>
  <si>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</si>
  <si>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</si>
  <si>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</si>
  <si>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</si>
  <si>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</si>
  <si>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</si>
  <si>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</si>
  <si>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</si>
  <si>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</si>
  <si>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</si>
  <si>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</si>
  <si>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</si>
  <si>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</si>
  <si>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</si>
  <si>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</si>
  <si>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</si>
  <si>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</si>
  <si>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</si>
  <si>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</si>
  <si>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</si>
  <si>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</si>
  <si>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</si>
  <si>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</si>
  <si>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</si>
  <si>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</si>
  <si>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</si>
  <si>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</si>
  <si>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</si>
  <si>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</si>
  <si>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</si>
  <si>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</si>
  <si>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</si>
  <si>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</si>
  <si>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</si>
  <si>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</si>
  <si>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</si>
  <si>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</si>
  <si>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</si>
  <si>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</si>
  <si>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</si>
  <si>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</si>
  <si>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</si>
  <si>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</si>
  <si>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</si>
  <si>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</si>
  <si>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</si>
  <si>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</si>
  <si>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</si>
  <si>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</si>
  <si>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</si>
  <si>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</si>
  <si>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</si>
  <si>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</si>
  <si>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</si>
  <si>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</si>
  <si>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</si>
  <si>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Court</t>
  </si>
  <si>
    <t>Drug court</t>
  </si>
  <si>
    <t>Magistrate Courts</t>
  </si>
  <si>
    <t>Atoll</t>
  </si>
  <si>
    <t>Grand Total</t>
  </si>
  <si>
    <t>Male' Total</t>
  </si>
  <si>
    <t>`</t>
  </si>
  <si>
    <t>Atoll Total</t>
  </si>
  <si>
    <t>Thuraakunu</t>
  </si>
  <si>
    <t>Uligamu</t>
  </si>
  <si>
    <t xml:space="preserve">Molhadhoo </t>
  </si>
  <si>
    <t xml:space="preserve">Hoarafushi </t>
  </si>
  <si>
    <t xml:space="preserve">Ihavandhoo </t>
  </si>
  <si>
    <t xml:space="preserve">Kela </t>
  </si>
  <si>
    <t xml:space="preserve">Vashafaru </t>
  </si>
  <si>
    <t>Dhidhdhoo</t>
  </si>
  <si>
    <t>Filladhoo</t>
  </si>
  <si>
    <t xml:space="preserve">Maarandhoo </t>
  </si>
  <si>
    <t xml:space="preserve">Thakandhoo </t>
  </si>
  <si>
    <t xml:space="preserve">Utheemu </t>
  </si>
  <si>
    <t>Muraidhoo</t>
  </si>
  <si>
    <t xml:space="preserve">Baarashu </t>
  </si>
  <si>
    <t>Finey</t>
  </si>
  <si>
    <t xml:space="preserve">Makunudhoo </t>
  </si>
  <si>
    <t>Naavaidhoo</t>
  </si>
  <si>
    <t xml:space="preserve">Kumundhoo </t>
  </si>
  <si>
    <t>Kulhudhuffushi</t>
  </si>
  <si>
    <t xml:space="preserve">Hirimaradhoo </t>
  </si>
  <si>
    <t>Nolhivaramfaru</t>
  </si>
  <si>
    <t>Vaikaradhoo</t>
  </si>
  <si>
    <t>Hanimaadhoo</t>
  </si>
  <si>
    <t xml:space="preserve">Kurinbee </t>
  </si>
  <si>
    <t>Nolhivaram</t>
  </si>
  <si>
    <t xml:space="preserve">Neykurendhoo </t>
  </si>
  <si>
    <t>Nehlaidhoo</t>
  </si>
  <si>
    <t xml:space="preserve">Kanditheemu </t>
  </si>
  <si>
    <t xml:space="preserve">Goidhoo </t>
  </si>
  <si>
    <t xml:space="preserve">Feevaku </t>
  </si>
  <si>
    <t>Foakaidhoo</t>
  </si>
  <si>
    <t xml:space="preserve">Lhaimagu </t>
  </si>
  <si>
    <t xml:space="preserve">Komandoo </t>
  </si>
  <si>
    <t>Funadhoo</t>
  </si>
  <si>
    <t xml:space="preserve">Noomaraa </t>
  </si>
  <si>
    <t>Feydhoo</t>
  </si>
  <si>
    <t xml:space="preserve">Bileffahi </t>
  </si>
  <si>
    <t xml:space="preserve">Narudhoo </t>
  </si>
  <si>
    <t xml:space="preserve">Maroshi </t>
  </si>
  <si>
    <t xml:space="preserve">Maaungoodhoo </t>
  </si>
  <si>
    <t>Milandhoo</t>
  </si>
  <si>
    <t xml:space="preserve">Henbadhoo </t>
  </si>
  <si>
    <t>Kendhikulhudhoo</t>
  </si>
  <si>
    <t xml:space="preserve">Maalhendhoo </t>
  </si>
  <si>
    <t xml:space="preserve">Kudafari </t>
  </si>
  <si>
    <t xml:space="preserve">Landhoo </t>
  </si>
  <si>
    <t xml:space="preserve">Maafaru </t>
  </si>
  <si>
    <t xml:space="preserve">Lhohi </t>
  </si>
  <si>
    <t>Miladhoo</t>
  </si>
  <si>
    <t xml:space="preserve">Magoodhoo </t>
  </si>
  <si>
    <t xml:space="preserve">Manadhoo </t>
  </si>
  <si>
    <t xml:space="preserve">Holhudhoo </t>
  </si>
  <si>
    <t>Fohdhdhoo</t>
  </si>
  <si>
    <t xml:space="preserve">Velidhoo </t>
  </si>
  <si>
    <t>Alifushee</t>
  </si>
  <si>
    <t>Vaadhoo</t>
  </si>
  <si>
    <t xml:space="preserve">Rasgetheemu </t>
  </si>
  <si>
    <t>Angolhitheemu</t>
  </si>
  <si>
    <t xml:space="preserve">Hulhduffaaru </t>
  </si>
  <si>
    <t>Ungoofaaru</t>
  </si>
  <si>
    <t xml:space="preserve">Dhuvaafaru </t>
  </si>
  <si>
    <t xml:space="preserve">Maakurathu </t>
  </si>
  <si>
    <t xml:space="preserve">Rasmaadhoo </t>
  </si>
  <si>
    <t xml:space="preserve">Innamaadhoo </t>
  </si>
  <si>
    <t xml:space="preserve">Maduvvaree </t>
  </si>
  <si>
    <t xml:space="preserve">Inguraidhoo </t>
  </si>
  <si>
    <t xml:space="preserve">Fainu </t>
  </si>
  <si>
    <t xml:space="preserve">Meedhoo </t>
  </si>
  <si>
    <t xml:space="preserve">Kinolhas </t>
  </si>
  <si>
    <t>Kudarikilu</t>
  </si>
  <si>
    <t xml:space="preserve">Kamadhoo </t>
  </si>
  <si>
    <t xml:space="preserve">Kendhoo </t>
  </si>
  <si>
    <t xml:space="preserve">Kihaadhoo </t>
  </si>
  <si>
    <t xml:space="preserve">Dhonfanu </t>
  </si>
  <si>
    <t xml:space="preserve">Dharavandhoo </t>
  </si>
  <si>
    <t>Maalhohu</t>
  </si>
  <si>
    <t>Eydhafushi</t>
  </si>
  <si>
    <t xml:space="preserve">Thulhaadhoo </t>
  </si>
  <si>
    <t xml:space="preserve">Hithaadhoo </t>
  </si>
  <si>
    <t>Fulhadhoo</t>
  </si>
  <si>
    <t>Fehendhoo</t>
  </si>
  <si>
    <t>Goidhoo</t>
  </si>
  <si>
    <t>Olhuvelifushi</t>
  </si>
  <si>
    <t xml:space="preserve">Hinnavaru </t>
  </si>
  <si>
    <t xml:space="preserve">Kurendhoo </t>
  </si>
  <si>
    <t xml:space="preserve">Naifaru </t>
  </si>
  <si>
    <t xml:space="preserve">Kaashidhoo </t>
  </si>
  <si>
    <t xml:space="preserve">Gaafaru </t>
  </si>
  <si>
    <t xml:space="preserve">Dhiffushi </t>
  </si>
  <si>
    <t xml:space="preserve">Thulusdhoo </t>
  </si>
  <si>
    <t xml:space="preserve">Huraa </t>
  </si>
  <si>
    <t xml:space="preserve">Hinmafushi </t>
  </si>
  <si>
    <t xml:space="preserve">Maafushi </t>
  </si>
  <si>
    <t xml:space="preserve">Guraidhoo </t>
  </si>
  <si>
    <t xml:space="preserve">Gulhi </t>
  </si>
  <si>
    <t xml:space="preserve">Thoddoo </t>
  </si>
  <si>
    <t xml:space="preserve">Rasdhoo </t>
  </si>
  <si>
    <t xml:space="preserve">Ukulhahu </t>
  </si>
  <si>
    <t xml:space="preserve">Mathiveri </t>
  </si>
  <si>
    <t xml:space="preserve">Bodufulhadho </t>
  </si>
  <si>
    <t xml:space="preserve">Feridhoo </t>
  </si>
  <si>
    <t xml:space="preserve">Maalhohu </t>
  </si>
  <si>
    <t xml:space="preserve">Himandhoo </t>
  </si>
  <si>
    <t xml:space="preserve">Hanyaameedhoo </t>
  </si>
  <si>
    <t xml:space="preserve">Omadhoo </t>
  </si>
  <si>
    <t xml:space="preserve">Kunburudhoo </t>
  </si>
  <si>
    <t xml:space="preserve">Mahibadhoo </t>
  </si>
  <si>
    <t xml:space="preserve">Mandhoo </t>
  </si>
  <si>
    <t xml:space="preserve">Dhangethi </t>
  </si>
  <si>
    <t xml:space="preserve">Dhigurashu </t>
  </si>
  <si>
    <t xml:space="preserve">Fenfushi </t>
  </si>
  <si>
    <t xml:space="preserve">Dhidhdhoo </t>
  </si>
  <si>
    <t xml:space="preserve">Maamigili </t>
  </si>
  <si>
    <t xml:space="preserve">Fulidhoo </t>
  </si>
  <si>
    <t xml:space="preserve">Thinadhoo </t>
  </si>
  <si>
    <t xml:space="preserve">Felidhoo </t>
  </si>
  <si>
    <t xml:space="preserve">Keyodhoo </t>
  </si>
  <si>
    <t xml:space="preserve">Rakeedhoo </t>
  </si>
  <si>
    <t xml:space="preserve">Raimandhoo </t>
  </si>
  <si>
    <t xml:space="preserve">Veyvashu </t>
  </si>
  <si>
    <t xml:space="preserve">Mulaku </t>
  </si>
  <si>
    <t xml:space="preserve">Naalaafushi </t>
  </si>
  <si>
    <t xml:space="preserve">Kolhufushi </t>
  </si>
  <si>
    <t xml:space="preserve">Dhiggaru </t>
  </si>
  <si>
    <t xml:space="preserve">Muli </t>
  </si>
  <si>
    <t xml:space="preserve">Feeali </t>
  </si>
  <si>
    <t xml:space="preserve">Bilehdhoo </t>
  </si>
  <si>
    <t xml:space="preserve">Dharanboodhoo </t>
  </si>
  <si>
    <t xml:space="preserve">Nilandhoo </t>
  </si>
  <si>
    <t xml:space="preserve">Kudahuvadhoo </t>
  </si>
  <si>
    <t xml:space="preserve">Bandidhoo </t>
  </si>
  <si>
    <t xml:space="preserve">Rinbudhoo </t>
  </si>
  <si>
    <t xml:space="preserve">Hulhudheli </t>
  </si>
  <si>
    <t xml:space="preserve">Maaenboodhoo </t>
  </si>
  <si>
    <t>Veymandoo Court</t>
  </si>
  <si>
    <t xml:space="preserve">Burnee </t>
  </si>
  <si>
    <t xml:space="preserve">Vilufushi </t>
  </si>
  <si>
    <t xml:space="preserve">Madifushi </t>
  </si>
  <si>
    <t xml:space="preserve">Dhiyamigili </t>
  </si>
  <si>
    <t xml:space="preserve">Kandoodhoo </t>
  </si>
  <si>
    <t xml:space="preserve">Vandhoo </t>
  </si>
  <si>
    <t xml:space="preserve">Hirilandhoo </t>
  </si>
  <si>
    <t xml:space="preserve">Gaadhiffushi </t>
  </si>
  <si>
    <t xml:space="preserve">Thimarafushi </t>
  </si>
  <si>
    <t xml:space="preserve">Kinbidhoo </t>
  </si>
  <si>
    <t xml:space="preserve">Hithadhoo </t>
  </si>
  <si>
    <t xml:space="preserve">Fonadhoo </t>
  </si>
  <si>
    <t xml:space="preserve">Kunahandhoo </t>
  </si>
  <si>
    <t xml:space="preserve">Maamendhoo </t>
  </si>
  <si>
    <t xml:space="preserve">Maavashu </t>
  </si>
  <si>
    <t xml:space="preserve">Dhanbidhoo </t>
  </si>
  <si>
    <t xml:space="preserve">Maabaidhoo </t>
  </si>
  <si>
    <t xml:space="preserve">Mundoo </t>
  </si>
  <si>
    <t xml:space="preserve">Isdhoo </t>
  </si>
  <si>
    <t xml:space="preserve">Kalaidhoo </t>
  </si>
  <si>
    <t xml:space="preserve">Gan </t>
  </si>
  <si>
    <t xml:space="preserve">Vilingili </t>
  </si>
  <si>
    <t xml:space="preserve">Dhaandhoo </t>
  </si>
  <si>
    <t xml:space="preserve">Dhevvadhoo </t>
  </si>
  <si>
    <t xml:space="preserve">Kondey </t>
  </si>
  <si>
    <t xml:space="preserve">Gemanafushi </t>
  </si>
  <si>
    <t xml:space="preserve">Kanduhulhudhoo </t>
  </si>
  <si>
    <t xml:space="preserve">Kolamaafushi </t>
  </si>
  <si>
    <t xml:space="preserve">Madaveli </t>
  </si>
  <si>
    <t xml:space="preserve">Hoadehdhoo </t>
  </si>
  <si>
    <t xml:space="preserve">Nadehllaa </t>
  </si>
  <si>
    <t xml:space="preserve">Rathafandhoo </t>
  </si>
  <si>
    <t xml:space="preserve">Fiyoaree </t>
  </si>
  <si>
    <t xml:space="preserve">FaresMaathoda </t>
  </si>
  <si>
    <t xml:space="preserve">Vaadhoo </t>
  </si>
  <si>
    <t xml:space="preserve">Gadhdhoo </t>
  </si>
  <si>
    <t xml:space="preserve">Fuah Mulaku </t>
  </si>
  <si>
    <t xml:space="preserve">Maradhoo </t>
  </si>
  <si>
    <t xml:space="preserve">Maradhoo Feydhoo </t>
  </si>
  <si>
    <t xml:space="preserve">Feydhoo </t>
  </si>
  <si>
    <t xml:space="preserve">Hulhudhoo </t>
  </si>
  <si>
    <t xml:space="preserve">ޖިނާއީ މަޢުލޫމާތު (18 އަހަރުން މަތި އަދި 18 އަހަރުން ދަށް) </t>
  </si>
  <si>
    <t>ޑްރަގް ކޯޓް:</t>
  </si>
  <si>
    <t>total</t>
  </si>
  <si>
    <t>Table 8.22: CASES FILED, CONCLUDED AND PENDING BY CASE TYPE, 2017</t>
  </si>
  <si>
    <t>ތާވަލު 8.22: ހުށަހެޅުނު، ނިމުނު އަދި ނުނިމި ހުރި މައްސަލަތައް،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</si>
</sst>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Faruma"/>
    </font>
    <font>
      <b/>
      <sz val="11"/>
      <color theme="1"/>
      <name val="Faruma"/>
    </font>
    <font>
      <b/>
      <sz val="10"/>
      <color rgb="FFFF0000"/>
      <name val="Calibri"/>
      <family val="2"/>
      <scheme val="minor"/>
    </font>
    <font>
      <sz val="10"/>
      <color theme="1"/>
      <name val="Farum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theme="1"/>
      </bottom>
      <diagonal/>
    </border>
    <border>
      <left/>
      <right style="hair">
        <color indexed="64"/>
      </right>
      <top/>
      <bottom style="hair">
        <color theme="1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6" fillId="0" borderId="0"/>
    <xf numFmtId="0" fontId="12" fillId="0" borderId="12" applyNumberFormat="0" applyFill="0" applyAlignment="0" applyProtection="0"/>
    <xf numFmtId="0" fontId="7" fillId="0" borderId="0"/>
    <xf numFmtId="166" fontId="1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7" fillId="0" borderId="15" applyNumberFormat="0" applyFill="0" applyAlignment="0" applyProtection="0"/>
    <xf numFmtId="0" fontId="18" fillId="0" borderId="16" applyNumberFormat="0" applyFill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17" applyNumberFormat="0" applyAlignment="0" applyProtection="0"/>
    <xf numFmtId="0" fontId="23" fillId="8" borderId="18" applyNumberFormat="0" applyAlignment="0" applyProtection="0"/>
    <xf numFmtId="0" fontId="24" fillId="8" borderId="17" applyNumberFormat="0" applyAlignment="0" applyProtection="0"/>
    <xf numFmtId="0" fontId="25" fillId="0" borderId="19" applyNumberFormat="0" applyFill="0" applyAlignment="0" applyProtection="0"/>
    <xf numFmtId="0" fontId="26" fillId="9" borderId="20" applyNumberFormat="0" applyAlignment="0" applyProtection="0"/>
    <xf numFmtId="0" fontId="14" fillId="0" borderId="0" applyNumberFormat="0" applyFill="0" applyBorder="0" applyAlignment="0" applyProtection="0"/>
    <xf numFmtId="0" fontId="1" fillId="10" borderId="21" applyNumberFormat="0" applyFont="0" applyAlignment="0" applyProtection="0"/>
    <xf numFmtId="0" fontId="27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8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8" fillId="22" borderId="0" applyNumberFormat="0" applyBorder="0" applyAlignment="0" applyProtection="0"/>
    <xf numFmtId="0" fontId="28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8" fillId="26" borderId="0" applyNumberFormat="0" applyBorder="0" applyAlignment="0" applyProtection="0"/>
    <xf numFmtId="0" fontId="28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8" fillId="30" borderId="0" applyNumberFormat="0" applyBorder="0" applyAlignment="0" applyProtection="0"/>
    <xf numFmtId="0" fontId="28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8" fillId="34" borderId="0" applyNumberFormat="0" applyBorder="0" applyAlignment="0" applyProtection="0"/>
    <xf numFmtId="0" fontId="1" fillId="0" borderId="0"/>
    <xf numFmtId="0" fontId="7" fillId="0" borderId="0"/>
  </cellStyleXfs>
  <cellXfs count="95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ill="1" applyBorder="1"/>
    <xf numFmtId="164" fontId="0" fillId="2" borderId="0" xfId="0" applyNumberFormat="1" applyFont="1" applyFill="1"/>
    <xf numFmtId="170" fontId="0" fillId="2" borderId="0" xfId="1" applyNumberFormat="1" applyFont="1" applyFill="1"/>
    <xf numFmtId="164" fontId="5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13" xfId="0" applyNumberFormat="1" applyFont="1" applyFill="1" applyBorder="1" applyAlignment="1">
      <alignment horizontal="center" vertical="center"/>
    </xf>
    <xf numFmtId="0" fontId="4" fillId="2" borderId="13" xfId="0" applyNumberFormat="1" applyFont="1" applyFill="1" applyBorder="1" applyAlignment="1">
      <alignment horizontal="left" vertical="center" wrapText="1"/>
    </xf>
    <xf numFmtId="3" fontId="4" fillId="2" borderId="13" xfId="1" applyNumberFormat="1" applyFont="1" applyFill="1" applyBorder="1" applyAlignment="1"/>
    <xf numFmtId="3" fontId="3" fillId="2" borderId="13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8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6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11" fillId="2" borderId="0" xfId="0" applyNumberFormat="1" applyFont="1" applyFill="1" applyBorder="1" applyAlignment="1">
      <alignment horizontal="left" vertical="center" indent="1"/>
    </xf>
    <xf numFmtId="0" fontId="0" fillId="2" borderId="0" xfId="0" applyFill="1"/>
    <xf numFmtId="168" fontId="0" fillId="2" borderId="0" xfId="0" applyNumberFormat="1" applyFill="1"/>
    <xf numFmtId="1" fontId="0" fillId="2" borderId="0" xfId="0" applyNumberFormat="1" applyFill="1"/>
    <xf numFmtId="0" fontId="4" fillId="2" borderId="4" xfId="0" applyNumberFormat="1" applyFont="1" applyFill="1" applyBorder="1" applyAlignment="1">
      <alignment horizontal="center" vertical="center"/>
    </xf>
    <xf numFmtId="164" fontId="0" fillId="2" borderId="0" xfId="0" applyNumberFormat="1" applyFont="1" applyFill="1" applyBorder="1"/>
    <xf numFmtId="164" fontId="0" fillId="2" borderId="0" xfId="0" applyNumberFormat="1" applyFill="1"/>
    <xf numFmtId="164" fontId="0" fillId="2" borderId="0" xfId="0" applyNumberFormat="1" applyFill="1" applyAlignment="1">
      <alignment horizontal="center"/>
    </xf>
    <xf numFmtId="164" fontId="5" fillId="2" borderId="1" xfId="0" applyNumberFormat="1" applyFont="1" applyFill="1" applyBorder="1" applyAlignment="1">
      <alignment horizontal="right" vertical="center"/>
    </xf>
    <xf numFmtId="164" fontId="2" fillId="2" borderId="0" xfId="0" applyNumberFormat="1" applyFont="1" applyFill="1"/>
    <xf numFmtId="164" fontId="0" fillId="2" borderId="0" xfId="0" applyNumberFormat="1" applyFont="1" applyFill="1"/>
    <xf numFmtId="166" fontId="3" fillId="2" borderId="24" xfId="1" applyNumberFormat="1" applyFont="1" applyFill="1" applyBorder="1" applyAlignment="1">
      <alignment horizontal="center" vertical="center" wrapText="1"/>
    </xf>
    <xf numFmtId="166" fontId="3" fillId="2" borderId="9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center" vertical="center" wrapText="1"/>
    </xf>
    <xf numFmtId="166" fontId="3" fillId="2" borderId="8" xfId="1" applyNumberFormat="1" applyFont="1" applyFill="1" applyBorder="1" applyAlignment="1">
      <alignment horizontal="right" vertical="center" wrapText="1"/>
    </xf>
    <xf numFmtId="3" fontId="3" fillId="2" borderId="10" xfId="1" applyNumberFormat="1" applyFont="1" applyFill="1" applyBorder="1" applyAlignment="1" applyProtection="1"/>
    <xf numFmtId="3" fontId="3" fillId="2" borderId="11" xfId="1" applyNumberFormat="1" applyFont="1" applyFill="1" applyBorder="1" applyAlignment="1" applyProtection="1"/>
    <xf numFmtId="3" fontId="3" fillId="2" borderId="10" xfId="1" applyNumberFormat="1" applyFont="1" applyFill="1" applyBorder="1" applyAlignment="1"/>
    <xf numFmtId="3" fontId="3" fillId="2" borderId="11" xfId="1" applyNumberFormat="1" applyFont="1" applyFill="1" applyBorder="1" applyAlignment="1"/>
    <xf numFmtId="166" fontId="3" fillId="2" borderId="0" xfId="1" applyNumberFormat="1" applyFont="1" applyFill="1" applyBorder="1" applyAlignment="1">
      <alignment horizontal="right" vertical="center" wrapText="1"/>
    </xf>
    <xf numFmtId="166" fontId="31" fillId="2" borderId="0" xfId="1" applyNumberFormat="1" applyFont="1" applyFill="1" applyBorder="1" applyAlignment="1">
      <alignment horizontal="right" vertical="center" wrapText="1"/>
    </xf>
    <xf numFmtId="0" fontId="4" fillId="2" borderId="0" xfId="0" applyNumberFormat="1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horizontal="center" vertical="center"/>
    </xf>
    <xf numFmtId="49" fontId="4" fillId="2" borderId="13" xfId="0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 wrapText="1"/>
    </xf>
    <xf numFmtId="0" fontId="4" fillId="2" borderId="14" xfId="0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left" vertical="center" wrapText="1"/>
    </xf>
    <xf numFmtId="0" fontId="4" fillId="2" borderId="4" xfId="0" applyNumberFormat="1" applyFont="1" applyFill="1" applyBorder="1" applyAlignment="1">
      <alignment horizontal="left" vertical="center" wrapText="1"/>
    </xf>
    <xf numFmtId="164" fontId="29" fillId="2" borderId="0" xfId="0" applyNumberFormat="1" applyFont="1" applyFill="1"/>
    <xf numFmtId="164" fontId="30" fillId="2" borderId="0" xfId="0" applyNumberFormat="1" applyFont="1" applyFill="1"/>
    <xf numFmtId="164" fontId="32" fillId="2" borderId="0" xfId="0" applyNumberFormat="1" applyFont="1" applyFill="1"/>
    <xf numFmtId="3" fontId="4" fillId="2" borderId="10" xfId="1" applyNumberFormat="1" applyFont="1" applyFill="1" applyBorder="1" applyAlignment="1"/>
    <xf numFmtId="3" fontId="4" fillId="2" borderId="25" xfId="1" applyNumberFormat="1" applyFont="1" applyFill="1" applyBorder="1" applyAlignment="1"/>
    <xf numFmtId="3" fontId="3" fillId="2" borderId="26" xfId="1" applyNumberFormat="1" applyFont="1" applyFill="1" applyBorder="1" applyAlignment="1"/>
    <xf numFmtId="3" fontId="4" fillId="2" borderId="11" xfId="1" applyNumberFormat="1" applyFont="1" applyFill="1" applyBorder="1" applyAlignment="1"/>
    <xf numFmtId="3" fontId="4" fillId="2" borderId="26" xfId="1" applyNumberFormat="1" applyFont="1" applyFill="1" applyBorder="1" applyAlignment="1"/>
    <xf numFmtId="3" fontId="4" fillId="2" borderId="4" xfId="1" applyNumberFormat="1" applyFont="1" applyFill="1" applyBorder="1" applyAlignment="1"/>
    <xf numFmtId="3" fontId="4" fillId="2" borderId="9" xfId="1" applyNumberFormat="1" applyFont="1" applyFill="1" applyBorder="1" applyAlignment="1"/>
    <xf numFmtId="3" fontId="4" fillId="2" borderId="8" xfId="1" applyNumberFormat="1" applyFont="1" applyFill="1" applyBorder="1" applyAlignment="1"/>
    <xf numFmtId="166" fontId="3" fillId="2" borderId="7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center" vertical="center"/>
    </xf>
    <xf numFmtId="166" fontId="3" fillId="2" borderId="0" xfId="1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>
      <alignment horizontal="center" vertical="center"/>
    </xf>
    <xf numFmtId="166" fontId="3" fillId="2" borderId="0" xfId="1" applyNumberFormat="1" applyFont="1" applyFill="1" applyBorder="1" applyAlignment="1">
      <alignment horizontal="center" vertical="center" wrapText="1"/>
    </xf>
    <xf numFmtId="164" fontId="30" fillId="2" borderId="0" xfId="0" applyNumberFormat="1" applyFont="1" applyFill="1" applyBorder="1" applyAlignment="1">
      <alignment horizontal="center"/>
    </xf>
    <xf numFmtId="164" fontId="3" fillId="2" borderId="0" xfId="0" applyNumberFormat="1" applyFont="1" applyFill="1" applyBorder="1" applyAlignment="1">
      <alignment horizontal="center" vertical="center" wrapText="1"/>
    </xf>
    <xf numFmtId="164" fontId="30" fillId="2" borderId="0" xfId="0" applyNumberFormat="1" applyFont="1" applyFill="1" applyAlignment="1">
      <alignment horizont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2" borderId="7" xfId="1" applyNumberFormat="1" applyFont="1" applyFill="1" applyBorder="1" applyAlignment="1">
      <alignment horizontal="center" vertical="center" wrapText="1"/>
    </xf>
    <xf numFmtId="166" fontId="3" fillId="2" borderId="23" xfId="1" applyNumberFormat="1" applyFont="1" applyFill="1" applyBorder="1" applyAlignment="1">
      <alignment horizontal="center" vertical="center" wrapText="1"/>
    </xf>
    <xf numFmtId="164" fontId="9" fillId="2" borderId="0" xfId="0" applyNumberFormat="1" applyFont="1" applyFill="1" applyAlignment="1">
      <alignment horizontal="center"/>
    </xf>
    <xf numFmtId="166" fontId="3" fillId="3" borderId="6" xfId="1" applyNumberFormat="1" applyFont="1" applyFill="1" applyBorder="1" applyAlignment="1">
      <alignment horizontal="center" vertical="center" wrapText="1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F27A16"/>
      <color rgb="FFF8A45E"/>
      <color rgb="FFFBC497"/>
      <color rgb="FFCE2049"/>
      <color rgb="FF953735"/>
      <color rgb="FFFDEADA"/>
      <color rgb="FFF79747"/>
      <color rgb="FFFABF8E"/>
      <color rgb="FF542804"/>
      <color rgb="FFFCD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Figure 8.30:</a:t>
            </a:r>
            <a:r>
              <a:rPr lang="en-US" sz="1050" baseline="0"/>
              <a:t> </a:t>
            </a:r>
            <a:r>
              <a:rPr lang="en-US" sz="1050"/>
              <a:t>Completion</a:t>
            </a:r>
            <a:r>
              <a:rPr lang="en-US" sz="1050" baseline="0"/>
              <a:t> </a:t>
            </a:r>
            <a:r>
              <a:rPr lang="en-US" sz="1050"/>
              <a:t>rate of cases in courts by type, 2017</a:t>
            </a:r>
          </a:p>
        </c:rich>
      </c:tx>
      <c:layout>
        <c:manualLayout>
          <c:xMode val="edge"/>
          <c:yMode val="edge"/>
          <c:x val="0.16799097455504244"/>
          <c:y val="3.306583332471459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747462817147869"/>
          <c:y val="0.15392043623641624"/>
          <c:w val="0.85876290463692029"/>
          <c:h val="0.70222038085592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'8.22'!$CL$228</c:f>
              <c:strCache>
                <c:ptCount val="1"/>
                <c:pt idx="0">
                  <c:v>Republic 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'8.22'!$CM$227:$CO$227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'8.22'!$CM$228:$CO$228</c:f>
              <c:numCache>
                <c:formatCode>0.0</c:formatCode>
                <c:ptCount val="3"/>
                <c:pt idx="0">
                  <c:v>8980</c:v>
                </c:pt>
                <c:pt idx="1">
                  <c:v>6946</c:v>
                </c:pt>
                <c:pt idx="2">
                  <c:v>11406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9C-4EE4-83D5-3B7D752ABDA6}"/>
            </c:ext>
          </c:extLst>
        </c:ser>
        <c:ser>
          <c:idx val="1"/>
          <c:order val="1"/>
          <c:tx>
            <c:strRef>
              <c:f>'8.22'!$CL$229</c:f>
              <c:strCache>
                <c:ptCount val="1"/>
                <c:pt idx="0">
                  <c:v>Male'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'8.22'!$CM$227:$CO$227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'8.22'!$CM$229:$CO$229</c:f>
              <c:numCache>
                <c:formatCode>0.0</c:formatCode>
                <c:ptCount val="3"/>
                <c:pt idx="0">
                  <c:v>5574</c:v>
                </c:pt>
                <c:pt idx="1">
                  <c:v>4256</c:v>
                </c:pt>
                <c:pt idx="2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9C-4EE4-83D5-3B7D752ABDA6}"/>
            </c:ext>
          </c:extLst>
        </c:ser>
        <c:ser>
          <c:idx val="2"/>
          <c:order val="2"/>
          <c:tx>
            <c:strRef>
              <c:f>'8.22'!$CL$230</c:f>
              <c:strCache>
                <c:ptCount val="1"/>
                <c:pt idx="0">
                  <c:v>Atoll 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'8.22'!$CM$227:$CO$227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'8.22'!$CM$230:$CO$230</c:f>
              <c:numCache>
                <c:formatCode>0.0</c:formatCode>
                <c:ptCount val="3"/>
                <c:pt idx="0">
                  <c:v>3406</c:v>
                </c:pt>
                <c:pt idx="1">
                  <c:v>2690</c:v>
                </c:pt>
                <c:pt idx="2">
                  <c:v>7906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9C-4EE4-83D5-3B7D752AB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355136"/>
        <c:axId val="83356672"/>
      </c:barChart>
      <c:catAx>
        <c:axId val="83355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56672"/>
        <c:crosses val="autoZero"/>
        <c:auto val="1"/>
        <c:lblAlgn val="ctr"/>
        <c:lblOffset val="100"/>
        <c:noMultiLvlLbl val="0"/>
      </c:catAx>
      <c:valAx>
        <c:axId val="8335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/>
                  <a:t>In percent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355136"/>
        <c:crosses val="autoZero"/>
        <c:crossBetween val="between"/>
      </c:valAx>
      <c:spPr>
        <a:solidFill>
          <a:schemeClr val="bg1"/>
        </a:solidFill>
        <a:ln>
          <a:solidFill>
            <a:sysClr val="window" lastClr="FFFFFF">
              <a:lumMod val="65000"/>
            </a:sysClr>
          </a:solidFill>
        </a:ln>
        <a:effectLst/>
      </c:spPr>
    </c:plotArea>
    <c:legend>
      <c:legendPos val="r"/>
      <c:layout>
        <c:manualLayout>
          <c:xMode val="edge"/>
          <c:yMode val="edge"/>
          <c:x val="0.16023251459418836"/>
          <c:y val="0.18699560276308813"/>
          <c:w val="0.32275756099722908"/>
          <c:h val="7.74207079080615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00" b="1" i="0" u="none" strike="noStrike" baseline="0"/>
              <a:t>Figure 8.32: Number of </a:t>
            </a:r>
            <a:r>
              <a:rPr lang="en-US" sz="1000"/>
              <a:t>Cases pending at courts at the end of 2017</a:t>
            </a:r>
          </a:p>
        </c:rich>
      </c:tx>
      <c:layout>
        <c:manualLayout>
          <c:xMode val="edge"/>
          <c:yMode val="edge"/>
          <c:x val="0.22248490047340638"/>
          <c:y val="2.779945395919377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022900776694279"/>
          <c:y val="0.14711593921088853"/>
          <c:w val="0.8169344159769123"/>
          <c:h val="0.702393542990124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'8.22'!$CL$245</c:f>
              <c:strCache>
                <c:ptCount val="1"/>
                <c:pt idx="0">
                  <c:v>Republic 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'8.22'!$CM$244:$CO$244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'8.22'!$CM$245:$CO$245</c:f>
              <c:numCache>
                <c:formatCode>_(* #,##0_);_(* \(#,##0\);_(* "-"??_);_(@_)</c:formatCode>
                <c:ptCount val="3"/>
                <c:pt idx="0">
                  <c:v>4892</c:v>
                </c:pt>
                <c:pt idx="1">
                  <c:v>2024</c:v>
                </c:pt>
                <c:pt idx="2">
                  <c:v>2033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80-49BF-A16A-E4A6F8E60F71}"/>
            </c:ext>
          </c:extLst>
        </c:ser>
        <c:ser>
          <c:idx val="1"/>
          <c:order val="1"/>
          <c:tx>
            <c:strRef>
              <c:f>'8.22'!$CL$246</c:f>
              <c:strCache>
                <c:ptCount val="1"/>
                <c:pt idx="0">
                  <c:v>Male'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'8.22'!$CM$244:$CO$244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'8.22'!$CM$246:$CO$246</c:f>
              <c:numCache>
                <c:formatCode>_(* #,##0_);_(* \(#,##0\);_(* "-"??_);_(@_)</c:formatCode>
                <c:ptCount val="3"/>
                <c:pt idx="0">
                  <c:v>2980</c:v>
                </c:pt>
                <c:pt idx="1">
                  <c:v>1212</c:v>
                </c:pt>
                <c:pt idx="2">
                  <c:v>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80-49BF-A16A-E4A6F8E60F71}"/>
            </c:ext>
          </c:extLst>
        </c:ser>
        <c:ser>
          <c:idx val="2"/>
          <c:order val="2"/>
          <c:tx>
            <c:strRef>
              <c:f>'8.22'!$CL$247</c:f>
              <c:strCache>
                <c:ptCount val="1"/>
                <c:pt idx="0">
                  <c:v>Atoll 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'8.22'!$CM$244:$CO$244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'8.22'!$CM$247:$CO$247</c:f>
              <c:numCache>
                <c:formatCode>_(* #,##0_);_(* \(#,##0\);_(* "-"??_);_(@_)</c:formatCode>
                <c:ptCount val="3"/>
                <c:pt idx="0">
                  <c:v>1912</c:v>
                </c:pt>
                <c:pt idx="1">
                  <c:v>812</c:v>
                </c:pt>
                <c:pt idx="2">
                  <c:v>1420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80-49BF-A16A-E4A6F8E60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458304"/>
        <c:axId val="83476480"/>
      </c:barChart>
      <c:catAx>
        <c:axId val="8345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76480"/>
        <c:crosses val="autoZero"/>
        <c:auto val="1"/>
        <c:lblAlgn val="ctr"/>
        <c:lblOffset val="100"/>
        <c:noMultiLvlLbl val="0"/>
      </c:catAx>
      <c:valAx>
        <c:axId val="8347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" lastClr="FFFFFF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 numbers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58304"/>
        <c:crosses val="autoZero"/>
        <c:crossBetween val="between"/>
      </c:valAx>
      <c:spPr>
        <a:noFill/>
        <a:ln>
          <a:solidFill>
            <a:sysClr val="window" lastClr="FFFFFF">
              <a:lumMod val="65000"/>
            </a:sysClr>
          </a:solidFill>
        </a:ln>
        <a:effectLst/>
      </c:spPr>
    </c:plotArea>
    <c:legend>
      <c:legendPos val="r"/>
      <c:layout>
        <c:manualLayout>
          <c:xMode val="edge"/>
          <c:yMode val="edge"/>
          <c:x val="0.4771520325581079"/>
          <c:y val="0.26038599095912729"/>
          <c:w val="0.3805902422321838"/>
          <c:h val="6.13841317464668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511" l="0.70000000000000062" r="0.70000000000000062" t="0.750000000000005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baseline="0"/>
              <a:t>Figure 8.33:  Number of </a:t>
            </a:r>
            <a:r>
              <a:rPr lang="en-US" sz="1050" b="1" i="0" baseline="0">
                <a:latin typeface="+mn-lt"/>
              </a:rPr>
              <a:t>Cases  concluded and those in courts at the beginning and end of 2017</a:t>
            </a:r>
          </a:p>
        </c:rich>
      </c:tx>
      <c:layout>
        <c:manualLayout>
          <c:xMode val="edge"/>
          <c:yMode val="edge"/>
          <c:x val="0.16331228428360395"/>
          <c:y val="3.021794176342272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482357968423662"/>
          <c:y val="0.18719316416175671"/>
          <c:w val="0.82181368554428824"/>
          <c:h val="0.679899514170138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'8.22'!$CL$259</c:f>
              <c:strCache>
                <c:ptCount val="1"/>
                <c:pt idx="0">
                  <c:v>Starting balance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'8.22'!$CM$258:$CO$258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'8.22'!$CM$259:$CO$259</c:f>
              <c:numCache>
                <c:formatCode>_(* #,##0_);_(* \(#,##0\);_(* "-"??_);_(@_)</c:formatCode>
                <c:ptCount val="3"/>
                <c:pt idx="0">
                  <c:v>6637</c:v>
                </c:pt>
                <c:pt idx="1">
                  <c:v>3686</c:v>
                </c:pt>
                <c:pt idx="2">
                  <c:v>2951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A2-4DB3-A5B8-947BE7468428}"/>
            </c:ext>
          </c:extLst>
        </c:ser>
        <c:ser>
          <c:idx val="1"/>
          <c:order val="1"/>
          <c:tx>
            <c:strRef>
              <c:f>'8.22'!$CL$260</c:f>
              <c:strCache>
                <c:ptCount val="1"/>
                <c:pt idx="0">
                  <c:v>new cases filed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'8.22'!$CM$258:$CO$258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'8.22'!$CM$260:$CO$260</c:f>
              <c:numCache>
                <c:formatCode>_(* #,##0_);_(* \(#,##0\);_(* "-"??_);_(@_)</c:formatCode>
                <c:ptCount val="3"/>
                <c:pt idx="0">
                  <c:v>20695</c:v>
                </c:pt>
                <c:pt idx="1">
                  <c:v>9644</c:v>
                </c:pt>
                <c:pt idx="2">
                  <c:v>11051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A2-4DB3-A5B8-947BE7468428}"/>
            </c:ext>
          </c:extLst>
        </c:ser>
        <c:ser>
          <c:idx val="2"/>
          <c:order val="2"/>
          <c:tx>
            <c:strRef>
              <c:f>'8.22'!$CL$261</c:f>
              <c:strCache>
                <c:ptCount val="1"/>
                <c:pt idx="0">
                  <c:v>concluded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'8.22'!$CM$258:$CO$258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'8.22'!$CM$261:$CO$261</c:f>
              <c:numCache>
                <c:formatCode>_(* #,##0_);_(* \(#,##0\);_(* "-"??_);_(@_)</c:formatCode>
                <c:ptCount val="3"/>
                <c:pt idx="0">
                  <c:v>18383</c:v>
                </c:pt>
                <c:pt idx="1">
                  <c:v>8525</c:v>
                </c:pt>
                <c:pt idx="2">
                  <c:v>9858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A2-4DB3-A5B8-947BE7468428}"/>
            </c:ext>
          </c:extLst>
        </c:ser>
        <c:ser>
          <c:idx val="3"/>
          <c:order val="3"/>
          <c:tx>
            <c:strRef>
              <c:f>'8.22'!$CL$262</c:f>
              <c:strCache>
                <c:ptCount val="1"/>
                <c:pt idx="0">
                  <c:v>ending balance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</c:spPr>
          <c:invertIfNegative val="0"/>
          <c:cat>
            <c:strRef>
              <c:f>'8.22'!$CM$258:$CO$258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'8.22'!$CM$262:$CO$262</c:f>
              <c:numCache>
                <c:formatCode>_(* #,##0_);_(* \(#,##0\);_(* "-"??_);_(@_)</c:formatCode>
                <c:ptCount val="3"/>
                <c:pt idx="0">
                  <c:v>8949</c:v>
                </c:pt>
                <c:pt idx="1">
                  <c:v>4805</c:v>
                </c:pt>
                <c:pt idx="2">
                  <c:v>4144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A2-4DB3-A5B8-947BE7468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530112"/>
        <c:axId val="83531648"/>
      </c:barChart>
      <c:catAx>
        <c:axId val="8353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31648"/>
        <c:crosses val="autoZero"/>
        <c:auto val="1"/>
        <c:lblAlgn val="ctr"/>
        <c:lblOffset val="100"/>
        <c:noMultiLvlLbl val="0"/>
      </c:catAx>
      <c:valAx>
        <c:axId val="8353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" lastClr="FFFFFF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0"/>
                  <a:t>In numbers</a:t>
                </a:r>
              </a:p>
            </c:rich>
          </c:tx>
          <c:layout>
            <c:manualLayout>
              <c:xMode val="edge"/>
              <c:yMode val="edge"/>
              <c:x val="2.8024617530170602E-3"/>
              <c:y val="0.3419191404463906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30112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38702696821353261"/>
          <c:y val="0.25612494837915273"/>
          <c:w val="0.51354572660515474"/>
          <c:h val="0.12919728115694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baseline="0"/>
              <a:t>Figure 8.31: Number of </a:t>
            </a:r>
            <a:r>
              <a:rPr lang="en-US" sz="1050"/>
              <a:t>Cases concluded at courts during 2017</a:t>
            </a:r>
          </a:p>
        </c:rich>
      </c:tx>
      <c:layout>
        <c:manualLayout>
          <c:xMode val="edge"/>
          <c:yMode val="edge"/>
          <c:x val="0.18312897303345127"/>
          <c:y val="2.404352467432581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26145386752174"/>
          <c:y val="0.13218027930968385"/>
          <c:w val="0.83001516812841469"/>
          <c:h val="0.728437646143567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'8.22'!$CL$253</c:f>
              <c:strCache>
                <c:ptCount val="1"/>
                <c:pt idx="0">
                  <c:v>Republic 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'8.22'!$CM$252:$CO$252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'8.22'!$CM$253:$CO$253</c:f>
              <c:numCache>
                <c:formatCode>_(* #,##0_);_(* \(#,##0\);_(* "-"??_);_(@_)</c:formatCode>
                <c:ptCount val="3"/>
                <c:pt idx="0">
                  <c:v>4088</c:v>
                </c:pt>
                <c:pt idx="1">
                  <c:v>4922</c:v>
                </c:pt>
                <c:pt idx="2">
                  <c:v>9373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7-4BB3-9036-67F5B581D7E9}"/>
            </c:ext>
          </c:extLst>
        </c:ser>
        <c:ser>
          <c:idx val="1"/>
          <c:order val="1"/>
          <c:tx>
            <c:strRef>
              <c:f>'8.22'!$CL$254</c:f>
              <c:strCache>
                <c:ptCount val="1"/>
                <c:pt idx="0">
                  <c:v>Male'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'8.22'!$CM$252:$CO$252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'8.22'!$CM$254:$CO$254</c:f>
              <c:numCache>
                <c:formatCode>_(* #,##0_);_(* \(#,##0\);_(* "-"??_);_(@_)</c:formatCode>
                <c:ptCount val="3"/>
                <c:pt idx="0">
                  <c:v>2594</c:v>
                </c:pt>
                <c:pt idx="1">
                  <c:v>3044</c:v>
                </c:pt>
                <c:pt idx="2">
                  <c:v>2887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37-4BB3-9036-67F5B581D7E9}"/>
            </c:ext>
          </c:extLst>
        </c:ser>
        <c:ser>
          <c:idx val="2"/>
          <c:order val="2"/>
          <c:tx>
            <c:strRef>
              <c:f>'8.22'!$CL$255</c:f>
              <c:strCache>
                <c:ptCount val="1"/>
                <c:pt idx="0">
                  <c:v>Atoll 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'8.22'!$CM$252:$CO$252</c:f>
              <c:strCache>
                <c:ptCount val="3"/>
                <c:pt idx="0">
                  <c:v>Criminal Cases </c:v>
                </c:pt>
                <c:pt idx="1">
                  <c:v>Civil cases</c:v>
                </c:pt>
                <c:pt idx="2">
                  <c:v>Family Cases</c:v>
                </c:pt>
              </c:strCache>
            </c:strRef>
          </c:cat>
          <c:val>
            <c:numRef>
              <c:f>'8.22'!$CM$255:$CO$255</c:f>
              <c:numCache>
                <c:formatCode>_(* #,##0_);_(* \(#,##0\);_(* "-"??_);_(@_)</c:formatCode>
                <c:ptCount val="3"/>
                <c:pt idx="0">
                  <c:v>1494</c:v>
                </c:pt>
                <c:pt idx="1">
                  <c:v>1878</c:v>
                </c:pt>
                <c:pt idx="2">
                  <c:v>6486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37-4BB3-9036-67F5B581D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743872"/>
        <c:axId val="83745408"/>
      </c:barChart>
      <c:catAx>
        <c:axId val="83743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45408"/>
        <c:crosses val="autoZero"/>
        <c:auto val="1"/>
        <c:lblAlgn val="ctr"/>
        <c:lblOffset val="100"/>
        <c:noMultiLvlLbl val="0"/>
      </c:catAx>
      <c:valAx>
        <c:axId val="8374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" lastClr="FFFFFF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8.3584855740438269E-3"/>
              <c:y val="0.3822507381206646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43872"/>
        <c:crosses val="autoZero"/>
        <c:crossBetween val="between"/>
      </c:valAx>
      <c:spPr>
        <a:solidFill>
          <a:schemeClr val="bg1"/>
        </a:solidFill>
        <a:ln>
          <a:solidFill>
            <a:sysClr val="window" lastClr="FFFFFF">
              <a:lumMod val="65000"/>
            </a:sysClr>
          </a:solidFill>
        </a:ln>
        <a:effectLst/>
      </c:spPr>
    </c:plotArea>
    <c:legend>
      <c:legendPos val="r"/>
      <c:layout>
        <c:manualLayout>
          <c:xMode val="edge"/>
          <c:yMode val="edge"/>
          <c:x val="0.18545926797757234"/>
          <c:y val="0.21330751130429892"/>
          <c:w val="0.42972224818252308"/>
          <c:h val="7.991695253299552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baseline="0"/>
              <a:t>Figure 8.34: Number of </a:t>
            </a:r>
            <a:r>
              <a:rPr lang="en-US" sz="1050"/>
              <a:t>Cases</a:t>
            </a:r>
            <a:r>
              <a:rPr lang="en-US" sz="1050" baseline="0"/>
              <a:t> completed during 2017 and  pending at end year, by Atoll</a:t>
            </a:r>
            <a:endParaRPr lang="en-US" sz="1050"/>
          </a:p>
        </c:rich>
      </c:tx>
      <c:layout>
        <c:manualLayout>
          <c:xMode val="edge"/>
          <c:yMode val="edge"/>
          <c:x val="0.15903807566062594"/>
          <c:y val="2.7530921997956192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600051372120441"/>
          <c:y val="0.17863895267348581"/>
          <c:w val="0.87533486747769673"/>
          <c:h val="0.6638661915128382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'8.22'!$CM$268</c:f>
              <c:strCache>
                <c:ptCount val="1"/>
                <c:pt idx="0">
                  <c:v>Concluded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'8.22'!$CL$269:$CL$288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'8.22'!$CM$269:$CM$288</c:f>
              <c:numCache>
                <c:formatCode>General_)</c:formatCode>
                <c:ptCount val="20"/>
                <c:pt idx="0">
                  <c:v>341</c:v>
                </c:pt>
                <c:pt idx="1">
                  <c:v>670</c:v>
                </c:pt>
                <c:pt idx="2">
                  <c:v>397</c:v>
                </c:pt>
                <c:pt idx="3">
                  <c:v>487</c:v>
                </c:pt>
                <c:pt idx="4">
                  <c:v>668</c:v>
                </c:pt>
                <c:pt idx="5">
                  <c:v>333</c:v>
                </c:pt>
                <c:pt idx="6">
                  <c:v>430</c:v>
                </c:pt>
                <c:pt idx="7">
                  <c:v>650</c:v>
                </c:pt>
                <c:pt idx="8">
                  <c:v>356</c:v>
                </c:pt>
                <c:pt idx="9">
                  <c:v>395</c:v>
                </c:pt>
                <c:pt idx="10">
                  <c:v>75</c:v>
                </c:pt>
                <c:pt idx="11">
                  <c:v>148</c:v>
                </c:pt>
                <c:pt idx="12">
                  <c:v>245</c:v>
                </c:pt>
                <c:pt idx="13">
                  <c:v>208</c:v>
                </c:pt>
                <c:pt idx="14">
                  <c:v>428</c:v>
                </c:pt>
                <c:pt idx="15">
                  <c:v>904</c:v>
                </c:pt>
                <c:pt idx="16">
                  <c:v>707</c:v>
                </c:pt>
                <c:pt idx="17">
                  <c:v>599</c:v>
                </c:pt>
                <c:pt idx="18">
                  <c:v>543</c:v>
                </c:pt>
                <c:pt idx="19">
                  <c:v>1274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F7-4F1D-BE29-52A459675750}"/>
            </c:ext>
          </c:extLst>
        </c:ser>
        <c:ser>
          <c:idx val="1"/>
          <c:order val="1"/>
          <c:tx>
            <c:strRef>
              <c:f>'8.22'!$CN$268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'8.22'!$CL$269:$CL$288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'8.22'!$CN$269:$CN$288</c:f>
              <c:numCache>
                <c:formatCode>General_)</c:formatCode>
                <c:ptCount val="20"/>
                <c:pt idx="0">
                  <c:v>215</c:v>
                </c:pt>
                <c:pt idx="1">
                  <c:v>204</c:v>
                </c:pt>
                <c:pt idx="2">
                  <c:v>117</c:v>
                </c:pt>
                <c:pt idx="3">
                  <c:v>266</c:v>
                </c:pt>
                <c:pt idx="4">
                  <c:v>141</c:v>
                </c:pt>
                <c:pt idx="5">
                  <c:v>99</c:v>
                </c:pt>
                <c:pt idx="6">
                  <c:v>332</c:v>
                </c:pt>
                <c:pt idx="7">
                  <c:v>93</c:v>
                </c:pt>
                <c:pt idx="8">
                  <c:v>165</c:v>
                </c:pt>
                <c:pt idx="9">
                  <c:v>135</c:v>
                </c:pt>
                <c:pt idx="10">
                  <c:v>22</c:v>
                </c:pt>
                <c:pt idx="11">
                  <c:v>47</c:v>
                </c:pt>
                <c:pt idx="12">
                  <c:v>58</c:v>
                </c:pt>
                <c:pt idx="13">
                  <c:v>58</c:v>
                </c:pt>
                <c:pt idx="14">
                  <c:v>227</c:v>
                </c:pt>
                <c:pt idx="15">
                  <c:v>354</c:v>
                </c:pt>
                <c:pt idx="16">
                  <c:v>355</c:v>
                </c:pt>
                <c:pt idx="17">
                  <c:v>491</c:v>
                </c:pt>
                <c:pt idx="18">
                  <c:v>292</c:v>
                </c:pt>
                <c:pt idx="19">
                  <c:v>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F7-4F1D-BE29-52A459675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"/>
        <c:axId val="85930752"/>
        <c:axId val="85932288"/>
      </c:barChart>
      <c:catAx>
        <c:axId val="85930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32288"/>
        <c:crosses val="autoZero"/>
        <c:auto val="1"/>
        <c:lblAlgn val="ctr"/>
        <c:lblOffset val="100"/>
        <c:noMultiLvlLbl val="0"/>
      </c:catAx>
      <c:valAx>
        <c:axId val="85932288"/>
        <c:scaling>
          <c:orientation val="minMax"/>
          <c:max val="20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/>
                  <a:t>In numbers</a:t>
                </a:r>
              </a:p>
            </c:rich>
          </c:tx>
          <c:layout>
            <c:manualLayout>
              <c:xMode val="edge"/>
              <c:yMode val="edge"/>
              <c:x val="2.6898081626949692E-3"/>
              <c:y val="5.8015226561708419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930752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2826506347045294"/>
          <c:y val="0.22278990517494673"/>
          <c:w val="0.46873933966669895"/>
          <c:h val="0.125781181665455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u="none" strike="noStrike" baseline="0"/>
              <a:t>Figure 8.35: </a:t>
            </a:r>
            <a:r>
              <a:rPr lang="en-US" sz="1050"/>
              <a:t>C</a:t>
            </a:r>
            <a:r>
              <a:rPr lang="en-US" sz="1050" baseline="0"/>
              <a:t>ompletion rate of cases in majistrate courts by Atoll, 2017</a:t>
            </a:r>
            <a:endParaRPr lang="en-US" sz="1050"/>
          </a:p>
        </c:rich>
      </c:tx>
      <c:layout>
        <c:manualLayout>
          <c:xMode val="edge"/>
          <c:yMode val="edge"/>
          <c:x val="0.16395572180697568"/>
          <c:y val="4.6285497221345999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469881172945333E-2"/>
          <c:y val="0.17184470328787221"/>
          <c:w val="0.91730211124311145"/>
          <c:h val="0.7003731581545844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'8.22'!$CM$293:$CM$312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'8.22'!$CN$293:$CN$312</c:f>
              <c:numCache>
                <c:formatCode>0</c:formatCode>
                <c:ptCount val="20"/>
                <c:pt idx="0">
                  <c:v>61.330935251798557</c:v>
                </c:pt>
                <c:pt idx="1">
                  <c:v>76.659038901601832</c:v>
                </c:pt>
                <c:pt idx="2">
                  <c:v>77.237354085603116</c:v>
                </c:pt>
                <c:pt idx="3">
                  <c:v>64.674634794156702</c:v>
                </c:pt>
                <c:pt idx="4">
                  <c:v>82.571075401730525</c:v>
                </c:pt>
                <c:pt idx="5">
                  <c:v>77.083333333333343</c:v>
                </c:pt>
                <c:pt idx="6">
                  <c:v>56.430446194225723</c:v>
                </c:pt>
                <c:pt idx="7">
                  <c:v>87.48317631224765</c:v>
                </c:pt>
                <c:pt idx="8">
                  <c:v>68.330134357005761</c:v>
                </c:pt>
                <c:pt idx="9">
                  <c:v>74.528301886792448</c:v>
                </c:pt>
                <c:pt idx="10">
                  <c:v>77.319587628865989</c:v>
                </c:pt>
                <c:pt idx="11">
                  <c:v>75.897435897435898</c:v>
                </c:pt>
                <c:pt idx="12">
                  <c:v>80.858085808580853</c:v>
                </c:pt>
                <c:pt idx="13">
                  <c:v>78.195488721804509</c:v>
                </c:pt>
                <c:pt idx="14">
                  <c:v>65.343511450381669</c:v>
                </c:pt>
                <c:pt idx="15">
                  <c:v>71.860095389507151</c:v>
                </c:pt>
                <c:pt idx="16">
                  <c:v>66.572504708097924</c:v>
                </c:pt>
                <c:pt idx="17">
                  <c:v>54.954128440366965</c:v>
                </c:pt>
                <c:pt idx="18">
                  <c:v>65.029940119760482</c:v>
                </c:pt>
                <c:pt idx="19">
                  <c:v>72.925014310246141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4E-42D0-85C1-753FA89FE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055936"/>
        <c:axId val="86070016"/>
      </c:barChart>
      <c:catAx>
        <c:axId val="86055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70016"/>
        <c:crosses val="autoZero"/>
        <c:auto val="1"/>
        <c:lblAlgn val="ctr"/>
        <c:lblOffset val="100"/>
        <c:noMultiLvlLbl val="0"/>
      </c:catAx>
      <c:valAx>
        <c:axId val="86070016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/>
                  <a:t>In percent</a:t>
                </a:r>
              </a:p>
            </c:rich>
          </c:tx>
          <c:layout>
            <c:manualLayout>
              <c:xMode val="edge"/>
              <c:yMode val="edge"/>
              <c:x val="1.2410912657594586E-2"/>
              <c:y val="7.7511692340757554E-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55936"/>
        <c:crosses val="autoZero"/>
        <c:crossBetween val="between"/>
      </c:valAx>
      <c:spPr>
        <a:solidFill>
          <a:schemeClr val="bg1"/>
        </a:solidFill>
        <a:ln>
          <a:solidFill>
            <a:schemeClr val="bg1">
              <a:lumMod val="6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522" l="0.70000000000000062" r="0.70000000000000062" t="0.75000000000000522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'[7]8.9graphs'!$B$37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'[7]8.9graphs'!$A$38:$A$40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9-48CA-8C83-287891D5AA1C}"/>
            </c:ext>
          </c:extLst>
        </c:ser>
        <c:ser>
          <c:idx val="1"/>
          <c:order val="1"/>
          <c:tx>
            <c:strRef>
              <c:f>'[7]8.9graphs'!$C$37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'[7]8.9graphs'!$A$38:$A$40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39-48CA-8C83-287891D5AA1C}"/>
            </c:ext>
          </c:extLst>
        </c:ser>
        <c:ser>
          <c:idx val="2"/>
          <c:order val="2"/>
          <c:tx>
            <c:strRef>
              <c:f>'[7]8.9graphs'!$D$37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'[7]8.9graphs'!$A$38:$A$40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39-48CA-8C83-287891D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018368"/>
        <c:axId val="130421504"/>
      </c:barChart>
      <c:catAx>
        <c:axId val="13701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21504"/>
        <c:crosses val="autoZero"/>
        <c:auto val="1"/>
        <c:lblAlgn val="ctr"/>
        <c:lblOffset val="100"/>
        <c:noMultiLvlLbl val="0"/>
      </c:catAx>
      <c:valAx>
        <c:axId val="1304215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370183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'[7]8.9graphs'!$B$43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'[7]8.9graphs'!$A$44:$A$46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E-4B59-A4E1-F841AC222173}"/>
            </c:ext>
          </c:extLst>
        </c:ser>
        <c:ser>
          <c:idx val="1"/>
          <c:order val="1"/>
          <c:tx>
            <c:strRef>
              <c:f>'[7]8.9graphs'!$C$43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'[7]8.9graphs'!$A$44:$A$46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E-4B59-A4E1-F841AC222173}"/>
            </c:ext>
          </c:extLst>
        </c:ser>
        <c:ser>
          <c:idx val="2"/>
          <c:order val="2"/>
          <c:tx>
            <c:strRef>
              <c:f>'[7]8.9graphs'!$D$43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'[7]8.9graphs'!$A$44:$A$46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E-4B59-A4E1-F841AC22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43904"/>
        <c:axId val="130449792"/>
      </c:barChart>
      <c:catAx>
        <c:axId val="130443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449792"/>
        <c:crosses val="autoZero"/>
        <c:auto val="1"/>
        <c:lblAlgn val="ctr"/>
        <c:lblOffset val="100"/>
        <c:noMultiLvlLbl val="0"/>
      </c:catAx>
      <c:valAx>
        <c:axId val="1304497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439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'[7]8.9graphs'!$B$56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'[7]8.9graphs'!$A$57:$A$60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'[7]8.9graphs'!$B$57:$B$60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01-41D2-A2DC-901465384B4B}"/>
            </c:ext>
          </c:extLst>
        </c:ser>
        <c:ser>
          <c:idx val="1"/>
          <c:order val="1"/>
          <c:tx>
            <c:strRef>
              <c:f>'[7]8.9graphs'!$C$56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'[7]8.9graphs'!$A$57:$A$60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'[7]8.9graphs'!$C$57:$C$60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01-41D2-A2DC-901465384B4B}"/>
            </c:ext>
          </c:extLst>
        </c:ser>
        <c:ser>
          <c:idx val="2"/>
          <c:order val="2"/>
          <c:tx>
            <c:strRef>
              <c:f>'[7]8.9graphs'!$D$56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'[7]8.9graphs'!$A$57:$A$60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'[7]8.9graphs'!$D$57:$D$60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01-41D2-A2DC-901465384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476288"/>
        <c:axId val="136994816"/>
      </c:barChart>
      <c:catAx>
        <c:axId val="130476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994816"/>
        <c:crosses val="autoZero"/>
        <c:auto val="1"/>
        <c:lblAlgn val="ctr"/>
        <c:lblOffset val="100"/>
        <c:noMultiLvlLbl val="0"/>
      </c:catAx>
      <c:valAx>
        <c:axId val="1369948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47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'[7]8.9graphs'!$B$50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'[7]8.9graphs'!$A$51:$A$53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27-4E27-B572-24D83DA51C6D}"/>
            </c:ext>
          </c:extLst>
        </c:ser>
        <c:ser>
          <c:idx val="1"/>
          <c:order val="1"/>
          <c:tx>
            <c:strRef>
              <c:f>'[7]8.9graphs'!$C$50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'[7]8.9graphs'!$A$51:$A$53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27-4E27-B572-24D83DA51C6D}"/>
            </c:ext>
          </c:extLst>
        </c:ser>
        <c:ser>
          <c:idx val="2"/>
          <c:order val="2"/>
          <c:tx>
            <c:strRef>
              <c:f>'[7]8.9graphs'!$D$50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'[7]8.9graphs'!$A$51:$A$53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'[7]8.9graphs'!$D$51:$D$53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27-4E27-B572-24D83DA51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38336"/>
        <c:axId val="130239872"/>
      </c:barChart>
      <c:catAx>
        <c:axId val="130238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0239872"/>
        <c:crosses val="autoZero"/>
        <c:auto val="1"/>
        <c:lblAlgn val="ctr"/>
        <c:lblOffset val="100"/>
        <c:noMultiLvlLbl val="0"/>
      </c:catAx>
      <c:valAx>
        <c:axId val="1302398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02383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18-4063-9A14-17ACCE215032}"/>
            </c:ext>
          </c:extLst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18-4063-9A14-17ACCE215032}"/>
            </c:ext>
          </c:extLst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18-4063-9A14-17ACCE215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262912"/>
        <c:axId val="130264448"/>
      </c:barChart>
      <c:catAx>
        <c:axId val="130262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264448"/>
        <c:crosses val="autoZero"/>
        <c:auto val="1"/>
        <c:lblAlgn val="ctr"/>
        <c:lblOffset val="100"/>
        <c:noMultiLvlLbl val="0"/>
      </c:catAx>
      <c:valAx>
        <c:axId val="1302644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3026291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90-4C9E-978D-34509C47D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22816"/>
        <c:axId val="130324352"/>
      </c:barChart>
      <c:catAx>
        <c:axId val="130322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24352"/>
        <c:crosses val="autoZero"/>
        <c:auto val="1"/>
        <c:lblAlgn val="ctr"/>
        <c:lblOffset val="100"/>
        <c:noMultiLvlLbl val="0"/>
      </c:catAx>
      <c:valAx>
        <c:axId val="13032435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2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429D-BC3A-EC2AAF7E4960}"/>
            </c:ext>
          </c:extLst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A-429D-BC3A-EC2AAF7E4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0337792"/>
        <c:axId val="130347776"/>
      </c:barChart>
      <c:catAx>
        <c:axId val="13033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0347776"/>
        <c:crosses val="autoZero"/>
        <c:auto val="1"/>
        <c:lblAlgn val="ctr"/>
        <c:lblOffset val="100"/>
        <c:noMultiLvlLbl val="0"/>
      </c:catAx>
      <c:valAx>
        <c:axId val="130347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303377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213714</xdr:colOff>
      <xdr:row>222</xdr:row>
      <xdr:rowOff>116632</xdr:rowOff>
    </xdr:from>
    <xdr:to>
      <xdr:col>6</xdr:col>
      <xdr:colOff>405086</xdr:colOff>
      <xdr:row>236</xdr:row>
      <xdr:rowOff>19655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655015</xdr:colOff>
      <xdr:row>222</xdr:row>
      <xdr:rowOff>147727</xdr:rowOff>
    </xdr:from>
    <xdr:to>
      <xdr:col>24</xdr:col>
      <xdr:colOff>536466</xdr:colOff>
      <xdr:row>236</xdr:row>
      <xdr:rowOff>55036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179591</xdr:colOff>
      <xdr:row>237</xdr:row>
      <xdr:rowOff>142328</xdr:rowOff>
    </xdr:from>
    <xdr:to>
      <xdr:col>6</xdr:col>
      <xdr:colOff>350345</xdr:colOff>
      <xdr:row>251</xdr:row>
      <xdr:rowOff>117187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570415</xdr:colOff>
      <xdr:row>222</xdr:row>
      <xdr:rowOff>129678</xdr:rowOff>
    </xdr:from>
    <xdr:to>
      <xdr:col>15</xdr:col>
      <xdr:colOff>547414</xdr:colOff>
      <xdr:row>236</xdr:row>
      <xdr:rowOff>22766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521814</xdr:colOff>
      <xdr:row>237</xdr:row>
      <xdr:rowOff>131379</xdr:rowOff>
    </xdr:from>
    <xdr:to>
      <xdr:col>15</xdr:col>
      <xdr:colOff>569311</xdr:colOff>
      <xdr:row>251</xdr:row>
      <xdr:rowOff>147019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10711</xdr:colOff>
      <xdr:row>237</xdr:row>
      <xdr:rowOff>174151</xdr:rowOff>
    </xdr:from>
    <xdr:to>
      <xdr:col>24</xdr:col>
      <xdr:colOff>558361</xdr:colOff>
      <xdr:row>251</xdr:row>
      <xdr:rowOff>114119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428988</xdr:colOff>
      <xdr:row>224</xdr:row>
      <xdr:rowOff>29082</xdr:rowOff>
    </xdr:from>
    <xdr:to>
      <xdr:col>5</xdr:col>
      <xdr:colOff>599857</xdr:colOff>
      <xdr:row>224</xdr:row>
      <xdr:rowOff>32719</xdr:rowOff>
    </xdr:to>
    <xdr:sp macro="" textlink="">
      <xdr:nvSpPr>
        <xdr:cNvPr id="8" name="Line 4"/>
        <xdr:cNvSpPr>
          <a:spLocks noChangeShapeType="1"/>
        </xdr:cNvSpPr>
      </xdr:nvSpPr>
      <xdr:spPr bwMode="auto">
        <a:xfrm flipV="1">
          <a:off x="1000488" y="43501182"/>
          <a:ext cx="3466519" cy="3637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</xdr:col>
      <xdr:colOff>330831</xdr:colOff>
      <xdr:row>240</xdr:row>
      <xdr:rowOff>3636</xdr:rowOff>
    </xdr:from>
    <xdr:to>
      <xdr:col>6</xdr:col>
      <xdr:colOff>65439</xdr:colOff>
      <xdr:row>240</xdr:row>
      <xdr:rowOff>7270</xdr:rowOff>
    </xdr:to>
    <xdr:sp macro="" textlink="">
      <xdr:nvSpPr>
        <xdr:cNvPr id="9" name="Line 4"/>
        <xdr:cNvSpPr>
          <a:spLocks noChangeShapeType="1"/>
        </xdr:cNvSpPr>
      </xdr:nvSpPr>
      <xdr:spPr bwMode="auto">
        <a:xfrm>
          <a:off x="902331" y="46523736"/>
          <a:ext cx="3687483" cy="3634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8</xdr:col>
      <xdr:colOff>678325</xdr:colOff>
      <xdr:row>223</xdr:row>
      <xdr:rowOff>187289</xdr:rowOff>
    </xdr:from>
    <xdr:to>
      <xdr:col>14</xdr:col>
      <xdr:colOff>636783</xdr:colOff>
      <xdr:row>224</xdr:row>
      <xdr:rowOff>3637</xdr:rowOff>
    </xdr:to>
    <xdr:sp macro="" textlink="">
      <xdr:nvSpPr>
        <xdr:cNvPr id="10" name="Line 4"/>
        <xdr:cNvSpPr>
          <a:spLocks noChangeShapeType="1"/>
        </xdr:cNvSpPr>
      </xdr:nvSpPr>
      <xdr:spPr bwMode="auto">
        <a:xfrm flipV="1">
          <a:off x="5964700" y="43468889"/>
          <a:ext cx="3568433" cy="6848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17</xdr:col>
      <xdr:colOff>446712</xdr:colOff>
      <xdr:row>224</xdr:row>
      <xdr:rowOff>43663</xdr:rowOff>
    </xdr:from>
    <xdr:to>
      <xdr:col>23</xdr:col>
      <xdr:colOff>593975</xdr:colOff>
      <xdr:row>224</xdr:row>
      <xdr:rowOff>48159</xdr:rowOff>
    </xdr:to>
    <xdr:sp macro="" textlink="">
      <xdr:nvSpPr>
        <xdr:cNvPr id="11" name="Line 4"/>
        <xdr:cNvSpPr>
          <a:spLocks noChangeShapeType="1"/>
        </xdr:cNvSpPr>
      </xdr:nvSpPr>
      <xdr:spPr bwMode="auto">
        <a:xfrm>
          <a:off x="11429037" y="43515763"/>
          <a:ext cx="3652463" cy="4496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17</xdr:col>
      <xdr:colOff>160318</xdr:colOff>
      <xdr:row>239</xdr:row>
      <xdr:rowOff>128427</xdr:rowOff>
    </xdr:from>
    <xdr:to>
      <xdr:col>24</xdr:col>
      <xdr:colOff>90968</xdr:colOff>
      <xdr:row>239</xdr:row>
      <xdr:rowOff>135445</xdr:rowOff>
    </xdr:to>
    <xdr:sp macro="" textlink="">
      <xdr:nvSpPr>
        <xdr:cNvPr id="12" name="Line 4"/>
        <xdr:cNvSpPr>
          <a:spLocks noChangeShapeType="1"/>
        </xdr:cNvSpPr>
      </xdr:nvSpPr>
      <xdr:spPr bwMode="auto">
        <a:xfrm flipV="1">
          <a:off x="11142643" y="46458027"/>
          <a:ext cx="4102600" cy="7018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8</xdr:col>
      <xdr:colOff>532115</xdr:colOff>
      <xdr:row>239</xdr:row>
      <xdr:rowOff>112374</xdr:rowOff>
    </xdr:from>
    <xdr:to>
      <xdr:col>15</xdr:col>
      <xdr:colOff>192640</xdr:colOff>
      <xdr:row>239</xdr:row>
      <xdr:rowOff>125554</xdr:rowOff>
    </xdr:to>
    <xdr:sp macro="" textlink="">
      <xdr:nvSpPr>
        <xdr:cNvPr id="13" name="Line 4"/>
        <xdr:cNvSpPr>
          <a:spLocks noChangeShapeType="1"/>
        </xdr:cNvSpPr>
      </xdr:nvSpPr>
      <xdr:spPr bwMode="auto">
        <a:xfrm flipV="1">
          <a:off x="5818490" y="46441974"/>
          <a:ext cx="3965825" cy="13180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MPS%20-%20final%20tab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-%20JSC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_%20AC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_%20MC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8/RECEIVED/8.%20LAW%20AND%20ORDER%20_Gender%20vF%2027.03.2018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ST4\Dissemination\Publications\Statistical%20%20Year%20Book\YEARBOOK%202016\BLANK%20TABLES\8.%20LAW%20&amp;%20ORDER-%20MoLG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8.1"/>
      <sheetName val="8.1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3.1"/>
      <sheetName val="8.14"/>
      <sheetName val="8.15"/>
      <sheetName val="8.15.1"/>
      <sheetName val="8.16"/>
      <sheetName val="8.16.1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8">
          <cell r="T8">
            <v>3811</v>
          </cell>
        </row>
      </sheetData>
      <sheetData sheetId="15"/>
      <sheetData sheetId="16">
        <row r="5">
          <cell r="J5">
            <v>3961</v>
          </cell>
        </row>
      </sheetData>
      <sheetData sheetId="17"/>
      <sheetData sheetId="18"/>
      <sheetData sheetId="19"/>
      <sheetData sheetId="20"/>
      <sheetData sheetId="21"/>
      <sheetData sheetId="22"/>
      <sheetData sheetId="23">
        <row r="3">
          <cell r="Z3" t="str">
            <v>&lt; 18 yrs</v>
          </cell>
          <cell r="AA3" t="str">
            <v>18 - 34 yrs</v>
          </cell>
          <cell r="AB3" t="str">
            <v>35 yrs  and above</v>
          </cell>
          <cell r="AC3" t="str">
            <v>N/A</v>
          </cell>
        </row>
        <row r="4">
          <cell r="Z4">
            <v>922</v>
          </cell>
          <cell r="AA4">
            <v>806</v>
          </cell>
          <cell r="AB4">
            <v>474</v>
          </cell>
          <cell r="AC4">
            <v>1759</v>
          </cell>
        </row>
        <row r="7">
          <cell r="Z7" t="str">
            <v>Male</v>
          </cell>
          <cell r="AA7">
            <v>1228</v>
          </cell>
        </row>
        <row r="8">
          <cell r="Z8" t="str">
            <v>Female</v>
          </cell>
          <cell r="AA8">
            <v>974</v>
          </cell>
        </row>
        <row r="9">
          <cell r="Z9" t="str">
            <v>N/A</v>
          </cell>
          <cell r="AA9">
            <v>1759</v>
          </cell>
        </row>
        <row r="12">
          <cell r="AA12" t="str">
            <v>Male</v>
          </cell>
          <cell r="AB12" t="str">
            <v>Female</v>
          </cell>
        </row>
        <row r="13">
          <cell r="Z13" t="str">
            <v>&lt; 18 yrs</v>
          </cell>
          <cell r="AA13">
            <v>417</v>
          </cell>
          <cell r="AB13">
            <v>505</v>
          </cell>
        </row>
        <row r="14">
          <cell r="Z14" t="str">
            <v>18 - 34 yrs</v>
          </cell>
          <cell r="AA14">
            <v>491</v>
          </cell>
          <cell r="AB14">
            <v>315</v>
          </cell>
        </row>
        <row r="15">
          <cell r="Z15" t="str">
            <v>35 yrs  and above</v>
          </cell>
          <cell r="AA15">
            <v>320</v>
          </cell>
          <cell r="AB15">
            <v>154</v>
          </cell>
        </row>
        <row r="16">
          <cell r="Z16" t="str">
            <v>N/A</v>
          </cell>
          <cell r="AA16">
            <v>2583</v>
          </cell>
          <cell r="AB16">
            <v>-824</v>
          </cell>
        </row>
      </sheetData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 refreshError="1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30"/>
      <sheetName val="8.31"/>
      <sheetName val="8.32"/>
      <sheetName val="8.33"/>
      <sheetName val="8.34"/>
      <sheetName val="8.35"/>
      <sheetName val="8.36"/>
    </sheetNames>
    <sheetDataSet>
      <sheetData sheetId="0" refreshError="1"/>
      <sheetData sheetId="1">
        <row r="5">
          <cell r="B5">
            <v>2010</v>
          </cell>
        </row>
      </sheetData>
      <sheetData sheetId="2" refreshError="1"/>
      <sheetData sheetId="3" refreshError="1"/>
      <sheetData sheetId="4">
        <row r="19">
          <cell r="J19" t="str">
            <v xml:space="preserve">މަޢުލޫމާތު ދެއްވި ފަރާތް: އެންޓި ކޮރަޕްޝަން ކޮމިޝަން </v>
          </cell>
        </row>
      </sheetData>
      <sheetData sheetId="5" refreshError="1"/>
      <sheetData sheetId="6" refreshError="1"/>
      <sheetData sheetId="7">
        <row r="6">
          <cell r="A6">
            <v>2010</v>
          </cell>
          <cell r="B6">
            <v>324</v>
          </cell>
        </row>
        <row r="7">
          <cell r="A7">
            <v>2011</v>
          </cell>
          <cell r="B7">
            <v>409</v>
          </cell>
        </row>
        <row r="8">
          <cell r="A8">
            <v>2012</v>
          </cell>
          <cell r="B8">
            <v>431</v>
          </cell>
        </row>
        <row r="9">
          <cell r="A9">
            <v>2013</v>
          </cell>
          <cell r="B9">
            <v>620</v>
          </cell>
        </row>
        <row r="10">
          <cell r="A10">
            <v>2014</v>
          </cell>
          <cell r="B10">
            <v>783</v>
          </cell>
        </row>
        <row r="11">
          <cell r="A11">
            <v>2015</v>
          </cell>
          <cell r="B11">
            <v>855</v>
          </cell>
        </row>
        <row r="12">
          <cell r="A12">
            <v>2016</v>
          </cell>
          <cell r="B12">
            <v>829</v>
          </cell>
        </row>
        <row r="13">
          <cell r="A13">
            <v>2017</v>
          </cell>
          <cell r="B13">
            <v>1326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42"/>
      <sheetName val="8.43"/>
    </sheetNames>
    <sheetDataSet>
      <sheetData sheetId="0" refreshError="1"/>
      <sheetData sheetId="1">
        <row r="6">
          <cell r="I6" t="str">
            <v>Male</v>
          </cell>
        </row>
      </sheetData>
      <sheetData sheetId="2">
        <row r="34">
          <cell r="AF34" t="str">
            <v>Jailed</v>
          </cell>
          <cell r="AG34" t="str">
            <v>Banished</v>
          </cell>
          <cell r="AH34" t="str">
            <v>House Arrest/Detention</v>
          </cell>
        </row>
        <row r="35">
          <cell r="AE35">
            <v>2014</v>
          </cell>
          <cell r="AF35">
            <v>278</v>
          </cell>
          <cell r="AG35">
            <v>24</v>
          </cell>
          <cell r="AH35">
            <v>99</v>
          </cell>
        </row>
        <row r="36">
          <cell r="AE36">
            <v>2015</v>
          </cell>
          <cell r="AF36">
            <v>257</v>
          </cell>
          <cell r="AG36">
            <v>8</v>
          </cell>
          <cell r="AH36">
            <v>93</v>
          </cell>
        </row>
        <row r="37">
          <cell r="AE37">
            <v>2016</v>
          </cell>
          <cell r="AF37">
            <v>742</v>
          </cell>
          <cell r="AG37">
            <v>5</v>
          </cell>
          <cell r="AH37">
            <v>81</v>
          </cell>
        </row>
        <row r="38">
          <cell r="AE38">
            <v>2017</v>
          </cell>
          <cell r="AF38">
            <v>893</v>
          </cell>
          <cell r="AG38">
            <v>2</v>
          </cell>
          <cell r="AH38">
            <v>229</v>
          </cell>
        </row>
        <row r="45">
          <cell r="AF45" t="str">
            <v>Male</v>
          </cell>
          <cell r="AG45" t="str">
            <v>Female</v>
          </cell>
        </row>
        <row r="46">
          <cell r="AF46">
            <v>52</v>
          </cell>
          <cell r="AG46">
            <v>27</v>
          </cell>
        </row>
        <row r="47">
          <cell r="AF47">
            <v>37</v>
          </cell>
          <cell r="AG47">
            <v>23</v>
          </cell>
        </row>
        <row r="48">
          <cell r="AF48">
            <v>144</v>
          </cell>
          <cell r="AG48">
            <v>18</v>
          </cell>
        </row>
        <row r="49">
          <cell r="AF49">
            <v>185</v>
          </cell>
          <cell r="AG49">
            <v>3</v>
          </cell>
        </row>
        <row r="50">
          <cell r="AF50">
            <v>98</v>
          </cell>
          <cell r="AG50">
            <v>2</v>
          </cell>
        </row>
        <row r="51">
          <cell r="AF51">
            <v>236</v>
          </cell>
          <cell r="AG51">
            <v>3</v>
          </cell>
        </row>
        <row r="59">
          <cell r="AF59">
            <v>2014</v>
          </cell>
          <cell r="AG59">
            <v>2015</v>
          </cell>
          <cell r="AH59">
            <v>2016</v>
          </cell>
          <cell r="AI59">
            <v>2017</v>
          </cell>
        </row>
        <row r="60">
          <cell r="AE60" t="str">
            <v>Less than 1 year</v>
          </cell>
          <cell r="AF60">
            <v>93</v>
          </cell>
          <cell r="AG60">
            <v>92</v>
          </cell>
          <cell r="AH60">
            <v>79</v>
          </cell>
          <cell r="AI60">
            <v>750</v>
          </cell>
        </row>
        <row r="61">
          <cell r="AE61" t="str">
            <v>1 - 2 years</v>
          </cell>
          <cell r="AF61">
            <v>98</v>
          </cell>
          <cell r="AG61">
            <v>51</v>
          </cell>
          <cell r="AH61">
            <v>60</v>
          </cell>
          <cell r="AI61">
            <v>117</v>
          </cell>
        </row>
        <row r="62">
          <cell r="AE62" t="str">
            <v>2 - 3 years</v>
          </cell>
          <cell r="AF62">
            <v>94</v>
          </cell>
          <cell r="AG62">
            <v>66</v>
          </cell>
          <cell r="AH62">
            <v>162</v>
          </cell>
          <cell r="AI62">
            <v>22</v>
          </cell>
        </row>
        <row r="63">
          <cell r="AE63" t="str">
            <v>3 - 4 years</v>
          </cell>
          <cell r="AF63">
            <v>25</v>
          </cell>
          <cell r="AG63">
            <v>87</v>
          </cell>
          <cell r="AH63">
            <v>188</v>
          </cell>
          <cell r="AI63">
            <v>150</v>
          </cell>
        </row>
        <row r="64">
          <cell r="AE64" t="str">
            <v>4 - 5 years</v>
          </cell>
          <cell r="AF64">
            <v>56</v>
          </cell>
          <cell r="AG64">
            <v>47</v>
          </cell>
          <cell r="AH64">
            <v>100</v>
          </cell>
          <cell r="AI64">
            <v>4</v>
          </cell>
        </row>
        <row r="65">
          <cell r="AE65" t="str">
            <v>5 years &amp; Over</v>
          </cell>
          <cell r="AF65">
            <v>34</v>
          </cell>
          <cell r="AG65">
            <v>15</v>
          </cell>
          <cell r="AH65">
            <v>239</v>
          </cell>
          <cell r="AI65">
            <v>81</v>
          </cell>
        </row>
        <row r="69">
          <cell r="AE69" t="str">
            <v>Less than 1 year</v>
          </cell>
          <cell r="AF69">
            <v>79</v>
          </cell>
        </row>
        <row r="70">
          <cell r="AE70" t="str">
            <v>1 - 2 years</v>
          </cell>
          <cell r="AF70">
            <v>60</v>
          </cell>
        </row>
        <row r="71">
          <cell r="AE71" t="str">
            <v>2 - 3 years</v>
          </cell>
          <cell r="AF71">
            <v>162</v>
          </cell>
        </row>
        <row r="72">
          <cell r="AE72" t="str">
            <v>3 - 4 years</v>
          </cell>
          <cell r="AF72">
            <v>188</v>
          </cell>
        </row>
        <row r="73">
          <cell r="AE73" t="str">
            <v>4 - 5 years</v>
          </cell>
          <cell r="AF73">
            <v>100</v>
          </cell>
        </row>
        <row r="74">
          <cell r="AE74" t="str">
            <v>5 years &amp; Over</v>
          </cell>
          <cell r="AF74">
            <v>239</v>
          </cell>
        </row>
        <row r="79">
          <cell r="AF79" t="str">
            <v>Jailed</v>
          </cell>
          <cell r="AG79" t="str">
            <v>Banished</v>
          </cell>
          <cell r="AH79" t="str">
            <v>House Arrest/Detention</v>
          </cell>
        </row>
        <row r="80">
          <cell r="AF80">
            <v>742</v>
          </cell>
          <cell r="AG80">
            <v>5</v>
          </cell>
          <cell r="AH80">
            <v>81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35"/>
      <sheetName val="8.36"/>
      <sheetName val="8.37"/>
      <sheetName val="8.38"/>
      <sheetName val="8.39"/>
      <sheetName val="8.40"/>
      <sheetName val="8.41"/>
      <sheetName val="8.42"/>
      <sheetName val="8.43"/>
      <sheetName val="8.44"/>
      <sheetName val="8.45"/>
      <sheetName val="8.46"/>
      <sheetName val="New data"/>
    </sheetNames>
    <sheetDataSet>
      <sheetData sheetId="0" refreshError="1"/>
      <sheetData sheetId="1">
        <row r="4">
          <cell r="B4">
            <v>2009</v>
          </cell>
          <cell r="C4">
            <v>2010</v>
          </cell>
          <cell r="D4">
            <v>2011</v>
          </cell>
          <cell r="E4">
            <v>2012</v>
          </cell>
          <cell r="F4">
            <v>2013</v>
          </cell>
          <cell r="G4">
            <v>2014</v>
          </cell>
          <cell r="H4">
            <v>2015</v>
          </cell>
          <cell r="I4">
            <v>2016</v>
          </cell>
        </row>
        <row r="6">
          <cell r="A6" t="str">
            <v>Neglect</v>
          </cell>
          <cell r="B6">
            <v>75</v>
          </cell>
          <cell r="C6">
            <v>102</v>
          </cell>
          <cell r="D6">
            <v>156</v>
          </cell>
          <cell r="E6">
            <v>141</v>
          </cell>
          <cell r="F6">
            <v>116</v>
          </cell>
          <cell r="G6">
            <v>120</v>
          </cell>
          <cell r="H6">
            <v>227</v>
          </cell>
          <cell r="I6">
            <v>287</v>
          </cell>
        </row>
        <row r="7">
          <cell r="A7" t="str">
            <v>Physical Abuse</v>
          </cell>
          <cell r="B7">
            <v>76</v>
          </cell>
          <cell r="C7">
            <v>69</v>
          </cell>
          <cell r="D7">
            <v>96</v>
          </cell>
          <cell r="E7">
            <v>159</v>
          </cell>
          <cell r="F7">
            <v>110</v>
          </cell>
          <cell r="G7">
            <v>139</v>
          </cell>
          <cell r="H7">
            <v>245</v>
          </cell>
          <cell r="I7">
            <v>324</v>
          </cell>
        </row>
        <row r="8">
          <cell r="A8" t="str">
            <v>Emotional Abuse</v>
          </cell>
          <cell r="B8">
            <v>30</v>
          </cell>
          <cell r="C8">
            <v>93</v>
          </cell>
          <cell r="D8">
            <v>146</v>
          </cell>
          <cell r="E8">
            <v>59</v>
          </cell>
          <cell r="F8">
            <v>170</v>
          </cell>
          <cell r="G8">
            <v>65</v>
          </cell>
          <cell r="H8">
            <v>72</v>
          </cell>
          <cell r="I8">
            <v>142</v>
          </cell>
        </row>
        <row r="9">
          <cell r="A9" t="str">
            <v>Sexual Abuse</v>
          </cell>
          <cell r="B9">
            <v>133</v>
          </cell>
          <cell r="C9">
            <v>67</v>
          </cell>
          <cell r="D9">
            <v>87</v>
          </cell>
          <cell r="E9">
            <v>295</v>
          </cell>
          <cell r="F9">
            <v>44</v>
          </cell>
          <cell r="G9">
            <v>300</v>
          </cell>
          <cell r="H9">
            <v>98</v>
          </cell>
          <cell r="I9">
            <v>342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34"/>
      <sheetName val="8.35"/>
      <sheetName val="8.36"/>
      <sheetName val="8.37"/>
      <sheetName val="8.38"/>
      <sheetName val="8.39"/>
      <sheetName val="8.40"/>
      <sheetName val="8.41"/>
      <sheetName val="8.42"/>
      <sheetName val="8.44"/>
      <sheetName val="8.43"/>
      <sheetName val="8.45"/>
    </sheetNames>
    <sheetDataSet>
      <sheetData sheetId="0"/>
      <sheetData sheetId="1"/>
      <sheetData sheetId="2">
        <row r="25">
          <cell r="A25" t="str">
            <v>Neglect</v>
          </cell>
        </row>
      </sheetData>
      <sheetData sheetId="3">
        <row r="6">
          <cell r="L6" t="str">
            <v>Male</v>
          </cell>
          <cell r="M6" t="str">
            <v>Female</v>
          </cell>
        </row>
        <row r="8">
          <cell r="A8" t="str">
            <v>Less than 1 year</v>
          </cell>
          <cell r="L8">
            <v>16</v>
          </cell>
          <cell r="M8">
            <v>11</v>
          </cell>
        </row>
        <row r="9">
          <cell r="A9" t="str">
            <v>1 - 4</v>
          </cell>
          <cell r="L9">
            <v>44</v>
          </cell>
          <cell r="M9">
            <v>52</v>
          </cell>
        </row>
        <row r="10">
          <cell r="A10" t="str">
            <v>5</v>
          </cell>
          <cell r="L10">
            <v>17</v>
          </cell>
          <cell r="M10">
            <v>20</v>
          </cell>
        </row>
        <row r="11">
          <cell r="A11" t="str">
            <v>6 - 9</v>
          </cell>
          <cell r="L11">
            <v>64</v>
          </cell>
          <cell r="M11">
            <v>64</v>
          </cell>
        </row>
        <row r="12">
          <cell r="A12" t="str">
            <v>10 - 14</v>
          </cell>
          <cell r="L12">
            <v>130</v>
          </cell>
          <cell r="M12">
            <v>122</v>
          </cell>
        </row>
        <row r="13">
          <cell r="A13" t="str">
            <v>15</v>
          </cell>
          <cell r="L13">
            <v>42</v>
          </cell>
          <cell r="M13">
            <v>36</v>
          </cell>
        </row>
        <row r="14">
          <cell r="A14" t="str">
            <v>16 - 18</v>
          </cell>
          <cell r="L14">
            <v>49</v>
          </cell>
          <cell r="M14">
            <v>93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X316"/>
  <sheetViews>
    <sheetView tabSelected="1" zoomScaleNormal="100" workbookViewId="0">
      <selection activeCell="H202" sqref="H202"/>
    </sheetView>
  </sheetViews>
  <sheetFormatPr defaultColWidth="12.28515625" defaultRowHeight="15"/>
  <cols>
    <col min="1" max="1" width="8.5703125" style="46" customWidth="1"/>
    <col min="2" max="2" width="19.85546875" style="45" customWidth="1"/>
    <col min="3" max="7" width="9.85546875" style="45" customWidth="1"/>
    <col min="8" max="8" width="1.5703125" style="45" customWidth="1"/>
    <col min="9" max="13" width="10.42578125" style="45" customWidth="1"/>
    <col min="14" max="14" width="2" style="45" customWidth="1"/>
    <col min="15" max="19" width="10.42578125" style="45" customWidth="1"/>
    <col min="20" max="20" width="1.7109375" style="45" customWidth="1"/>
    <col min="21" max="24" width="10" style="45" customWidth="1"/>
    <col min="25" max="25" width="10" style="48" customWidth="1"/>
    <col min="26" max="86" width="4" style="45" customWidth="1"/>
    <col min="87" max="93" width="12.28515625" style="45"/>
    <col min="94" max="96" width="13.7109375" style="45" customWidth="1"/>
    <col min="97" max="16384" width="12.28515625" style="45"/>
  </cols>
  <sheetData>
    <row r="1" spans="1:128" ht="21">
      <c r="A1" s="86" t="s">
        <v>251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</row>
    <row r="2" spans="1:128">
      <c r="A2" s="81" t="s">
        <v>250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</row>
    <row r="3" spans="1:128">
      <c r="A3" s="87" t="s">
        <v>66</v>
      </c>
      <c r="B3" s="87" t="s">
        <v>63</v>
      </c>
      <c r="C3" s="89" t="s">
        <v>3</v>
      </c>
      <c r="D3" s="89"/>
      <c r="E3" s="89"/>
      <c r="F3" s="89"/>
      <c r="G3" s="89"/>
      <c r="H3" s="78"/>
      <c r="I3" s="90" t="s">
        <v>4</v>
      </c>
      <c r="J3" s="89"/>
      <c r="K3" s="89"/>
      <c r="L3" s="89"/>
      <c r="M3" s="89"/>
      <c r="N3" s="50"/>
      <c r="O3" s="89" t="s">
        <v>5</v>
      </c>
      <c r="P3" s="89"/>
      <c r="Q3" s="89"/>
      <c r="R3" s="89"/>
      <c r="S3" s="89"/>
      <c r="T3" s="50"/>
      <c r="U3" s="89" t="s">
        <v>6</v>
      </c>
      <c r="V3" s="89"/>
      <c r="W3" s="89"/>
      <c r="X3" s="89"/>
      <c r="Y3" s="89"/>
    </row>
    <row r="4" spans="1:128" ht="25.5">
      <c r="A4" s="88"/>
      <c r="B4" s="88"/>
      <c r="C4" s="14" t="s">
        <v>7</v>
      </c>
      <c r="D4" s="14" t="s">
        <v>8</v>
      </c>
      <c r="E4" s="14" t="s">
        <v>2</v>
      </c>
      <c r="F4" s="14" t="s">
        <v>9</v>
      </c>
      <c r="G4" s="14" t="s">
        <v>10</v>
      </c>
      <c r="H4" s="14"/>
      <c r="I4" s="51" t="s">
        <v>7</v>
      </c>
      <c r="J4" s="14" t="s">
        <v>8</v>
      </c>
      <c r="K4" s="14" t="s">
        <v>2</v>
      </c>
      <c r="L4" s="52" t="s">
        <v>9</v>
      </c>
      <c r="M4" s="14" t="s">
        <v>10</v>
      </c>
      <c r="N4" s="53"/>
      <c r="O4" s="14" t="s">
        <v>7</v>
      </c>
      <c r="P4" s="14" t="s">
        <v>8</v>
      </c>
      <c r="Q4" s="14" t="s">
        <v>2</v>
      </c>
      <c r="R4" s="14" t="s">
        <v>9</v>
      </c>
      <c r="S4" s="14" t="s">
        <v>10</v>
      </c>
      <c r="T4" s="53"/>
      <c r="U4" s="14" t="s">
        <v>7</v>
      </c>
      <c r="V4" s="14" t="s">
        <v>8</v>
      </c>
      <c r="W4" s="14" t="s">
        <v>2</v>
      </c>
      <c r="X4" s="14" t="s">
        <v>9</v>
      </c>
      <c r="Y4" s="14" t="s">
        <v>10</v>
      </c>
    </row>
    <row r="5" spans="1:128">
      <c r="A5" s="79"/>
      <c r="B5" s="8" t="s">
        <v>67</v>
      </c>
      <c r="C5" s="11">
        <f>C6+C14</f>
        <v>3502</v>
      </c>
      <c r="D5" s="11">
        <f>D6+D14</f>
        <v>5299</v>
      </c>
      <c r="E5" s="11">
        <f>E6+E14</f>
        <v>8801</v>
      </c>
      <c r="F5" s="11">
        <f>F6+F14</f>
        <v>3981</v>
      </c>
      <c r="G5" s="11">
        <f>G6+G14</f>
        <v>4820</v>
      </c>
      <c r="H5" s="11"/>
      <c r="I5" s="54">
        <f>I6+I14</f>
        <v>57</v>
      </c>
      <c r="J5" s="11">
        <f>J6+J14</f>
        <v>122</v>
      </c>
      <c r="K5" s="11">
        <f>K6+K14</f>
        <v>179</v>
      </c>
      <c r="L5" s="11">
        <f>L6+L14</f>
        <v>107</v>
      </c>
      <c r="M5" s="11">
        <f>M6+M14</f>
        <v>72</v>
      </c>
      <c r="N5" s="55"/>
      <c r="O5" s="11">
        <f>O6+O14</f>
        <v>1254</v>
      </c>
      <c r="P5" s="11">
        <f>P6+P14</f>
        <v>5692</v>
      </c>
      <c r="Q5" s="11">
        <f>Q6+Q14</f>
        <v>6946</v>
      </c>
      <c r="R5" s="11">
        <f>R6+R14</f>
        <v>4922</v>
      </c>
      <c r="S5" s="11">
        <f>S6+S14</f>
        <v>2024</v>
      </c>
      <c r="T5" s="55"/>
      <c r="U5" s="11">
        <f>U6+U14</f>
        <v>1824</v>
      </c>
      <c r="V5" s="11">
        <f>V6+V14</f>
        <v>9582</v>
      </c>
      <c r="W5" s="11">
        <f>W6+W14</f>
        <v>11406</v>
      </c>
      <c r="X5" s="11">
        <f>X6+X14</f>
        <v>9373</v>
      </c>
      <c r="Y5" s="11">
        <f>Y6+Y14</f>
        <v>2033</v>
      </c>
      <c r="CO5" s="46"/>
    </row>
    <row r="6" spans="1:128">
      <c r="A6" s="82" t="s">
        <v>11</v>
      </c>
      <c r="B6" s="8" t="s">
        <v>68</v>
      </c>
      <c r="C6" s="13">
        <f>SUM(C8:C13)</f>
        <v>2418</v>
      </c>
      <c r="D6" s="13">
        <f>SUM(D8:D13)</f>
        <v>3093</v>
      </c>
      <c r="E6" s="13">
        <f>SUM(E8:E13)</f>
        <v>5511</v>
      </c>
      <c r="F6" s="13">
        <f>SUM(F8:F13)</f>
        <v>2550</v>
      </c>
      <c r="G6" s="13">
        <f>SUM(G8:G13)</f>
        <v>2961</v>
      </c>
      <c r="H6" s="13"/>
      <c r="I6" s="56">
        <f>SUM(I8:I13)</f>
        <v>21</v>
      </c>
      <c r="J6" s="13">
        <f>SUM(J8:J13)</f>
        <v>42</v>
      </c>
      <c r="K6" s="13">
        <f>SUM(K8:K13)</f>
        <v>63</v>
      </c>
      <c r="L6" s="13">
        <f>SUM(L8:L13)</f>
        <v>44</v>
      </c>
      <c r="M6" s="13">
        <f>SUM(M8:M13)</f>
        <v>19</v>
      </c>
      <c r="N6" s="57"/>
      <c r="O6" s="13">
        <f>SUM(O8:O13)</f>
        <v>649</v>
      </c>
      <c r="P6" s="13">
        <f>SUM(P8:P13)</f>
        <v>3607</v>
      </c>
      <c r="Q6" s="13">
        <f>SUM(Q8:Q13)</f>
        <v>4256</v>
      </c>
      <c r="R6" s="13">
        <f>SUM(R8:R13)</f>
        <v>3044</v>
      </c>
      <c r="S6" s="13">
        <f>SUM(S8:S13)</f>
        <v>1212</v>
      </c>
      <c r="T6" s="57"/>
      <c r="U6" s="13">
        <f>SUM(U8:U13)</f>
        <v>598</v>
      </c>
      <c r="V6" s="13">
        <f>SUM(V8:V13)</f>
        <v>2902</v>
      </c>
      <c r="W6" s="13">
        <f>SUM(W8:W13)</f>
        <v>3500</v>
      </c>
      <c r="X6" s="13">
        <f>SUM(X8:X13)</f>
        <v>2887</v>
      </c>
      <c r="Y6" s="13">
        <f>SUM(Y8:Y13)</f>
        <v>613</v>
      </c>
      <c r="CO6" s="46"/>
    </row>
    <row r="7" spans="1:128">
      <c r="A7" s="82"/>
      <c r="B7" s="8" t="s">
        <v>65</v>
      </c>
      <c r="C7" s="13"/>
      <c r="D7" s="13"/>
      <c r="E7" s="13"/>
      <c r="F7" s="13"/>
      <c r="G7" s="13"/>
      <c r="H7" s="13"/>
      <c r="I7" s="56"/>
      <c r="J7" s="13"/>
      <c r="K7" s="13"/>
      <c r="L7" s="13"/>
      <c r="M7" s="13"/>
      <c r="N7" s="57"/>
      <c r="O7" s="13"/>
      <c r="P7" s="13"/>
      <c r="Q7" s="13"/>
      <c r="R7" s="13"/>
      <c r="S7" s="13"/>
      <c r="T7" s="57"/>
      <c r="U7" s="13"/>
      <c r="V7" s="13"/>
      <c r="W7" s="13"/>
      <c r="X7" s="13"/>
      <c r="Y7" s="13"/>
      <c r="CP7" s="5"/>
      <c r="CQ7" s="5"/>
      <c r="CR7" s="5"/>
    </row>
    <row r="8" spans="1:128">
      <c r="A8" s="9" t="s">
        <v>11</v>
      </c>
      <c r="B8" s="10" t="s">
        <v>12</v>
      </c>
      <c r="C8" s="11">
        <v>0</v>
      </c>
      <c r="D8" s="12">
        <v>0</v>
      </c>
      <c r="E8" s="12">
        <v>0</v>
      </c>
      <c r="F8" s="12">
        <v>0</v>
      </c>
      <c r="G8" s="13">
        <v>0</v>
      </c>
      <c r="H8" s="13"/>
      <c r="I8" s="70">
        <v>0</v>
      </c>
      <c r="J8" s="12">
        <v>0</v>
      </c>
      <c r="K8" s="12">
        <v>0</v>
      </c>
      <c r="L8" s="12">
        <v>0</v>
      </c>
      <c r="M8" s="13">
        <v>0</v>
      </c>
      <c r="N8" s="57"/>
      <c r="O8" s="12">
        <v>649</v>
      </c>
      <c r="P8" s="12">
        <v>3607</v>
      </c>
      <c r="Q8" s="12">
        <v>4256</v>
      </c>
      <c r="R8" s="12">
        <v>3044</v>
      </c>
      <c r="S8" s="13">
        <v>1212</v>
      </c>
      <c r="T8" s="57"/>
      <c r="U8" s="12">
        <v>0</v>
      </c>
      <c r="V8" s="12">
        <v>0</v>
      </c>
      <c r="W8" s="12">
        <v>0</v>
      </c>
      <c r="X8" s="12">
        <v>0</v>
      </c>
      <c r="Y8" s="13">
        <v>0</v>
      </c>
      <c r="CP8" s="5"/>
      <c r="CQ8" s="5"/>
      <c r="CR8" s="5"/>
    </row>
    <row r="9" spans="1:128">
      <c r="A9" s="9" t="s">
        <v>11</v>
      </c>
      <c r="B9" s="10" t="s">
        <v>13</v>
      </c>
      <c r="C9" s="12">
        <v>1438</v>
      </c>
      <c r="D9" s="12">
        <v>1433</v>
      </c>
      <c r="E9" s="12">
        <v>2871</v>
      </c>
      <c r="F9" s="12">
        <v>881</v>
      </c>
      <c r="G9" s="13">
        <v>1990</v>
      </c>
      <c r="H9" s="13"/>
      <c r="I9" s="70">
        <v>0</v>
      </c>
      <c r="J9" s="12">
        <v>0</v>
      </c>
      <c r="K9" s="12">
        <v>0</v>
      </c>
      <c r="L9" s="12">
        <v>0</v>
      </c>
      <c r="M9" s="13">
        <v>0</v>
      </c>
      <c r="N9" s="57"/>
      <c r="O9" s="12">
        <v>0</v>
      </c>
      <c r="P9" s="12">
        <v>0</v>
      </c>
      <c r="Q9" s="12">
        <v>0</v>
      </c>
      <c r="R9" s="12">
        <v>0</v>
      </c>
      <c r="S9" s="13">
        <v>0</v>
      </c>
      <c r="T9" s="57"/>
      <c r="U9" s="12">
        <v>0</v>
      </c>
      <c r="V9" s="12">
        <v>0</v>
      </c>
      <c r="W9" s="12">
        <v>0</v>
      </c>
      <c r="X9" s="12">
        <v>0</v>
      </c>
      <c r="Y9" s="13">
        <v>0</v>
      </c>
      <c r="CP9" s="5"/>
      <c r="CQ9" s="5"/>
      <c r="CR9" s="5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</row>
    <row r="10" spans="1:128">
      <c r="A10" s="9" t="s">
        <v>11</v>
      </c>
      <c r="B10" s="10" t="s">
        <v>14</v>
      </c>
      <c r="C10" s="12">
        <v>0</v>
      </c>
      <c r="D10" s="12">
        <v>0</v>
      </c>
      <c r="E10" s="12">
        <v>0</v>
      </c>
      <c r="F10" s="12">
        <v>0</v>
      </c>
      <c r="G10" s="13">
        <v>0</v>
      </c>
      <c r="H10" s="13"/>
      <c r="I10" s="70">
        <v>0</v>
      </c>
      <c r="J10" s="12">
        <v>0</v>
      </c>
      <c r="K10" s="12">
        <v>0</v>
      </c>
      <c r="L10" s="12">
        <v>0</v>
      </c>
      <c r="M10" s="13">
        <v>0</v>
      </c>
      <c r="N10" s="57"/>
      <c r="O10" s="12">
        <v>0</v>
      </c>
      <c r="P10" s="12">
        <v>0</v>
      </c>
      <c r="Q10" s="12">
        <v>0</v>
      </c>
      <c r="R10" s="12">
        <v>0</v>
      </c>
      <c r="S10" s="13">
        <v>0</v>
      </c>
      <c r="T10" s="57"/>
      <c r="U10" s="12">
        <v>564</v>
      </c>
      <c r="V10" s="12">
        <v>2567</v>
      </c>
      <c r="W10" s="12">
        <v>3131</v>
      </c>
      <c r="X10" s="12">
        <v>2543</v>
      </c>
      <c r="Y10" s="13">
        <v>588</v>
      </c>
      <c r="CP10" s="5"/>
      <c r="CQ10" s="5"/>
      <c r="CR10" s="5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</row>
    <row r="11" spans="1:128">
      <c r="A11" s="9" t="s">
        <v>11</v>
      </c>
      <c r="B11" s="10" t="s">
        <v>15</v>
      </c>
      <c r="C11" s="12">
        <v>0</v>
      </c>
      <c r="D11" s="12">
        <v>0</v>
      </c>
      <c r="E11" s="12">
        <v>0</v>
      </c>
      <c r="F11" s="12">
        <v>0</v>
      </c>
      <c r="G11" s="13">
        <v>0</v>
      </c>
      <c r="H11" s="13"/>
      <c r="I11" s="70">
        <v>21</v>
      </c>
      <c r="J11" s="12">
        <v>42</v>
      </c>
      <c r="K11" s="12">
        <v>63</v>
      </c>
      <c r="L11" s="12">
        <v>44</v>
      </c>
      <c r="M11" s="13">
        <v>19</v>
      </c>
      <c r="N11" s="57"/>
      <c r="O11" s="12">
        <v>0</v>
      </c>
      <c r="P11" s="12">
        <v>0</v>
      </c>
      <c r="Q11" s="12">
        <v>0</v>
      </c>
      <c r="R11" s="12">
        <v>0</v>
      </c>
      <c r="S11" s="13">
        <v>0</v>
      </c>
      <c r="T11" s="57"/>
      <c r="U11" s="12">
        <v>0</v>
      </c>
      <c r="V11" s="12">
        <v>0</v>
      </c>
      <c r="W11" s="12">
        <v>0</v>
      </c>
      <c r="X11" s="12">
        <v>0</v>
      </c>
      <c r="Y11" s="13">
        <v>0</v>
      </c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</row>
    <row r="12" spans="1:128">
      <c r="A12" s="9" t="s">
        <v>11</v>
      </c>
      <c r="B12" s="10" t="s">
        <v>64</v>
      </c>
      <c r="C12" s="12">
        <v>943</v>
      </c>
      <c r="D12" s="12">
        <v>1562</v>
      </c>
      <c r="E12" s="12">
        <v>2505</v>
      </c>
      <c r="F12" s="12">
        <v>1612</v>
      </c>
      <c r="G12" s="13">
        <v>893</v>
      </c>
      <c r="H12" s="13"/>
      <c r="I12" s="70">
        <v>0</v>
      </c>
      <c r="J12" s="12">
        <v>0</v>
      </c>
      <c r="K12" s="12">
        <v>0</v>
      </c>
      <c r="L12" s="12">
        <v>0</v>
      </c>
      <c r="M12" s="13">
        <v>0</v>
      </c>
      <c r="N12" s="57"/>
      <c r="O12" s="12">
        <v>0</v>
      </c>
      <c r="P12" s="12">
        <v>0</v>
      </c>
      <c r="Q12" s="12">
        <v>0</v>
      </c>
      <c r="R12" s="12">
        <v>0</v>
      </c>
      <c r="S12" s="13">
        <v>0</v>
      </c>
      <c r="T12" s="57"/>
      <c r="U12" s="12">
        <v>0</v>
      </c>
      <c r="V12" s="12">
        <v>0</v>
      </c>
      <c r="W12" s="12">
        <v>0</v>
      </c>
      <c r="X12" s="12">
        <v>0</v>
      </c>
      <c r="Y12" s="13">
        <v>0</v>
      </c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</row>
    <row r="13" spans="1:128" ht="15" customHeight="1">
      <c r="A13" s="16" t="s">
        <v>69</v>
      </c>
      <c r="B13" s="17" t="s">
        <v>16</v>
      </c>
      <c r="C13" s="18">
        <v>37</v>
      </c>
      <c r="D13" s="18">
        <v>98</v>
      </c>
      <c r="E13" s="18">
        <v>135</v>
      </c>
      <c r="F13" s="18">
        <v>57</v>
      </c>
      <c r="G13" s="19">
        <v>78</v>
      </c>
      <c r="H13" s="19"/>
      <c r="I13" s="71">
        <v>0</v>
      </c>
      <c r="J13" s="18">
        <v>0</v>
      </c>
      <c r="K13" s="18">
        <v>0</v>
      </c>
      <c r="L13" s="18">
        <v>0</v>
      </c>
      <c r="M13" s="19">
        <v>0</v>
      </c>
      <c r="N13" s="72"/>
      <c r="O13" s="18">
        <v>0</v>
      </c>
      <c r="P13" s="18">
        <v>0</v>
      </c>
      <c r="Q13" s="18">
        <v>0</v>
      </c>
      <c r="R13" s="18">
        <v>0</v>
      </c>
      <c r="S13" s="19">
        <v>0</v>
      </c>
      <c r="T13" s="72"/>
      <c r="U13" s="18">
        <v>34</v>
      </c>
      <c r="V13" s="18">
        <v>335</v>
      </c>
      <c r="W13" s="18">
        <v>369</v>
      </c>
      <c r="X13" s="18">
        <v>344</v>
      </c>
      <c r="Y13" s="19">
        <v>25</v>
      </c>
      <c r="CX13" s="3"/>
      <c r="CY13" s="85"/>
      <c r="CZ13" s="85"/>
      <c r="DA13" s="83"/>
      <c r="DB13" s="83"/>
      <c r="DC13" s="83"/>
      <c r="DD13" s="83"/>
      <c r="DE13" s="83"/>
      <c r="DF13" s="80"/>
      <c r="DG13" s="83"/>
      <c r="DH13" s="83"/>
      <c r="DI13" s="83"/>
      <c r="DJ13" s="83"/>
      <c r="DK13" s="83"/>
      <c r="DL13" s="80"/>
      <c r="DM13" s="83"/>
      <c r="DN13" s="83"/>
      <c r="DO13" s="83"/>
      <c r="DP13" s="83"/>
      <c r="DQ13" s="83"/>
      <c r="DR13" s="80"/>
      <c r="DS13" s="83"/>
      <c r="DT13" s="83"/>
      <c r="DU13" s="83"/>
      <c r="DV13" s="83"/>
      <c r="DW13" s="83"/>
      <c r="DX13" s="3"/>
    </row>
    <row r="14" spans="1:128" s="48" customFormat="1">
      <c r="A14" s="20"/>
      <c r="B14" s="8" t="s">
        <v>70</v>
      </c>
      <c r="C14" s="13">
        <f>C15+C30+C44+C59+C73+C89+C103+C108+C118+C127+C138+C144+C153+C159+C166+C180+C192+C202+C212+C214</f>
        <v>1084</v>
      </c>
      <c r="D14" s="13">
        <f>D15+D30+D44+D59+D73+D89+D103+D108+D118+D127+D138+D144+D153+D159+D166+D180+D192+D202+D212+D214</f>
        <v>2206</v>
      </c>
      <c r="E14" s="13">
        <f>E15+E30+E44+E59+E73+E89+E103+E108+E118+E127+E138+E144+E153+E159+E166+E180+E192+E202+E212+E214</f>
        <v>3290</v>
      </c>
      <c r="F14" s="13">
        <f>F15+F30+F44+F59+F73+F89+F103+F108+F118+F127+F138+F144+F153+F159+F166+F180+F192+F202+F212+F214</f>
        <v>1431</v>
      </c>
      <c r="G14" s="13">
        <f>G15+G30+G44+G59+G73+G89+G103+G108+G118+G127+G138+G144+G153+G159+G166+G180+G192+G202+G212+G214</f>
        <v>1859</v>
      </c>
      <c r="H14" s="13"/>
      <c r="I14" s="56">
        <f>I15+I30+I44+I59+I73+I89+I103+I108+I118+I127+I138+I144+I153+I159+I166+I180+I192+I202+I212+I214</f>
        <v>36</v>
      </c>
      <c r="J14" s="13">
        <f>J15+J30+J44+J59+J73+J89+J103+J108+J118+J127+J138+J144+J153+J159+J166+J180+J192+J202+J212+J214</f>
        <v>80</v>
      </c>
      <c r="K14" s="13">
        <f>K15+K30+K44+K59+K73+K89+K103+K108+K118+K127+K138+K144+K153+K159+K166+K180+K192+K202+K212+K214</f>
        <v>116</v>
      </c>
      <c r="L14" s="13">
        <f>L15+L30+L44+L59+L73+L89+L103+L108+L118+L127+L138+L144+L153+L159+L166+L180+L192+L202+L212+L214</f>
        <v>63</v>
      </c>
      <c r="M14" s="13">
        <f>M15+M30+M44+M59+M73+M89+M103+M108+M118+M127+M138+M144+M153+M159+M166+M180+M192+M202+M212+M214</f>
        <v>53</v>
      </c>
      <c r="N14" s="57"/>
      <c r="O14" s="13">
        <f>O15+O30+O44+O59+O73+O89+O103+O108+O118+O127+O138+O144+O153+O159+O166+O180+O192+O202+O212+O214</f>
        <v>605</v>
      </c>
      <c r="P14" s="13">
        <f>P15+P30+P44+P59+P73+P89+P103+P108+P118+P127+P138+P144+P153+P159+P166+P180+P192+P202+P212+P214</f>
        <v>2085</v>
      </c>
      <c r="Q14" s="13">
        <f>Q15+Q30+Q44+Q59+Q73+Q89+Q103+Q108+Q118+Q127+Q138+Q144+Q153+Q159+Q166+Q180+Q192+Q202+Q212+Q214</f>
        <v>2690</v>
      </c>
      <c r="R14" s="13">
        <f>R15+R30+R44+R59+R73+R89+R103+R108+R118+R127+R138+R144+R153+R159+R166+R180+R192+R202+R212+R214</f>
        <v>1878</v>
      </c>
      <c r="S14" s="13">
        <f>S15+S30+S44+S59+S73+S89+S103+S108+S118+S127+S138+S144+S153+S159+S166+S180+S192+S202+S212+S214</f>
        <v>812</v>
      </c>
      <c r="T14" s="57"/>
      <c r="U14" s="13">
        <f>U15+U30+U44+U59+U73+U89+U103+U108+U118+U127+U138+U144+U153+U159+U166+U180+U192+U202+U212+U214</f>
        <v>1226</v>
      </c>
      <c r="V14" s="13">
        <f>V15+V30+V44+V59+V73+V89+V103+V108+V118+V127+V138+V144+V153+V159+V166+V180+V192+V202+V212+V214</f>
        <v>6680</v>
      </c>
      <c r="W14" s="13">
        <f>W15+W30+W44+W59+W73+W89+W103+W108+W118+W127+W138+W144+W153+W159+W166+W180+W192+W202+W212+W214</f>
        <v>7906</v>
      </c>
      <c r="X14" s="13">
        <f>X15+X30+X44+X59+X73+X89+X103+X108+X118+X127+X138+X144+X153+X159+X166+X180+X192+X202+X212+X214</f>
        <v>6486</v>
      </c>
      <c r="Y14" s="13">
        <f>Y15+Y30+Y44+Y59+Y73+Y89+Y103+Y108+Y118+Y127+Y138+Y144+Y153+Y159+Y166+Y180+Y192+Y202+Y212+Y214</f>
        <v>1420</v>
      </c>
      <c r="CI14" s="45"/>
      <c r="CJ14" s="45"/>
      <c r="CK14" s="45"/>
      <c r="CL14" s="45"/>
      <c r="CM14" s="45"/>
      <c r="CX14" s="23"/>
      <c r="CY14" s="85"/>
      <c r="CZ14" s="85"/>
      <c r="DA14" s="58"/>
      <c r="DB14" s="58"/>
      <c r="DC14" s="58"/>
      <c r="DD14" s="58"/>
      <c r="DE14" s="58"/>
      <c r="DF14" s="58"/>
      <c r="DG14" s="58"/>
      <c r="DH14" s="58"/>
      <c r="DI14" s="58"/>
      <c r="DJ14" s="80"/>
      <c r="DK14" s="58"/>
      <c r="DL14" s="58"/>
      <c r="DM14" s="58"/>
      <c r="DN14" s="58"/>
      <c r="DO14" s="58"/>
      <c r="DP14" s="58"/>
      <c r="DQ14" s="58"/>
      <c r="DR14" s="58"/>
      <c r="DS14" s="58"/>
      <c r="DT14" s="58"/>
      <c r="DU14" s="58"/>
      <c r="DV14" s="59"/>
      <c r="DW14" s="59"/>
      <c r="DX14" s="23"/>
    </row>
    <row r="15" spans="1:128" s="48" customFormat="1">
      <c r="A15" s="79" t="s">
        <v>17</v>
      </c>
      <c r="B15" s="8" t="s">
        <v>0</v>
      </c>
      <c r="C15" s="13">
        <f>SUM(C16:C29)</f>
        <v>62</v>
      </c>
      <c r="D15" s="13">
        <f>SUM(D16:D29)</f>
        <v>71</v>
      </c>
      <c r="E15" s="13">
        <f>SUM(E16:E29)</f>
        <v>133</v>
      </c>
      <c r="F15" s="13">
        <f>SUM(F16:F29)</f>
        <v>58</v>
      </c>
      <c r="G15" s="13">
        <f>SUM(G16:G29)</f>
        <v>75</v>
      </c>
      <c r="H15" s="13"/>
      <c r="I15" s="56">
        <f>SUM(I16:I29)</f>
        <v>2</v>
      </c>
      <c r="J15" s="13">
        <f>SUM(J16:J29)</f>
        <v>1</v>
      </c>
      <c r="K15" s="13">
        <f>SUM(K16:K29)</f>
        <v>3</v>
      </c>
      <c r="L15" s="13">
        <f>SUM(L16:L29)</f>
        <v>2</v>
      </c>
      <c r="M15" s="13">
        <f>SUM(M16:M29)</f>
        <v>1</v>
      </c>
      <c r="N15" s="57"/>
      <c r="O15" s="13">
        <f>SUM(O16:O29)</f>
        <v>19</v>
      </c>
      <c r="P15" s="13">
        <f>SUM(P16:P29)</f>
        <v>72</v>
      </c>
      <c r="Q15" s="13">
        <f>SUM(Q16:Q29)</f>
        <v>91</v>
      </c>
      <c r="R15" s="13">
        <f>SUM(R16:R29)</f>
        <v>47</v>
      </c>
      <c r="S15" s="13">
        <f>SUM(S16:S29)</f>
        <v>44</v>
      </c>
      <c r="T15" s="57"/>
      <c r="U15" s="13">
        <f>SUM(U16:U29)</f>
        <v>69</v>
      </c>
      <c r="V15" s="13">
        <f>SUM(V16:V29)</f>
        <v>260</v>
      </c>
      <c r="W15" s="13">
        <f>SUM(W16:W29)</f>
        <v>329</v>
      </c>
      <c r="X15" s="13">
        <f>SUM(X16:X29)</f>
        <v>234</v>
      </c>
      <c r="Y15" s="13">
        <f>SUM(Y16:Y29)</f>
        <v>95</v>
      </c>
      <c r="CI15" s="45"/>
      <c r="CJ15" s="45"/>
      <c r="CK15" s="45"/>
      <c r="CL15" s="45"/>
      <c r="CM15" s="45"/>
      <c r="CX15" s="23"/>
      <c r="CY15" s="79"/>
      <c r="CZ15" s="8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23"/>
    </row>
    <row r="16" spans="1:128" s="49" customFormat="1">
      <c r="A16" s="9" t="s">
        <v>17</v>
      </c>
      <c r="B16" s="10" t="s">
        <v>71</v>
      </c>
      <c r="C16" s="12">
        <v>0</v>
      </c>
      <c r="D16" s="12">
        <v>3</v>
      </c>
      <c r="E16" s="12">
        <v>3</v>
      </c>
      <c r="F16" s="12">
        <v>3</v>
      </c>
      <c r="G16" s="12">
        <v>0</v>
      </c>
      <c r="H16" s="12"/>
      <c r="I16" s="70">
        <v>0</v>
      </c>
      <c r="J16" s="12">
        <v>0</v>
      </c>
      <c r="K16" s="12">
        <v>0</v>
      </c>
      <c r="L16" s="12">
        <v>0</v>
      </c>
      <c r="M16" s="12">
        <v>0</v>
      </c>
      <c r="N16" s="73"/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73"/>
      <c r="U16" s="12">
        <v>0</v>
      </c>
      <c r="V16" s="12">
        <v>2</v>
      </c>
      <c r="W16" s="12">
        <v>2</v>
      </c>
      <c r="X16" s="12">
        <v>2</v>
      </c>
      <c r="Y16" s="12">
        <v>0</v>
      </c>
      <c r="CX16" s="44"/>
      <c r="CY16" s="9"/>
      <c r="CZ16" s="10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2"/>
      <c r="DM16" s="12"/>
      <c r="DN16" s="12"/>
      <c r="DO16" s="12"/>
      <c r="DP16" s="12"/>
      <c r="DQ16" s="12"/>
      <c r="DR16" s="12"/>
      <c r="DS16" s="12"/>
      <c r="DT16" s="12"/>
      <c r="DU16" s="12"/>
      <c r="DV16" s="12"/>
      <c r="DW16" s="12"/>
      <c r="DX16" s="44"/>
    </row>
    <row r="17" spans="1:128" s="49" customFormat="1">
      <c r="A17" s="9" t="s">
        <v>17</v>
      </c>
      <c r="B17" s="10" t="s">
        <v>72</v>
      </c>
      <c r="C17" s="12">
        <v>0</v>
      </c>
      <c r="D17" s="12">
        <v>3</v>
      </c>
      <c r="E17" s="12">
        <v>3</v>
      </c>
      <c r="F17" s="12">
        <v>2</v>
      </c>
      <c r="G17" s="12">
        <v>1</v>
      </c>
      <c r="H17" s="12"/>
      <c r="I17" s="70">
        <v>0</v>
      </c>
      <c r="J17" s="12">
        <v>0</v>
      </c>
      <c r="K17" s="12">
        <v>0</v>
      </c>
      <c r="L17" s="12">
        <v>0</v>
      </c>
      <c r="M17" s="12">
        <v>0</v>
      </c>
      <c r="N17" s="73"/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73"/>
      <c r="U17" s="12">
        <v>0</v>
      </c>
      <c r="V17" s="12">
        <v>9</v>
      </c>
      <c r="W17" s="12">
        <v>9</v>
      </c>
      <c r="X17" s="12">
        <v>8</v>
      </c>
      <c r="Y17" s="12">
        <v>1</v>
      </c>
      <c r="CX17" s="44"/>
      <c r="CY17" s="60"/>
      <c r="CZ17" s="10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44"/>
    </row>
    <row r="18" spans="1:128" s="49" customFormat="1">
      <c r="A18" s="9" t="s">
        <v>17</v>
      </c>
      <c r="B18" s="10" t="s">
        <v>73</v>
      </c>
      <c r="C18" s="12">
        <v>1</v>
      </c>
      <c r="D18" s="12">
        <v>0</v>
      </c>
      <c r="E18" s="12">
        <v>1</v>
      </c>
      <c r="F18" s="12">
        <v>1</v>
      </c>
      <c r="G18" s="12">
        <v>0</v>
      </c>
      <c r="H18" s="12"/>
      <c r="I18" s="70">
        <v>0</v>
      </c>
      <c r="J18" s="12">
        <v>0</v>
      </c>
      <c r="K18" s="12">
        <v>0</v>
      </c>
      <c r="L18" s="12">
        <v>0</v>
      </c>
      <c r="M18" s="12">
        <v>0</v>
      </c>
      <c r="N18" s="73"/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73"/>
      <c r="U18" s="12">
        <v>4</v>
      </c>
      <c r="V18" s="12">
        <v>11</v>
      </c>
      <c r="W18" s="12">
        <v>15</v>
      </c>
      <c r="X18" s="12">
        <v>13</v>
      </c>
      <c r="Y18" s="12">
        <v>2</v>
      </c>
      <c r="CX18" s="44"/>
      <c r="CY18" s="9"/>
      <c r="CZ18" s="10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2"/>
      <c r="DM18" s="12"/>
      <c r="DN18" s="12"/>
      <c r="DO18" s="12"/>
      <c r="DP18" s="12"/>
      <c r="DQ18" s="12"/>
      <c r="DR18" s="12"/>
      <c r="DS18" s="12"/>
      <c r="DT18" s="12"/>
      <c r="DU18" s="12"/>
      <c r="DV18" s="12"/>
      <c r="DW18" s="12"/>
      <c r="DX18" s="44"/>
    </row>
    <row r="19" spans="1:128" s="49" customFormat="1">
      <c r="A19" s="9" t="s">
        <v>17</v>
      </c>
      <c r="B19" s="10" t="s">
        <v>74</v>
      </c>
      <c r="C19" s="12">
        <v>6</v>
      </c>
      <c r="D19" s="12">
        <v>20</v>
      </c>
      <c r="E19" s="12">
        <v>26</v>
      </c>
      <c r="F19" s="12">
        <v>10</v>
      </c>
      <c r="G19" s="12">
        <v>16</v>
      </c>
      <c r="H19" s="12"/>
      <c r="I19" s="70">
        <v>1</v>
      </c>
      <c r="J19" s="12">
        <v>1</v>
      </c>
      <c r="K19" s="12">
        <v>2</v>
      </c>
      <c r="L19" s="12">
        <v>2</v>
      </c>
      <c r="M19" s="12">
        <v>0</v>
      </c>
      <c r="N19" s="73"/>
      <c r="O19" s="12">
        <v>2</v>
      </c>
      <c r="P19" s="12">
        <v>17</v>
      </c>
      <c r="Q19" s="12">
        <v>19</v>
      </c>
      <c r="R19" s="12">
        <v>10</v>
      </c>
      <c r="S19" s="12">
        <v>9</v>
      </c>
      <c r="T19" s="73"/>
      <c r="U19" s="12">
        <v>19</v>
      </c>
      <c r="V19" s="12">
        <v>59</v>
      </c>
      <c r="W19" s="12">
        <v>78</v>
      </c>
      <c r="X19" s="12">
        <v>55</v>
      </c>
      <c r="Y19" s="12">
        <v>23</v>
      </c>
      <c r="CX19" s="44"/>
      <c r="CY19" s="9"/>
      <c r="CZ19" s="10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44"/>
    </row>
    <row r="20" spans="1:128" s="49" customFormat="1">
      <c r="A20" s="9" t="s">
        <v>17</v>
      </c>
      <c r="B20" s="10" t="s">
        <v>75</v>
      </c>
      <c r="C20" s="12">
        <v>18</v>
      </c>
      <c r="D20" s="12">
        <v>3</v>
      </c>
      <c r="E20" s="12">
        <v>21</v>
      </c>
      <c r="F20" s="12">
        <v>10</v>
      </c>
      <c r="G20" s="12">
        <v>11</v>
      </c>
      <c r="H20" s="12"/>
      <c r="I20" s="70">
        <v>0</v>
      </c>
      <c r="J20" s="12">
        <v>0</v>
      </c>
      <c r="K20" s="12">
        <v>0</v>
      </c>
      <c r="L20" s="12">
        <v>0</v>
      </c>
      <c r="M20" s="12">
        <v>0</v>
      </c>
      <c r="N20" s="73"/>
      <c r="O20" s="12">
        <v>1</v>
      </c>
      <c r="P20" s="12">
        <v>15</v>
      </c>
      <c r="Q20" s="12">
        <v>16</v>
      </c>
      <c r="R20" s="12">
        <v>6</v>
      </c>
      <c r="S20" s="12">
        <v>10</v>
      </c>
      <c r="T20" s="73"/>
      <c r="U20" s="12">
        <v>4</v>
      </c>
      <c r="V20" s="12">
        <v>21</v>
      </c>
      <c r="W20" s="12">
        <v>25</v>
      </c>
      <c r="X20" s="12">
        <v>18</v>
      </c>
      <c r="Y20" s="12">
        <v>7</v>
      </c>
      <c r="CX20" s="44"/>
      <c r="CY20" s="9"/>
      <c r="CZ20" s="10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44"/>
    </row>
    <row r="21" spans="1:128" s="49" customFormat="1">
      <c r="A21" s="9" t="s">
        <v>17</v>
      </c>
      <c r="B21" s="10" t="s">
        <v>76</v>
      </c>
      <c r="C21" s="12">
        <v>12</v>
      </c>
      <c r="D21" s="12">
        <v>6</v>
      </c>
      <c r="E21" s="12">
        <v>18</v>
      </c>
      <c r="F21" s="12">
        <v>5</v>
      </c>
      <c r="G21" s="12">
        <v>13</v>
      </c>
      <c r="H21" s="12"/>
      <c r="I21" s="70">
        <v>1</v>
      </c>
      <c r="J21" s="12">
        <v>0</v>
      </c>
      <c r="K21" s="12">
        <v>1</v>
      </c>
      <c r="L21" s="12">
        <v>0</v>
      </c>
      <c r="M21" s="12">
        <v>1</v>
      </c>
      <c r="N21" s="73"/>
      <c r="O21" s="12">
        <v>2</v>
      </c>
      <c r="P21" s="12">
        <v>7</v>
      </c>
      <c r="Q21" s="12">
        <v>9</v>
      </c>
      <c r="R21" s="12">
        <v>5</v>
      </c>
      <c r="S21" s="12">
        <v>4</v>
      </c>
      <c r="T21" s="73"/>
      <c r="U21" s="12">
        <v>7</v>
      </c>
      <c r="V21" s="12">
        <v>21</v>
      </c>
      <c r="W21" s="12">
        <v>28</v>
      </c>
      <c r="X21" s="12">
        <v>21</v>
      </c>
      <c r="Y21" s="12">
        <v>7</v>
      </c>
      <c r="CX21" s="44"/>
      <c r="CY21" s="9"/>
      <c r="CZ21" s="10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44"/>
    </row>
    <row r="22" spans="1:128" s="49" customFormat="1">
      <c r="A22" s="9" t="s">
        <v>17</v>
      </c>
      <c r="B22" s="10" t="s">
        <v>77</v>
      </c>
      <c r="C22" s="12">
        <v>2</v>
      </c>
      <c r="D22" s="12">
        <v>1</v>
      </c>
      <c r="E22" s="12">
        <v>3</v>
      </c>
      <c r="F22" s="12">
        <v>0</v>
      </c>
      <c r="G22" s="12">
        <v>3</v>
      </c>
      <c r="H22" s="12"/>
      <c r="I22" s="70">
        <v>0</v>
      </c>
      <c r="J22" s="12">
        <v>0</v>
      </c>
      <c r="K22" s="12">
        <v>0</v>
      </c>
      <c r="L22" s="12">
        <v>0</v>
      </c>
      <c r="M22" s="12">
        <v>0</v>
      </c>
      <c r="N22" s="73"/>
      <c r="O22" s="12">
        <v>2</v>
      </c>
      <c r="P22" s="12">
        <v>8</v>
      </c>
      <c r="Q22" s="12">
        <v>10</v>
      </c>
      <c r="R22" s="12">
        <v>4</v>
      </c>
      <c r="S22" s="12">
        <v>6</v>
      </c>
      <c r="T22" s="73"/>
      <c r="U22" s="12">
        <v>6</v>
      </c>
      <c r="V22" s="12">
        <v>7</v>
      </c>
      <c r="W22" s="12">
        <v>13</v>
      </c>
      <c r="X22" s="12">
        <v>10</v>
      </c>
      <c r="Y22" s="12">
        <v>3</v>
      </c>
      <c r="CX22" s="44"/>
      <c r="CY22" s="9"/>
      <c r="CZ22" s="10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44"/>
    </row>
    <row r="23" spans="1:128" s="49" customFormat="1">
      <c r="A23" s="9" t="s">
        <v>17</v>
      </c>
      <c r="B23" s="10" t="s">
        <v>78</v>
      </c>
      <c r="C23" s="12">
        <v>2</v>
      </c>
      <c r="D23" s="12">
        <v>3</v>
      </c>
      <c r="E23" s="12">
        <v>5</v>
      </c>
      <c r="F23" s="12">
        <v>2</v>
      </c>
      <c r="G23" s="12">
        <v>3</v>
      </c>
      <c r="H23" s="12"/>
      <c r="I23" s="70">
        <v>0</v>
      </c>
      <c r="J23" s="12">
        <v>0</v>
      </c>
      <c r="K23" s="12">
        <v>0</v>
      </c>
      <c r="L23" s="12">
        <v>0</v>
      </c>
      <c r="M23" s="12">
        <v>0</v>
      </c>
      <c r="N23" s="73"/>
      <c r="O23" s="12">
        <v>6</v>
      </c>
      <c r="P23" s="12">
        <v>12</v>
      </c>
      <c r="Q23" s="12">
        <v>18</v>
      </c>
      <c r="R23" s="12">
        <v>11</v>
      </c>
      <c r="S23" s="12">
        <v>7</v>
      </c>
      <c r="T23" s="73"/>
      <c r="U23" s="12">
        <v>12</v>
      </c>
      <c r="V23" s="12">
        <v>48</v>
      </c>
      <c r="W23" s="12">
        <v>60</v>
      </c>
      <c r="X23" s="12">
        <v>34</v>
      </c>
      <c r="Y23" s="12">
        <v>26</v>
      </c>
      <c r="CX23" s="44"/>
      <c r="CY23" s="9"/>
      <c r="CZ23" s="10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44"/>
    </row>
    <row r="24" spans="1:128" s="49" customFormat="1">
      <c r="A24" s="9" t="s">
        <v>17</v>
      </c>
      <c r="B24" s="10" t="s">
        <v>79</v>
      </c>
      <c r="C24" s="12">
        <v>6</v>
      </c>
      <c r="D24" s="12">
        <v>4</v>
      </c>
      <c r="E24" s="12">
        <v>10</v>
      </c>
      <c r="F24" s="12">
        <v>3</v>
      </c>
      <c r="G24" s="12">
        <v>7</v>
      </c>
      <c r="H24" s="12"/>
      <c r="I24" s="70">
        <v>0</v>
      </c>
      <c r="J24" s="12">
        <v>0</v>
      </c>
      <c r="K24" s="12">
        <v>0</v>
      </c>
      <c r="L24" s="12">
        <v>0</v>
      </c>
      <c r="M24" s="12">
        <v>0</v>
      </c>
      <c r="N24" s="73"/>
      <c r="O24" s="12">
        <v>2</v>
      </c>
      <c r="P24" s="12">
        <v>6</v>
      </c>
      <c r="Q24" s="12">
        <v>8</v>
      </c>
      <c r="R24" s="12">
        <v>7</v>
      </c>
      <c r="S24" s="12">
        <v>1</v>
      </c>
      <c r="T24" s="73"/>
      <c r="U24" s="12">
        <v>1</v>
      </c>
      <c r="V24" s="12">
        <v>5</v>
      </c>
      <c r="W24" s="12">
        <v>6</v>
      </c>
      <c r="X24" s="12">
        <v>2</v>
      </c>
      <c r="Y24" s="12">
        <v>4</v>
      </c>
      <c r="CX24" s="44"/>
      <c r="CY24" s="9"/>
      <c r="CZ24" s="10"/>
      <c r="DA24" s="12"/>
      <c r="DB24" s="12"/>
      <c r="DC24" s="12"/>
      <c r="DD24" s="12"/>
      <c r="DE24" s="12"/>
      <c r="DF24" s="12"/>
      <c r="DG24" s="12"/>
      <c r="DH24" s="12"/>
      <c r="DI24" s="12"/>
      <c r="DJ24" s="12"/>
      <c r="DK24" s="12"/>
      <c r="DL24" s="12"/>
      <c r="DM24" s="12"/>
      <c r="DN24" s="12"/>
      <c r="DO24" s="12"/>
      <c r="DP24" s="12"/>
      <c r="DQ24" s="12"/>
      <c r="DR24" s="12"/>
      <c r="DS24" s="12"/>
      <c r="DT24" s="12"/>
      <c r="DU24" s="12"/>
      <c r="DV24" s="12"/>
      <c r="DW24" s="12"/>
      <c r="DX24" s="44"/>
    </row>
    <row r="25" spans="1:128" s="49" customFormat="1">
      <c r="A25" s="9" t="s">
        <v>17</v>
      </c>
      <c r="B25" s="10" t="s">
        <v>80</v>
      </c>
      <c r="C25" s="12">
        <v>1</v>
      </c>
      <c r="D25" s="12">
        <v>3</v>
      </c>
      <c r="E25" s="12">
        <v>4</v>
      </c>
      <c r="F25" s="12">
        <v>4</v>
      </c>
      <c r="G25" s="12">
        <v>0</v>
      </c>
      <c r="H25" s="12"/>
      <c r="I25" s="70">
        <v>0</v>
      </c>
      <c r="J25" s="12">
        <v>0</v>
      </c>
      <c r="K25" s="12">
        <v>0</v>
      </c>
      <c r="L25" s="12">
        <v>0</v>
      </c>
      <c r="M25" s="12">
        <v>0</v>
      </c>
      <c r="N25" s="73"/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73"/>
      <c r="U25" s="12">
        <v>1</v>
      </c>
      <c r="V25" s="12">
        <v>17</v>
      </c>
      <c r="W25" s="12">
        <v>18</v>
      </c>
      <c r="X25" s="12">
        <v>14</v>
      </c>
      <c r="Y25" s="12">
        <v>4</v>
      </c>
      <c r="CX25" s="44"/>
      <c r="CY25" s="9"/>
      <c r="CZ25" s="10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44"/>
    </row>
    <row r="26" spans="1:128" s="49" customFormat="1">
      <c r="A26" s="9" t="s">
        <v>17</v>
      </c>
      <c r="B26" s="10" t="s">
        <v>81</v>
      </c>
      <c r="C26" s="12">
        <v>5</v>
      </c>
      <c r="D26" s="12">
        <v>1</v>
      </c>
      <c r="E26" s="12">
        <v>6</v>
      </c>
      <c r="F26" s="12">
        <v>1</v>
      </c>
      <c r="G26" s="12">
        <v>5</v>
      </c>
      <c r="H26" s="12"/>
      <c r="I26" s="70">
        <v>0</v>
      </c>
      <c r="J26" s="12">
        <v>0</v>
      </c>
      <c r="K26" s="12">
        <v>0</v>
      </c>
      <c r="L26" s="12">
        <v>0</v>
      </c>
      <c r="M26" s="12">
        <v>0</v>
      </c>
      <c r="N26" s="73"/>
      <c r="O26" s="12">
        <v>1</v>
      </c>
      <c r="P26" s="12">
        <v>0</v>
      </c>
      <c r="Q26" s="12">
        <v>1</v>
      </c>
      <c r="R26" s="12">
        <v>0</v>
      </c>
      <c r="S26" s="12">
        <v>1</v>
      </c>
      <c r="T26" s="73"/>
      <c r="U26" s="12">
        <v>4</v>
      </c>
      <c r="V26" s="12">
        <v>11</v>
      </c>
      <c r="W26" s="12">
        <v>15</v>
      </c>
      <c r="X26" s="12">
        <v>10</v>
      </c>
      <c r="Y26" s="12">
        <v>5</v>
      </c>
      <c r="CX26" s="44"/>
      <c r="CY26" s="9"/>
      <c r="CZ26" s="10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44"/>
    </row>
    <row r="27" spans="1:128" s="49" customFormat="1">
      <c r="A27" s="9" t="s">
        <v>17</v>
      </c>
      <c r="B27" s="10" t="s">
        <v>82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/>
      <c r="I27" s="70">
        <v>0</v>
      </c>
      <c r="J27" s="12">
        <v>0</v>
      </c>
      <c r="K27" s="12">
        <v>0</v>
      </c>
      <c r="L27" s="12">
        <v>0</v>
      </c>
      <c r="M27" s="12">
        <v>0</v>
      </c>
      <c r="N27" s="73"/>
      <c r="O27" s="12">
        <v>0</v>
      </c>
      <c r="P27" s="12">
        <v>1</v>
      </c>
      <c r="Q27" s="12">
        <v>1</v>
      </c>
      <c r="R27" s="12">
        <v>0</v>
      </c>
      <c r="S27" s="12">
        <v>1</v>
      </c>
      <c r="T27" s="73"/>
      <c r="U27" s="12">
        <v>0</v>
      </c>
      <c r="V27" s="12">
        <v>15</v>
      </c>
      <c r="W27" s="12">
        <v>15</v>
      </c>
      <c r="X27" s="12">
        <v>12</v>
      </c>
      <c r="Y27" s="12">
        <v>3</v>
      </c>
      <c r="CX27" s="44"/>
      <c r="CY27" s="9"/>
      <c r="CZ27" s="10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44"/>
    </row>
    <row r="28" spans="1:128" s="49" customFormat="1">
      <c r="A28" s="9" t="s">
        <v>17</v>
      </c>
      <c r="B28" s="10" t="s">
        <v>83</v>
      </c>
      <c r="C28" s="12">
        <v>0</v>
      </c>
      <c r="D28" s="12">
        <v>2</v>
      </c>
      <c r="E28" s="12">
        <v>2</v>
      </c>
      <c r="F28" s="12">
        <v>0</v>
      </c>
      <c r="G28" s="12">
        <v>2</v>
      </c>
      <c r="H28" s="12"/>
      <c r="I28" s="70">
        <v>0</v>
      </c>
      <c r="J28" s="12">
        <v>0</v>
      </c>
      <c r="K28" s="12">
        <v>0</v>
      </c>
      <c r="L28" s="12">
        <v>0</v>
      </c>
      <c r="M28" s="12">
        <v>0</v>
      </c>
      <c r="N28" s="73"/>
      <c r="O28" s="12">
        <v>0</v>
      </c>
      <c r="P28" s="12">
        <v>1</v>
      </c>
      <c r="Q28" s="12">
        <v>1</v>
      </c>
      <c r="R28" s="12">
        <v>0</v>
      </c>
      <c r="S28" s="12">
        <v>1</v>
      </c>
      <c r="T28" s="73"/>
      <c r="U28" s="12">
        <v>2</v>
      </c>
      <c r="V28" s="12">
        <v>18</v>
      </c>
      <c r="W28" s="12">
        <v>20</v>
      </c>
      <c r="X28" s="12">
        <v>17</v>
      </c>
      <c r="Y28" s="12">
        <v>3</v>
      </c>
      <c r="CX28" s="44"/>
      <c r="CY28" s="9"/>
      <c r="CZ28" s="10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44"/>
    </row>
    <row r="29" spans="1:128" s="49" customFormat="1">
      <c r="A29" s="16" t="s">
        <v>17</v>
      </c>
      <c r="B29" s="17" t="s">
        <v>84</v>
      </c>
      <c r="C29" s="18">
        <v>9</v>
      </c>
      <c r="D29" s="18">
        <v>22</v>
      </c>
      <c r="E29" s="18">
        <v>31</v>
      </c>
      <c r="F29" s="18">
        <v>17</v>
      </c>
      <c r="G29" s="18">
        <v>14</v>
      </c>
      <c r="H29" s="18"/>
      <c r="I29" s="71">
        <v>0</v>
      </c>
      <c r="J29" s="18">
        <v>0</v>
      </c>
      <c r="K29" s="18">
        <v>0</v>
      </c>
      <c r="L29" s="18">
        <v>0</v>
      </c>
      <c r="M29" s="18">
        <v>0</v>
      </c>
      <c r="N29" s="74"/>
      <c r="O29" s="18">
        <v>3</v>
      </c>
      <c r="P29" s="18">
        <v>5</v>
      </c>
      <c r="Q29" s="18">
        <v>8</v>
      </c>
      <c r="R29" s="18">
        <v>4</v>
      </c>
      <c r="S29" s="18">
        <v>4</v>
      </c>
      <c r="T29" s="74"/>
      <c r="U29" s="18">
        <v>9</v>
      </c>
      <c r="V29" s="18">
        <v>16</v>
      </c>
      <c r="W29" s="18">
        <v>25</v>
      </c>
      <c r="X29" s="18">
        <v>18</v>
      </c>
      <c r="Y29" s="18">
        <v>7</v>
      </c>
      <c r="CX29" s="44"/>
      <c r="CY29" s="9"/>
      <c r="CZ29" s="10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44"/>
    </row>
    <row r="30" spans="1:128" s="48" customFormat="1">
      <c r="A30" s="79" t="s">
        <v>18</v>
      </c>
      <c r="B30" s="8" t="s">
        <v>0</v>
      </c>
      <c r="C30" s="13">
        <f>SUM(C31:C43)</f>
        <v>73</v>
      </c>
      <c r="D30" s="13">
        <f>SUM(D31:D43)</f>
        <v>137</v>
      </c>
      <c r="E30" s="13">
        <f>SUM(E31:E43)</f>
        <v>210</v>
      </c>
      <c r="F30" s="13">
        <f>SUM(F31:F43)</f>
        <v>126</v>
      </c>
      <c r="G30" s="13">
        <f>SUM(G31:G43)</f>
        <v>84</v>
      </c>
      <c r="H30" s="13"/>
      <c r="I30" s="56">
        <f t="shared" ref="I30:M30" si="0">SUM(I31:I43)</f>
        <v>2</v>
      </c>
      <c r="J30" s="13">
        <f t="shared" si="0"/>
        <v>5</v>
      </c>
      <c r="K30" s="13">
        <f t="shared" si="0"/>
        <v>7</v>
      </c>
      <c r="L30" s="13">
        <f t="shared" si="0"/>
        <v>5</v>
      </c>
      <c r="M30" s="13">
        <f t="shared" si="0"/>
        <v>2</v>
      </c>
      <c r="N30" s="57"/>
      <c r="O30" s="13">
        <f>SUM(O31:O43)</f>
        <v>36</v>
      </c>
      <c r="P30" s="13">
        <f>SUM(P31:P43)</f>
        <v>64</v>
      </c>
      <c r="Q30" s="13">
        <f>SUM(Q31:Q43)</f>
        <v>100</v>
      </c>
      <c r="R30" s="13">
        <f>SUM(R31:R43)</f>
        <v>78</v>
      </c>
      <c r="S30" s="13">
        <f>SUM(S31:S43)</f>
        <v>22</v>
      </c>
      <c r="T30" s="57"/>
      <c r="U30" s="13">
        <f>SUM(U31:U43)</f>
        <v>97</v>
      </c>
      <c r="V30" s="13">
        <f>SUM(V31:V43)</f>
        <v>460</v>
      </c>
      <c r="W30" s="13">
        <f>SUM(W31:W43)</f>
        <v>557</v>
      </c>
      <c r="X30" s="13">
        <f>SUM(X31:X43)</f>
        <v>461</v>
      </c>
      <c r="Y30" s="13">
        <f>SUM(Y31:Y43)</f>
        <v>96</v>
      </c>
      <c r="CI30" s="45"/>
      <c r="CJ30" s="45"/>
      <c r="CK30" s="45"/>
      <c r="CL30" s="45"/>
      <c r="CM30" s="45"/>
      <c r="CX30" s="23"/>
      <c r="CY30" s="79"/>
      <c r="CZ30" s="8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23"/>
    </row>
    <row r="31" spans="1:128" s="49" customFormat="1">
      <c r="A31" s="9" t="s">
        <v>18</v>
      </c>
      <c r="B31" s="10" t="s">
        <v>85</v>
      </c>
      <c r="C31" s="12">
        <v>1</v>
      </c>
      <c r="D31" s="12">
        <v>0</v>
      </c>
      <c r="E31" s="12">
        <v>1</v>
      </c>
      <c r="F31" s="12">
        <v>0</v>
      </c>
      <c r="G31" s="12">
        <v>1</v>
      </c>
      <c r="H31" s="12"/>
      <c r="I31" s="70">
        <v>0</v>
      </c>
      <c r="J31" s="12">
        <v>0</v>
      </c>
      <c r="K31" s="12">
        <v>0</v>
      </c>
      <c r="L31" s="12">
        <v>0</v>
      </c>
      <c r="M31" s="12">
        <v>0</v>
      </c>
      <c r="N31" s="73"/>
      <c r="O31" s="12">
        <v>0</v>
      </c>
      <c r="P31" s="12">
        <v>1</v>
      </c>
      <c r="Q31" s="12">
        <v>1</v>
      </c>
      <c r="R31" s="12">
        <v>1</v>
      </c>
      <c r="S31" s="12">
        <v>0</v>
      </c>
      <c r="T31" s="73"/>
      <c r="U31" s="12">
        <v>1</v>
      </c>
      <c r="V31" s="12">
        <v>6</v>
      </c>
      <c r="W31" s="12">
        <v>7</v>
      </c>
      <c r="X31" s="12">
        <v>7</v>
      </c>
      <c r="Y31" s="12">
        <v>0</v>
      </c>
      <c r="CX31" s="44"/>
      <c r="CY31" s="9"/>
      <c r="CZ31" s="10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44"/>
    </row>
    <row r="32" spans="1:128" s="49" customFormat="1">
      <c r="A32" s="9" t="s">
        <v>18</v>
      </c>
      <c r="B32" s="10" t="s">
        <v>86</v>
      </c>
      <c r="C32" s="12">
        <v>0</v>
      </c>
      <c r="D32" s="12">
        <v>3</v>
      </c>
      <c r="E32" s="12">
        <v>3</v>
      </c>
      <c r="F32" s="12">
        <v>2</v>
      </c>
      <c r="G32" s="12">
        <v>1</v>
      </c>
      <c r="H32" s="12"/>
      <c r="I32" s="70">
        <v>0</v>
      </c>
      <c r="J32" s="12">
        <v>0</v>
      </c>
      <c r="K32" s="12">
        <v>0</v>
      </c>
      <c r="L32" s="12">
        <v>0</v>
      </c>
      <c r="M32" s="12">
        <v>0</v>
      </c>
      <c r="N32" s="73"/>
      <c r="O32" s="12">
        <v>0</v>
      </c>
      <c r="P32" s="12">
        <v>3</v>
      </c>
      <c r="Q32" s="12">
        <v>3</v>
      </c>
      <c r="R32" s="12">
        <v>3</v>
      </c>
      <c r="S32" s="12">
        <v>0</v>
      </c>
      <c r="T32" s="73"/>
      <c r="U32" s="12">
        <v>8</v>
      </c>
      <c r="V32" s="12">
        <v>41</v>
      </c>
      <c r="W32" s="12">
        <v>49</v>
      </c>
      <c r="X32" s="12">
        <v>46</v>
      </c>
      <c r="Y32" s="12">
        <v>3</v>
      </c>
      <c r="CX32" s="44"/>
      <c r="CY32" s="9"/>
      <c r="CZ32" s="10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44"/>
    </row>
    <row r="33" spans="1:128" s="49" customFormat="1">
      <c r="A33" s="9" t="s">
        <v>18</v>
      </c>
      <c r="B33" s="10" t="s">
        <v>87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/>
      <c r="I33" s="70">
        <v>0</v>
      </c>
      <c r="J33" s="12">
        <v>0</v>
      </c>
      <c r="K33" s="12">
        <v>0</v>
      </c>
      <c r="L33" s="12">
        <v>0</v>
      </c>
      <c r="M33" s="12">
        <v>0</v>
      </c>
      <c r="N33" s="73"/>
      <c r="O33" s="12">
        <v>0</v>
      </c>
      <c r="P33" s="12">
        <v>5</v>
      </c>
      <c r="Q33" s="12">
        <v>5</v>
      </c>
      <c r="R33" s="12">
        <v>4</v>
      </c>
      <c r="S33" s="12">
        <v>1</v>
      </c>
      <c r="T33" s="73"/>
      <c r="U33" s="12">
        <v>1</v>
      </c>
      <c r="V33" s="12">
        <v>6</v>
      </c>
      <c r="W33" s="12">
        <v>7</v>
      </c>
      <c r="X33" s="12">
        <v>4</v>
      </c>
      <c r="Y33" s="12">
        <v>3</v>
      </c>
      <c r="CX33" s="44"/>
      <c r="CY33" s="9"/>
      <c r="CZ33" s="10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44"/>
    </row>
    <row r="34" spans="1:128" s="49" customFormat="1">
      <c r="A34" s="9" t="s">
        <v>18</v>
      </c>
      <c r="B34" s="10" t="s">
        <v>88</v>
      </c>
      <c r="C34" s="12">
        <v>1</v>
      </c>
      <c r="D34" s="12">
        <v>7</v>
      </c>
      <c r="E34" s="12">
        <v>8</v>
      </c>
      <c r="F34" s="12">
        <v>7</v>
      </c>
      <c r="G34" s="12">
        <v>1</v>
      </c>
      <c r="H34" s="12"/>
      <c r="I34" s="70">
        <v>0</v>
      </c>
      <c r="J34" s="12">
        <v>0</v>
      </c>
      <c r="K34" s="12">
        <v>0</v>
      </c>
      <c r="L34" s="12">
        <v>0</v>
      </c>
      <c r="M34" s="12">
        <v>0</v>
      </c>
      <c r="N34" s="73"/>
      <c r="O34" s="12">
        <v>0</v>
      </c>
      <c r="P34" s="12">
        <v>1</v>
      </c>
      <c r="Q34" s="12">
        <v>1</v>
      </c>
      <c r="R34" s="12">
        <v>1</v>
      </c>
      <c r="S34" s="12">
        <v>0</v>
      </c>
      <c r="T34" s="73"/>
      <c r="U34" s="12">
        <v>1</v>
      </c>
      <c r="V34" s="12">
        <v>34</v>
      </c>
      <c r="W34" s="12">
        <v>35</v>
      </c>
      <c r="X34" s="12">
        <v>31</v>
      </c>
      <c r="Y34" s="12">
        <v>4</v>
      </c>
      <c r="CX34" s="44"/>
      <c r="CY34" s="9"/>
      <c r="CZ34" s="10"/>
      <c r="DA34" s="12"/>
      <c r="DB34" s="12"/>
      <c r="DC34" s="12"/>
      <c r="DD34" s="12"/>
      <c r="DE34" s="12"/>
      <c r="DF34" s="12"/>
      <c r="DG34" s="12"/>
      <c r="DH34" s="12"/>
      <c r="DI34" s="12"/>
      <c r="DJ34" s="12"/>
      <c r="DK34" s="12"/>
      <c r="DL34" s="12"/>
      <c r="DM34" s="12"/>
      <c r="DN34" s="12"/>
      <c r="DO34" s="12"/>
      <c r="DP34" s="12"/>
      <c r="DQ34" s="12"/>
      <c r="DR34" s="12"/>
      <c r="DS34" s="12"/>
      <c r="DT34" s="12"/>
      <c r="DU34" s="12"/>
      <c r="DV34" s="12"/>
      <c r="DW34" s="12"/>
      <c r="DX34" s="44"/>
    </row>
    <row r="35" spans="1:128" s="49" customFormat="1">
      <c r="A35" s="9" t="s">
        <v>18</v>
      </c>
      <c r="B35" s="10" t="s">
        <v>89</v>
      </c>
      <c r="C35" s="12">
        <v>42</v>
      </c>
      <c r="D35" s="12">
        <v>89</v>
      </c>
      <c r="E35" s="12">
        <v>131</v>
      </c>
      <c r="F35" s="12">
        <v>77</v>
      </c>
      <c r="G35" s="12">
        <v>54</v>
      </c>
      <c r="H35" s="12"/>
      <c r="I35" s="70">
        <v>2</v>
      </c>
      <c r="J35" s="12">
        <v>5</v>
      </c>
      <c r="K35" s="12">
        <v>7</v>
      </c>
      <c r="L35" s="12">
        <v>5</v>
      </c>
      <c r="M35" s="12">
        <v>2</v>
      </c>
      <c r="N35" s="73"/>
      <c r="O35" s="12">
        <v>22</v>
      </c>
      <c r="P35" s="12">
        <v>31</v>
      </c>
      <c r="Q35" s="12">
        <v>53</v>
      </c>
      <c r="R35" s="12">
        <v>38</v>
      </c>
      <c r="S35" s="12">
        <v>15</v>
      </c>
      <c r="T35" s="73"/>
      <c r="U35" s="12">
        <v>49</v>
      </c>
      <c r="V35" s="12">
        <v>201</v>
      </c>
      <c r="W35" s="12">
        <v>250</v>
      </c>
      <c r="X35" s="12">
        <v>192</v>
      </c>
      <c r="Y35" s="12">
        <v>58</v>
      </c>
      <c r="CX35" s="44"/>
      <c r="CY35" s="9"/>
      <c r="CZ35" s="10"/>
      <c r="DA35" s="12"/>
      <c r="DB35" s="12"/>
      <c r="DC35" s="12"/>
      <c r="DD35" s="12"/>
      <c r="DE35" s="12"/>
      <c r="DF35" s="12"/>
      <c r="DG35" s="12"/>
      <c r="DH35" s="12"/>
      <c r="DI35" s="12"/>
      <c r="DJ35" s="12"/>
      <c r="DK35" s="12"/>
      <c r="DL35" s="12"/>
      <c r="DM35" s="12"/>
      <c r="DN35" s="12"/>
      <c r="DO35" s="12"/>
      <c r="DP35" s="12"/>
      <c r="DQ35" s="12"/>
      <c r="DR35" s="12"/>
      <c r="DS35" s="12"/>
      <c r="DT35" s="12"/>
      <c r="DU35" s="12"/>
      <c r="DV35" s="12"/>
      <c r="DW35" s="12"/>
      <c r="DX35" s="44"/>
    </row>
    <row r="36" spans="1:128" s="49" customFormat="1">
      <c r="A36" s="9" t="s">
        <v>18</v>
      </c>
      <c r="B36" s="10" t="s">
        <v>90</v>
      </c>
      <c r="C36" s="12">
        <v>3</v>
      </c>
      <c r="D36" s="12">
        <v>2</v>
      </c>
      <c r="E36" s="12">
        <v>5</v>
      </c>
      <c r="F36" s="12">
        <v>3</v>
      </c>
      <c r="G36" s="12">
        <v>2</v>
      </c>
      <c r="H36" s="12"/>
      <c r="I36" s="70">
        <v>0</v>
      </c>
      <c r="J36" s="12">
        <v>0</v>
      </c>
      <c r="K36" s="12">
        <v>0</v>
      </c>
      <c r="L36" s="12">
        <v>0</v>
      </c>
      <c r="M36" s="12">
        <v>0</v>
      </c>
      <c r="N36" s="73"/>
      <c r="O36" s="12">
        <v>1</v>
      </c>
      <c r="P36" s="12">
        <v>0</v>
      </c>
      <c r="Q36" s="12">
        <v>1</v>
      </c>
      <c r="R36" s="12">
        <v>1</v>
      </c>
      <c r="S36" s="12">
        <v>0</v>
      </c>
      <c r="T36" s="73"/>
      <c r="U36" s="12">
        <v>3</v>
      </c>
      <c r="V36" s="12">
        <v>10</v>
      </c>
      <c r="W36" s="12">
        <v>13</v>
      </c>
      <c r="X36" s="12">
        <v>13</v>
      </c>
      <c r="Y36" s="12">
        <v>0</v>
      </c>
      <c r="CX36" s="44"/>
      <c r="CY36" s="9"/>
      <c r="CZ36" s="10"/>
      <c r="DA36" s="12"/>
      <c r="DB36" s="12"/>
      <c r="DC36" s="12"/>
      <c r="DD36" s="12"/>
      <c r="DE36" s="12"/>
      <c r="DF36" s="12"/>
      <c r="DG36" s="12"/>
      <c r="DH36" s="12"/>
      <c r="DI36" s="12"/>
      <c r="DJ36" s="12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44"/>
    </row>
    <row r="37" spans="1:128" s="49" customFormat="1">
      <c r="A37" s="9" t="s">
        <v>18</v>
      </c>
      <c r="B37" s="10" t="s">
        <v>91</v>
      </c>
      <c r="C37" s="12">
        <v>5</v>
      </c>
      <c r="D37" s="12">
        <v>4</v>
      </c>
      <c r="E37" s="12">
        <v>9</v>
      </c>
      <c r="F37" s="12">
        <v>5</v>
      </c>
      <c r="G37" s="12">
        <v>4</v>
      </c>
      <c r="H37" s="12"/>
      <c r="I37" s="70">
        <v>0</v>
      </c>
      <c r="J37" s="12">
        <v>0</v>
      </c>
      <c r="K37" s="12">
        <v>0</v>
      </c>
      <c r="L37" s="12">
        <v>0</v>
      </c>
      <c r="M37" s="12">
        <v>0</v>
      </c>
      <c r="N37" s="73"/>
      <c r="O37" s="12">
        <v>2</v>
      </c>
      <c r="P37" s="12">
        <v>1</v>
      </c>
      <c r="Q37" s="12">
        <v>3</v>
      </c>
      <c r="R37" s="12">
        <v>3</v>
      </c>
      <c r="S37" s="12">
        <v>0</v>
      </c>
      <c r="T37" s="73"/>
      <c r="U37" s="12">
        <v>3</v>
      </c>
      <c r="V37" s="12">
        <v>20</v>
      </c>
      <c r="W37" s="12">
        <v>23</v>
      </c>
      <c r="X37" s="12">
        <v>19</v>
      </c>
      <c r="Y37" s="12">
        <v>4</v>
      </c>
      <c r="CX37" s="44"/>
      <c r="CY37" s="9"/>
      <c r="CZ37" s="10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44"/>
    </row>
    <row r="38" spans="1:128" s="49" customFormat="1">
      <c r="A38" s="9" t="s">
        <v>18</v>
      </c>
      <c r="B38" s="10" t="s">
        <v>92</v>
      </c>
      <c r="C38" s="12">
        <v>3</v>
      </c>
      <c r="D38" s="12">
        <v>5</v>
      </c>
      <c r="E38" s="12">
        <v>8</v>
      </c>
      <c r="F38" s="12">
        <v>5</v>
      </c>
      <c r="G38" s="12">
        <v>3</v>
      </c>
      <c r="H38" s="12"/>
      <c r="I38" s="70">
        <v>0</v>
      </c>
      <c r="J38" s="12">
        <v>0</v>
      </c>
      <c r="K38" s="12">
        <v>0</v>
      </c>
      <c r="L38" s="12">
        <v>0</v>
      </c>
      <c r="M38" s="12">
        <v>0</v>
      </c>
      <c r="N38" s="73"/>
      <c r="O38" s="12">
        <v>1</v>
      </c>
      <c r="P38" s="12">
        <v>0</v>
      </c>
      <c r="Q38" s="12">
        <v>1</v>
      </c>
      <c r="R38" s="12">
        <v>1</v>
      </c>
      <c r="S38" s="12">
        <v>0</v>
      </c>
      <c r="T38" s="73"/>
      <c r="U38" s="12">
        <v>7</v>
      </c>
      <c r="V38" s="12">
        <v>26</v>
      </c>
      <c r="W38" s="12">
        <v>33</v>
      </c>
      <c r="X38" s="12">
        <v>29</v>
      </c>
      <c r="Y38" s="12">
        <v>4</v>
      </c>
      <c r="CX38" s="44"/>
      <c r="CY38" s="44"/>
      <c r="CZ38" s="44"/>
      <c r="DA38" s="44"/>
      <c r="DB38" s="44"/>
      <c r="DC38" s="44"/>
      <c r="DD38" s="44"/>
      <c r="DE38" s="44"/>
      <c r="DF38" s="44"/>
      <c r="DG38" s="44"/>
      <c r="DH38" s="44"/>
      <c r="DI38" s="44"/>
      <c r="DJ38" s="44"/>
      <c r="DK38" s="44"/>
      <c r="DL38" s="44"/>
      <c r="DM38" s="44"/>
      <c r="DN38" s="44"/>
      <c r="DO38" s="44"/>
      <c r="DP38" s="44"/>
      <c r="DQ38" s="44"/>
      <c r="DR38" s="44"/>
      <c r="DS38" s="44"/>
      <c r="DT38" s="44"/>
      <c r="DU38" s="44"/>
      <c r="DV38" s="44"/>
      <c r="DW38" s="44"/>
      <c r="DX38" s="44"/>
    </row>
    <row r="39" spans="1:128" s="49" customFormat="1">
      <c r="A39" s="9" t="s">
        <v>18</v>
      </c>
      <c r="B39" s="10" t="s">
        <v>93</v>
      </c>
      <c r="C39" s="12">
        <v>10</v>
      </c>
      <c r="D39" s="12">
        <v>9</v>
      </c>
      <c r="E39" s="12">
        <v>19</v>
      </c>
      <c r="F39" s="12">
        <v>2</v>
      </c>
      <c r="G39" s="12">
        <v>17</v>
      </c>
      <c r="H39" s="12"/>
      <c r="I39" s="70">
        <v>0</v>
      </c>
      <c r="J39" s="12">
        <v>0</v>
      </c>
      <c r="K39" s="12">
        <v>0</v>
      </c>
      <c r="L39" s="12">
        <v>0</v>
      </c>
      <c r="M39" s="12">
        <v>0</v>
      </c>
      <c r="N39" s="73"/>
      <c r="O39" s="12">
        <v>6</v>
      </c>
      <c r="P39" s="12">
        <v>6</v>
      </c>
      <c r="Q39" s="12">
        <v>12</v>
      </c>
      <c r="R39" s="12">
        <v>9</v>
      </c>
      <c r="S39" s="12">
        <v>3</v>
      </c>
      <c r="T39" s="73"/>
      <c r="U39" s="12">
        <v>9</v>
      </c>
      <c r="V39" s="12">
        <v>32</v>
      </c>
      <c r="W39" s="12">
        <v>41</v>
      </c>
      <c r="X39" s="12">
        <v>36</v>
      </c>
      <c r="Y39" s="12">
        <v>5</v>
      </c>
      <c r="CX39" s="44"/>
      <c r="CY39" s="44"/>
      <c r="CZ39" s="44"/>
      <c r="DA39" s="44"/>
      <c r="DB39" s="44"/>
      <c r="DC39" s="44"/>
      <c r="DD39" s="44"/>
      <c r="DE39" s="44"/>
      <c r="DF39" s="44"/>
      <c r="DG39" s="44"/>
      <c r="DH39" s="44"/>
      <c r="DI39" s="44"/>
      <c r="DJ39" s="44"/>
      <c r="DK39" s="44"/>
      <c r="DL39" s="44"/>
      <c r="DM39" s="44"/>
      <c r="DN39" s="44"/>
      <c r="DO39" s="44"/>
      <c r="DP39" s="44"/>
      <c r="DQ39" s="44"/>
      <c r="DR39" s="44"/>
      <c r="DS39" s="44"/>
      <c r="DT39" s="44"/>
      <c r="DU39" s="44"/>
      <c r="DV39" s="44"/>
      <c r="DW39" s="44"/>
      <c r="DX39" s="44"/>
    </row>
    <row r="40" spans="1:128" s="49" customFormat="1">
      <c r="A40" s="9" t="s">
        <v>18</v>
      </c>
      <c r="B40" s="10" t="s">
        <v>94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/>
      <c r="I40" s="70">
        <v>0</v>
      </c>
      <c r="J40" s="12">
        <v>0</v>
      </c>
      <c r="K40" s="12">
        <v>0</v>
      </c>
      <c r="L40" s="12">
        <v>0</v>
      </c>
      <c r="M40" s="12">
        <v>0</v>
      </c>
      <c r="N40" s="73"/>
      <c r="O40" s="12">
        <v>1</v>
      </c>
      <c r="P40" s="12">
        <v>1</v>
      </c>
      <c r="Q40" s="12">
        <v>2</v>
      </c>
      <c r="R40" s="12">
        <v>2</v>
      </c>
      <c r="S40" s="12">
        <v>0</v>
      </c>
      <c r="T40" s="73"/>
      <c r="U40" s="12">
        <v>0</v>
      </c>
      <c r="V40" s="12">
        <v>6</v>
      </c>
      <c r="W40" s="12">
        <v>6</v>
      </c>
      <c r="X40" s="12">
        <v>3</v>
      </c>
      <c r="Y40" s="12">
        <v>3</v>
      </c>
      <c r="CX40" s="44"/>
      <c r="CY40" s="44"/>
      <c r="CZ40" s="44"/>
      <c r="DA40" s="44"/>
      <c r="DB40" s="44"/>
      <c r="DC40" s="44"/>
      <c r="DD40" s="44"/>
      <c r="DE40" s="44"/>
      <c r="DF40" s="44"/>
      <c r="DG40" s="44"/>
      <c r="DH40" s="44"/>
      <c r="DI40" s="44"/>
      <c r="DJ40" s="44"/>
      <c r="DK40" s="44"/>
      <c r="DL40" s="44"/>
      <c r="DM40" s="44"/>
      <c r="DN40" s="44"/>
      <c r="DO40" s="44"/>
      <c r="DP40" s="44"/>
      <c r="DQ40" s="44"/>
      <c r="DR40" s="44"/>
      <c r="DS40" s="44"/>
      <c r="DT40" s="44"/>
      <c r="DU40" s="44"/>
      <c r="DV40" s="44"/>
      <c r="DW40" s="44"/>
      <c r="DX40" s="44"/>
    </row>
    <row r="41" spans="1:128" s="49" customFormat="1">
      <c r="A41" s="9" t="s">
        <v>18</v>
      </c>
      <c r="B41" s="10" t="s">
        <v>95</v>
      </c>
      <c r="C41" s="12">
        <v>3</v>
      </c>
      <c r="D41" s="12">
        <v>10</v>
      </c>
      <c r="E41" s="12">
        <v>13</v>
      </c>
      <c r="F41" s="12">
        <v>12</v>
      </c>
      <c r="G41" s="12">
        <v>1</v>
      </c>
      <c r="H41" s="12"/>
      <c r="I41" s="70">
        <v>0</v>
      </c>
      <c r="J41" s="12">
        <v>0</v>
      </c>
      <c r="K41" s="12">
        <v>0</v>
      </c>
      <c r="L41" s="12">
        <v>0</v>
      </c>
      <c r="M41" s="12">
        <v>0</v>
      </c>
      <c r="N41" s="73"/>
      <c r="O41" s="12">
        <v>3</v>
      </c>
      <c r="P41" s="12">
        <v>13</v>
      </c>
      <c r="Q41" s="12">
        <v>16</v>
      </c>
      <c r="R41" s="12">
        <v>13</v>
      </c>
      <c r="S41" s="12">
        <v>3</v>
      </c>
      <c r="T41" s="73"/>
      <c r="U41" s="12">
        <v>8</v>
      </c>
      <c r="V41" s="12">
        <v>47</v>
      </c>
      <c r="W41" s="12">
        <v>55</v>
      </c>
      <c r="X41" s="12">
        <v>52</v>
      </c>
      <c r="Y41" s="12">
        <v>3</v>
      </c>
      <c r="CX41" s="44"/>
      <c r="CY41" s="44"/>
      <c r="CZ41" s="44"/>
      <c r="DA41" s="44"/>
      <c r="DB41" s="44"/>
      <c r="DC41" s="44"/>
      <c r="DD41" s="44"/>
      <c r="DE41" s="44"/>
      <c r="DF41" s="44"/>
      <c r="DG41" s="44"/>
      <c r="DH41" s="44"/>
      <c r="DI41" s="44"/>
      <c r="DJ41" s="44"/>
      <c r="DK41" s="44"/>
      <c r="DL41" s="44"/>
      <c r="DM41" s="44"/>
      <c r="DN41" s="44"/>
      <c r="DO41" s="44"/>
      <c r="DP41" s="44"/>
      <c r="DQ41" s="44"/>
      <c r="DR41" s="44"/>
      <c r="DS41" s="44"/>
      <c r="DT41" s="44"/>
      <c r="DU41" s="44"/>
      <c r="DV41" s="44"/>
      <c r="DW41" s="44"/>
      <c r="DX41" s="44"/>
    </row>
    <row r="42" spans="1:128" s="49" customFormat="1">
      <c r="A42" s="9" t="s">
        <v>18</v>
      </c>
      <c r="B42" s="10" t="s">
        <v>96</v>
      </c>
      <c r="C42" s="12">
        <v>5</v>
      </c>
      <c r="D42" s="12">
        <v>5</v>
      </c>
      <c r="E42" s="12">
        <v>10</v>
      </c>
      <c r="F42" s="12">
        <v>10</v>
      </c>
      <c r="G42" s="12">
        <v>0</v>
      </c>
      <c r="H42" s="12"/>
      <c r="I42" s="70">
        <v>0</v>
      </c>
      <c r="J42" s="12">
        <v>0</v>
      </c>
      <c r="K42" s="12">
        <v>0</v>
      </c>
      <c r="L42" s="12">
        <v>0</v>
      </c>
      <c r="M42" s="12">
        <v>0</v>
      </c>
      <c r="N42" s="73"/>
      <c r="O42" s="12">
        <v>0</v>
      </c>
      <c r="P42" s="12">
        <v>1</v>
      </c>
      <c r="Q42" s="12">
        <v>1</v>
      </c>
      <c r="R42" s="12">
        <v>1</v>
      </c>
      <c r="S42" s="12">
        <v>0</v>
      </c>
      <c r="T42" s="73"/>
      <c r="U42" s="12">
        <v>3</v>
      </c>
      <c r="V42" s="12">
        <v>22</v>
      </c>
      <c r="W42" s="12">
        <v>25</v>
      </c>
      <c r="X42" s="12">
        <v>18</v>
      </c>
      <c r="Y42" s="12">
        <v>7</v>
      </c>
      <c r="CX42" s="44"/>
      <c r="CY42" s="44"/>
      <c r="CZ42" s="44"/>
      <c r="DA42" s="44"/>
      <c r="DB42" s="44"/>
      <c r="DC42" s="44"/>
      <c r="DD42" s="44"/>
      <c r="DE42" s="44"/>
      <c r="DF42" s="44"/>
      <c r="DG42" s="44"/>
      <c r="DH42" s="44"/>
      <c r="DI42" s="44"/>
      <c r="DJ42" s="44"/>
      <c r="DK42" s="44"/>
      <c r="DL42" s="44"/>
      <c r="DM42" s="44"/>
      <c r="DN42" s="44"/>
      <c r="DO42" s="44"/>
      <c r="DP42" s="44"/>
      <c r="DQ42" s="44"/>
      <c r="DR42" s="44"/>
      <c r="DS42" s="44"/>
      <c r="DT42" s="44"/>
      <c r="DU42" s="44"/>
      <c r="DV42" s="44"/>
      <c r="DW42" s="44"/>
      <c r="DX42" s="44"/>
    </row>
    <row r="43" spans="1:128" s="49" customFormat="1">
      <c r="A43" s="16" t="s">
        <v>18</v>
      </c>
      <c r="B43" s="17" t="s">
        <v>97</v>
      </c>
      <c r="C43" s="18">
        <v>0</v>
      </c>
      <c r="D43" s="18">
        <v>3</v>
      </c>
      <c r="E43" s="18">
        <v>3</v>
      </c>
      <c r="F43" s="18">
        <v>3</v>
      </c>
      <c r="G43" s="18">
        <v>0</v>
      </c>
      <c r="H43" s="18"/>
      <c r="I43" s="71">
        <v>0</v>
      </c>
      <c r="J43" s="18">
        <v>0</v>
      </c>
      <c r="K43" s="18">
        <v>0</v>
      </c>
      <c r="L43" s="18">
        <v>0</v>
      </c>
      <c r="M43" s="18">
        <v>0</v>
      </c>
      <c r="N43" s="74"/>
      <c r="O43" s="18">
        <v>0</v>
      </c>
      <c r="P43" s="18">
        <v>1</v>
      </c>
      <c r="Q43" s="18">
        <v>1</v>
      </c>
      <c r="R43" s="18">
        <v>1</v>
      </c>
      <c r="S43" s="18">
        <v>0</v>
      </c>
      <c r="T43" s="74"/>
      <c r="U43" s="18">
        <v>4</v>
      </c>
      <c r="V43" s="18">
        <v>9</v>
      </c>
      <c r="W43" s="18">
        <v>13</v>
      </c>
      <c r="X43" s="18">
        <v>11</v>
      </c>
      <c r="Y43" s="18">
        <v>2</v>
      </c>
      <c r="CX43" s="44"/>
      <c r="CY43" s="44"/>
      <c r="CZ43" s="44"/>
      <c r="DA43" s="44"/>
      <c r="DB43" s="44"/>
      <c r="DC43" s="44"/>
      <c r="DD43" s="44"/>
      <c r="DE43" s="44"/>
      <c r="DF43" s="44"/>
      <c r="DG43" s="44"/>
      <c r="DH43" s="44"/>
      <c r="DI43" s="44"/>
      <c r="DJ43" s="44"/>
      <c r="DK43" s="44"/>
      <c r="DL43" s="44"/>
      <c r="DM43" s="44"/>
      <c r="DN43" s="44"/>
      <c r="DO43" s="44"/>
      <c r="DP43" s="44"/>
      <c r="DQ43" s="44"/>
      <c r="DR43" s="44"/>
      <c r="DS43" s="44"/>
      <c r="DT43" s="44"/>
      <c r="DU43" s="44"/>
      <c r="DV43" s="44"/>
      <c r="DW43" s="44"/>
      <c r="DX43" s="44"/>
    </row>
    <row r="44" spans="1:128" s="48" customFormat="1">
      <c r="A44" s="79" t="s">
        <v>19</v>
      </c>
      <c r="B44" s="8" t="s">
        <v>0</v>
      </c>
      <c r="C44" s="13">
        <f>SUM(C45:C58)</f>
        <v>32</v>
      </c>
      <c r="D44" s="13">
        <f>SUM(D45:D58)</f>
        <v>48</v>
      </c>
      <c r="E44" s="13">
        <f>SUM(E45:E58)</f>
        <v>80</v>
      </c>
      <c r="F44" s="13">
        <f>SUM(F45:F58)</f>
        <v>50</v>
      </c>
      <c r="G44" s="13">
        <f>SUM(G45:G58)</f>
        <v>30</v>
      </c>
      <c r="H44" s="13"/>
      <c r="I44" s="56">
        <f>SUM(I45:I58)</f>
        <v>0</v>
      </c>
      <c r="J44" s="13">
        <f>SUM(J45:J58)</f>
        <v>1</v>
      </c>
      <c r="K44" s="13">
        <f>SUM(K45:K58)</f>
        <v>1</v>
      </c>
      <c r="L44" s="13">
        <f>SUM(L45:L58)</f>
        <v>1</v>
      </c>
      <c r="M44" s="13">
        <f>SUM(M45:M58)</f>
        <v>0</v>
      </c>
      <c r="N44" s="57"/>
      <c r="O44" s="13">
        <f>SUM(O45:O58)</f>
        <v>20</v>
      </c>
      <c r="P44" s="13">
        <f>SUM(P45:P58)</f>
        <v>53</v>
      </c>
      <c r="Q44" s="13">
        <f>SUM(Q45:Q58)</f>
        <v>73</v>
      </c>
      <c r="R44" s="13">
        <f>SUM(R45:R58)</f>
        <v>50</v>
      </c>
      <c r="S44" s="13">
        <f>SUM(S45:S58)</f>
        <v>23</v>
      </c>
      <c r="T44" s="57"/>
      <c r="U44" s="13">
        <f>SUM(U45:U58)</f>
        <v>67</v>
      </c>
      <c r="V44" s="13">
        <f>SUM(V45:V58)</f>
        <v>293</v>
      </c>
      <c r="W44" s="13">
        <f>SUM(W45:W58)</f>
        <v>360</v>
      </c>
      <c r="X44" s="13">
        <f>SUM(X45:X58)</f>
        <v>296</v>
      </c>
      <c r="Y44" s="13">
        <f>SUM(Y45:Y58)</f>
        <v>64</v>
      </c>
      <c r="CI44" s="45"/>
      <c r="CJ44" s="45"/>
      <c r="CK44" s="45"/>
      <c r="CL44" s="45"/>
      <c r="CM44" s="45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</row>
    <row r="45" spans="1:128" s="49" customFormat="1">
      <c r="A45" s="9" t="s">
        <v>19</v>
      </c>
      <c r="B45" s="10" t="s">
        <v>98</v>
      </c>
      <c r="C45" s="12">
        <v>1</v>
      </c>
      <c r="D45" s="12">
        <v>2</v>
      </c>
      <c r="E45" s="12">
        <v>3</v>
      </c>
      <c r="F45" s="12">
        <v>1</v>
      </c>
      <c r="G45" s="12">
        <v>2</v>
      </c>
      <c r="H45" s="12"/>
      <c r="I45" s="70">
        <v>0</v>
      </c>
      <c r="J45" s="12">
        <v>0</v>
      </c>
      <c r="K45" s="12">
        <v>0</v>
      </c>
      <c r="L45" s="12">
        <v>0</v>
      </c>
      <c r="M45" s="12">
        <v>0</v>
      </c>
      <c r="N45" s="73"/>
      <c r="O45" s="12">
        <v>3</v>
      </c>
      <c r="P45" s="12">
        <v>2</v>
      </c>
      <c r="Q45" s="12">
        <v>5</v>
      </c>
      <c r="R45" s="12">
        <v>3</v>
      </c>
      <c r="S45" s="12">
        <v>2</v>
      </c>
      <c r="T45" s="73"/>
      <c r="U45" s="12">
        <v>8</v>
      </c>
      <c r="V45" s="12">
        <v>28</v>
      </c>
      <c r="W45" s="12">
        <v>36</v>
      </c>
      <c r="X45" s="12">
        <v>25</v>
      </c>
      <c r="Y45" s="12">
        <v>11</v>
      </c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  <c r="DK45" s="44"/>
      <c r="DL45" s="44"/>
      <c r="DM45" s="44"/>
      <c r="DN45" s="44"/>
      <c r="DO45" s="44"/>
      <c r="DP45" s="44"/>
      <c r="DQ45" s="44"/>
      <c r="DR45" s="44"/>
      <c r="DS45" s="44"/>
      <c r="DT45" s="44"/>
      <c r="DU45" s="44"/>
      <c r="DV45" s="44"/>
      <c r="DW45" s="44"/>
      <c r="DX45" s="44"/>
    </row>
    <row r="46" spans="1:128" s="49" customFormat="1">
      <c r="A46" s="9" t="s">
        <v>19</v>
      </c>
      <c r="B46" s="10" t="s">
        <v>99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/>
      <c r="I46" s="70">
        <v>0</v>
      </c>
      <c r="J46" s="12">
        <v>0</v>
      </c>
      <c r="K46" s="12">
        <v>0</v>
      </c>
      <c r="L46" s="12">
        <v>0</v>
      </c>
      <c r="M46" s="12">
        <v>0</v>
      </c>
      <c r="N46" s="73"/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73"/>
      <c r="U46" s="12">
        <v>0</v>
      </c>
      <c r="V46" s="12">
        <v>8</v>
      </c>
      <c r="W46" s="12">
        <v>8</v>
      </c>
      <c r="X46" s="12">
        <v>7</v>
      </c>
      <c r="Y46" s="12">
        <v>1</v>
      </c>
    </row>
    <row r="47" spans="1:128" s="49" customFormat="1">
      <c r="A47" s="9" t="s">
        <v>19</v>
      </c>
      <c r="B47" s="10" t="s">
        <v>100</v>
      </c>
      <c r="C47" s="12">
        <v>0</v>
      </c>
      <c r="D47" s="12">
        <v>3</v>
      </c>
      <c r="E47" s="12">
        <v>3</v>
      </c>
      <c r="F47" s="12">
        <v>1</v>
      </c>
      <c r="G47" s="12">
        <v>2</v>
      </c>
      <c r="H47" s="12"/>
      <c r="I47" s="70">
        <v>0</v>
      </c>
      <c r="J47" s="12">
        <v>0</v>
      </c>
      <c r="K47" s="12">
        <v>0</v>
      </c>
      <c r="L47" s="12">
        <v>0</v>
      </c>
      <c r="M47" s="12">
        <v>0</v>
      </c>
      <c r="N47" s="73"/>
      <c r="O47" s="12">
        <v>2</v>
      </c>
      <c r="P47" s="12">
        <v>10</v>
      </c>
      <c r="Q47" s="12">
        <v>12</v>
      </c>
      <c r="R47" s="12">
        <v>6</v>
      </c>
      <c r="S47" s="12">
        <v>6</v>
      </c>
      <c r="T47" s="73"/>
      <c r="U47" s="12">
        <v>2</v>
      </c>
      <c r="V47" s="12">
        <v>27</v>
      </c>
      <c r="W47" s="12">
        <v>29</v>
      </c>
      <c r="X47" s="12">
        <v>24</v>
      </c>
      <c r="Y47" s="12">
        <v>5</v>
      </c>
    </row>
    <row r="48" spans="1:128" s="49" customFormat="1">
      <c r="A48" s="9" t="s">
        <v>19</v>
      </c>
      <c r="B48" s="10" t="s">
        <v>101</v>
      </c>
      <c r="C48" s="12">
        <v>1</v>
      </c>
      <c r="D48" s="12">
        <v>6</v>
      </c>
      <c r="E48" s="12">
        <v>7</v>
      </c>
      <c r="F48" s="12">
        <v>1</v>
      </c>
      <c r="G48" s="12">
        <v>6</v>
      </c>
      <c r="H48" s="12"/>
      <c r="I48" s="70">
        <v>0</v>
      </c>
      <c r="J48" s="12">
        <v>0</v>
      </c>
      <c r="K48" s="12">
        <v>0</v>
      </c>
      <c r="L48" s="12">
        <v>0</v>
      </c>
      <c r="M48" s="12">
        <v>0</v>
      </c>
      <c r="N48" s="73"/>
      <c r="O48" s="12">
        <v>3</v>
      </c>
      <c r="P48" s="12">
        <v>3</v>
      </c>
      <c r="Q48" s="12">
        <v>6</v>
      </c>
      <c r="R48" s="12">
        <v>4</v>
      </c>
      <c r="S48" s="12">
        <v>2</v>
      </c>
      <c r="T48" s="73"/>
      <c r="U48" s="12">
        <v>11</v>
      </c>
      <c r="V48" s="12">
        <v>18</v>
      </c>
      <c r="W48" s="12">
        <v>29</v>
      </c>
      <c r="X48" s="12">
        <v>25</v>
      </c>
      <c r="Y48" s="12">
        <v>4</v>
      </c>
    </row>
    <row r="49" spans="1:91" s="49" customFormat="1">
      <c r="A49" s="9" t="s">
        <v>19</v>
      </c>
      <c r="B49" s="10" t="s">
        <v>102</v>
      </c>
      <c r="C49" s="12">
        <v>0</v>
      </c>
      <c r="D49" s="12">
        <v>2</v>
      </c>
      <c r="E49" s="12">
        <v>2</v>
      </c>
      <c r="F49" s="12">
        <v>1</v>
      </c>
      <c r="G49" s="12">
        <v>1</v>
      </c>
      <c r="H49" s="12"/>
      <c r="I49" s="70">
        <v>0</v>
      </c>
      <c r="J49" s="12">
        <v>0</v>
      </c>
      <c r="K49" s="12">
        <v>0</v>
      </c>
      <c r="L49" s="12">
        <v>0</v>
      </c>
      <c r="M49" s="12">
        <v>0</v>
      </c>
      <c r="N49" s="73"/>
      <c r="O49" s="12">
        <v>0</v>
      </c>
      <c r="P49" s="12">
        <v>2</v>
      </c>
      <c r="Q49" s="12">
        <v>2</v>
      </c>
      <c r="R49" s="12">
        <v>1</v>
      </c>
      <c r="S49" s="12">
        <v>1</v>
      </c>
      <c r="T49" s="73"/>
      <c r="U49" s="12">
        <v>3</v>
      </c>
      <c r="V49" s="12">
        <v>10</v>
      </c>
      <c r="W49" s="12">
        <v>13</v>
      </c>
      <c r="X49" s="12">
        <v>11</v>
      </c>
      <c r="Y49" s="12">
        <v>2</v>
      </c>
    </row>
    <row r="50" spans="1:91" s="49" customFormat="1">
      <c r="A50" s="9" t="s">
        <v>19</v>
      </c>
      <c r="B50" s="10" t="s">
        <v>103</v>
      </c>
      <c r="C50" s="12">
        <v>2</v>
      </c>
      <c r="D50" s="12">
        <v>0</v>
      </c>
      <c r="E50" s="12">
        <v>2</v>
      </c>
      <c r="F50" s="12">
        <v>0</v>
      </c>
      <c r="G50" s="12">
        <v>2</v>
      </c>
      <c r="H50" s="12"/>
      <c r="I50" s="70">
        <v>0</v>
      </c>
      <c r="J50" s="12">
        <v>0</v>
      </c>
      <c r="K50" s="12">
        <v>0</v>
      </c>
      <c r="L50" s="12">
        <v>0</v>
      </c>
      <c r="M50" s="12">
        <v>0</v>
      </c>
      <c r="N50" s="73"/>
      <c r="O50" s="12">
        <v>1</v>
      </c>
      <c r="P50" s="12">
        <v>2</v>
      </c>
      <c r="Q50" s="12">
        <v>3</v>
      </c>
      <c r="R50" s="12">
        <v>1</v>
      </c>
      <c r="S50" s="12">
        <v>2</v>
      </c>
      <c r="T50" s="73"/>
      <c r="U50" s="12">
        <v>8</v>
      </c>
      <c r="V50" s="12">
        <v>9</v>
      </c>
      <c r="W50" s="12">
        <v>17</v>
      </c>
      <c r="X50" s="12">
        <v>9</v>
      </c>
      <c r="Y50" s="12">
        <v>8</v>
      </c>
    </row>
    <row r="51" spans="1:91" s="49" customFormat="1">
      <c r="A51" s="9" t="s">
        <v>19</v>
      </c>
      <c r="B51" s="10" t="s">
        <v>104</v>
      </c>
      <c r="C51" s="12">
        <v>8</v>
      </c>
      <c r="D51" s="12">
        <v>11</v>
      </c>
      <c r="E51" s="12">
        <v>19</v>
      </c>
      <c r="F51" s="12">
        <v>17</v>
      </c>
      <c r="G51" s="12">
        <v>2</v>
      </c>
      <c r="H51" s="12"/>
      <c r="I51" s="70">
        <v>0</v>
      </c>
      <c r="J51" s="12">
        <v>0</v>
      </c>
      <c r="K51" s="12">
        <v>0</v>
      </c>
      <c r="L51" s="12">
        <v>0</v>
      </c>
      <c r="M51" s="12">
        <v>0</v>
      </c>
      <c r="N51" s="73"/>
      <c r="O51" s="12">
        <v>1</v>
      </c>
      <c r="P51" s="12">
        <v>7</v>
      </c>
      <c r="Q51" s="12">
        <v>8</v>
      </c>
      <c r="R51" s="12">
        <v>7</v>
      </c>
      <c r="S51" s="12">
        <v>1</v>
      </c>
      <c r="T51" s="73"/>
      <c r="U51" s="12">
        <v>2</v>
      </c>
      <c r="V51" s="12">
        <v>44</v>
      </c>
      <c r="W51" s="12">
        <v>46</v>
      </c>
      <c r="X51" s="12">
        <v>35</v>
      </c>
      <c r="Y51" s="12">
        <v>11</v>
      </c>
    </row>
    <row r="52" spans="1:91" s="49" customFormat="1">
      <c r="A52" s="9" t="s">
        <v>19</v>
      </c>
      <c r="B52" s="10" t="s">
        <v>105</v>
      </c>
      <c r="C52" s="12">
        <v>2</v>
      </c>
      <c r="D52" s="12">
        <v>2</v>
      </c>
      <c r="E52" s="12">
        <v>4</v>
      </c>
      <c r="F52" s="12">
        <v>1</v>
      </c>
      <c r="G52" s="12">
        <v>3</v>
      </c>
      <c r="H52" s="12"/>
      <c r="I52" s="70">
        <v>0</v>
      </c>
      <c r="J52" s="12">
        <v>0</v>
      </c>
      <c r="K52" s="12">
        <v>0</v>
      </c>
      <c r="L52" s="12">
        <v>0</v>
      </c>
      <c r="M52" s="12">
        <v>0</v>
      </c>
      <c r="N52" s="73"/>
      <c r="O52" s="12">
        <v>2</v>
      </c>
      <c r="P52" s="12">
        <v>2</v>
      </c>
      <c r="Q52" s="12">
        <v>4</v>
      </c>
      <c r="R52" s="12">
        <v>3</v>
      </c>
      <c r="S52" s="12">
        <v>1</v>
      </c>
      <c r="T52" s="73"/>
      <c r="U52" s="12">
        <v>3</v>
      </c>
      <c r="V52" s="12">
        <v>11</v>
      </c>
      <c r="W52" s="12">
        <v>14</v>
      </c>
      <c r="X52" s="12">
        <v>13</v>
      </c>
      <c r="Y52" s="12">
        <v>1</v>
      </c>
    </row>
    <row r="53" spans="1:91" s="49" customFormat="1">
      <c r="A53" s="9" t="s">
        <v>19</v>
      </c>
      <c r="B53" s="10" t="s">
        <v>106</v>
      </c>
      <c r="C53" s="12">
        <v>9</v>
      </c>
      <c r="D53" s="12">
        <v>7</v>
      </c>
      <c r="E53" s="12">
        <v>16</v>
      </c>
      <c r="F53" s="12">
        <v>11</v>
      </c>
      <c r="G53" s="12">
        <v>5</v>
      </c>
      <c r="H53" s="12"/>
      <c r="I53" s="70">
        <v>0</v>
      </c>
      <c r="J53" s="12">
        <v>1</v>
      </c>
      <c r="K53" s="12">
        <v>1</v>
      </c>
      <c r="L53" s="12">
        <v>1</v>
      </c>
      <c r="M53" s="12">
        <v>0</v>
      </c>
      <c r="N53" s="73"/>
      <c r="O53" s="12">
        <v>1</v>
      </c>
      <c r="P53" s="12">
        <v>7</v>
      </c>
      <c r="Q53" s="12">
        <v>8</v>
      </c>
      <c r="R53" s="12">
        <v>4</v>
      </c>
      <c r="S53" s="12">
        <v>4</v>
      </c>
      <c r="T53" s="73"/>
      <c r="U53" s="12">
        <v>4</v>
      </c>
      <c r="V53" s="12">
        <v>35</v>
      </c>
      <c r="W53" s="12">
        <v>39</v>
      </c>
      <c r="X53" s="12">
        <v>35</v>
      </c>
      <c r="Y53" s="12">
        <v>4</v>
      </c>
    </row>
    <row r="54" spans="1:91" s="49" customFormat="1">
      <c r="A54" s="9" t="s">
        <v>19</v>
      </c>
      <c r="B54" s="10" t="s">
        <v>107</v>
      </c>
      <c r="C54" s="12">
        <v>1</v>
      </c>
      <c r="D54" s="12">
        <v>3</v>
      </c>
      <c r="E54" s="12">
        <v>4</v>
      </c>
      <c r="F54" s="12">
        <v>3</v>
      </c>
      <c r="G54" s="12">
        <v>1</v>
      </c>
      <c r="H54" s="12"/>
      <c r="I54" s="70">
        <v>0</v>
      </c>
      <c r="J54" s="12">
        <v>0</v>
      </c>
      <c r="K54" s="12">
        <v>0</v>
      </c>
      <c r="L54" s="12">
        <v>0</v>
      </c>
      <c r="M54" s="12">
        <v>0</v>
      </c>
      <c r="N54" s="73"/>
      <c r="O54" s="12">
        <v>0</v>
      </c>
      <c r="P54" s="12">
        <v>4</v>
      </c>
      <c r="Q54" s="12">
        <v>4</v>
      </c>
      <c r="R54" s="12">
        <v>2</v>
      </c>
      <c r="S54" s="12">
        <v>2</v>
      </c>
      <c r="T54" s="73"/>
      <c r="U54" s="12">
        <v>4</v>
      </c>
      <c r="V54" s="12">
        <v>16</v>
      </c>
      <c r="W54" s="12">
        <v>20</v>
      </c>
      <c r="X54" s="12">
        <v>15</v>
      </c>
      <c r="Y54" s="12">
        <v>5</v>
      </c>
    </row>
    <row r="55" spans="1:91" s="49" customFormat="1">
      <c r="A55" s="9" t="s">
        <v>19</v>
      </c>
      <c r="B55" s="10" t="s">
        <v>108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/>
      <c r="I55" s="70">
        <v>0</v>
      </c>
      <c r="J55" s="12">
        <v>0</v>
      </c>
      <c r="K55" s="12">
        <v>0</v>
      </c>
      <c r="L55" s="12">
        <v>0</v>
      </c>
      <c r="M55" s="12">
        <v>0</v>
      </c>
      <c r="N55" s="73"/>
      <c r="O55" s="12">
        <v>0</v>
      </c>
      <c r="P55" s="12">
        <v>1</v>
      </c>
      <c r="Q55" s="12">
        <v>1</v>
      </c>
      <c r="R55" s="12">
        <v>1</v>
      </c>
      <c r="S55" s="12">
        <v>0</v>
      </c>
      <c r="T55" s="73"/>
      <c r="U55" s="12">
        <v>1</v>
      </c>
      <c r="V55" s="12">
        <v>9</v>
      </c>
      <c r="W55" s="12">
        <v>10</v>
      </c>
      <c r="X55" s="12">
        <v>9</v>
      </c>
      <c r="Y55" s="12">
        <v>1</v>
      </c>
    </row>
    <row r="56" spans="1:91" s="49" customFormat="1">
      <c r="A56" s="9" t="s">
        <v>19</v>
      </c>
      <c r="B56" s="10" t="s">
        <v>109</v>
      </c>
      <c r="C56" s="12">
        <v>2</v>
      </c>
      <c r="D56" s="12">
        <v>1</v>
      </c>
      <c r="E56" s="12">
        <v>3</v>
      </c>
      <c r="F56" s="12">
        <v>2</v>
      </c>
      <c r="G56" s="12">
        <v>1</v>
      </c>
      <c r="H56" s="12"/>
      <c r="I56" s="70">
        <v>0</v>
      </c>
      <c r="J56" s="12">
        <v>0</v>
      </c>
      <c r="K56" s="12">
        <v>0</v>
      </c>
      <c r="L56" s="12">
        <v>0</v>
      </c>
      <c r="M56" s="12">
        <v>0</v>
      </c>
      <c r="N56" s="73"/>
      <c r="O56" s="12">
        <v>2</v>
      </c>
      <c r="P56" s="12">
        <v>2</v>
      </c>
      <c r="Q56" s="12">
        <v>4</v>
      </c>
      <c r="R56" s="12">
        <v>4</v>
      </c>
      <c r="S56" s="12">
        <v>0</v>
      </c>
      <c r="T56" s="73"/>
      <c r="U56" s="12">
        <v>5</v>
      </c>
      <c r="V56" s="12">
        <v>3</v>
      </c>
      <c r="W56" s="12">
        <v>8</v>
      </c>
      <c r="X56" s="12">
        <v>6</v>
      </c>
      <c r="Y56" s="12">
        <v>2</v>
      </c>
    </row>
    <row r="57" spans="1:91" s="49" customFormat="1">
      <c r="A57" s="9" t="s">
        <v>19</v>
      </c>
      <c r="B57" s="10" t="s">
        <v>110</v>
      </c>
      <c r="C57" s="12">
        <v>3</v>
      </c>
      <c r="D57" s="12">
        <v>1</v>
      </c>
      <c r="E57" s="12">
        <v>4</v>
      </c>
      <c r="F57" s="12">
        <v>3</v>
      </c>
      <c r="G57" s="12">
        <v>1</v>
      </c>
      <c r="H57" s="12"/>
      <c r="I57" s="70">
        <v>0</v>
      </c>
      <c r="J57" s="12">
        <v>0</v>
      </c>
      <c r="K57" s="12">
        <v>0</v>
      </c>
      <c r="L57" s="12">
        <v>0</v>
      </c>
      <c r="M57" s="12">
        <v>0</v>
      </c>
      <c r="N57" s="73"/>
      <c r="O57" s="12">
        <v>0</v>
      </c>
      <c r="P57" s="12">
        <v>5</v>
      </c>
      <c r="Q57" s="12">
        <v>5</v>
      </c>
      <c r="R57" s="12">
        <v>4</v>
      </c>
      <c r="S57" s="12">
        <v>1</v>
      </c>
      <c r="T57" s="73"/>
      <c r="U57" s="12">
        <v>4</v>
      </c>
      <c r="V57" s="12">
        <v>11</v>
      </c>
      <c r="W57" s="12">
        <v>15</v>
      </c>
      <c r="X57" s="12">
        <v>11</v>
      </c>
      <c r="Y57" s="12">
        <v>4</v>
      </c>
    </row>
    <row r="58" spans="1:91" s="49" customFormat="1">
      <c r="A58" s="16" t="s">
        <v>19</v>
      </c>
      <c r="B58" s="17" t="s">
        <v>111</v>
      </c>
      <c r="C58" s="18">
        <v>3</v>
      </c>
      <c r="D58" s="18">
        <v>10</v>
      </c>
      <c r="E58" s="18">
        <v>13</v>
      </c>
      <c r="F58" s="18">
        <v>9</v>
      </c>
      <c r="G58" s="18">
        <v>4</v>
      </c>
      <c r="H58" s="18"/>
      <c r="I58" s="71">
        <v>0</v>
      </c>
      <c r="J58" s="18">
        <v>0</v>
      </c>
      <c r="K58" s="18">
        <v>0</v>
      </c>
      <c r="L58" s="18">
        <v>0</v>
      </c>
      <c r="M58" s="18">
        <v>0</v>
      </c>
      <c r="N58" s="74"/>
      <c r="O58" s="18">
        <v>5</v>
      </c>
      <c r="P58" s="18">
        <v>6</v>
      </c>
      <c r="Q58" s="18">
        <v>11</v>
      </c>
      <c r="R58" s="18">
        <v>10</v>
      </c>
      <c r="S58" s="18">
        <v>1</v>
      </c>
      <c r="T58" s="74"/>
      <c r="U58" s="18">
        <v>12</v>
      </c>
      <c r="V58" s="18">
        <v>64</v>
      </c>
      <c r="W58" s="18">
        <v>76</v>
      </c>
      <c r="X58" s="18">
        <v>71</v>
      </c>
      <c r="Y58" s="18">
        <v>5</v>
      </c>
    </row>
    <row r="59" spans="1:91" s="48" customFormat="1">
      <c r="A59" s="79" t="s">
        <v>20</v>
      </c>
      <c r="B59" s="8" t="s">
        <v>0</v>
      </c>
      <c r="C59" s="13">
        <f>SUM(C60:C72)</f>
        <v>87</v>
      </c>
      <c r="D59" s="13">
        <f>SUM(D60:D72)</f>
        <v>134</v>
      </c>
      <c r="E59" s="13">
        <f>SUM(E60:E72)</f>
        <v>221</v>
      </c>
      <c r="F59" s="13">
        <f>SUM(F60:F72)</f>
        <v>106</v>
      </c>
      <c r="G59" s="13">
        <f>SUM(G60:G72)</f>
        <v>115</v>
      </c>
      <c r="H59" s="13"/>
      <c r="I59" s="56">
        <f>SUM(I60:I72)</f>
        <v>2</v>
      </c>
      <c r="J59" s="13">
        <f>SUM(J60:J72)</f>
        <v>7</v>
      </c>
      <c r="K59" s="13">
        <f>SUM(K60:K72)</f>
        <v>9</v>
      </c>
      <c r="L59" s="13">
        <f>SUM(L60:L72)</f>
        <v>7</v>
      </c>
      <c r="M59" s="13">
        <f>SUM(M60:M72)</f>
        <v>2</v>
      </c>
      <c r="N59" s="57"/>
      <c r="O59" s="13">
        <f>SUM(O60:O72)</f>
        <v>46</v>
      </c>
      <c r="P59" s="13">
        <f>SUM(P60:P72)</f>
        <v>75</v>
      </c>
      <c r="Q59" s="13">
        <f>SUM(Q60:Q72)</f>
        <v>121</v>
      </c>
      <c r="R59" s="13">
        <f>SUM(R60:R72)</f>
        <v>64</v>
      </c>
      <c r="S59" s="13">
        <f>SUM(S60:S72)</f>
        <v>57</v>
      </c>
      <c r="T59" s="57"/>
      <c r="U59" s="13">
        <f>SUM(U60:U72)</f>
        <v>111</v>
      </c>
      <c r="V59" s="13">
        <f>SUM(V60:V72)</f>
        <v>291</v>
      </c>
      <c r="W59" s="13">
        <f>SUM(W60:W72)</f>
        <v>402</v>
      </c>
      <c r="X59" s="13">
        <f>SUM(X60:X72)</f>
        <v>310</v>
      </c>
      <c r="Y59" s="13">
        <f>SUM(Y60:Y72)</f>
        <v>92</v>
      </c>
      <c r="CI59" s="45"/>
      <c r="CJ59" s="45"/>
      <c r="CK59" s="45"/>
      <c r="CL59" s="45"/>
      <c r="CM59" s="45"/>
    </row>
    <row r="60" spans="1:91" s="49" customFormat="1">
      <c r="A60" s="9" t="s">
        <v>20</v>
      </c>
      <c r="B60" s="10" t="s">
        <v>112</v>
      </c>
      <c r="C60" s="12">
        <v>0</v>
      </c>
      <c r="D60" s="12">
        <v>2</v>
      </c>
      <c r="E60" s="12">
        <v>2</v>
      </c>
      <c r="F60" s="12">
        <v>0</v>
      </c>
      <c r="G60" s="12">
        <v>2</v>
      </c>
      <c r="H60" s="12"/>
      <c r="I60" s="70">
        <v>0</v>
      </c>
      <c r="J60" s="12">
        <v>0</v>
      </c>
      <c r="K60" s="12">
        <v>0</v>
      </c>
      <c r="L60" s="12">
        <v>0</v>
      </c>
      <c r="M60" s="12">
        <v>0</v>
      </c>
      <c r="N60" s="73"/>
      <c r="O60" s="12">
        <v>1</v>
      </c>
      <c r="P60" s="12">
        <v>2</v>
      </c>
      <c r="Q60" s="12">
        <v>3</v>
      </c>
      <c r="R60" s="12">
        <v>1</v>
      </c>
      <c r="S60" s="12">
        <v>2</v>
      </c>
      <c r="T60" s="73"/>
      <c r="U60" s="12">
        <v>2</v>
      </c>
      <c r="V60" s="12">
        <v>16</v>
      </c>
      <c r="W60" s="12">
        <v>18</v>
      </c>
      <c r="X60" s="12">
        <v>12</v>
      </c>
      <c r="Y60" s="12">
        <v>6</v>
      </c>
    </row>
    <row r="61" spans="1:91" s="49" customFormat="1">
      <c r="A61" s="9" t="s">
        <v>20</v>
      </c>
      <c r="B61" s="10" t="s">
        <v>113</v>
      </c>
      <c r="C61" s="12">
        <v>6</v>
      </c>
      <c r="D61" s="12">
        <v>8</v>
      </c>
      <c r="E61" s="12">
        <v>14</v>
      </c>
      <c r="F61" s="12">
        <v>4</v>
      </c>
      <c r="G61" s="12">
        <v>10</v>
      </c>
      <c r="H61" s="12"/>
      <c r="I61" s="70">
        <v>0</v>
      </c>
      <c r="J61" s="12">
        <v>0</v>
      </c>
      <c r="K61" s="12">
        <v>0</v>
      </c>
      <c r="L61" s="12">
        <v>0</v>
      </c>
      <c r="M61" s="12">
        <v>0</v>
      </c>
      <c r="N61" s="73"/>
      <c r="O61" s="12">
        <v>3</v>
      </c>
      <c r="P61" s="12">
        <v>4</v>
      </c>
      <c r="Q61" s="12">
        <v>7</v>
      </c>
      <c r="R61" s="12">
        <v>7</v>
      </c>
      <c r="S61" s="12">
        <v>0</v>
      </c>
      <c r="T61" s="73"/>
      <c r="U61" s="12">
        <v>2</v>
      </c>
      <c r="V61" s="12">
        <v>22</v>
      </c>
      <c r="W61" s="12">
        <v>24</v>
      </c>
      <c r="X61" s="12">
        <v>22</v>
      </c>
      <c r="Y61" s="12">
        <v>2</v>
      </c>
    </row>
    <row r="62" spans="1:91" s="49" customFormat="1">
      <c r="A62" s="9" t="s">
        <v>20</v>
      </c>
      <c r="B62" s="10" t="s">
        <v>114</v>
      </c>
      <c r="C62" s="12">
        <v>7</v>
      </c>
      <c r="D62" s="12">
        <v>1</v>
      </c>
      <c r="E62" s="12">
        <v>8</v>
      </c>
      <c r="F62" s="12">
        <v>1</v>
      </c>
      <c r="G62" s="12">
        <v>7</v>
      </c>
      <c r="H62" s="12"/>
      <c r="I62" s="70">
        <v>0</v>
      </c>
      <c r="J62" s="12">
        <v>0</v>
      </c>
      <c r="K62" s="12">
        <v>0</v>
      </c>
      <c r="L62" s="12">
        <v>0</v>
      </c>
      <c r="M62" s="12">
        <v>0</v>
      </c>
      <c r="N62" s="73"/>
      <c r="O62" s="12">
        <v>0</v>
      </c>
      <c r="P62" s="12">
        <v>1</v>
      </c>
      <c r="Q62" s="12">
        <v>1</v>
      </c>
      <c r="R62" s="12">
        <v>0</v>
      </c>
      <c r="S62" s="12">
        <v>1</v>
      </c>
      <c r="T62" s="73"/>
      <c r="U62" s="12">
        <v>7</v>
      </c>
      <c r="V62" s="12">
        <v>14</v>
      </c>
      <c r="W62" s="12">
        <v>21</v>
      </c>
      <c r="X62" s="12">
        <v>18</v>
      </c>
      <c r="Y62" s="12">
        <v>3</v>
      </c>
    </row>
    <row r="63" spans="1:91" s="49" customFormat="1">
      <c r="A63" s="9" t="s">
        <v>20</v>
      </c>
      <c r="B63" s="10" t="s">
        <v>115</v>
      </c>
      <c r="C63" s="12">
        <v>2</v>
      </c>
      <c r="D63" s="12">
        <v>1</v>
      </c>
      <c r="E63" s="12">
        <v>3</v>
      </c>
      <c r="F63" s="12">
        <v>0</v>
      </c>
      <c r="G63" s="12">
        <v>3</v>
      </c>
      <c r="H63" s="12"/>
      <c r="I63" s="70">
        <v>0</v>
      </c>
      <c r="J63" s="12">
        <v>0</v>
      </c>
      <c r="K63" s="12">
        <v>0</v>
      </c>
      <c r="L63" s="12">
        <v>0</v>
      </c>
      <c r="M63" s="12">
        <v>0</v>
      </c>
      <c r="N63" s="73"/>
      <c r="O63" s="12">
        <v>2</v>
      </c>
      <c r="P63" s="12">
        <v>2</v>
      </c>
      <c r="Q63" s="12">
        <v>4</v>
      </c>
      <c r="R63" s="12">
        <v>3</v>
      </c>
      <c r="S63" s="12">
        <v>1</v>
      </c>
      <c r="T63" s="73"/>
      <c r="U63" s="12">
        <v>6</v>
      </c>
      <c r="V63" s="12">
        <v>4</v>
      </c>
      <c r="W63" s="12">
        <v>10</v>
      </c>
      <c r="X63" s="12">
        <v>8</v>
      </c>
      <c r="Y63" s="12">
        <v>2</v>
      </c>
    </row>
    <row r="64" spans="1:91" s="49" customFormat="1">
      <c r="A64" s="9" t="s">
        <v>20</v>
      </c>
      <c r="B64" s="10" t="s">
        <v>116</v>
      </c>
      <c r="C64" s="12">
        <v>6</v>
      </c>
      <c r="D64" s="12">
        <v>7</v>
      </c>
      <c r="E64" s="12">
        <v>13</v>
      </c>
      <c r="F64" s="12">
        <v>11</v>
      </c>
      <c r="G64" s="12">
        <v>2</v>
      </c>
      <c r="H64" s="12"/>
      <c r="I64" s="70">
        <v>0</v>
      </c>
      <c r="J64" s="12">
        <v>1</v>
      </c>
      <c r="K64" s="12">
        <v>1</v>
      </c>
      <c r="L64" s="12">
        <v>1</v>
      </c>
      <c r="M64" s="12">
        <v>0</v>
      </c>
      <c r="N64" s="73"/>
      <c r="O64" s="12">
        <v>8</v>
      </c>
      <c r="P64" s="12">
        <v>10</v>
      </c>
      <c r="Q64" s="12">
        <v>18</v>
      </c>
      <c r="R64" s="12">
        <v>2</v>
      </c>
      <c r="S64" s="12">
        <v>16</v>
      </c>
      <c r="T64" s="73"/>
      <c r="U64" s="12">
        <v>4</v>
      </c>
      <c r="V64" s="12">
        <v>21</v>
      </c>
      <c r="W64" s="12">
        <v>25</v>
      </c>
      <c r="X64" s="12">
        <v>18</v>
      </c>
      <c r="Y64" s="12">
        <v>7</v>
      </c>
    </row>
    <row r="65" spans="1:94" s="49" customFormat="1">
      <c r="A65" s="9" t="s">
        <v>20</v>
      </c>
      <c r="B65" s="10" t="s">
        <v>117</v>
      </c>
      <c r="C65" s="12">
        <v>5</v>
      </c>
      <c r="D65" s="12">
        <v>15</v>
      </c>
      <c r="E65" s="12">
        <v>20</v>
      </c>
      <c r="F65" s="12">
        <v>9</v>
      </c>
      <c r="G65" s="12">
        <v>11</v>
      </c>
      <c r="H65" s="12"/>
      <c r="I65" s="70">
        <v>0</v>
      </c>
      <c r="J65" s="12">
        <v>0</v>
      </c>
      <c r="K65" s="12">
        <v>0</v>
      </c>
      <c r="L65" s="12">
        <v>0</v>
      </c>
      <c r="M65" s="12">
        <v>0</v>
      </c>
      <c r="N65" s="73"/>
      <c r="O65" s="12">
        <v>5</v>
      </c>
      <c r="P65" s="12">
        <v>13</v>
      </c>
      <c r="Q65" s="12">
        <v>18</v>
      </c>
      <c r="R65" s="12">
        <v>7</v>
      </c>
      <c r="S65" s="12">
        <v>11</v>
      </c>
      <c r="T65" s="73"/>
      <c r="U65" s="12">
        <v>9</v>
      </c>
      <c r="V65" s="12">
        <v>19</v>
      </c>
      <c r="W65" s="12">
        <v>28</v>
      </c>
      <c r="X65" s="12">
        <v>21</v>
      </c>
      <c r="Y65" s="12">
        <v>7</v>
      </c>
    </row>
    <row r="66" spans="1:94" s="49" customFormat="1">
      <c r="A66" s="9" t="s">
        <v>20</v>
      </c>
      <c r="B66" s="10" t="s">
        <v>118</v>
      </c>
      <c r="C66" s="12">
        <v>10</v>
      </c>
      <c r="D66" s="12">
        <v>6</v>
      </c>
      <c r="E66" s="12">
        <v>16</v>
      </c>
      <c r="F66" s="12">
        <v>2</v>
      </c>
      <c r="G66" s="12">
        <v>14</v>
      </c>
      <c r="H66" s="12"/>
      <c r="I66" s="70">
        <v>0</v>
      </c>
      <c r="J66" s="12">
        <v>0</v>
      </c>
      <c r="K66" s="12">
        <v>0</v>
      </c>
      <c r="L66" s="12">
        <v>0</v>
      </c>
      <c r="M66" s="12">
        <v>0</v>
      </c>
      <c r="N66" s="73"/>
      <c r="O66" s="12">
        <v>0</v>
      </c>
      <c r="P66" s="12">
        <v>3</v>
      </c>
      <c r="Q66" s="12">
        <v>3</v>
      </c>
      <c r="R66" s="12">
        <v>2</v>
      </c>
      <c r="S66" s="12">
        <v>1</v>
      </c>
      <c r="T66" s="73"/>
      <c r="U66" s="12">
        <v>4</v>
      </c>
      <c r="V66" s="12">
        <v>11</v>
      </c>
      <c r="W66" s="12">
        <v>15</v>
      </c>
      <c r="X66" s="12">
        <v>11</v>
      </c>
      <c r="Y66" s="12">
        <v>4</v>
      </c>
    </row>
    <row r="67" spans="1:94" s="49" customFormat="1">
      <c r="A67" s="9" t="s">
        <v>20</v>
      </c>
      <c r="B67" s="10" t="s">
        <v>119</v>
      </c>
      <c r="C67" s="12">
        <v>11</v>
      </c>
      <c r="D67" s="12">
        <v>18</v>
      </c>
      <c r="E67" s="12">
        <v>29</v>
      </c>
      <c r="F67" s="12">
        <v>22</v>
      </c>
      <c r="G67" s="12">
        <v>7</v>
      </c>
      <c r="H67" s="12"/>
      <c r="I67" s="70">
        <v>1</v>
      </c>
      <c r="J67" s="12">
        <v>5</v>
      </c>
      <c r="K67" s="12">
        <v>6</v>
      </c>
      <c r="L67" s="12">
        <v>6</v>
      </c>
      <c r="M67" s="12">
        <v>0</v>
      </c>
      <c r="N67" s="73"/>
      <c r="O67" s="12">
        <v>7</v>
      </c>
      <c r="P67" s="12">
        <v>7</v>
      </c>
      <c r="Q67" s="12">
        <v>14</v>
      </c>
      <c r="R67" s="12">
        <v>9</v>
      </c>
      <c r="S67" s="12">
        <v>5</v>
      </c>
      <c r="T67" s="73"/>
      <c r="U67" s="12">
        <v>20</v>
      </c>
      <c r="V67" s="12">
        <v>34</v>
      </c>
      <c r="W67" s="12">
        <v>54</v>
      </c>
      <c r="X67" s="12">
        <v>45</v>
      </c>
      <c r="Y67" s="12">
        <v>9</v>
      </c>
    </row>
    <row r="68" spans="1:94" s="49" customFormat="1">
      <c r="A68" s="9" t="s">
        <v>20</v>
      </c>
      <c r="B68" s="10" t="s">
        <v>120</v>
      </c>
      <c r="C68" s="12">
        <v>2</v>
      </c>
      <c r="D68" s="12">
        <v>0</v>
      </c>
      <c r="E68" s="12">
        <v>2</v>
      </c>
      <c r="F68" s="12">
        <v>0</v>
      </c>
      <c r="G68" s="12">
        <v>2</v>
      </c>
      <c r="H68" s="12"/>
      <c r="I68" s="70">
        <v>0</v>
      </c>
      <c r="J68" s="12">
        <v>0</v>
      </c>
      <c r="K68" s="12">
        <v>0</v>
      </c>
      <c r="L68" s="12">
        <v>0</v>
      </c>
      <c r="M68" s="12">
        <v>0</v>
      </c>
      <c r="N68" s="73"/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73"/>
      <c r="U68" s="12">
        <v>2</v>
      </c>
      <c r="V68" s="12">
        <v>3</v>
      </c>
      <c r="W68" s="12">
        <v>5</v>
      </c>
      <c r="X68" s="12">
        <v>2</v>
      </c>
      <c r="Y68" s="12">
        <v>3</v>
      </c>
    </row>
    <row r="69" spans="1:94" s="49" customFormat="1">
      <c r="A69" s="9" t="s">
        <v>20</v>
      </c>
      <c r="B69" s="10" t="s">
        <v>121</v>
      </c>
      <c r="C69" s="12">
        <v>7</v>
      </c>
      <c r="D69" s="12">
        <v>12</v>
      </c>
      <c r="E69" s="12">
        <v>19</v>
      </c>
      <c r="F69" s="12">
        <v>13</v>
      </c>
      <c r="G69" s="12">
        <v>6</v>
      </c>
      <c r="H69" s="12"/>
      <c r="I69" s="70">
        <v>0</v>
      </c>
      <c r="J69" s="12">
        <v>0</v>
      </c>
      <c r="K69" s="12">
        <v>0</v>
      </c>
      <c r="L69" s="12">
        <v>0</v>
      </c>
      <c r="M69" s="12">
        <v>0</v>
      </c>
      <c r="N69" s="73"/>
      <c r="O69" s="12">
        <v>0</v>
      </c>
      <c r="P69" s="12">
        <v>15</v>
      </c>
      <c r="Q69" s="12">
        <v>15</v>
      </c>
      <c r="R69" s="12">
        <v>12</v>
      </c>
      <c r="S69" s="12">
        <v>3</v>
      </c>
      <c r="T69" s="73"/>
      <c r="U69" s="12">
        <v>10</v>
      </c>
      <c r="V69" s="12">
        <v>28</v>
      </c>
      <c r="W69" s="12">
        <v>38</v>
      </c>
      <c r="X69" s="12">
        <v>32</v>
      </c>
      <c r="Y69" s="12">
        <v>6</v>
      </c>
    </row>
    <row r="70" spans="1:94" s="49" customFormat="1">
      <c r="A70" s="9" t="s">
        <v>20</v>
      </c>
      <c r="B70" s="10" t="s">
        <v>122</v>
      </c>
      <c r="C70" s="12">
        <v>22</v>
      </c>
      <c r="D70" s="12">
        <v>12</v>
      </c>
      <c r="E70" s="12">
        <v>34</v>
      </c>
      <c r="F70" s="12">
        <v>8</v>
      </c>
      <c r="G70" s="12">
        <v>26</v>
      </c>
      <c r="H70" s="12"/>
      <c r="I70" s="70">
        <v>0</v>
      </c>
      <c r="J70" s="12">
        <v>0</v>
      </c>
      <c r="K70" s="12">
        <v>0</v>
      </c>
      <c r="L70" s="12">
        <v>0</v>
      </c>
      <c r="M70" s="12">
        <v>0</v>
      </c>
      <c r="N70" s="73"/>
      <c r="O70" s="12">
        <v>12</v>
      </c>
      <c r="P70" s="12">
        <v>3</v>
      </c>
      <c r="Q70" s="12">
        <v>15</v>
      </c>
      <c r="R70" s="12">
        <v>4</v>
      </c>
      <c r="S70" s="12">
        <v>11</v>
      </c>
      <c r="T70" s="73"/>
      <c r="U70" s="12">
        <v>24</v>
      </c>
      <c r="V70" s="12">
        <v>48</v>
      </c>
      <c r="W70" s="12">
        <v>72</v>
      </c>
      <c r="X70" s="12">
        <v>37</v>
      </c>
      <c r="Y70" s="12">
        <v>35</v>
      </c>
    </row>
    <row r="71" spans="1:94" s="49" customFormat="1">
      <c r="A71" s="9" t="s">
        <v>20</v>
      </c>
      <c r="B71" s="10" t="s">
        <v>123</v>
      </c>
      <c r="C71" s="12">
        <v>0</v>
      </c>
      <c r="D71" s="12">
        <v>2</v>
      </c>
      <c r="E71" s="12">
        <v>2</v>
      </c>
      <c r="F71" s="12">
        <v>0</v>
      </c>
      <c r="G71" s="12">
        <v>2</v>
      </c>
      <c r="H71" s="12"/>
      <c r="I71" s="70">
        <v>0</v>
      </c>
      <c r="J71" s="12">
        <v>0</v>
      </c>
      <c r="K71" s="12">
        <v>0</v>
      </c>
      <c r="L71" s="12">
        <v>0</v>
      </c>
      <c r="M71" s="12">
        <v>0</v>
      </c>
      <c r="N71" s="73"/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73"/>
      <c r="U71" s="12">
        <v>2</v>
      </c>
      <c r="V71" s="12">
        <v>12</v>
      </c>
      <c r="W71" s="12">
        <v>14</v>
      </c>
      <c r="X71" s="12">
        <v>12</v>
      </c>
      <c r="Y71" s="12">
        <v>2</v>
      </c>
    </row>
    <row r="72" spans="1:94" s="49" customFormat="1">
      <c r="A72" s="16" t="s">
        <v>20</v>
      </c>
      <c r="B72" s="17" t="s">
        <v>124</v>
      </c>
      <c r="C72" s="18">
        <v>9</v>
      </c>
      <c r="D72" s="18">
        <v>50</v>
      </c>
      <c r="E72" s="18">
        <v>59</v>
      </c>
      <c r="F72" s="18">
        <v>36</v>
      </c>
      <c r="G72" s="18">
        <v>23</v>
      </c>
      <c r="H72" s="18"/>
      <c r="I72" s="71">
        <v>1</v>
      </c>
      <c r="J72" s="18">
        <v>1</v>
      </c>
      <c r="K72" s="18">
        <v>2</v>
      </c>
      <c r="L72" s="18">
        <v>0</v>
      </c>
      <c r="M72" s="18">
        <v>2</v>
      </c>
      <c r="N72" s="74"/>
      <c r="O72" s="18">
        <v>8</v>
      </c>
      <c r="P72" s="18">
        <v>15</v>
      </c>
      <c r="Q72" s="18">
        <v>23</v>
      </c>
      <c r="R72" s="18">
        <v>17</v>
      </c>
      <c r="S72" s="18">
        <v>6</v>
      </c>
      <c r="T72" s="74"/>
      <c r="U72" s="18">
        <v>19</v>
      </c>
      <c r="V72" s="18">
        <v>59</v>
      </c>
      <c r="W72" s="18">
        <v>78</v>
      </c>
      <c r="X72" s="18">
        <v>72</v>
      </c>
      <c r="Y72" s="18">
        <v>6</v>
      </c>
    </row>
    <row r="73" spans="1:94" s="48" customFormat="1">
      <c r="A73" s="79" t="s">
        <v>21</v>
      </c>
      <c r="B73" s="8" t="s">
        <v>0</v>
      </c>
      <c r="C73" s="13">
        <f>SUM(C74:C88)</f>
        <v>81</v>
      </c>
      <c r="D73" s="13">
        <f>SUM(D74:D88)</f>
        <v>94</v>
      </c>
      <c r="E73" s="13">
        <f>SUM(E74:E88)</f>
        <v>175</v>
      </c>
      <c r="F73" s="13">
        <f>SUM(F74:F88)</f>
        <v>111</v>
      </c>
      <c r="G73" s="13">
        <f>SUM(G74:G88)</f>
        <v>64</v>
      </c>
      <c r="H73" s="13"/>
      <c r="I73" s="56">
        <f>SUM(I74:I88)</f>
        <v>8</v>
      </c>
      <c r="J73" s="13">
        <f>SUM(J74:J88)</f>
        <v>5</v>
      </c>
      <c r="K73" s="13">
        <f>SUM(K74:K88)</f>
        <v>13</v>
      </c>
      <c r="L73" s="13">
        <f>SUM(L74:L88)</f>
        <v>10</v>
      </c>
      <c r="M73" s="13">
        <f>SUM(M74:M88)</f>
        <v>3</v>
      </c>
      <c r="N73" s="57"/>
      <c r="O73" s="13">
        <f>SUM(O74:O88)</f>
        <v>28</v>
      </c>
      <c r="P73" s="13">
        <f>SUM(P74:P88)</f>
        <v>112</v>
      </c>
      <c r="Q73" s="13">
        <f>SUM(Q74:Q88)</f>
        <v>140</v>
      </c>
      <c r="R73" s="13">
        <f>SUM(R74:R88)</f>
        <v>115</v>
      </c>
      <c r="S73" s="13">
        <f>SUM(S74:S88)</f>
        <v>25</v>
      </c>
      <c r="T73" s="57"/>
      <c r="U73" s="13">
        <f>SUM(U74:U88)</f>
        <v>70</v>
      </c>
      <c r="V73" s="13">
        <f>SUM(V74:V88)</f>
        <v>411</v>
      </c>
      <c r="W73" s="13">
        <f>SUM(W74:W88)</f>
        <v>481</v>
      </c>
      <c r="X73" s="13">
        <f>SUM(X74:X88)</f>
        <v>432</v>
      </c>
      <c r="Y73" s="13">
        <f>SUM(Y74:Y88)</f>
        <v>49</v>
      </c>
      <c r="CI73" s="45"/>
      <c r="CJ73" s="45"/>
      <c r="CK73" s="45"/>
      <c r="CL73" s="45"/>
      <c r="CM73" s="45"/>
    </row>
    <row r="74" spans="1:94" s="49" customFormat="1">
      <c r="A74" s="9" t="s">
        <v>21</v>
      </c>
      <c r="B74" s="10" t="s">
        <v>125</v>
      </c>
      <c r="C74" s="12">
        <v>8</v>
      </c>
      <c r="D74" s="12">
        <v>6</v>
      </c>
      <c r="E74" s="12">
        <v>14</v>
      </c>
      <c r="F74" s="12">
        <v>7</v>
      </c>
      <c r="G74" s="12">
        <v>7</v>
      </c>
      <c r="H74" s="12"/>
      <c r="I74" s="70">
        <v>0</v>
      </c>
      <c r="J74" s="12">
        <v>0</v>
      </c>
      <c r="K74" s="12">
        <v>0</v>
      </c>
      <c r="L74" s="12">
        <v>0</v>
      </c>
      <c r="M74" s="12">
        <v>0</v>
      </c>
      <c r="N74" s="73"/>
      <c r="O74" s="12">
        <v>4</v>
      </c>
      <c r="P74" s="12">
        <v>4</v>
      </c>
      <c r="Q74" s="12">
        <v>8</v>
      </c>
      <c r="R74" s="12">
        <v>6</v>
      </c>
      <c r="S74" s="12">
        <v>2</v>
      </c>
      <c r="T74" s="73"/>
      <c r="U74" s="12">
        <v>14</v>
      </c>
      <c r="V74" s="12">
        <v>51</v>
      </c>
      <c r="W74" s="12">
        <v>65</v>
      </c>
      <c r="X74" s="12">
        <v>46</v>
      </c>
      <c r="Y74" s="12">
        <v>19</v>
      </c>
    </row>
    <row r="75" spans="1:94" s="49" customFormat="1">
      <c r="A75" s="9" t="s">
        <v>21</v>
      </c>
      <c r="B75" s="10" t="s">
        <v>126</v>
      </c>
      <c r="C75" s="12">
        <v>0</v>
      </c>
      <c r="D75" s="12">
        <v>3</v>
      </c>
      <c r="E75" s="12">
        <v>3</v>
      </c>
      <c r="F75" s="12">
        <v>2</v>
      </c>
      <c r="G75" s="12">
        <v>1</v>
      </c>
      <c r="H75" s="12"/>
      <c r="I75" s="70">
        <v>0</v>
      </c>
      <c r="J75" s="12">
        <v>0</v>
      </c>
      <c r="K75" s="12">
        <v>0</v>
      </c>
      <c r="L75" s="12">
        <v>0</v>
      </c>
      <c r="M75" s="12">
        <v>0</v>
      </c>
      <c r="N75" s="73"/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73"/>
      <c r="U75" s="12">
        <v>1</v>
      </c>
      <c r="V75" s="12">
        <v>12</v>
      </c>
      <c r="W75" s="12">
        <v>13</v>
      </c>
      <c r="X75" s="12">
        <v>12</v>
      </c>
      <c r="Y75" s="12">
        <v>1</v>
      </c>
    </row>
    <row r="76" spans="1:94" s="49" customFormat="1">
      <c r="A76" s="9" t="s">
        <v>21</v>
      </c>
      <c r="B76" s="10" t="s">
        <v>127</v>
      </c>
      <c r="C76" s="12">
        <v>1</v>
      </c>
      <c r="D76" s="12">
        <v>2</v>
      </c>
      <c r="E76" s="12">
        <v>3</v>
      </c>
      <c r="F76" s="12">
        <v>1</v>
      </c>
      <c r="G76" s="12">
        <v>2</v>
      </c>
      <c r="H76" s="12"/>
      <c r="I76" s="70">
        <v>0</v>
      </c>
      <c r="J76" s="12">
        <v>0</v>
      </c>
      <c r="K76" s="12">
        <v>0</v>
      </c>
      <c r="L76" s="12">
        <v>0</v>
      </c>
      <c r="M76" s="12">
        <v>0</v>
      </c>
      <c r="N76" s="73"/>
      <c r="O76" s="12">
        <v>3</v>
      </c>
      <c r="P76" s="12">
        <v>3</v>
      </c>
      <c r="Q76" s="12">
        <v>6</v>
      </c>
      <c r="R76" s="12">
        <v>6</v>
      </c>
      <c r="S76" s="12">
        <v>0</v>
      </c>
      <c r="T76" s="73"/>
      <c r="U76" s="12">
        <v>4</v>
      </c>
      <c r="V76" s="12">
        <v>18</v>
      </c>
      <c r="W76" s="12">
        <v>22</v>
      </c>
      <c r="X76" s="12">
        <v>20</v>
      </c>
      <c r="Y76" s="12">
        <v>2</v>
      </c>
    </row>
    <row r="77" spans="1:94" s="49" customFormat="1">
      <c r="A77" s="9" t="s">
        <v>21</v>
      </c>
      <c r="B77" s="10" t="s">
        <v>128</v>
      </c>
      <c r="C77" s="12">
        <v>1</v>
      </c>
      <c r="D77" s="12">
        <v>1</v>
      </c>
      <c r="E77" s="12">
        <v>2</v>
      </c>
      <c r="F77" s="12">
        <v>1</v>
      </c>
      <c r="G77" s="12">
        <v>1</v>
      </c>
      <c r="H77" s="12"/>
      <c r="I77" s="70">
        <v>0</v>
      </c>
      <c r="J77" s="12">
        <v>0</v>
      </c>
      <c r="K77" s="12">
        <v>0</v>
      </c>
      <c r="L77" s="12">
        <v>0</v>
      </c>
      <c r="M77" s="12">
        <v>0</v>
      </c>
      <c r="N77" s="73"/>
      <c r="O77" s="12">
        <v>1</v>
      </c>
      <c r="P77" s="12">
        <v>1</v>
      </c>
      <c r="Q77" s="12">
        <v>2</v>
      </c>
      <c r="R77" s="12">
        <v>1</v>
      </c>
      <c r="S77" s="12">
        <v>1</v>
      </c>
      <c r="T77" s="73"/>
      <c r="U77" s="12">
        <v>0</v>
      </c>
      <c r="V77" s="12">
        <v>7</v>
      </c>
      <c r="W77" s="12">
        <v>7</v>
      </c>
      <c r="X77" s="12">
        <v>3</v>
      </c>
      <c r="Y77" s="12">
        <v>4</v>
      </c>
    </row>
    <row r="78" spans="1:94" s="49" customFormat="1">
      <c r="A78" s="9" t="s">
        <v>21</v>
      </c>
      <c r="B78" s="10" t="s">
        <v>129</v>
      </c>
      <c r="C78" s="12">
        <v>1</v>
      </c>
      <c r="D78" s="12">
        <v>5</v>
      </c>
      <c r="E78" s="12">
        <v>6</v>
      </c>
      <c r="F78" s="12">
        <v>6</v>
      </c>
      <c r="G78" s="12">
        <v>0</v>
      </c>
      <c r="H78" s="12"/>
      <c r="I78" s="70">
        <v>0</v>
      </c>
      <c r="J78" s="12">
        <v>1</v>
      </c>
      <c r="K78" s="12">
        <v>1</v>
      </c>
      <c r="L78" s="12">
        <v>1</v>
      </c>
      <c r="M78" s="12">
        <v>0</v>
      </c>
      <c r="N78" s="73"/>
      <c r="O78" s="12">
        <v>1</v>
      </c>
      <c r="P78" s="12">
        <v>10</v>
      </c>
      <c r="Q78" s="12">
        <v>11</v>
      </c>
      <c r="R78" s="12">
        <v>9</v>
      </c>
      <c r="S78" s="12">
        <v>2</v>
      </c>
      <c r="T78" s="73"/>
      <c r="U78" s="12">
        <v>8</v>
      </c>
      <c r="V78" s="12">
        <v>27</v>
      </c>
      <c r="W78" s="12">
        <v>35</v>
      </c>
      <c r="X78" s="12">
        <v>33</v>
      </c>
      <c r="Y78" s="12">
        <v>2</v>
      </c>
    </row>
    <row r="79" spans="1:94" s="49" customFormat="1">
      <c r="A79" s="9" t="s">
        <v>21</v>
      </c>
      <c r="B79" s="10" t="s">
        <v>130</v>
      </c>
      <c r="C79" s="12">
        <v>5</v>
      </c>
      <c r="D79" s="12">
        <v>13</v>
      </c>
      <c r="E79" s="12">
        <v>18</v>
      </c>
      <c r="F79" s="12">
        <v>9</v>
      </c>
      <c r="G79" s="12">
        <v>9</v>
      </c>
      <c r="H79" s="12"/>
      <c r="I79" s="70">
        <v>0</v>
      </c>
      <c r="J79" s="12">
        <v>0</v>
      </c>
      <c r="K79" s="12">
        <v>0</v>
      </c>
      <c r="L79" s="12">
        <v>0</v>
      </c>
      <c r="M79" s="12">
        <v>0</v>
      </c>
      <c r="N79" s="73"/>
      <c r="O79" s="12">
        <v>2</v>
      </c>
      <c r="P79" s="12">
        <v>13</v>
      </c>
      <c r="Q79" s="12">
        <v>15</v>
      </c>
      <c r="R79" s="12">
        <v>11</v>
      </c>
      <c r="S79" s="12">
        <v>4</v>
      </c>
      <c r="T79" s="73"/>
      <c r="U79" s="12">
        <v>7</v>
      </c>
      <c r="V79" s="12">
        <v>36</v>
      </c>
      <c r="W79" s="12">
        <v>43</v>
      </c>
      <c r="X79" s="12">
        <v>42</v>
      </c>
      <c r="Y79" s="12">
        <v>1</v>
      </c>
      <c r="CP79" s="39"/>
    </row>
    <row r="80" spans="1:94" s="49" customFormat="1">
      <c r="A80" s="9" t="s">
        <v>21</v>
      </c>
      <c r="B80" s="10" t="s">
        <v>131</v>
      </c>
      <c r="C80" s="12">
        <v>7</v>
      </c>
      <c r="D80" s="12">
        <v>22</v>
      </c>
      <c r="E80" s="12">
        <v>29</v>
      </c>
      <c r="F80" s="12">
        <v>20</v>
      </c>
      <c r="G80" s="12">
        <v>9</v>
      </c>
      <c r="H80" s="12"/>
      <c r="I80" s="70">
        <v>0</v>
      </c>
      <c r="J80" s="12">
        <v>1</v>
      </c>
      <c r="K80" s="12">
        <v>1</v>
      </c>
      <c r="L80" s="12">
        <v>1</v>
      </c>
      <c r="M80" s="12">
        <v>0</v>
      </c>
      <c r="N80" s="73"/>
      <c r="O80" s="12">
        <v>4</v>
      </c>
      <c r="P80" s="12">
        <v>27</v>
      </c>
      <c r="Q80" s="12">
        <v>31</v>
      </c>
      <c r="R80" s="12">
        <v>30</v>
      </c>
      <c r="S80" s="12">
        <v>1</v>
      </c>
      <c r="T80" s="73"/>
      <c r="U80" s="12">
        <v>1</v>
      </c>
      <c r="V80" s="12">
        <v>103</v>
      </c>
      <c r="W80" s="12">
        <v>104</v>
      </c>
      <c r="X80" s="12">
        <v>103</v>
      </c>
      <c r="Y80" s="12">
        <v>1</v>
      </c>
      <c r="CP80" s="39"/>
    </row>
    <row r="81" spans="1:94" s="49" customFormat="1">
      <c r="A81" s="9" t="s">
        <v>21</v>
      </c>
      <c r="B81" s="10" t="s">
        <v>132</v>
      </c>
      <c r="C81" s="12">
        <v>7</v>
      </c>
      <c r="D81" s="12">
        <v>2</v>
      </c>
      <c r="E81" s="12">
        <v>9</v>
      </c>
      <c r="F81" s="12">
        <v>7</v>
      </c>
      <c r="G81" s="12">
        <v>2</v>
      </c>
      <c r="H81" s="12"/>
      <c r="I81" s="70">
        <v>0</v>
      </c>
      <c r="J81" s="12">
        <v>0</v>
      </c>
      <c r="K81" s="12">
        <v>0</v>
      </c>
      <c r="L81" s="12">
        <v>0</v>
      </c>
      <c r="M81" s="12">
        <v>0</v>
      </c>
      <c r="N81" s="73"/>
      <c r="O81" s="12">
        <v>4</v>
      </c>
      <c r="P81" s="12">
        <v>7</v>
      </c>
      <c r="Q81" s="12">
        <v>11</v>
      </c>
      <c r="R81" s="12">
        <v>9</v>
      </c>
      <c r="S81" s="12">
        <v>2</v>
      </c>
      <c r="T81" s="73"/>
      <c r="U81" s="12">
        <v>9</v>
      </c>
      <c r="V81" s="12">
        <v>23</v>
      </c>
      <c r="W81" s="12">
        <v>32</v>
      </c>
      <c r="X81" s="12">
        <v>26</v>
      </c>
      <c r="Y81" s="12">
        <v>6</v>
      </c>
      <c r="CP81" s="39"/>
    </row>
    <row r="82" spans="1:94" s="49" customFormat="1">
      <c r="A82" s="9" t="s">
        <v>21</v>
      </c>
      <c r="B82" s="10" t="s">
        <v>133</v>
      </c>
      <c r="C82" s="12">
        <v>1</v>
      </c>
      <c r="D82" s="12">
        <v>3</v>
      </c>
      <c r="E82" s="12">
        <v>4</v>
      </c>
      <c r="F82" s="12">
        <v>4</v>
      </c>
      <c r="G82" s="12">
        <v>0</v>
      </c>
      <c r="H82" s="12"/>
      <c r="I82" s="70">
        <v>0</v>
      </c>
      <c r="J82" s="12">
        <v>0</v>
      </c>
      <c r="K82" s="12">
        <v>0</v>
      </c>
      <c r="L82" s="12">
        <v>0</v>
      </c>
      <c r="M82" s="12">
        <v>0</v>
      </c>
      <c r="N82" s="73"/>
      <c r="O82" s="12">
        <v>0</v>
      </c>
      <c r="P82" s="12">
        <v>10</v>
      </c>
      <c r="Q82" s="12">
        <v>10</v>
      </c>
      <c r="R82" s="12">
        <v>10</v>
      </c>
      <c r="S82" s="12">
        <v>0</v>
      </c>
      <c r="T82" s="73"/>
      <c r="U82" s="12">
        <v>5</v>
      </c>
      <c r="V82" s="12">
        <v>28</v>
      </c>
      <c r="W82" s="12">
        <v>33</v>
      </c>
      <c r="X82" s="12">
        <v>33</v>
      </c>
      <c r="Y82" s="12">
        <v>0</v>
      </c>
      <c r="CP82" s="39"/>
    </row>
    <row r="83" spans="1:94" s="49" customFormat="1">
      <c r="A83" s="9" t="s">
        <v>21</v>
      </c>
      <c r="B83" s="10" t="s">
        <v>134</v>
      </c>
      <c r="C83" s="12">
        <v>0</v>
      </c>
      <c r="D83" s="12">
        <v>5</v>
      </c>
      <c r="E83" s="12">
        <v>5</v>
      </c>
      <c r="F83" s="12">
        <v>2</v>
      </c>
      <c r="G83" s="12">
        <v>3</v>
      </c>
      <c r="H83" s="12"/>
      <c r="I83" s="70">
        <v>0</v>
      </c>
      <c r="J83" s="12">
        <v>0</v>
      </c>
      <c r="K83" s="12">
        <v>0</v>
      </c>
      <c r="L83" s="12">
        <v>0</v>
      </c>
      <c r="M83" s="12">
        <v>0</v>
      </c>
      <c r="N83" s="73"/>
      <c r="O83" s="12">
        <v>0</v>
      </c>
      <c r="P83" s="12">
        <v>8</v>
      </c>
      <c r="Q83" s="12">
        <v>8</v>
      </c>
      <c r="R83" s="12">
        <v>8</v>
      </c>
      <c r="S83" s="12">
        <v>0</v>
      </c>
      <c r="T83" s="73"/>
      <c r="U83" s="12">
        <v>0</v>
      </c>
      <c r="V83" s="12">
        <v>7</v>
      </c>
      <c r="W83" s="12">
        <v>7</v>
      </c>
      <c r="X83" s="12">
        <v>7</v>
      </c>
      <c r="Y83" s="12">
        <v>0</v>
      </c>
      <c r="CP83" s="39"/>
    </row>
    <row r="84" spans="1:94" s="49" customFormat="1">
      <c r="A84" s="9" t="s">
        <v>21</v>
      </c>
      <c r="B84" s="10" t="s">
        <v>135</v>
      </c>
      <c r="C84" s="12">
        <v>32</v>
      </c>
      <c r="D84" s="12">
        <v>18</v>
      </c>
      <c r="E84" s="12">
        <v>50</v>
      </c>
      <c r="F84" s="12">
        <v>27</v>
      </c>
      <c r="G84" s="12">
        <v>23</v>
      </c>
      <c r="H84" s="12"/>
      <c r="I84" s="70">
        <v>8</v>
      </c>
      <c r="J84" s="12">
        <v>3</v>
      </c>
      <c r="K84" s="12">
        <v>11</v>
      </c>
      <c r="L84" s="12">
        <v>8</v>
      </c>
      <c r="M84" s="12">
        <v>3</v>
      </c>
      <c r="N84" s="73"/>
      <c r="O84" s="12">
        <v>2</v>
      </c>
      <c r="P84" s="12">
        <v>12</v>
      </c>
      <c r="Q84" s="12">
        <v>14</v>
      </c>
      <c r="R84" s="12">
        <v>10</v>
      </c>
      <c r="S84" s="12">
        <v>4</v>
      </c>
      <c r="T84" s="73"/>
      <c r="U84" s="12">
        <v>11</v>
      </c>
      <c r="V84" s="12">
        <v>31</v>
      </c>
      <c r="W84" s="12">
        <v>42</v>
      </c>
      <c r="X84" s="12">
        <v>38</v>
      </c>
      <c r="Y84" s="12">
        <v>4</v>
      </c>
      <c r="CP84" s="39"/>
    </row>
    <row r="85" spans="1:94" s="49" customFormat="1">
      <c r="A85" s="9" t="s">
        <v>21</v>
      </c>
      <c r="B85" s="10" t="s">
        <v>136</v>
      </c>
      <c r="C85" s="12">
        <v>11</v>
      </c>
      <c r="D85" s="12">
        <v>9</v>
      </c>
      <c r="E85" s="12">
        <v>20</v>
      </c>
      <c r="F85" s="12">
        <v>14</v>
      </c>
      <c r="G85" s="12">
        <v>6</v>
      </c>
      <c r="H85" s="12"/>
      <c r="I85" s="70">
        <v>0</v>
      </c>
      <c r="J85" s="12">
        <v>0</v>
      </c>
      <c r="K85" s="12">
        <v>0</v>
      </c>
      <c r="L85" s="12">
        <v>0</v>
      </c>
      <c r="M85" s="12">
        <v>0</v>
      </c>
      <c r="N85" s="73"/>
      <c r="O85" s="12">
        <v>4</v>
      </c>
      <c r="P85" s="12">
        <v>7</v>
      </c>
      <c r="Q85" s="12">
        <v>11</v>
      </c>
      <c r="R85" s="12">
        <v>8</v>
      </c>
      <c r="S85" s="12">
        <v>3</v>
      </c>
      <c r="T85" s="73"/>
      <c r="U85" s="12">
        <v>3</v>
      </c>
      <c r="V85" s="12">
        <v>27</v>
      </c>
      <c r="W85" s="12">
        <v>30</v>
      </c>
      <c r="X85" s="12">
        <v>26</v>
      </c>
      <c r="Y85" s="12">
        <v>4</v>
      </c>
      <c r="CP85" s="39"/>
    </row>
    <row r="86" spans="1:94" s="49" customFormat="1">
      <c r="A86" s="9" t="s">
        <v>21</v>
      </c>
      <c r="B86" s="10" t="s">
        <v>137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/>
      <c r="I86" s="70">
        <v>0</v>
      </c>
      <c r="J86" s="12">
        <v>0</v>
      </c>
      <c r="K86" s="12">
        <v>0</v>
      </c>
      <c r="L86" s="12">
        <v>0</v>
      </c>
      <c r="M86" s="12">
        <v>0</v>
      </c>
      <c r="N86" s="73"/>
      <c r="O86" s="12">
        <v>0</v>
      </c>
      <c r="P86" s="12">
        <v>1</v>
      </c>
      <c r="Q86" s="12">
        <v>1</v>
      </c>
      <c r="R86" s="12">
        <v>0</v>
      </c>
      <c r="S86" s="12">
        <v>1</v>
      </c>
      <c r="T86" s="73"/>
      <c r="U86" s="12">
        <v>1</v>
      </c>
      <c r="V86" s="12">
        <v>5</v>
      </c>
      <c r="W86" s="12">
        <v>6</v>
      </c>
      <c r="X86" s="12">
        <v>6</v>
      </c>
      <c r="Y86" s="12">
        <v>0</v>
      </c>
      <c r="CP86" s="39"/>
    </row>
    <row r="87" spans="1:94" s="49" customFormat="1">
      <c r="A87" s="9" t="s">
        <v>21</v>
      </c>
      <c r="B87" s="10" t="s">
        <v>138</v>
      </c>
      <c r="C87" s="12">
        <v>7</v>
      </c>
      <c r="D87" s="12">
        <v>5</v>
      </c>
      <c r="E87" s="12">
        <v>12</v>
      </c>
      <c r="F87" s="12">
        <v>11</v>
      </c>
      <c r="G87" s="12">
        <v>1</v>
      </c>
      <c r="H87" s="12"/>
      <c r="I87" s="70">
        <v>0</v>
      </c>
      <c r="J87" s="12">
        <v>0</v>
      </c>
      <c r="K87" s="12">
        <v>0</v>
      </c>
      <c r="L87" s="12">
        <v>0</v>
      </c>
      <c r="M87" s="12">
        <v>0</v>
      </c>
      <c r="N87" s="73"/>
      <c r="O87" s="12">
        <v>2</v>
      </c>
      <c r="P87" s="12">
        <v>5</v>
      </c>
      <c r="Q87" s="12">
        <v>7</v>
      </c>
      <c r="R87" s="12">
        <v>3</v>
      </c>
      <c r="S87" s="12">
        <v>4</v>
      </c>
      <c r="T87" s="73"/>
      <c r="U87" s="12">
        <v>6</v>
      </c>
      <c r="V87" s="12">
        <v>27</v>
      </c>
      <c r="W87" s="12">
        <v>33</v>
      </c>
      <c r="X87" s="12">
        <v>31</v>
      </c>
      <c r="Y87" s="12">
        <v>2</v>
      </c>
      <c r="CP87" s="39"/>
    </row>
    <row r="88" spans="1:94" s="49" customFormat="1">
      <c r="A88" s="16" t="s">
        <v>21</v>
      </c>
      <c r="B88" s="17" t="s">
        <v>139</v>
      </c>
      <c r="C88" s="18">
        <v>0</v>
      </c>
      <c r="D88" s="18">
        <v>0</v>
      </c>
      <c r="E88" s="18">
        <v>0</v>
      </c>
      <c r="F88" s="18">
        <v>0</v>
      </c>
      <c r="G88" s="18">
        <v>0</v>
      </c>
      <c r="H88" s="18"/>
      <c r="I88" s="71">
        <v>0</v>
      </c>
      <c r="J88" s="18">
        <v>0</v>
      </c>
      <c r="K88" s="18">
        <v>0</v>
      </c>
      <c r="L88" s="18">
        <v>0</v>
      </c>
      <c r="M88" s="18">
        <v>0</v>
      </c>
      <c r="N88" s="74"/>
      <c r="O88" s="18">
        <v>1</v>
      </c>
      <c r="P88" s="18">
        <v>4</v>
      </c>
      <c r="Q88" s="18">
        <v>5</v>
      </c>
      <c r="R88" s="18">
        <v>4</v>
      </c>
      <c r="S88" s="18">
        <v>1</v>
      </c>
      <c r="T88" s="74"/>
      <c r="U88" s="18">
        <v>0</v>
      </c>
      <c r="V88" s="18">
        <v>9</v>
      </c>
      <c r="W88" s="18">
        <v>9</v>
      </c>
      <c r="X88" s="18">
        <v>6</v>
      </c>
      <c r="Y88" s="18">
        <v>3</v>
      </c>
      <c r="CP88" s="39"/>
    </row>
    <row r="89" spans="1:94" s="48" customFormat="1">
      <c r="A89" s="79" t="s">
        <v>22</v>
      </c>
      <c r="B89" s="8" t="s">
        <v>0</v>
      </c>
      <c r="C89" s="13">
        <f>SUM(C90:C102)</f>
        <v>15</v>
      </c>
      <c r="D89" s="13">
        <f>SUM(D90:D102)</f>
        <v>57</v>
      </c>
      <c r="E89" s="13">
        <f>SUM(E90:E102)</f>
        <v>72</v>
      </c>
      <c r="F89" s="13">
        <f>SUM(F90:F102)</f>
        <v>29</v>
      </c>
      <c r="G89" s="13">
        <f>SUM(G90:G102)</f>
        <v>43</v>
      </c>
      <c r="H89" s="13"/>
      <c r="I89" s="56">
        <f>SUM(I90:I102)</f>
        <v>1</v>
      </c>
      <c r="J89" s="13">
        <f>SUM(J90:J102)</f>
        <v>0</v>
      </c>
      <c r="K89" s="13">
        <f>SUM(K90:K102)</f>
        <v>1</v>
      </c>
      <c r="L89" s="13">
        <f>SUM(L90:L102)</f>
        <v>1</v>
      </c>
      <c r="M89" s="13">
        <f>SUM(M90:M102)</f>
        <v>0</v>
      </c>
      <c r="N89" s="57"/>
      <c r="O89" s="13">
        <f>SUM(O90:O102)</f>
        <v>14</v>
      </c>
      <c r="P89" s="13">
        <f>SUM(P90:P102)</f>
        <v>51</v>
      </c>
      <c r="Q89" s="13">
        <f>SUM(Q90:Q102)</f>
        <v>65</v>
      </c>
      <c r="R89" s="13">
        <f>SUM(R90:R102)</f>
        <v>49</v>
      </c>
      <c r="S89" s="13">
        <f>SUM(S90:S102)</f>
        <v>16</v>
      </c>
      <c r="T89" s="57"/>
      <c r="U89" s="13">
        <f>SUM(U90:U102)</f>
        <v>37</v>
      </c>
      <c r="V89" s="13">
        <f>SUM(V90:V102)</f>
        <v>257</v>
      </c>
      <c r="W89" s="13">
        <f>SUM(W90:W102)</f>
        <v>294</v>
      </c>
      <c r="X89" s="13">
        <f>SUM(X90:X102)</f>
        <v>254</v>
      </c>
      <c r="Y89" s="13">
        <f>SUM(Y90:Y102)</f>
        <v>40</v>
      </c>
      <c r="CI89" s="45"/>
      <c r="CJ89" s="45"/>
      <c r="CK89" s="45"/>
      <c r="CL89" s="45"/>
      <c r="CM89" s="45"/>
      <c r="CP89" s="39"/>
    </row>
    <row r="90" spans="1:94" s="49" customFormat="1">
      <c r="A90" s="9" t="s">
        <v>22</v>
      </c>
      <c r="B90" s="10" t="s">
        <v>140</v>
      </c>
      <c r="C90" s="12">
        <v>0</v>
      </c>
      <c r="D90" s="12">
        <v>1</v>
      </c>
      <c r="E90" s="12">
        <v>1</v>
      </c>
      <c r="F90" s="12">
        <v>0</v>
      </c>
      <c r="G90" s="12">
        <v>1</v>
      </c>
      <c r="H90" s="12"/>
      <c r="I90" s="70">
        <v>0</v>
      </c>
      <c r="J90" s="12">
        <v>0</v>
      </c>
      <c r="K90" s="12">
        <v>0</v>
      </c>
      <c r="L90" s="12">
        <v>0</v>
      </c>
      <c r="M90" s="12">
        <v>0</v>
      </c>
      <c r="N90" s="73"/>
      <c r="O90" s="12">
        <v>0</v>
      </c>
      <c r="P90" s="12">
        <v>6</v>
      </c>
      <c r="Q90" s="12">
        <v>6</v>
      </c>
      <c r="R90" s="12">
        <v>5</v>
      </c>
      <c r="S90" s="12">
        <v>1</v>
      </c>
      <c r="T90" s="73"/>
      <c r="U90" s="12">
        <v>2</v>
      </c>
      <c r="V90" s="12">
        <v>10</v>
      </c>
      <c r="W90" s="12">
        <v>12</v>
      </c>
      <c r="X90" s="12">
        <v>9</v>
      </c>
      <c r="Y90" s="12">
        <v>3</v>
      </c>
      <c r="CP90" s="39"/>
    </row>
    <row r="91" spans="1:94" s="49" customFormat="1">
      <c r="A91" s="9" t="s">
        <v>22</v>
      </c>
      <c r="B91" s="10" t="s">
        <v>141</v>
      </c>
      <c r="C91" s="12">
        <v>3</v>
      </c>
      <c r="D91" s="12">
        <v>4</v>
      </c>
      <c r="E91" s="12">
        <v>7</v>
      </c>
      <c r="F91" s="12">
        <v>5</v>
      </c>
      <c r="G91" s="12">
        <v>2</v>
      </c>
      <c r="H91" s="12"/>
      <c r="I91" s="70">
        <v>0</v>
      </c>
      <c r="J91" s="12">
        <v>0</v>
      </c>
      <c r="K91" s="12">
        <v>0</v>
      </c>
      <c r="L91" s="12">
        <v>0</v>
      </c>
      <c r="M91" s="12">
        <v>0</v>
      </c>
      <c r="N91" s="73"/>
      <c r="O91" s="12">
        <v>0</v>
      </c>
      <c r="P91" s="12">
        <v>1</v>
      </c>
      <c r="Q91" s="12">
        <v>1</v>
      </c>
      <c r="R91" s="12">
        <v>1</v>
      </c>
      <c r="S91" s="12">
        <v>0</v>
      </c>
      <c r="T91" s="73"/>
      <c r="U91" s="12">
        <v>1</v>
      </c>
      <c r="V91" s="12">
        <v>16</v>
      </c>
      <c r="W91" s="12">
        <v>17</v>
      </c>
      <c r="X91" s="12">
        <v>15</v>
      </c>
      <c r="Y91" s="12">
        <v>2</v>
      </c>
      <c r="CP91" s="39"/>
    </row>
    <row r="92" spans="1:94" s="49" customFormat="1">
      <c r="A92" s="9" t="s">
        <v>22</v>
      </c>
      <c r="B92" s="10" t="s">
        <v>142</v>
      </c>
      <c r="C92" s="12">
        <v>1</v>
      </c>
      <c r="D92" s="12">
        <v>4</v>
      </c>
      <c r="E92" s="12">
        <v>5</v>
      </c>
      <c r="F92" s="12">
        <v>0</v>
      </c>
      <c r="G92" s="12">
        <v>5</v>
      </c>
      <c r="H92" s="12"/>
      <c r="I92" s="70">
        <v>0</v>
      </c>
      <c r="J92" s="12">
        <v>0</v>
      </c>
      <c r="K92" s="12">
        <v>0</v>
      </c>
      <c r="L92" s="12">
        <v>0</v>
      </c>
      <c r="M92" s="12">
        <v>0</v>
      </c>
      <c r="N92" s="73"/>
      <c r="O92" s="12">
        <v>1</v>
      </c>
      <c r="P92" s="12">
        <v>3</v>
      </c>
      <c r="Q92" s="12">
        <v>4</v>
      </c>
      <c r="R92" s="12">
        <v>4</v>
      </c>
      <c r="S92" s="12">
        <v>0</v>
      </c>
      <c r="T92" s="73"/>
      <c r="U92" s="12">
        <v>9</v>
      </c>
      <c r="V92" s="12">
        <v>19</v>
      </c>
      <c r="W92" s="12">
        <v>28</v>
      </c>
      <c r="X92" s="12">
        <v>27</v>
      </c>
      <c r="Y92" s="12">
        <v>1</v>
      </c>
      <c r="CP92" s="39"/>
    </row>
    <row r="93" spans="1:94" s="49" customFormat="1">
      <c r="A93" s="9" t="s">
        <v>22</v>
      </c>
      <c r="B93" s="10" t="s">
        <v>143</v>
      </c>
      <c r="C93" s="12">
        <v>0</v>
      </c>
      <c r="D93" s="12">
        <v>3</v>
      </c>
      <c r="E93" s="12">
        <v>3</v>
      </c>
      <c r="F93" s="12">
        <v>0</v>
      </c>
      <c r="G93" s="12">
        <v>3</v>
      </c>
      <c r="H93" s="12"/>
      <c r="I93" s="70">
        <v>0</v>
      </c>
      <c r="J93" s="12">
        <v>0</v>
      </c>
      <c r="K93" s="12">
        <v>0</v>
      </c>
      <c r="L93" s="12">
        <v>0</v>
      </c>
      <c r="M93" s="12">
        <v>0</v>
      </c>
      <c r="N93" s="73"/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73"/>
      <c r="U93" s="12">
        <v>1</v>
      </c>
      <c r="V93" s="12">
        <v>4</v>
      </c>
      <c r="W93" s="12">
        <v>5</v>
      </c>
      <c r="X93" s="12">
        <v>4</v>
      </c>
      <c r="Y93" s="12">
        <v>1</v>
      </c>
      <c r="CP93" s="39"/>
    </row>
    <row r="94" spans="1:94" s="49" customFormat="1">
      <c r="A94" s="9" t="s">
        <v>22</v>
      </c>
      <c r="B94" s="10" t="s">
        <v>144</v>
      </c>
      <c r="C94" s="12">
        <v>0</v>
      </c>
      <c r="D94" s="12">
        <v>3</v>
      </c>
      <c r="E94" s="12">
        <v>3</v>
      </c>
      <c r="F94" s="12">
        <v>0</v>
      </c>
      <c r="G94" s="12">
        <v>3</v>
      </c>
      <c r="H94" s="12"/>
      <c r="I94" s="70">
        <v>0</v>
      </c>
      <c r="J94" s="12">
        <v>0</v>
      </c>
      <c r="K94" s="12">
        <v>0</v>
      </c>
      <c r="L94" s="12">
        <v>0</v>
      </c>
      <c r="M94" s="12">
        <v>0</v>
      </c>
      <c r="N94" s="73"/>
      <c r="O94" s="12">
        <v>1</v>
      </c>
      <c r="P94" s="12">
        <v>2</v>
      </c>
      <c r="Q94" s="12">
        <v>3</v>
      </c>
      <c r="R94" s="12">
        <v>3</v>
      </c>
      <c r="S94" s="12">
        <v>0</v>
      </c>
      <c r="T94" s="73"/>
      <c r="U94" s="12">
        <v>2</v>
      </c>
      <c r="V94" s="12">
        <v>9</v>
      </c>
      <c r="W94" s="12">
        <v>11</v>
      </c>
      <c r="X94" s="12">
        <v>10</v>
      </c>
      <c r="Y94" s="12">
        <v>1</v>
      </c>
      <c r="CP94" s="39"/>
    </row>
    <row r="95" spans="1:94" s="49" customFormat="1">
      <c r="A95" s="9" t="s">
        <v>22</v>
      </c>
      <c r="B95" s="10" t="s">
        <v>145</v>
      </c>
      <c r="C95" s="12">
        <v>3</v>
      </c>
      <c r="D95" s="12">
        <v>12</v>
      </c>
      <c r="E95" s="12">
        <v>15</v>
      </c>
      <c r="F95" s="12">
        <v>8</v>
      </c>
      <c r="G95" s="12">
        <v>7</v>
      </c>
      <c r="H95" s="12"/>
      <c r="I95" s="70">
        <v>0</v>
      </c>
      <c r="J95" s="12">
        <v>0</v>
      </c>
      <c r="K95" s="12">
        <v>0</v>
      </c>
      <c r="L95" s="12">
        <v>0</v>
      </c>
      <c r="M95" s="12">
        <v>0</v>
      </c>
      <c r="N95" s="73"/>
      <c r="O95" s="12">
        <v>2</v>
      </c>
      <c r="P95" s="12">
        <v>9</v>
      </c>
      <c r="Q95" s="12">
        <v>11</v>
      </c>
      <c r="R95" s="12">
        <v>9</v>
      </c>
      <c r="S95" s="12">
        <v>2</v>
      </c>
      <c r="T95" s="73"/>
      <c r="U95" s="12">
        <v>1</v>
      </c>
      <c r="V95" s="12">
        <v>47</v>
      </c>
      <c r="W95" s="12">
        <v>48</v>
      </c>
      <c r="X95" s="12">
        <v>42</v>
      </c>
      <c r="Y95" s="12">
        <v>6</v>
      </c>
      <c r="CP95" s="39"/>
    </row>
    <row r="96" spans="1:94" s="49" customFormat="1">
      <c r="A96" s="9" t="s">
        <v>22</v>
      </c>
      <c r="B96" s="10" t="s">
        <v>146</v>
      </c>
      <c r="C96" s="12">
        <v>1</v>
      </c>
      <c r="D96" s="12">
        <v>2</v>
      </c>
      <c r="E96" s="12">
        <v>3</v>
      </c>
      <c r="F96" s="12">
        <v>2</v>
      </c>
      <c r="G96" s="12">
        <v>1</v>
      </c>
      <c r="H96" s="12"/>
      <c r="I96" s="70">
        <v>0</v>
      </c>
      <c r="J96" s="12">
        <v>0</v>
      </c>
      <c r="K96" s="12">
        <v>0</v>
      </c>
      <c r="L96" s="12">
        <v>0</v>
      </c>
      <c r="M96" s="12">
        <v>0</v>
      </c>
      <c r="N96" s="73"/>
      <c r="O96" s="12">
        <v>0</v>
      </c>
      <c r="P96" s="12">
        <v>1</v>
      </c>
      <c r="Q96" s="12">
        <v>1</v>
      </c>
      <c r="R96" s="12">
        <v>1</v>
      </c>
      <c r="S96" s="12">
        <v>0</v>
      </c>
      <c r="T96" s="73"/>
      <c r="U96" s="12">
        <v>6</v>
      </c>
      <c r="V96" s="12">
        <v>22</v>
      </c>
      <c r="W96" s="12">
        <v>28</v>
      </c>
      <c r="X96" s="12">
        <v>24</v>
      </c>
      <c r="Y96" s="12">
        <v>4</v>
      </c>
      <c r="CP96" s="39"/>
    </row>
    <row r="97" spans="1:94" s="49" customFormat="1">
      <c r="A97" s="9" t="s">
        <v>22</v>
      </c>
      <c r="B97" s="10" t="s">
        <v>147</v>
      </c>
      <c r="C97" s="12">
        <v>3</v>
      </c>
      <c r="D97" s="12">
        <v>16</v>
      </c>
      <c r="E97" s="12">
        <v>19</v>
      </c>
      <c r="F97" s="12">
        <v>8</v>
      </c>
      <c r="G97" s="12">
        <v>11</v>
      </c>
      <c r="H97" s="12"/>
      <c r="I97" s="70">
        <v>0</v>
      </c>
      <c r="J97" s="12">
        <v>0</v>
      </c>
      <c r="K97" s="12">
        <v>0</v>
      </c>
      <c r="L97" s="12">
        <v>0</v>
      </c>
      <c r="M97" s="12">
        <v>0</v>
      </c>
      <c r="N97" s="73"/>
      <c r="O97" s="12">
        <v>4</v>
      </c>
      <c r="P97" s="12">
        <v>17</v>
      </c>
      <c r="Q97" s="12">
        <v>21</v>
      </c>
      <c r="R97" s="12">
        <v>14</v>
      </c>
      <c r="S97" s="12">
        <v>7</v>
      </c>
      <c r="T97" s="73"/>
      <c r="U97" s="12">
        <v>4</v>
      </c>
      <c r="V97" s="12">
        <v>48</v>
      </c>
      <c r="W97" s="12">
        <v>52</v>
      </c>
      <c r="X97" s="12">
        <v>43</v>
      </c>
      <c r="Y97" s="12">
        <v>9</v>
      </c>
      <c r="CP97" s="39"/>
    </row>
    <row r="98" spans="1:94" s="49" customFormat="1">
      <c r="A98" s="9" t="s">
        <v>22</v>
      </c>
      <c r="B98" s="10" t="s">
        <v>148</v>
      </c>
      <c r="C98" s="12">
        <v>3</v>
      </c>
      <c r="D98" s="12">
        <v>8</v>
      </c>
      <c r="E98" s="12">
        <v>11</v>
      </c>
      <c r="F98" s="12">
        <v>3</v>
      </c>
      <c r="G98" s="12">
        <v>8</v>
      </c>
      <c r="H98" s="12"/>
      <c r="I98" s="70">
        <v>1</v>
      </c>
      <c r="J98" s="12">
        <v>0</v>
      </c>
      <c r="K98" s="12">
        <v>1</v>
      </c>
      <c r="L98" s="12">
        <v>1</v>
      </c>
      <c r="M98" s="12">
        <v>0</v>
      </c>
      <c r="N98" s="73"/>
      <c r="O98" s="12">
        <v>2</v>
      </c>
      <c r="P98" s="12">
        <v>0</v>
      </c>
      <c r="Q98" s="12">
        <v>2</v>
      </c>
      <c r="R98" s="12">
        <v>1</v>
      </c>
      <c r="S98" s="12">
        <v>1</v>
      </c>
      <c r="T98" s="73"/>
      <c r="U98" s="12">
        <v>4</v>
      </c>
      <c r="V98" s="12">
        <v>38</v>
      </c>
      <c r="W98" s="12">
        <v>42</v>
      </c>
      <c r="X98" s="12">
        <v>34</v>
      </c>
      <c r="Y98" s="12">
        <v>8</v>
      </c>
      <c r="CP98" s="39"/>
    </row>
    <row r="99" spans="1:94" s="49" customFormat="1">
      <c r="A99" s="9" t="s">
        <v>22</v>
      </c>
      <c r="B99" s="10" t="s">
        <v>149</v>
      </c>
      <c r="C99" s="12">
        <v>1</v>
      </c>
      <c r="D99" s="12">
        <v>4</v>
      </c>
      <c r="E99" s="12">
        <v>5</v>
      </c>
      <c r="F99" s="12">
        <v>3</v>
      </c>
      <c r="G99" s="12">
        <v>2</v>
      </c>
      <c r="H99" s="12"/>
      <c r="I99" s="70">
        <v>0</v>
      </c>
      <c r="J99" s="12">
        <v>0</v>
      </c>
      <c r="K99" s="12">
        <v>0</v>
      </c>
      <c r="L99" s="12">
        <v>0</v>
      </c>
      <c r="M99" s="12">
        <v>0</v>
      </c>
      <c r="N99" s="73"/>
      <c r="O99" s="12">
        <v>0</v>
      </c>
      <c r="P99" s="12">
        <v>1</v>
      </c>
      <c r="Q99" s="12">
        <v>1</v>
      </c>
      <c r="R99" s="12">
        <v>1</v>
      </c>
      <c r="S99" s="12">
        <v>0</v>
      </c>
      <c r="T99" s="73"/>
      <c r="U99" s="12">
        <v>4</v>
      </c>
      <c r="V99" s="12">
        <v>16</v>
      </c>
      <c r="W99" s="12">
        <v>20</v>
      </c>
      <c r="X99" s="12">
        <v>17</v>
      </c>
      <c r="Y99" s="12">
        <v>3</v>
      </c>
    </row>
    <row r="100" spans="1:94" s="49" customFormat="1">
      <c r="A100" s="9" t="s">
        <v>22</v>
      </c>
      <c r="B100" s="10" t="s">
        <v>150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/>
      <c r="I100" s="70">
        <v>0</v>
      </c>
      <c r="J100" s="12">
        <v>0</v>
      </c>
      <c r="K100" s="12">
        <v>0</v>
      </c>
      <c r="L100" s="12">
        <v>0</v>
      </c>
      <c r="M100" s="12">
        <v>0</v>
      </c>
      <c r="N100" s="73"/>
      <c r="O100" s="12">
        <v>0</v>
      </c>
      <c r="P100" s="12">
        <v>4</v>
      </c>
      <c r="Q100" s="12">
        <v>4</v>
      </c>
      <c r="R100" s="12">
        <v>3</v>
      </c>
      <c r="S100" s="12">
        <v>1</v>
      </c>
      <c r="T100" s="73"/>
      <c r="U100" s="12">
        <v>1</v>
      </c>
      <c r="V100" s="12">
        <v>5</v>
      </c>
      <c r="W100" s="12">
        <v>6</v>
      </c>
      <c r="X100" s="12">
        <v>6</v>
      </c>
      <c r="Y100" s="12">
        <v>0</v>
      </c>
    </row>
    <row r="101" spans="1:94" s="49" customFormat="1">
      <c r="A101" s="9" t="s">
        <v>22</v>
      </c>
      <c r="B101" s="10" t="s">
        <v>151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/>
      <c r="I101" s="70">
        <v>0</v>
      </c>
      <c r="J101" s="12">
        <v>0</v>
      </c>
      <c r="K101" s="12">
        <v>0</v>
      </c>
      <c r="L101" s="12">
        <v>0</v>
      </c>
      <c r="M101" s="12">
        <v>0</v>
      </c>
      <c r="N101" s="73"/>
      <c r="O101" s="12">
        <v>1</v>
      </c>
      <c r="P101" s="12">
        <v>2</v>
      </c>
      <c r="Q101" s="12">
        <v>3</v>
      </c>
      <c r="R101" s="12">
        <v>1</v>
      </c>
      <c r="S101" s="12">
        <v>2</v>
      </c>
      <c r="T101" s="73"/>
      <c r="U101" s="12">
        <v>0</v>
      </c>
      <c r="V101" s="12">
        <v>11</v>
      </c>
      <c r="W101" s="12">
        <v>11</v>
      </c>
      <c r="X101" s="12">
        <v>10</v>
      </c>
      <c r="Y101" s="12">
        <v>1</v>
      </c>
    </row>
    <row r="102" spans="1:94" s="49" customFormat="1">
      <c r="A102" s="16" t="s">
        <v>22</v>
      </c>
      <c r="B102" s="17" t="s">
        <v>152</v>
      </c>
      <c r="C102" s="18">
        <v>0</v>
      </c>
      <c r="D102" s="18">
        <v>0</v>
      </c>
      <c r="E102" s="18">
        <v>0</v>
      </c>
      <c r="F102" s="18">
        <v>0</v>
      </c>
      <c r="G102" s="18">
        <v>0</v>
      </c>
      <c r="H102" s="18"/>
      <c r="I102" s="71">
        <v>0</v>
      </c>
      <c r="J102" s="18">
        <v>0</v>
      </c>
      <c r="K102" s="18">
        <v>0</v>
      </c>
      <c r="L102" s="18">
        <v>0</v>
      </c>
      <c r="M102" s="18">
        <v>0</v>
      </c>
      <c r="N102" s="74"/>
      <c r="O102" s="18">
        <v>3</v>
      </c>
      <c r="P102" s="18">
        <v>5</v>
      </c>
      <c r="Q102" s="18">
        <v>8</v>
      </c>
      <c r="R102" s="18">
        <v>6</v>
      </c>
      <c r="S102" s="18">
        <v>2</v>
      </c>
      <c r="T102" s="74"/>
      <c r="U102" s="18">
        <v>2</v>
      </c>
      <c r="V102" s="18">
        <v>12</v>
      </c>
      <c r="W102" s="18">
        <v>14</v>
      </c>
      <c r="X102" s="18">
        <v>13</v>
      </c>
      <c r="Y102" s="18">
        <v>1</v>
      </c>
    </row>
    <row r="103" spans="1:94" s="48" customFormat="1">
      <c r="A103" s="79" t="s">
        <v>23</v>
      </c>
      <c r="B103" s="8" t="s">
        <v>0</v>
      </c>
      <c r="C103" s="13">
        <f>SUM(C104:C107)</f>
        <v>62</v>
      </c>
      <c r="D103" s="13">
        <f>SUM(D104:D107)</f>
        <v>139</v>
      </c>
      <c r="E103" s="13">
        <f>SUM(E104:E107)</f>
        <v>201</v>
      </c>
      <c r="F103" s="13">
        <f>SUM(F104:F107)</f>
        <v>45</v>
      </c>
      <c r="G103" s="13">
        <f>SUM(G104:G107)</f>
        <v>156</v>
      </c>
      <c r="H103" s="13"/>
      <c r="I103" s="56">
        <f>SUM(I104:I107)</f>
        <v>6</v>
      </c>
      <c r="J103" s="13">
        <f>SUM(J104:J107)</f>
        <v>4</v>
      </c>
      <c r="K103" s="13">
        <f>SUM(K104:K107)</f>
        <v>10</v>
      </c>
      <c r="L103" s="13">
        <f>SUM(L104:L107)</f>
        <v>3</v>
      </c>
      <c r="M103" s="13">
        <f>SUM(M104:M107)</f>
        <v>7</v>
      </c>
      <c r="N103" s="57"/>
      <c r="O103" s="13">
        <f>SUM(O104:O107)</f>
        <v>41</v>
      </c>
      <c r="P103" s="13">
        <f>SUM(P104:P107)</f>
        <v>104</v>
      </c>
      <c r="Q103" s="13">
        <f>SUM(Q104:Q107)</f>
        <v>145</v>
      </c>
      <c r="R103" s="13">
        <f>SUM(R104:R107)</f>
        <v>85</v>
      </c>
      <c r="S103" s="13">
        <f>SUM(S104:S107)</f>
        <v>60</v>
      </c>
      <c r="T103" s="57"/>
      <c r="U103" s="13">
        <f>SUM(U104:U107)</f>
        <v>78</v>
      </c>
      <c r="V103" s="13">
        <f>SUM(V104:V107)</f>
        <v>328</v>
      </c>
      <c r="W103" s="13">
        <f>SUM(W104:W107)</f>
        <v>406</v>
      </c>
      <c r="X103" s="13">
        <f>SUM(X104:X107)</f>
        <v>297</v>
      </c>
      <c r="Y103" s="13">
        <f>SUM(Y104:Y107)</f>
        <v>109</v>
      </c>
      <c r="CI103" s="45"/>
      <c r="CJ103" s="45"/>
      <c r="CK103" s="45"/>
      <c r="CL103" s="45"/>
      <c r="CM103" s="45"/>
    </row>
    <row r="104" spans="1:94" s="49" customFormat="1">
      <c r="A104" s="9" t="s">
        <v>23</v>
      </c>
      <c r="B104" s="10" t="s">
        <v>153</v>
      </c>
      <c r="C104" s="12">
        <v>3</v>
      </c>
      <c r="D104" s="12">
        <v>0</v>
      </c>
      <c r="E104" s="12">
        <v>3</v>
      </c>
      <c r="F104" s="12">
        <v>0</v>
      </c>
      <c r="G104" s="12">
        <v>3</v>
      </c>
      <c r="H104" s="12"/>
      <c r="I104" s="70">
        <v>0</v>
      </c>
      <c r="J104" s="12">
        <v>0</v>
      </c>
      <c r="K104" s="12">
        <v>0</v>
      </c>
      <c r="L104" s="12">
        <v>0</v>
      </c>
      <c r="M104" s="12">
        <v>0</v>
      </c>
      <c r="N104" s="73"/>
      <c r="O104" s="12">
        <v>5</v>
      </c>
      <c r="P104" s="12">
        <v>2</v>
      </c>
      <c r="Q104" s="12">
        <v>7</v>
      </c>
      <c r="R104" s="12">
        <v>5</v>
      </c>
      <c r="S104" s="12">
        <v>2</v>
      </c>
      <c r="T104" s="73"/>
      <c r="U104" s="12">
        <v>15</v>
      </c>
      <c r="V104" s="12">
        <v>13</v>
      </c>
      <c r="W104" s="12">
        <v>28</v>
      </c>
      <c r="X104" s="12">
        <v>17</v>
      </c>
      <c r="Y104" s="12">
        <v>11</v>
      </c>
    </row>
    <row r="105" spans="1:94" s="49" customFormat="1">
      <c r="A105" s="9" t="s">
        <v>23</v>
      </c>
      <c r="B105" s="10" t="s">
        <v>154</v>
      </c>
      <c r="C105" s="12">
        <v>21</v>
      </c>
      <c r="D105" s="12">
        <v>44</v>
      </c>
      <c r="E105" s="12">
        <v>65</v>
      </c>
      <c r="F105" s="12">
        <v>8</v>
      </c>
      <c r="G105" s="12">
        <v>57</v>
      </c>
      <c r="H105" s="12"/>
      <c r="I105" s="70">
        <v>2</v>
      </c>
      <c r="J105" s="12">
        <v>2</v>
      </c>
      <c r="K105" s="12">
        <v>4</v>
      </c>
      <c r="L105" s="12">
        <v>1</v>
      </c>
      <c r="M105" s="12">
        <v>3</v>
      </c>
      <c r="N105" s="73"/>
      <c r="O105" s="12">
        <v>10</v>
      </c>
      <c r="P105" s="12">
        <v>12</v>
      </c>
      <c r="Q105" s="12">
        <v>22</v>
      </c>
      <c r="R105" s="12">
        <v>8</v>
      </c>
      <c r="S105" s="12">
        <v>14</v>
      </c>
      <c r="T105" s="73"/>
      <c r="U105" s="12">
        <v>33</v>
      </c>
      <c r="V105" s="12">
        <v>75</v>
      </c>
      <c r="W105" s="12">
        <v>108</v>
      </c>
      <c r="X105" s="12">
        <v>79</v>
      </c>
      <c r="Y105" s="12">
        <v>29</v>
      </c>
    </row>
    <row r="106" spans="1:94" s="49" customFormat="1">
      <c r="A106" s="9" t="s">
        <v>23</v>
      </c>
      <c r="B106" s="10" t="s">
        <v>155</v>
      </c>
      <c r="C106" s="12">
        <v>11</v>
      </c>
      <c r="D106" s="12">
        <v>14</v>
      </c>
      <c r="E106" s="12">
        <v>25</v>
      </c>
      <c r="F106" s="12">
        <v>3</v>
      </c>
      <c r="G106" s="12">
        <v>22</v>
      </c>
      <c r="H106" s="12"/>
      <c r="I106" s="70">
        <v>0</v>
      </c>
      <c r="J106" s="12">
        <v>0</v>
      </c>
      <c r="K106" s="12">
        <v>0</v>
      </c>
      <c r="L106" s="12">
        <v>0</v>
      </c>
      <c r="M106" s="12">
        <v>0</v>
      </c>
      <c r="N106" s="73"/>
      <c r="O106" s="12">
        <v>7</v>
      </c>
      <c r="P106" s="12">
        <v>8</v>
      </c>
      <c r="Q106" s="12">
        <v>15</v>
      </c>
      <c r="R106" s="12">
        <v>10</v>
      </c>
      <c r="S106" s="12">
        <v>5</v>
      </c>
      <c r="T106" s="73"/>
      <c r="U106" s="12">
        <v>3</v>
      </c>
      <c r="V106" s="12">
        <v>35</v>
      </c>
      <c r="W106" s="12">
        <v>38</v>
      </c>
      <c r="X106" s="12">
        <v>30</v>
      </c>
      <c r="Y106" s="12">
        <v>8</v>
      </c>
    </row>
    <row r="107" spans="1:94" s="49" customFormat="1">
      <c r="A107" s="16" t="s">
        <v>23</v>
      </c>
      <c r="B107" s="17" t="s">
        <v>156</v>
      </c>
      <c r="C107" s="18">
        <v>27</v>
      </c>
      <c r="D107" s="18">
        <v>81</v>
      </c>
      <c r="E107" s="18">
        <v>108</v>
      </c>
      <c r="F107" s="18">
        <v>34</v>
      </c>
      <c r="G107" s="18">
        <v>74</v>
      </c>
      <c r="H107" s="18"/>
      <c r="I107" s="71">
        <v>4</v>
      </c>
      <c r="J107" s="18">
        <v>2</v>
      </c>
      <c r="K107" s="18">
        <v>6</v>
      </c>
      <c r="L107" s="18">
        <v>2</v>
      </c>
      <c r="M107" s="18">
        <v>4</v>
      </c>
      <c r="N107" s="74"/>
      <c r="O107" s="18">
        <v>19</v>
      </c>
      <c r="P107" s="18">
        <v>82</v>
      </c>
      <c r="Q107" s="18">
        <v>101</v>
      </c>
      <c r="R107" s="18">
        <v>62</v>
      </c>
      <c r="S107" s="18">
        <v>39</v>
      </c>
      <c r="T107" s="74"/>
      <c r="U107" s="18">
        <v>27</v>
      </c>
      <c r="V107" s="18">
        <v>205</v>
      </c>
      <c r="W107" s="18">
        <v>232</v>
      </c>
      <c r="X107" s="18">
        <v>171</v>
      </c>
      <c r="Y107" s="18">
        <v>61</v>
      </c>
    </row>
    <row r="108" spans="1:94" s="48" customFormat="1">
      <c r="A108" s="79" t="s">
        <v>24</v>
      </c>
      <c r="B108" s="8" t="s">
        <v>0</v>
      </c>
      <c r="C108" s="13">
        <f>SUM(C109:C117)</f>
        <v>13</v>
      </c>
      <c r="D108" s="13">
        <f>SUM(D109:D117)</f>
        <v>128</v>
      </c>
      <c r="E108" s="13">
        <f>SUM(E109:E117)</f>
        <v>141</v>
      </c>
      <c r="F108" s="13">
        <f>SUM(F109:F117)</f>
        <v>103</v>
      </c>
      <c r="G108" s="13">
        <f>SUM(G109:G117)</f>
        <v>38</v>
      </c>
      <c r="H108" s="13"/>
      <c r="I108" s="56">
        <f>SUM(I109:I117)</f>
        <v>0</v>
      </c>
      <c r="J108" s="13">
        <f>SUM(J109:J117)</f>
        <v>1</v>
      </c>
      <c r="K108" s="13">
        <f>SUM(K109:K117)</f>
        <v>1</v>
      </c>
      <c r="L108" s="13">
        <f>SUM(L109:L117)</f>
        <v>1</v>
      </c>
      <c r="M108" s="13">
        <f>SUM(M109:M117)</f>
        <v>0</v>
      </c>
      <c r="N108" s="57"/>
      <c r="O108" s="13">
        <f>SUM(O109:O117)</f>
        <v>11</v>
      </c>
      <c r="P108" s="13">
        <f>SUM(P109:P117)</f>
        <v>160</v>
      </c>
      <c r="Q108" s="13">
        <f>SUM(Q109:Q117)</f>
        <v>171</v>
      </c>
      <c r="R108" s="13">
        <f>SUM(R109:R117)</f>
        <v>146</v>
      </c>
      <c r="S108" s="13">
        <f>SUM(S109:S117)</f>
        <v>25</v>
      </c>
      <c r="T108" s="57"/>
      <c r="U108" s="13">
        <f>SUM(U109:U117)</f>
        <v>24</v>
      </c>
      <c r="V108" s="13">
        <f>SUM(V109:V117)</f>
        <v>406</v>
      </c>
      <c r="W108" s="13">
        <f>SUM(W109:W117)</f>
        <v>430</v>
      </c>
      <c r="X108" s="13">
        <f>SUM(X109:X117)</f>
        <v>400</v>
      </c>
      <c r="Y108" s="13">
        <f>SUM(Y109:Y117)</f>
        <v>30</v>
      </c>
      <c r="CI108" s="45"/>
      <c r="CJ108" s="45"/>
      <c r="CK108" s="45"/>
      <c r="CL108" s="45"/>
      <c r="CM108" s="45"/>
    </row>
    <row r="109" spans="1:94" s="49" customFormat="1">
      <c r="A109" s="9" t="s">
        <v>24</v>
      </c>
      <c r="B109" s="10" t="s">
        <v>157</v>
      </c>
      <c r="C109" s="12">
        <v>8</v>
      </c>
      <c r="D109" s="12">
        <v>29</v>
      </c>
      <c r="E109" s="12">
        <v>37</v>
      </c>
      <c r="F109" s="12">
        <v>21</v>
      </c>
      <c r="G109" s="12">
        <v>16</v>
      </c>
      <c r="H109" s="12"/>
      <c r="I109" s="70">
        <v>0</v>
      </c>
      <c r="J109" s="12">
        <v>0</v>
      </c>
      <c r="K109" s="12">
        <v>0</v>
      </c>
      <c r="L109" s="12">
        <v>0</v>
      </c>
      <c r="M109" s="12">
        <v>0</v>
      </c>
      <c r="N109" s="73"/>
      <c r="O109" s="12">
        <v>1</v>
      </c>
      <c r="P109" s="12">
        <v>13</v>
      </c>
      <c r="Q109" s="12">
        <v>14</v>
      </c>
      <c r="R109" s="12">
        <v>10</v>
      </c>
      <c r="S109" s="12">
        <v>4</v>
      </c>
      <c r="T109" s="73"/>
      <c r="U109" s="12">
        <v>13</v>
      </c>
      <c r="V109" s="12">
        <v>76</v>
      </c>
      <c r="W109" s="12">
        <v>89</v>
      </c>
      <c r="X109" s="12">
        <v>72</v>
      </c>
      <c r="Y109" s="12">
        <v>17</v>
      </c>
    </row>
    <row r="110" spans="1:94" s="49" customFormat="1">
      <c r="A110" s="9" t="s">
        <v>24</v>
      </c>
      <c r="B110" s="10" t="s">
        <v>158</v>
      </c>
      <c r="C110" s="12">
        <v>1</v>
      </c>
      <c r="D110" s="12">
        <v>3</v>
      </c>
      <c r="E110" s="12">
        <v>4</v>
      </c>
      <c r="F110" s="12">
        <v>2</v>
      </c>
      <c r="G110" s="12">
        <v>2</v>
      </c>
      <c r="H110" s="12"/>
      <c r="I110" s="70">
        <v>0</v>
      </c>
      <c r="J110" s="12">
        <v>0</v>
      </c>
      <c r="K110" s="12">
        <v>0</v>
      </c>
      <c r="L110" s="12">
        <v>0</v>
      </c>
      <c r="M110" s="12">
        <v>0</v>
      </c>
      <c r="N110" s="73"/>
      <c r="O110" s="12">
        <v>1</v>
      </c>
      <c r="P110" s="12">
        <v>14</v>
      </c>
      <c r="Q110" s="12">
        <v>15</v>
      </c>
      <c r="R110" s="12">
        <v>13</v>
      </c>
      <c r="S110" s="12">
        <v>2</v>
      </c>
      <c r="T110" s="73"/>
      <c r="U110" s="12">
        <v>2</v>
      </c>
      <c r="V110" s="12">
        <v>23</v>
      </c>
      <c r="W110" s="12">
        <v>25</v>
      </c>
      <c r="X110" s="12">
        <v>24</v>
      </c>
      <c r="Y110" s="12">
        <v>1</v>
      </c>
    </row>
    <row r="111" spans="1:94" s="49" customFormat="1">
      <c r="A111" s="9" t="s">
        <v>24</v>
      </c>
      <c r="B111" s="10" t="s">
        <v>159</v>
      </c>
      <c r="C111" s="12">
        <v>0</v>
      </c>
      <c r="D111" s="12">
        <v>1</v>
      </c>
      <c r="E111" s="12">
        <v>1</v>
      </c>
      <c r="F111" s="12">
        <v>0</v>
      </c>
      <c r="G111" s="12">
        <v>1</v>
      </c>
      <c r="H111" s="12"/>
      <c r="I111" s="70">
        <v>0</v>
      </c>
      <c r="J111" s="12">
        <v>0</v>
      </c>
      <c r="K111" s="12">
        <v>0</v>
      </c>
      <c r="L111" s="12">
        <v>0</v>
      </c>
      <c r="M111" s="12">
        <v>0</v>
      </c>
      <c r="N111" s="73"/>
      <c r="O111" s="12">
        <v>1</v>
      </c>
      <c r="P111" s="12">
        <v>38</v>
      </c>
      <c r="Q111" s="12">
        <v>39</v>
      </c>
      <c r="R111" s="12">
        <v>35</v>
      </c>
      <c r="S111" s="12">
        <v>4</v>
      </c>
      <c r="T111" s="73"/>
      <c r="U111" s="12">
        <v>1</v>
      </c>
      <c r="V111" s="12">
        <v>37</v>
      </c>
      <c r="W111" s="12">
        <v>38</v>
      </c>
      <c r="X111" s="12">
        <v>38</v>
      </c>
      <c r="Y111" s="12">
        <v>0</v>
      </c>
    </row>
    <row r="112" spans="1:94" s="49" customFormat="1">
      <c r="A112" s="9" t="s">
        <v>24</v>
      </c>
      <c r="B112" s="10" t="s">
        <v>160</v>
      </c>
      <c r="C112" s="12">
        <v>0</v>
      </c>
      <c r="D112" s="12">
        <v>5</v>
      </c>
      <c r="E112" s="12">
        <v>5</v>
      </c>
      <c r="F112" s="12">
        <v>5</v>
      </c>
      <c r="G112" s="12">
        <v>0</v>
      </c>
      <c r="H112" s="12"/>
      <c r="I112" s="70">
        <v>0</v>
      </c>
      <c r="J112" s="12">
        <v>0</v>
      </c>
      <c r="K112" s="12">
        <v>0</v>
      </c>
      <c r="L112" s="12">
        <v>0</v>
      </c>
      <c r="M112" s="12">
        <v>0</v>
      </c>
      <c r="N112" s="73"/>
      <c r="O112" s="12">
        <v>1</v>
      </c>
      <c r="P112" s="12">
        <v>10</v>
      </c>
      <c r="Q112" s="12">
        <v>11</v>
      </c>
      <c r="R112" s="12">
        <v>9</v>
      </c>
      <c r="S112" s="12">
        <v>2</v>
      </c>
      <c r="T112" s="73"/>
      <c r="U112" s="12">
        <v>2</v>
      </c>
      <c r="V112" s="12">
        <v>38</v>
      </c>
      <c r="W112" s="12">
        <v>40</v>
      </c>
      <c r="X112" s="12">
        <v>39</v>
      </c>
      <c r="Y112" s="12">
        <v>1</v>
      </c>
    </row>
    <row r="113" spans="1:91" s="49" customFormat="1">
      <c r="A113" s="9" t="s">
        <v>24</v>
      </c>
      <c r="B113" s="10" t="s">
        <v>161</v>
      </c>
      <c r="C113" s="12">
        <v>0</v>
      </c>
      <c r="D113" s="12">
        <v>1</v>
      </c>
      <c r="E113" s="12">
        <v>1</v>
      </c>
      <c r="F113" s="12">
        <v>1</v>
      </c>
      <c r="G113" s="12">
        <v>0</v>
      </c>
      <c r="H113" s="12"/>
      <c r="I113" s="70">
        <v>0</v>
      </c>
      <c r="J113" s="12">
        <v>0</v>
      </c>
      <c r="K113" s="12">
        <v>0</v>
      </c>
      <c r="L113" s="12">
        <v>0</v>
      </c>
      <c r="M113" s="12">
        <v>0</v>
      </c>
      <c r="N113" s="73"/>
      <c r="O113" s="12">
        <v>1</v>
      </c>
      <c r="P113" s="12">
        <v>4</v>
      </c>
      <c r="Q113" s="12">
        <v>5</v>
      </c>
      <c r="R113" s="12">
        <v>5</v>
      </c>
      <c r="S113" s="12">
        <v>0</v>
      </c>
      <c r="T113" s="73"/>
      <c r="U113" s="12">
        <v>0</v>
      </c>
      <c r="V113" s="12">
        <v>37</v>
      </c>
      <c r="W113" s="12">
        <v>37</v>
      </c>
      <c r="X113" s="12">
        <v>37</v>
      </c>
      <c r="Y113" s="12">
        <v>0</v>
      </c>
    </row>
    <row r="114" spans="1:91" s="49" customFormat="1">
      <c r="A114" s="9" t="s">
        <v>24</v>
      </c>
      <c r="B114" s="10" t="s">
        <v>162</v>
      </c>
      <c r="C114" s="12">
        <v>1</v>
      </c>
      <c r="D114" s="12">
        <v>24</v>
      </c>
      <c r="E114" s="12">
        <v>25</v>
      </c>
      <c r="F114" s="12">
        <v>23</v>
      </c>
      <c r="G114" s="12">
        <v>2</v>
      </c>
      <c r="H114" s="12"/>
      <c r="I114" s="70">
        <v>0</v>
      </c>
      <c r="J114" s="12">
        <v>0</v>
      </c>
      <c r="K114" s="12">
        <v>0</v>
      </c>
      <c r="L114" s="12">
        <v>0</v>
      </c>
      <c r="M114" s="12">
        <v>0</v>
      </c>
      <c r="N114" s="73"/>
      <c r="O114" s="12">
        <v>4</v>
      </c>
      <c r="P114" s="12">
        <v>11</v>
      </c>
      <c r="Q114" s="12">
        <v>15</v>
      </c>
      <c r="R114" s="12">
        <v>14</v>
      </c>
      <c r="S114" s="12">
        <v>1</v>
      </c>
      <c r="T114" s="73"/>
      <c r="U114" s="12">
        <v>5</v>
      </c>
      <c r="V114" s="12">
        <v>36</v>
      </c>
      <c r="W114" s="12">
        <v>41</v>
      </c>
      <c r="X114" s="12">
        <v>41</v>
      </c>
      <c r="Y114" s="12">
        <v>0</v>
      </c>
    </row>
    <row r="115" spans="1:91" s="49" customFormat="1">
      <c r="A115" s="9" t="s">
        <v>24</v>
      </c>
      <c r="B115" s="10" t="s">
        <v>163</v>
      </c>
      <c r="C115" s="12">
        <v>0</v>
      </c>
      <c r="D115" s="12">
        <v>32</v>
      </c>
      <c r="E115" s="12">
        <v>32</v>
      </c>
      <c r="F115" s="12">
        <v>18</v>
      </c>
      <c r="G115" s="12">
        <v>14</v>
      </c>
      <c r="H115" s="12"/>
      <c r="I115" s="70">
        <v>0</v>
      </c>
      <c r="J115" s="12">
        <v>0</v>
      </c>
      <c r="K115" s="12">
        <v>0</v>
      </c>
      <c r="L115" s="12">
        <v>0</v>
      </c>
      <c r="M115" s="12">
        <v>0</v>
      </c>
      <c r="N115" s="73"/>
      <c r="O115" s="12">
        <v>1</v>
      </c>
      <c r="P115" s="12">
        <v>23</v>
      </c>
      <c r="Q115" s="12">
        <v>24</v>
      </c>
      <c r="R115" s="12">
        <v>17</v>
      </c>
      <c r="S115" s="12">
        <v>7</v>
      </c>
      <c r="T115" s="73"/>
      <c r="U115" s="12">
        <v>0</v>
      </c>
      <c r="V115" s="12">
        <v>59</v>
      </c>
      <c r="W115" s="12">
        <v>59</v>
      </c>
      <c r="X115" s="12">
        <v>54</v>
      </c>
      <c r="Y115" s="12">
        <v>5</v>
      </c>
    </row>
    <row r="116" spans="1:91" s="49" customFormat="1">
      <c r="A116" s="9" t="s">
        <v>24</v>
      </c>
      <c r="B116" s="10" t="s">
        <v>164</v>
      </c>
      <c r="C116" s="12">
        <v>0</v>
      </c>
      <c r="D116" s="12">
        <v>28</v>
      </c>
      <c r="E116" s="12">
        <v>28</v>
      </c>
      <c r="F116" s="12">
        <v>25</v>
      </c>
      <c r="G116" s="12">
        <v>3</v>
      </c>
      <c r="H116" s="12"/>
      <c r="I116" s="70">
        <v>0</v>
      </c>
      <c r="J116" s="12">
        <v>0</v>
      </c>
      <c r="K116" s="12">
        <v>0</v>
      </c>
      <c r="L116" s="12">
        <v>0</v>
      </c>
      <c r="M116" s="12">
        <v>0</v>
      </c>
      <c r="N116" s="73"/>
      <c r="O116" s="12">
        <v>0</v>
      </c>
      <c r="P116" s="12">
        <v>33</v>
      </c>
      <c r="Q116" s="12">
        <v>33</v>
      </c>
      <c r="R116" s="12">
        <v>28</v>
      </c>
      <c r="S116" s="12">
        <v>5</v>
      </c>
      <c r="T116" s="73"/>
      <c r="U116" s="12">
        <v>0</v>
      </c>
      <c r="V116" s="12">
        <v>61</v>
      </c>
      <c r="W116" s="12">
        <v>61</v>
      </c>
      <c r="X116" s="12">
        <v>59</v>
      </c>
      <c r="Y116" s="12">
        <v>2</v>
      </c>
    </row>
    <row r="117" spans="1:91">
      <c r="A117" s="16" t="s">
        <v>24</v>
      </c>
      <c r="B117" s="17" t="s">
        <v>165</v>
      </c>
      <c r="C117" s="18">
        <v>3</v>
      </c>
      <c r="D117" s="18">
        <v>5</v>
      </c>
      <c r="E117" s="18">
        <v>8</v>
      </c>
      <c r="F117" s="18">
        <v>8</v>
      </c>
      <c r="G117" s="19">
        <v>0</v>
      </c>
      <c r="H117" s="19"/>
      <c r="I117" s="71">
        <v>0</v>
      </c>
      <c r="J117" s="18">
        <v>1</v>
      </c>
      <c r="K117" s="18">
        <v>1</v>
      </c>
      <c r="L117" s="18">
        <v>1</v>
      </c>
      <c r="M117" s="19">
        <v>0</v>
      </c>
      <c r="N117" s="72"/>
      <c r="O117" s="18">
        <v>1</v>
      </c>
      <c r="P117" s="18">
        <v>14</v>
      </c>
      <c r="Q117" s="18">
        <v>15</v>
      </c>
      <c r="R117" s="18">
        <v>15</v>
      </c>
      <c r="S117" s="19">
        <v>0</v>
      </c>
      <c r="T117" s="72"/>
      <c r="U117" s="18">
        <v>1</v>
      </c>
      <c r="V117" s="18">
        <v>39</v>
      </c>
      <c r="W117" s="18">
        <v>40</v>
      </c>
      <c r="X117" s="18">
        <v>36</v>
      </c>
      <c r="Y117" s="19">
        <v>4</v>
      </c>
    </row>
    <row r="118" spans="1:91" s="48" customFormat="1">
      <c r="A118" s="79" t="s">
        <v>25</v>
      </c>
      <c r="B118" s="8" t="s">
        <v>0</v>
      </c>
      <c r="C118" s="13">
        <f>SUM(C119:C126)</f>
        <v>20</v>
      </c>
      <c r="D118" s="13">
        <f>SUM(D119:D126)</f>
        <v>41</v>
      </c>
      <c r="E118" s="13">
        <f>SUM(E119:E126)</f>
        <v>61</v>
      </c>
      <c r="F118" s="13">
        <f>SUM(F119:F126)</f>
        <v>6</v>
      </c>
      <c r="G118" s="13">
        <f>SUM(G119:G126)</f>
        <v>55</v>
      </c>
      <c r="H118" s="13"/>
      <c r="I118" s="56">
        <f>SUM(I119:I126)</f>
        <v>0</v>
      </c>
      <c r="J118" s="13">
        <f>SUM(J119:J126)</f>
        <v>0</v>
      </c>
      <c r="K118" s="13">
        <f>SUM(K119:K126)</f>
        <v>0</v>
      </c>
      <c r="L118" s="13">
        <f>SUM(L119:L126)</f>
        <v>0</v>
      </c>
      <c r="M118" s="13">
        <f>SUM(M119:M126)</f>
        <v>0</v>
      </c>
      <c r="N118" s="57"/>
      <c r="O118" s="13">
        <f>SUM(O119:O126)</f>
        <v>25</v>
      </c>
      <c r="P118" s="13">
        <f>SUM(P119:P126)</f>
        <v>104</v>
      </c>
      <c r="Q118" s="13">
        <f>SUM(Q119:Q126)</f>
        <v>129</v>
      </c>
      <c r="R118" s="13">
        <f>SUM(R119:R126)</f>
        <v>89</v>
      </c>
      <c r="S118" s="13">
        <f>SUM(S119:S126)</f>
        <v>40</v>
      </c>
      <c r="T118" s="57"/>
      <c r="U118" s="13">
        <f>SUM(U119:U126)</f>
        <v>58</v>
      </c>
      <c r="V118" s="13">
        <f>SUM(V119:V126)</f>
        <v>273</v>
      </c>
      <c r="W118" s="13">
        <f>SUM(W119:W126)</f>
        <v>331</v>
      </c>
      <c r="X118" s="13">
        <f>SUM(X119:X126)</f>
        <v>261</v>
      </c>
      <c r="Y118" s="13">
        <f>SUM(Y119:Y126)</f>
        <v>70</v>
      </c>
      <c r="CI118" s="45"/>
      <c r="CJ118" s="45"/>
      <c r="CK118" s="45"/>
      <c r="CL118" s="45"/>
      <c r="CM118" s="45"/>
    </row>
    <row r="119" spans="1:91" s="49" customFormat="1">
      <c r="A119" s="9" t="s">
        <v>25</v>
      </c>
      <c r="B119" s="10" t="s">
        <v>166</v>
      </c>
      <c r="C119" s="12">
        <v>6</v>
      </c>
      <c r="D119" s="12">
        <v>5</v>
      </c>
      <c r="E119" s="12">
        <v>11</v>
      </c>
      <c r="F119" s="12">
        <v>2</v>
      </c>
      <c r="G119" s="12">
        <v>9</v>
      </c>
      <c r="H119" s="12"/>
      <c r="I119" s="70">
        <v>0</v>
      </c>
      <c r="J119" s="12">
        <v>0</v>
      </c>
      <c r="K119" s="12">
        <v>0</v>
      </c>
      <c r="L119" s="12">
        <v>0</v>
      </c>
      <c r="M119" s="12">
        <v>0</v>
      </c>
      <c r="N119" s="73"/>
      <c r="O119" s="12">
        <v>4</v>
      </c>
      <c r="P119" s="12">
        <v>10</v>
      </c>
      <c r="Q119" s="12">
        <v>14</v>
      </c>
      <c r="R119" s="12">
        <v>8</v>
      </c>
      <c r="S119" s="12">
        <v>6</v>
      </c>
      <c r="T119" s="73"/>
      <c r="U119" s="12">
        <v>24</v>
      </c>
      <c r="V119" s="12">
        <v>51</v>
      </c>
      <c r="W119" s="12">
        <v>75</v>
      </c>
      <c r="X119" s="12">
        <v>50</v>
      </c>
      <c r="Y119" s="12">
        <v>25</v>
      </c>
    </row>
    <row r="120" spans="1:91" s="49" customFormat="1">
      <c r="A120" s="9" t="s">
        <v>25</v>
      </c>
      <c r="B120" s="10" t="s">
        <v>167</v>
      </c>
      <c r="C120" s="12">
        <v>10</v>
      </c>
      <c r="D120" s="12">
        <v>5</v>
      </c>
      <c r="E120" s="12">
        <v>15</v>
      </c>
      <c r="F120" s="12">
        <v>0</v>
      </c>
      <c r="G120" s="12">
        <v>15</v>
      </c>
      <c r="H120" s="12"/>
      <c r="I120" s="70">
        <v>0</v>
      </c>
      <c r="J120" s="12">
        <v>0</v>
      </c>
      <c r="K120" s="12">
        <v>0</v>
      </c>
      <c r="L120" s="12">
        <v>0</v>
      </c>
      <c r="M120" s="12">
        <v>0</v>
      </c>
      <c r="N120" s="73"/>
      <c r="O120" s="12">
        <v>11</v>
      </c>
      <c r="P120" s="12">
        <v>42</v>
      </c>
      <c r="Q120" s="12">
        <v>53</v>
      </c>
      <c r="R120" s="12">
        <v>35</v>
      </c>
      <c r="S120" s="12">
        <v>18</v>
      </c>
      <c r="T120" s="73"/>
      <c r="U120" s="12">
        <v>10</v>
      </c>
      <c r="V120" s="12">
        <v>55</v>
      </c>
      <c r="W120" s="12">
        <v>65</v>
      </c>
      <c r="X120" s="12">
        <v>55</v>
      </c>
      <c r="Y120" s="12">
        <v>10</v>
      </c>
    </row>
    <row r="121" spans="1:91" s="49" customFormat="1">
      <c r="A121" s="9" t="s">
        <v>25</v>
      </c>
      <c r="B121" s="10" t="s">
        <v>168</v>
      </c>
      <c r="C121" s="12">
        <v>0</v>
      </c>
      <c r="D121" s="12">
        <v>7</v>
      </c>
      <c r="E121" s="12">
        <v>7</v>
      </c>
      <c r="F121" s="12">
        <v>1</v>
      </c>
      <c r="G121" s="12">
        <v>6</v>
      </c>
      <c r="H121" s="12"/>
      <c r="I121" s="70">
        <v>0</v>
      </c>
      <c r="J121" s="12">
        <v>0</v>
      </c>
      <c r="K121" s="12">
        <v>0</v>
      </c>
      <c r="L121" s="12">
        <v>0</v>
      </c>
      <c r="M121" s="12">
        <v>0</v>
      </c>
      <c r="N121" s="73"/>
      <c r="O121" s="12">
        <v>0</v>
      </c>
      <c r="P121" s="12">
        <v>17</v>
      </c>
      <c r="Q121" s="12">
        <v>17</v>
      </c>
      <c r="R121" s="12">
        <v>17</v>
      </c>
      <c r="S121" s="12">
        <v>0</v>
      </c>
      <c r="T121" s="73"/>
      <c r="U121" s="12">
        <v>3</v>
      </c>
      <c r="V121" s="12">
        <v>46</v>
      </c>
      <c r="W121" s="12">
        <v>49</v>
      </c>
      <c r="X121" s="12">
        <v>46</v>
      </c>
      <c r="Y121" s="12">
        <v>3</v>
      </c>
    </row>
    <row r="122" spans="1:91" s="49" customFormat="1">
      <c r="A122" s="9" t="s">
        <v>25</v>
      </c>
      <c r="B122" s="10" t="s">
        <v>169</v>
      </c>
      <c r="C122" s="12">
        <v>1</v>
      </c>
      <c r="D122" s="12">
        <v>18</v>
      </c>
      <c r="E122" s="12">
        <v>19</v>
      </c>
      <c r="F122" s="12">
        <v>2</v>
      </c>
      <c r="G122" s="12">
        <v>17</v>
      </c>
      <c r="H122" s="12"/>
      <c r="I122" s="70">
        <v>0</v>
      </c>
      <c r="J122" s="12">
        <v>0</v>
      </c>
      <c r="K122" s="12">
        <v>0</v>
      </c>
      <c r="L122" s="12">
        <v>0</v>
      </c>
      <c r="M122" s="12">
        <v>0</v>
      </c>
      <c r="N122" s="73"/>
      <c r="O122" s="12">
        <v>1</v>
      </c>
      <c r="P122" s="12">
        <v>20</v>
      </c>
      <c r="Q122" s="12">
        <v>21</v>
      </c>
      <c r="R122" s="12">
        <v>15</v>
      </c>
      <c r="S122" s="12">
        <v>6</v>
      </c>
      <c r="T122" s="73"/>
      <c r="U122" s="12">
        <v>1</v>
      </c>
      <c r="V122" s="12">
        <v>32</v>
      </c>
      <c r="W122" s="12">
        <v>33</v>
      </c>
      <c r="X122" s="12">
        <v>32</v>
      </c>
      <c r="Y122" s="12">
        <v>1</v>
      </c>
    </row>
    <row r="123" spans="1:91" s="49" customFormat="1">
      <c r="A123" s="9" t="s">
        <v>25</v>
      </c>
      <c r="B123" s="10" t="s">
        <v>170</v>
      </c>
      <c r="C123" s="12">
        <v>2</v>
      </c>
      <c r="D123" s="12">
        <v>2</v>
      </c>
      <c r="E123" s="12">
        <v>4</v>
      </c>
      <c r="F123" s="12">
        <v>0</v>
      </c>
      <c r="G123" s="12">
        <v>4</v>
      </c>
      <c r="H123" s="12"/>
      <c r="I123" s="70">
        <v>0</v>
      </c>
      <c r="J123" s="12">
        <v>0</v>
      </c>
      <c r="K123" s="12">
        <v>0</v>
      </c>
      <c r="L123" s="12">
        <v>0</v>
      </c>
      <c r="M123" s="12">
        <v>0</v>
      </c>
      <c r="N123" s="73"/>
      <c r="O123" s="12">
        <v>1</v>
      </c>
      <c r="P123" s="12">
        <v>4</v>
      </c>
      <c r="Q123" s="12">
        <v>5</v>
      </c>
      <c r="R123" s="12">
        <v>1</v>
      </c>
      <c r="S123" s="12">
        <v>4</v>
      </c>
      <c r="T123" s="73"/>
      <c r="U123" s="12">
        <v>4</v>
      </c>
      <c r="V123" s="12">
        <v>23</v>
      </c>
      <c r="W123" s="12">
        <v>27</v>
      </c>
      <c r="X123" s="12">
        <v>21</v>
      </c>
      <c r="Y123" s="12">
        <v>6</v>
      </c>
    </row>
    <row r="124" spans="1:91" s="49" customFormat="1">
      <c r="A124" s="9" t="s">
        <v>25</v>
      </c>
      <c r="B124" s="10" t="s">
        <v>171</v>
      </c>
      <c r="C124" s="12">
        <v>1</v>
      </c>
      <c r="D124" s="12">
        <v>2</v>
      </c>
      <c r="E124" s="12">
        <v>3</v>
      </c>
      <c r="F124" s="12">
        <v>0</v>
      </c>
      <c r="G124" s="12">
        <v>3</v>
      </c>
      <c r="H124" s="12"/>
      <c r="I124" s="70">
        <v>0</v>
      </c>
      <c r="J124" s="12">
        <v>0</v>
      </c>
      <c r="K124" s="12">
        <v>0</v>
      </c>
      <c r="L124" s="12">
        <v>0</v>
      </c>
      <c r="M124" s="12">
        <v>0</v>
      </c>
      <c r="N124" s="73"/>
      <c r="O124" s="12">
        <v>2</v>
      </c>
      <c r="P124" s="12">
        <v>2</v>
      </c>
      <c r="Q124" s="12">
        <v>4</v>
      </c>
      <c r="R124" s="12">
        <v>4</v>
      </c>
      <c r="S124" s="12">
        <v>0</v>
      </c>
      <c r="T124" s="73"/>
      <c r="U124" s="12">
        <v>3</v>
      </c>
      <c r="V124" s="12">
        <v>16</v>
      </c>
      <c r="W124" s="12">
        <v>19</v>
      </c>
      <c r="X124" s="12">
        <v>11</v>
      </c>
      <c r="Y124" s="12">
        <v>8</v>
      </c>
    </row>
    <row r="125" spans="1:91" s="49" customFormat="1">
      <c r="A125" s="9" t="s">
        <v>25</v>
      </c>
      <c r="B125" s="10" t="s">
        <v>172</v>
      </c>
      <c r="C125" s="12">
        <v>0</v>
      </c>
      <c r="D125" s="12">
        <v>2</v>
      </c>
      <c r="E125" s="12">
        <v>2</v>
      </c>
      <c r="F125" s="12">
        <v>1</v>
      </c>
      <c r="G125" s="12">
        <v>1</v>
      </c>
      <c r="H125" s="12"/>
      <c r="I125" s="70">
        <v>0</v>
      </c>
      <c r="J125" s="12">
        <v>0</v>
      </c>
      <c r="K125" s="12">
        <v>0</v>
      </c>
      <c r="L125" s="12">
        <v>0</v>
      </c>
      <c r="M125" s="12">
        <v>0</v>
      </c>
      <c r="N125" s="73"/>
      <c r="O125" s="12">
        <v>5</v>
      </c>
      <c r="P125" s="12">
        <v>6</v>
      </c>
      <c r="Q125" s="12">
        <v>11</v>
      </c>
      <c r="R125" s="12">
        <v>6</v>
      </c>
      <c r="S125" s="12">
        <v>5</v>
      </c>
      <c r="T125" s="73"/>
      <c r="U125" s="12">
        <v>7</v>
      </c>
      <c r="V125" s="12">
        <v>28</v>
      </c>
      <c r="W125" s="12">
        <v>35</v>
      </c>
      <c r="X125" s="12">
        <v>25</v>
      </c>
      <c r="Y125" s="12">
        <v>10</v>
      </c>
    </row>
    <row r="126" spans="1:91" s="49" customFormat="1">
      <c r="A126" s="16" t="s">
        <v>25</v>
      </c>
      <c r="B126" s="17" t="s">
        <v>173</v>
      </c>
      <c r="C126" s="18">
        <v>0</v>
      </c>
      <c r="D126" s="18">
        <v>0</v>
      </c>
      <c r="E126" s="18">
        <v>0</v>
      </c>
      <c r="F126" s="18">
        <v>0</v>
      </c>
      <c r="G126" s="18">
        <v>0</v>
      </c>
      <c r="H126" s="18"/>
      <c r="I126" s="71">
        <v>0</v>
      </c>
      <c r="J126" s="18">
        <v>0</v>
      </c>
      <c r="K126" s="18">
        <v>0</v>
      </c>
      <c r="L126" s="18">
        <v>0</v>
      </c>
      <c r="M126" s="18">
        <v>0</v>
      </c>
      <c r="N126" s="74"/>
      <c r="O126" s="18">
        <v>1</v>
      </c>
      <c r="P126" s="18">
        <v>3</v>
      </c>
      <c r="Q126" s="18">
        <v>4</v>
      </c>
      <c r="R126" s="18">
        <v>3</v>
      </c>
      <c r="S126" s="18">
        <v>1</v>
      </c>
      <c r="T126" s="74"/>
      <c r="U126" s="18">
        <v>6</v>
      </c>
      <c r="V126" s="18">
        <v>22</v>
      </c>
      <c r="W126" s="18">
        <v>28</v>
      </c>
      <c r="X126" s="18">
        <v>21</v>
      </c>
      <c r="Y126" s="18">
        <v>7</v>
      </c>
    </row>
    <row r="127" spans="1:91" s="48" customFormat="1">
      <c r="A127" s="79" t="s">
        <v>26</v>
      </c>
      <c r="B127" s="8" t="s">
        <v>0</v>
      </c>
      <c r="C127" s="13">
        <f>SUM(C128:C137)</f>
        <v>30</v>
      </c>
      <c r="D127" s="13">
        <f>SUM(D128:D137)</f>
        <v>38</v>
      </c>
      <c r="E127" s="13">
        <f>SUM(E128:E137)</f>
        <v>68</v>
      </c>
      <c r="F127" s="13">
        <f>SUM(F128:F137)</f>
        <v>20</v>
      </c>
      <c r="G127" s="13">
        <f>SUM(G128:G137)</f>
        <v>48</v>
      </c>
      <c r="H127" s="13"/>
      <c r="I127" s="56">
        <f>SUM(I128:I137)</f>
        <v>2</v>
      </c>
      <c r="J127" s="13">
        <f>SUM(J128:J137)</f>
        <v>2</v>
      </c>
      <c r="K127" s="13">
        <f>SUM(K128:K137)</f>
        <v>4</v>
      </c>
      <c r="L127" s="13">
        <f>SUM(L128:L137)</f>
        <v>2</v>
      </c>
      <c r="M127" s="13">
        <f>SUM(M128:M137)</f>
        <v>2</v>
      </c>
      <c r="N127" s="57"/>
      <c r="O127" s="13">
        <f>SUM(O128:O137)</f>
        <v>33</v>
      </c>
      <c r="P127" s="13">
        <f>SUM(P128:P137)</f>
        <v>88</v>
      </c>
      <c r="Q127" s="13">
        <f>SUM(Q128:Q137)</f>
        <v>121</v>
      </c>
      <c r="R127" s="13">
        <f>SUM(R128:R137)</f>
        <v>81</v>
      </c>
      <c r="S127" s="13">
        <f>SUM(S128:S137)</f>
        <v>40</v>
      </c>
      <c r="T127" s="57"/>
      <c r="U127" s="13">
        <f>SUM(U128:U137)</f>
        <v>57</v>
      </c>
      <c r="V127" s="13">
        <f>SUM(V128:V137)</f>
        <v>280</v>
      </c>
      <c r="W127" s="13">
        <f>SUM(W128:W137)</f>
        <v>337</v>
      </c>
      <c r="X127" s="13">
        <f>SUM(X128:X137)</f>
        <v>292</v>
      </c>
      <c r="Y127" s="13">
        <f>SUM(Y128:Y137)</f>
        <v>45</v>
      </c>
      <c r="CI127" s="45"/>
      <c r="CJ127" s="45"/>
      <c r="CK127" s="45"/>
      <c r="CL127" s="45"/>
      <c r="CM127" s="45"/>
    </row>
    <row r="128" spans="1:91" s="49" customFormat="1">
      <c r="A128" s="61" t="s">
        <v>26</v>
      </c>
      <c r="B128" s="10" t="s">
        <v>174</v>
      </c>
      <c r="C128" s="12">
        <v>1</v>
      </c>
      <c r="D128" s="12">
        <v>1</v>
      </c>
      <c r="E128" s="12">
        <v>2</v>
      </c>
      <c r="F128" s="12">
        <v>0</v>
      </c>
      <c r="G128" s="12">
        <v>2</v>
      </c>
      <c r="H128" s="12"/>
      <c r="I128" s="70">
        <v>0</v>
      </c>
      <c r="J128" s="12">
        <v>0</v>
      </c>
      <c r="K128" s="12">
        <v>0</v>
      </c>
      <c r="L128" s="12">
        <v>0</v>
      </c>
      <c r="M128" s="12">
        <v>0</v>
      </c>
      <c r="N128" s="73"/>
      <c r="O128" s="12">
        <v>0</v>
      </c>
      <c r="P128" s="12">
        <v>6</v>
      </c>
      <c r="Q128" s="12">
        <v>6</v>
      </c>
      <c r="R128" s="12">
        <v>5</v>
      </c>
      <c r="S128" s="12">
        <v>1</v>
      </c>
      <c r="T128" s="73"/>
      <c r="U128" s="12">
        <v>0</v>
      </c>
      <c r="V128" s="12">
        <v>11</v>
      </c>
      <c r="W128" s="12">
        <v>11</v>
      </c>
      <c r="X128" s="12">
        <v>10</v>
      </c>
      <c r="Y128" s="12">
        <v>1</v>
      </c>
    </row>
    <row r="129" spans="1:91" s="49" customFormat="1">
      <c r="A129" s="61" t="s">
        <v>26</v>
      </c>
      <c r="B129" s="10" t="s">
        <v>175</v>
      </c>
      <c r="C129" s="12">
        <v>1</v>
      </c>
      <c r="D129" s="12">
        <v>1</v>
      </c>
      <c r="E129" s="12">
        <v>2</v>
      </c>
      <c r="F129" s="12">
        <v>1</v>
      </c>
      <c r="G129" s="12">
        <v>1</v>
      </c>
      <c r="H129" s="12"/>
      <c r="I129" s="70">
        <v>1</v>
      </c>
      <c r="J129" s="12">
        <v>0</v>
      </c>
      <c r="K129" s="12">
        <v>1</v>
      </c>
      <c r="L129" s="12">
        <v>0</v>
      </c>
      <c r="M129" s="12">
        <v>1</v>
      </c>
      <c r="N129" s="73"/>
      <c r="O129" s="12">
        <v>1</v>
      </c>
      <c r="P129" s="12">
        <v>7</v>
      </c>
      <c r="Q129" s="12">
        <v>8</v>
      </c>
      <c r="R129" s="12">
        <v>8</v>
      </c>
      <c r="S129" s="12">
        <v>0</v>
      </c>
      <c r="T129" s="73"/>
      <c r="U129" s="12">
        <v>4</v>
      </c>
      <c r="V129" s="12">
        <v>15</v>
      </c>
      <c r="W129" s="12">
        <v>19</v>
      </c>
      <c r="X129" s="12">
        <v>14</v>
      </c>
      <c r="Y129" s="12">
        <v>5</v>
      </c>
    </row>
    <row r="130" spans="1:91" s="49" customFormat="1">
      <c r="A130" s="61" t="s">
        <v>26</v>
      </c>
      <c r="B130" s="10" t="s">
        <v>176</v>
      </c>
      <c r="C130" s="12">
        <v>0</v>
      </c>
      <c r="D130" s="12">
        <v>0</v>
      </c>
      <c r="E130" s="12">
        <v>0</v>
      </c>
      <c r="F130" s="12">
        <v>0</v>
      </c>
      <c r="G130" s="12">
        <v>0</v>
      </c>
      <c r="H130" s="12"/>
      <c r="I130" s="70">
        <v>0</v>
      </c>
      <c r="J130" s="12">
        <v>1</v>
      </c>
      <c r="K130" s="12">
        <v>1</v>
      </c>
      <c r="L130" s="12">
        <v>1</v>
      </c>
      <c r="M130" s="12">
        <v>0</v>
      </c>
      <c r="N130" s="73"/>
      <c r="O130" s="12">
        <v>6</v>
      </c>
      <c r="P130" s="12">
        <v>2</v>
      </c>
      <c r="Q130" s="12">
        <v>8</v>
      </c>
      <c r="R130" s="12">
        <v>5</v>
      </c>
      <c r="S130" s="12">
        <v>3</v>
      </c>
      <c r="T130" s="73"/>
      <c r="U130" s="12">
        <v>3</v>
      </c>
      <c r="V130" s="12">
        <v>20</v>
      </c>
      <c r="W130" s="12">
        <v>23</v>
      </c>
      <c r="X130" s="12">
        <v>21</v>
      </c>
      <c r="Y130" s="12">
        <v>2</v>
      </c>
    </row>
    <row r="131" spans="1:91" s="49" customFormat="1">
      <c r="A131" s="61" t="s">
        <v>26</v>
      </c>
      <c r="B131" s="10" t="s">
        <v>177</v>
      </c>
      <c r="C131" s="12">
        <v>8</v>
      </c>
      <c r="D131" s="12">
        <v>11</v>
      </c>
      <c r="E131" s="12">
        <v>19</v>
      </c>
      <c r="F131" s="12">
        <v>7</v>
      </c>
      <c r="G131" s="12">
        <v>12</v>
      </c>
      <c r="H131" s="12"/>
      <c r="I131" s="70">
        <v>0</v>
      </c>
      <c r="J131" s="12">
        <v>0</v>
      </c>
      <c r="K131" s="12">
        <v>0</v>
      </c>
      <c r="L131" s="12">
        <v>0</v>
      </c>
      <c r="M131" s="12">
        <v>0</v>
      </c>
      <c r="N131" s="73"/>
      <c r="O131" s="12">
        <v>6</v>
      </c>
      <c r="P131" s="12">
        <v>17</v>
      </c>
      <c r="Q131" s="12">
        <v>23</v>
      </c>
      <c r="R131" s="12">
        <v>13</v>
      </c>
      <c r="S131" s="12">
        <v>10</v>
      </c>
      <c r="T131" s="73"/>
      <c r="U131" s="12">
        <v>19</v>
      </c>
      <c r="V131" s="12">
        <v>81</v>
      </c>
      <c r="W131" s="12">
        <v>100</v>
      </c>
      <c r="X131" s="12">
        <v>91</v>
      </c>
      <c r="Y131" s="12">
        <v>9</v>
      </c>
    </row>
    <row r="132" spans="1:91" s="49" customFormat="1">
      <c r="A132" s="61" t="s">
        <v>26</v>
      </c>
      <c r="B132" s="10" t="s">
        <v>178</v>
      </c>
      <c r="C132" s="12">
        <v>3</v>
      </c>
      <c r="D132" s="12">
        <v>1</v>
      </c>
      <c r="E132" s="12">
        <v>4</v>
      </c>
      <c r="F132" s="12">
        <v>0</v>
      </c>
      <c r="G132" s="12">
        <v>4</v>
      </c>
      <c r="H132" s="12"/>
      <c r="I132" s="70">
        <v>0</v>
      </c>
      <c r="J132" s="12">
        <v>0</v>
      </c>
      <c r="K132" s="12">
        <v>0</v>
      </c>
      <c r="L132" s="12">
        <v>0</v>
      </c>
      <c r="M132" s="12">
        <v>0</v>
      </c>
      <c r="N132" s="73"/>
      <c r="O132" s="12">
        <v>1</v>
      </c>
      <c r="P132" s="12">
        <v>1</v>
      </c>
      <c r="Q132" s="12">
        <v>2</v>
      </c>
      <c r="R132" s="12">
        <v>0</v>
      </c>
      <c r="S132" s="12">
        <v>2</v>
      </c>
      <c r="T132" s="73"/>
      <c r="U132" s="12">
        <v>2</v>
      </c>
      <c r="V132" s="12">
        <v>7</v>
      </c>
      <c r="W132" s="12">
        <v>9</v>
      </c>
      <c r="X132" s="12">
        <v>5</v>
      </c>
      <c r="Y132" s="12">
        <v>4</v>
      </c>
    </row>
    <row r="133" spans="1:91" s="49" customFormat="1">
      <c r="A133" s="61" t="s">
        <v>26</v>
      </c>
      <c r="B133" s="10" t="s">
        <v>179</v>
      </c>
      <c r="C133" s="12">
        <v>9</v>
      </c>
      <c r="D133" s="12">
        <v>5</v>
      </c>
      <c r="E133" s="12">
        <v>14</v>
      </c>
      <c r="F133" s="12">
        <v>7</v>
      </c>
      <c r="G133" s="12">
        <v>7</v>
      </c>
      <c r="H133" s="12"/>
      <c r="I133" s="70">
        <v>0</v>
      </c>
      <c r="J133" s="12">
        <v>0</v>
      </c>
      <c r="K133" s="12">
        <v>0</v>
      </c>
      <c r="L133" s="12">
        <v>0</v>
      </c>
      <c r="M133" s="12">
        <v>0</v>
      </c>
      <c r="N133" s="73"/>
      <c r="O133" s="12">
        <v>7</v>
      </c>
      <c r="P133" s="12">
        <v>12</v>
      </c>
      <c r="Q133" s="12">
        <v>19</v>
      </c>
      <c r="R133" s="12">
        <v>15</v>
      </c>
      <c r="S133" s="12">
        <v>4</v>
      </c>
      <c r="T133" s="73"/>
      <c r="U133" s="12">
        <v>1</v>
      </c>
      <c r="V133" s="12">
        <v>29</v>
      </c>
      <c r="W133" s="12">
        <v>30</v>
      </c>
      <c r="X133" s="12">
        <v>22</v>
      </c>
      <c r="Y133" s="12">
        <v>8</v>
      </c>
    </row>
    <row r="134" spans="1:91" s="49" customFormat="1">
      <c r="A134" s="61" t="s">
        <v>26</v>
      </c>
      <c r="B134" s="10" t="s">
        <v>180</v>
      </c>
      <c r="C134" s="12">
        <v>0</v>
      </c>
      <c r="D134" s="12">
        <v>4</v>
      </c>
      <c r="E134" s="12">
        <v>4</v>
      </c>
      <c r="F134" s="12">
        <v>0</v>
      </c>
      <c r="G134" s="12">
        <v>4</v>
      </c>
      <c r="H134" s="12"/>
      <c r="I134" s="70">
        <v>0</v>
      </c>
      <c r="J134" s="12">
        <v>0</v>
      </c>
      <c r="K134" s="12">
        <v>0</v>
      </c>
      <c r="L134" s="12">
        <v>0</v>
      </c>
      <c r="M134" s="12">
        <v>0</v>
      </c>
      <c r="N134" s="73"/>
      <c r="O134" s="12">
        <v>1</v>
      </c>
      <c r="P134" s="12">
        <v>13</v>
      </c>
      <c r="Q134" s="12">
        <v>14</v>
      </c>
      <c r="R134" s="12">
        <v>11</v>
      </c>
      <c r="S134" s="12">
        <v>3</v>
      </c>
      <c r="T134" s="73"/>
      <c r="U134" s="12">
        <v>4</v>
      </c>
      <c r="V134" s="12">
        <v>27</v>
      </c>
      <c r="W134" s="12">
        <v>31</v>
      </c>
      <c r="X134" s="12">
        <v>26</v>
      </c>
      <c r="Y134" s="12">
        <v>5</v>
      </c>
    </row>
    <row r="135" spans="1:91" s="49" customFormat="1">
      <c r="A135" s="61" t="s">
        <v>26</v>
      </c>
      <c r="B135" s="10" t="s">
        <v>181</v>
      </c>
      <c r="C135" s="12">
        <v>0</v>
      </c>
      <c r="D135" s="12">
        <v>2</v>
      </c>
      <c r="E135" s="12">
        <v>2</v>
      </c>
      <c r="F135" s="12">
        <v>0</v>
      </c>
      <c r="G135" s="12">
        <v>2</v>
      </c>
      <c r="H135" s="12"/>
      <c r="I135" s="70">
        <v>0</v>
      </c>
      <c r="J135" s="12">
        <v>0</v>
      </c>
      <c r="K135" s="12">
        <v>0</v>
      </c>
      <c r="L135" s="12">
        <v>0</v>
      </c>
      <c r="M135" s="12">
        <v>0</v>
      </c>
      <c r="N135" s="73"/>
      <c r="O135" s="12">
        <v>4</v>
      </c>
      <c r="P135" s="12">
        <v>6</v>
      </c>
      <c r="Q135" s="12">
        <v>10</v>
      </c>
      <c r="R135" s="12">
        <v>7</v>
      </c>
      <c r="S135" s="12">
        <v>3</v>
      </c>
      <c r="T135" s="73"/>
      <c r="U135" s="12">
        <v>3</v>
      </c>
      <c r="V135" s="12">
        <v>21</v>
      </c>
      <c r="W135" s="12">
        <v>24</v>
      </c>
      <c r="X135" s="12">
        <v>20</v>
      </c>
      <c r="Y135" s="12">
        <v>4</v>
      </c>
    </row>
    <row r="136" spans="1:91" s="49" customFormat="1">
      <c r="A136" s="61" t="s">
        <v>26</v>
      </c>
      <c r="B136" s="10" t="s">
        <v>182</v>
      </c>
      <c r="C136" s="12">
        <v>0</v>
      </c>
      <c r="D136" s="12">
        <v>0</v>
      </c>
      <c r="E136" s="12">
        <v>0</v>
      </c>
      <c r="F136" s="12">
        <v>0</v>
      </c>
      <c r="G136" s="12">
        <v>0</v>
      </c>
      <c r="H136" s="12"/>
      <c r="I136" s="70">
        <v>0</v>
      </c>
      <c r="J136" s="12">
        <v>0</v>
      </c>
      <c r="K136" s="12">
        <v>0</v>
      </c>
      <c r="L136" s="12">
        <v>0</v>
      </c>
      <c r="M136" s="12">
        <v>0</v>
      </c>
      <c r="N136" s="73"/>
      <c r="O136" s="12">
        <v>1</v>
      </c>
      <c r="P136" s="12">
        <v>5</v>
      </c>
      <c r="Q136" s="12">
        <v>6</v>
      </c>
      <c r="R136" s="12">
        <v>3</v>
      </c>
      <c r="S136" s="12">
        <v>3</v>
      </c>
      <c r="T136" s="73"/>
      <c r="U136" s="12">
        <v>3</v>
      </c>
      <c r="V136" s="12">
        <v>6</v>
      </c>
      <c r="W136" s="12">
        <v>9</v>
      </c>
      <c r="X136" s="12">
        <v>8</v>
      </c>
      <c r="Y136" s="12">
        <v>1</v>
      </c>
    </row>
    <row r="137" spans="1:91" s="49" customFormat="1">
      <c r="A137" s="62" t="s">
        <v>26</v>
      </c>
      <c r="B137" s="17" t="s">
        <v>183</v>
      </c>
      <c r="C137" s="18">
        <v>8</v>
      </c>
      <c r="D137" s="18">
        <v>13</v>
      </c>
      <c r="E137" s="18">
        <v>21</v>
      </c>
      <c r="F137" s="18">
        <v>5</v>
      </c>
      <c r="G137" s="18">
        <v>16</v>
      </c>
      <c r="H137" s="18"/>
      <c r="I137" s="71">
        <v>1</v>
      </c>
      <c r="J137" s="18">
        <v>1</v>
      </c>
      <c r="K137" s="18">
        <v>2</v>
      </c>
      <c r="L137" s="18">
        <v>1</v>
      </c>
      <c r="M137" s="18">
        <v>1</v>
      </c>
      <c r="N137" s="74"/>
      <c r="O137" s="18">
        <v>6</v>
      </c>
      <c r="P137" s="18">
        <v>19</v>
      </c>
      <c r="Q137" s="18">
        <v>25</v>
      </c>
      <c r="R137" s="18">
        <v>14</v>
      </c>
      <c r="S137" s="18">
        <v>11</v>
      </c>
      <c r="T137" s="74"/>
      <c r="U137" s="18">
        <v>18</v>
      </c>
      <c r="V137" s="18">
        <v>63</v>
      </c>
      <c r="W137" s="18">
        <v>81</v>
      </c>
      <c r="X137" s="18">
        <v>75</v>
      </c>
      <c r="Y137" s="18">
        <v>6</v>
      </c>
    </row>
    <row r="138" spans="1:91" s="48" customFormat="1">
      <c r="A138" s="79" t="s">
        <v>27</v>
      </c>
      <c r="B138" s="8" t="s">
        <v>0</v>
      </c>
      <c r="C138" s="13">
        <f>SUM(C139:C143)</f>
        <v>7</v>
      </c>
      <c r="D138" s="13">
        <f>SUM(D139:D143)</f>
        <v>10</v>
      </c>
      <c r="E138" s="13">
        <f>SUM(E139:E143)</f>
        <v>17</v>
      </c>
      <c r="F138" s="13">
        <f>SUM(F139:F143)</f>
        <v>11</v>
      </c>
      <c r="G138" s="13">
        <f>SUM(G139:G143)</f>
        <v>6</v>
      </c>
      <c r="H138" s="13"/>
      <c r="I138" s="56">
        <f>SUM(I139:I143)</f>
        <v>0</v>
      </c>
      <c r="J138" s="13">
        <f>SUM(J139:J143)</f>
        <v>0</v>
      </c>
      <c r="K138" s="13">
        <f>SUM(K139:K143)</f>
        <v>0</v>
      </c>
      <c r="L138" s="13">
        <f>SUM(L139:L143)</f>
        <v>0</v>
      </c>
      <c r="M138" s="13">
        <f>SUM(M139:M143)</f>
        <v>0</v>
      </c>
      <c r="N138" s="57"/>
      <c r="O138" s="13">
        <f>SUM(O139:O143)</f>
        <v>1</v>
      </c>
      <c r="P138" s="13">
        <f>SUM(P139:P143)</f>
        <v>18</v>
      </c>
      <c r="Q138" s="13">
        <f>SUM(Q139:Q143)</f>
        <v>19</v>
      </c>
      <c r="R138" s="13">
        <f>SUM(R139:R143)</f>
        <v>16</v>
      </c>
      <c r="S138" s="13">
        <f>SUM(S139:S143)</f>
        <v>3</v>
      </c>
      <c r="T138" s="57"/>
      <c r="U138" s="13">
        <f>SUM(U139:U143)</f>
        <v>6</v>
      </c>
      <c r="V138" s="13">
        <f>SUM(V139:V143)</f>
        <v>55</v>
      </c>
      <c r="W138" s="13">
        <f>SUM(W139:W143)</f>
        <v>61</v>
      </c>
      <c r="X138" s="13">
        <f>SUM(X139:X143)</f>
        <v>48</v>
      </c>
      <c r="Y138" s="13">
        <f>SUM(Y139:Y143)</f>
        <v>13</v>
      </c>
      <c r="CI138" s="45"/>
      <c r="CJ138" s="45"/>
      <c r="CK138" s="45"/>
      <c r="CL138" s="45"/>
      <c r="CM138" s="45"/>
    </row>
    <row r="139" spans="1:91" s="49" customFormat="1">
      <c r="A139" s="9" t="s">
        <v>27</v>
      </c>
      <c r="B139" s="10" t="s">
        <v>184</v>
      </c>
      <c r="C139" s="12">
        <v>3</v>
      </c>
      <c r="D139" s="12">
        <v>0</v>
      </c>
      <c r="E139" s="12">
        <v>3</v>
      </c>
      <c r="F139" s="12">
        <v>3</v>
      </c>
      <c r="G139" s="12">
        <v>0</v>
      </c>
      <c r="H139" s="12"/>
      <c r="I139" s="70">
        <v>0</v>
      </c>
      <c r="J139" s="12">
        <v>0</v>
      </c>
      <c r="K139" s="12">
        <v>0</v>
      </c>
      <c r="L139" s="12">
        <v>0</v>
      </c>
      <c r="M139" s="12">
        <v>0</v>
      </c>
      <c r="N139" s="73"/>
      <c r="O139" s="12">
        <v>0</v>
      </c>
      <c r="P139" s="12">
        <v>2</v>
      </c>
      <c r="Q139" s="12">
        <v>2</v>
      </c>
      <c r="R139" s="12">
        <v>2</v>
      </c>
      <c r="S139" s="12">
        <v>0</v>
      </c>
      <c r="T139" s="73"/>
      <c r="U139" s="12">
        <v>2</v>
      </c>
      <c r="V139" s="12">
        <v>13</v>
      </c>
      <c r="W139" s="12">
        <v>15</v>
      </c>
      <c r="X139" s="12">
        <v>12</v>
      </c>
      <c r="Y139" s="12">
        <v>3</v>
      </c>
    </row>
    <row r="140" spans="1:91" s="49" customFormat="1">
      <c r="A140" s="9" t="s">
        <v>27</v>
      </c>
      <c r="B140" s="10" t="s">
        <v>185</v>
      </c>
      <c r="C140" s="12">
        <v>1</v>
      </c>
      <c r="D140" s="12">
        <v>0</v>
      </c>
      <c r="E140" s="12">
        <v>1</v>
      </c>
      <c r="F140" s="12">
        <v>1</v>
      </c>
      <c r="G140" s="12">
        <v>0</v>
      </c>
      <c r="H140" s="12"/>
      <c r="I140" s="70">
        <v>0</v>
      </c>
      <c r="J140" s="12">
        <v>0</v>
      </c>
      <c r="K140" s="12">
        <v>0</v>
      </c>
      <c r="L140" s="12">
        <v>0</v>
      </c>
      <c r="M140" s="12">
        <v>0</v>
      </c>
      <c r="N140" s="73"/>
      <c r="O140" s="12">
        <v>0</v>
      </c>
      <c r="P140" s="12">
        <v>2</v>
      </c>
      <c r="Q140" s="12">
        <v>2</v>
      </c>
      <c r="R140" s="12">
        <v>1</v>
      </c>
      <c r="S140" s="12">
        <v>1</v>
      </c>
      <c r="T140" s="73"/>
      <c r="U140" s="12">
        <v>0</v>
      </c>
      <c r="V140" s="12">
        <v>4</v>
      </c>
      <c r="W140" s="12">
        <v>4</v>
      </c>
      <c r="X140" s="12">
        <v>1</v>
      </c>
      <c r="Y140" s="12">
        <v>3</v>
      </c>
    </row>
    <row r="141" spans="1:91" s="49" customFormat="1">
      <c r="A141" s="9" t="s">
        <v>27</v>
      </c>
      <c r="B141" s="10" t="s">
        <v>186</v>
      </c>
      <c r="C141" s="12">
        <v>1</v>
      </c>
      <c r="D141" s="12">
        <v>4</v>
      </c>
      <c r="E141" s="12">
        <v>5</v>
      </c>
      <c r="F141" s="12">
        <v>2</v>
      </c>
      <c r="G141" s="12">
        <v>3</v>
      </c>
      <c r="H141" s="12"/>
      <c r="I141" s="70">
        <v>0</v>
      </c>
      <c r="J141" s="12">
        <v>0</v>
      </c>
      <c r="K141" s="12">
        <v>0</v>
      </c>
      <c r="L141" s="12">
        <v>0</v>
      </c>
      <c r="M141" s="12">
        <v>0</v>
      </c>
      <c r="N141" s="73"/>
      <c r="O141" s="12">
        <v>0</v>
      </c>
      <c r="P141" s="12">
        <v>7</v>
      </c>
      <c r="Q141" s="12">
        <v>7</v>
      </c>
      <c r="R141" s="12">
        <v>7</v>
      </c>
      <c r="S141" s="12">
        <v>0</v>
      </c>
      <c r="T141" s="73"/>
      <c r="U141" s="12">
        <v>0</v>
      </c>
      <c r="V141" s="12">
        <v>15</v>
      </c>
      <c r="W141" s="12">
        <v>15</v>
      </c>
      <c r="X141" s="12">
        <v>13</v>
      </c>
      <c r="Y141" s="12">
        <v>2</v>
      </c>
    </row>
    <row r="142" spans="1:91" s="49" customFormat="1">
      <c r="A142" s="9" t="s">
        <v>27</v>
      </c>
      <c r="B142" s="10" t="s">
        <v>187</v>
      </c>
      <c r="C142" s="12">
        <v>2</v>
      </c>
      <c r="D142" s="12">
        <v>6</v>
      </c>
      <c r="E142" s="12">
        <v>8</v>
      </c>
      <c r="F142" s="12">
        <v>5</v>
      </c>
      <c r="G142" s="12">
        <v>3</v>
      </c>
      <c r="H142" s="12"/>
      <c r="I142" s="70">
        <v>0</v>
      </c>
      <c r="J142" s="12">
        <v>0</v>
      </c>
      <c r="K142" s="12">
        <v>0</v>
      </c>
      <c r="L142" s="12">
        <v>0</v>
      </c>
      <c r="M142" s="12">
        <v>0</v>
      </c>
      <c r="N142" s="73"/>
      <c r="O142" s="12">
        <v>0</v>
      </c>
      <c r="P142" s="12">
        <v>2</v>
      </c>
      <c r="Q142" s="12">
        <v>2</v>
      </c>
      <c r="R142" s="12">
        <v>1</v>
      </c>
      <c r="S142" s="12">
        <v>1</v>
      </c>
      <c r="T142" s="73"/>
      <c r="U142" s="12">
        <v>0</v>
      </c>
      <c r="V142" s="12">
        <v>19</v>
      </c>
      <c r="W142" s="12">
        <v>19</v>
      </c>
      <c r="X142" s="12">
        <v>15</v>
      </c>
      <c r="Y142" s="12">
        <v>4</v>
      </c>
    </row>
    <row r="143" spans="1:91" s="49" customFormat="1">
      <c r="A143" s="16" t="s">
        <v>27</v>
      </c>
      <c r="B143" s="17" t="s">
        <v>188</v>
      </c>
      <c r="C143" s="18">
        <v>0</v>
      </c>
      <c r="D143" s="18">
        <v>0</v>
      </c>
      <c r="E143" s="18">
        <v>0</v>
      </c>
      <c r="F143" s="18">
        <v>0</v>
      </c>
      <c r="G143" s="18">
        <v>0</v>
      </c>
      <c r="H143" s="18"/>
      <c r="I143" s="71">
        <v>0</v>
      </c>
      <c r="J143" s="18">
        <v>0</v>
      </c>
      <c r="K143" s="18">
        <v>0</v>
      </c>
      <c r="L143" s="18">
        <v>0</v>
      </c>
      <c r="M143" s="18">
        <v>0</v>
      </c>
      <c r="N143" s="74"/>
      <c r="O143" s="18">
        <v>1</v>
      </c>
      <c r="P143" s="18">
        <v>5</v>
      </c>
      <c r="Q143" s="18">
        <v>6</v>
      </c>
      <c r="R143" s="18">
        <v>5</v>
      </c>
      <c r="S143" s="18">
        <v>1</v>
      </c>
      <c r="T143" s="74"/>
      <c r="U143" s="18">
        <v>4</v>
      </c>
      <c r="V143" s="18">
        <v>4</v>
      </c>
      <c r="W143" s="18">
        <v>8</v>
      </c>
      <c r="X143" s="18">
        <v>7</v>
      </c>
      <c r="Y143" s="18">
        <v>1</v>
      </c>
    </row>
    <row r="144" spans="1:91" s="48" customFormat="1">
      <c r="A144" s="79" t="s">
        <v>28</v>
      </c>
      <c r="B144" s="8" t="s">
        <v>0</v>
      </c>
      <c r="C144" s="13">
        <f>SUM(C145:C152)</f>
        <v>4</v>
      </c>
      <c r="D144" s="13">
        <f>SUM(D145:D152)</f>
        <v>18</v>
      </c>
      <c r="E144" s="13">
        <f>SUM(E145:E152)</f>
        <v>22</v>
      </c>
      <c r="F144" s="13">
        <f>SUM(F145:F152)</f>
        <v>8</v>
      </c>
      <c r="G144" s="13">
        <f>SUM(G145:G152)</f>
        <v>14</v>
      </c>
      <c r="H144" s="13"/>
      <c r="I144" s="56">
        <f>SUM(I145:I152)</f>
        <v>0</v>
      </c>
      <c r="J144" s="13">
        <f>SUM(J145:J152)</f>
        <v>1</v>
      </c>
      <c r="K144" s="13">
        <f>SUM(K145:K152)</f>
        <v>1</v>
      </c>
      <c r="L144" s="13">
        <f>SUM(L145:L152)</f>
        <v>0</v>
      </c>
      <c r="M144" s="13">
        <f>SUM(M145:M152)</f>
        <v>1</v>
      </c>
      <c r="N144" s="57"/>
      <c r="O144" s="13">
        <f>SUM(O145:O152)</f>
        <v>11</v>
      </c>
      <c r="P144" s="13">
        <f>SUM(P145:P152)</f>
        <v>17</v>
      </c>
      <c r="Q144" s="13">
        <f>SUM(Q145:Q152)</f>
        <v>28</v>
      </c>
      <c r="R144" s="13">
        <f>SUM(R145:R152)</f>
        <v>23</v>
      </c>
      <c r="S144" s="13">
        <f>SUM(S145:S152)</f>
        <v>5</v>
      </c>
      <c r="T144" s="57"/>
      <c r="U144" s="13">
        <f>SUM(U145:U152)</f>
        <v>21</v>
      </c>
      <c r="V144" s="13">
        <f>SUM(V145:V152)</f>
        <v>123</v>
      </c>
      <c r="W144" s="13">
        <f>SUM(W145:W152)</f>
        <v>144</v>
      </c>
      <c r="X144" s="13">
        <f>SUM(X145:X152)</f>
        <v>117</v>
      </c>
      <c r="Y144" s="13">
        <f>SUM(Y145:Y152)</f>
        <v>27</v>
      </c>
      <c r="CI144" s="45"/>
      <c r="CJ144" s="45"/>
      <c r="CK144" s="45"/>
      <c r="CL144" s="45"/>
      <c r="CM144" s="45"/>
    </row>
    <row r="145" spans="1:91" s="49" customFormat="1">
      <c r="A145" s="9" t="s">
        <v>28</v>
      </c>
      <c r="B145" s="10" t="s">
        <v>189</v>
      </c>
      <c r="C145" s="12">
        <v>0</v>
      </c>
      <c r="D145" s="12">
        <v>0</v>
      </c>
      <c r="E145" s="12">
        <v>0</v>
      </c>
      <c r="F145" s="12">
        <v>0</v>
      </c>
      <c r="G145" s="12">
        <v>0</v>
      </c>
      <c r="H145" s="12"/>
      <c r="I145" s="70">
        <v>0</v>
      </c>
      <c r="J145" s="12">
        <v>0</v>
      </c>
      <c r="K145" s="12">
        <v>0</v>
      </c>
      <c r="L145" s="12">
        <v>0</v>
      </c>
      <c r="M145" s="12">
        <v>0</v>
      </c>
      <c r="N145" s="73"/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73"/>
      <c r="U145" s="12">
        <v>0</v>
      </c>
      <c r="V145" s="12">
        <v>2</v>
      </c>
      <c r="W145" s="12">
        <v>2</v>
      </c>
      <c r="X145" s="12">
        <v>2</v>
      </c>
      <c r="Y145" s="12">
        <v>0</v>
      </c>
    </row>
    <row r="146" spans="1:91" s="49" customFormat="1">
      <c r="A146" s="9" t="s">
        <v>28</v>
      </c>
      <c r="B146" s="10" t="s">
        <v>190</v>
      </c>
      <c r="C146" s="12">
        <v>1</v>
      </c>
      <c r="D146" s="12">
        <v>0</v>
      </c>
      <c r="E146" s="12">
        <v>1</v>
      </c>
      <c r="F146" s="12">
        <v>1</v>
      </c>
      <c r="G146" s="12">
        <v>0</v>
      </c>
      <c r="H146" s="12"/>
      <c r="I146" s="70">
        <v>0</v>
      </c>
      <c r="J146" s="12">
        <v>0</v>
      </c>
      <c r="K146" s="12">
        <v>0</v>
      </c>
      <c r="L146" s="12">
        <v>0</v>
      </c>
      <c r="M146" s="12">
        <v>0</v>
      </c>
      <c r="N146" s="73"/>
      <c r="O146" s="12">
        <v>0</v>
      </c>
      <c r="P146" s="12">
        <v>1</v>
      </c>
      <c r="Q146" s="12">
        <v>1</v>
      </c>
      <c r="R146" s="12">
        <v>0</v>
      </c>
      <c r="S146" s="12">
        <v>1</v>
      </c>
      <c r="T146" s="73"/>
      <c r="U146" s="12">
        <v>2</v>
      </c>
      <c r="V146" s="12">
        <v>10</v>
      </c>
      <c r="W146" s="12">
        <v>12</v>
      </c>
      <c r="X146" s="12">
        <v>7</v>
      </c>
      <c r="Y146" s="12">
        <v>5</v>
      </c>
    </row>
    <row r="147" spans="1:91" s="49" customFormat="1">
      <c r="A147" s="9" t="s">
        <v>28</v>
      </c>
      <c r="B147" s="10" t="s">
        <v>191</v>
      </c>
      <c r="C147" s="12">
        <v>0</v>
      </c>
      <c r="D147" s="12">
        <v>11</v>
      </c>
      <c r="E147" s="12">
        <v>11</v>
      </c>
      <c r="F147" s="12">
        <v>4</v>
      </c>
      <c r="G147" s="12">
        <v>7</v>
      </c>
      <c r="H147" s="12"/>
      <c r="I147" s="70">
        <v>0</v>
      </c>
      <c r="J147" s="12">
        <v>0</v>
      </c>
      <c r="K147" s="12">
        <v>0</v>
      </c>
      <c r="L147" s="12">
        <v>0</v>
      </c>
      <c r="M147" s="12">
        <v>0</v>
      </c>
      <c r="N147" s="73"/>
      <c r="O147" s="12">
        <v>2</v>
      </c>
      <c r="P147" s="12">
        <v>5</v>
      </c>
      <c r="Q147" s="12">
        <v>7</v>
      </c>
      <c r="R147" s="12">
        <v>5</v>
      </c>
      <c r="S147" s="12">
        <v>2</v>
      </c>
      <c r="T147" s="73"/>
      <c r="U147" s="12">
        <v>9</v>
      </c>
      <c r="V147" s="12">
        <v>45</v>
      </c>
      <c r="W147" s="12">
        <v>54</v>
      </c>
      <c r="X147" s="12">
        <v>45</v>
      </c>
      <c r="Y147" s="12">
        <v>9</v>
      </c>
    </row>
    <row r="148" spans="1:91" s="49" customFormat="1">
      <c r="A148" s="9" t="s">
        <v>28</v>
      </c>
      <c r="B148" s="10" t="s">
        <v>192</v>
      </c>
      <c r="C148" s="12">
        <v>0</v>
      </c>
      <c r="D148" s="12">
        <v>0</v>
      </c>
      <c r="E148" s="12">
        <v>0</v>
      </c>
      <c r="F148" s="12">
        <v>0</v>
      </c>
      <c r="G148" s="12">
        <v>0</v>
      </c>
      <c r="H148" s="12"/>
      <c r="I148" s="70">
        <v>0</v>
      </c>
      <c r="J148" s="12">
        <v>0</v>
      </c>
      <c r="K148" s="12">
        <v>0</v>
      </c>
      <c r="L148" s="12">
        <v>0</v>
      </c>
      <c r="M148" s="12">
        <v>0</v>
      </c>
      <c r="N148" s="73"/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73"/>
      <c r="U148" s="12">
        <v>0</v>
      </c>
      <c r="V148" s="12">
        <v>7</v>
      </c>
      <c r="W148" s="12">
        <v>7</v>
      </c>
      <c r="X148" s="12">
        <v>5</v>
      </c>
      <c r="Y148" s="12">
        <v>2</v>
      </c>
    </row>
    <row r="149" spans="1:91" s="49" customFormat="1">
      <c r="A149" s="9" t="s">
        <v>28</v>
      </c>
      <c r="B149" s="10" t="s">
        <v>193</v>
      </c>
      <c r="C149" s="12">
        <v>0</v>
      </c>
      <c r="D149" s="12">
        <v>3</v>
      </c>
      <c r="E149" s="12">
        <v>3</v>
      </c>
      <c r="F149" s="12">
        <v>2</v>
      </c>
      <c r="G149" s="12">
        <v>1</v>
      </c>
      <c r="H149" s="12"/>
      <c r="I149" s="70">
        <v>0</v>
      </c>
      <c r="J149" s="12">
        <v>0</v>
      </c>
      <c r="K149" s="12">
        <v>0</v>
      </c>
      <c r="L149" s="12">
        <v>0</v>
      </c>
      <c r="M149" s="12">
        <v>0</v>
      </c>
      <c r="N149" s="73"/>
      <c r="O149" s="12">
        <v>3</v>
      </c>
      <c r="P149" s="12">
        <v>5</v>
      </c>
      <c r="Q149" s="12">
        <v>8</v>
      </c>
      <c r="R149" s="12">
        <v>8</v>
      </c>
      <c r="S149" s="12">
        <v>0</v>
      </c>
      <c r="T149" s="73"/>
      <c r="U149" s="12">
        <v>4</v>
      </c>
      <c r="V149" s="12">
        <v>28</v>
      </c>
      <c r="W149" s="12">
        <v>32</v>
      </c>
      <c r="X149" s="12">
        <v>29</v>
      </c>
      <c r="Y149" s="12">
        <v>3</v>
      </c>
    </row>
    <row r="150" spans="1:91" s="49" customFormat="1">
      <c r="A150" s="9" t="s">
        <v>28</v>
      </c>
      <c r="B150" s="10" t="s">
        <v>194</v>
      </c>
      <c r="C150" s="12">
        <v>0</v>
      </c>
      <c r="D150" s="12">
        <v>0</v>
      </c>
      <c r="E150" s="12">
        <v>0</v>
      </c>
      <c r="F150" s="12">
        <v>0</v>
      </c>
      <c r="G150" s="12">
        <v>0</v>
      </c>
      <c r="H150" s="12"/>
      <c r="I150" s="70">
        <v>0</v>
      </c>
      <c r="J150" s="12">
        <v>0</v>
      </c>
      <c r="K150" s="12">
        <v>0</v>
      </c>
      <c r="L150" s="12">
        <v>0</v>
      </c>
      <c r="M150" s="12">
        <v>0</v>
      </c>
      <c r="N150" s="73"/>
      <c r="O150" s="12">
        <v>1</v>
      </c>
      <c r="P150" s="12">
        <v>0</v>
      </c>
      <c r="Q150" s="12">
        <v>1</v>
      </c>
      <c r="R150" s="12">
        <v>1</v>
      </c>
      <c r="S150" s="12">
        <v>0</v>
      </c>
      <c r="T150" s="73"/>
      <c r="U150" s="12">
        <v>0</v>
      </c>
      <c r="V150" s="12">
        <v>9</v>
      </c>
      <c r="W150" s="12">
        <v>9</v>
      </c>
      <c r="X150" s="12">
        <v>7</v>
      </c>
      <c r="Y150" s="12">
        <v>2</v>
      </c>
    </row>
    <row r="151" spans="1:91" s="49" customFormat="1">
      <c r="A151" s="9" t="s">
        <v>28</v>
      </c>
      <c r="B151" s="10" t="s">
        <v>135</v>
      </c>
      <c r="C151" s="12">
        <v>0</v>
      </c>
      <c r="D151" s="12">
        <v>2</v>
      </c>
      <c r="E151" s="12">
        <v>2</v>
      </c>
      <c r="F151" s="12">
        <v>1</v>
      </c>
      <c r="G151" s="12">
        <v>1</v>
      </c>
      <c r="H151" s="12"/>
      <c r="I151" s="70">
        <v>0</v>
      </c>
      <c r="J151" s="12">
        <v>0</v>
      </c>
      <c r="K151" s="12">
        <v>0</v>
      </c>
      <c r="L151" s="12">
        <v>0</v>
      </c>
      <c r="M151" s="12">
        <v>0</v>
      </c>
      <c r="N151" s="73"/>
      <c r="O151" s="12">
        <v>2</v>
      </c>
      <c r="P151" s="12">
        <v>2</v>
      </c>
      <c r="Q151" s="12">
        <v>4</v>
      </c>
      <c r="R151" s="12">
        <v>3</v>
      </c>
      <c r="S151" s="12">
        <v>1</v>
      </c>
      <c r="T151" s="73"/>
      <c r="U151" s="12">
        <v>4</v>
      </c>
      <c r="V151" s="12">
        <v>7</v>
      </c>
      <c r="W151" s="12">
        <v>11</v>
      </c>
      <c r="X151" s="12">
        <v>8</v>
      </c>
      <c r="Y151" s="12">
        <v>3</v>
      </c>
    </row>
    <row r="152" spans="1:91" s="49" customFormat="1">
      <c r="A152" s="16" t="s">
        <v>28</v>
      </c>
      <c r="B152" s="17" t="s">
        <v>195</v>
      </c>
      <c r="C152" s="18">
        <v>3</v>
      </c>
      <c r="D152" s="18">
        <v>2</v>
      </c>
      <c r="E152" s="18">
        <v>5</v>
      </c>
      <c r="F152" s="18">
        <v>0</v>
      </c>
      <c r="G152" s="18">
        <v>5</v>
      </c>
      <c r="H152" s="18"/>
      <c r="I152" s="71">
        <v>0</v>
      </c>
      <c r="J152" s="18">
        <v>1</v>
      </c>
      <c r="K152" s="18">
        <v>1</v>
      </c>
      <c r="L152" s="18">
        <v>0</v>
      </c>
      <c r="M152" s="18">
        <v>1</v>
      </c>
      <c r="N152" s="74"/>
      <c r="O152" s="18">
        <v>3</v>
      </c>
      <c r="P152" s="18">
        <v>4</v>
      </c>
      <c r="Q152" s="18">
        <v>7</v>
      </c>
      <c r="R152" s="18">
        <v>6</v>
      </c>
      <c r="S152" s="18">
        <v>1</v>
      </c>
      <c r="T152" s="74"/>
      <c r="U152" s="18">
        <v>2</v>
      </c>
      <c r="V152" s="18">
        <v>15</v>
      </c>
      <c r="W152" s="18">
        <v>17</v>
      </c>
      <c r="X152" s="18">
        <v>14</v>
      </c>
      <c r="Y152" s="18">
        <v>3</v>
      </c>
    </row>
    <row r="153" spans="1:91" s="48" customFormat="1">
      <c r="A153" s="79" t="s">
        <v>29</v>
      </c>
      <c r="B153" s="8" t="s">
        <v>0</v>
      </c>
      <c r="C153" s="13">
        <f>SUM(C154:C158)</f>
        <v>15</v>
      </c>
      <c r="D153" s="13">
        <f>SUM(D154:D158)</f>
        <v>18</v>
      </c>
      <c r="E153" s="13">
        <f>SUM(E154:E158)</f>
        <v>33</v>
      </c>
      <c r="F153" s="13">
        <f>SUM(F154:F158)</f>
        <v>18</v>
      </c>
      <c r="G153" s="13">
        <f>SUM(G154:G158)</f>
        <v>15</v>
      </c>
      <c r="H153" s="13"/>
      <c r="I153" s="56">
        <f>SUM(I154:I158)</f>
        <v>0</v>
      </c>
      <c r="J153" s="13">
        <f>SUM(J154:J158)</f>
        <v>3</v>
      </c>
      <c r="K153" s="13">
        <f>SUM(K154:K158)</f>
        <v>3</v>
      </c>
      <c r="L153" s="13">
        <f>SUM(L154:L158)</f>
        <v>2</v>
      </c>
      <c r="M153" s="13">
        <f>SUM(M154:M158)</f>
        <v>1</v>
      </c>
      <c r="N153" s="57"/>
      <c r="O153" s="13">
        <f>SUM(O154:O158)</f>
        <v>17</v>
      </c>
      <c r="P153" s="13">
        <f>SUM(P154:P158)</f>
        <v>65</v>
      </c>
      <c r="Q153" s="13">
        <f>SUM(Q154:Q158)</f>
        <v>82</v>
      </c>
      <c r="R153" s="13">
        <f>SUM(R154:R158)</f>
        <v>65</v>
      </c>
      <c r="S153" s="13">
        <f>SUM(S154:S158)</f>
        <v>17</v>
      </c>
      <c r="T153" s="57"/>
      <c r="U153" s="13">
        <f>SUM(U154:U158)</f>
        <v>36</v>
      </c>
      <c r="V153" s="13">
        <f>SUM(V154:V158)</f>
        <v>149</v>
      </c>
      <c r="W153" s="13">
        <f>SUM(W154:W158)</f>
        <v>185</v>
      </c>
      <c r="X153" s="13">
        <f>SUM(X154:X158)</f>
        <v>160</v>
      </c>
      <c r="Y153" s="13">
        <f>SUM(Y154:Y158)</f>
        <v>25</v>
      </c>
      <c r="CI153" s="45"/>
      <c r="CJ153" s="45"/>
      <c r="CK153" s="45"/>
      <c r="CL153" s="45"/>
      <c r="CM153" s="45"/>
    </row>
    <row r="154" spans="1:91">
      <c r="A154" s="9" t="s">
        <v>29</v>
      </c>
      <c r="B154" s="10" t="s">
        <v>196</v>
      </c>
      <c r="C154" s="12">
        <v>2</v>
      </c>
      <c r="D154" s="12">
        <v>3</v>
      </c>
      <c r="E154" s="12">
        <v>5</v>
      </c>
      <c r="F154" s="12">
        <v>2</v>
      </c>
      <c r="G154" s="12">
        <v>3</v>
      </c>
      <c r="H154" s="12"/>
      <c r="I154" s="70">
        <v>0</v>
      </c>
      <c r="J154" s="12">
        <v>0</v>
      </c>
      <c r="K154" s="12">
        <v>0</v>
      </c>
      <c r="L154" s="12">
        <v>0</v>
      </c>
      <c r="M154" s="12">
        <v>0</v>
      </c>
      <c r="N154" s="73"/>
      <c r="O154" s="12">
        <v>4</v>
      </c>
      <c r="P154" s="12">
        <v>22</v>
      </c>
      <c r="Q154" s="12">
        <v>26</v>
      </c>
      <c r="R154" s="12">
        <v>20</v>
      </c>
      <c r="S154" s="12">
        <v>6</v>
      </c>
      <c r="T154" s="73"/>
      <c r="U154" s="12">
        <v>13</v>
      </c>
      <c r="V154" s="12">
        <v>37</v>
      </c>
      <c r="W154" s="12">
        <v>50</v>
      </c>
      <c r="X154" s="12">
        <v>44</v>
      </c>
      <c r="Y154" s="12">
        <v>6</v>
      </c>
    </row>
    <row r="155" spans="1:91">
      <c r="A155" s="9" t="s">
        <v>29</v>
      </c>
      <c r="B155" s="10" t="s">
        <v>197</v>
      </c>
      <c r="C155" s="12">
        <v>3</v>
      </c>
      <c r="D155" s="12">
        <v>1</v>
      </c>
      <c r="E155" s="12">
        <v>4</v>
      </c>
      <c r="F155" s="12">
        <v>3</v>
      </c>
      <c r="G155" s="12">
        <v>1</v>
      </c>
      <c r="H155" s="12"/>
      <c r="I155" s="70">
        <v>0</v>
      </c>
      <c r="J155" s="12">
        <v>0</v>
      </c>
      <c r="K155" s="12">
        <v>0</v>
      </c>
      <c r="L155" s="12">
        <v>0</v>
      </c>
      <c r="M155" s="12">
        <v>0</v>
      </c>
      <c r="N155" s="73"/>
      <c r="O155" s="12">
        <v>8</v>
      </c>
      <c r="P155" s="12">
        <v>19</v>
      </c>
      <c r="Q155" s="12">
        <v>27</v>
      </c>
      <c r="R155" s="12">
        <v>24</v>
      </c>
      <c r="S155" s="12">
        <v>3</v>
      </c>
      <c r="T155" s="73"/>
      <c r="U155" s="12">
        <v>10</v>
      </c>
      <c r="V155" s="12">
        <v>44</v>
      </c>
      <c r="W155" s="12">
        <v>54</v>
      </c>
      <c r="X155" s="12">
        <v>45</v>
      </c>
      <c r="Y155" s="12">
        <v>9</v>
      </c>
    </row>
    <row r="156" spans="1:91">
      <c r="A156" s="9" t="s">
        <v>29</v>
      </c>
      <c r="B156" s="10" t="s">
        <v>120</v>
      </c>
      <c r="C156" s="12">
        <v>0</v>
      </c>
      <c r="D156" s="12">
        <v>1</v>
      </c>
      <c r="E156" s="12">
        <v>1</v>
      </c>
      <c r="F156" s="12">
        <v>0</v>
      </c>
      <c r="G156" s="12">
        <v>1</v>
      </c>
      <c r="H156" s="12"/>
      <c r="I156" s="70">
        <v>0</v>
      </c>
      <c r="J156" s="12">
        <v>0</v>
      </c>
      <c r="K156" s="12">
        <v>0</v>
      </c>
      <c r="L156" s="12">
        <v>0</v>
      </c>
      <c r="M156" s="12">
        <v>0</v>
      </c>
      <c r="N156" s="73"/>
      <c r="O156" s="12">
        <v>0</v>
      </c>
      <c r="P156" s="12">
        <v>5</v>
      </c>
      <c r="Q156" s="12">
        <v>5</v>
      </c>
      <c r="R156" s="12">
        <v>5</v>
      </c>
      <c r="S156" s="12">
        <v>0</v>
      </c>
      <c r="T156" s="73"/>
      <c r="U156" s="12">
        <v>1</v>
      </c>
      <c r="V156" s="12">
        <v>8</v>
      </c>
      <c r="W156" s="12">
        <v>9</v>
      </c>
      <c r="X156" s="12">
        <v>6</v>
      </c>
      <c r="Y156" s="12">
        <v>3</v>
      </c>
    </row>
    <row r="157" spans="1:91">
      <c r="A157" s="9" t="s">
        <v>29</v>
      </c>
      <c r="B157" s="10" t="s">
        <v>198</v>
      </c>
      <c r="C157" s="12">
        <v>3</v>
      </c>
      <c r="D157" s="12">
        <v>5</v>
      </c>
      <c r="E157" s="12">
        <v>8</v>
      </c>
      <c r="F157" s="12">
        <v>5</v>
      </c>
      <c r="G157" s="12">
        <v>3</v>
      </c>
      <c r="H157" s="12"/>
      <c r="I157" s="70">
        <v>0</v>
      </c>
      <c r="J157" s="12">
        <v>0</v>
      </c>
      <c r="K157" s="12">
        <v>0</v>
      </c>
      <c r="L157" s="12">
        <v>0</v>
      </c>
      <c r="M157" s="12">
        <v>0</v>
      </c>
      <c r="N157" s="73"/>
      <c r="O157" s="12">
        <v>0</v>
      </c>
      <c r="P157" s="12">
        <v>3</v>
      </c>
      <c r="Q157" s="12">
        <v>3</v>
      </c>
      <c r="R157" s="12">
        <v>1</v>
      </c>
      <c r="S157" s="12">
        <v>2</v>
      </c>
      <c r="T157" s="73"/>
      <c r="U157" s="12">
        <v>1</v>
      </c>
      <c r="V157" s="12">
        <v>14</v>
      </c>
      <c r="W157" s="12">
        <v>15</v>
      </c>
      <c r="X157" s="12">
        <v>13</v>
      </c>
      <c r="Y157" s="12">
        <v>2</v>
      </c>
    </row>
    <row r="158" spans="1:91">
      <c r="A158" s="16" t="s">
        <v>29</v>
      </c>
      <c r="B158" s="17" t="s">
        <v>199</v>
      </c>
      <c r="C158" s="18">
        <v>7</v>
      </c>
      <c r="D158" s="18">
        <v>8</v>
      </c>
      <c r="E158" s="18">
        <v>15</v>
      </c>
      <c r="F158" s="18">
        <v>8</v>
      </c>
      <c r="G158" s="18">
        <v>7</v>
      </c>
      <c r="H158" s="18"/>
      <c r="I158" s="71">
        <v>0</v>
      </c>
      <c r="J158" s="18">
        <v>3</v>
      </c>
      <c r="K158" s="18">
        <v>3</v>
      </c>
      <c r="L158" s="18">
        <v>2</v>
      </c>
      <c r="M158" s="18">
        <v>1</v>
      </c>
      <c r="N158" s="74"/>
      <c r="O158" s="18">
        <v>5</v>
      </c>
      <c r="P158" s="18">
        <v>16</v>
      </c>
      <c r="Q158" s="18">
        <v>21</v>
      </c>
      <c r="R158" s="18">
        <v>15</v>
      </c>
      <c r="S158" s="18">
        <v>6</v>
      </c>
      <c r="T158" s="74"/>
      <c r="U158" s="18">
        <v>11</v>
      </c>
      <c r="V158" s="18">
        <v>46</v>
      </c>
      <c r="W158" s="18">
        <v>57</v>
      </c>
      <c r="X158" s="18">
        <v>52</v>
      </c>
      <c r="Y158" s="18">
        <v>5</v>
      </c>
    </row>
    <row r="159" spans="1:91" s="48" customFormat="1">
      <c r="A159" s="79" t="s">
        <v>30</v>
      </c>
      <c r="B159" s="8" t="s">
        <v>0</v>
      </c>
      <c r="C159" s="13">
        <f>SUM(C160:C165)</f>
        <v>6</v>
      </c>
      <c r="D159" s="13">
        <f>SUM(D160:D165)</f>
        <v>21</v>
      </c>
      <c r="E159" s="13">
        <f>SUM(E160:E165)</f>
        <v>27</v>
      </c>
      <c r="F159" s="13">
        <f>SUM(F160:F165)</f>
        <v>10</v>
      </c>
      <c r="G159" s="13">
        <f>SUM(G160:G165)</f>
        <v>17</v>
      </c>
      <c r="H159" s="13"/>
      <c r="I159" s="56">
        <f>SUM(I160:I165)</f>
        <v>0</v>
      </c>
      <c r="J159" s="13">
        <f>SUM(J160:J165)</f>
        <v>1</v>
      </c>
      <c r="K159" s="13">
        <f>SUM(K160:K165)</f>
        <v>1</v>
      </c>
      <c r="L159" s="13">
        <f>SUM(L160:L165)</f>
        <v>0</v>
      </c>
      <c r="M159" s="13">
        <f>SUM(M160:M165)</f>
        <v>1</v>
      </c>
      <c r="N159" s="57"/>
      <c r="O159" s="13">
        <f>SUM(O160:O165)</f>
        <v>14</v>
      </c>
      <c r="P159" s="13">
        <f>SUM(P160:P165)</f>
        <v>41</v>
      </c>
      <c r="Q159" s="13">
        <f>SUM(Q160:Q165)</f>
        <v>55</v>
      </c>
      <c r="R159" s="13">
        <f>SUM(R160:R165)</f>
        <v>39</v>
      </c>
      <c r="S159" s="13">
        <f>SUM(S160:S165)</f>
        <v>16</v>
      </c>
      <c r="T159" s="57"/>
      <c r="U159" s="13">
        <f>SUM(U160:U165)</f>
        <v>32</v>
      </c>
      <c r="V159" s="13">
        <f>SUM(V160:V165)</f>
        <v>151</v>
      </c>
      <c r="W159" s="13">
        <f>SUM(W160:W165)</f>
        <v>183</v>
      </c>
      <c r="X159" s="13">
        <f>SUM(X160:X165)</f>
        <v>159</v>
      </c>
      <c r="Y159" s="13">
        <f>SUM(Y160:Y165)</f>
        <v>24</v>
      </c>
      <c r="CI159" s="45"/>
      <c r="CJ159" s="45"/>
      <c r="CK159" s="45"/>
      <c r="CL159" s="45"/>
      <c r="CM159" s="45"/>
    </row>
    <row r="160" spans="1:91" s="49" customFormat="1">
      <c r="A160" s="9" t="s">
        <v>30</v>
      </c>
      <c r="B160" s="10" t="s">
        <v>200</v>
      </c>
      <c r="C160" s="12">
        <v>1</v>
      </c>
      <c r="D160" s="12">
        <v>15</v>
      </c>
      <c r="E160" s="12">
        <v>16</v>
      </c>
      <c r="F160" s="12">
        <v>6</v>
      </c>
      <c r="G160" s="12">
        <v>10</v>
      </c>
      <c r="H160" s="12"/>
      <c r="I160" s="70">
        <v>0</v>
      </c>
      <c r="J160" s="12">
        <v>0</v>
      </c>
      <c r="K160" s="12">
        <v>0</v>
      </c>
      <c r="L160" s="12">
        <v>0</v>
      </c>
      <c r="M160" s="12">
        <v>0</v>
      </c>
      <c r="N160" s="73"/>
      <c r="O160" s="12">
        <v>4</v>
      </c>
      <c r="P160" s="12">
        <v>22</v>
      </c>
      <c r="Q160" s="12">
        <v>26</v>
      </c>
      <c r="R160" s="12">
        <v>16</v>
      </c>
      <c r="S160" s="12">
        <v>10</v>
      </c>
      <c r="T160" s="73"/>
      <c r="U160" s="12">
        <v>10</v>
      </c>
      <c r="V160" s="12">
        <v>63</v>
      </c>
      <c r="W160" s="12">
        <v>73</v>
      </c>
      <c r="X160" s="12">
        <v>63</v>
      </c>
      <c r="Y160" s="12">
        <v>10</v>
      </c>
    </row>
    <row r="161" spans="1:91" s="49" customFormat="1">
      <c r="A161" s="9" t="s">
        <v>30</v>
      </c>
      <c r="B161" s="10" t="s">
        <v>201</v>
      </c>
      <c r="C161" s="12">
        <v>0</v>
      </c>
      <c r="D161" s="12">
        <v>0</v>
      </c>
      <c r="E161" s="12">
        <v>0</v>
      </c>
      <c r="F161" s="12">
        <v>0</v>
      </c>
      <c r="G161" s="12">
        <v>0</v>
      </c>
      <c r="H161" s="12"/>
      <c r="I161" s="70">
        <v>0</v>
      </c>
      <c r="J161" s="12">
        <v>0</v>
      </c>
      <c r="K161" s="12">
        <v>0</v>
      </c>
      <c r="L161" s="12">
        <v>0</v>
      </c>
      <c r="M161" s="12">
        <v>0</v>
      </c>
      <c r="N161" s="73"/>
      <c r="O161" s="12">
        <v>6</v>
      </c>
      <c r="P161" s="12">
        <v>7</v>
      </c>
      <c r="Q161" s="12">
        <v>13</v>
      </c>
      <c r="R161" s="12">
        <v>11</v>
      </c>
      <c r="S161" s="12">
        <v>2</v>
      </c>
      <c r="T161" s="73"/>
      <c r="U161" s="12">
        <v>7</v>
      </c>
      <c r="V161" s="12">
        <v>24</v>
      </c>
      <c r="W161" s="12">
        <v>31</v>
      </c>
      <c r="X161" s="12">
        <v>29</v>
      </c>
      <c r="Y161" s="12">
        <v>2</v>
      </c>
    </row>
    <row r="162" spans="1:91" s="49" customFormat="1">
      <c r="A162" s="9" t="s">
        <v>30</v>
      </c>
      <c r="B162" s="10" t="s">
        <v>202</v>
      </c>
      <c r="C162" s="12">
        <v>0</v>
      </c>
      <c r="D162" s="12">
        <v>2</v>
      </c>
      <c r="E162" s="12">
        <v>2</v>
      </c>
      <c r="F162" s="12">
        <v>1</v>
      </c>
      <c r="G162" s="12">
        <v>1</v>
      </c>
      <c r="H162" s="12"/>
      <c r="I162" s="70">
        <v>0</v>
      </c>
      <c r="J162" s="12">
        <v>0</v>
      </c>
      <c r="K162" s="12">
        <v>0</v>
      </c>
      <c r="L162" s="12">
        <v>0</v>
      </c>
      <c r="M162" s="12">
        <v>0</v>
      </c>
      <c r="N162" s="73"/>
      <c r="O162" s="12">
        <v>1</v>
      </c>
      <c r="P162" s="12">
        <v>0</v>
      </c>
      <c r="Q162" s="12">
        <v>1</v>
      </c>
      <c r="R162" s="12">
        <v>1</v>
      </c>
      <c r="S162" s="12">
        <v>0</v>
      </c>
      <c r="T162" s="73"/>
      <c r="U162" s="12">
        <v>4</v>
      </c>
      <c r="V162" s="12">
        <v>10</v>
      </c>
      <c r="W162" s="12">
        <v>14</v>
      </c>
      <c r="X162" s="12">
        <v>9</v>
      </c>
      <c r="Y162" s="12">
        <v>5</v>
      </c>
    </row>
    <row r="163" spans="1:91" s="49" customFormat="1">
      <c r="A163" s="9" t="s">
        <v>30</v>
      </c>
      <c r="B163" s="10" t="s">
        <v>203</v>
      </c>
      <c r="C163" s="12">
        <v>3</v>
      </c>
      <c r="D163" s="12">
        <v>2</v>
      </c>
      <c r="E163" s="12">
        <v>5</v>
      </c>
      <c r="F163" s="12">
        <v>3</v>
      </c>
      <c r="G163" s="12">
        <v>2</v>
      </c>
      <c r="H163" s="12"/>
      <c r="I163" s="70">
        <v>0</v>
      </c>
      <c r="J163" s="12">
        <v>1</v>
      </c>
      <c r="K163" s="12">
        <v>1</v>
      </c>
      <c r="L163" s="12">
        <v>0</v>
      </c>
      <c r="M163" s="12">
        <v>1</v>
      </c>
      <c r="N163" s="73"/>
      <c r="O163" s="12">
        <v>3</v>
      </c>
      <c r="P163" s="12">
        <v>5</v>
      </c>
      <c r="Q163" s="12">
        <v>8</v>
      </c>
      <c r="R163" s="12">
        <v>5</v>
      </c>
      <c r="S163" s="12">
        <v>3</v>
      </c>
      <c r="T163" s="73"/>
      <c r="U163" s="12">
        <v>6</v>
      </c>
      <c r="V163" s="12">
        <v>20</v>
      </c>
      <c r="W163" s="12">
        <v>26</v>
      </c>
      <c r="X163" s="12">
        <v>22</v>
      </c>
      <c r="Y163" s="12">
        <v>4</v>
      </c>
    </row>
    <row r="164" spans="1:91" s="49" customFormat="1">
      <c r="A164" s="9" t="s">
        <v>30</v>
      </c>
      <c r="B164" s="10" t="s">
        <v>204</v>
      </c>
      <c r="C164" s="12">
        <v>0</v>
      </c>
      <c r="D164" s="12">
        <v>0</v>
      </c>
      <c r="E164" s="12">
        <v>0</v>
      </c>
      <c r="F164" s="12">
        <v>0</v>
      </c>
      <c r="G164" s="12">
        <v>0</v>
      </c>
      <c r="H164" s="12"/>
      <c r="I164" s="70">
        <v>0</v>
      </c>
      <c r="J164" s="12">
        <v>0</v>
      </c>
      <c r="K164" s="12">
        <v>0</v>
      </c>
      <c r="L164" s="12">
        <v>0</v>
      </c>
      <c r="M164" s="12">
        <v>0</v>
      </c>
      <c r="N164" s="73"/>
      <c r="O164" s="12">
        <v>0</v>
      </c>
      <c r="P164" s="12">
        <v>6</v>
      </c>
      <c r="Q164" s="12">
        <v>6</v>
      </c>
      <c r="R164" s="12">
        <v>5</v>
      </c>
      <c r="S164" s="12">
        <v>1</v>
      </c>
      <c r="T164" s="73"/>
      <c r="U164" s="12">
        <v>5</v>
      </c>
      <c r="V164" s="12">
        <v>19</v>
      </c>
      <c r="W164" s="12">
        <v>24</v>
      </c>
      <c r="X164" s="12">
        <v>21</v>
      </c>
      <c r="Y164" s="12">
        <v>3</v>
      </c>
    </row>
    <row r="165" spans="1:91" s="49" customFormat="1">
      <c r="A165" s="16" t="s">
        <v>30</v>
      </c>
      <c r="B165" s="17" t="s">
        <v>138</v>
      </c>
      <c r="C165" s="18">
        <v>2</v>
      </c>
      <c r="D165" s="18">
        <v>2</v>
      </c>
      <c r="E165" s="18">
        <v>4</v>
      </c>
      <c r="F165" s="18">
        <v>0</v>
      </c>
      <c r="G165" s="18">
        <v>4</v>
      </c>
      <c r="H165" s="18"/>
      <c r="I165" s="71">
        <v>0</v>
      </c>
      <c r="J165" s="18">
        <v>0</v>
      </c>
      <c r="K165" s="18">
        <v>0</v>
      </c>
      <c r="L165" s="18">
        <v>0</v>
      </c>
      <c r="M165" s="18">
        <v>0</v>
      </c>
      <c r="N165" s="74"/>
      <c r="O165" s="18">
        <v>0</v>
      </c>
      <c r="P165" s="18">
        <v>1</v>
      </c>
      <c r="Q165" s="18">
        <v>1</v>
      </c>
      <c r="R165" s="18">
        <v>1</v>
      </c>
      <c r="S165" s="18">
        <v>0</v>
      </c>
      <c r="T165" s="74"/>
      <c r="U165" s="18">
        <v>0</v>
      </c>
      <c r="V165" s="18">
        <v>15</v>
      </c>
      <c r="W165" s="18">
        <v>15</v>
      </c>
      <c r="X165" s="18">
        <v>15</v>
      </c>
      <c r="Y165" s="18">
        <v>0</v>
      </c>
    </row>
    <row r="166" spans="1:91" s="48" customFormat="1">
      <c r="A166" s="79" t="s">
        <v>31</v>
      </c>
      <c r="B166" s="8" t="s">
        <v>0</v>
      </c>
      <c r="C166" s="13">
        <f>SUM(C167:C179)</f>
        <v>72</v>
      </c>
      <c r="D166" s="13">
        <f>SUM(D167:D179)</f>
        <v>74</v>
      </c>
      <c r="E166" s="13">
        <f>SUM(E167:E179)</f>
        <v>146</v>
      </c>
      <c r="F166" s="13">
        <f>SUM(F167:F179)</f>
        <v>59</v>
      </c>
      <c r="G166" s="13">
        <f>SUM(G167:G179)</f>
        <v>87</v>
      </c>
      <c r="H166" s="13"/>
      <c r="I166" s="56">
        <f>SUM(I167:I179)</f>
        <v>2</v>
      </c>
      <c r="J166" s="13">
        <f>SUM(J167:J179)</f>
        <v>1</v>
      </c>
      <c r="K166" s="13">
        <f>SUM(K167:K179)</f>
        <v>3</v>
      </c>
      <c r="L166" s="13">
        <f>SUM(L167:L179)</f>
        <v>1</v>
      </c>
      <c r="M166" s="13">
        <f>SUM(M167:M179)</f>
        <v>2</v>
      </c>
      <c r="N166" s="57"/>
      <c r="O166" s="13">
        <f>SUM(O167:O179)</f>
        <v>30</v>
      </c>
      <c r="P166" s="13">
        <f>SUM(P167:P179)</f>
        <v>81</v>
      </c>
      <c r="Q166" s="13">
        <f>SUM(Q167:Q179)</f>
        <v>111</v>
      </c>
      <c r="R166" s="13">
        <f>SUM(R167:R179)</f>
        <v>74</v>
      </c>
      <c r="S166" s="13">
        <f>SUM(S167:S179)</f>
        <v>37</v>
      </c>
      <c r="T166" s="57"/>
      <c r="U166" s="13">
        <f>SUM(U167:U179)</f>
        <v>89</v>
      </c>
      <c r="V166" s="13">
        <f>SUM(V167:V179)</f>
        <v>306</v>
      </c>
      <c r="W166" s="13">
        <f>SUM(W167:W179)</f>
        <v>395</v>
      </c>
      <c r="X166" s="13">
        <f>SUM(X167:X179)</f>
        <v>294</v>
      </c>
      <c r="Y166" s="13">
        <f>SUM(Y167:Y179)</f>
        <v>101</v>
      </c>
      <c r="CI166" s="45"/>
      <c r="CJ166" s="45"/>
      <c r="CK166" s="45"/>
      <c r="CL166" s="45"/>
      <c r="CM166" s="45"/>
    </row>
    <row r="167" spans="1:91" s="49" customFormat="1">
      <c r="A167" s="9" t="s">
        <v>31</v>
      </c>
      <c r="B167" s="10" t="s">
        <v>205</v>
      </c>
      <c r="C167" s="12">
        <v>3</v>
      </c>
      <c r="D167" s="12">
        <v>1</v>
      </c>
      <c r="E167" s="12">
        <v>4</v>
      </c>
      <c r="F167" s="12">
        <v>0</v>
      </c>
      <c r="G167" s="12">
        <v>4</v>
      </c>
      <c r="H167" s="12"/>
      <c r="I167" s="70">
        <v>0</v>
      </c>
      <c r="J167" s="12">
        <v>0</v>
      </c>
      <c r="K167" s="12">
        <v>0</v>
      </c>
      <c r="L167" s="12">
        <v>0</v>
      </c>
      <c r="M167" s="12">
        <v>0</v>
      </c>
      <c r="N167" s="73"/>
      <c r="O167" s="12">
        <v>8</v>
      </c>
      <c r="P167" s="12">
        <v>11</v>
      </c>
      <c r="Q167" s="12">
        <v>19</v>
      </c>
      <c r="R167" s="12">
        <v>12</v>
      </c>
      <c r="S167" s="12">
        <v>7</v>
      </c>
      <c r="T167" s="73"/>
      <c r="U167" s="12">
        <v>10</v>
      </c>
      <c r="V167" s="12">
        <v>36</v>
      </c>
      <c r="W167" s="12">
        <v>46</v>
      </c>
      <c r="X167" s="12">
        <v>32</v>
      </c>
      <c r="Y167" s="12">
        <v>14</v>
      </c>
    </row>
    <row r="168" spans="1:91" s="49" customFormat="1">
      <c r="A168" s="9" t="s">
        <v>31</v>
      </c>
      <c r="B168" s="10" t="s">
        <v>206</v>
      </c>
      <c r="C168" s="12">
        <v>3</v>
      </c>
      <c r="D168" s="12">
        <v>0</v>
      </c>
      <c r="E168" s="12">
        <v>3</v>
      </c>
      <c r="F168" s="12">
        <v>0</v>
      </c>
      <c r="G168" s="12">
        <v>3</v>
      </c>
      <c r="H168" s="12"/>
      <c r="I168" s="70">
        <v>0</v>
      </c>
      <c r="J168" s="12">
        <v>0</v>
      </c>
      <c r="K168" s="12">
        <v>0</v>
      </c>
      <c r="L168" s="12">
        <v>0</v>
      </c>
      <c r="M168" s="12">
        <v>0</v>
      </c>
      <c r="N168" s="73"/>
      <c r="O168" s="12">
        <v>0</v>
      </c>
      <c r="P168" s="12">
        <v>8</v>
      </c>
      <c r="Q168" s="12">
        <v>8</v>
      </c>
      <c r="R168" s="12">
        <v>5</v>
      </c>
      <c r="S168" s="12">
        <v>3</v>
      </c>
      <c r="T168" s="73"/>
      <c r="U168" s="12">
        <v>2</v>
      </c>
      <c r="V168" s="12">
        <v>13</v>
      </c>
      <c r="W168" s="12">
        <v>15</v>
      </c>
      <c r="X168" s="12">
        <v>13</v>
      </c>
      <c r="Y168" s="12">
        <v>2</v>
      </c>
    </row>
    <row r="169" spans="1:91" s="49" customFormat="1">
      <c r="A169" s="9" t="s">
        <v>31</v>
      </c>
      <c r="B169" s="10" t="s">
        <v>207</v>
      </c>
      <c r="C169" s="12">
        <v>3</v>
      </c>
      <c r="D169" s="12">
        <v>8</v>
      </c>
      <c r="E169" s="12">
        <v>11</v>
      </c>
      <c r="F169" s="12">
        <v>6</v>
      </c>
      <c r="G169" s="12">
        <v>5</v>
      </c>
      <c r="H169" s="12"/>
      <c r="I169" s="70">
        <v>0</v>
      </c>
      <c r="J169" s="12">
        <v>1</v>
      </c>
      <c r="K169" s="12">
        <v>1</v>
      </c>
      <c r="L169" s="12">
        <v>0</v>
      </c>
      <c r="M169" s="12">
        <v>1</v>
      </c>
      <c r="N169" s="73"/>
      <c r="O169" s="12">
        <v>5</v>
      </c>
      <c r="P169" s="12">
        <v>3</v>
      </c>
      <c r="Q169" s="12">
        <v>8</v>
      </c>
      <c r="R169" s="12">
        <v>4</v>
      </c>
      <c r="S169" s="12">
        <v>4</v>
      </c>
      <c r="T169" s="73"/>
      <c r="U169" s="12">
        <v>9</v>
      </c>
      <c r="V169" s="12">
        <v>21</v>
      </c>
      <c r="W169" s="12">
        <v>30</v>
      </c>
      <c r="X169" s="12">
        <v>22</v>
      </c>
      <c r="Y169" s="12">
        <v>8</v>
      </c>
    </row>
    <row r="170" spans="1:91" s="49" customFormat="1">
      <c r="A170" s="9" t="s">
        <v>31</v>
      </c>
      <c r="B170" s="10" t="s">
        <v>208</v>
      </c>
      <c r="C170" s="12">
        <v>12</v>
      </c>
      <c r="D170" s="12">
        <v>11</v>
      </c>
      <c r="E170" s="12">
        <v>23</v>
      </c>
      <c r="F170" s="12">
        <v>10</v>
      </c>
      <c r="G170" s="12">
        <v>13</v>
      </c>
      <c r="H170" s="12"/>
      <c r="I170" s="70">
        <v>0</v>
      </c>
      <c r="J170" s="12">
        <v>0</v>
      </c>
      <c r="K170" s="12">
        <v>0</v>
      </c>
      <c r="L170" s="12">
        <v>0</v>
      </c>
      <c r="M170" s="12">
        <v>0</v>
      </c>
      <c r="N170" s="73"/>
      <c r="O170" s="12">
        <v>2</v>
      </c>
      <c r="P170" s="12">
        <v>6</v>
      </c>
      <c r="Q170" s="12">
        <v>8</v>
      </c>
      <c r="R170" s="12">
        <v>5</v>
      </c>
      <c r="S170" s="12">
        <v>3</v>
      </c>
      <c r="T170" s="73"/>
      <c r="U170" s="12">
        <v>8</v>
      </c>
      <c r="V170" s="12">
        <v>49</v>
      </c>
      <c r="W170" s="12">
        <v>57</v>
      </c>
      <c r="X170" s="12">
        <v>42</v>
      </c>
      <c r="Y170" s="12">
        <v>15</v>
      </c>
    </row>
    <row r="171" spans="1:91" s="49" customFormat="1">
      <c r="A171" s="9" t="s">
        <v>31</v>
      </c>
      <c r="B171" s="10" t="s">
        <v>209</v>
      </c>
      <c r="C171" s="12">
        <v>9</v>
      </c>
      <c r="D171" s="12">
        <v>3</v>
      </c>
      <c r="E171" s="12">
        <v>12</v>
      </c>
      <c r="F171" s="12">
        <v>5</v>
      </c>
      <c r="G171" s="12">
        <v>7</v>
      </c>
      <c r="H171" s="12"/>
      <c r="I171" s="70">
        <v>2</v>
      </c>
      <c r="J171" s="12">
        <v>0</v>
      </c>
      <c r="K171" s="12">
        <v>2</v>
      </c>
      <c r="L171" s="12">
        <v>1</v>
      </c>
      <c r="M171" s="12">
        <v>1</v>
      </c>
      <c r="N171" s="73"/>
      <c r="O171" s="12">
        <v>2</v>
      </c>
      <c r="P171" s="12">
        <v>4</v>
      </c>
      <c r="Q171" s="12">
        <v>6</v>
      </c>
      <c r="R171" s="12">
        <v>4</v>
      </c>
      <c r="S171" s="12">
        <v>2</v>
      </c>
      <c r="T171" s="73"/>
      <c r="U171" s="12">
        <v>7</v>
      </c>
      <c r="V171" s="12">
        <v>32</v>
      </c>
      <c r="W171" s="12">
        <v>39</v>
      </c>
      <c r="X171" s="12">
        <v>25</v>
      </c>
      <c r="Y171" s="12">
        <v>14</v>
      </c>
    </row>
    <row r="172" spans="1:91" s="49" customFormat="1">
      <c r="A172" s="9" t="s">
        <v>31</v>
      </c>
      <c r="B172" s="10" t="s">
        <v>164</v>
      </c>
      <c r="C172" s="12">
        <v>15</v>
      </c>
      <c r="D172" s="12">
        <v>9</v>
      </c>
      <c r="E172" s="12">
        <v>24</v>
      </c>
      <c r="F172" s="12">
        <v>0</v>
      </c>
      <c r="G172" s="12">
        <v>24</v>
      </c>
      <c r="H172" s="12"/>
      <c r="I172" s="70">
        <v>0</v>
      </c>
      <c r="J172" s="12">
        <v>0</v>
      </c>
      <c r="K172" s="12">
        <v>0</v>
      </c>
      <c r="L172" s="12">
        <v>0</v>
      </c>
      <c r="M172" s="12">
        <v>0</v>
      </c>
      <c r="N172" s="73"/>
      <c r="O172" s="12">
        <v>1</v>
      </c>
      <c r="P172" s="12">
        <v>3</v>
      </c>
      <c r="Q172" s="12">
        <v>4</v>
      </c>
      <c r="R172" s="12">
        <v>2</v>
      </c>
      <c r="S172" s="12">
        <v>2</v>
      </c>
      <c r="T172" s="73"/>
      <c r="U172" s="12">
        <v>18</v>
      </c>
      <c r="V172" s="12">
        <v>34</v>
      </c>
      <c r="W172" s="12">
        <v>52</v>
      </c>
      <c r="X172" s="12">
        <v>37</v>
      </c>
      <c r="Y172" s="12">
        <v>15</v>
      </c>
    </row>
    <row r="173" spans="1:91" s="49" customFormat="1">
      <c r="A173" s="9" t="s">
        <v>31</v>
      </c>
      <c r="B173" s="10" t="s">
        <v>210</v>
      </c>
      <c r="C173" s="12">
        <v>0</v>
      </c>
      <c r="D173" s="12">
        <v>1</v>
      </c>
      <c r="E173" s="12">
        <v>1</v>
      </c>
      <c r="F173" s="12">
        <v>1</v>
      </c>
      <c r="G173" s="12">
        <v>0</v>
      </c>
      <c r="H173" s="12"/>
      <c r="I173" s="70">
        <v>0</v>
      </c>
      <c r="J173" s="12">
        <v>0</v>
      </c>
      <c r="K173" s="12">
        <v>0</v>
      </c>
      <c r="L173" s="12">
        <v>0</v>
      </c>
      <c r="M173" s="12">
        <v>0</v>
      </c>
      <c r="N173" s="73"/>
      <c r="O173" s="12">
        <v>2</v>
      </c>
      <c r="P173" s="12">
        <v>0</v>
      </c>
      <c r="Q173" s="12">
        <v>2</v>
      </c>
      <c r="R173" s="12">
        <v>1</v>
      </c>
      <c r="S173" s="12">
        <v>1</v>
      </c>
      <c r="T173" s="73"/>
      <c r="U173" s="12">
        <v>1</v>
      </c>
      <c r="V173" s="12">
        <v>13</v>
      </c>
      <c r="W173" s="12">
        <v>14</v>
      </c>
      <c r="X173" s="12">
        <v>8</v>
      </c>
      <c r="Y173" s="12">
        <v>6</v>
      </c>
    </row>
    <row r="174" spans="1:91" s="49" customFormat="1">
      <c r="A174" s="9" t="s">
        <v>31</v>
      </c>
      <c r="B174" s="10" t="s">
        <v>211</v>
      </c>
      <c r="C174" s="12">
        <v>0</v>
      </c>
      <c r="D174" s="12">
        <v>2</v>
      </c>
      <c r="E174" s="12">
        <v>2</v>
      </c>
      <c r="F174" s="12">
        <v>1</v>
      </c>
      <c r="G174" s="12">
        <v>1</v>
      </c>
      <c r="H174" s="12"/>
      <c r="I174" s="70">
        <v>0</v>
      </c>
      <c r="J174" s="12">
        <v>0</v>
      </c>
      <c r="K174" s="12">
        <v>0</v>
      </c>
      <c r="L174" s="12">
        <v>0</v>
      </c>
      <c r="M174" s="12">
        <v>0</v>
      </c>
      <c r="N174" s="73"/>
      <c r="O174" s="12">
        <v>0</v>
      </c>
      <c r="P174" s="12">
        <v>1</v>
      </c>
      <c r="Q174" s="12">
        <v>1</v>
      </c>
      <c r="R174" s="12">
        <v>0</v>
      </c>
      <c r="S174" s="12">
        <v>1</v>
      </c>
      <c r="T174" s="73"/>
      <c r="U174" s="12">
        <v>1</v>
      </c>
      <c r="V174" s="12">
        <v>5</v>
      </c>
      <c r="W174" s="12">
        <v>6</v>
      </c>
      <c r="X174" s="12">
        <v>6</v>
      </c>
      <c r="Y174" s="12">
        <v>0</v>
      </c>
    </row>
    <row r="175" spans="1:91" s="49" customFormat="1">
      <c r="A175" s="9" t="s">
        <v>31</v>
      </c>
      <c r="B175" s="10" t="s">
        <v>212</v>
      </c>
      <c r="C175" s="12">
        <v>1</v>
      </c>
      <c r="D175" s="12">
        <v>2</v>
      </c>
      <c r="E175" s="12">
        <v>3</v>
      </c>
      <c r="F175" s="12">
        <v>3</v>
      </c>
      <c r="G175" s="12">
        <v>0</v>
      </c>
      <c r="H175" s="12"/>
      <c r="I175" s="70">
        <v>0</v>
      </c>
      <c r="J175" s="12">
        <v>0</v>
      </c>
      <c r="K175" s="12">
        <v>0</v>
      </c>
      <c r="L175" s="12">
        <v>0</v>
      </c>
      <c r="M175" s="12">
        <v>0</v>
      </c>
      <c r="N175" s="73"/>
      <c r="O175" s="12">
        <v>0</v>
      </c>
      <c r="P175" s="12">
        <v>14</v>
      </c>
      <c r="Q175" s="12">
        <v>14</v>
      </c>
      <c r="R175" s="12">
        <v>8</v>
      </c>
      <c r="S175" s="12">
        <v>6</v>
      </c>
      <c r="T175" s="73"/>
      <c r="U175" s="12">
        <v>1</v>
      </c>
      <c r="V175" s="12">
        <v>34</v>
      </c>
      <c r="W175" s="12">
        <v>35</v>
      </c>
      <c r="X175" s="12">
        <v>34</v>
      </c>
      <c r="Y175" s="12">
        <v>1</v>
      </c>
    </row>
    <row r="176" spans="1:91" s="49" customFormat="1">
      <c r="A176" s="9" t="s">
        <v>31</v>
      </c>
      <c r="B176" s="10" t="s">
        <v>213</v>
      </c>
      <c r="C176" s="12">
        <v>0</v>
      </c>
      <c r="D176" s="12">
        <v>2</v>
      </c>
      <c r="E176" s="12">
        <v>2</v>
      </c>
      <c r="F176" s="12">
        <v>0</v>
      </c>
      <c r="G176" s="12">
        <v>2</v>
      </c>
      <c r="H176" s="12"/>
      <c r="I176" s="70">
        <v>0</v>
      </c>
      <c r="J176" s="12">
        <v>0</v>
      </c>
      <c r="K176" s="12">
        <v>0</v>
      </c>
      <c r="L176" s="12">
        <v>0</v>
      </c>
      <c r="M176" s="12">
        <v>0</v>
      </c>
      <c r="N176" s="73"/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73"/>
      <c r="U176" s="12">
        <v>2</v>
      </c>
      <c r="V176" s="12">
        <v>5</v>
      </c>
      <c r="W176" s="12">
        <v>7</v>
      </c>
      <c r="X176" s="12">
        <v>5</v>
      </c>
      <c r="Y176" s="12">
        <v>2</v>
      </c>
    </row>
    <row r="177" spans="1:91" s="49" customFormat="1">
      <c r="A177" s="9" t="s">
        <v>31</v>
      </c>
      <c r="B177" s="10" t="s">
        <v>214</v>
      </c>
      <c r="C177" s="12">
        <v>10</v>
      </c>
      <c r="D177" s="12">
        <v>25</v>
      </c>
      <c r="E177" s="12">
        <v>35</v>
      </c>
      <c r="F177" s="12">
        <v>21</v>
      </c>
      <c r="G177" s="12">
        <v>14</v>
      </c>
      <c r="H177" s="12"/>
      <c r="I177" s="70">
        <v>0</v>
      </c>
      <c r="J177" s="12">
        <v>0</v>
      </c>
      <c r="K177" s="12">
        <v>0</v>
      </c>
      <c r="L177" s="12">
        <v>0</v>
      </c>
      <c r="M177" s="12">
        <v>0</v>
      </c>
      <c r="N177" s="73"/>
      <c r="O177" s="12">
        <v>5</v>
      </c>
      <c r="P177" s="12">
        <v>29</v>
      </c>
      <c r="Q177" s="12">
        <v>34</v>
      </c>
      <c r="R177" s="12">
        <v>28</v>
      </c>
      <c r="S177" s="12">
        <v>6</v>
      </c>
      <c r="T177" s="73"/>
      <c r="U177" s="12">
        <v>10</v>
      </c>
      <c r="V177" s="12">
        <v>36</v>
      </c>
      <c r="W177" s="12">
        <v>46</v>
      </c>
      <c r="X177" s="12">
        <v>34</v>
      </c>
      <c r="Y177" s="12">
        <v>12</v>
      </c>
    </row>
    <row r="178" spans="1:91" s="49" customFormat="1">
      <c r="A178" s="9" t="s">
        <v>31</v>
      </c>
      <c r="B178" s="10" t="s">
        <v>215</v>
      </c>
      <c r="C178" s="12">
        <v>16</v>
      </c>
      <c r="D178" s="12">
        <v>10</v>
      </c>
      <c r="E178" s="12">
        <v>26</v>
      </c>
      <c r="F178" s="12">
        <v>12</v>
      </c>
      <c r="G178" s="12">
        <v>14</v>
      </c>
      <c r="H178" s="12"/>
      <c r="I178" s="70">
        <v>0</v>
      </c>
      <c r="J178" s="12">
        <v>0</v>
      </c>
      <c r="K178" s="12">
        <v>0</v>
      </c>
      <c r="L178" s="12">
        <v>0</v>
      </c>
      <c r="M178" s="12">
        <v>0</v>
      </c>
      <c r="N178" s="73"/>
      <c r="O178" s="12">
        <v>2</v>
      </c>
      <c r="P178" s="12">
        <v>0</v>
      </c>
      <c r="Q178" s="12">
        <v>2</v>
      </c>
      <c r="R178" s="12">
        <v>2</v>
      </c>
      <c r="S178" s="12">
        <v>0</v>
      </c>
      <c r="T178" s="73"/>
      <c r="U178" s="12">
        <v>13</v>
      </c>
      <c r="V178" s="12">
        <v>20</v>
      </c>
      <c r="W178" s="12">
        <v>33</v>
      </c>
      <c r="X178" s="12">
        <v>26</v>
      </c>
      <c r="Y178" s="12">
        <v>7</v>
      </c>
    </row>
    <row r="179" spans="1:91" s="49" customFormat="1">
      <c r="A179" s="16" t="s">
        <v>31</v>
      </c>
      <c r="B179" s="17" t="s">
        <v>175</v>
      </c>
      <c r="C179" s="18">
        <v>0</v>
      </c>
      <c r="D179" s="18">
        <v>0</v>
      </c>
      <c r="E179" s="18">
        <v>0</v>
      </c>
      <c r="F179" s="18">
        <v>0</v>
      </c>
      <c r="G179" s="18">
        <v>0</v>
      </c>
      <c r="H179" s="18"/>
      <c r="I179" s="71">
        <v>0</v>
      </c>
      <c r="J179" s="18">
        <v>0</v>
      </c>
      <c r="K179" s="18">
        <v>0</v>
      </c>
      <c r="L179" s="18">
        <v>0</v>
      </c>
      <c r="M179" s="18">
        <v>0</v>
      </c>
      <c r="N179" s="74"/>
      <c r="O179" s="18">
        <v>3</v>
      </c>
      <c r="P179" s="18">
        <v>2</v>
      </c>
      <c r="Q179" s="18">
        <v>5</v>
      </c>
      <c r="R179" s="18">
        <v>3</v>
      </c>
      <c r="S179" s="18">
        <v>2</v>
      </c>
      <c r="T179" s="74"/>
      <c r="U179" s="18">
        <v>7</v>
      </c>
      <c r="V179" s="18">
        <v>8</v>
      </c>
      <c r="W179" s="18">
        <v>15</v>
      </c>
      <c r="X179" s="18">
        <v>10</v>
      </c>
      <c r="Y179" s="18">
        <v>5</v>
      </c>
    </row>
    <row r="180" spans="1:91" s="48" customFormat="1">
      <c r="A180" s="79" t="s">
        <v>32</v>
      </c>
      <c r="B180" s="8" t="s">
        <v>0</v>
      </c>
      <c r="C180" s="13">
        <f>SUM(C181:C191)</f>
        <v>158</v>
      </c>
      <c r="D180" s="13">
        <f>SUM(D181:D191)</f>
        <v>175</v>
      </c>
      <c r="E180" s="13">
        <f>SUM(E181:E191)</f>
        <v>333</v>
      </c>
      <c r="F180" s="13">
        <f>SUM(F181:F191)</f>
        <v>176</v>
      </c>
      <c r="G180" s="13">
        <f>SUM(G181:G191)</f>
        <v>157</v>
      </c>
      <c r="H180" s="13"/>
      <c r="I180" s="56">
        <f>SUM(I181:I191)</f>
        <v>3</v>
      </c>
      <c r="J180" s="13">
        <f>SUM(J181:J191)</f>
        <v>3</v>
      </c>
      <c r="K180" s="13">
        <f>SUM(K181:K191)</f>
        <v>6</v>
      </c>
      <c r="L180" s="13">
        <f>SUM(L181:L191)</f>
        <v>3</v>
      </c>
      <c r="M180" s="13">
        <f>SUM(M181:M191)</f>
        <v>3</v>
      </c>
      <c r="N180" s="57"/>
      <c r="O180" s="13">
        <f>SUM(O181:O191)</f>
        <v>65</v>
      </c>
      <c r="P180" s="13">
        <f>SUM(P181:P191)</f>
        <v>131</v>
      </c>
      <c r="Q180" s="13">
        <f>SUM(Q181:Q191)</f>
        <v>196</v>
      </c>
      <c r="R180" s="13">
        <f>SUM(R181:R191)</f>
        <v>124</v>
      </c>
      <c r="S180" s="13">
        <f>SUM(S181:S191)</f>
        <v>72</v>
      </c>
      <c r="T180" s="57"/>
      <c r="U180" s="13">
        <f>SUM(U181:U191)</f>
        <v>93</v>
      </c>
      <c r="V180" s="13">
        <f>SUM(V181:V191)</f>
        <v>630</v>
      </c>
      <c r="W180" s="13">
        <f>SUM(W181:W191)</f>
        <v>723</v>
      </c>
      <c r="X180" s="13">
        <f>SUM(X181:X191)</f>
        <v>601</v>
      </c>
      <c r="Y180" s="13">
        <f>SUM(Y181:Y191)</f>
        <v>122</v>
      </c>
      <c r="CI180" s="45"/>
      <c r="CJ180" s="45"/>
      <c r="CK180" s="45"/>
      <c r="CL180" s="45"/>
      <c r="CM180" s="45"/>
    </row>
    <row r="181" spans="1:91" s="49" customFormat="1">
      <c r="A181" s="9" t="s">
        <v>32</v>
      </c>
      <c r="B181" s="10" t="s">
        <v>216</v>
      </c>
      <c r="C181" s="12">
        <v>10</v>
      </c>
      <c r="D181" s="12">
        <v>10</v>
      </c>
      <c r="E181" s="12">
        <v>20</v>
      </c>
      <c r="F181" s="12">
        <v>11</v>
      </c>
      <c r="G181" s="12">
        <v>9</v>
      </c>
      <c r="H181" s="12"/>
      <c r="I181" s="70">
        <v>0</v>
      </c>
      <c r="J181" s="12">
        <v>0</v>
      </c>
      <c r="K181" s="12">
        <v>0</v>
      </c>
      <c r="L181" s="12">
        <v>0</v>
      </c>
      <c r="M181" s="12">
        <v>0</v>
      </c>
      <c r="N181" s="73"/>
      <c r="O181" s="12">
        <v>21</v>
      </c>
      <c r="P181" s="12">
        <v>8</v>
      </c>
      <c r="Q181" s="12">
        <v>29</v>
      </c>
      <c r="R181" s="12">
        <v>6</v>
      </c>
      <c r="S181" s="12">
        <v>23</v>
      </c>
      <c r="T181" s="73"/>
      <c r="U181" s="12">
        <v>5</v>
      </c>
      <c r="V181" s="12">
        <v>48</v>
      </c>
      <c r="W181" s="12">
        <v>53</v>
      </c>
      <c r="X181" s="12">
        <v>45</v>
      </c>
      <c r="Y181" s="12">
        <v>8</v>
      </c>
    </row>
    <row r="182" spans="1:91" s="49" customFormat="1">
      <c r="A182" s="9" t="s">
        <v>32</v>
      </c>
      <c r="B182" s="10" t="s">
        <v>217</v>
      </c>
      <c r="C182" s="12">
        <v>2</v>
      </c>
      <c r="D182" s="12">
        <v>3</v>
      </c>
      <c r="E182" s="12">
        <v>5</v>
      </c>
      <c r="F182" s="12">
        <v>4</v>
      </c>
      <c r="G182" s="12">
        <v>1</v>
      </c>
      <c r="H182" s="12"/>
      <c r="I182" s="70">
        <v>0</v>
      </c>
      <c r="J182" s="12">
        <v>0</v>
      </c>
      <c r="K182" s="12">
        <v>0</v>
      </c>
      <c r="L182" s="12">
        <v>0</v>
      </c>
      <c r="M182" s="12">
        <v>0</v>
      </c>
      <c r="N182" s="73"/>
      <c r="O182" s="12">
        <v>7</v>
      </c>
      <c r="P182" s="12">
        <v>23</v>
      </c>
      <c r="Q182" s="12">
        <v>30</v>
      </c>
      <c r="R182" s="12">
        <v>24</v>
      </c>
      <c r="S182" s="12">
        <v>6</v>
      </c>
      <c r="T182" s="73"/>
      <c r="U182" s="12">
        <v>11</v>
      </c>
      <c r="V182" s="12">
        <v>84</v>
      </c>
      <c r="W182" s="12">
        <v>95</v>
      </c>
      <c r="X182" s="12">
        <v>90</v>
      </c>
      <c r="Y182" s="12">
        <v>5</v>
      </c>
    </row>
    <row r="183" spans="1:91" s="49" customFormat="1">
      <c r="A183" s="9" t="s">
        <v>32</v>
      </c>
      <c r="B183" s="10" t="s">
        <v>218</v>
      </c>
      <c r="C183" s="12">
        <v>13</v>
      </c>
      <c r="D183" s="12">
        <v>4</v>
      </c>
      <c r="E183" s="12">
        <v>17</v>
      </c>
      <c r="F183" s="12">
        <v>0</v>
      </c>
      <c r="G183" s="12">
        <v>17</v>
      </c>
      <c r="H183" s="12"/>
      <c r="I183" s="70">
        <v>0</v>
      </c>
      <c r="J183" s="12">
        <v>0</v>
      </c>
      <c r="K183" s="12">
        <v>0</v>
      </c>
      <c r="L183" s="12">
        <v>0</v>
      </c>
      <c r="M183" s="12">
        <v>0</v>
      </c>
      <c r="N183" s="73"/>
      <c r="O183" s="12">
        <v>2</v>
      </c>
      <c r="P183" s="12">
        <v>4</v>
      </c>
      <c r="Q183" s="12">
        <v>6</v>
      </c>
      <c r="R183" s="12">
        <v>2</v>
      </c>
      <c r="S183" s="12">
        <v>4</v>
      </c>
      <c r="T183" s="73"/>
      <c r="U183" s="12">
        <v>9</v>
      </c>
      <c r="V183" s="12">
        <v>39</v>
      </c>
      <c r="W183" s="12">
        <v>48</v>
      </c>
      <c r="X183" s="12">
        <v>35</v>
      </c>
      <c r="Y183" s="12">
        <v>13</v>
      </c>
    </row>
    <row r="184" spans="1:91" s="49" customFormat="1">
      <c r="A184" s="9" t="s">
        <v>32</v>
      </c>
      <c r="B184" s="10" t="s">
        <v>219</v>
      </c>
      <c r="C184" s="12">
        <v>24</v>
      </c>
      <c r="D184" s="12">
        <v>16</v>
      </c>
      <c r="E184" s="12">
        <v>40</v>
      </c>
      <c r="F184" s="12">
        <v>5</v>
      </c>
      <c r="G184" s="12">
        <v>35</v>
      </c>
      <c r="H184" s="12"/>
      <c r="I184" s="70">
        <v>3</v>
      </c>
      <c r="J184" s="12">
        <v>0</v>
      </c>
      <c r="K184" s="12">
        <v>3</v>
      </c>
      <c r="L184" s="12">
        <v>1</v>
      </c>
      <c r="M184" s="12">
        <v>2</v>
      </c>
      <c r="N184" s="73"/>
      <c r="O184" s="12">
        <v>1</v>
      </c>
      <c r="P184" s="12">
        <v>12</v>
      </c>
      <c r="Q184" s="12">
        <v>13</v>
      </c>
      <c r="R184" s="12">
        <v>7</v>
      </c>
      <c r="S184" s="12">
        <v>6</v>
      </c>
      <c r="T184" s="73"/>
      <c r="U184" s="12">
        <v>2</v>
      </c>
      <c r="V184" s="12">
        <v>94</v>
      </c>
      <c r="W184" s="12">
        <v>96</v>
      </c>
      <c r="X184" s="12">
        <v>64</v>
      </c>
      <c r="Y184" s="12">
        <v>32</v>
      </c>
    </row>
    <row r="185" spans="1:91" s="49" customFormat="1">
      <c r="A185" s="9" t="s">
        <v>32</v>
      </c>
      <c r="B185" s="10" t="s">
        <v>220</v>
      </c>
      <c r="C185" s="12">
        <v>24</v>
      </c>
      <c r="D185" s="12">
        <v>10</v>
      </c>
      <c r="E185" s="12">
        <v>34</v>
      </c>
      <c r="F185" s="12">
        <v>16</v>
      </c>
      <c r="G185" s="12">
        <v>18</v>
      </c>
      <c r="H185" s="12"/>
      <c r="I185" s="70">
        <v>0</v>
      </c>
      <c r="J185" s="12">
        <v>1</v>
      </c>
      <c r="K185" s="12">
        <v>1</v>
      </c>
      <c r="L185" s="12">
        <v>1</v>
      </c>
      <c r="M185" s="12">
        <v>0</v>
      </c>
      <c r="N185" s="73"/>
      <c r="O185" s="12">
        <v>9</v>
      </c>
      <c r="P185" s="12">
        <v>10</v>
      </c>
      <c r="Q185" s="12">
        <v>19</v>
      </c>
      <c r="R185" s="12">
        <v>13</v>
      </c>
      <c r="S185" s="12">
        <v>6</v>
      </c>
      <c r="T185" s="73"/>
      <c r="U185" s="12">
        <v>21</v>
      </c>
      <c r="V185" s="12">
        <v>80</v>
      </c>
      <c r="W185" s="12">
        <v>101</v>
      </c>
      <c r="X185" s="12">
        <v>77</v>
      </c>
      <c r="Y185" s="12">
        <v>24</v>
      </c>
    </row>
    <row r="186" spans="1:91" s="49" customFormat="1">
      <c r="A186" s="9" t="s">
        <v>32</v>
      </c>
      <c r="B186" s="10" t="s">
        <v>221</v>
      </c>
      <c r="C186" s="12">
        <v>1</v>
      </c>
      <c r="D186" s="12">
        <v>1</v>
      </c>
      <c r="E186" s="12">
        <v>2</v>
      </c>
      <c r="F186" s="12">
        <v>1</v>
      </c>
      <c r="G186" s="12">
        <v>1</v>
      </c>
      <c r="H186" s="12"/>
      <c r="I186" s="70">
        <v>0</v>
      </c>
      <c r="J186" s="12">
        <v>0</v>
      </c>
      <c r="K186" s="12">
        <v>0</v>
      </c>
      <c r="L186" s="12">
        <v>0</v>
      </c>
      <c r="M186" s="12">
        <v>0</v>
      </c>
      <c r="N186" s="73"/>
      <c r="O186" s="12">
        <v>3</v>
      </c>
      <c r="P186" s="12">
        <v>7</v>
      </c>
      <c r="Q186" s="12">
        <v>10</v>
      </c>
      <c r="R186" s="12">
        <v>7</v>
      </c>
      <c r="S186" s="12">
        <v>3</v>
      </c>
      <c r="T186" s="73"/>
      <c r="U186" s="12">
        <v>6</v>
      </c>
      <c r="V186" s="12">
        <v>45</v>
      </c>
      <c r="W186" s="12">
        <v>51</v>
      </c>
      <c r="X186" s="12">
        <v>48</v>
      </c>
      <c r="Y186" s="12">
        <v>3</v>
      </c>
    </row>
    <row r="187" spans="1:91" s="49" customFormat="1">
      <c r="A187" s="9" t="s">
        <v>32</v>
      </c>
      <c r="B187" s="10" t="s">
        <v>222</v>
      </c>
      <c r="C187" s="12">
        <v>4</v>
      </c>
      <c r="D187" s="12">
        <v>8</v>
      </c>
      <c r="E187" s="12">
        <v>12</v>
      </c>
      <c r="F187" s="12">
        <v>5</v>
      </c>
      <c r="G187" s="12">
        <v>7</v>
      </c>
      <c r="H187" s="12"/>
      <c r="I187" s="70">
        <v>0</v>
      </c>
      <c r="J187" s="12">
        <v>1</v>
      </c>
      <c r="K187" s="12">
        <v>1</v>
      </c>
      <c r="L187" s="12">
        <v>1</v>
      </c>
      <c r="M187" s="12">
        <v>0</v>
      </c>
      <c r="N187" s="73"/>
      <c r="O187" s="12">
        <v>2</v>
      </c>
      <c r="P187" s="12">
        <v>12</v>
      </c>
      <c r="Q187" s="12">
        <v>14</v>
      </c>
      <c r="R187" s="12">
        <v>12</v>
      </c>
      <c r="S187" s="12">
        <v>2</v>
      </c>
      <c r="T187" s="73"/>
      <c r="U187" s="12">
        <v>0</v>
      </c>
      <c r="V187" s="12">
        <v>24</v>
      </c>
      <c r="W187" s="12">
        <v>24</v>
      </c>
      <c r="X187" s="12">
        <v>20</v>
      </c>
      <c r="Y187" s="12">
        <v>4</v>
      </c>
    </row>
    <row r="188" spans="1:91" s="49" customFormat="1">
      <c r="A188" s="9" t="s">
        <v>32</v>
      </c>
      <c r="B188" s="10" t="s">
        <v>223</v>
      </c>
      <c r="C188" s="12">
        <v>1</v>
      </c>
      <c r="D188" s="12">
        <v>0</v>
      </c>
      <c r="E188" s="12">
        <v>1</v>
      </c>
      <c r="F188" s="12">
        <v>0</v>
      </c>
      <c r="G188" s="12">
        <v>1</v>
      </c>
      <c r="H188" s="12"/>
      <c r="I188" s="70">
        <v>0</v>
      </c>
      <c r="J188" s="12">
        <v>0</v>
      </c>
      <c r="K188" s="12">
        <v>0</v>
      </c>
      <c r="L188" s="12">
        <v>0</v>
      </c>
      <c r="M188" s="12">
        <v>0</v>
      </c>
      <c r="N188" s="73"/>
      <c r="O188" s="12">
        <v>3</v>
      </c>
      <c r="P188" s="12">
        <v>4</v>
      </c>
      <c r="Q188" s="12">
        <v>7</v>
      </c>
      <c r="R188" s="12">
        <v>2</v>
      </c>
      <c r="S188" s="12">
        <v>5</v>
      </c>
      <c r="T188" s="73"/>
      <c r="U188" s="12">
        <v>1</v>
      </c>
      <c r="V188" s="12">
        <v>10</v>
      </c>
      <c r="W188" s="12">
        <v>11</v>
      </c>
      <c r="X188" s="12">
        <v>9</v>
      </c>
      <c r="Y188" s="12">
        <v>2</v>
      </c>
    </row>
    <row r="189" spans="1:91" s="49" customFormat="1">
      <c r="A189" s="9" t="s">
        <v>32</v>
      </c>
      <c r="B189" s="10" t="s">
        <v>224</v>
      </c>
      <c r="C189" s="12">
        <v>9</v>
      </c>
      <c r="D189" s="12">
        <v>5</v>
      </c>
      <c r="E189" s="12">
        <v>14</v>
      </c>
      <c r="F189" s="12">
        <v>2</v>
      </c>
      <c r="G189" s="12">
        <v>12</v>
      </c>
      <c r="H189" s="12"/>
      <c r="I189" s="70">
        <v>0</v>
      </c>
      <c r="J189" s="12">
        <v>0</v>
      </c>
      <c r="K189" s="12">
        <v>0</v>
      </c>
      <c r="L189" s="12">
        <v>0</v>
      </c>
      <c r="M189" s="12">
        <v>0</v>
      </c>
      <c r="N189" s="73"/>
      <c r="O189" s="12">
        <v>2</v>
      </c>
      <c r="P189" s="12">
        <v>3</v>
      </c>
      <c r="Q189" s="12">
        <v>5</v>
      </c>
      <c r="R189" s="12">
        <v>3</v>
      </c>
      <c r="S189" s="12">
        <v>2</v>
      </c>
      <c r="T189" s="73"/>
      <c r="U189" s="12">
        <v>5</v>
      </c>
      <c r="V189" s="12">
        <v>36</v>
      </c>
      <c r="W189" s="12">
        <v>41</v>
      </c>
      <c r="X189" s="12">
        <v>35</v>
      </c>
      <c r="Y189" s="12">
        <v>6</v>
      </c>
    </row>
    <row r="190" spans="1:91" s="49" customFormat="1">
      <c r="A190" s="9" t="s">
        <v>32</v>
      </c>
      <c r="B190" s="63" t="s">
        <v>225</v>
      </c>
      <c r="C190" s="12">
        <v>5</v>
      </c>
      <c r="D190" s="12">
        <v>6</v>
      </c>
      <c r="E190" s="12">
        <v>11</v>
      </c>
      <c r="F190" s="12">
        <v>4</v>
      </c>
      <c r="G190" s="12">
        <v>7</v>
      </c>
      <c r="H190" s="12"/>
      <c r="I190" s="70">
        <v>0</v>
      </c>
      <c r="J190" s="12">
        <v>0</v>
      </c>
      <c r="K190" s="12">
        <v>0</v>
      </c>
      <c r="L190" s="12">
        <v>0</v>
      </c>
      <c r="M190" s="12">
        <v>0</v>
      </c>
      <c r="N190" s="73"/>
      <c r="O190" s="12">
        <v>2</v>
      </c>
      <c r="P190" s="12">
        <v>8</v>
      </c>
      <c r="Q190" s="12">
        <v>10</v>
      </c>
      <c r="R190" s="12">
        <v>9</v>
      </c>
      <c r="S190" s="12">
        <v>1</v>
      </c>
      <c r="T190" s="73"/>
      <c r="U190" s="12">
        <v>7</v>
      </c>
      <c r="V190" s="12">
        <v>23</v>
      </c>
      <c r="W190" s="12">
        <v>30</v>
      </c>
      <c r="X190" s="12">
        <v>26</v>
      </c>
      <c r="Y190" s="12">
        <v>4</v>
      </c>
    </row>
    <row r="191" spans="1:91" s="49" customFormat="1">
      <c r="A191" s="64" t="s">
        <v>32</v>
      </c>
      <c r="B191" s="65" t="s">
        <v>226</v>
      </c>
      <c r="C191" s="18">
        <v>65</v>
      </c>
      <c r="D191" s="18">
        <v>112</v>
      </c>
      <c r="E191" s="18">
        <v>177</v>
      </c>
      <c r="F191" s="18">
        <v>128</v>
      </c>
      <c r="G191" s="18">
        <v>49</v>
      </c>
      <c r="H191" s="18"/>
      <c r="I191" s="71">
        <v>0</v>
      </c>
      <c r="J191" s="18">
        <v>1</v>
      </c>
      <c r="K191" s="18">
        <v>1</v>
      </c>
      <c r="L191" s="18">
        <v>0</v>
      </c>
      <c r="M191" s="18">
        <v>1</v>
      </c>
      <c r="N191" s="74"/>
      <c r="O191" s="18">
        <v>13</v>
      </c>
      <c r="P191" s="18">
        <v>40</v>
      </c>
      <c r="Q191" s="18">
        <v>53</v>
      </c>
      <c r="R191" s="18">
        <v>39</v>
      </c>
      <c r="S191" s="18">
        <v>14</v>
      </c>
      <c r="T191" s="74"/>
      <c r="U191" s="18">
        <v>26</v>
      </c>
      <c r="V191" s="18">
        <v>147</v>
      </c>
      <c r="W191" s="18">
        <v>173</v>
      </c>
      <c r="X191" s="18">
        <v>152</v>
      </c>
      <c r="Y191" s="18">
        <v>21</v>
      </c>
    </row>
    <row r="192" spans="1:91" s="48" customFormat="1">
      <c r="A192" s="79" t="s">
        <v>33</v>
      </c>
      <c r="B192" s="8" t="s">
        <v>0</v>
      </c>
      <c r="C192" s="13">
        <f>SUM(C193:C201)</f>
        <v>72</v>
      </c>
      <c r="D192" s="13">
        <f>SUM(D193:D201)</f>
        <v>181</v>
      </c>
      <c r="E192" s="13">
        <f>SUM(E193:E201)</f>
        <v>253</v>
      </c>
      <c r="F192" s="13">
        <f>SUM(F193:F201)</f>
        <v>86</v>
      </c>
      <c r="G192" s="13">
        <f>SUM(G193:G201)</f>
        <v>167</v>
      </c>
      <c r="H192" s="13"/>
      <c r="I192" s="56">
        <f>SUM(I193:I201)</f>
        <v>1</v>
      </c>
      <c r="J192" s="13">
        <f>SUM(J193:J201)</f>
        <v>3</v>
      </c>
      <c r="K192" s="13">
        <f>SUM(K193:K201)</f>
        <v>4</v>
      </c>
      <c r="L192" s="13">
        <f>SUM(L193:L201)</f>
        <v>1</v>
      </c>
      <c r="M192" s="13">
        <f>SUM(M193:M201)</f>
        <v>3</v>
      </c>
      <c r="N192" s="57"/>
      <c r="O192" s="13">
        <f>SUM(O193:O201)</f>
        <v>52</v>
      </c>
      <c r="P192" s="13">
        <f>SUM(P193:P201)</f>
        <v>284</v>
      </c>
      <c r="Q192" s="13">
        <f>SUM(Q193:Q201)</f>
        <v>336</v>
      </c>
      <c r="R192" s="13">
        <f>SUM(R193:R201)</f>
        <v>243</v>
      </c>
      <c r="S192" s="13">
        <f>SUM(S193:S201)</f>
        <v>93</v>
      </c>
      <c r="T192" s="57"/>
      <c r="U192" s="13">
        <f>SUM(U193:U201)</f>
        <v>45</v>
      </c>
      <c r="V192" s="13">
        <f>SUM(V193:V201)</f>
        <v>424</v>
      </c>
      <c r="W192" s="13">
        <f>SUM(W193:W201)</f>
        <v>469</v>
      </c>
      <c r="X192" s="13">
        <f>SUM(X193:X201)</f>
        <v>377</v>
      </c>
      <c r="Y192" s="13">
        <f>SUM(Y193:Y201)</f>
        <v>92</v>
      </c>
      <c r="CI192" s="45"/>
      <c r="CJ192" s="45"/>
      <c r="CK192" s="45"/>
      <c r="CL192" s="45"/>
      <c r="CM192" s="45"/>
    </row>
    <row r="193" spans="1:91" s="49" customFormat="1">
      <c r="A193" s="9" t="s">
        <v>33</v>
      </c>
      <c r="B193" s="10" t="s">
        <v>227</v>
      </c>
      <c r="C193" s="12">
        <v>25</v>
      </c>
      <c r="D193" s="12">
        <v>93</v>
      </c>
      <c r="E193" s="12">
        <v>118</v>
      </c>
      <c r="F193" s="12">
        <v>31</v>
      </c>
      <c r="G193" s="12">
        <v>87</v>
      </c>
      <c r="H193" s="12"/>
      <c r="I193" s="70">
        <v>0</v>
      </c>
      <c r="J193" s="12">
        <v>0</v>
      </c>
      <c r="K193" s="12">
        <v>0</v>
      </c>
      <c r="L193" s="12">
        <v>0</v>
      </c>
      <c r="M193" s="12">
        <v>0</v>
      </c>
      <c r="N193" s="73"/>
      <c r="O193" s="12">
        <v>34</v>
      </c>
      <c r="P193" s="12">
        <v>94</v>
      </c>
      <c r="Q193" s="12">
        <v>128</v>
      </c>
      <c r="R193" s="12">
        <v>91</v>
      </c>
      <c r="S193" s="12">
        <v>37</v>
      </c>
      <c r="T193" s="73"/>
      <c r="U193" s="12">
        <v>16</v>
      </c>
      <c r="V193" s="12">
        <v>122</v>
      </c>
      <c r="W193" s="12">
        <v>138</v>
      </c>
      <c r="X193" s="12">
        <v>111</v>
      </c>
      <c r="Y193" s="12">
        <v>27</v>
      </c>
    </row>
    <row r="194" spans="1:91" s="49" customFormat="1">
      <c r="A194" s="9" t="s">
        <v>33</v>
      </c>
      <c r="B194" s="10" t="s">
        <v>219</v>
      </c>
      <c r="C194" s="12">
        <v>7</v>
      </c>
      <c r="D194" s="12">
        <v>10</v>
      </c>
      <c r="E194" s="12">
        <v>17</v>
      </c>
      <c r="F194" s="12">
        <v>10</v>
      </c>
      <c r="G194" s="12">
        <v>7</v>
      </c>
      <c r="H194" s="12"/>
      <c r="I194" s="70">
        <v>0</v>
      </c>
      <c r="J194" s="12">
        <v>1</v>
      </c>
      <c r="K194" s="12">
        <v>1</v>
      </c>
      <c r="L194" s="12">
        <v>1</v>
      </c>
      <c r="M194" s="12">
        <v>0</v>
      </c>
      <c r="N194" s="73"/>
      <c r="O194" s="12">
        <v>4</v>
      </c>
      <c r="P194" s="12">
        <v>40</v>
      </c>
      <c r="Q194" s="12">
        <v>44</v>
      </c>
      <c r="R194" s="12">
        <v>24</v>
      </c>
      <c r="S194" s="12">
        <v>20</v>
      </c>
      <c r="T194" s="73"/>
      <c r="U194" s="12">
        <v>9</v>
      </c>
      <c r="V194" s="12">
        <v>80</v>
      </c>
      <c r="W194" s="12">
        <v>89</v>
      </c>
      <c r="X194" s="12">
        <v>68</v>
      </c>
      <c r="Y194" s="12">
        <v>21</v>
      </c>
    </row>
    <row r="195" spans="1:91" s="49" customFormat="1">
      <c r="A195" s="9" t="s">
        <v>33</v>
      </c>
      <c r="B195" s="10" t="s">
        <v>199</v>
      </c>
      <c r="C195" s="12">
        <v>0</v>
      </c>
      <c r="D195" s="12">
        <v>7</v>
      </c>
      <c r="E195" s="12">
        <v>7</v>
      </c>
      <c r="F195" s="12">
        <v>5</v>
      </c>
      <c r="G195" s="12">
        <v>2</v>
      </c>
      <c r="H195" s="12"/>
      <c r="I195" s="70">
        <v>0</v>
      </c>
      <c r="J195" s="12">
        <v>0</v>
      </c>
      <c r="K195" s="12">
        <v>0</v>
      </c>
      <c r="L195" s="12">
        <v>0</v>
      </c>
      <c r="M195" s="12">
        <v>0</v>
      </c>
      <c r="N195" s="73"/>
      <c r="O195" s="12">
        <v>1</v>
      </c>
      <c r="P195" s="12">
        <v>26</v>
      </c>
      <c r="Q195" s="12">
        <v>27</v>
      </c>
      <c r="R195" s="12">
        <v>25</v>
      </c>
      <c r="S195" s="12">
        <v>2</v>
      </c>
      <c r="T195" s="73"/>
      <c r="U195" s="12">
        <v>2</v>
      </c>
      <c r="V195" s="12">
        <v>33</v>
      </c>
      <c r="W195" s="12">
        <v>35</v>
      </c>
      <c r="X195" s="12">
        <v>35</v>
      </c>
      <c r="Y195" s="12">
        <v>0</v>
      </c>
    </row>
    <row r="196" spans="1:91" s="49" customFormat="1">
      <c r="A196" s="9" t="s">
        <v>33</v>
      </c>
      <c r="B196" s="10" t="s">
        <v>228</v>
      </c>
      <c r="C196" s="12">
        <v>15</v>
      </c>
      <c r="D196" s="12">
        <v>40</v>
      </c>
      <c r="E196" s="12">
        <v>55</v>
      </c>
      <c r="F196" s="12">
        <v>28</v>
      </c>
      <c r="G196" s="12">
        <v>27</v>
      </c>
      <c r="H196" s="12"/>
      <c r="I196" s="70">
        <v>0</v>
      </c>
      <c r="J196" s="12">
        <v>0</v>
      </c>
      <c r="K196" s="12">
        <v>0</v>
      </c>
      <c r="L196" s="12">
        <v>0</v>
      </c>
      <c r="M196" s="12">
        <v>0</v>
      </c>
      <c r="N196" s="73"/>
      <c r="O196" s="12">
        <v>2</v>
      </c>
      <c r="P196" s="12">
        <v>32</v>
      </c>
      <c r="Q196" s="12">
        <v>34</v>
      </c>
      <c r="R196" s="12">
        <v>29</v>
      </c>
      <c r="S196" s="12">
        <v>5</v>
      </c>
      <c r="T196" s="73"/>
      <c r="U196" s="12">
        <v>3</v>
      </c>
      <c r="V196" s="12">
        <v>55</v>
      </c>
      <c r="W196" s="12">
        <v>58</v>
      </c>
      <c r="X196" s="12">
        <v>53</v>
      </c>
      <c r="Y196" s="12">
        <v>5</v>
      </c>
    </row>
    <row r="197" spans="1:91" s="49" customFormat="1">
      <c r="A197" s="9" t="s">
        <v>33</v>
      </c>
      <c r="B197" s="10" t="s">
        <v>229</v>
      </c>
      <c r="C197" s="12">
        <v>7</v>
      </c>
      <c r="D197" s="12">
        <v>4</v>
      </c>
      <c r="E197" s="12">
        <v>11</v>
      </c>
      <c r="F197" s="12">
        <v>2</v>
      </c>
      <c r="G197" s="12">
        <v>9</v>
      </c>
      <c r="H197" s="12"/>
      <c r="I197" s="70">
        <v>0</v>
      </c>
      <c r="J197" s="12">
        <v>0</v>
      </c>
      <c r="K197" s="12">
        <v>0</v>
      </c>
      <c r="L197" s="12">
        <v>0</v>
      </c>
      <c r="M197" s="12">
        <v>0</v>
      </c>
      <c r="N197" s="73"/>
      <c r="O197" s="12">
        <v>1</v>
      </c>
      <c r="P197" s="12">
        <v>5</v>
      </c>
      <c r="Q197" s="12">
        <v>6</v>
      </c>
      <c r="R197" s="12">
        <v>6</v>
      </c>
      <c r="S197" s="12">
        <v>0</v>
      </c>
      <c r="T197" s="73"/>
      <c r="U197" s="12">
        <v>7</v>
      </c>
      <c r="V197" s="12">
        <v>11</v>
      </c>
      <c r="W197" s="12">
        <v>18</v>
      </c>
      <c r="X197" s="12">
        <v>12</v>
      </c>
      <c r="Y197" s="12">
        <v>6</v>
      </c>
    </row>
    <row r="198" spans="1:91" s="49" customFormat="1">
      <c r="A198" s="9" t="s">
        <v>33</v>
      </c>
      <c r="B198" s="10" t="s">
        <v>230</v>
      </c>
      <c r="C198" s="12">
        <v>4</v>
      </c>
      <c r="D198" s="12">
        <v>1</v>
      </c>
      <c r="E198" s="12">
        <v>5</v>
      </c>
      <c r="F198" s="12">
        <v>1</v>
      </c>
      <c r="G198" s="12">
        <v>4</v>
      </c>
      <c r="H198" s="12"/>
      <c r="I198" s="70">
        <v>1</v>
      </c>
      <c r="J198" s="12">
        <v>2</v>
      </c>
      <c r="K198" s="12">
        <v>3</v>
      </c>
      <c r="L198" s="12">
        <v>0</v>
      </c>
      <c r="M198" s="12">
        <v>3</v>
      </c>
      <c r="N198" s="73"/>
      <c r="O198" s="12">
        <v>1</v>
      </c>
      <c r="P198" s="12">
        <v>6</v>
      </c>
      <c r="Q198" s="12">
        <v>7</v>
      </c>
      <c r="R198" s="12">
        <v>6</v>
      </c>
      <c r="S198" s="12">
        <v>1</v>
      </c>
      <c r="T198" s="73"/>
      <c r="U198" s="12">
        <v>1</v>
      </c>
      <c r="V198" s="12">
        <v>14</v>
      </c>
      <c r="W198" s="12">
        <v>15</v>
      </c>
      <c r="X198" s="12">
        <v>11</v>
      </c>
      <c r="Y198" s="12">
        <v>4</v>
      </c>
    </row>
    <row r="199" spans="1:91" s="49" customFormat="1">
      <c r="A199" s="9" t="s">
        <v>33</v>
      </c>
      <c r="B199" s="10" t="s">
        <v>231</v>
      </c>
      <c r="C199" s="12">
        <v>1</v>
      </c>
      <c r="D199" s="12">
        <v>5</v>
      </c>
      <c r="E199" s="12">
        <v>6</v>
      </c>
      <c r="F199" s="12">
        <v>2</v>
      </c>
      <c r="G199" s="12">
        <v>4</v>
      </c>
      <c r="H199" s="12"/>
      <c r="I199" s="70">
        <v>0</v>
      </c>
      <c r="J199" s="12">
        <v>0</v>
      </c>
      <c r="K199" s="12">
        <v>0</v>
      </c>
      <c r="L199" s="12">
        <v>0</v>
      </c>
      <c r="M199" s="12">
        <v>0</v>
      </c>
      <c r="N199" s="73"/>
      <c r="O199" s="12">
        <v>0</v>
      </c>
      <c r="P199" s="12">
        <v>39</v>
      </c>
      <c r="Q199" s="12">
        <v>39</v>
      </c>
      <c r="R199" s="12">
        <v>25</v>
      </c>
      <c r="S199" s="12">
        <v>14</v>
      </c>
      <c r="T199" s="73"/>
      <c r="U199" s="12">
        <v>0</v>
      </c>
      <c r="V199" s="12">
        <v>56</v>
      </c>
      <c r="W199" s="12">
        <v>56</v>
      </c>
      <c r="X199" s="12">
        <v>39</v>
      </c>
      <c r="Y199" s="12">
        <v>17</v>
      </c>
    </row>
    <row r="200" spans="1:91" s="49" customFormat="1">
      <c r="A200" s="9" t="s">
        <v>33</v>
      </c>
      <c r="B200" s="10" t="s">
        <v>232</v>
      </c>
      <c r="C200" s="12">
        <v>4</v>
      </c>
      <c r="D200" s="12">
        <v>9</v>
      </c>
      <c r="E200" s="12">
        <v>13</v>
      </c>
      <c r="F200" s="12">
        <v>4</v>
      </c>
      <c r="G200" s="12">
        <v>9</v>
      </c>
      <c r="H200" s="12"/>
      <c r="I200" s="70">
        <v>0</v>
      </c>
      <c r="J200" s="12">
        <v>0</v>
      </c>
      <c r="K200" s="12">
        <v>0</v>
      </c>
      <c r="L200" s="12">
        <v>0</v>
      </c>
      <c r="M200" s="12">
        <v>0</v>
      </c>
      <c r="N200" s="73"/>
      <c r="O200" s="12">
        <v>3</v>
      </c>
      <c r="P200" s="12">
        <v>15</v>
      </c>
      <c r="Q200" s="12">
        <v>18</v>
      </c>
      <c r="R200" s="12">
        <v>13</v>
      </c>
      <c r="S200" s="12">
        <v>5</v>
      </c>
      <c r="T200" s="73"/>
      <c r="U200" s="12">
        <v>2</v>
      </c>
      <c r="V200" s="12">
        <v>21</v>
      </c>
      <c r="W200" s="12">
        <v>23</v>
      </c>
      <c r="X200" s="12">
        <v>18</v>
      </c>
      <c r="Y200" s="12">
        <v>5</v>
      </c>
    </row>
    <row r="201" spans="1:91" s="49" customFormat="1">
      <c r="A201" s="16" t="s">
        <v>33</v>
      </c>
      <c r="B201" s="17" t="s">
        <v>233</v>
      </c>
      <c r="C201" s="18">
        <v>9</v>
      </c>
      <c r="D201" s="18">
        <v>12</v>
      </c>
      <c r="E201" s="18">
        <v>21</v>
      </c>
      <c r="F201" s="18">
        <v>3</v>
      </c>
      <c r="G201" s="18">
        <v>18</v>
      </c>
      <c r="H201" s="18"/>
      <c r="I201" s="71">
        <v>0</v>
      </c>
      <c r="J201" s="18">
        <v>0</v>
      </c>
      <c r="K201" s="18">
        <v>0</v>
      </c>
      <c r="L201" s="18">
        <v>0</v>
      </c>
      <c r="M201" s="18">
        <v>0</v>
      </c>
      <c r="N201" s="74"/>
      <c r="O201" s="18">
        <v>6</v>
      </c>
      <c r="P201" s="18">
        <v>27</v>
      </c>
      <c r="Q201" s="18">
        <v>33</v>
      </c>
      <c r="R201" s="18">
        <v>24</v>
      </c>
      <c r="S201" s="18">
        <v>9</v>
      </c>
      <c r="T201" s="74"/>
      <c r="U201" s="18">
        <v>5</v>
      </c>
      <c r="V201" s="18">
        <v>32</v>
      </c>
      <c r="W201" s="18">
        <v>37</v>
      </c>
      <c r="X201" s="18">
        <v>30</v>
      </c>
      <c r="Y201" s="18">
        <v>7</v>
      </c>
    </row>
    <row r="202" spans="1:91" s="48" customFormat="1">
      <c r="A202" s="79" t="s">
        <v>34</v>
      </c>
      <c r="B202" s="8" t="s">
        <v>0</v>
      </c>
      <c r="C202" s="13">
        <f>SUM(C203:C211)</f>
        <v>125</v>
      </c>
      <c r="D202" s="13">
        <f>SUM(D203:D211)</f>
        <v>251</v>
      </c>
      <c r="E202" s="13">
        <f>SUM(E203:E211)</f>
        <v>376</v>
      </c>
      <c r="F202" s="13">
        <f>SUM(F203:F211)</f>
        <v>84</v>
      </c>
      <c r="G202" s="13">
        <f>SUM(G203:G211)</f>
        <v>292</v>
      </c>
      <c r="H202" s="13"/>
      <c r="I202" s="56">
        <f>SUM(I203:I211)</f>
        <v>2</v>
      </c>
      <c r="J202" s="13">
        <f>SUM(J203:J211)</f>
        <v>5</v>
      </c>
      <c r="K202" s="13">
        <f>SUM(K203:K211)</f>
        <v>7</v>
      </c>
      <c r="L202" s="13">
        <f>SUM(L203:L211)</f>
        <v>2</v>
      </c>
      <c r="M202" s="13">
        <f>SUM(M203:M211)</f>
        <v>5</v>
      </c>
      <c r="N202" s="57"/>
      <c r="O202" s="13">
        <f>SUM(O203:O211)</f>
        <v>63</v>
      </c>
      <c r="P202" s="13">
        <f>SUM(P203:P211)</f>
        <v>124</v>
      </c>
      <c r="Q202" s="13">
        <f>SUM(Q203:Q211)</f>
        <v>187</v>
      </c>
      <c r="R202" s="13">
        <f>SUM(R203:R211)</f>
        <v>117</v>
      </c>
      <c r="S202" s="13">
        <f>SUM(S203:S211)</f>
        <v>70</v>
      </c>
      <c r="T202" s="57"/>
      <c r="U202" s="13">
        <f>SUM(U203:U211)</f>
        <v>97</v>
      </c>
      <c r="V202" s="13">
        <f>SUM(V203:V211)</f>
        <v>423</v>
      </c>
      <c r="W202" s="13">
        <f>SUM(W203:W211)</f>
        <v>520</v>
      </c>
      <c r="X202" s="13">
        <f>SUM(X203:X211)</f>
        <v>396</v>
      </c>
      <c r="Y202" s="13">
        <f>SUM(Y203:Y211)</f>
        <v>124</v>
      </c>
      <c r="CI202" s="45"/>
      <c r="CJ202" s="45"/>
      <c r="CK202" s="45"/>
      <c r="CL202" s="45"/>
      <c r="CM202" s="45"/>
    </row>
    <row r="203" spans="1:91" s="49" customFormat="1">
      <c r="A203" s="9" t="s">
        <v>34</v>
      </c>
      <c r="B203" s="10" t="s">
        <v>185</v>
      </c>
      <c r="C203" s="12">
        <v>33</v>
      </c>
      <c r="D203" s="12">
        <v>101</v>
      </c>
      <c r="E203" s="12">
        <v>134</v>
      </c>
      <c r="F203" s="12">
        <v>32</v>
      </c>
      <c r="G203" s="12">
        <v>102</v>
      </c>
      <c r="H203" s="12"/>
      <c r="I203" s="70">
        <v>0</v>
      </c>
      <c r="J203" s="12">
        <v>0</v>
      </c>
      <c r="K203" s="12">
        <v>0</v>
      </c>
      <c r="L203" s="12">
        <v>0</v>
      </c>
      <c r="M203" s="12">
        <v>0</v>
      </c>
      <c r="N203" s="73"/>
      <c r="O203" s="12">
        <v>31</v>
      </c>
      <c r="P203" s="12">
        <v>77</v>
      </c>
      <c r="Q203" s="12">
        <v>108</v>
      </c>
      <c r="R203" s="12">
        <v>70</v>
      </c>
      <c r="S203" s="12">
        <v>38</v>
      </c>
      <c r="T203" s="73"/>
      <c r="U203" s="12">
        <v>46</v>
      </c>
      <c r="V203" s="12">
        <v>200</v>
      </c>
      <c r="W203" s="12">
        <v>246</v>
      </c>
      <c r="X203" s="12">
        <v>201</v>
      </c>
      <c r="Y203" s="12">
        <v>45</v>
      </c>
    </row>
    <row r="204" spans="1:91" s="49" customFormat="1">
      <c r="A204" s="9" t="s">
        <v>34</v>
      </c>
      <c r="B204" s="10" t="s">
        <v>234</v>
      </c>
      <c r="C204" s="12">
        <v>5</v>
      </c>
      <c r="D204" s="12">
        <v>15</v>
      </c>
      <c r="E204" s="12">
        <v>20</v>
      </c>
      <c r="F204" s="12">
        <v>6</v>
      </c>
      <c r="G204" s="12">
        <v>14</v>
      </c>
      <c r="H204" s="12"/>
      <c r="I204" s="70">
        <v>0</v>
      </c>
      <c r="J204" s="12">
        <v>0</v>
      </c>
      <c r="K204" s="12">
        <v>0</v>
      </c>
      <c r="L204" s="12">
        <v>0</v>
      </c>
      <c r="M204" s="12">
        <v>0</v>
      </c>
      <c r="N204" s="73"/>
      <c r="O204" s="12">
        <v>1</v>
      </c>
      <c r="P204" s="12">
        <v>8</v>
      </c>
      <c r="Q204" s="12">
        <v>9</v>
      </c>
      <c r="R204" s="12">
        <v>8</v>
      </c>
      <c r="S204" s="12">
        <v>1</v>
      </c>
      <c r="T204" s="73"/>
      <c r="U204" s="12">
        <v>3</v>
      </c>
      <c r="V204" s="12">
        <v>34</v>
      </c>
      <c r="W204" s="12">
        <v>37</v>
      </c>
      <c r="X204" s="12">
        <v>25</v>
      </c>
      <c r="Y204" s="12">
        <v>12</v>
      </c>
    </row>
    <row r="205" spans="1:91" s="49" customFormat="1">
      <c r="A205" s="9" t="s">
        <v>34</v>
      </c>
      <c r="B205" s="10" t="s">
        <v>235</v>
      </c>
      <c r="C205" s="12">
        <v>2</v>
      </c>
      <c r="D205" s="12">
        <v>5</v>
      </c>
      <c r="E205" s="12">
        <v>7</v>
      </c>
      <c r="F205" s="12">
        <v>3</v>
      </c>
      <c r="G205" s="12">
        <v>4</v>
      </c>
      <c r="H205" s="12"/>
      <c r="I205" s="70">
        <v>0</v>
      </c>
      <c r="J205" s="12">
        <v>0</v>
      </c>
      <c r="K205" s="12">
        <v>0</v>
      </c>
      <c r="L205" s="12">
        <v>0</v>
      </c>
      <c r="M205" s="12">
        <v>0</v>
      </c>
      <c r="N205" s="73"/>
      <c r="O205" s="12">
        <v>3</v>
      </c>
      <c r="P205" s="12">
        <v>9</v>
      </c>
      <c r="Q205" s="12">
        <v>12</v>
      </c>
      <c r="R205" s="12">
        <v>11</v>
      </c>
      <c r="S205" s="12">
        <v>1</v>
      </c>
      <c r="T205" s="73"/>
      <c r="U205" s="12">
        <v>5</v>
      </c>
      <c r="V205" s="12">
        <v>24</v>
      </c>
      <c r="W205" s="12">
        <v>29</v>
      </c>
      <c r="X205" s="12">
        <v>27</v>
      </c>
      <c r="Y205" s="12">
        <v>2</v>
      </c>
    </row>
    <row r="206" spans="1:91" s="49" customFormat="1">
      <c r="A206" s="9" t="s">
        <v>34</v>
      </c>
      <c r="B206" s="10" t="s">
        <v>236</v>
      </c>
      <c r="C206" s="12">
        <v>5</v>
      </c>
      <c r="D206" s="12">
        <v>3</v>
      </c>
      <c r="E206" s="12">
        <v>8</v>
      </c>
      <c r="F206" s="12">
        <v>4</v>
      </c>
      <c r="G206" s="12">
        <v>4</v>
      </c>
      <c r="H206" s="12"/>
      <c r="I206" s="70">
        <v>0</v>
      </c>
      <c r="J206" s="12">
        <v>0</v>
      </c>
      <c r="K206" s="12">
        <v>0</v>
      </c>
      <c r="L206" s="12">
        <v>0</v>
      </c>
      <c r="M206" s="12">
        <v>0</v>
      </c>
      <c r="N206" s="73"/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73"/>
      <c r="U206" s="12">
        <v>4</v>
      </c>
      <c r="V206" s="12">
        <v>11</v>
      </c>
      <c r="W206" s="12">
        <v>15</v>
      </c>
      <c r="X206" s="12">
        <v>10</v>
      </c>
      <c r="Y206" s="12">
        <v>5</v>
      </c>
    </row>
    <row r="207" spans="1:91" s="49" customFormat="1">
      <c r="A207" s="9" t="s">
        <v>34</v>
      </c>
      <c r="B207" s="10" t="s">
        <v>237</v>
      </c>
      <c r="C207" s="12">
        <v>1</v>
      </c>
      <c r="D207" s="12">
        <v>12</v>
      </c>
      <c r="E207" s="12">
        <v>13</v>
      </c>
      <c r="F207" s="12">
        <v>8</v>
      </c>
      <c r="G207" s="12">
        <v>5</v>
      </c>
      <c r="H207" s="12"/>
      <c r="I207" s="70">
        <v>0</v>
      </c>
      <c r="J207" s="12">
        <v>0</v>
      </c>
      <c r="K207" s="12">
        <v>0</v>
      </c>
      <c r="L207" s="12">
        <v>0</v>
      </c>
      <c r="M207" s="12">
        <v>0</v>
      </c>
      <c r="N207" s="73"/>
      <c r="O207" s="12">
        <v>5</v>
      </c>
      <c r="P207" s="12">
        <v>7</v>
      </c>
      <c r="Q207" s="12">
        <v>12</v>
      </c>
      <c r="R207" s="12">
        <v>8</v>
      </c>
      <c r="S207" s="12">
        <v>4</v>
      </c>
      <c r="T207" s="73"/>
      <c r="U207" s="12">
        <v>9</v>
      </c>
      <c r="V207" s="12">
        <v>41</v>
      </c>
      <c r="W207" s="12">
        <v>50</v>
      </c>
      <c r="X207" s="12">
        <v>39</v>
      </c>
      <c r="Y207" s="12">
        <v>11</v>
      </c>
    </row>
    <row r="208" spans="1:91" s="49" customFormat="1">
      <c r="A208" s="9" t="s">
        <v>34</v>
      </c>
      <c r="B208" s="10" t="s">
        <v>238</v>
      </c>
      <c r="C208" s="12">
        <v>0</v>
      </c>
      <c r="D208" s="12">
        <v>7</v>
      </c>
      <c r="E208" s="12">
        <v>7</v>
      </c>
      <c r="F208" s="12">
        <v>0</v>
      </c>
      <c r="G208" s="12">
        <v>7</v>
      </c>
      <c r="H208" s="12"/>
      <c r="I208" s="70">
        <v>0</v>
      </c>
      <c r="J208" s="12">
        <v>0</v>
      </c>
      <c r="K208" s="12">
        <v>0</v>
      </c>
      <c r="L208" s="12">
        <v>0</v>
      </c>
      <c r="M208" s="12">
        <v>0</v>
      </c>
      <c r="N208" s="73"/>
      <c r="O208" s="12">
        <v>3</v>
      </c>
      <c r="P208" s="12">
        <v>6</v>
      </c>
      <c r="Q208" s="12">
        <v>9</v>
      </c>
      <c r="R208" s="12">
        <v>5</v>
      </c>
      <c r="S208" s="12">
        <v>4</v>
      </c>
      <c r="T208" s="73"/>
      <c r="U208" s="12">
        <v>7</v>
      </c>
      <c r="V208" s="12">
        <v>16</v>
      </c>
      <c r="W208" s="12">
        <v>23</v>
      </c>
      <c r="X208" s="12">
        <v>18</v>
      </c>
      <c r="Y208" s="12">
        <v>5</v>
      </c>
    </row>
    <row r="209" spans="1:91" s="49" customFormat="1">
      <c r="A209" s="9" t="s">
        <v>34</v>
      </c>
      <c r="B209" s="10" t="s">
        <v>239</v>
      </c>
      <c r="C209" s="12">
        <v>16</v>
      </c>
      <c r="D209" s="12">
        <v>45</v>
      </c>
      <c r="E209" s="12">
        <v>61</v>
      </c>
      <c r="F209" s="12">
        <v>14</v>
      </c>
      <c r="G209" s="12">
        <v>47</v>
      </c>
      <c r="H209" s="12"/>
      <c r="I209" s="70">
        <v>2</v>
      </c>
      <c r="J209" s="12">
        <v>5</v>
      </c>
      <c r="K209" s="12">
        <v>7</v>
      </c>
      <c r="L209" s="12">
        <v>2</v>
      </c>
      <c r="M209" s="12">
        <v>5</v>
      </c>
      <c r="N209" s="73"/>
      <c r="O209" s="12">
        <v>4</v>
      </c>
      <c r="P209" s="12">
        <v>9</v>
      </c>
      <c r="Q209" s="12">
        <v>13</v>
      </c>
      <c r="R209" s="12">
        <v>5</v>
      </c>
      <c r="S209" s="12">
        <v>8</v>
      </c>
      <c r="T209" s="73"/>
      <c r="U209" s="12">
        <v>5</v>
      </c>
      <c r="V209" s="12">
        <v>34</v>
      </c>
      <c r="W209" s="12">
        <v>39</v>
      </c>
      <c r="X209" s="12">
        <v>28</v>
      </c>
      <c r="Y209" s="12">
        <v>11</v>
      </c>
    </row>
    <row r="210" spans="1:91" s="49" customFormat="1">
      <c r="A210" s="9" t="s">
        <v>34</v>
      </c>
      <c r="B210" s="10" t="s">
        <v>240</v>
      </c>
      <c r="C210" s="12">
        <v>11</v>
      </c>
      <c r="D210" s="12">
        <v>14</v>
      </c>
      <c r="E210" s="12">
        <v>25</v>
      </c>
      <c r="F210" s="12">
        <v>7</v>
      </c>
      <c r="G210" s="12">
        <v>18</v>
      </c>
      <c r="H210" s="12"/>
      <c r="I210" s="70">
        <v>0</v>
      </c>
      <c r="J210" s="12">
        <v>0</v>
      </c>
      <c r="K210" s="12">
        <v>0</v>
      </c>
      <c r="L210" s="12">
        <v>0</v>
      </c>
      <c r="M210" s="12">
        <v>0</v>
      </c>
      <c r="N210" s="73"/>
      <c r="O210" s="12">
        <v>2</v>
      </c>
      <c r="P210" s="12">
        <v>0</v>
      </c>
      <c r="Q210" s="12">
        <v>2</v>
      </c>
      <c r="R210" s="12">
        <v>1</v>
      </c>
      <c r="S210" s="12">
        <v>1</v>
      </c>
      <c r="T210" s="73"/>
      <c r="U210" s="12">
        <v>5</v>
      </c>
      <c r="V210" s="12">
        <v>18</v>
      </c>
      <c r="W210" s="12">
        <v>23</v>
      </c>
      <c r="X210" s="12">
        <v>15</v>
      </c>
      <c r="Y210" s="12">
        <v>8</v>
      </c>
    </row>
    <row r="211" spans="1:91" s="49" customFormat="1">
      <c r="A211" s="16" t="s">
        <v>34</v>
      </c>
      <c r="B211" s="17" t="s">
        <v>241</v>
      </c>
      <c r="C211" s="18">
        <v>52</v>
      </c>
      <c r="D211" s="18">
        <v>49</v>
      </c>
      <c r="E211" s="18">
        <v>101</v>
      </c>
      <c r="F211" s="18">
        <v>10</v>
      </c>
      <c r="G211" s="18">
        <v>91</v>
      </c>
      <c r="H211" s="18"/>
      <c r="I211" s="71">
        <v>0</v>
      </c>
      <c r="J211" s="18">
        <v>0</v>
      </c>
      <c r="K211" s="18">
        <v>0</v>
      </c>
      <c r="L211" s="18">
        <v>0</v>
      </c>
      <c r="M211" s="18">
        <v>0</v>
      </c>
      <c r="N211" s="74"/>
      <c r="O211" s="18">
        <v>14</v>
      </c>
      <c r="P211" s="18">
        <v>8</v>
      </c>
      <c r="Q211" s="18">
        <v>22</v>
      </c>
      <c r="R211" s="18">
        <v>9</v>
      </c>
      <c r="S211" s="18">
        <v>13</v>
      </c>
      <c r="T211" s="74"/>
      <c r="U211" s="18">
        <v>13</v>
      </c>
      <c r="V211" s="18">
        <v>45</v>
      </c>
      <c r="W211" s="18">
        <v>58</v>
      </c>
      <c r="X211" s="18">
        <v>33</v>
      </c>
      <c r="Y211" s="18">
        <v>25</v>
      </c>
    </row>
    <row r="212" spans="1:91" s="48" customFormat="1">
      <c r="A212" s="79" t="s">
        <v>35</v>
      </c>
      <c r="B212" s="8" t="s">
        <v>0</v>
      </c>
      <c r="C212" s="13">
        <f>C213</f>
        <v>30</v>
      </c>
      <c r="D212" s="13">
        <f>D213</f>
        <v>249</v>
      </c>
      <c r="E212" s="13">
        <f>E213</f>
        <v>279</v>
      </c>
      <c r="F212" s="13">
        <f>F213</f>
        <v>102</v>
      </c>
      <c r="G212" s="13">
        <f>G213</f>
        <v>177</v>
      </c>
      <c r="H212" s="13"/>
      <c r="I212" s="56">
        <f>I213</f>
        <v>2</v>
      </c>
      <c r="J212" s="13">
        <f>J213</f>
        <v>26</v>
      </c>
      <c r="K212" s="13">
        <f>K213</f>
        <v>28</v>
      </c>
      <c r="L212" s="13">
        <f>L213</f>
        <v>19</v>
      </c>
      <c r="M212" s="13">
        <f>M213</f>
        <v>9</v>
      </c>
      <c r="N212" s="57"/>
      <c r="O212" s="13">
        <f>O213</f>
        <v>12</v>
      </c>
      <c r="P212" s="13">
        <f>P213</f>
        <v>105</v>
      </c>
      <c r="Q212" s="13">
        <f>Q213</f>
        <v>117</v>
      </c>
      <c r="R212" s="13">
        <f>R213</f>
        <v>75</v>
      </c>
      <c r="S212" s="13">
        <f>S213</f>
        <v>42</v>
      </c>
      <c r="T212" s="57"/>
      <c r="U212" s="13">
        <f>U213</f>
        <v>34</v>
      </c>
      <c r="V212" s="13">
        <f>V213</f>
        <v>377</v>
      </c>
      <c r="W212" s="13">
        <f>W213</f>
        <v>411</v>
      </c>
      <c r="X212" s="13">
        <f>X213</f>
        <v>347</v>
      </c>
      <c r="Y212" s="13">
        <f>Y213</f>
        <v>64</v>
      </c>
      <c r="CI212" s="45"/>
      <c r="CJ212" s="45"/>
      <c r="CK212" s="45"/>
      <c r="CL212" s="45"/>
      <c r="CM212" s="45"/>
    </row>
    <row r="213" spans="1:91" s="49" customFormat="1">
      <c r="A213" s="16" t="s">
        <v>35</v>
      </c>
      <c r="B213" s="17" t="s">
        <v>242</v>
      </c>
      <c r="C213" s="18">
        <v>30</v>
      </c>
      <c r="D213" s="18">
        <v>249</v>
      </c>
      <c r="E213" s="18">
        <v>279</v>
      </c>
      <c r="F213" s="18">
        <v>102</v>
      </c>
      <c r="G213" s="18">
        <v>177</v>
      </c>
      <c r="H213" s="18"/>
      <c r="I213" s="71">
        <v>2</v>
      </c>
      <c r="J213" s="18">
        <v>26</v>
      </c>
      <c r="K213" s="18">
        <v>28</v>
      </c>
      <c r="L213" s="18">
        <v>19</v>
      </c>
      <c r="M213" s="18">
        <v>9</v>
      </c>
      <c r="N213" s="74"/>
      <c r="O213" s="18">
        <v>12</v>
      </c>
      <c r="P213" s="18">
        <v>105</v>
      </c>
      <c r="Q213" s="18">
        <v>117</v>
      </c>
      <c r="R213" s="18">
        <v>75</v>
      </c>
      <c r="S213" s="18">
        <v>42</v>
      </c>
      <c r="T213" s="74"/>
      <c r="U213" s="18">
        <v>34</v>
      </c>
      <c r="V213" s="18">
        <v>377</v>
      </c>
      <c r="W213" s="18">
        <v>411</v>
      </c>
      <c r="X213" s="18">
        <v>347</v>
      </c>
      <c r="Y213" s="18">
        <v>64</v>
      </c>
    </row>
    <row r="214" spans="1:91" s="23" customFormat="1">
      <c r="A214" s="79" t="s">
        <v>36</v>
      </c>
      <c r="B214" s="8" t="s">
        <v>0</v>
      </c>
      <c r="C214" s="13">
        <f>SUM(C215:C220)</f>
        <v>120</v>
      </c>
      <c r="D214" s="13">
        <f>SUM(D215:D220)</f>
        <v>322</v>
      </c>
      <c r="E214" s="13">
        <f>SUM(E215:E220)</f>
        <v>442</v>
      </c>
      <c r="F214" s="13">
        <f>SUM(F215:F220)</f>
        <v>223</v>
      </c>
      <c r="G214" s="13">
        <f>SUM(G215:G220)</f>
        <v>219</v>
      </c>
      <c r="H214" s="13"/>
      <c r="I214" s="56">
        <f>SUM(I215:I220)</f>
        <v>3</v>
      </c>
      <c r="J214" s="13">
        <f>SUM(J215:J220)</f>
        <v>11</v>
      </c>
      <c r="K214" s="13">
        <f>SUM(K215:K220)</f>
        <v>14</v>
      </c>
      <c r="L214" s="13">
        <f>SUM(L215:L220)</f>
        <v>3</v>
      </c>
      <c r="M214" s="13">
        <f>SUM(M215:M220)</f>
        <v>11</v>
      </c>
      <c r="N214" s="57"/>
      <c r="O214" s="13">
        <f>SUM(O215:O220)</f>
        <v>67</v>
      </c>
      <c r="P214" s="13">
        <f>SUM(P215:P220)</f>
        <v>336</v>
      </c>
      <c r="Q214" s="13">
        <f>SUM(Q215:Q220)</f>
        <v>403</v>
      </c>
      <c r="R214" s="13">
        <f>SUM(R215:R220)</f>
        <v>298</v>
      </c>
      <c r="S214" s="13">
        <f>SUM(S215:S220)</f>
        <v>105</v>
      </c>
      <c r="T214" s="57"/>
      <c r="U214" s="13">
        <f>SUM(U215:U220)</f>
        <v>105</v>
      </c>
      <c r="V214" s="13">
        <f>SUM(V215:V220)</f>
        <v>783</v>
      </c>
      <c r="W214" s="13">
        <f>SUM(W215:W220)</f>
        <v>888</v>
      </c>
      <c r="X214" s="13">
        <f>SUM(X215:X220)</f>
        <v>750</v>
      </c>
      <c r="Y214" s="13">
        <f>SUM(Y215:Y220)</f>
        <v>138</v>
      </c>
      <c r="CI214" s="45"/>
      <c r="CJ214" s="45"/>
      <c r="CK214" s="45"/>
      <c r="CL214" s="45"/>
      <c r="CM214" s="45"/>
    </row>
    <row r="215" spans="1:91">
      <c r="A215" s="9" t="s">
        <v>36</v>
      </c>
      <c r="B215" s="10" t="s">
        <v>216</v>
      </c>
      <c r="C215" s="12">
        <v>55</v>
      </c>
      <c r="D215" s="12">
        <v>186</v>
      </c>
      <c r="E215" s="12">
        <v>241</v>
      </c>
      <c r="F215" s="12">
        <v>105</v>
      </c>
      <c r="G215" s="13">
        <v>136</v>
      </c>
      <c r="H215" s="13"/>
      <c r="I215" s="70">
        <v>3</v>
      </c>
      <c r="J215" s="12">
        <v>11</v>
      </c>
      <c r="K215" s="12">
        <v>14</v>
      </c>
      <c r="L215" s="12">
        <v>3</v>
      </c>
      <c r="M215" s="13">
        <v>11</v>
      </c>
      <c r="N215" s="57"/>
      <c r="O215" s="12">
        <v>25</v>
      </c>
      <c r="P215" s="12">
        <v>198</v>
      </c>
      <c r="Q215" s="12">
        <v>223</v>
      </c>
      <c r="R215" s="12">
        <v>165</v>
      </c>
      <c r="S215" s="13">
        <v>58</v>
      </c>
      <c r="T215" s="57"/>
      <c r="U215" s="12">
        <v>43</v>
      </c>
      <c r="V215" s="12">
        <v>287</v>
      </c>
      <c r="W215" s="12">
        <v>330</v>
      </c>
      <c r="X215" s="12">
        <v>282</v>
      </c>
      <c r="Y215" s="13">
        <v>48</v>
      </c>
    </row>
    <row r="216" spans="1:91">
      <c r="A216" s="9" t="s">
        <v>36</v>
      </c>
      <c r="B216" s="10" t="s">
        <v>243</v>
      </c>
      <c r="C216" s="12">
        <v>14</v>
      </c>
      <c r="D216" s="12">
        <v>32</v>
      </c>
      <c r="E216" s="12">
        <v>46</v>
      </c>
      <c r="F216" s="12">
        <v>36</v>
      </c>
      <c r="G216" s="12">
        <v>10</v>
      </c>
      <c r="H216" s="12"/>
      <c r="I216" s="70">
        <v>0</v>
      </c>
      <c r="J216" s="12">
        <v>0</v>
      </c>
      <c r="K216" s="12">
        <v>0</v>
      </c>
      <c r="L216" s="12">
        <v>0</v>
      </c>
      <c r="M216" s="12">
        <v>0</v>
      </c>
      <c r="N216" s="73"/>
      <c r="O216" s="12">
        <v>5</v>
      </c>
      <c r="P216" s="12">
        <v>39</v>
      </c>
      <c r="Q216" s="12">
        <v>44</v>
      </c>
      <c r="R216" s="12">
        <v>41</v>
      </c>
      <c r="S216" s="12">
        <v>3</v>
      </c>
      <c r="T216" s="73"/>
      <c r="U216" s="12">
        <v>3</v>
      </c>
      <c r="V216" s="12">
        <v>125</v>
      </c>
      <c r="W216" s="12">
        <v>128</v>
      </c>
      <c r="X216" s="12">
        <v>124</v>
      </c>
      <c r="Y216" s="12">
        <v>4</v>
      </c>
    </row>
    <row r="217" spans="1:91">
      <c r="A217" s="9" t="s">
        <v>36</v>
      </c>
      <c r="B217" s="10" t="s">
        <v>244</v>
      </c>
      <c r="C217" s="12">
        <v>3</v>
      </c>
      <c r="D217" s="12">
        <v>8</v>
      </c>
      <c r="E217" s="12">
        <v>11</v>
      </c>
      <c r="F217" s="12">
        <v>10</v>
      </c>
      <c r="G217" s="12">
        <v>1</v>
      </c>
      <c r="H217" s="12"/>
      <c r="I217" s="70">
        <v>0</v>
      </c>
      <c r="J217" s="12">
        <v>0</v>
      </c>
      <c r="K217" s="12">
        <v>0</v>
      </c>
      <c r="L217" s="12">
        <v>0</v>
      </c>
      <c r="M217" s="12">
        <v>0</v>
      </c>
      <c r="N217" s="73"/>
      <c r="O217" s="12">
        <v>1</v>
      </c>
      <c r="P217" s="12">
        <v>28</v>
      </c>
      <c r="Q217" s="12">
        <v>29</v>
      </c>
      <c r="R217" s="12">
        <v>26</v>
      </c>
      <c r="S217" s="12">
        <v>3</v>
      </c>
      <c r="T217" s="73"/>
      <c r="U217" s="12">
        <v>6</v>
      </c>
      <c r="V217" s="12">
        <v>77</v>
      </c>
      <c r="W217" s="12">
        <v>83</v>
      </c>
      <c r="X217" s="12">
        <v>77</v>
      </c>
      <c r="Y217" s="12">
        <v>6</v>
      </c>
    </row>
    <row r="218" spans="1:91">
      <c r="A218" s="9" t="s">
        <v>36</v>
      </c>
      <c r="B218" s="10" t="s">
        <v>138</v>
      </c>
      <c r="C218" s="12">
        <v>15</v>
      </c>
      <c r="D218" s="12">
        <v>23</v>
      </c>
      <c r="E218" s="12">
        <v>38</v>
      </c>
      <c r="F218" s="12">
        <v>22</v>
      </c>
      <c r="G218" s="12">
        <v>16</v>
      </c>
      <c r="H218" s="12"/>
      <c r="I218" s="70">
        <v>0</v>
      </c>
      <c r="J218" s="12">
        <v>0</v>
      </c>
      <c r="K218" s="12">
        <v>0</v>
      </c>
      <c r="L218" s="12">
        <v>0</v>
      </c>
      <c r="M218" s="12">
        <v>0</v>
      </c>
      <c r="N218" s="73"/>
      <c r="O218" s="12">
        <v>11</v>
      </c>
      <c r="P218" s="12">
        <v>22</v>
      </c>
      <c r="Q218" s="12">
        <v>33</v>
      </c>
      <c r="R218" s="12">
        <v>25</v>
      </c>
      <c r="S218" s="12">
        <v>8</v>
      </c>
      <c r="T218" s="73"/>
      <c r="U218" s="12">
        <v>16</v>
      </c>
      <c r="V218" s="12">
        <v>92</v>
      </c>
      <c r="W218" s="12">
        <v>108</v>
      </c>
      <c r="X218" s="12">
        <v>99</v>
      </c>
      <c r="Y218" s="12">
        <v>9</v>
      </c>
    </row>
    <row r="219" spans="1:91">
      <c r="A219" s="9" t="s">
        <v>36</v>
      </c>
      <c r="B219" s="10" t="s">
        <v>245</v>
      </c>
      <c r="C219" s="12">
        <v>26</v>
      </c>
      <c r="D219" s="12">
        <v>56</v>
      </c>
      <c r="E219" s="12">
        <v>82</v>
      </c>
      <c r="F219" s="12">
        <v>45</v>
      </c>
      <c r="G219" s="12">
        <v>37</v>
      </c>
      <c r="H219" s="12"/>
      <c r="I219" s="70">
        <v>0</v>
      </c>
      <c r="J219" s="12">
        <v>0</v>
      </c>
      <c r="K219" s="12">
        <v>0</v>
      </c>
      <c r="L219" s="12">
        <v>0</v>
      </c>
      <c r="M219" s="12">
        <v>0</v>
      </c>
      <c r="N219" s="73"/>
      <c r="O219" s="12">
        <v>19</v>
      </c>
      <c r="P219" s="12">
        <v>35</v>
      </c>
      <c r="Q219" s="12">
        <v>54</v>
      </c>
      <c r="R219" s="12">
        <v>29</v>
      </c>
      <c r="S219" s="12">
        <v>25</v>
      </c>
      <c r="T219" s="73"/>
      <c r="U219" s="12">
        <v>25</v>
      </c>
      <c r="V219" s="12">
        <v>148</v>
      </c>
      <c r="W219" s="12">
        <v>173</v>
      </c>
      <c r="X219" s="12">
        <v>122</v>
      </c>
      <c r="Y219" s="12">
        <v>51</v>
      </c>
    </row>
    <row r="220" spans="1:91">
      <c r="A220" s="43" t="s">
        <v>36</v>
      </c>
      <c r="B220" s="66" t="s">
        <v>246</v>
      </c>
      <c r="C220" s="75">
        <v>7</v>
      </c>
      <c r="D220" s="75">
        <v>17</v>
      </c>
      <c r="E220" s="75">
        <v>24</v>
      </c>
      <c r="F220" s="75">
        <v>5</v>
      </c>
      <c r="G220" s="75">
        <v>19</v>
      </c>
      <c r="H220" s="75"/>
      <c r="I220" s="76">
        <v>0</v>
      </c>
      <c r="J220" s="75">
        <v>0</v>
      </c>
      <c r="K220" s="75">
        <v>0</v>
      </c>
      <c r="L220" s="75">
        <v>0</v>
      </c>
      <c r="M220" s="75">
        <v>0</v>
      </c>
      <c r="N220" s="77"/>
      <c r="O220" s="75">
        <v>6</v>
      </c>
      <c r="P220" s="75">
        <v>14</v>
      </c>
      <c r="Q220" s="75">
        <v>20</v>
      </c>
      <c r="R220" s="75">
        <v>12</v>
      </c>
      <c r="S220" s="75">
        <v>8</v>
      </c>
      <c r="T220" s="77"/>
      <c r="U220" s="75">
        <v>12</v>
      </c>
      <c r="V220" s="75">
        <v>54</v>
      </c>
      <c r="W220" s="75">
        <v>66</v>
      </c>
      <c r="X220" s="75">
        <v>46</v>
      </c>
      <c r="Y220" s="75">
        <v>20</v>
      </c>
    </row>
    <row r="221" spans="1:91">
      <c r="A221" s="21" t="s">
        <v>1</v>
      </c>
      <c r="U221" s="49"/>
      <c r="V221" s="49"/>
      <c r="W221" s="49"/>
      <c r="X221" s="49"/>
      <c r="Y221" s="47" t="s">
        <v>42</v>
      </c>
    </row>
    <row r="222" spans="1:91" ht="21">
      <c r="S222" s="67"/>
      <c r="T222" s="68"/>
      <c r="U222" s="68"/>
      <c r="V222" s="68"/>
      <c r="W222" s="68"/>
      <c r="X222" s="69" t="s">
        <v>247</v>
      </c>
      <c r="Y222" s="69" t="s">
        <v>248</v>
      </c>
    </row>
    <row r="226" spans="1:93">
      <c r="CL226" s="46"/>
    </row>
    <row r="227" spans="1:93">
      <c r="CL227" s="46"/>
      <c r="CM227" s="8" t="s">
        <v>37</v>
      </c>
      <c r="CN227" s="8" t="s">
        <v>44</v>
      </c>
      <c r="CO227" s="8" t="s">
        <v>38</v>
      </c>
    </row>
    <row r="228" spans="1:93">
      <c r="CL228" s="8" t="s">
        <v>45</v>
      </c>
      <c r="CM228" s="41">
        <f>E5+K5</f>
        <v>8980</v>
      </c>
      <c r="CN228" s="41">
        <f>Q5</f>
        <v>6946</v>
      </c>
      <c r="CO228" s="41">
        <f>W5</f>
        <v>11406</v>
      </c>
    </row>
    <row r="229" spans="1:93">
      <c r="CL229" s="8" t="s">
        <v>46</v>
      </c>
      <c r="CM229" s="41">
        <f>E6+K6</f>
        <v>5574</v>
      </c>
      <c r="CN229" s="41">
        <f>Q6</f>
        <v>4256</v>
      </c>
      <c r="CO229" s="41">
        <f>W6</f>
        <v>3500</v>
      </c>
    </row>
    <row r="230" spans="1:93">
      <c r="CL230" s="8" t="s">
        <v>47</v>
      </c>
      <c r="CM230" s="41">
        <f>E14+K14</f>
        <v>3406</v>
      </c>
      <c r="CN230" s="41">
        <f>Q14</f>
        <v>2690</v>
      </c>
      <c r="CO230" s="41">
        <f>W14</f>
        <v>7906</v>
      </c>
    </row>
    <row r="237" spans="1:93">
      <c r="A237" s="45"/>
      <c r="CM237" s="46" t="s">
        <v>43</v>
      </c>
    </row>
    <row r="238" spans="1:93">
      <c r="A238" s="45"/>
      <c r="CL238" s="46"/>
      <c r="CM238" s="8" t="s">
        <v>37</v>
      </c>
      <c r="CN238" s="8" t="s">
        <v>44</v>
      </c>
      <c r="CO238" s="8" t="s">
        <v>38</v>
      </c>
    </row>
    <row r="239" spans="1:93">
      <c r="A239" s="45"/>
      <c r="CL239" s="8" t="s">
        <v>45</v>
      </c>
      <c r="CM239" s="41">
        <f>CM253/CM228*100</f>
        <v>45.523385300668153</v>
      </c>
      <c r="CN239" s="41">
        <f>CN253/CN228*100</f>
        <v>70.860927152317871</v>
      </c>
      <c r="CO239" s="41">
        <f t="shared" ref="CO239" si="1">CO253/CO228*100</f>
        <v>82.176047694196043</v>
      </c>
    </row>
    <row r="240" spans="1:93">
      <c r="A240" s="45"/>
      <c r="CL240" s="8" t="s">
        <v>46</v>
      </c>
      <c r="CM240" s="41">
        <f t="shared" ref="CM240:CO241" si="2">CM254/CM229*100</f>
        <v>46.537495514890566</v>
      </c>
      <c r="CN240" s="41">
        <f t="shared" si="2"/>
        <v>71.522556390977442</v>
      </c>
      <c r="CO240" s="41">
        <f t="shared" si="2"/>
        <v>82.48571428571428</v>
      </c>
    </row>
    <row r="241" spans="1:93">
      <c r="A241" s="45"/>
      <c r="CL241" s="8" t="s">
        <v>47</v>
      </c>
      <c r="CM241" s="41">
        <f t="shared" si="2"/>
        <v>43.86376981796829</v>
      </c>
      <c r="CN241" s="41">
        <f t="shared" si="2"/>
        <v>69.814126394052039</v>
      </c>
      <c r="CO241" s="41">
        <f t="shared" si="2"/>
        <v>82.038957753604862</v>
      </c>
    </row>
    <row r="242" spans="1:93">
      <c r="A242" s="45"/>
      <c r="CL242" s="46"/>
    </row>
    <row r="243" spans="1:93">
      <c r="A243" s="45"/>
      <c r="CL243" s="46"/>
      <c r="CM243" s="45" t="s">
        <v>50</v>
      </c>
    </row>
    <row r="244" spans="1:93">
      <c r="A244" s="45"/>
      <c r="CL244" s="46"/>
      <c r="CM244" s="8" t="s">
        <v>37</v>
      </c>
      <c r="CN244" s="8" t="s">
        <v>44</v>
      </c>
      <c r="CO244" s="8" t="s">
        <v>38</v>
      </c>
    </row>
    <row r="245" spans="1:93">
      <c r="A245" s="45"/>
      <c r="CL245" s="8" t="s">
        <v>45</v>
      </c>
      <c r="CM245" s="5">
        <f>G5+M5</f>
        <v>4892</v>
      </c>
      <c r="CN245" s="5">
        <f>S5</f>
        <v>2024</v>
      </c>
      <c r="CO245" s="5">
        <f>Y5</f>
        <v>2033</v>
      </c>
    </row>
    <row r="246" spans="1:93">
      <c r="A246" s="45"/>
      <c r="CL246" s="8" t="s">
        <v>46</v>
      </c>
      <c r="CM246" s="5">
        <f>G6+M6</f>
        <v>2980</v>
      </c>
      <c r="CN246" s="5">
        <f>S6</f>
        <v>1212</v>
      </c>
      <c r="CO246" s="5">
        <f>Y6</f>
        <v>613</v>
      </c>
    </row>
    <row r="247" spans="1:93">
      <c r="A247" s="45"/>
      <c r="CL247" s="8" t="s">
        <v>47</v>
      </c>
      <c r="CM247" s="5">
        <f>G14+M14</f>
        <v>1912</v>
      </c>
      <c r="CN247" s="5">
        <f>S14</f>
        <v>812</v>
      </c>
      <c r="CO247" s="5">
        <f>Y14</f>
        <v>1420</v>
      </c>
    </row>
    <row r="248" spans="1:93">
      <c r="A248" s="45"/>
      <c r="CL248" s="8"/>
      <c r="CM248" s="5"/>
      <c r="CN248" s="5"/>
      <c r="CO248" s="5"/>
    </row>
    <row r="249" spans="1:93">
      <c r="A249" s="45"/>
      <c r="CL249" s="46"/>
    </row>
    <row r="250" spans="1:93">
      <c r="A250" s="45"/>
      <c r="CL250" s="46"/>
    </row>
    <row r="251" spans="1:93">
      <c r="A251" s="45"/>
      <c r="CL251" s="46"/>
      <c r="CM251" s="45" t="s">
        <v>51</v>
      </c>
    </row>
    <row r="252" spans="1:93">
      <c r="A252" s="45"/>
      <c r="CL252" s="46"/>
      <c r="CM252" s="8" t="s">
        <v>37</v>
      </c>
      <c r="CN252" s="8" t="s">
        <v>44</v>
      </c>
      <c r="CO252" s="8" t="s">
        <v>38</v>
      </c>
    </row>
    <row r="253" spans="1:93">
      <c r="A253" s="45"/>
      <c r="CL253" s="8" t="s">
        <v>45</v>
      </c>
      <c r="CM253" s="5">
        <f>F5+L5</f>
        <v>4088</v>
      </c>
      <c r="CN253" s="5">
        <f>R5</f>
        <v>4922</v>
      </c>
      <c r="CO253" s="5">
        <f>X5</f>
        <v>9373</v>
      </c>
    </row>
    <row r="254" spans="1:93">
      <c r="A254" s="45"/>
      <c r="CL254" s="8" t="s">
        <v>46</v>
      </c>
      <c r="CM254" s="5">
        <f>F6+L6</f>
        <v>2594</v>
      </c>
      <c r="CN254" s="5">
        <f>R6</f>
        <v>3044</v>
      </c>
      <c r="CO254" s="5">
        <f>X6</f>
        <v>2887</v>
      </c>
    </row>
    <row r="255" spans="1:93" ht="21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CL255" s="8" t="s">
        <v>47</v>
      </c>
      <c r="CM255" s="5">
        <f>F14+L14</f>
        <v>1494</v>
      </c>
      <c r="CN255" s="5">
        <f>R14</f>
        <v>1878</v>
      </c>
      <c r="CO255" s="5">
        <f>X14</f>
        <v>6486</v>
      </c>
    </row>
    <row r="256" spans="1:93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CL256" s="46"/>
    </row>
    <row r="257" spans="1:93">
      <c r="A257" s="85"/>
      <c r="B257" s="85"/>
      <c r="C257" s="83"/>
      <c r="D257" s="83"/>
      <c r="E257" s="83"/>
      <c r="F257" s="83"/>
      <c r="G257" s="83"/>
      <c r="H257" s="80"/>
      <c r="I257" s="83"/>
      <c r="J257" s="83"/>
      <c r="K257" s="83"/>
      <c r="L257" s="83"/>
      <c r="M257" s="83"/>
      <c r="N257" s="80"/>
      <c r="O257" s="83"/>
      <c r="P257" s="83"/>
      <c r="Q257" s="83"/>
      <c r="R257" s="83"/>
      <c r="S257" s="83"/>
      <c r="T257" s="80"/>
      <c r="U257" s="83"/>
      <c r="V257" s="83"/>
      <c r="W257" s="83"/>
      <c r="X257" s="83"/>
      <c r="Y257" s="83"/>
      <c r="CL257" s="46" t="s">
        <v>0</v>
      </c>
    </row>
    <row r="258" spans="1:93">
      <c r="A258" s="85"/>
      <c r="B258" s="85"/>
      <c r="C258" s="58"/>
      <c r="D258" s="58"/>
      <c r="E258" s="58"/>
      <c r="F258" s="58"/>
      <c r="G258" s="58"/>
      <c r="H258" s="58"/>
      <c r="I258" s="58"/>
      <c r="J258" s="58"/>
      <c r="K258" s="58"/>
      <c r="L258" s="80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CL258" s="46"/>
      <c r="CM258" s="45" t="s">
        <v>40</v>
      </c>
      <c r="CN258" s="45" t="s">
        <v>11</v>
      </c>
      <c r="CO258" s="45" t="s">
        <v>39</v>
      </c>
    </row>
    <row r="259" spans="1:93">
      <c r="A259" s="79"/>
      <c r="B259" s="8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CL259" s="45" t="s">
        <v>52</v>
      </c>
      <c r="CM259" s="5">
        <f>C5+I5+O5+U5</f>
        <v>6637</v>
      </c>
      <c r="CN259" s="5">
        <f>C6+I6+O6+U6</f>
        <v>3686</v>
      </c>
      <c r="CO259" s="5">
        <f>C14+I14+O14+U14</f>
        <v>2951</v>
      </c>
    </row>
    <row r="260" spans="1:93">
      <c r="A260" s="82"/>
      <c r="B260" s="8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CL260" s="45" t="s">
        <v>53</v>
      </c>
      <c r="CM260" s="5">
        <f>D5+J5+P5+V5</f>
        <v>20695</v>
      </c>
      <c r="CN260" s="5">
        <f>D6+J6+P6+V6</f>
        <v>9644</v>
      </c>
      <c r="CO260" s="5">
        <f>D14+J14+P14+V14</f>
        <v>11051</v>
      </c>
    </row>
    <row r="261" spans="1:93">
      <c r="A261" s="82"/>
      <c r="B261" s="8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CL261" s="45" t="s">
        <v>51</v>
      </c>
      <c r="CM261" s="5">
        <f>F5+L5+R5+X5</f>
        <v>18383</v>
      </c>
      <c r="CN261" s="5">
        <f>F6+L6+R6+X6</f>
        <v>8525</v>
      </c>
      <c r="CO261" s="5">
        <f>F14+L14+R14+X14</f>
        <v>9858</v>
      </c>
    </row>
    <row r="262" spans="1:93">
      <c r="A262" s="9"/>
      <c r="B262" s="10"/>
      <c r="C262" s="11"/>
      <c r="D262" s="12"/>
      <c r="E262" s="12"/>
      <c r="F262" s="12"/>
      <c r="G262" s="13"/>
      <c r="H262" s="13"/>
      <c r="I262" s="12"/>
      <c r="J262" s="12"/>
      <c r="K262" s="12"/>
      <c r="L262" s="12"/>
      <c r="M262" s="13"/>
      <c r="N262" s="13"/>
      <c r="O262" s="12"/>
      <c r="P262" s="12"/>
      <c r="Q262" s="12"/>
      <c r="R262" s="12"/>
      <c r="S262" s="13"/>
      <c r="T262" s="13"/>
      <c r="U262" s="12"/>
      <c r="V262" s="12"/>
      <c r="W262" s="12"/>
      <c r="X262" s="12"/>
      <c r="Y262" s="13"/>
      <c r="CL262" s="45" t="s">
        <v>50</v>
      </c>
      <c r="CM262" s="5">
        <f>G5+M5+S5+Y5</f>
        <v>8949</v>
      </c>
      <c r="CN262" s="5">
        <f>G6+M6+S6+Y6</f>
        <v>4805</v>
      </c>
      <c r="CO262" s="5">
        <f>G14+M14+S14+Y14</f>
        <v>4144</v>
      </c>
    </row>
    <row r="263" spans="1:93">
      <c r="A263" s="9"/>
      <c r="B263" s="10"/>
      <c r="C263" s="12"/>
      <c r="D263" s="12"/>
      <c r="E263" s="12"/>
      <c r="F263" s="12"/>
      <c r="G263" s="13"/>
      <c r="H263" s="13"/>
      <c r="I263" s="12"/>
      <c r="J263" s="12"/>
      <c r="K263" s="12"/>
      <c r="L263" s="12"/>
      <c r="M263" s="13"/>
      <c r="N263" s="13"/>
      <c r="O263" s="12"/>
      <c r="P263" s="12"/>
      <c r="Q263" s="12"/>
      <c r="R263" s="12"/>
      <c r="S263" s="13"/>
      <c r="T263" s="13"/>
      <c r="U263" s="12"/>
      <c r="V263" s="12"/>
      <c r="W263" s="12"/>
      <c r="X263" s="12"/>
      <c r="Y263" s="13"/>
      <c r="CL263" s="46"/>
      <c r="CM263" s="8"/>
      <c r="CN263" s="8"/>
      <c r="CO263" s="8"/>
    </row>
    <row r="264" spans="1:93">
      <c r="A264" s="9"/>
      <c r="B264" s="10"/>
      <c r="C264" s="12"/>
      <c r="D264" s="12"/>
      <c r="E264" s="12"/>
      <c r="F264" s="12"/>
      <c r="G264" s="13"/>
      <c r="H264" s="13"/>
      <c r="I264" s="12"/>
      <c r="J264" s="12"/>
      <c r="K264" s="12"/>
      <c r="L264" s="12"/>
      <c r="M264" s="13"/>
      <c r="N264" s="13"/>
      <c r="O264" s="12"/>
      <c r="P264" s="12"/>
      <c r="Q264" s="12"/>
      <c r="R264" s="12"/>
      <c r="S264" s="13"/>
      <c r="T264" s="13"/>
      <c r="U264" s="12"/>
      <c r="V264" s="12"/>
      <c r="W264" s="12"/>
      <c r="X264" s="12"/>
      <c r="Y264" s="13"/>
    </row>
    <row r="265" spans="1:93">
      <c r="A265" s="9"/>
      <c r="B265" s="10"/>
      <c r="C265" s="12"/>
      <c r="D265" s="12"/>
      <c r="E265" s="12"/>
      <c r="F265" s="12"/>
      <c r="G265" s="13"/>
      <c r="H265" s="13"/>
      <c r="I265" s="12"/>
      <c r="J265" s="12"/>
      <c r="K265" s="12"/>
      <c r="L265" s="12"/>
      <c r="M265" s="13"/>
      <c r="N265" s="13"/>
      <c r="O265" s="12"/>
      <c r="P265" s="12"/>
      <c r="Q265" s="12"/>
      <c r="R265" s="12"/>
      <c r="S265" s="13"/>
      <c r="T265" s="13"/>
      <c r="U265" s="12"/>
      <c r="V265" s="12"/>
      <c r="W265" s="12"/>
      <c r="X265" s="12"/>
      <c r="Y265" s="13"/>
    </row>
    <row r="266" spans="1:93">
      <c r="A266" s="9"/>
      <c r="B266" s="10"/>
      <c r="C266" s="12"/>
      <c r="D266" s="12"/>
      <c r="E266" s="12"/>
      <c r="F266" s="12"/>
      <c r="G266" s="13"/>
      <c r="H266" s="13"/>
      <c r="I266" s="12"/>
      <c r="J266" s="12"/>
      <c r="K266" s="12"/>
      <c r="L266" s="12"/>
      <c r="M266" s="13"/>
      <c r="N266" s="13"/>
      <c r="O266" s="12"/>
      <c r="P266" s="12"/>
      <c r="Q266" s="12"/>
      <c r="R266" s="12"/>
      <c r="S266" s="13"/>
      <c r="T266" s="13"/>
      <c r="U266" s="12"/>
      <c r="V266" s="12"/>
      <c r="W266" s="12"/>
      <c r="X266" s="12"/>
      <c r="Y266" s="13"/>
    </row>
    <row r="267" spans="1:93">
      <c r="A267" s="20"/>
      <c r="B267" s="8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 spans="1:93">
      <c r="A268" s="79"/>
      <c r="B268" s="8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CL268" s="40"/>
      <c r="CM268" s="40" t="s">
        <v>9</v>
      </c>
      <c r="CN268" s="40" t="s">
        <v>58</v>
      </c>
      <c r="CO268" s="45" t="s">
        <v>249</v>
      </c>
    </row>
    <row r="269" spans="1:93">
      <c r="A269" s="9"/>
      <c r="B269" s="10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CL269" s="79" t="s">
        <v>17</v>
      </c>
      <c r="CM269" s="45">
        <f>F15+L15+R15+X15</f>
        <v>341</v>
      </c>
      <c r="CN269" s="45">
        <f>G15+M15+S15+Y15</f>
        <v>215</v>
      </c>
      <c r="CO269" s="45">
        <f>E15+K15+Q15+W15</f>
        <v>556</v>
      </c>
    </row>
    <row r="270" spans="1:93">
      <c r="A270" s="9"/>
      <c r="B270" s="10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CL270" s="79" t="s">
        <v>18</v>
      </c>
      <c r="CM270" s="45">
        <f>F30+L30+R30+X30</f>
        <v>670</v>
      </c>
      <c r="CN270" s="45">
        <f>G30+M30+S30+Y30</f>
        <v>204</v>
      </c>
      <c r="CO270" s="45">
        <f>E30+K30+Q30+W30</f>
        <v>874</v>
      </c>
    </row>
    <row r="271" spans="1:93">
      <c r="A271" s="9"/>
      <c r="B271" s="10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CL271" s="79" t="s">
        <v>19</v>
      </c>
      <c r="CM271" s="45">
        <f>F44+L44+R44+X44</f>
        <v>397</v>
      </c>
      <c r="CN271" s="45">
        <f>G44+M44+S44+Y44</f>
        <v>117</v>
      </c>
      <c r="CO271" s="45">
        <f>E44+K44+Q44+W44</f>
        <v>514</v>
      </c>
    </row>
    <row r="272" spans="1:93">
      <c r="A272" s="9"/>
      <c r="B272" s="10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CL272" s="79" t="s">
        <v>20</v>
      </c>
      <c r="CM272" s="45">
        <f>F59+L59+R59+X59</f>
        <v>487</v>
      </c>
      <c r="CN272" s="45">
        <f>G59+M59+S59+Y59</f>
        <v>266</v>
      </c>
      <c r="CO272" s="45">
        <f>E59+K59+Q59+W59</f>
        <v>753</v>
      </c>
    </row>
    <row r="273" spans="1:93">
      <c r="A273" s="9"/>
      <c r="B273" s="10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CL273" s="79" t="s">
        <v>21</v>
      </c>
      <c r="CM273" s="45">
        <f>F73+L73+R73+X73</f>
        <v>668</v>
      </c>
      <c r="CN273" s="45">
        <f>G73+M73+S73+Y73</f>
        <v>141</v>
      </c>
      <c r="CO273" s="45">
        <f>E73+K73+Q73+W73</f>
        <v>809</v>
      </c>
    </row>
    <row r="274" spans="1:93">
      <c r="A274" s="9"/>
      <c r="B274" s="10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CL274" s="79" t="s">
        <v>22</v>
      </c>
      <c r="CM274" s="45">
        <f>F89+L89+R89+X89</f>
        <v>333</v>
      </c>
      <c r="CN274" s="45">
        <f>G89+M89+S89+Y89</f>
        <v>99</v>
      </c>
      <c r="CO274" s="45">
        <f>E89+K89+Q89+W89</f>
        <v>432</v>
      </c>
    </row>
    <row r="275" spans="1:93">
      <c r="A275" s="9"/>
      <c r="B275" s="10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CL275" s="79" t="s">
        <v>23</v>
      </c>
      <c r="CM275" s="45">
        <f>F103+L103+R103+X103</f>
        <v>430</v>
      </c>
      <c r="CN275" s="45">
        <f>G103+M103+S103+Y103</f>
        <v>332</v>
      </c>
      <c r="CO275" s="45">
        <f>E103+K103+Q103+W103</f>
        <v>762</v>
      </c>
    </row>
    <row r="276" spans="1:93">
      <c r="A276" s="9"/>
      <c r="B276" s="10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CL276" s="79" t="s">
        <v>24</v>
      </c>
      <c r="CM276" s="45">
        <f>F108+L108+R108+X108</f>
        <v>650</v>
      </c>
      <c r="CN276" s="45">
        <f>G108+M108+S108+Y108</f>
        <v>93</v>
      </c>
      <c r="CO276" s="45">
        <f>E108+K108+Q108+W108</f>
        <v>743</v>
      </c>
    </row>
    <row r="277" spans="1:93">
      <c r="A277" s="9"/>
      <c r="B277" s="10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CL277" s="79" t="s">
        <v>25</v>
      </c>
      <c r="CM277" s="45">
        <f>F118+L118+R118+X118</f>
        <v>356</v>
      </c>
      <c r="CN277" s="45">
        <f>G118+M118+S118+Y118</f>
        <v>165</v>
      </c>
      <c r="CO277" s="45">
        <f>E118+K118+Q118+W118</f>
        <v>521</v>
      </c>
    </row>
    <row r="278" spans="1:93">
      <c r="A278" s="9"/>
      <c r="B278" s="10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CL278" s="79" t="s">
        <v>26</v>
      </c>
      <c r="CM278" s="45">
        <f>F127+L127+R127+X127</f>
        <v>395</v>
      </c>
      <c r="CN278" s="45">
        <f>G127+M127+S127+Y127</f>
        <v>135</v>
      </c>
      <c r="CO278" s="45">
        <f>E127+K127+Q127+W127</f>
        <v>530</v>
      </c>
    </row>
    <row r="279" spans="1:93">
      <c r="A279" s="9"/>
      <c r="B279" s="10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CL279" s="79" t="s">
        <v>27</v>
      </c>
      <c r="CM279" s="45">
        <f>F138+L138+R138+X138</f>
        <v>75</v>
      </c>
      <c r="CN279" s="45">
        <f>G138+M138+S138+Y138</f>
        <v>22</v>
      </c>
      <c r="CO279" s="45">
        <f>E138+K138+Q138+W138</f>
        <v>97</v>
      </c>
    </row>
    <row r="280" spans="1:93">
      <c r="A280" s="9"/>
      <c r="B280" s="10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CL280" s="79" t="s">
        <v>28</v>
      </c>
      <c r="CM280" s="45">
        <f>F144+L144+R144+X144</f>
        <v>148</v>
      </c>
      <c r="CN280" s="45">
        <f>G144+M144+S144+Y144</f>
        <v>47</v>
      </c>
      <c r="CO280" s="45">
        <f>E144+K144+Q144+W144</f>
        <v>195</v>
      </c>
    </row>
    <row r="281" spans="1:93">
      <c r="A281" s="9"/>
      <c r="B281" s="10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CL281" s="79" t="s">
        <v>29</v>
      </c>
      <c r="CM281" s="45">
        <f>F153+L153+R153+X153</f>
        <v>245</v>
      </c>
      <c r="CN281" s="45">
        <f>G153+M153+S153+Y153</f>
        <v>58</v>
      </c>
      <c r="CO281" s="45">
        <f>E153+K153+Q153+W153</f>
        <v>303</v>
      </c>
    </row>
    <row r="282" spans="1:93">
      <c r="A282" s="9"/>
      <c r="B282" s="10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CL282" s="79" t="s">
        <v>30</v>
      </c>
      <c r="CM282" s="45">
        <f>F159+L159+R159+X159</f>
        <v>208</v>
      </c>
      <c r="CN282" s="45">
        <f>G159+M159+S159+Y159</f>
        <v>58</v>
      </c>
      <c r="CO282" s="45">
        <f>E159+K159+Q159+W159</f>
        <v>266</v>
      </c>
    </row>
    <row r="283" spans="1:93">
      <c r="A283" s="79"/>
      <c r="B283" s="8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CL283" s="79" t="s">
        <v>31</v>
      </c>
      <c r="CM283" s="45">
        <f>F166+L166+R166+X166</f>
        <v>428</v>
      </c>
      <c r="CN283" s="45">
        <f>G166+M166+S166+Y166</f>
        <v>227</v>
      </c>
      <c r="CO283" s="45">
        <f>E166+K166+Q166+W166</f>
        <v>655</v>
      </c>
    </row>
    <row r="284" spans="1:93">
      <c r="A284" s="9"/>
      <c r="B284" s="10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CL284" s="79" t="s">
        <v>32</v>
      </c>
      <c r="CM284" s="45">
        <f>F180+L180+R180+X180</f>
        <v>904</v>
      </c>
      <c r="CN284" s="45">
        <f>G180+M180+S180+Y180</f>
        <v>354</v>
      </c>
      <c r="CO284" s="45">
        <f>E180+K180+Q180+W180</f>
        <v>1258</v>
      </c>
    </row>
    <row r="285" spans="1:93">
      <c r="A285" s="9"/>
      <c r="B285" s="10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CL285" s="79" t="s">
        <v>33</v>
      </c>
      <c r="CM285" s="45">
        <f>F192+L192+R192+X192</f>
        <v>707</v>
      </c>
      <c r="CN285" s="45">
        <f>G192+M192+S192+Y192</f>
        <v>355</v>
      </c>
      <c r="CO285" s="45">
        <f>E192+K192+Q192+W192</f>
        <v>1062</v>
      </c>
    </row>
    <row r="286" spans="1:93">
      <c r="A286" s="9"/>
      <c r="B286" s="10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CL286" s="79" t="s">
        <v>34</v>
      </c>
      <c r="CM286" s="45">
        <f>F202+L202+R202+X202</f>
        <v>599</v>
      </c>
      <c r="CN286" s="45">
        <f>G202+M202+S202+Y202</f>
        <v>491</v>
      </c>
      <c r="CO286" s="45">
        <f>E202+K202+Q202+W202</f>
        <v>1090</v>
      </c>
    </row>
    <row r="287" spans="1:93">
      <c r="A287" s="9"/>
      <c r="B287" s="10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CL287" s="79" t="s">
        <v>35</v>
      </c>
      <c r="CM287" s="45">
        <f>F212+L212+R212+X212</f>
        <v>543</v>
      </c>
      <c r="CN287" s="45">
        <f>G212+M212+S212+Y212</f>
        <v>292</v>
      </c>
      <c r="CO287" s="45">
        <f>E212+K212+Q212+W212</f>
        <v>835</v>
      </c>
    </row>
    <row r="288" spans="1:93">
      <c r="A288" s="9"/>
      <c r="B288" s="10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CL288" s="79" t="s">
        <v>36</v>
      </c>
      <c r="CM288" s="45">
        <f>F214+L214+R214+X214</f>
        <v>1274</v>
      </c>
      <c r="CN288" s="45">
        <f>G214+M214+S214+Y214</f>
        <v>473</v>
      </c>
      <c r="CO288" s="45">
        <f>E214+K214+Q214+W214</f>
        <v>1747</v>
      </c>
    </row>
    <row r="289" spans="1:94">
      <c r="A289" s="9"/>
      <c r="B289" s="10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 spans="1:94">
      <c r="A290" s="9"/>
      <c r="B290" s="10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 spans="1:94">
      <c r="A291" s="9"/>
      <c r="B291" s="10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 spans="1:94">
      <c r="A292" s="9"/>
      <c r="B292" s="10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 spans="1:94">
      <c r="A293" s="9"/>
      <c r="B293" s="10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CM293" s="79" t="s">
        <v>17</v>
      </c>
      <c r="CN293" s="42">
        <f>CM269/CO269*100</f>
        <v>61.330935251798557</v>
      </c>
      <c r="CP293" s="45">
        <v>18101</v>
      </c>
    </row>
    <row r="294" spans="1:94">
      <c r="A294" s="9"/>
      <c r="B294" s="10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CM294" s="79" t="s">
        <v>18</v>
      </c>
      <c r="CN294" s="42">
        <f t="shared" ref="CN294:CN312" si="3">CM270/CO270*100</f>
        <v>76.659038901601832</v>
      </c>
      <c r="CP294" s="45">
        <v>6772</v>
      </c>
    </row>
    <row r="295" spans="1:94">
      <c r="A295" s="9"/>
      <c r="B295" s="10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CM295" s="79" t="s">
        <v>19</v>
      </c>
      <c r="CN295" s="42">
        <f t="shared" si="3"/>
        <v>77.237354085603116</v>
      </c>
      <c r="CP295" s="45">
        <v>11329</v>
      </c>
    </row>
    <row r="296" spans="1:94">
      <c r="A296" s="9"/>
      <c r="B296" s="10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CM296" s="79" t="s">
        <v>20</v>
      </c>
      <c r="CN296" s="42">
        <f t="shared" si="3"/>
        <v>64.674634794156702</v>
      </c>
    </row>
    <row r="297" spans="1:94">
      <c r="A297" s="79"/>
      <c r="B297" s="8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CM297" s="79" t="s">
        <v>21</v>
      </c>
      <c r="CN297" s="42">
        <f t="shared" si="3"/>
        <v>82.571075401730525</v>
      </c>
    </row>
    <row r="298" spans="1:94">
      <c r="A298" s="9"/>
      <c r="B298" s="10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CM298" s="79" t="s">
        <v>22</v>
      </c>
      <c r="CN298" s="42">
        <f t="shared" si="3"/>
        <v>77.083333333333343</v>
      </c>
    </row>
    <row r="299" spans="1:94">
      <c r="A299" s="9"/>
      <c r="B299" s="10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CM299" s="79" t="s">
        <v>23</v>
      </c>
      <c r="CN299" s="42">
        <f t="shared" si="3"/>
        <v>56.430446194225723</v>
      </c>
    </row>
    <row r="300" spans="1:94">
      <c r="A300" s="9"/>
      <c r="B300" s="10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CM300" s="79" t="s">
        <v>24</v>
      </c>
      <c r="CN300" s="42">
        <f t="shared" si="3"/>
        <v>87.48317631224765</v>
      </c>
    </row>
    <row r="301" spans="1:94">
      <c r="A301" s="9"/>
      <c r="B301" s="10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CM301" s="79" t="s">
        <v>25</v>
      </c>
      <c r="CN301" s="42">
        <f t="shared" si="3"/>
        <v>68.330134357005761</v>
      </c>
    </row>
    <row r="302" spans="1:94">
      <c r="A302" s="9"/>
      <c r="B302" s="10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CM302" s="79" t="s">
        <v>26</v>
      </c>
      <c r="CN302" s="42">
        <f t="shared" si="3"/>
        <v>74.528301886792448</v>
      </c>
    </row>
    <row r="303" spans="1:94">
      <c r="A303" s="9"/>
      <c r="B303" s="10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CM303" s="79" t="s">
        <v>27</v>
      </c>
      <c r="CN303" s="42">
        <f t="shared" si="3"/>
        <v>77.319587628865989</v>
      </c>
    </row>
    <row r="304" spans="1:94">
      <c r="A304" s="9"/>
      <c r="B304" s="10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CM304" s="79" t="s">
        <v>28</v>
      </c>
      <c r="CN304" s="42">
        <f t="shared" si="3"/>
        <v>75.897435897435898</v>
      </c>
    </row>
    <row r="305" spans="1:92">
      <c r="A305" s="9"/>
      <c r="B305" s="10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CM305" s="79" t="s">
        <v>29</v>
      </c>
      <c r="CN305" s="42">
        <f t="shared" si="3"/>
        <v>80.858085808580853</v>
      </c>
    </row>
    <row r="306" spans="1:92">
      <c r="A306" s="9"/>
      <c r="B306" s="10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CM306" s="79" t="s">
        <v>30</v>
      </c>
      <c r="CN306" s="42">
        <f t="shared" si="3"/>
        <v>78.195488721804509</v>
      </c>
    </row>
    <row r="307" spans="1:92">
      <c r="A307" s="9"/>
      <c r="B307" s="10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CM307" s="79" t="s">
        <v>31</v>
      </c>
      <c r="CN307" s="42">
        <f t="shared" si="3"/>
        <v>65.343511450381669</v>
      </c>
    </row>
    <row r="308" spans="1:92">
      <c r="A308" s="9"/>
      <c r="B308" s="10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CM308" s="79" t="s">
        <v>32</v>
      </c>
      <c r="CN308" s="42">
        <f t="shared" si="3"/>
        <v>71.860095389507151</v>
      </c>
    </row>
    <row r="309" spans="1:92">
      <c r="A309" s="9"/>
      <c r="B309" s="10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CM309" s="79" t="s">
        <v>33</v>
      </c>
      <c r="CN309" s="42">
        <f t="shared" si="3"/>
        <v>66.572504708097924</v>
      </c>
    </row>
    <row r="310" spans="1:92">
      <c r="A310" s="9"/>
      <c r="B310" s="10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CM310" s="79" t="s">
        <v>34</v>
      </c>
      <c r="CN310" s="42">
        <f t="shared" si="3"/>
        <v>54.954128440366965</v>
      </c>
    </row>
    <row r="311" spans="1:92">
      <c r="A311" s="9"/>
      <c r="B311" s="10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CM311" s="79" t="s">
        <v>35</v>
      </c>
      <c r="CN311" s="42">
        <f t="shared" si="3"/>
        <v>65.029940119760482</v>
      </c>
    </row>
    <row r="312" spans="1:92">
      <c r="A312" s="79"/>
      <c r="B312" s="8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CM312" s="79" t="s">
        <v>36</v>
      </c>
      <c r="CN312" s="42">
        <f t="shared" si="3"/>
        <v>72.925014310246141</v>
      </c>
    </row>
    <row r="313" spans="1:92">
      <c r="A313" s="9"/>
      <c r="B313" s="10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 spans="1:92">
      <c r="A314" s="9"/>
      <c r="B314" s="10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 spans="1:92">
      <c r="A315" s="9"/>
      <c r="B315" s="10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 spans="1:92">
      <c r="A316" s="9"/>
      <c r="B316" s="10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</sheetData>
  <mergeCells count="24">
    <mergeCell ref="A1:Y1"/>
    <mergeCell ref="A2:Y2"/>
    <mergeCell ref="A3:A4"/>
    <mergeCell ref="B3:B4"/>
    <mergeCell ref="C3:G3"/>
    <mergeCell ref="I3:M3"/>
    <mergeCell ref="O3:S3"/>
    <mergeCell ref="U3:Y3"/>
    <mergeCell ref="A6:A7"/>
    <mergeCell ref="CY13:CY14"/>
    <mergeCell ref="CZ13:CZ14"/>
    <mergeCell ref="DA13:DE13"/>
    <mergeCell ref="DG13:DK13"/>
    <mergeCell ref="A260:A261"/>
    <mergeCell ref="DS13:DW13"/>
    <mergeCell ref="A255:Y255"/>
    <mergeCell ref="A256:Y256"/>
    <mergeCell ref="A257:A258"/>
    <mergeCell ref="B257:B258"/>
    <mergeCell ref="C257:G257"/>
    <mergeCell ref="I257:M257"/>
    <mergeCell ref="O257:S257"/>
    <mergeCell ref="U257:Y257"/>
    <mergeCell ref="DM13:DQ13"/>
  </mergeCells>
  <pageMargins left="0.7" right="0.7" top="0.75" bottom="0.75" header="0.3" footer="0.3"/>
  <pageSetup paperSize="9" scale="54" orientation="landscape" horizontalDpi="4294967295" verticalDpi="4294967295" r:id="rId1"/>
  <rowBreaks count="4" manualBreakCount="4">
    <brk id="58" max="25" man="1"/>
    <brk id="117" max="25" man="1"/>
    <brk id="176" max="25" man="1"/>
    <brk id="222" max="2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2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4" customWidth="1"/>
    <col min="36" max="16384" width="12.28515625" style="1"/>
  </cols>
  <sheetData>
    <row r="1" spans="1:36" ht="21">
      <c r="A1" s="91" t="s">
        <v>48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1:36">
      <c r="A2" s="81" t="s">
        <v>41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</row>
    <row r="3" spans="1:36" ht="15" customHeight="1">
      <c r="A3" s="87"/>
      <c r="B3" s="87"/>
      <c r="C3" s="92" t="s">
        <v>37</v>
      </c>
      <c r="D3" s="92"/>
      <c r="E3" s="92"/>
      <c r="F3" s="92"/>
      <c r="G3" s="92"/>
      <c r="H3" s="30"/>
      <c r="I3" s="30"/>
      <c r="J3" s="93" t="s">
        <v>3</v>
      </c>
      <c r="K3" s="93"/>
      <c r="L3" s="93"/>
      <c r="M3" s="93"/>
      <c r="N3" s="93"/>
      <c r="O3" s="25"/>
      <c r="P3" s="93" t="s">
        <v>4</v>
      </c>
      <c r="Q3" s="93"/>
      <c r="R3" s="93"/>
      <c r="S3" s="93"/>
      <c r="T3" s="93"/>
      <c r="U3" s="7"/>
      <c r="V3" s="7"/>
      <c r="W3" s="7"/>
      <c r="X3" s="94" t="s">
        <v>5</v>
      </c>
      <c r="Y3" s="94"/>
      <c r="Z3" s="94"/>
      <c r="AA3" s="94"/>
      <c r="AB3" s="94"/>
      <c r="AC3" s="26"/>
      <c r="AD3" s="26"/>
      <c r="AE3" s="94" t="s">
        <v>6</v>
      </c>
      <c r="AF3" s="94"/>
      <c r="AG3" s="94"/>
      <c r="AH3" s="94"/>
      <c r="AI3" s="94"/>
    </row>
    <row r="4" spans="1:36" ht="25.5">
      <c r="A4" s="88"/>
      <c r="B4" s="88"/>
      <c r="C4" s="31" t="s">
        <v>7</v>
      </c>
      <c r="D4" s="31" t="s">
        <v>8</v>
      </c>
      <c r="E4" s="31" t="s">
        <v>2</v>
      </c>
      <c r="F4" s="32" t="s">
        <v>9</v>
      </c>
      <c r="G4" s="31" t="s">
        <v>10</v>
      </c>
      <c r="H4" s="31" t="s">
        <v>43</v>
      </c>
      <c r="I4" s="31" t="s">
        <v>49</v>
      </c>
      <c r="J4" s="14" t="s">
        <v>7</v>
      </c>
      <c r="K4" s="14" t="s">
        <v>8</v>
      </c>
      <c r="L4" s="14" t="s">
        <v>2</v>
      </c>
      <c r="M4" s="15" t="s">
        <v>9</v>
      </c>
      <c r="N4" s="14" t="s">
        <v>10</v>
      </c>
      <c r="O4" s="31" t="s">
        <v>43</v>
      </c>
      <c r="P4" s="14" t="s">
        <v>7</v>
      </c>
      <c r="Q4" s="14" t="s">
        <v>8</v>
      </c>
      <c r="R4" s="14" t="s">
        <v>2</v>
      </c>
      <c r="S4" s="15" t="s">
        <v>9</v>
      </c>
      <c r="T4" s="14" t="s">
        <v>10</v>
      </c>
      <c r="U4" s="31" t="s">
        <v>43</v>
      </c>
      <c r="V4" s="31"/>
      <c r="W4" s="31"/>
      <c r="X4" s="14" t="s">
        <v>7</v>
      </c>
      <c r="Y4" s="14" t="s">
        <v>8</v>
      </c>
      <c r="Z4" s="14" t="s">
        <v>2</v>
      </c>
      <c r="AA4" s="15" t="s">
        <v>9</v>
      </c>
      <c r="AB4" s="14" t="s">
        <v>10</v>
      </c>
      <c r="AC4" s="31" t="s">
        <v>43</v>
      </c>
      <c r="AD4" s="31"/>
      <c r="AE4" s="14" t="s">
        <v>7</v>
      </c>
      <c r="AF4" s="14" t="s">
        <v>8</v>
      </c>
      <c r="AG4" s="14" t="s">
        <v>2</v>
      </c>
      <c r="AH4" s="15" t="s">
        <v>9</v>
      </c>
      <c r="AI4" s="14" t="s">
        <v>10</v>
      </c>
      <c r="AJ4" s="31" t="s">
        <v>43</v>
      </c>
    </row>
    <row r="5" spans="1:36" ht="14.25" customHeight="1">
      <c r="A5" s="24"/>
      <c r="B5" s="28" t="s">
        <v>45</v>
      </c>
      <c r="C5" s="33">
        <f t="shared" ref="C5:G32" si="0">J5+P5</f>
        <v>3010</v>
      </c>
      <c r="D5" s="33">
        <f t="shared" si="0"/>
        <v>2381</v>
      </c>
      <c r="E5" s="33">
        <f t="shared" si="0"/>
        <v>5391</v>
      </c>
      <c r="F5" s="33">
        <f>M5+S5</f>
        <v>1774</v>
      </c>
      <c r="G5" s="33">
        <f t="shared" si="0"/>
        <v>3617</v>
      </c>
      <c r="H5" s="34">
        <f>F5/E5*100</f>
        <v>32.906696345761453</v>
      </c>
      <c r="I5" s="34">
        <f>G5/E5*100</f>
        <v>67.093303654238539</v>
      </c>
      <c r="J5" s="11">
        <v>2893</v>
      </c>
      <c r="K5" s="11">
        <v>2200</v>
      </c>
      <c r="L5" s="11">
        <v>5093</v>
      </c>
      <c r="M5" s="11">
        <v>1617</v>
      </c>
      <c r="N5" s="11">
        <v>3476</v>
      </c>
      <c r="O5" s="34">
        <f>M5/L5*100</f>
        <v>31.749460043196542</v>
      </c>
      <c r="P5" s="11">
        <v>117</v>
      </c>
      <c r="Q5" s="11">
        <v>181</v>
      </c>
      <c r="R5" s="11">
        <v>298</v>
      </c>
      <c r="S5" s="11">
        <v>157</v>
      </c>
      <c r="T5" s="11">
        <v>141</v>
      </c>
      <c r="U5" s="34">
        <f>S5/R5*100</f>
        <v>52.68456375838926</v>
      </c>
      <c r="V5" s="34"/>
      <c r="W5" s="28" t="s">
        <v>45</v>
      </c>
      <c r="X5" s="11">
        <v>3628</v>
      </c>
      <c r="Y5" s="11">
        <v>6873</v>
      </c>
      <c r="Z5" s="11">
        <v>10500</v>
      </c>
      <c r="AA5" s="11">
        <v>6554</v>
      </c>
      <c r="AB5" s="11">
        <v>3946</v>
      </c>
      <c r="AC5" s="34">
        <f>AA5/Z5*100</f>
        <v>62.419047619047618</v>
      </c>
      <c r="AD5" s="28" t="s">
        <v>45</v>
      </c>
      <c r="AE5" s="11">
        <v>890</v>
      </c>
      <c r="AF5" s="11">
        <v>6097</v>
      </c>
      <c r="AG5" s="11">
        <v>6987</v>
      </c>
      <c r="AH5" s="11">
        <v>5904</v>
      </c>
      <c r="AI5" s="11">
        <v>1083</v>
      </c>
      <c r="AJ5" s="34">
        <f>AH5/AG5*100</f>
        <v>84.499785315586081</v>
      </c>
    </row>
    <row r="6" spans="1:36" ht="14.25" customHeight="1">
      <c r="A6" s="24"/>
      <c r="B6" s="28" t="s">
        <v>46</v>
      </c>
      <c r="C6" s="33">
        <f t="shared" si="0"/>
        <v>2247</v>
      </c>
      <c r="D6" s="33">
        <f t="shared" si="0"/>
        <v>1246</v>
      </c>
      <c r="E6" s="33">
        <f t="shared" si="0"/>
        <v>3493</v>
      </c>
      <c r="F6" s="33">
        <f t="shared" si="0"/>
        <v>1084</v>
      </c>
      <c r="G6" s="33">
        <f t="shared" si="0"/>
        <v>2409</v>
      </c>
      <c r="H6" s="34">
        <f>F6/E6*100</f>
        <v>31.033495562553682</v>
      </c>
      <c r="I6" s="34">
        <f>G6/E6*100</f>
        <v>68.966504437446318</v>
      </c>
      <c r="J6" s="13">
        <v>2193</v>
      </c>
      <c r="K6" s="13">
        <v>1163</v>
      </c>
      <c r="L6" s="13">
        <v>3356</v>
      </c>
      <c r="M6" s="13">
        <v>990</v>
      </c>
      <c r="N6" s="13">
        <v>2366</v>
      </c>
      <c r="O6" s="34">
        <f>M6/L6*100</f>
        <v>29.499404052443385</v>
      </c>
      <c r="P6" s="13">
        <v>54</v>
      </c>
      <c r="Q6" s="13">
        <v>83</v>
      </c>
      <c r="R6" s="13">
        <v>137</v>
      </c>
      <c r="S6" s="13">
        <v>94</v>
      </c>
      <c r="T6" s="13">
        <v>43</v>
      </c>
      <c r="U6" s="34">
        <f>S6/R6*100</f>
        <v>68.613138686131393</v>
      </c>
      <c r="V6" s="34"/>
      <c r="W6" s="28" t="s">
        <v>46</v>
      </c>
      <c r="X6" s="13">
        <v>1847</v>
      </c>
      <c r="Y6" s="13">
        <v>2725</v>
      </c>
      <c r="Z6" s="13">
        <v>4571</v>
      </c>
      <c r="AA6" s="13">
        <v>2719</v>
      </c>
      <c r="AB6" s="13">
        <v>1852</v>
      </c>
      <c r="AC6" s="34">
        <f>AA6/Z6*100</f>
        <v>59.483701597024719</v>
      </c>
      <c r="AD6" s="28" t="s">
        <v>46</v>
      </c>
      <c r="AE6" s="13">
        <v>456</v>
      </c>
      <c r="AF6" s="13">
        <v>2367</v>
      </c>
      <c r="AG6" s="13">
        <v>2823</v>
      </c>
      <c r="AH6" s="13">
        <v>2296</v>
      </c>
      <c r="AI6" s="13">
        <v>527</v>
      </c>
      <c r="AJ6" s="34">
        <f>AH6/AG6*100</f>
        <v>81.331916400991858</v>
      </c>
    </row>
    <row r="7" spans="1:36" s="22" customFormat="1" ht="14.25" customHeight="1">
      <c r="A7" s="20"/>
      <c r="B7" s="28" t="s">
        <v>47</v>
      </c>
      <c r="C7" s="33">
        <f t="shared" si="0"/>
        <v>763</v>
      </c>
      <c r="D7" s="33">
        <f t="shared" si="0"/>
        <v>1135</v>
      </c>
      <c r="E7" s="33">
        <f t="shared" si="0"/>
        <v>1898</v>
      </c>
      <c r="F7" s="33">
        <f t="shared" si="0"/>
        <v>690</v>
      </c>
      <c r="G7" s="33">
        <f t="shared" si="0"/>
        <v>1208</v>
      </c>
      <c r="H7" s="34">
        <f>F7/E7*100</f>
        <v>36.354056902002107</v>
      </c>
      <c r="I7" s="34">
        <f>G7/E7*100</f>
        <v>63.645943097997893</v>
      </c>
      <c r="J7" s="13">
        <v>700</v>
      </c>
      <c r="K7" s="13">
        <v>1037</v>
      </c>
      <c r="L7" s="13">
        <v>1737</v>
      </c>
      <c r="M7" s="13">
        <v>627</v>
      </c>
      <c r="N7" s="13">
        <v>1110</v>
      </c>
      <c r="O7" s="34">
        <f>M7/L7*100</f>
        <v>36.096718480138165</v>
      </c>
      <c r="P7" s="13">
        <v>63</v>
      </c>
      <c r="Q7" s="13">
        <v>98</v>
      </c>
      <c r="R7" s="13">
        <v>161</v>
      </c>
      <c r="S7" s="13">
        <v>63</v>
      </c>
      <c r="T7" s="13">
        <v>98</v>
      </c>
      <c r="U7" s="34">
        <f>S7/R7*100</f>
        <v>39.130434782608695</v>
      </c>
      <c r="V7" s="34"/>
      <c r="W7" s="28" t="s">
        <v>47</v>
      </c>
      <c r="X7" s="13">
        <v>1781</v>
      </c>
      <c r="Y7" s="13">
        <v>4148</v>
      </c>
      <c r="Z7" s="13">
        <v>5929</v>
      </c>
      <c r="AA7" s="13">
        <v>3835</v>
      </c>
      <c r="AB7" s="13">
        <v>2094</v>
      </c>
      <c r="AC7" s="34">
        <f>AA7/Z7*100</f>
        <v>64.682071175577676</v>
      </c>
      <c r="AD7" s="28" t="s">
        <v>47</v>
      </c>
      <c r="AE7" s="13">
        <v>434</v>
      </c>
      <c r="AF7" s="13">
        <v>3730</v>
      </c>
      <c r="AG7" s="13">
        <v>4164</v>
      </c>
      <c r="AH7" s="13">
        <v>3608</v>
      </c>
      <c r="AI7" s="13">
        <v>556</v>
      </c>
      <c r="AJ7" s="34">
        <f>AH7/AG7*100</f>
        <v>86.647454370797306</v>
      </c>
    </row>
    <row r="8" spans="1:36" s="22" customFormat="1" ht="14.25" customHeight="1">
      <c r="A8" s="24" t="s">
        <v>17</v>
      </c>
      <c r="B8" s="8" t="s">
        <v>0</v>
      </c>
      <c r="C8" s="33">
        <f t="shared" si="0"/>
        <v>68</v>
      </c>
      <c r="D8" s="33">
        <f t="shared" si="0"/>
        <v>28</v>
      </c>
      <c r="E8" s="33">
        <f t="shared" si="0"/>
        <v>96</v>
      </c>
      <c r="F8" s="33">
        <f t="shared" si="0"/>
        <v>21</v>
      </c>
      <c r="G8" s="33">
        <f t="shared" si="0"/>
        <v>75</v>
      </c>
      <c r="H8" s="33"/>
      <c r="I8" s="33"/>
      <c r="J8" s="13">
        <v>61</v>
      </c>
      <c r="K8" s="13">
        <v>27</v>
      </c>
      <c r="L8" s="13">
        <v>88</v>
      </c>
      <c r="M8" s="13">
        <v>18</v>
      </c>
      <c r="N8" s="13">
        <v>70</v>
      </c>
      <c r="O8" s="13"/>
      <c r="P8" s="13">
        <v>7</v>
      </c>
      <c r="Q8" s="13">
        <v>1</v>
      </c>
      <c r="R8" s="13">
        <v>8</v>
      </c>
      <c r="S8" s="13">
        <v>3</v>
      </c>
      <c r="T8" s="13">
        <v>5</v>
      </c>
      <c r="U8" s="13"/>
      <c r="V8" s="13"/>
      <c r="W8" s="13"/>
      <c r="X8" s="13">
        <v>123</v>
      </c>
      <c r="Y8" s="13">
        <v>181</v>
      </c>
      <c r="Z8" s="13">
        <v>304</v>
      </c>
      <c r="AA8" s="13">
        <v>148</v>
      </c>
      <c r="AB8" s="13">
        <v>156</v>
      </c>
      <c r="AC8" s="13"/>
      <c r="AD8" s="13"/>
      <c r="AE8" s="13">
        <v>21</v>
      </c>
      <c r="AF8" s="13">
        <v>169</v>
      </c>
      <c r="AG8" s="13">
        <v>190</v>
      </c>
      <c r="AH8" s="13">
        <v>170</v>
      </c>
      <c r="AI8" s="13">
        <v>20</v>
      </c>
    </row>
    <row r="9" spans="1:36" s="22" customFormat="1" ht="14.25" customHeight="1">
      <c r="A9" s="24" t="s">
        <v>18</v>
      </c>
      <c r="B9" s="8" t="s">
        <v>0</v>
      </c>
      <c r="C9" s="33">
        <f t="shared" si="0"/>
        <v>81</v>
      </c>
      <c r="D9" s="33">
        <f t="shared" si="0"/>
        <v>73</v>
      </c>
      <c r="E9" s="33">
        <f t="shared" si="0"/>
        <v>154</v>
      </c>
      <c r="F9" s="33">
        <f t="shared" si="0"/>
        <v>41</v>
      </c>
      <c r="G9" s="33">
        <f t="shared" si="0"/>
        <v>113</v>
      </c>
      <c r="H9" s="33"/>
      <c r="I9" s="33"/>
      <c r="J9" s="13">
        <v>74</v>
      </c>
      <c r="K9" s="13">
        <v>69</v>
      </c>
      <c r="L9" s="13">
        <v>143</v>
      </c>
      <c r="M9" s="13">
        <v>34</v>
      </c>
      <c r="N9" s="13">
        <v>109</v>
      </c>
      <c r="O9" s="13"/>
      <c r="P9" s="13">
        <v>7</v>
      </c>
      <c r="Q9" s="13">
        <v>4</v>
      </c>
      <c r="R9" s="13">
        <v>11</v>
      </c>
      <c r="S9" s="13">
        <v>7</v>
      </c>
      <c r="T9" s="13">
        <v>4</v>
      </c>
      <c r="U9" s="13"/>
      <c r="V9" s="13"/>
      <c r="W9" s="13"/>
      <c r="X9" s="13">
        <v>93</v>
      </c>
      <c r="Y9" s="13">
        <v>178</v>
      </c>
      <c r="Z9" s="13">
        <v>271</v>
      </c>
      <c r="AA9" s="13">
        <v>104</v>
      </c>
      <c r="AB9" s="13">
        <v>167</v>
      </c>
      <c r="AC9" s="13"/>
      <c r="AD9" s="13"/>
      <c r="AE9" s="13">
        <v>34</v>
      </c>
      <c r="AF9" s="13">
        <v>233</v>
      </c>
      <c r="AG9" s="13">
        <v>267</v>
      </c>
      <c r="AH9" s="13">
        <v>222</v>
      </c>
      <c r="AI9" s="13">
        <v>45</v>
      </c>
    </row>
    <row r="10" spans="1:36" s="22" customFormat="1" ht="14.25" customHeight="1">
      <c r="A10" s="24" t="s">
        <v>19</v>
      </c>
      <c r="B10" s="8" t="s">
        <v>0</v>
      </c>
      <c r="C10" s="33">
        <f t="shared" si="0"/>
        <v>10</v>
      </c>
      <c r="D10" s="33">
        <f t="shared" si="0"/>
        <v>24</v>
      </c>
      <c r="E10" s="33">
        <f t="shared" si="0"/>
        <v>34</v>
      </c>
      <c r="F10" s="33">
        <f t="shared" si="0"/>
        <v>28</v>
      </c>
      <c r="G10" s="33">
        <f t="shared" si="0"/>
        <v>6</v>
      </c>
      <c r="H10" s="33"/>
      <c r="I10" s="33"/>
      <c r="J10" s="13">
        <v>10</v>
      </c>
      <c r="K10" s="13">
        <v>22</v>
      </c>
      <c r="L10" s="13">
        <v>32</v>
      </c>
      <c r="M10" s="13">
        <v>28</v>
      </c>
      <c r="N10" s="13">
        <v>4</v>
      </c>
      <c r="O10" s="13"/>
      <c r="P10" s="13">
        <v>0</v>
      </c>
      <c r="Q10" s="13">
        <v>2</v>
      </c>
      <c r="R10" s="13">
        <v>2</v>
      </c>
      <c r="S10" s="13">
        <v>0</v>
      </c>
      <c r="T10" s="13">
        <v>2</v>
      </c>
      <c r="U10" s="13"/>
      <c r="V10" s="13"/>
      <c r="W10" s="13"/>
      <c r="X10" s="13">
        <v>43</v>
      </c>
      <c r="Y10" s="13">
        <v>145</v>
      </c>
      <c r="Z10" s="13">
        <v>188</v>
      </c>
      <c r="AA10" s="13">
        <v>142</v>
      </c>
      <c r="AB10" s="13">
        <v>46</v>
      </c>
      <c r="AC10" s="13"/>
      <c r="AD10" s="13"/>
      <c r="AE10" s="13">
        <v>16</v>
      </c>
      <c r="AF10" s="13">
        <v>162</v>
      </c>
      <c r="AG10" s="13">
        <v>178</v>
      </c>
      <c r="AH10" s="13">
        <v>162</v>
      </c>
      <c r="AI10" s="13">
        <v>16</v>
      </c>
    </row>
    <row r="11" spans="1:36" s="22" customFormat="1" ht="14.25" customHeight="1">
      <c r="A11" s="24" t="s">
        <v>20</v>
      </c>
      <c r="B11" s="8" t="s">
        <v>0</v>
      </c>
      <c r="C11" s="33">
        <f t="shared" si="0"/>
        <v>48</v>
      </c>
      <c r="D11" s="33">
        <f t="shared" si="0"/>
        <v>62</v>
      </c>
      <c r="E11" s="33">
        <f t="shared" si="0"/>
        <v>110</v>
      </c>
      <c r="F11" s="33">
        <f t="shared" si="0"/>
        <v>45</v>
      </c>
      <c r="G11" s="33">
        <f t="shared" si="0"/>
        <v>65</v>
      </c>
      <c r="H11" s="33"/>
      <c r="I11" s="33"/>
      <c r="J11" s="13">
        <v>47</v>
      </c>
      <c r="K11" s="13">
        <v>58</v>
      </c>
      <c r="L11" s="13">
        <v>105</v>
      </c>
      <c r="M11" s="13">
        <v>42</v>
      </c>
      <c r="N11" s="13">
        <v>63</v>
      </c>
      <c r="O11" s="13"/>
      <c r="P11" s="13">
        <v>1</v>
      </c>
      <c r="Q11" s="13">
        <v>4</v>
      </c>
      <c r="R11" s="13">
        <v>5</v>
      </c>
      <c r="S11" s="13">
        <v>3</v>
      </c>
      <c r="T11" s="13">
        <v>2</v>
      </c>
      <c r="U11" s="13"/>
      <c r="V11" s="13"/>
      <c r="W11" s="13"/>
      <c r="X11" s="13">
        <v>117</v>
      </c>
      <c r="Y11" s="13">
        <v>186</v>
      </c>
      <c r="Z11" s="13">
        <v>303</v>
      </c>
      <c r="AA11" s="13">
        <v>174</v>
      </c>
      <c r="AB11" s="13">
        <v>129</v>
      </c>
      <c r="AC11" s="13"/>
      <c r="AD11" s="13"/>
      <c r="AE11" s="13">
        <v>30</v>
      </c>
      <c r="AF11" s="13">
        <v>215</v>
      </c>
      <c r="AG11" s="13">
        <v>245</v>
      </c>
      <c r="AH11" s="13">
        <v>188</v>
      </c>
      <c r="AI11" s="13">
        <v>57</v>
      </c>
    </row>
    <row r="12" spans="1:36" s="22" customFormat="1" ht="14.25" customHeight="1">
      <c r="A12" s="24" t="s">
        <v>21</v>
      </c>
      <c r="B12" s="8" t="s">
        <v>0</v>
      </c>
      <c r="C12" s="33">
        <f t="shared" si="0"/>
        <v>73</v>
      </c>
      <c r="D12" s="33">
        <f t="shared" si="0"/>
        <v>84</v>
      </c>
      <c r="E12" s="33">
        <f t="shared" si="0"/>
        <v>157</v>
      </c>
      <c r="F12" s="33">
        <f t="shared" si="0"/>
        <v>80</v>
      </c>
      <c r="G12" s="33">
        <f t="shared" si="0"/>
        <v>77</v>
      </c>
      <c r="H12" s="33"/>
      <c r="I12" s="33"/>
      <c r="J12" s="13">
        <v>70</v>
      </c>
      <c r="K12" s="13">
        <v>78</v>
      </c>
      <c r="L12" s="13">
        <v>148</v>
      </c>
      <c r="M12" s="13">
        <v>76</v>
      </c>
      <c r="N12" s="13">
        <v>72</v>
      </c>
      <c r="O12" s="13"/>
      <c r="P12" s="13">
        <v>3</v>
      </c>
      <c r="Q12" s="13">
        <v>6</v>
      </c>
      <c r="R12" s="13">
        <v>9</v>
      </c>
      <c r="S12" s="13">
        <v>4</v>
      </c>
      <c r="T12" s="13">
        <v>5</v>
      </c>
      <c r="U12" s="13"/>
      <c r="V12" s="13"/>
      <c r="W12" s="13"/>
      <c r="X12" s="13">
        <v>71</v>
      </c>
      <c r="Y12" s="13">
        <v>202</v>
      </c>
      <c r="Z12" s="13">
        <v>273</v>
      </c>
      <c r="AA12" s="13">
        <v>186</v>
      </c>
      <c r="AB12" s="13">
        <v>87</v>
      </c>
      <c r="AC12" s="13"/>
      <c r="AD12" s="13"/>
      <c r="AE12" s="13">
        <v>18</v>
      </c>
      <c r="AF12" s="13">
        <v>231</v>
      </c>
      <c r="AG12" s="13">
        <v>249</v>
      </c>
      <c r="AH12" s="13">
        <v>219</v>
      </c>
      <c r="AI12" s="13">
        <v>30</v>
      </c>
    </row>
    <row r="13" spans="1:36" s="22" customFormat="1" ht="14.25" customHeight="1">
      <c r="A13" s="24" t="s">
        <v>22</v>
      </c>
      <c r="B13" s="8" t="s">
        <v>0</v>
      </c>
      <c r="C13" s="33">
        <f t="shared" si="0"/>
        <v>21</v>
      </c>
      <c r="D13" s="33">
        <f t="shared" si="0"/>
        <v>26</v>
      </c>
      <c r="E13" s="33">
        <f t="shared" si="0"/>
        <v>47</v>
      </c>
      <c r="F13" s="33">
        <f t="shared" si="0"/>
        <v>10</v>
      </c>
      <c r="G13" s="33">
        <f t="shared" si="0"/>
        <v>37</v>
      </c>
      <c r="H13" s="33"/>
      <c r="I13" s="33"/>
      <c r="J13" s="13">
        <v>17</v>
      </c>
      <c r="K13" s="13">
        <v>23</v>
      </c>
      <c r="L13" s="13">
        <v>40</v>
      </c>
      <c r="M13" s="13">
        <v>9</v>
      </c>
      <c r="N13" s="13">
        <v>31</v>
      </c>
      <c r="O13" s="13"/>
      <c r="P13" s="13">
        <v>4</v>
      </c>
      <c r="Q13" s="13">
        <v>3</v>
      </c>
      <c r="R13" s="13">
        <v>7</v>
      </c>
      <c r="S13" s="13">
        <v>1</v>
      </c>
      <c r="T13" s="13">
        <v>6</v>
      </c>
      <c r="U13" s="13"/>
      <c r="V13" s="13"/>
      <c r="W13" s="13"/>
      <c r="X13" s="13">
        <v>38</v>
      </c>
      <c r="Y13" s="13">
        <v>183</v>
      </c>
      <c r="Z13" s="13">
        <v>221</v>
      </c>
      <c r="AA13" s="13">
        <v>119</v>
      </c>
      <c r="AB13" s="13">
        <v>102</v>
      </c>
      <c r="AC13" s="13"/>
      <c r="AD13" s="13"/>
      <c r="AE13" s="13">
        <v>20</v>
      </c>
      <c r="AF13" s="13">
        <v>135</v>
      </c>
      <c r="AG13" s="13">
        <v>155</v>
      </c>
      <c r="AH13" s="13">
        <v>124</v>
      </c>
      <c r="AI13" s="13">
        <v>31</v>
      </c>
    </row>
    <row r="14" spans="1:36" s="22" customFormat="1" ht="14.25" customHeight="1">
      <c r="A14" s="24" t="s">
        <v>23</v>
      </c>
      <c r="B14" s="8" t="s">
        <v>0</v>
      </c>
      <c r="C14" s="33">
        <f t="shared" si="0"/>
        <v>77</v>
      </c>
      <c r="D14" s="33">
        <f t="shared" si="0"/>
        <v>61</v>
      </c>
      <c r="E14" s="33">
        <f t="shared" si="0"/>
        <v>138</v>
      </c>
      <c r="F14" s="33">
        <f t="shared" si="0"/>
        <v>57</v>
      </c>
      <c r="G14" s="33">
        <f t="shared" si="0"/>
        <v>81</v>
      </c>
      <c r="H14" s="33"/>
      <c r="I14" s="33"/>
      <c r="J14" s="13">
        <v>72</v>
      </c>
      <c r="K14" s="13">
        <v>57</v>
      </c>
      <c r="L14" s="13">
        <v>129</v>
      </c>
      <c r="M14" s="13">
        <v>52</v>
      </c>
      <c r="N14" s="13">
        <v>77</v>
      </c>
      <c r="O14" s="13"/>
      <c r="P14" s="13">
        <v>5</v>
      </c>
      <c r="Q14" s="13">
        <v>4</v>
      </c>
      <c r="R14" s="13">
        <v>9</v>
      </c>
      <c r="S14" s="13">
        <v>5</v>
      </c>
      <c r="T14" s="13">
        <v>4</v>
      </c>
      <c r="U14" s="13"/>
      <c r="V14" s="13"/>
      <c r="W14" s="13"/>
      <c r="X14" s="13">
        <v>124</v>
      </c>
      <c r="Y14" s="13">
        <v>124</v>
      </c>
      <c r="Z14" s="13">
        <v>248</v>
      </c>
      <c r="AA14" s="13">
        <v>127</v>
      </c>
      <c r="AB14" s="13">
        <v>121</v>
      </c>
      <c r="AC14" s="13"/>
      <c r="AD14" s="13"/>
      <c r="AE14" s="13">
        <v>44</v>
      </c>
      <c r="AF14" s="13">
        <v>178</v>
      </c>
      <c r="AG14" s="13">
        <v>222</v>
      </c>
      <c r="AH14" s="13">
        <v>182</v>
      </c>
      <c r="AI14" s="13">
        <v>40</v>
      </c>
    </row>
    <row r="15" spans="1:36" s="22" customFormat="1" ht="14.25" customHeight="1">
      <c r="A15" s="24" t="s">
        <v>24</v>
      </c>
      <c r="B15" s="8" t="s">
        <v>0</v>
      </c>
      <c r="C15" s="33">
        <f t="shared" si="0"/>
        <v>31</v>
      </c>
      <c r="D15" s="33">
        <f t="shared" si="0"/>
        <v>41</v>
      </c>
      <c r="E15" s="33">
        <f t="shared" si="0"/>
        <v>72</v>
      </c>
      <c r="F15" s="33">
        <f t="shared" si="0"/>
        <v>31</v>
      </c>
      <c r="G15" s="33">
        <f t="shared" si="0"/>
        <v>41</v>
      </c>
      <c r="H15" s="33"/>
      <c r="I15" s="33"/>
      <c r="J15" s="13">
        <v>30</v>
      </c>
      <c r="K15" s="13">
        <v>37</v>
      </c>
      <c r="L15" s="13">
        <v>67</v>
      </c>
      <c r="M15" s="13">
        <v>30</v>
      </c>
      <c r="N15" s="13">
        <v>37</v>
      </c>
      <c r="O15" s="13"/>
      <c r="P15" s="13">
        <v>1</v>
      </c>
      <c r="Q15" s="13">
        <v>4</v>
      </c>
      <c r="R15" s="13">
        <v>5</v>
      </c>
      <c r="S15" s="13">
        <v>1</v>
      </c>
      <c r="T15" s="13">
        <v>4</v>
      </c>
      <c r="U15" s="13"/>
      <c r="V15" s="13"/>
      <c r="W15" s="13"/>
      <c r="X15" s="13">
        <v>67</v>
      </c>
      <c r="Y15" s="13">
        <v>145</v>
      </c>
      <c r="Z15" s="13">
        <v>212</v>
      </c>
      <c r="AA15" s="13">
        <v>153</v>
      </c>
      <c r="AB15" s="13">
        <v>59</v>
      </c>
      <c r="AC15" s="13"/>
      <c r="AD15" s="13"/>
      <c r="AE15" s="13">
        <v>17</v>
      </c>
      <c r="AF15" s="13">
        <v>218</v>
      </c>
      <c r="AG15" s="13">
        <v>235</v>
      </c>
      <c r="AH15" s="13">
        <v>217</v>
      </c>
      <c r="AI15" s="13">
        <v>18</v>
      </c>
    </row>
    <row r="16" spans="1:36" s="22" customFormat="1" ht="14.25" customHeight="1">
      <c r="A16" s="24" t="s">
        <v>25</v>
      </c>
      <c r="B16" s="8" t="s">
        <v>0</v>
      </c>
      <c r="C16" s="33">
        <f t="shared" si="0"/>
        <v>13</v>
      </c>
      <c r="D16" s="33">
        <f t="shared" si="0"/>
        <v>13</v>
      </c>
      <c r="E16" s="33">
        <f t="shared" si="0"/>
        <v>26</v>
      </c>
      <c r="F16" s="33">
        <f t="shared" si="0"/>
        <v>11</v>
      </c>
      <c r="G16" s="33">
        <f t="shared" si="0"/>
        <v>15</v>
      </c>
      <c r="H16" s="33"/>
      <c r="I16" s="33"/>
      <c r="J16" s="13">
        <v>12</v>
      </c>
      <c r="K16" s="13">
        <v>11</v>
      </c>
      <c r="L16" s="13">
        <v>23</v>
      </c>
      <c r="M16" s="13">
        <v>11</v>
      </c>
      <c r="N16" s="13">
        <v>12</v>
      </c>
      <c r="O16" s="13"/>
      <c r="P16" s="13">
        <v>1</v>
      </c>
      <c r="Q16" s="13">
        <v>2</v>
      </c>
      <c r="R16" s="13">
        <v>3</v>
      </c>
      <c r="S16" s="13">
        <v>0</v>
      </c>
      <c r="T16" s="13">
        <v>3</v>
      </c>
      <c r="U16" s="13"/>
      <c r="V16" s="13"/>
      <c r="W16" s="13"/>
      <c r="X16" s="13">
        <v>58</v>
      </c>
      <c r="Y16" s="13">
        <v>123</v>
      </c>
      <c r="Z16" s="13">
        <v>181</v>
      </c>
      <c r="AA16" s="13">
        <v>142</v>
      </c>
      <c r="AB16" s="13">
        <v>39</v>
      </c>
      <c r="AC16" s="13"/>
      <c r="AD16" s="13"/>
      <c r="AE16" s="13">
        <v>9</v>
      </c>
      <c r="AF16" s="13">
        <v>123</v>
      </c>
      <c r="AG16" s="13">
        <v>132</v>
      </c>
      <c r="AH16" s="13">
        <v>126</v>
      </c>
      <c r="AI16" s="13">
        <v>6</v>
      </c>
    </row>
    <row r="17" spans="1:35" s="22" customFormat="1">
      <c r="A17" s="24" t="s">
        <v>26</v>
      </c>
      <c r="B17" s="8" t="s">
        <v>0</v>
      </c>
      <c r="C17" s="33">
        <f t="shared" si="0"/>
        <v>14</v>
      </c>
      <c r="D17" s="33">
        <f t="shared" si="0"/>
        <v>18</v>
      </c>
      <c r="E17" s="33">
        <f t="shared" si="0"/>
        <v>32</v>
      </c>
      <c r="F17" s="33">
        <f t="shared" si="0"/>
        <v>23</v>
      </c>
      <c r="G17" s="33">
        <f t="shared" si="0"/>
        <v>9</v>
      </c>
      <c r="H17" s="33"/>
      <c r="I17" s="33"/>
      <c r="J17" s="13">
        <v>13</v>
      </c>
      <c r="K17" s="13">
        <v>16</v>
      </c>
      <c r="L17" s="13">
        <v>29</v>
      </c>
      <c r="M17" s="13">
        <v>22</v>
      </c>
      <c r="N17" s="13">
        <v>7</v>
      </c>
      <c r="O17" s="13"/>
      <c r="P17" s="13">
        <v>1</v>
      </c>
      <c r="Q17" s="13">
        <v>2</v>
      </c>
      <c r="R17" s="13">
        <v>3</v>
      </c>
      <c r="S17" s="13">
        <v>1</v>
      </c>
      <c r="T17" s="13">
        <v>2</v>
      </c>
      <c r="U17" s="13"/>
      <c r="V17" s="13"/>
      <c r="W17" s="13"/>
      <c r="X17" s="13">
        <v>78</v>
      </c>
      <c r="Y17" s="13">
        <v>145</v>
      </c>
      <c r="Z17" s="13">
        <v>223</v>
      </c>
      <c r="AA17" s="13">
        <v>155</v>
      </c>
      <c r="AB17" s="13">
        <v>68</v>
      </c>
      <c r="AC17" s="13"/>
      <c r="AD17" s="13"/>
      <c r="AE17" s="13">
        <v>25</v>
      </c>
      <c r="AF17" s="13">
        <v>141</v>
      </c>
      <c r="AG17" s="13">
        <v>166</v>
      </c>
      <c r="AH17" s="13">
        <v>138</v>
      </c>
      <c r="AI17" s="13">
        <v>28</v>
      </c>
    </row>
    <row r="18" spans="1:35" s="22" customFormat="1">
      <c r="A18" s="24" t="s">
        <v>27</v>
      </c>
      <c r="B18" s="8" t="s">
        <v>0</v>
      </c>
      <c r="C18" s="33">
        <f t="shared" si="0"/>
        <v>2</v>
      </c>
      <c r="D18" s="33">
        <f t="shared" si="0"/>
        <v>1</v>
      </c>
      <c r="E18" s="33">
        <f t="shared" si="0"/>
        <v>3</v>
      </c>
      <c r="F18" s="33">
        <f t="shared" si="0"/>
        <v>2</v>
      </c>
      <c r="G18" s="33">
        <f t="shared" si="0"/>
        <v>1</v>
      </c>
      <c r="H18" s="33"/>
      <c r="I18" s="33"/>
      <c r="J18" s="13">
        <v>2</v>
      </c>
      <c r="K18" s="13">
        <v>1</v>
      </c>
      <c r="L18" s="13">
        <v>3</v>
      </c>
      <c r="M18" s="13">
        <v>2</v>
      </c>
      <c r="N18" s="13">
        <v>1</v>
      </c>
      <c r="O18" s="13"/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/>
      <c r="V18" s="13"/>
      <c r="W18" s="13"/>
      <c r="X18" s="13">
        <v>6</v>
      </c>
      <c r="Y18" s="13">
        <v>33</v>
      </c>
      <c r="Z18" s="13">
        <v>39</v>
      </c>
      <c r="AA18" s="13">
        <v>28</v>
      </c>
      <c r="AB18" s="13">
        <v>11</v>
      </c>
      <c r="AC18" s="13"/>
      <c r="AD18" s="13"/>
      <c r="AE18" s="13">
        <v>2</v>
      </c>
      <c r="AF18" s="13">
        <v>19</v>
      </c>
      <c r="AG18" s="13">
        <v>21</v>
      </c>
      <c r="AH18" s="13">
        <v>21</v>
      </c>
      <c r="AI18" s="13">
        <v>0</v>
      </c>
    </row>
    <row r="19" spans="1:35" s="22" customFormat="1">
      <c r="A19" s="24" t="s">
        <v>28</v>
      </c>
      <c r="B19" s="8" t="s">
        <v>0</v>
      </c>
      <c r="C19" s="33">
        <f t="shared" si="0"/>
        <v>4</v>
      </c>
      <c r="D19" s="33">
        <f t="shared" si="0"/>
        <v>4</v>
      </c>
      <c r="E19" s="33">
        <f t="shared" si="0"/>
        <v>8</v>
      </c>
      <c r="F19" s="33">
        <f t="shared" si="0"/>
        <v>3</v>
      </c>
      <c r="G19" s="33">
        <f t="shared" si="0"/>
        <v>5</v>
      </c>
      <c r="H19" s="33"/>
      <c r="I19" s="33"/>
      <c r="J19" s="13">
        <v>4</v>
      </c>
      <c r="K19" s="13">
        <v>3</v>
      </c>
      <c r="L19" s="13">
        <v>7</v>
      </c>
      <c r="M19" s="13">
        <v>3</v>
      </c>
      <c r="N19" s="13">
        <v>4</v>
      </c>
      <c r="O19" s="13"/>
      <c r="P19" s="13">
        <v>0</v>
      </c>
      <c r="Q19" s="13">
        <v>1</v>
      </c>
      <c r="R19" s="13">
        <v>1</v>
      </c>
      <c r="S19" s="13">
        <v>0</v>
      </c>
      <c r="T19" s="13">
        <v>1</v>
      </c>
      <c r="U19" s="13"/>
      <c r="V19" s="13"/>
      <c r="W19" s="13"/>
      <c r="X19" s="13">
        <v>89</v>
      </c>
      <c r="Y19" s="13">
        <v>62</v>
      </c>
      <c r="Z19" s="13">
        <v>151</v>
      </c>
      <c r="AA19" s="13">
        <v>109</v>
      </c>
      <c r="AB19" s="13">
        <v>42</v>
      </c>
      <c r="AC19" s="13"/>
      <c r="AD19" s="13"/>
      <c r="AE19" s="13">
        <v>6</v>
      </c>
      <c r="AF19" s="13">
        <v>72</v>
      </c>
      <c r="AG19" s="13">
        <v>78</v>
      </c>
      <c r="AH19" s="13">
        <v>71</v>
      </c>
      <c r="AI19" s="13">
        <v>7</v>
      </c>
    </row>
    <row r="20" spans="1:35" s="22" customFormat="1">
      <c r="A20" s="24" t="s">
        <v>29</v>
      </c>
      <c r="B20" s="8" t="s">
        <v>0</v>
      </c>
      <c r="C20" s="33">
        <f t="shared" si="0"/>
        <v>6</v>
      </c>
      <c r="D20" s="33">
        <f t="shared" si="0"/>
        <v>14</v>
      </c>
      <c r="E20" s="33">
        <f t="shared" si="0"/>
        <v>20</v>
      </c>
      <c r="F20" s="33">
        <f t="shared" si="0"/>
        <v>13</v>
      </c>
      <c r="G20" s="33">
        <f t="shared" si="0"/>
        <v>7</v>
      </c>
      <c r="H20" s="33"/>
      <c r="I20" s="33"/>
      <c r="J20" s="13">
        <v>5</v>
      </c>
      <c r="K20" s="13">
        <v>14</v>
      </c>
      <c r="L20" s="13">
        <v>19</v>
      </c>
      <c r="M20" s="13">
        <v>12</v>
      </c>
      <c r="N20" s="13">
        <v>7</v>
      </c>
      <c r="O20" s="13"/>
      <c r="P20" s="13">
        <v>1</v>
      </c>
      <c r="Q20" s="13">
        <v>0</v>
      </c>
      <c r="R20" s="13">
        <v>1</v>
      </c>
      <c r="S20" s="13">
        <v>1</v>
      </c>
      <c r="T20" s="13">
        <v>0</v>
      </c>
      <c r="U20" s="13"/>
      <c r="V20" s="13"/>
      <c r="W20" s="13"/>
      <c r="X20" s="13">
        <v>50</v>
      </c>
      <c r="Y20" s="13">
        <v>83</v>
      </c>
      <c r="Z20" s="13">
        <v>133</v>
      </c>
      <c r="AA20" s="13">
        <v>84</v>
      </c>
      <c r="AB20" s="13">
        <v>49</v>
      </c>
      <c r="AC20" s="13"/>
      <c r="AD20" s="13"/>
      <c r="AE20" s="13">
        <v>14</v>
      </c>
      <c r="AF20" s="13">
        <v>70</v>
      </c>
      <c r="AG20" s="13">
        <v>84</v>
      </c>
      <c r="AH20" s="13">
        <v>70</v>
      </c>
      <c r="AI20" s="13">
        <v>14</v>
      </c>
    </row>
    <row r="21" spans="1:35" s="22" customFormat="1">
      <c r="A21" s="24" t="s">
        <v>30</v>
      </c>
      <c r="B21" s="8" t="s">
        <v>0</v>
      </c>
      <c r="C21" s="33">
        <f t="shared" si="0"/>
        <v>5</v>
      </c>
      <c r="D21" s="33">
        <f t="shared" si="0"/>
        <v>4</v>
      </c>
      <c r="E21" s="33">
        <f t="shared" si="0"/>
        <v>9</v>
      </c>
      <c r="F21" s="33">
        <f t="shared" si="0"/>
        <v>6</v>
      </c>
      <c r="G21" s="33">
        <f t="shared" si="0"/>
        <v>3</v>
      </c>
      <c r="H21" s="33"/>
      <c r="I21" s="33"/>
      <c r="J21" s="13">
        <v>3</v>
      </c>
      <c r="K21" s="13">
        <v>4</v>
      </c>
      <c r="L21" s="13">
        <v>7</v>
      </c>
      <c r="M21" s="13">
        <v>6</v>
      </c>
      <c r="N21" s="13">
        <v>1</v>
      </c>
      <c r="O21" s="13"/>
      <c r="P21" s="13">
        <v>2</v>
      </c>
      <c r="Q21" s="13">
        <v>0</v>
      </c>
      <c r="R21" s="13">
        <v>2</v>
      </c>
      <c r="S21" s="13">
        <v>0</v>
      </c>
      <c r="T21" s="13">
        <v>2</v>
      </c>
      <c r="U21" s="13"/>
      <c r="V21" s="13"/>
      <c r="W21" s="13"/>
      <c r="X21" s="13">
        <v>57</v>
      </c>
      <c r="Y21" s="13">
        <v>89</v>
      </c>
      <c r="Z21" s="13">
        <v>146</v>
      </c>
      <c r="AA21" s="13">
        <v>111</v>
      </c>
      <c r="AB21" s="13">
        <v>35</v>
      </c>
      <c r="AC21" s="13"/>
      <c r="AD21" s="13"/>
      <c r="AE21" s="13">
        <v>14</v>
      </c>
      <c r="AF21" s="13">
        <v>85</v>
      </c>
      <c r="AG21" s="13">
        <v>99</v>
      </c>
      <c r="AH21" s="13">
        <v>87</v>
      </c>
      <c r="AI21" s="13">
        <v>12</v>
      </c>
    </row>
    <row r="22" spans="1:35" s="22" customFormat="1">
      <c r="A22" s="24" t="s">
        <v>31</v>
      </c>
      <c r="B22" s="8" t="s">
        <v>0</v>
      </c>
      <c r="C22" s="33">
        <f t="shared" si="0"/>
        <v>46</v>
      </c>
      <c r="D22" s="33">
        <f t="shared" si="0"/>
        <v>76</v>
      </c>
      <c r="E22" s="33">
        <f t="shared" si="0"/>
        <v>122</v>
      </c>
      <c r="F22" s="33">
        <f t="shared" si="0"/>
        <v>34</v>
      </c>
      <c r="G22" s="33">
        <f t="shared" si="0"/>
        <v>88</v>
      </c>
      <c r="H22" s="33"/>
      <c r="I22" s="33"/>
      <c r="J22" s="13">
        <v>42</v>
      </c>
      <c r="K22" s="13">
        <v>67</v>
      </c>
      <c r="L22" s="13">
        <v>109</v>
      </c>
      <c r="M22" s="13">
        <v>27</v>
      </c>
      <c r="N22" s="13">
        <v>82</v>
      </c>
      <c r="O22" s="13"/>
      <c r="P22" s="13">
        <v>4</v>
      </c>
      <c r="Q22" s="13">
        <v>9</v>
      </c>
      <c r="R22" s="13">
        <v>13</v>
      </c>
      <c r="S22" s="13">
        <v>7</v>
      </c>
      <c r="T22" s="13">
        <v>6</v>
      </c>
      <c r="U22" s="13"/>
      <c r="V22" s="13"/>
      <c r="W22" s="13"/>
      <c r="X22" s="13">
        <v>103</v>
      </c>
      <c r="Y22" s="13">
        <v>177</v>
      </c>
      <c r="Z22" s="13">
        <v>280</v>
      </c>
      <c r="AA22" s="13">
        <v>172</v>
      </c>
      <c r="AB22" s="13">
        <v>108</v>
      </c>
      <c r="AC22" s="13"/>
      <c r="AD22" s="13"/>
      <c r="AE22" s="13">
        <v>22</v>
      </c>
      <c r="AF22" s="13">
        <v>171</v>
      </c>
      <c r="AG22" s="13">
        <v>193</v>
      </c>
      <c r="AH22" s="13">
        <v>168</v>
      </c>
      <c r="AI22" s="13">
        <v>25</v>
      </c>
    </row>
    <row r="23" spans="1:35" s="22" customFormat="1">
      <c r="A23" s="24" t="s">
        <v>32</v>
      </c>
      <c r="B23" s="8" t="s">
        <v>0</v>
      </c>
      <c r="C23" s="33">
        <f t="shared" si="0"/>
        <v>89</v>
      </c>
      <c r="D23" s="33">
        <f t="shared" si="0"/>
        <v>108</v>
      </c>
      <c r="E23" s="33">
        <f t="shared" si="0"/>
        <v>197</v>
      </c>
      <c r="F23" s="33">
        <f t="shared" si="0"/>
        <v>33</v>
      </c>
      <c r="G23" s="33">
        <f t="shared" si="0"/>
        <v>164</v>
      </c>
      <c r="H23" s="33"/>
      <c r="I23" s="33"/>
      <c r="J23" s="13">
        <v>82</v>
      </c>
      <c r="K23" s="13">
        <v>104</v>
      </c>
      <c r="L23" s="13">
        <v>186</v>
      </c>
      <c r="M23" s="13">
        <v>31</v>
      </c>
      <c r="N23" s="13">
        <v>155</v>
      </c>
      <c r="O23" s="13"/>
      <c r="P23" s="13">
        <v>7</v>
      </c>
      <c r="Q23" s="13">
        <v>4</v>
      </c>
      <c r="R23" s="13">
        <v>11</v>
      </c>
      <c r="S23" s="13">
        <v>2</v>
      </c>
      <c r="T23" s="13">
        <v>9</v>
      </c>
      <c r="U23" s="13"/>
      <c r="V23" s="13"/>
      <c r="W23" s="13"/>
      <c r="X23" s="13">
        <v>292</v>
      </c>
      <c r="Y23" s="13">
        <v>374</v>
      </c>
      <c r="Z23" s="13">
        <v>666</v>
      </c>
      <c r="AA23" s="13">
        <v>422</v>
      </c>
      <c r="AB23" s="13">
        <v>244</v>
      </c>
      <c r="AC23" s="13"/>
      <c r="AD23" s="13"/>
      <c r="AE23" s="13">
        <v>55</v>
      </c>
      <c r="AF23" s="13">
        <v>291</v>
      </c>
      <c r="AG23" s="13">
        <v>346</v>
      </c>
      <c r="AH23" s="13">
        <v>281</v>
      </c>
      <c r="AI23" s="13">
        <v>65</v>
      </c>
    </row>
    <row r="24" spans="1:35" s="22" customFormat="1">
      <c r="A24" s="24" t="s">
        <v>33</v>
      </c>
      <c r="B24" s="8" t="s">
        <v>0</v>
      </c>
      <c r="C24" s="33">
        <f t="shared" si="0"/>
        <v>34</v>
      </c>
      <c r="D24" s="33">
        <f t="shared" si="0"/>
        <v>48</v>
      </c>
      <c r="E24" s="33">
        <f t="shared" si="0"/>
        <v>82</v>
      </c>
      <c r="F24" s="33">
        <f t="shared" si="0"/>
        <v>48</v>
      </c>
      <c r="G24" s="33">
        <f t="shared" si="0"/>
        <v>34</v>
      </c>
      <c r="H24" s="33"/>
      <c r="I24" s="33"/>
      <c r="J24" s="13">
        <v>29</v>
      </c>
      <c r="K24" s="13">
        <v>47</v>
      </c>
      <c r="L24" s="13">
        <v>76</v>
      </c>
      <c r="M24" s="13">
        <v>45</v>
      </c>
      <c r="N24" s="13">
        <v>31</v>
      </c>
      <c r="O24" s="13"/>
      <c r="P24" s="13">
        <v>5</v>
      </c>
      <c r="Q24" s="13">
        <v>1</v>
      </c>
      <c r="R24" s="13">
        <v>6</v>
      </c>
      <c r="S24" s="13">
        <v>3</v>
      </c>
      <c r="T24" s="13">
        <v>3</v>
      </c>
      <c r="U24" s="13"/>
      <c r="V24" s="13"/>
      <c r="W24" s="13"/>
      <c r="X24" s="13">
        <v>185</v>
      </c>
      <c r="Y24" s="13">
        <v>652</v>
      </c>
      <c r="Z24" s="13">
        <v>837</v>
      </c>
      <c r="AA24" s="13">
        <v>625</v>
      </c>
      <c r="AB24" s="13">
        <v>212</v>
      </c>
      <c r="AC24" s="13"/>
      <c r="AD24" s="13"/>
      <c r="AE24" s="13">
        <v>31</v>
      </c>
      <c r="AF24" s="13">
        <v>238</v>
      </c>
      <c r="AG24" s="13">
        <v>269</v>
      </c>
      <c r="AH24" s="13">
        <v>245</v>
      </c>
      <c r="AI24" s="13">
        <v>24</v>
      </c>
    </row>
    <row r="25" spans="1:35" s="22" customFormat="1">
      <c r="A25" s="24" t="s">
        <v>34</v>
      </c>
      <c r="B25" s="8" t="s">
        <v>0</v>
      </c>
      <c r="C25" s="33">
        <f t="shared" si="0"/>
        <v>28</v>
      </c>
      <c r="D25" s="33">
        <f t="shared" si="0"/>
        <v>57</v>
      </c>
      <c r="E25" s="33">
        <f t="shared" si="0"/>
        <v>85</v>
      </c>
      <c r="F25" s="33">
        <f t="shared" si="0"/>
        <v>33</v>
      </c>
      <c r="G25" s="33">
        <f t="shared" si="0"/>
        <v>52</v>
      </c>
      <c r="H25" s="33"/>
      <c r="I25" s="33"/>
      <c r="J25" s="13">
        <v>27</v>
      </c>
      <c r="K25" s="13">
        <v>50</v>
      </c>
      <c r="L25" s="13">
        <v>77</v>
      </c>
      <c r="M25" s="13">
        <v>29</v>
      </c>
      <c r="N25" s="13">
        <v>48</v>
      </c>
      <c r="O25" s="13"/>
      <c r="P25" s="13">
        <v>1</v>
      </c>
      <c r="Q25" s="13">
        <v>7</v>
      </c>
      <c r="R25" s="13">
        <v>8</v>
      </c>
      <c r="S25" s="13">
        <v>4</v>
      </c>
      <c r="T25" s="13">
        <v>4</v>
      </c>
      <c r="U25" s="13"/>
      <c r="V25" s="13"/>
      <c r="W25" s="13"/>
      <c r="X25" s="13">
        <v>97</v>
      </c>
      <c r="Y25" s="13">
        <v>381</v>
      </c>
      <c r="Z25" s="13">
        <v>478</v>
      </c>
      <c r="AA25" s="13">
        <v>354</v>
      </c>
      <c r="AB25" s="13">
        <v>124</v>
      </c>
      <c r="AC25" s="13"/>
      <c r="AD25" s="13"/>
      <c r="AE25" s="13">
        <v>25</v>
      </c>
      <c r="AF25" s="13">
        <v>309</v>
      </c>
      <c r="AG25" s="13">
        <v>334</v>
      </c>
      <c r="AH25" s="13">
        <v>314</v>
      </c>
      <c r="AI25" s="13">
        <v>20</v>
      </c>
    </row>
    <row r="26" spans="1:35" s="22" customFormat="1">
      <c r="A26" s="24" t="s">
        <v>35</v>
      </c>
      <c r="B26" s="8" t="s">
        <v>0</v>
      </c>
      <c r="C26" s="33">
        <f t="shared" si="0"/>
        <v>106</v>
      </c>
      <c r="D26" s="33">
        <f t="shared" si="0"/>
        <v>149</v>
      </c>
      <c r="E26" s="33">
        <f t="shared" si="0"/>
        <v>255</v>
      </c>
      <c r="F26" s="33">
        <f t="shared" si="0"/>
        <v>110</v>
      </c>
      <c r="G26" s="33">
        <f t="shared" si="0"/>
        <v>145</v>
      </c>
      <c r="H26" s="33"/>
      <c r="I26" s="33"/>
      <c r="J26" s="13">
        <v>94</v>
      </c>
      <c r="K26" s="13">
        <v>128</v>
      </c>
      <c r="L26" s="13">
        <v>222</v>
      </c>
      <c r="M26" s="13">
        <v>95</v>
      </c>
      <c r="N26" s="13">
        <v>127</v>
      </c>
      <c r="O26" s="13"/>
      <c r="P26" s="13">
        <v>12</v>
      </c>
      <c r="Q26" s="13">
        <v>21</v>
      </c>
      <c r="R26" s="13">
        <v>33</v>
      </c>
      <c r="S26" s="13">
        <v>15</v>
      </c>
      <c r="T26" s="13">
        <v>18</v>
      </c>
      <c r="U26" s="13"/>
      <c r="V26" s="13"/>
      <c r="W26" s="13"/>
      <c r="X26" s="13">
        <v>49</v>
      </c>
      <c r="Y26" s="13">
        <v>295</v>
      </c>
      <c r="Z26" s="13">
        <v>344</v>
      </c>
      <c r="AA26" s="13">
        <v>257</v>
      </c>
      <c r="AB26" s="13">
        <v>87</v>
      </c>
      <c r="AC26" s="13"/>
      <c r="AD26" s="13"/>
      <c r="AE26" s="13">
        <v>18</v>
      </c>
      <c r="AF26" s="13">
        <v>242</v>
      </c>
      <c r="AG26" s="13">
        <v>260</v>
      </c>
      <c r="AH26" s="13">
        <v>228</v>
      </c>
      <c r="AI26" s="13">
        <v>32</v>
      </c>
    </row>
    <row r="27" spans="1:35" s="23" customFormat="1">
      <c r="A27" s="24" t="s">
        <v>36</v>
      </c>
      <c r="B27" s="8" t="s">
        <v>0</v>
      </c>
      <c r="C27" s="33">
        <f t="shared" si="0"/>
        <v>7</v>
      </c>
      <c r="D27" s="33">
        <f t="shared" si="0"/>
        <v>244</v>
      </c>
      <c r="E27" s="33">
        <f t="shared" si="0"/>
        <v>251</v>
      </c>
      <c r="F27" s="33">
        <f t="shared" si="0"/>
        <v>61</v>
      </c>
      <c r="G27" s="33">
        <f t="shared" si="0"/>
        <v>190</v>
      </c>
      <c r="H27" s="33"/>
      <c r="I27" s="33"/>
      <c r="J27" s="13">
        <v>6</v>
      </c>
      <c r="K27" s="13">
        <v>221</v>
      </c>
      <c r="L27" s="13">
        <v>227</v>
      </c>
      <c r="M27" s="13">
        <v>55</v>
      </c>
      <c r="N27" s="13">
        <v>172</v>
      </c>
      <c r="O27" s="13"/>
      <c r="P27" s="13">
        <v>1</v>
      </c>
      <c r="Q27" s="13">
        <v>23</v>
      </c>
      <c r="R27" s="13">
        <v>24</v>
      </c>
      <c r="S27" s="13">
        <v>6</v>
      </c>
      <c r="T27" s="13">
        <v>18</v>
      </c>
      <c r="U27" s="13"/>
      <c r="V27" s="13"/>
      <c r="W27" s="13"/>
      <c r="X27" s="13">
        <v>41</v>
      </c>
      <c r="Y27" s="13">
        <v>390</v>
      </c>
      <c r="Z27" s="13">
        <v>431</v>
      </c>
      <c r="AA27" s="13">
        <v>223</v>
      </c>
      <c r="AB27" s="13">
        <v>208</v>
      </c>
      <c r="AC27" s="13"/>
      <c r="AD27" s="13"/>
      <c r="AE27" s="13">
        <v>13</v>
      </c>
      <c r="AF27" s="13">
        <v>428</v>
      </c>
      <c r="AG27" s="13">
        <v>441</v>
      </c>
      <c r="AH27" s="13">
        <v>375</v>
      </c>
      <c r="AI27" s="13">
        <v>66</v>
      </c>
    </row>
    <row r="28" spans="1:35">
      <c r="A28" s="9" t="s">
        <v>11</v>
      </c>
      <c r="B28" s="10" t="s">
        <v>12</v>
      </c>
      <c r="C28" s="33">
        <f t="shared" si="0"/>
        <v>0</v>
      </c>
      <c r="D28" s="33">
        <f t="shared" si="0"/>
        <v>0</v>
      </c>
      <c r="E28" s="33">
        <f t="shared" si="0"/>
        <v>0</v>
      </c>
      <c r="F28" s="33">
        <f t="shared" si="0"/>
        <v>0</v>
      </c>
      <c r="G28" s="33">
        <f t="shared" si="0"/>
        <v>0</v>
      </c>
      <c r="H28" s="33"/>
      <c r="I28" s="33"/>
      <c r="J28" s="11">
        <v>0</v>
      </c>
      <c r="K28" s="12">
        <v>0</v>
      </c>
      <c r="L28" s="12">
        <v>0</v>
      </c>
      <c r="M28" s="12">
        <v>0</v>
      </c>
      <c r="N28" s="13">
        <v>0</v>
      </c>
      <c r="O28" s="13"/>
      <c r="P28" s="12">
        <v>0</v>
      </c>
      <c r="Q28" s="12">
        <v>0</v>
      </c>
      <c r="R28" s="12">
        <v>0</v>
      </c>
      <c r="S28" s="12">
        <v>0</v>
      </c>
      <c r="T28" s="13">
        <v>0</v>
      </c>
      <c r="U28" s="13"/>
      <c r="V28" s="13"/>
      <c r="W28" s="13"/>
      <c r="X28" s="12">
        <v>1736</v>
      </c>
      <c r="Y28" s="12">
        <v>2277</v>
      </c>
      <c r="Z28" s="12">
        <v>4013</v>
      </c>
      <c r="AA28" s="12">
        <v>2412</v>
      </c>
      <c r="AB28" s="13">
        <v>1601</v>
      </c>
      <c r="AC28" s="13"/>
      <c r="AD28" s="13"/>
      <c r="AE28" s="12">
        <v>0</v>
      </c>
      <c r="AF28" s="12">
        <v>0</v>
      </c>
      <c r="AG28" s="12">
        <v>0</v>
      </c>
      <c r="AH28" s="12">
        <v>0</v>
      </c>
      <c r="AI28" s="12">
        <v>0</v>
      </c>
    </row>
    <row r="29" spans="1:35">
      <c r="A29" s="9" t="s">
        <v>11</v>
      </c>
      <c r="B29" s="10" t="s">
        <v>13</v>
      </c>
      <c r="C29" s="33">
        <f t="shared" si="0"/>
        <v>2191</v>
      </c>
      <c r="D29" s="33">
        <f t="shared" si="0"/>
        <v>1158</v>
      </c>
      <c r="E29" s="33">
        <f t="shared" si="0"/>
        <v>3349</v>
      </c>
      <c r="F29" s="33">
        <f t="shared" si="0"/>
        <v>990</v>
      </c>
      <c r="G29" s="33">
        <f t="shared" si="0"/>
        <v>2359</v>
      </c>
      <c r="H29" s="33"/>
      <c r="I29" s="33"/>
      <c r="J29" s="12">
        <v>2191</v>
      </c>
      <c r="K29" s="12">
        <v>1158</v>
      </c>
      <c r="L29" s="12">
        <v>3349</v>
      </c>
      <c r="M29" s="12">
        <v>990</v>
      </c>
      <c r="N29" s="13">
        <v>2359</v>
      </c>
      <c r="O29" s="13"/>
      <c r="P29" s="12">
        <v>0</v>
      </c>
      <c r="Q29" s="12">
        <v>0</v>
      </c>
      <c r="R29" s="12">
        <v>0</v>
      </c>
      <c r="S29" s="12">
        <v>0</v>
      </c>
      <c r="T29" s="13">
        <v>0</v>
      </c>
      <c r="U29" s="13"/>
      <c r="V29" s="13"/>
      <c r="W29" s="13"/>
      <c r="X29" s="12">
        <v>0</v>
      </c>
      <c r="Y29" s="12">
        <v>0</v>
      </c>
      <c r="Z29" s="12">
        <v>0</v>
      </c>
      <c r="AA29" s="12">
        <v>0</v>
      </c>
      <c r="AB29" s="13">
        <v>0</v>
      </c>
      <c r="AC29" s="13"/>
      <c r="AD29" s="13"/>
      <c r="AE29" s="12">
        <v>0</v>
      </c>
      <c r="AF29" s="12">
        <v>0</v>
      </c>
      <c r="AG29" s="12">
        <v>0</v>
      </c>
      <c r="AH29" s="12">
        <v>0</v>
      </c>
      <c r="AI29" s="12">
        <v>0</v>
      </c>
    </row>
    <row r="30" spans="1:35">
      <c r="A30" s="9" t="s">
        <v>11</v>
      </c>
      <c r="B30" s="10" t="s">
        <v>14</v>
      </c>
      <c r="C30" s="33">
        <f t="shared" si="0"/>
        <v>0</v>
      </c>
      <c r="D30" s="33">
        <f t="shared" si="0"/>
        <v>0</v>
      </c>
      <c r="E30" s="33">
        <f t="shared" si="0"/>
        <v>0</v>
      </c>
      <c r="F30" s="33">
        <f t="shared" si="0"/>
        <v>0</v>
      </c>
      <c r="G30" s="33">
        <f t="shared" si="0"/>
        <v>0</v>
      </c>
      <c r="H30" s="33"/>
      <c r="I30" s="33"/>
      <c r="J30" s="12">
        <v>0</v>
      </c>
      <c r="K30" s="12">
        <v>0</v>
      </c>
      <c r="L30" s="12">
        <v>0</v>
      </c>
      <c r="M30" s="12">
        <v>0</v>
      </c>
      <c r="N30" s="13">
        <v>0</v>
      </c>
      <c r="O30" s="13"/>
      <c r="P30" s="12">
        <v>0</v>
      </c>
      <c r="Q30" s="12">
        <v>0</v>
      </c>
      <c r="R30" s="12">
        <v>0</v>
      </c>
      <c r="S30" s="12">
        <v>0</v>
      </c>
      <c r="T30" s="13">
        <v>0</v>
      </c>
      <c r="U30" s="13"/>
      <c r="V30" s="13"/>
      <c r="W30" s="13"/>
      <c r="X30" s="12">
        <v>0</v>
      </c>
      <c r="Y30" s="12">
        <v>0</v>
      </c>
      <c r="Z30" s="12">
        <v>0</v>
      </c>
      <c r="AA30" s="12">
        <v>0</v>
      </c>
      <c r="AB30" s="13">
        <v>0</v>
      </c>
      <c r="AC30" s="13"/>
      <c r="AD30" s="13"/>
      <c r="AE30" s="12">
        <v>451</v>
      </c>
      <c r="AF30" s="12">
        <v>2251</v>
      </c>
      <c r="AG30" s="12">
        <v>2702</v>
      </c>
      <c r="AH30" s="12">
        <v>2194</v>
      </c>
      <c r="AI30" s="12">
        <v>508</v>
      </c>
    </row>
    <row r="31" spans="1:35">
      <c r="A31" s="9" t="s">
        <v>11</v>
      </c>
      <c r="B31" s="10" t="s">
        <v>15</v>
      </c>
      <c r="C31" s="33">
        <f t="shared" si="0"/>
        <v>54</v>
      </c>
      <c r="D31" s="33">
        <f t="shared" si="0"/>
        <v>83</v>
      </c>
      <c r="E31" s="33">
        <f t="shared" si="0"/>
        <v>137</v>
      </c>
      <c r="F31" s="33">
        <f t="shared" si="0"/>
        <v>94</v>
      </c>
      <c r="G31" s="33">
        <f t="shared" si="0"/>
        <v>43</v>
      </c>
      <c r="H31" s="33"/>
      <c r="I31" s="33"/>
      <c r="J31" s="12">
        <v>0</v>
      </c>
      <c r="K31" s="12">
        <v>0</v>
      </c>
      <c r="L31" s="12">
        <v>0</v>
      </c>
      <c r="M31" s="12">
        <v>0</v>
      </c>
      <c r="N31" s="13">
        <v>0</v>
      </c>
      <c r="O31" s="13"/>
      <c r="P31" s="12">
        <v>54</v>
      </c>
      <c r="Q31" s="12">
        <v>83</v>
      </c>
      <c r="R31" s="12">
        <v>137</v>
      </c>
      <c r="S31" s="12">
        <v>94</v>
      </c>
      <c r="T31" s="13">
        <v>43</v>
      </c>
      <c r="U31" s="13"/>
      <c r="V31" s="13"/>
      <c r="W31" s="13"/>
      <c r="X31" s="12">
        <v>0</v>
      </c>
      <c r="Y31" s="12">
        <v>0</v>
      </c>
      <c r="Z31" s="12">
        <v>0</v>
      </c>
      <c r="AA31" s="12">
        <v>0</v>
      </c>
      <c r="AB31" s="13">
        <v>0</v>
      </c>
      <c r="AC31" s="13"/>
      <c r="AD31" s="13"/>
      <c r="AE31" s="12">
        <v>0</v>
      </c>
      <c r="AF31" s="12">
        <v>0</v>
      </c>
      <c r="AG31" s="12">
        <v>0</v>
      </c>
      <c r="AH31" s="12">
        <v>0</v>
      </c>
      <c r="AI31" s="12">
        <v>0</v>
      </c>
    </row>
    <row r="32" spans="1:35">
      <c r="A32" s="16" t="s">
        <v>11</v>
      </c>
      <c r="B32" s="17" t="s">
        <v>16</v>
      </c>
      <c r="C32" s="33">
        <f t="shared" si="0"/>
        <v>2</v>
      </c>
      <c r="D32" s="33">
        <f t="shared" si="0"/>
        <v>5</v>
      </c>
      <c r="E32" s="33">
        <f t="shared" si="0"/>
        <v>7</v>
      </c>
      <c r="F32" s="33">
        <f t="shared" si="0"/>
        <v>0</v>
      </c>
      <c r="G32" s="33">
        <f t="shared" si="0"/>
        <v>7</v>
      </c>
      <c r="H32" s="33"/>
      <c r="I32" s="33"/>
      <c r="J32" s="18">
        <v>2</v>
      </c>
      <c r="K32" s="18">
        <v>5</v>
      </c>
      <c r="L32" s="18">
        <v>7</v>
      </c>
      <c r="M32" s="18">
        <v>0</v>
      </c>
      <c r="N32" s="19">
        <v>7</v>
      </c>
      <c r="O32" s="19"/>
      <c r="P32" s="18">
        <v>0</v>
      </c>
      <c r="Q32" s="18">
        <v>0</v>
      </c>
      <c r="R32" s="18">
        <v>0</v>
      </c>
      <c r="S32" s="18">
        <v>0</v>
      </c>
      <c r="T32" s="19">
        <v>0</v>
      </c>
      <c r="U32" s="19"/>
      <c r="V32" s="19"/>
      <c r="W32" s="19"/>
      <c r="X32" s="18">
        <v>111</v>
      </c>
      <c r="Y32" s="18">
        <v>448</v>
      </c>
      <c r="Z32" s="18">
        <v>558</v>
      </c>
      <c r="AA32" s="18">
        <v>307</v>
      </c>
      <c r="AB32" s="19">
        <v>251</v>
      </c>
      <c r="AC32" s="19"/>
      <c r="AD32" s="19"/>
      <c r="AE32" s="18">
        <v>5</v>
      </c>
      <c r="AF32" s="18">
        <v>116</v>
      </c>
      <c r="AG32" s="18">
        <v>121</v>
      </c>
      <c r="AH32" s="18">
        <v>102</v>
      </c>
      <c r="AI32" s="18">
        <v>19</v>
      </c>
    </row>
    <row r="33" spans="1:35">
      <c r="A33" s="21" t="s">
        <v>1</v>
      </c>
      <c r="AI33" s="6" t="s">
        <v>42</v>
      </c>
    </row>
    <row r="36" spans="1:35">
      <c r="A36" s="1"/>
      <c r="B36" s="27" t="s">
        <v>43</v>
      </c>
    </row>
    <row r="37" spans="1:35">
      <c r="B37" s="28" t="s">
        <v>37</v>
      </c>
      <c r="C37" s="28" t="s">
        <v>44</v>
      </c>
      <c r="D37" s="28" t="s">
        <v>38</v>
      </c>
      <c r="E37" s="28"/>
      <c r="F37" s="28"/>
    </row>
    <row r="38" spans="1:35">
      <c r="A38" s="28" t="s">
        <v>45</v>
      </c>
      <c r="B38" s="29">
        <f>H5</f>
        <v>32.906696345761453</v>
      </c>
      <c r="C38" s="29">
        <f>AC5</f>
        <v>62.419047619047618</v>
      </c>
      <c r="D38" s="29">
        <f>AJ5</f>
        <v>84.499785315586081</v>
      </c>
    </row>
    <row r="39" spans="1:35">
      <c r="A39" s="28" t="s">
        <v>46</v>
      </c>
      <c r="B39" s="29">
        <f>H6</f>
        <v>31.033495562553682</v>
      </c>
      <c r="C39" s="29">
        <f>AC6</f>
        <v>59.483701597024719</v>
      </c>
      <c r="D39" s="29">
        <f>AJ6</f>
        <v>81.331916400991858</v>
      </c>
    </row>
    <row r="40" spans="1:35">
      <c r="A40" s="28" t="s">
        <v>47</v>
      </c>
      <c r="B40" s="29">
        <f>H7</f>
        <v>36.354056902002107</v>
      </c>
      <c r="C40" s="29">
        <f>AC7</f>
        <v>64.682071175577676</v>
      </c>
      <c r="D40" s="29">
        <f>AJ7</f>
        <v>86.647454370797306</v>
      </c>
    </row>
    <row r="42" spans="1:35">
      <c r="B42" s="35" t="s">
        <v>50</v>
      </c>
      <c r="C42" s="35"/>
      <c r="D42" s="35"/>
    </row>
    <row r="43" spans="1:35">
      <c r="B43" s="28" t="s">
        <v>37</v>
      </c>
      <c r="C43" s="28" t="s">
        <v>44</v>
      </c>
      <c r="D43" s="28" t="s">
        <v>38</v>
      </c>
    </row>
    <row r="44" spans="1:35">
      <c r="A44" s="28" t="s">
        <v>45</v>
      </c>
      <c r="B44" s="36">
        <f>G5</f>
        <v>3617</v>
      </c>
      <c r="C44" s="36">
        <f>AB5</f>
        <v>3946</v>
      </c>
      <c r="D44" s="36">
        <f>AI5</f>
        <v>1083</v>
      </c>
    </row>
    <row r="45" spans="1:35">
      <c r="A45" s="28" t="s">
        <v>46</v>
      </c>
      <c r="B45" s="36">
        <f>G6</f>
        <v>2409</v>
      </c>
      <c r="C45" s="36">
        <f>AB6</f>
        <v>1852</v>
      </c>
      <c r="D45" s="36">
        <f>AI6</f>
        <v>527</v>
      </c>
    </row>
    <row r="46" spans="1:35">
      <c r="A46" s="28" t="s">
        <v>47</v>
      </c>
      <c r="B46" s="36">
        <f>G7</f>
        <v>1208</v>
      </c>
      <c r="C46" s="36">
        <f>AB7</f>
        <v>2094</v>
      </c>
      <c r="D46" s="36">
        <f>AI7</f>
        <v>556</v>
      </c>
    </row>
    <row r="49" spans="1:5">
      <c r="B49" s="35" t="s">
        <v>51</v>
      </c>
      <c r="C49" s="35"/>
      <c r="D49" s="35"/>
    </row>
    <row r="50" spans="1:5">
      <c r="B50" s="28" t="s">
        <v>37</v>
      </c>
      <c r="C50" s="28" t="s">
        <v>44</v>
      </c>
      <c r="D50" s="28" t="s">
        <v>38</v>
      </c>
    </row>
    <row r="51" spans="1:5">
      <c r="A51" s="28" t="s">
        <v>45</v>
      </c>
      <c r="B51" s="36">
        <f>F5</f>
        <v>1774</v>
      </c>
      <c r="C51" s="36">
        <f>AA5</f>
        <v>6554</v>
      </c>
      <c r="D51" s="36">
        <f>AH5</f>
        <v>5904</v>
      </c>
    </row>
    <row r="52" spans="1:5">
      <c r="A52" s="28" t="s">
        <v>46</v>
      </c>
      <c r="B52" s="36">
        <f>F6</f>
        <v>1084</v>
      </c>
      <c r="C52" s="36">
        <f>AA6</f>
        <v>2719</v>
      </c>
      <c r="D52" s="36">
        <f>AH6</f>
        <v>2296</v>
      </c>
    </row>
    <row r="53" spans="1:5">
      <c r="A53" s="28" t="s">
        <v>47</v>
      </c>
      <c r="B53" s="36">
        <f>F7</f>
        <v>690</v>
      </c>
      <c r="C53" s="36">
        <f>AA7</f>
        <v>3835</v>
      </c>
      <c r="D53" s="36">
        <f>AH7</f>
        <v>3608</v>
      </c>
    </row>
    <row r="55" spans="1:5">
      <c r="A55" s="27" t="s">
        <v>0</v>
      </c>
      <c r="B55" s="35"/>
      <c r="C55" s="35"/>
      <c r="D55" s="35"/>
    </row>
    <row r="56" spans="1:5">
      <c r="A56" s="27"/>
      <c r="B56" s="35" t="s">
        <v>40</v>
      </c>
      <c r="C56" s="35" t="s">
        <v>11</v>
      </c>
      <c r="D56" s="35" t="s">
        <v>39</v>
      </c>
    </row>
    <row r="57" spans="1:5">
      <c r="A57" s="35" t="s">
        <v>52</v>
      </c>
      <c r="B57" s="36">
        <v>7528</v>
      </c>
      <c r="C57" s="36">
        <v>4550</v>
      </c>
      <c r="D57" s="36">
        <v>2978</v>
      </c>
      <c r="E57" s="5"/>
    </row>
    <row r="58" spans="1:5">
      <c r="A58" s="35" t="s">
        <v>53</v>
      </c>
      <c r="B58" s="36">
        <v>15351</v>
      </c>
      <c r="C58" s="36">
        <v>6338</v>
      </c>
      <c r="D58" s="36">
        <v>9013</v>
      </c>
      <c r="E58" s="5"/>
    </row>
    <row r="59" spans="1:5">
      <c r="A59" s="35" t="s">
        <v>51</v>
      </c>
      <c r="B59" s="36">
        <v>14232</v>
      </c>
      <c r="C59" s="36">
        <v>6099</v>
      </c>
      <c r="D59" s="36">
        <v>8133</v>
      </c>
    </row>
    <row r="60" spans="1:5">
      <c r="A60" s="35" t="s">
        <v>50</v>
      </c>
      <c r="B60" s="36">
        <v>8646</v>
      </c>
      <c r="C60" s="36">
        <v>4788</v>
      </c>
      <c r="D60" s="36">
        <v>3858</v>
      </c>
    </row>
    <row r="61" spans="1:5">
      <c r="B61" s="8"/>
      <c r="C61" s="8"/>
      <c r="D61" s="8"/>
    </row>
    <row r="62" spans="1:5">
      <c r="A62" s="1"/>
      <c r="B62" s="5"/>
      <c r="C62" s="5"/>
      <c r="D62" s="5"/>
      <c r="E62" s="5"/>
    </row>
    <row r="63" spans="1:5">
      <c r="A63" s="1"/>
      <c r="B63" s="5"/>
      <c r="C63" s="5"/>
      <c r="D63" s="5"/>
      <c r="E63" s="5"/>
    </row>
    <row r="64" spans="1:5">
      <c r="A64" s="1"/>
      <c r="B64" s="5"/>
      <c r="C64" s="5"/>
      <c r="D64" s="5"/>
      <c r="E64" s="5"/>
    </row>
    <row r="65" spans="1:11">
      <c r="A65" s="1"/>
      <c r="B65" s="5"/>
      <c r="C65" s="5"/>
      <c r="D65" s="5"/>
      <c r="E65" s="5"/>
    </row>
    <row r="66" spans="1:11">
      <c r="B66" s="27" t="s">
        <v>54</v>
      </c>
    </row>
    <row r="67" spans="1:11">
      <c r="B67" s="35"/>
      <c r="H67" s="35" t="s">
        <v>55</v>
      </c>
    </row>
    <row r="68" spans="1:11">
      <c r="A68" s="1"/>
      <c r="B68" s="35"/>
      <c r="C68" s="35" t="s">
        <v>56</v>
      </c>
      <c r="D68" s="35" t="s">
        <v>57</v>
      </c>
      <c r="E68" s="35" t="s">
        <v>58</v>
      </c>
      <c r="F68" s="35" t="s">
        <v>59</v>
      </c>
      <c r="G68" s="35"/>
      <c r="H68" s="37" t="s">
        <v>60</v>
      </c>
      <c r="I68" s="35" t="s">
        <v>61</v>
      </c>
      <c r="J68" s="35" t="s">
        <v>62</v>
      </c>
      <c r="K68" s="35"/>
    </row>
    <row r="69" spans="1:11">
      <c r="A69" s="1"/>
      <c r="B69" s="35" t="s">
        <v>17</v>
      </c>
      <c r="C69" s="35">
        <v>590</v>
      </c>
      <c r="D69" s="35">
        <v>339</v>
      </c>
      <c r="E69" s="35">
        <v>251</v>
      </c>
      <c r="F69" s="29">
        <f>D69/C69*100</f>
        <v>57.457627118644069</v>
      </c>
      <c r="G69" s="35"/>
      <c r="H69" s="38">
        <v>10</v>
      </c>
      <c r="I69" s="29">
        <f t="shared" ref="I69:I88" si="1">C69/H69</f>
        <v>59</v>
      </c>
      <c r="J69" s="29">
        <f t="shared" ref="J69:J88" si="2">D69/H69</f>
        <v>33.9</v>
      </c>
      <c r="K69" s="35"/>
    </row>
    <row r="70" spans="1:11">
      <c r="A70" s="1"/>
      <c r="B70" s="35" t="s">
        <v>18</v>
      </c>
      <c r="C70" s="35">
        <v>692</v>
      </c>
      <c r="D70" s="35">
        <v>367</v>
      </c>
      <c r="E70" s="35">
        <v>325</v>
      </c>
      <c r="F70" s="29">
        <f t="shared" ref="F70:F88" si="3">D70/C70*100</f>
        <v>53.034682080924853</v>
      </c>
      <c r="G70" s="35"/>
      <c r="H70" s="38">
        <v>8</v>
      </c>
      <c r="I70" s="29">
        <f t="shared" si="1"/>
        <v>86.5</v>
      </c>
      <c r="J70" s="29">
        <f t="shared" si="2"/>
        <v>45.875</v>
      </c>
      <c r="K70" s="35"/>
    </row>
    <row r="71" spans="1:11">
      <c r="A71" s="1"/>
      <c r="B71" s="35" t="s">
        <v>19</v>
      </c>
      <c r="C71" s="35">
        <v>400</v>
      </c>
      <c r="D71" s="35">
        <v>332</v>
      </c>
      <c r="E71" s="35">
        <v>68</v>
      </c>
      <c r="F71" s="29">
        <f t="shared" si="3"/>
        <v>83</v>
      </c>
      <c r="G71" s="35"/>
      <c r="H71" s="38">
        <v>4</v>
      </c>
      <c r="I71" s="29">
        <f t="shared" si="1"/>
        <v>100</v>
      </c>
      <c r="J71" s="29">
        <f t="shared" si="2"/>
        <v>83</v>
      </c>
      <c r="K71" s="35"/>
    </row>
    <row r="72" spans="1:11">
      <c r="A72" s="1"/>
      <c r="B72" s="35" t="s">
        <v>20</v>
      </c>
      <c r="C72" s="35">
        <v>658</v>
      </c>
      <c r="D72" s="35">
        <v>407</v>
      </c>
      <c r="E72" s="35">
        <v>251</v>
      </c>
      <c r="F72" s="29">
        <f t="shared" si="3"/>
        <v>61.854103343465049</v>
      </c>
      <c r="G72" s="35"/>
      <c r="H72" s="38">
        <v>5</v>
      </c>
      <c r="I72" s="29">
        <f t="shared" si="1"/>
        <v>131.6</v>
      </c>
      <c r="J72" s="29">
        <f t="shared" si="2"/>
        <v>81.400000000000006</v>
      </c>
      <c r="K72" s="35"/>
    </row>
    <row r="73" spans="1:11">
      <c r="A73" s="1"/>
      <c r="B73" s="35" t="s">
        <v>21</v>
      </c>
      <c r="C73" s="35">
        <v>679</v>
      </c>
      <c r="D73" s="35">
        <v>485</v>
      </c>
      <c r="E73" s="35">
        <v>194</v>
      </c>
      <c r="F73" s="29">
        <f t="shared" si="3"/>
        <v>71.428571428571431</v>
      </c>
      <c r="G73" s="35"/>
      <c r="H73" s="38">
        <v>7</v>
      </c>
      <c r="I73" s="29">
        <f t="shared" si="1"/>
        <v>97</v>
      </c>
      <c r="J73" s="29">
        <f t="shared" si="2"/>
        <v>69.285714285714292</v>
      </c>
      <c r="K73" s="35"/>
    </row>
    <row r="74" spans="1:11">
      <c r="B74" s="35" t="s">
        <v>22</v>
      </c>
      <c r="C74" s="35">
        <v>423</v>
      </c>
      <c r="D74" s="35">
        <v>253</v>
      </c>
      <c r="E74" s="35">
        <v>170</v>
      </c>
      <c r="F74" s="29">
        <f t="shared" si="3"/>
        <v>59.810874704491724</v>
      </c>
      <c r="G74" s="35"/>
      <c r="H74" s="38">
        <v>5</v>
      </c>
      <c r="I74" s="29">
        <f t="shared" si="1"/>
        <v>84.6</v>
      </c>
      <c r="J74" s="29">
        <f t="shared" si="2"/>
        <v>50.6</v>
      </c>
      <c r="K74" s="35"/>
    </row>
    <row r="75" spans="1:11">
      <c r="B75" s="35" t="s">
        <v>23</v>
      </c>
      <c r="C75" s="35">
        <v>608</v>
      </c>
      <c r="D75" s="35">
        <v>366</v>
      </c>
      <c r="E75" s="35">
        <v>242</v>
      </c>
      <c r="F75" s="29">
        <f t="shared" si="3"/>
        <v>60.19736842105263</v>
      </c>
      <c r="G75" s="35"/>
      <c r="H75" s="38">
        <v>1</v>
      </c>
      <c r="I75" s="29">
        <f t="shared" si="1"/>
        <v>608</v>
      </c>
      <c r="J75" s="29">
        <f t="shared" si="2"/>
        <v>366</v>
      </c>
      <c r="K75" s="35"/>
    </row>
    <row r="76" spans="1:11">
      <c r="B76" s="35" t="s">
        <v>24</v>
      </c>
      <c r="C76" s="35">
        <v>519</v>
      </c>
      <c r="D76" s="35">
        <v>401</v>
      </c>
      <c r="E76" s="35">
        <v>118</v>
      </c>
      <c r="F76" s="29">
        <f t="shared" si="3"/>
        <v>77.263969171483623</v>
      </c>
      <c r="G76" s="35"/>
      <c r="H76" s="38">
        <v>8</v>
      </c>
      <c r="I76" s="29">
        <f t="shared" si="1"/>
        <v>64.875</v>
      </c>
      <c r="J76" s="29">
        <f t="shared" si="2"/>
        <v>50.125</v>
      </c>
      <c r="K76" s="35"/>
    </row>
    <row r="77" spans="1:11">
      <c r="B77" s="35" t="s">
        <v>25</v>
      </c>
      <c r="C77" s="35">
        <v>339</v>
      </c>
      <c r="D77" s="35">
        <v>279</v>
      </c>
      <c r="E77" s="35">
        <v>60</v>
      </c>
      <c r="F77" s="29">
        <f t="shared" si="3"/>
        <v>82.30088495575221</v>
      </c>
      <c r="G77" s="35"/>
      <c r="H77" s="38">
        <v>7</v>
      </c>
      <c r="I77" s="29">
        <f t="shared" si="1"/>
        <v>48.428571428571431</v>
      </c>
      <c r="J77" s="29">
        <f t="shared" si="2"/>
        <v>39.857142857142854</v>
      </c>
      <c r="K77" s="35"/>
    </row>
    <row r="78" spans="1:11">
      <c r="B78" s="35" t="s">
        <v>26</v>
      </c>
      <c r="C78" s="35">
        <v>421</v>
      </c>
      <c r="D78" s="35">
        <v>316</v>
      </c>
      <c r="E78" s="35">
        <v>105</v>
      </c>
      <c r="F78" s="29">
        <f t="shared" si="3"/>
        <v>75.059382422802841</v>
      </c>
      <c r="G78" s="35"/>
      <c r="H78" s="38">
        <v>4</v>
      </c>
      <c r="I78" s="29">
        <f t="shared" si="1"/>
        <v>105.25</v>
      </c>
      <c r="J78" s="29">
        <f t="shared" si="2"/>
        <v>79</v>
      </c>
      <c r="K78" s="35"/>
    </row>
    <row r="79" spans="1:11">
      <c r="B79" s="35" t="s">
        <v>27</v>
      </c>
      <c r="C79" s="35">
        <v>63</v>
      </c>
      <c r="D79" s="35">
        <v>51</v>
      </c>
      <c r="E79" s="35">
        <v>12</v>
      </c>
      <c r="F79" s="29">
        <f t="shared" si="3"/>
        <v>80.952380952380949</v>
      </c>
      <c r="G79" s="35"/>
      <c r="H79" s="38">
        <v>2</v>
      </c>
      <c r="I79" s="29">
        <f t="shared" si="1"/>
        <v>31.5</v>
      </c>
      <c r="J79" s="29">
        <f t="shared" si="2"/>
        <v>25.5</v>
      </c>
      <c r="K79" s="35"/>
    </row>
    <row r="80" spans="1:11">
      <c r="B80" s="35" t="s">
        <v>28</v>
      </c>
      <c r="C80" s="35">
        <v>237</v>
      </c>
      <c r="D80" s="35">
        <v>183</v>
      </c>
      <c r="E80" s="35">
        <v>54</v>
      </c>
      <c r="F80" s="29">
        <f t="shared" si="3"/>
        <v>77.215189873417728</v>
      </c>
      <c r="G80" s="35"/>
      <c r="H80" s="38">
        <v>5</v>
      </c>
      <c r="I80" s="29">
        <f t="shared" si="1"/>
        <v>47.4</v>
      </c>
      <c r="J80" s="29">
        <f t="shared" si="2"/>
        <v>36.6</v>
      </c>
      <c r="K80" s="35"/>
    </row>
    <row r="81" spans="2:11">
      <c r="B81" s="35" t="s">
        <v>29</v>
      </c>
      <c r="C81" s="35">
        <v>237</v>
      </c>
      <c r="D81" s="35">
        <v>167</v>
      </c>
      <c r="E81" s="35">
        <v>70</v>
      </c>
      <c r="F81" s="29">
        <f t="shared" si="3"/>
        <v>70.46413502109705</v>
      </c>
      <c r="G81" s="35"/>
      <c r="H81" s="38">
        <v>3</v>
      </c>
      <c r="I81" s="29">
        <f t="shared" si="1"/>
        <v>79</v>
      </c>
      <c r="J81" s="29">
        <f t="shared" si="2"/>
        <v>55.666666666666664</v>
      </c>
      <c r="K81" s="35"/>
    </row>
    <row r="82" spans="2:11">
      <c r="B82" s="35" t="s">
        <v>30</v>
      </c>
      <c r="C82" s="35">
        <v>254</v>
      </c>
      <c r="D82" s="35">
        <v>204</v>
      </c>
      <c r="E82" s="35">
        <v>50</v>
      </c>
      <c r="F82" s="29">
        <f t="shared" si="3"/>
        <v>80.314960629921259</v>
      </c>
      <c r="G82" s="35"/>
      <c r="H82" s="38">
        <v>4</v>
      </c>
      <c r="I82" s="29">
        <f t="shared" si="1"/>
        <v>63.5</v>
      </c>
      <c r="J82" s="29">
        <f t="shared" si="2"/>
        <v>51</v>
      </c>
      <c r="K82" s="35"/>
    </row>
    <row r="83" spans="2:11">
      <c r="B83" s="35" t="s">
        <v>31</v>
      </c>
      <c r="C83" s="35">
        <v>595</v>
      </c>
      <c r="D83" s="35">
        <v>374</v>
      </c>
      <c r="E83" s="35">
        <v>221</v>
      </c>
      <c r="F83" s="29">
        <f t="shared" si="3"/>
        <v>62.857142857142854</v>
      </c>
      <c r="G83" s="35"/>
      <c r="H83" s="38">
        <v>10</v>
      </c>
      <c r="I83" s="29">
        <f t="shared" si="1"/>
        <v>59.5</v>
      </c>
      <c r="J83" s="29">
        <f t="shared" si="2"/>
        <v>37.4</v>
      </c>
      <c r="K83" s="35"/>
    </row>
    <row r="84" spans="2:11">
      <c r="B84" s="35" t="s">
        <v>32</v>
      </c>
      <c r="C84" s="35">
        <v>1209</v>
      </c>
      <c r="D84" s="35">
        <v>736</v>
      </c>
      <c r="E84" s="35">
        <v>473</v>
      </c>
      <c r="F84" s="29">
        <f t="shared" si="3"/>
        <v>60.876757650951198</v>
      </c>
      <c r="G84" s="35"/>
      <c r="H84" s="38">
        <v>9</v>
      </c>
      <c r="I84" s="29">
        <f t="shared" si="1"/>
        <v>134.33333333333334</v>
      </c>
      <c r="J84" s="29">
        <f t="shared" si="2"/>
        <v>81.777777777777771</v>
      </c>
      <c r="K84" s="35"/>
    </row>
    <row r="85" spans="2:11">
      <c r="B85" s="35" t="s">
        <v>33</v>
      </c>
      <c r="C85" s="35">
        <v>1188</v>
      </c>
      <c r="D85" s="35">
        <v>918</v>
      </c>
      <c r="E85" s="35">
        <v>270</v>
      </c>
      <c r="F85" s="29">
        <f t="shared" si="3"/>
        <v>77.272727272727266</v>
      </c>
      <c r="G85" s="35"/>
      <c r="H85" s="38">
        <v>10</v>
      </c>
      <c r="I85" s="29">
        <f t="shared" si="1"/>
        <v>118.8</v>
      </c>
      <c r="J85" s="29">
        <f t="shared" si="2"/>
        <v>91.8</v>
      </c>
      <c r="K85" s="35"/>
    </row>
    <row r="86" spans="2:11">
      <c r="B86" s="35" t="s">
        <v>34</v>
      </c>
      <c r="C86" s="35">
        <v>897</v>
      </c>
      <c r="D86" s="35">
        <v>701</v>
      </c>
      <c r="E86" s="35">
        <v>196</v>
      </c>
      <c r="F86" s="29">
        <f t="shared" si="3"/>
        <v>78.149386845039018</v>
      </c>
      <c r="G86" s="35"/>
      <c r="H86" s="38">
        <v>8</v>
      </c>
      <c r="I86" s="29">
        <f t="shared" si="1"/>
        <v>112.125</v>
      </c>
      <c r="J86" s="29">
        <f t="shared" si="2"/>
        <v>87.625</v>
      </c>
      <c r="K86" s="35"/>
    </row>
    <row r="87" spans="2:11">
      <c r="B87" s="35" t="s">
        <v>35</v>
      </c>
      <c r="C87" s="35">
        <v>859</v>
      </c>
      <c r="D87" s="35">
        <v>595</v>
      </c>
      <c r="E87" s="35">
        <v>264</v>
      </c>
      <c r="F87" s="29">
        <f t="shared" si="3"/>
        <v>69.266589057043078</v>
      </c>
      <c r="G87" s="35"/>
      <c r="H87" s="38">
        <v>2</v>
      </c>
      <c r="I87" s="29">
        <f t="shared" si="1"/>
        <v>429.5</v>
      </c>
      <c r="J87" s="29">
        <f t="shared" si="2"/>
        <v>297.5</v>
      </c>
      <c r="K87" s="35"/>
    </row>
    <row r="88" spans="2:11">
      <c r="B88" s="35" t="s">
        <v>36</v>
      </c>
      <c r="C88" s="35">
        <v>1123</v>
      </c>
      <c r="D88" s="35">
        <v>659</v>
      </c>
      <c r="E88" s="35">
        <v>464</v>
      </c>
      <c r="F88" s="29">
        <f t="shared" si="3"/>
        <v>58.682101513802323</v>
      </c>
      <c r="G88" s="35"/>
      <c r="H88" s="38">
        <v>8</v>
      </c>
      <c r="I88" s="29">
        <f t="shared" si="1"/>
        <v>140.375</v>
      </c>
      <c r="J88" s="29">
        <f t="shared" si="2"/>
        <v>82.375</v>
      </c>
      <c r="K88" s="35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8.22</vt:lpstr>
      <vt:lpstr>8.20 workings</vt:lpstr>
      <vt:lpstr>'8.22'!Print_Area</vt:lpstr>
      <vt:lpstr>'8.22'!Print_Titles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2018-08-30T03:47:10Z</cp:lastPrinted>
  <dcterms:created xsi:type="dcterms:W3CDTF">2013-04-04T04:05:16Z</dcterms:created>
  <dcterms:modified xsi:type="dcterms:W3CDTF">2018-08-30T03:47:33Z</dcterms:modified>
</cp:coreProperties>
</file>