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55" sheetId="98" r:id="rId1"/>
    <sheet name="8.20 workings" sheetId="36" state="hidden" r:id="rId2"/>
  </sheets>
  <externalReferences>
    <externalReference r:id="rId3"/>
  </externalReferences>
  <definedNames>
    <definedName name="_xlnm.Print_Area" localSheetId="0">'8.55'!$A$1:$E$16</definedName>
  </definedNames>
  <calcPr calcId="162913"/>
</workbook>
</file>

<file path=xl/calcChain.xml><?xml version="1.0" encoding="utf-8"?>
<calcChain xmlns="http://schemas.openxmlformats.org/spreadsheetml/2006/main">
  <c r="B14" i="98" l="1"/>
  <c r="B13" i="98"/>
  <c r="B12" i="98"/>
  <c r="B11" i="98"/>
  <c r="B10" i="98"/>
  <c r="B9" i="98"/>
  <c r="B8" i="98"/>
  <c r="B7" i="98"/>
  <c r="D6" i="98"/>
  <c r="C6" i="98"/>
  <c r="B6" i="98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<sst xmlns="http://schemas.openxmlformats.org/spreadsheetml/2006/main" count="176" uniqueCount="81">
  <si>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</si>
  <si>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</si>
  <si>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</si>
  <si>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</si>
  <si>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</si>
  <si>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</si>
  <si>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</si>
  <si>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</si>
  <si>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</si>
  <si>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</si>
  <si>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</si>
  <si>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</si>
  <si>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</si>
  <si>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</si>
  <si>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</si>
  <si>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</si>
  <si>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</si>
  <si>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</si>
  <si>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</si>
  <si>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</si>
  <si>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</si>
  <si>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</si>
  <si>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</si>
  <si>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</si>
  <si>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</si>
  <si>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</si>
  <si>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</si>
  <si>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</si>
  <si>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</si>
  <si>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</si>
  <si>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</si>
  <si>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</si>
  <si>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</si>
  <si>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</si>
  <si>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</si>
  <si>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</si>
  <si>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</si>
  <si>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</si>
  <si>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</si>
  <si>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</si>
  <si>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</si>
  <si>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</si>
  <si>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</si>
  <si>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</si>
  <si>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</si>
  <si>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</si>
  <si>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</si>
  <si>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</si>
  <si>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</si>
  <si>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</si>
  <si>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</si>
  <si>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</si>
  <si>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</si>
  <si>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</si>
  <si>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</si>
  <si>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</si>
  <si>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</si>
  <si>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</si>
  <si>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</si>
  <si>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</si>
  <si>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</si>
  <si>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</si>
  <si>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</si>
  <si>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</si>
  <si>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</si>
  <si>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</si>
  <si>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</si>
  <si>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Neglect</t>
  </si>
  <si>
    <t>Source: Ministry of Gender &amp; Family</t>
  </si>
  <si>
    <t>މަޢުލޫމާތު ދެއްވީ: މިނިސްޓްރީ އޮފް ޖެންޑަރ އެންޑް ފެމިލީ</t>
  </si>
  <si>
    <t>Both Sex</t>
  </si>
  <si>
    <t>ދެޖިންސު</t>
  </si>
  <si>
    <t>Intimidation</t>
  </si>
  <si>
    <t>Controlling Behaviour</t>
  </si>
  <si>
    <t>Sexual Violence / Abuse</t>
  </si>
  <si>
    <t>Commercial Exploitations</t>
  </si>
  <si>
    <t>Physical Violence / Abuse</t>
  </si>
  <si>
    <t>Emotional Abuse / Verbal Abuse</t>
  </si>
  <si>
    <t>Withholding / Damage to Property</t>
  </si>
  <si>
    <t>TABLE 8.55: Gender based violence and domestic violence, 2017</t>
  </si>
  <si>
    <t>ތާވަލު 8.55: ހުށައެޅިފައިވާ އަންހެނުންނަށް / ފިރިހެނުންނަށް ކުރާ އަނިޔާގެ މައްސަލަތައް،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</si>
</sst>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Faruma"/>
    </font>
    <font>
      <b/>
      <sz val="10"/>
      <name val="Faruma"/>
    </font>
    <font>
      <sz val="10"/>
      <name val="Faruma"/>
    </font>
    <font>
      <b/>
      <sz val="12"/>
      <color rgb="FF58585A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3" fillId="0" borderId="7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6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3" fillId="2" borderId="0" xfId="0" applyNumberFormat="1" applyFont="1" applyFill="1" applyBorder="1" applyAlignment="1">
      <alignment horizontal="right" vertical="center" wrapText="1"/>
    </xf>
    <xf numFmtId="0" fontId="0" fillId="2" borderId="0" xfId="0" applyFont="1" applyFill="1"/>
    <xf numFmtId="0" fontId="0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/>
    </xf>
    <xf numFmtId="164" fontId="31" fillId="2" borderId="4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top"/>
    </xf>
    <xf numFmtId="164" fontId="32" fillId="2" borderId="0" xfId="0" applyNumberFormat="1" applyFont="1" applyFill="1" applyBorder="1" applyAlignment="1">
      <alignment vertical="top" readingOrder="2"/>
    </xf>
    <xf numFmtId="0" fontId="8" fillId="2" borderId="17" xfId="0" applyFont="1" applyFill="1" applyBorder="1" applyAlignment="1">
      <alignment horizontal="right" vertical="center"/>
    </xf>
    <xf numFmtId="0" fontId="33" fillId="2" borderId="0" xfId="0" applyFont="1" applyFill="1"/>
    <xf numFmtId="0" fontId="15" fillId="2" borderId="0" xfId="0" applyFont="1" applyFill="1"/>
    <xf numFmtId="164" fontId="3" fillId="2" borderId="4" xfId="0" applyNumberFormat="1" applyFont="1" applyFill="1" applyBorder="1" applyAlignment="1">
      <alignment horizontal="right" vertical="center" wrapText="1"/>
    </xf>
    <xf numFmtId="164" fontId="30" fillId="2" borderId="0" xfId="0" applyNumberFormat="1" applyFont="1" applyFill="1" applyAlignment="1"/>
    <xf numFmtId="0" fontId="0" fillId="2" borderId="4" xfId="0" applyFont="1" applyFill="1" applyBorder="1" applyAlignment="1">
      <alignment vertic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1" fillId="2" borderId="0" xfId="0" applyNumberFormat="1" applyFont="1" applyFill="1" applyAlignment="1">
      <alignment horizontal="center"/>
    </xf>
    <xf numFmtId="0" fontId="2" fillId="2" borderId="0" xfId="0" applyNumberFormat="1" applyFont="1" applyFill="1" applyBorder="1" applyAlignment="1">
      <alignment horizontal="center" wrapText="1"/>
    </xf>
    <xf numFmtId="0" fontId="0" fillId="2" borderId="17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5"/>
  <sheetViews>
    <sheetView tabSelected="1" zoomScaleNormal="100" workbookViewId="0">
      <selection activeCell="I9" sqref="I9"/>
    </sheetView>
  </sheetViews>
  <sheetFormatPr defaultRowHeight="15"/>
  <cols>
    <col min="1" max="1" width="35.42578125" style="39" customWidth="1"/>
    <col min="2" max="4" width="12.5703125" style="39" customWidth="1"/>
    <col min="5" max="16384" width="9.140625" style="39"/>
  </cols>
  <sheetData>
    <row r="1" spans="1:9" ht="21">
      <c r="A1" s="53" t="s">
        <v>80</v>
      </c>
      <c r="B1" s="53"/>
      <c r="C1" s="53"/>
      <c r="D1" s="53"/>
      <c r="E1" s="49"/>
      <c r="F1" s="49"/>
      <c r="G1" s="49"/>
      <c r="H1" s="49"/>
      <c r="I1" s="49"/>
    </row>
    <row r="2" spans="1:9">
      <c r="A2" s="54" t="s">
        <v>79</v>
      </c>
      <c r="B2" s="54"/>
      <c r="C2" s="54"/>
      <c r="D2" s="54"/>
    </row>
    <row r="4" spans="1:9">
      <c r="A4" s="55"/>
      <c r="B4" s="45" t="s">
        <v>70</v>
      </c>
      <c r="C4" s="45" t="s">
        <v>2</v>
      </c>
      <c r="D4" s="45" t="s">
        <v>3</v>
      </c>
    </row>
    <row r="5" spans="1:9" ht="18.75">
      <c r="A5" s="56"/>
      <c r="B5" s="42" t="s">
        <v>71</v>
      </c>
      <c r="C5" s="42" t="s">
        <v>43</v>
      </c>
      <c r="D5" s="42" t="s">
        <v>44</v>
      </c>
    </row>
    <row r="6" spans="1:9">
      <c r="A6" s="41" t="s">
        <v>4</v>
      </c>
      <c r="B6" s="38">
        <f>SUM(C6:D6)</f>
        <v>403</v>
      </c>
      <c r="C6" s="38">
        <f>SUM(C7:C14)</f>
        <v>61</v>
      </c>
      <c r="D6" s="38">
        <f>SUM(D7:D14)</f>
        <v>342</v>
      </c>
    </row>
    <row r="7" spans="1:9">
      <c r="A7" s="40" t="s">
        <v>67</v>
      </c>
      <c r="B7" s="38">
        <f t="shared" ref="B7:B14" si="0">SUM(C7:D7)</f>
        <v>28</v>
      </c>
      <c r="C7" s="40">
        <v>8</v>
      </c>
      <c r="D7" s="40">
        <v>20</v>
      </c>
    </row>
    <row r="8" spans="1:9">
      <c r="A8" s="40" t="s">
        <v>72</v>
      </c>
      <c r="B8" s="38">
        <f t="shared" si="0"/>
        <v>39</v>
      </c>
      <c r="C8" s="40">
        <v>5</v>
      </c>
      <c r="D8" s="40">
        <v>34</v>
      </c>
    </row>
    <row r="9" spans="1:9">
      <c r="A9" s="40" t="s">
        <v>73</v>
      </c>
      <c r="B9" s="38">
        <f t="shared" si="0"/>
        <v>15</v>
      </c>
      <c r="C9" s="40">
        <v>3</v>
      </c>
      <c r="D9" s="40">
        <v>12</v>
      </c>
    </row>
    <row r="10" spans="1:9">
      <c r="A10" s="40" t="s">
        <v>74</v>
      </c>
      <c r="B10" s="38">
        <f t="shared" si="0"/>
        <v>25</v>
      </c>
      <c r="C10" s="40">
        <v>1</v>
      </c>
      <c r="D10" s="40">
        <v>24</v>
      </c>
    </row>
    <row r="11" spans="1:9">
      <c r="A11" s="40" t="s">
        <v>75</v>
      </c>
      <c r="B11" s="38">
        <f t="shared" si="0"/>
        <v>9</v>
      </c>
      <c r="C11" s="40">
        <v>1</v>
      </c>
      <c r="D11" s="40">
        <v>8</v>
      </c>
    </row>
    <row r="12" spans="1:9">
      <c r="A12" s="40" t="s">
        <v>76</v>
      </c>
      <c r="B12" s="38">
        <f t="shared" si="0"/>
        <v>173</v>
      </c>
      <c r="C12" s="40">
        <v>21</v>
      </c>
      <c r="D12" s="40">
        <v>152</v>
      </c>
    </row>
    <row r="13" spans="1:9">
      <c r="A13" s="40" t="s">
        <v>77</v>
      </c>
      <c r="B13" s="38">
        <f t="shared" si="0"/>
        <v>106</v>
      </c>
      <c r="C13" s="40">
        <v>21</v>
      </c>
      <c r="D13" s="40">
        <v>85</v>
      </c>
    </row>
    <row r="14" spans="1:9">
      <c r="A14" s="50" t="s">
        <v>78</v>
      </c>
      <c r="B14" s="48">
        <f t="shared" si="0"/>
        <v>8</v>
      </c>
      <c r="C14" s="50">
        <v>1</v>
      </c>
      <c r="D14" s="50">
        <v>7</v>
      </c>
    </row>
    <row r="15" spans="1:9" ht="18.75">
      <c r="A15" s="43" t="s">
        <v>68</v>
      </c>
      <c r="D15" s="44" t="s">
        <v>69</v>
      </c>
    </row>
    <row r="19" spans="1:1" ht="15.75">
      <c r="A19" s="46"/>
    </row>
    <row r="25" spans="1:1">
      <c r="A25" s="47"/>
    </row>
  </sheetData>
  <mergeCells count="3">
    <mergeCell ref="A2:D2"/>
    <mergeCell ref="A4:A5"/>
    <mergeCell ref="A1:D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57" t="s">
        <v>52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6">
      <c r="A2" s="51" t="s">
        <v>45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</row>
    <row r="3" spans="1:36" ht="15" customHeight="1">
      <c r="A3" s="58"/>
      <c r="B3" s="58"/>
      <c r="C3" s="59" t="s">
        <v>39</v>
      </c>
      <c r="D3" s="59"/>
      <c r="E3" s="59"/>
      <c r="F3" s="59"/>
      <c r="G3" s="59"/>
      <c r="H3" s="29"/>
      <c r="I3" s="29"/>
      <c r="J3" s="60" t="s">
        <v>5</v>
      </c>
      <c r="K3" s="60"/>
      <c r="L3" s="60"/>
      <c r="M3" s="60"/>
      <c r="N3" s="60"/>
      <c r="O3" s="24"/>
      <c r="P3" s="60" t="s">
        <v>6</v>
      </c>
      <c r="Q3" s="60"/>
      <c r="R3" s="60"/>
      <c r="S3" s="60"/>
      <c r="T3" s="60"/>
      <c r="U3" s="6"/>
      <c r="V3" s="6"/>
      <c r="W3" s="6"/>
      <c r="X3" s="61" t="s">
        <v>7</v>
      </c>
      <c r="Y3" s="61"/>
      <c r="Z3" s="61"/>
      <c r="AA3" s="61"/>
      <c r="AB3" s="61"/>
      <c r="AC3" s="25"/>
      <c r="AD3" s="25"/>
      <c r="AE3" s="61" t="s">
        <v>8</v>
      </c>
      <c r="AF3" s="61"/>
      <c r="AG3" s="61"/>
      <c r="AH3" s="61"/>
      <c r="AI3" s="61"/>
    </row>
    <row r="4" spans="1:36" ht="25.5">
      <c r="A4" s="52"/>
      <c r="B4" s="52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47</v>
      </c>
      <c r="I4" s="30" t="s">
        <v>53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47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47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47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47</v>
      </c>
    </row>
    <row r="5" spans="1:36" ht="14.25" customHeight="1">
      <c r="A5" s="23"/>
      <c r="B5" s="27" t="s">
        <v>49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49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49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50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50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50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51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51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51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46</v>
      </c>
    </row>
    <row r="36" spans="1:35">
      <c r="A36" s="1"/>
      <c r="B36" s="26" t="s">
        <v>47</v>
      </c>
    </row>
    <row r="37" spans="1:35">
      <c r="B37" s="27" t="s">
        <v>39</v>
      </c>
      <c r="C37" s="27" t="s">
        <v>48</v>
      </c>
      <c r="D37" s="27" t="s">
        <v>40</v>
      </c>
      <c r="E37" s="27"/>
      <c r="F37" s="27"/>
    </row>
    <row r="38" spans="1:35">
      <c r="A38" s="27" t="s">
        <v>49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50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51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54</v>
      </c>
      <c r="C42" s="34"/>
      <c r="D42" s="34"/>
    </row>
    <row r="43" spans="1:35">
      <c r="B43" s="27" t="s">
        <v>39</v>
      </c>
      <c r="C43" s="27" t="s">
        <v>48</v>
      </c>
      <c r="D43" s="27" t="s">
        <v>40</v>
      </c>
    </row>
    <row r="44" spans="1:35">
      <c r="A44" s="27" t="s">
        <v>49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50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51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55</v>
      </c>
      <c r="C49" s="34"/>
      <c r="D49" s="34"/>
    </row>
    <row r="50" spans="1:5">
      <c r="B50" s="27" t="s">
        <v>39</v>
      </c>
      <c r="C50" s="27" t="s">
        <v>48</v>
      </c>
      <c r="D50" s="27" t="s">
        <v>40</v>
      </c>
    </row>
    <row r="51" spans="1:5">
      <c r="A51" s="27" t="s">
        <v>49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50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51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56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57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55</v>
      </c>
      <c r="B59" s="35">
        <v>14232</v>
      </c>
      <c r="C59" s="35">
        <v>6099</v>
      </c>
      <c r="D59" s="35">
        <v>8133</v>
      </c>
    </row>
    <row r="60" spans="1:5">
      <c r="A60" s="34" t="s">
        <v>54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58</v>
      </c>
    </row>
    <row r="67" spans="1:11">
      <c r="B67" s="34"/>
      <c r="H67" s="34" t="s">
        <v>59</v>
      </c>
    </row>
    <row r="68" spans="1:11">
      <c r="A68" s="1"/>
      <c r="B68" s="34"/>
      <c r="C68" s="34" t="s">
        <v>60</v>
      </c>
      <c r="D68" s="34" t="s">
        <v>61</v>
      </c>
      <c r="E68" s="34" t="s">
        <v>62</v>
      </c>
      <c r="F68" s="34" t="s">
        <v>63</v>
      </c>
      <c r="G68" s="34"/>
      <c r="H68" s="36" t="s">
        <v>64</v>
      </c>
      <c r="I68" s="34" t="s">
        <v>65</v>
      </c>
      <c r="J68" s="34" t="s">
        <v>66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8.55</vt:lpstr>
      <vt:lpstr>8.20 workings</vt:lpstr>
      <vt:lpstr>'8.55'!Print_Area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2018-09-26T06:16:17Z</cp:lastPrinted>
  <dcterms:created xsi:type="dcterms:W3CDTF">2013-04-04T04:05:16Z</dcterms:created>
  <dcterms:modified xsi:type="dcterms:W3CDTF">2018-09-26T06:16:22Z</dcterms:modified>
</cp:coreProperties>
</file>