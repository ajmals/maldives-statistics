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41" sheetId="87" r:id="rId1"/>
    <sheet name="8.20 workings" sheetId="36" state="hidden" r:id="rId2"/>
  </sheets>
  <externalReferences>
    <externalReference r:id="rId3"/>
  </externalReferences>
  <definedNames>
    <definedName name="_xlnm.Print_Area" localSheetId="0">'8.41'!$A$1:$L$61</definedName>
  </definedNames>
  <calcPr calcId="162913"/>
</workbook>
</file>

<file path=xl/calcChain.xml><?xml version="1.0" encoding="utf-8"?>
<calcChain xmlns="http://schemas.openxmlformats.org/spreadsheetml/2006/main">
  <c r="J5" i="87" l="1"/>
  <c r="I5" i="87"/>
  <c r="H5" i="87"/>
  <c r="G5" i="87"/>
  <c r="F5" i="87"/>
  <c r="E5" i="87"/>
  <c r="D5" i="87"/>
  <c r="C5" i="87"/>
  <c r="B5" i="87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<sst xmlns="http://schemas.openxmlformats.org/spreadsheetml/2006/main" count="184" uniqueCount="89">
  <si>
    <t>Total</t>
  </si>
  <si>
    <t>Source: Department of Judicial Administration</t>
  </si>
  <si>
    <t>Others</t>
  </si>
  <si>
    <t>އެހެނިހެން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</si>
  <si>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</si>
  <si>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</si>
  <si>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</si>
  <si>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</si>
  <si>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</si>
  <si>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</si>
  <si>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</si>
  <si>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</si>
  <si>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</si>
  <si>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</si>
  <si>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</si>
  <si>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</si>
  <si>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</si>
  <si>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</si>
  <si>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</si>
  <si>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</si>
  <si>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</si>
  <si>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</si>
  <si>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</si>
  <si>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</si>
  <si>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</si>
  <si>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</si>
  <si>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</si>
  <si>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</si>
  <si>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</si>
  <si>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</si>
  <si>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</si>
  <si>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</si>
  <si>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</si>
  <si>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</si>
  <si>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</si>
  <si>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</si>
  <si>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</si>
  <si>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</si>
  <si>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</si>
  <si>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</si>
  <si>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</si>
  <si>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</si>
  <si>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</si>
  <si>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</si>
  <si>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</si>
  <si>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</si>
  <si>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</si>
  <si>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</si>
  <si>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</si>
  <si>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</si>
  <si>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</si>
  <si>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</si>
  <si>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</si>
  <si>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</si>
  <si>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</si>
  <si>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</si>
  <si>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</si>
  <si>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</si>
  <si>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</si>
  <si>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</si>
  <si>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</si>
  <si>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</si>
  <si>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</si>
  <si>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</si>
  <si>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</si>
  <si>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</si>
  <si>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Types of abuse </t>
  </si>
  <si>
    <t>ކުރެވޭ އަނިޔާގެ ބާވަތް</t>
  </si>
  <si>
    <t>Neglect</t>
  </si>
  <si>
    <t>އަޅާނުލުން</t>
  </si>
  <si>
    <t>Physical Abuse</t>
  </si>
  <si>
    <t>ޖިސްމާނީ އަނިޔާ</t>
  </si>
  <si>
    <t>Emotional Abuse</t>
  </si>
  <si>
    <t>ނަފްސާނީ އަނިޔާ</t>
  </si>
  <si>
    <t>Sexual Abuse</t>
  </si>
  <si>
    <t>ޖިންސީ އަނިޔާ</t>
  </si>
  <si>
    <t>Bullying</t>
  </si>
  <si>
    <t xml:space="preserve">ގަނާކުރުން </t>
  </si>
  <si>
    <t>Harrasment</t>
  </si>
  <si>
    <t xml:space="preserve">ފުރައްސާރަކުރުން </t>
  </si>
  <si>
    <t>Witness to Domestic Violence</t>
  </si>
  <si>
    <t xml:space="preserve">ގެވެށި އަނިޔާގެ އަމަލެއް ކުރާތައް ކުއްޖަކަށް ދެއްކުން ނުވަތަ ފެނުން </t>
  </si>
  <si>
    <t>Cyber Bullying</t>
  </si>
  <si>
    <t>އެހެންކުދިންގެ ފަރާތުން އިންޓަރނެޓް މެދުވެރިކޮށް ގަނާ ލިބުން</t>
  </si>
  <si>
    <t>Source: Ministry of Gender &amp; Family</t>
  </si>
  <si>
    <t>މަޢުލޫމާތު ދެއްވީ: މިނިސްޓްރީ އޮފް ޖެންޑަރ އެންޑް ފެމިލީ</t>
  </si>
  <si>
    <t xml:space="preserve">Note: Others include: Child Deaths, Exploitation, Commercial Exploitation / Child Labor,  Commercial Sexual Exploitation,  Trafficking of Children, Victims of Bullying,  Child Abandonment 
</t>
  </si>
  <si>
    <t>Table 8.41: NUMBER OF REPORTED CHILD ABUSE  CASES (UNDER 18) BY TYPE, 2009 - 2017</t>
  </si>
  <si>
    <t>ތާވަލު 8.41: ކުޑަކުދިންނަށް ކުރާ އަނިޔާއާއިބެހޭގޮތުން ހުށަހެޅިފައިވާ މައްސަލަތައް، 2009 - 2017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</si>
</sst>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Faruma"/>
    </font>
    <font>
      <b/>
      <sz val="10"/>
      <name val="Faruma"/>
    </font>
    <font>
      <sz val="10"/>
      <name val="Faruma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3" fillId="0" borderId="7" applyNumberFormat="0" applyFill="0" applyAlignment="0" applyProtection="0"/>
    <xf numFmtId="0" fontId="8" fillId="0" borderId="0"/>
    <xf numFmtId="166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1" applyNumberFormat="0" applyAlignment="0" applyProtection="0"/>
    <xf numFmtId="0" fontId="24" fillId="8" borderId="12" applyNumberFormat="0" applyAlignment="0" applyProtection="0"/>
    <xf numFmtId="0" fontId="25" fillId="8" borderId="11" applyNumberFormat="0" applyAlignment="0" applyProtection="0"/>
    <xf numFmtId="0" fontId="26" fillId="0" borderId="13" applyNumberFormat="0" applyFill="0" applyAlignment="0" applyProtection="0"/>
    <xf numFmtId="0" fontId="27" fillId="9" borderId="14" applyNumberFormat="0" applyAlignment="0" applyProtection="0"/>
    <xf numFmtId="0" fontId="15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8" fillId="0" borderId="0"/>
  </cellStyleXfs>
  <cellXfs count="69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4" fillId="2" borderId="0" xfId="0" applyNumberFormat="1" applyFont="1" applyFill="1"/>
    <xf numFmtId="164" fontId="34" fillId="2" borderId="0" xfId="0" applyNumberFormat="1" applyFont="1" applyFill="1"/>
    <xf numFmtId="164" fontId="3" fillId="2" borderId="17" xfId="0" applyNumberFormat="1" applyFont="1" applyFill="1" applyBorder="1" applyAlignment="1">
      <alignment horizontal="left" vertical="center" wrapText="1"/>
    </xf>
    <xf numFmtId="164" fontId="3" fillId="2" borderId="17" xfId="0" applyNumberFormat="1" applyFont="1" applyFill="1" applyBorder="1" applyAlignment="1">
      <alignment horizontal="right" vertical="center" wrapText="1"/>
    </xf>
    <xf numFmtId="164" fontId="31" fillId="2" borderId="17" xfId="0" applyNumberFormat="1" applyFont="1" applyFill="1" applyBorder="1" applyAlignment="1">
      <alignment horizontal="right" vertical="center" wrapText="1" readingOrder="2"/>
    </xf>
    <xf numFmtId="166" fontId="12" fillId="2" borderId="18" xfId="1" applyNumberFormat="1" applyFont="1" applyFill="1" applyBorder="1" applyAlignment="1">
      <alignment vertical="center" wrapText="1"/>
    </xf>
    <xf numFmtId="166" fontId="3" fillId="2" borderId="18" xfId="1" applyNumberFormat="1" applyFont="1" applyFill="1" applyBorder="1" applyAlignment="1">
      <alignment horizontal="right" vertical="center" wrapText="1"/>
    </xf>
    <xf numFmtId="166" fontId="31" fillId="2" borderId="18" xfId="1" applyNumberFormat="1" applyFont="1" applyFill="1" applyBorder="1" applyAlignment="1">
      <alignment vertical="center" wrapText="1" readingOrder="2"/>
    </xf>
    <xf numFmtId="166" fontId="35" fillId="2" borderId="0" xfId="1" applyNumberFormat="1" applyFont="1" applyFill="1"/>
    <xf numFmtId="166" fontId="10" fillId="2" borderId="0" xfId="1" applyNumberFormat="1" applyFont="1" applyFill="1" applyAlignment="1">
      <alignment vertical="center" wrapText="1"/>
    </xf>
    <xf numFmtId="166" fontId="4" fillId="2" borderId="0" xfId="1" applyNumberFormat="1" applyFont="1" applyFill="1" applyAlignment="1">
      <alignment horizontal="right" vertical="center" wrapText="1"/>
    </xf>
    <xf numFmtId="166" fontId="32" fillId="2" borderId="0" xfId="1" applyNumberFormat="1" applyFont="1" applyFill="1" applyAlignment="1">
      <alignment vertical="center" wrapText="1" readingOrder="2"/>
    </xf>
    <xf numFmtId="166" fontId="33" fillId="2" borderId="0" xfId="1" applyNumberFormat="1" applyFont="1" applyFill="1"/>
    <xf numFmtId="164" fontId="5" fillId="2" borderId="0" xfId="0" applyNumberFormat="1" applyFont="1" applyFill="1" applyBorder="1" applyAlignment="1">
      <alignment vertical="top"/>
    </xf>
    <xf numFmtId="164" fontId="32" fillId="2" borderId="0" xfId="0" applyNumberFormat="1" applyFont="1" applyFill="1" applyBorder="1" applyAlignment="1">
      <alignment vertical="top" wrapText="1" readingOrder="2"/>
    </xf>
    <xf numFmtId="164" fontId="3" fillId="2" borderId="4" xfId="0" applyNumberFormat="1" applyFont="1" applyFill="1" applyBorder="1" applyAlignment="1">
      <alignment horizontal="center" vertical="center" wrapText="1"/>
    </xf>
    <xf numFmtId="166" fontId="10" fillId="2" borderId="4" xfId="1" applyNumberFormat="1" applyFont="1" applyFill="1" applyBorder="1" applyAlignment="1">
      <alignment vertical="center" wrapText="1"/>
    </xf>
    <xf numFmtId="166" fontId="4" fillId="2" borderId="4" xfId="1" applyNumberFormat="1" applyFont="1" applyFill="1" applyBorder="1" applyAlignment="1">
      <alignment horizontal="right" vertical="center" wrapText="1"/>
    </xf>
    <xf numFmtId="166" fontId="30" fillId="2" borderId="0" xfId="1" applyNumberFormat="1" applyFont="1" applyFill="1" applyAlignment="1">
      <alignment vertical="center" wrapText="1" readingOrder="2"/>
    </xf>
    <xf numFmtId="166" fontId="30" fillId="2" borderId="0" xfId="1" applyNumberFormat="1" applyFont="1" applyFill="1" applyAlignment="1">
      <alignment vertical="center" readingOrder="2"/>
    </xf>
    <xf numFmtId="166" fontId="32" fillId="2" borderId="4" xfId="1" applyNumberFormat="1" applyFont="1" applyFill="1" applyBorder="1" applyAlignment="1">
      <alignment vertical="center" wrapText="1" readingOrder="2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1" fillId="2" borderId="0" xfId="0" applyNumberFormat="1" applyFont="1" applyFill="1" applyAlignment="1">
      <alignment horizontal="center" vertical="center" wrapText="1" readingOrder="2"/>
    </xf>
    <xf numFmtId="164" fontId="3" fillId="2" borderId="0" xfId="0" applyNumberFormat="1" applyFont="1" applyFill="1" applyBorder="1" applyAlignment="1">
      <alignment horizontal="center" vertical="center" wrapText="1"/>
    </xf>
    <xf numFmtId="164" fontId="9" fillId="2" borderId="18" xfId="0" applyNumberFormat="1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383223181439669E-2"/>
          <c:y val="0.15358178053830226"/>
          <c:w val="0.8941656389336875"/>
          <c:h val="0.755017035913989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'8.41'!$A$6</c:f>
              <c:strCache>
                <c:ptCount val="1"/>
                <c:pt idx="0">
                  <c:v>Neglect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46-4C0D-9F1B-AF6BFE293FD6}"/>
              </c:ext>
            </c:extLst>
          </c:dPt>
          <c:cat>
            <c:numRef>
              <c:f>'8.41'!$B$4:$J$4</c:f>
              <c:numCache>
                <c:formatCode>General_)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'8.41'!$B$6:$J$6</c:f>
              <c:numCache>
                <c:formatCode>_-* #,##0_-;\-* #,##0_-;_-* "-"??_-;_-@_-</c:formatCode>
                <c:ptCount val="9"/>
                <c:pt idx="0">
                  <c:v>75</c:v>
                </c:pt>
                <c:pt idx="1">
                  <c:v>102</c:v>
                </c:pt>
                <c:pt idx="2">
                  <c:v>156</c:v>
                </c:pt>
                <c:pt idx="3">
                  <c:v>141</c:v>
                </c:pt>
                <c:pt idx="4">
                  <c:v>116</c:v>
                </c:pt>
                <c:pt idx="5">
                  <c:v>120</c:v>
                </c:pt>
                <c:pt idx="6">
                  <c:v>227</c:v>
                </c:pt>
                <c:pt idx="7">
                  <c:v>287</c:v>
                </c:pt>
                <c:pt idx="8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46-4C0D-9F1B-AF6BFE293FD6}"/>
            </c:ext>
          </c:extLst>
        </c:ser>
        <c:ser>
          <c:idx val="1"/>
          <c:order val="1"/>
          <c:tx>
            <c:strRef>
              <c:f>'8.41'!$A$7</c:f>
              <c:strCache>
                <c:ptCount val="1"/>
                <c:pt idx="0">
                  <c:v>Physical Abuse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'8.41'!$B$4:$J$4</c:f>
              <c:numCache>
                <c:formatCode>General_)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'8.41'!$B$7:$J$7</c:f>
              <c:numCache>
                <c:formatCode>_-* #,##0_-;\-* #,##0_-;_-* "-"??_-;_-@_-</c:formatCode>
                <c:ptCount val="9"/>
                <c:pt idx="0">
                  <c:v>76</c:v>
                </c:pt>
                <c:pt idx="1">
                  <c:v>69</c:v>
                </c:pt>
                <c:pt idx="2">
                  <c:v>96</c:v>
                </c:pt>
                <c:pt idx="3">
                  <c:v>159</c:v>
                </c:pt>
                <c:pt idx="4">
                  <c:v>110</c:v>
                </c:pt>
                <c:pt idx="5">
                  <c:v>139</c:v>
                </c:pt>
                <c:pt idx="6">
                  <c:v>245</c:v>
                </c:pt>
                <c:pt idx="7">
                  <c:v>324</c:v>
                </c:pt>
                <c:pt idx="8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46-4C0D-9F1B-AF6BFE293FD6}"/>
            </c:ext>
          </c:extLst>
        </c:ser>
        <c:ser>
          <c:idx val="2"/>
          <c:order val="2"/>
          <c:tx>
            <c:strRef>
              <c:f>'8.41'!$A$8</c:f>
              <c:strCache>
                <c:ptCount val="1"/>
                <c:pt idx="0">
                  <c:v>Emotional Abuse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'8.41'!$B$4:$J$4</c:f>
              <c:numCache>
                <c:formatCode>General_)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'8.41'!$B$8:$J$8</c:f>
              <c:numCache>
                <c:formatCode>_-* #,##0_-;\-* #,##0_-;_-* "-"??_-;_-@_-</c:formatCode>
                <c:ptCount val="9"/>
                <c:pt idx="0">
                  <c:v>30</c:v>
                </c:pt>
                <c:pt idx="1">
                  <c:v>93</c:v>
                </c:pt>
                <c:pt idx="2">
                  <c:v>146</c:v>
                </c:pt>
                <c:pt idx="3">
                  <c:v>59</c:v>
                </c:pt>
                <c:pt idx="4">
                  <c:v>170</c:v>
                </c:pt>
                <c:pt idx="5">
                  <c:v>65</c:v>
                </c:pt>
                <c:pt idx="6">
                  <c:v>72</c:v>
                </c:pt>
                <c:pt idx="7">
                  <c:v>142</c:v>
                </c:pt>
                <c:pt idx="8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46-4C0D-9F1B-AF6BFE293FD6}"/>
            </c:ext>
          </c:extLst>
        </c:ser>
        <c:ser>
          <c:idx val="3"/>
          <c:order val="3"/>
          <c:tx>
            <c:strRef>
              <c:f>'8.41'!$A$9</c:f>
              <c:strCache>
                <c:ptCount val="1"/>
                <c:pt idx="0">
                  <c:v>Sexual Abuse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'8.41'!$B$4:$J$4</c:f>
              <c:numCache>
                <c:formatCode>General_)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'8.41'!$B$9:$J$9</c:f>
              <c:numCache>
                <c:formatCode>_-* #,##0_-;\-* #,##0_-;_-* "-"??_-;_-@_-</c:formatCode>
                <c:ptCount val="9"/>
                <c:pt idx="0">
                  <c:v>133</c:v>
                </c:pt>
                <c:pt idx="1">
                  <c:v>67</c:v>
                </c:pt>
                <c:pt idx="2">
                  <c:v>87</c:v>
                </c:pt>
                <c:pt idx="3">
                  <c:v>295</c:v>
                </c:pt>
                <c:pt idx="4">
                  <c:v>44</c:v>
                </c:pt>
                <c:pt idx="5">
                  <c:v>300</c:v>
                </c:pt>
                <c:pt idx="6">
                  <c:v>98</c:v>
                </c:pt>
                <c:pt idx="7">
                  <c:v>342</c:v>
                </c:pt>
                <c:pt idx="8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46-4C0D-9F1B-AF6BFE29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634944"/>
        <c:axId val="139640832"/>
        <c:extLst/>
      </c:barChart>
      <c:catAx>
        <c:axId val="13963494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0832"/>
        <c:crosses val="autoZero"/>
        <c:auto val="1"/>
        <c:lblAlgn val="ctr"/>
        <c:lblOffset val="100"/>
        <c:noMultiLvlLbl val="0"/>
      </c:catAx>
      <c:valAx>
        <c:axId val="13964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3494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9665011753048927E-2"/>
          <c:y val="0.17235975937790385"/>
          <c:w val="0.79245570207338534"/>
          <c:h val="6.98762654668166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0204484510758"/>
          <c:y val="0.13720496206606905"/>
          <c:w val="0.85737130176031584"/>
          <c:h val="0.7633288678700009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'8.41'!$B$4:$J$4</c:f>
              <c:numCache>
                <c:formatCode>General_)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'8.41'!$B$5:$J$5</c:f>
              <c:numCache>
                <c:formatCode>_-* #,##0_-;\-* #,##0_-;_-* "-"??_-;_-@_-</c:formatCode>
                <c:ptCount val="9"/>
                <c:pt idx="0">
                  <c:v>314</c:v>
                </c:pt>
                <c:pt idx="1">
                  <c:v>331</c:v>
                </c:pt>
                <c:pt idx="2">
                  <c:v>485</c:v>
                </c:pt>
                <c:pt idx="3">
                  <c:v>654</c:v>
                </c:pt>
                <c:pt idx="4">
                  <c:v>440</c:v>
                </c:pt>
                <c:pt idx="5">
                  <c:v>624</c:v>
                </c:pt>
                <c:pt idx="6">
                  <c:v>642</c:v>
                </c:pt>
                <c:pt idx="7">
                  <c:v>1095</c:v>
                </c:pt>
                <c:pt idx="8">
                  <c:v>1412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E-4833-930F-3F984FCA5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093504"/>
        <c:axId val="117095040"/>
      </c:barChart>
      <c:catAx>
        <c:axId val="11709350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5040"/>
        <c:crosses val="autoZero"/>
        <c:auto val="1"/>
        <c:lblAlgn val="ctr"/>
        <c:lblOffset val="100"/>
        <c:noMultiLvlLbl val="0"/>
      </c:catAx>
      <c:valAx>
        <c:axId val="11709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350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tx1"/>
                </a:solidFill>
              </a:rPr>
              <a:t>Figure</a:t>
            </a:r>
            <a:r>
              <a:rPr lang="en-US" sz="1050" b="1" baseline="0">
                <a:solidFill>
                  <a:schemeClr val="tx1"/>
                </a:solidFill>
              </a:rPr>
              <a:t> 8.60: </a:t>
            </a:r>
            <a:r>
              <a:rPr lang="en-US" sz="1050" b="1">
                <a:solidFill>
                  <a:schemeClr val="tx1"/>
                </a:solidFill>
              </a:rPr>
              <a:t>Percentage of reported child abuse cases by type, 2017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1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8711761906954607E-2"/>
          <c:y val="0.20602226445832203"/>
          <c:w val="0.81782014090343969"/>
          <c:h val="0.7032428274051950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4E83-4319-B07E-16D17E691D2E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E83-4319-B07E-16D17E691D2E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83-4319-B07E-16D17E691D2E}"/>
              </c:ext>
            </c:extLst>
          </c:dPt>
          <c:dPt>
            <c:idx val="3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E83-4319-B07E-16D17E691D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4E83-4319-B07E-16D17E691D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E83-4319-B07E-16D17E691D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E83-4319-B07E-16D17E691D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4E83-4319-B07E-16D17E691D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E83-4319-B07E-16D17E691D2E}"/>
              </c:ext>
            </c:extLst>
          </c:dPt>
          <c:dLbls>
            <c:dLbl>
              <c:idx val="0"/>
              <c:layout>
                <c:manualLayout>
                  <c:x val="-0.19332217975677027"/>
                  <c:y val="-0.2905502760430808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E83-4319-B07E-16D17E691D2E}"/>
                </c:ext>
              </c:extLst>
            </c:dLbl>
            <c:dLbl>
              <c:idx val="1"/>
              <c:layout>
                <c:manualLayout>
                  <c:x val="0.17153996101364521"/>
                  <c:y val="-0.2514194346396356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E83-4319-B07E-16D17E691D2E}"/>
                </c:ext>
              </c:extLst>
            </c:dLbl>
            <c:dLbl>
              <c:idx val="2"/>
              <c:layout>
                <c:manualLayout>
                  <c:x val="0.13124689823128835"/>
                  <c:y val="5.40238935650285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E83-4319-B07E-16D17E691D2E}"/>
                </c:ext>
              </c:extLst>
            </c:dLbl>
            <c:dLbl>
              <c:idx val="3"/>
              <c:layout>
                <c:manualLayout>
                  <c:x val="-0.12086343008293554"/>
                  <c:y val="0.143465170301988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E83-4319-B07E-16D17E691D2E}"/>
                </c:ext>
              </c:extLst>
            </c:dLbl>
            <c:dLbl>
              <c:idx val="4"/>
              <c:layout>
                <c:manualLayout>
                  <c:x val="-7.0317262973707328E-2"/>
                  <c:y val="-0.119061755211633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E83-4319-B07E-16D17E691D2E}"/>
                </c:ext>
              </c:extLst>
            </c:dLbl>
            <c:dLbl>
              <c:idx val="5"/>
              <c:layout>
                <c:manualLayout>
                  <c:x val="-2.9218686845430872E-2"/>
                  <c:y val="-0.244953992819863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E83-4319-B07E-16D17E691D2E}"/>
                </c:ext>
              </c:extLst>
            </c:dLbl>
            <c:dLbl>
              <c:idx val="6"/>
              <c:layout>
                <c:manualLayout>
                  <c:x val="-9.5298877440149649E-17"/>
                  <c:y val="-5.50508341629710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E83-4319-B07E-16D17E691D2E}"/>
                </c:ext>
              </c:extLst>
            </c:dLbl>
            <c:dLbl>
              <c:idx val="7"/>
              <c:layout>
                <c:manualLayout>
                  <c:x val="-6.6307501036150002E-5"/>
                  <c:y val="-5.395993604247745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4E83-4319-B07E-16D17E691D2E}"/>
                </c:ext>
              </c:extLst>
            </c:dLbl>
            <c:dLbl>
              <c:idx val="8"/>
              <c:layout>
                <c:manualLayout>
                  <c:x val="1.1752799905859625E-2"/>
                  <c:y val="5.64615198962198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E83-4319-B07E-16D17E691D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'8.41'!$A$6:$A$14</c:f>
              <c:strCache>
                <c:ptCount val="9"/>
                <c:pt idx="0">
                  <c:v>Neglect</c:v>
                </c:pt>
                <c:pt idx="1">
                  <c:v>Physical Abuse</c:v>
                </c:pt>
                <c:pt idx="2">
                  <c:v>Emotional Abuse</c:v>
                </c:pt>
                <c:pt idx="3">
                  <c:v>Sexual Abuse</c:v>
                </c:pt>
                <c:pt idx="4">
                  <c:v>Bullying</c:v>
                </c:pt>
                <c:pt idx="5">
                  <c:v>Harrasment</c:v>
                </c:pt>
                <c:pt idx="6">
                  <c:v>Witness to Domestic Violence</c:v>
                </c:pt>
                <c:pt idx="7">
                  <c:v>Cyber Bullying</c:v>
                </c:pt>
                <c:pt idx="8">
                  <c:v>Others</c:v>
                </c:pt>
              </c:strCache>
            </c:strRef>
          </c:cat>
          <c:val>
            <c:numRef>
              <c:f>'8.41'!$J$6:$J$14</c:f>
              <c:numCache>
                <c:formatCode>_-* #,##0_-;\-* #,##0_-;_-* "-"??_-;_-@_-</c:formatCode>
                <c:ptCount val="9"/>
                <c:pt idx="0">
                  <c:v>297</c:v>
                </c:pt>
                <c:pt idx="1">
                  <c:v>354</c:v>
                </c:pt>
                <c:pt idx="2">
                  <c:v>182</c:v>
                </c:pt>
                <c:pt idx="3">
                  <c:v>418</c:v>
                </c:pt>
                <c:pt idx="4">
                  <c:v>39</c:v>
                </c:pt>
                <c:pt idx="5">
                  <c:v>12</c:v>
                </c:pt>
                <c:pt idx="6">
                  <c:v>48</c:v>
                </c:pt>
                <c:pt idx="7">
                  <c:v>10</c:v>
                </c:pt>
                <c:pt idx="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3-4319-B07E-16D17E691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17</xdr:row>
      <xdr:rowOff>95250</xdr:rowOff>
    </xdr:from>
    <xdr:to>
      <xdr:col>5</xdr:col>
      <xdr:colOff>348802</xdr:colOff>
      <xdr:row>36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522535</xdr:colOff>
      <xdr:row>17</xdr:row>
      <xdr:rowOff>41587</xdr:rowOff>
    </xdr:from>
    <xdr:to>
      <xdr:col>11</xdr:col>
      <xdr:colOff>46418</xdr:colOff>
      <xdr:row>36</xdr:row>
      <xdr:rowOff>22537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730422</xdr:colOff>
      <xdr:row>19</xdr:row>
      <xdr:rowOff>132333</xdr:rowOff>
    </xdr:from>
    <xdr:to>
      <xdr:col>5</xdr:col>
      <xdr:colOff>6616</xdr:colOff>
      <xdr:row>19</xdr:row>
      <xdr:rowOff>137049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730422" y="4403220"/>
          <a:ext cx="4123190" cy="4716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542280</xdr:colOff>
      <xdr:row>19</xdr:row>
      <xdr:rowOff>16592</xdr:rowOff>
    </xdr:from>
    <xdr:to>
      <xdr:col>10</xdr:col>
      <xdr:colOff>2015920</xdr:colOff>
      <xdr:row>19</xdr:row>
      <xdr:rowOff>40358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6818026" y="4287479"/>
          <a:ext cx="3616765" cy="23766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3</xdr:col>
      <xdr:colOff>171449</xdr:colOff>
      <xdr:row>39</xdr:row>
      <xdr:rowOff>142875</xdr:rowOff>
    </xdr:from>
    <xdr:to>
      <xdr:col>10</xdr:col>
      <xdr:colOff>57149</xdr:colOff>
      <xdr:row>60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15363</xdr:colOff>
      <xdr:row>41</xdr:row>
      <xdr:rowOff>92176</xdr:rowOff>
    </xdr:from>
    <xdr:to>
      <xdr:col>9</xdr:col>
      <xdr:colOff>199718</xdr:colOff>
      <xdr:row>41</xdr:row>
      <xdr:rowOff>107539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4147984" y="7911894"/>
          <a:ext cx="3756230" cy="15363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0.08604</cdr:x>
      <cdr:y>0.03798</cdr:y>
    </cdr:from>
    <cdr:to>
      <cdr:x>1</cdr:x>
      <cdr:y>0.12497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29854" y="116032"/>
          <a:ext cx="4565919" cy="2657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8.58: Number of child abuse cases reported by type, 2009 - 2017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0.21913</cdr:x>
      <cdr:y>0.02533</cdr:y>
    </cdr:from>
    <cdr:to>
      <cdr:x>0.83551</cdr:x>
      <cdr:y>0.11598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68519" y="77153"/>
          <a:ext cx="3849373" cy="276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/>
            <a:t>Figure 8.59:</a:t>
          </a:r>
          <a:r>
            <a:rPr lang="en-US" sz="1050" b="1" baseline="0"/>
            <a:t> Number of Child Abuse cases reported,  2009 - 2017</a:t>
          </a:r>
          <a:endParaRPr lang="en-US" sz="1050" b="1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6"/>
  <sheetViews>
    <sheetView tabSelected="1" zoomScale="77" zoomScaleNormal="77" workbookViewId="0">
      <selection activeCell="L43" sqref="L43"/>
    </sheetView>
  </sheetViews>
  <sheetFormatPr defaultColWidth="9.140625" defaultRowHeight="12.75"/>
  <cols>
    <col min="1" max="1" width="29.85546875" style="38" customWidth="1"/>
    <col min="2" max="10" width="10.7109375" style="38" customWidth="1"/>
    <col min="11" max="11" width="47.28515625" style="38" customWidth="1"/>
    <col min="12" max="12" width="3.42578125" style="38" customWidth="1"/>
    <col min="13" max="16384" width="9.140625" style="38"/>
  </cols>
  <sheetData>
    <row r="1" spans="1:14" ht="18.75">
      <c r="A1" s="60" t="s">
        <v>88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4">
      <c r="A2" s="61" t="s">
        <v>87</v>
      </c>
      <c r="B2" s="61"/>
      <c r="C2" s="61"/>
      <c r="D2" s="61"/>
      <c r="E2" s="61"/>
      <c r="F2" s="61"/>
      <c r="G2" s="61"/>
      <c r="H2" s="61"/>
      <c r="I2" s="61"/>
      <c r="J2" s="61"/>
      <c r="K2" s="61"/>
      <c r="N2" s="39"/>
    </row>
    <row r="3" spans="1:14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</row>
    <row r="4" spans="1:14" ht="18.75">
      <c r="A4" s="40" t="s">
        <v>66</v>
      </c>
      <c r="B4" s="41">
        <v>2009</v>
      </c>
      <c r="C4" s="41">
        <v>2010</v>
      </c>
      <c r="D4" s="41">
        <v>2011</v>
      </c>
      <c r="E4" s="41">
        <v>2012</v>
      </c>
      <c r="F4" s="41">
        <v>2013</v>
      </c>
      <c r="G4" s="41">
        <v>2014</v>
      </c>
      <c r="H4" s="41">
        <v>2015</v>
      </c>
      <c r="I4" s="41">
        <v>2016</v>
      </c>
      <c r="J4" s="41">
        <v>2017</v>
      </c>
      <c r="K4" s="42" t="s">
        <v>67</v>
      </c>
    </row>
    <row r="5" spans="1:14" s="46" customFormat="1" ht="18.75">
      <c r="A5" s="43" t="s">
        <v>0</v>
      </c>
      <c r="B5" s="44">
        <f t="shared" ref="B5:I5" si="0">SUM(B6:B9)</f>
        <v>314</v>
      </c>
      <c r="C5" s="44">
        <f t="shared" si="0"/>
        <v>331</v>
      </c>
      <c r="D5" s="44">
        <f t="shared" si="0"/>
        <v>485</v>
      </c>
      <c r="E5" s="44">
        <f t="shared" si="0"/>
        <v>654</v>
      </c>
      <c r="F5" s="44">
        <f t="shared" si="0"/>
        <v>440</v>
      </c>
      <c r="G5" s="44">
        <f t="shared" si="0"/>
        <v>624</v>
      </c>
      <c r="H5" s="44">
        <f t="shared" si="0"/>
        <v>642</v>
      </c>
      <c r="I5" s="44">
        <f t="shared" si="0"/>
        <v>1095</v>
      </c>
      <c r="J5" s="44">
        <f>SUM(J6:J14)</f>
        <v>1412</v>
      </c>
      <c r="K5" s="45" t="s">
        <v>4</v>
      </c>
    </row>
    <row r="6" spans="1:14" s="50" customFormat="1" ht="18.75">
      <c r="A6" s="47" t="s">
        <v>68</v>
      </c>
      <c r="B6" s="48">
        <v>75</v>
      </c>
      <c r="C6" s="48">
        <v>102</v>
      </c>
      <c r="D6" s="48">
        <v>156</v>
      </c>
      <c r="E6" s="48">
        <v>141</v>
      </c>
      <c r="F6" s="48">
        <v>116</v>
      </c>
      <c r="G6" s="48">
        <v>120</v>
      </c>
      <c r="H6" s="48">
        <v>227</v>
      </c>
      <c r="I6" s="48">
        <v>287</v>
      </c>
      <c r="J6" s="48">
        <v>297</v>
      </c>
      <c r="K6" s="49" t="s">
        <v>69</v>
      </c>
    </row>
    <row r="7" spans="1:14" s="50" customFormat="1" ht="18.75">
      <c r="A7" s="47" t="s">
        <v>70</v>
      </c>
      <c r="B7" s="48">
        <v>76</v>
      </c>
      <c r="C7" s="48">
        <v>69</v>
      </c>
      <c r="D7" s="48">
        <v>96</v>
      </c>
      <c r="E7" s="48">
        <v>159</v>
      </c>
      <c r="F7" s="48">
        <v>110</v>
      </c>
      <c r="G7" s="48">
        <v>139</v>
      </c>
      <c r="H7" s="48">
        <v>245</v>
      </c>
      <c r="I7" s="48">
        <v>324</v>
      </c>
      <c r="J7" s="48">
        <v>354</v>
      </c>
      <c r="K7" s="49" t="s">
        <v>71</v>
      </c>
    </row>
    <row r="8" spans="1:14" s="50" customFormat="1" ht="18.75">
      <c r="A8" s="47" t="s">
        <v>72</v>
      </c>
      <c r="B8" s="48">
        <v>30</v>
      </c>
      <c r="C8" s="48">
        <v>93</v>
      </c>
      <c r="D8" s="48">
        <v>146</v>
      </c>
      <c r="E8" s="48">
        <v>59</v>
      </c>
      <c r="F8" s="48">
        <v>170</v>
      </c>
      <c r="G8" s="48">
        <v>65</v>
      </c>
      <c r="H8" s="48">
        <v>72</v>
      </c>
      <c r="I8" s="48">
        <v>142</v>
      </c>
      <c r="J8" s="48">
        <v>182</v>
      </c>
      <c r="K8" s="49" t="s">
        <v>73</v>
      </c>
    </row>
    <row r="9" spans="1:14" s="50" customFormat="1" ht="18.75">
      <c r="A9" s="47" t="s">
        <v>74</v>
      </c>
      <c r="B9" s="48">
        <v>133</v>
      </c>
      <c r="C9" s="48">
        <v>67</v>
      </c>
      <c r="D9" s="48">
        <v>87</v>
      </c>
      <c r="E9" s="48">
        <v>295</v>
      </c>
      <c r="F9" s="48">
        <v>44</v>
      </c>
      <c r="G9" s="48">
        <v>300</v>
      </c>
      <c r="H9" s="48">
        <v>98</v>
      </c>
      <c r="I9" s="48">
        <v>342</v>
      </c>
      <c r="J9" s="48">
        <v>418</v>
      </c>
      <c r="K9" s="49" t="s">
        <v>75</v>
      </c>
    </row>
    <row r="10" spans="1:14" s="50" customFormat="1" ht="21">
      <c r="A10" s="47" t="s">
        <v>76</v>
      </c>
      <c r="B10" s="48">
        <v>0</v>
      </c>
      <c r="C10" s="48">
        <v>0</v>
      </c>
      <c r="D10" s="48">
        <v>0</v>
      </c>
      <c r="E10" s="48">
        <v>0</v>
      </c>
      <c r="F10" s="48">
        <v>0</v>
      </c>
      <c r="G10" s="48">
        <v>0</v>
      </c>
      <c r="H10" s="48">
        <v>0</v>
      </c>
      <c r="I10" s="48">
        <v>0</v>
      </c>
      <c r="J10" s="48">
        <v>39</v>
      </c>
      <c r="K10" s="56" t="s">
        <v>77</v>
      </c>
    </row>
    <row r="11" spans="1:14" s="50" customFormat="1" ht="18.75" customHeight="1">
      <c r="A11" s="47" t="s">
        <v>78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0</v>
      </c>
      <c r="I11" s="48">
        <v>0</v>
      </c>
      <c r="J11" s="48">
        <v>12</v>
      </c>
      <c r="K11" s="56" t="s">
        <v>79</v>
      </c>
    </row>
    <row r="12" spans="1:14" s="50" customFormat="1" ht="26.25" customHeight="1">
      <c r="A12" s="47" t="s">
        <v>80</v>
      </c>
      <c r="B12" s="48">
        <v>0</v>
      </c>
      <c r="C12" s="48">
        <v>0</v>
      </c>
      <c r="D12" s="48">
        <v>0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48</v>
      </c>
      <c r="K12" s="57" t="s">
        <v>81</v>
      </c>
    </row>
    <row r="13" spans="1:14" s="50" customFormat="1" ht="18.75" customHeight="1">
      <c r="A13" s="47" t="s">
        <v>82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10</v>
      </c>
      <c r="K13" s="56" t="s">
        <v>83</v>
      </c>
    </row>
    <row r="14" spans="1:14" s="50" customFormat="1" ht="19.5" customHeight="1">
      <c r="A14" s="54" t="s">
        <v>2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55">
        <v>52</v>
      </c>
      <c r="K14" s="58" t="s">
        <v>3</v>
      </c>
    </row>
    <row r="15" spans="1:14" ht="24.75" customHeight="1">
      <c r="A15" s="62" t="s">
        <v>86</v>
      </c>
      <c r="B15" s="62"/>
      <c r="C15" s="62"/>
      <c r="D15" s="62"/>
      <c r="E15" s="62"/>
      <c r="F15" s="62"/>
      <c r="G15" s="62"/>
      <c r="H15" s="62"/>
      <c r="I15" s="62"/>
      <c r="J15" s="52"/>
      <c r="K15" s="52" t="s">
        <v>85</v>
      </c>
    </row>
    <row r="16" spans="1:14">
      <c r="A16" s="51" t="s">
        <v>84</v>
      </c>
    </row>
  </sheetData>
  <mergeCells count="3">
    <mergeCell ref="A1:K1"/>
    <mergeCell ref="A2:K2"/>
    <mergeCell ref="A15:I15"/>
  </mergeCells>
  <pageMargins left="0.7" right="0.7" top="0.75" bottom="0.75" header="0.3" footer="0.3"/>
  <pageSetup paperSize="9" scale="74" orientation="landscape" horizontalDpi="4294967295" verticalDpi="4294967295" r:id="rId1"/>
  <rowBreaks count="1" manualBreakCount="1">
    <brk id="38" max="11" man="1"/>
  </rowBreaks>
  <ignoredErrors>
    <ignoredError sqref="B5:H5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4" t="s">
        <v>51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</row>
    <row r="2" spans="1:36">
      <c r="A2" s="59" t="s">
        <v>44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</row>
    <row r="3" spans="1:36" ht="15" customHeight="1">
      <c r="A3" s="65"/>
      <c r="B3" s="65"/>
      <c r="C3" s="66" t="s">
        <v>40</v>
      </c>
      <c r="D3" s="66"/>
      <c r="E3" s="66"/>
      <c r="F3" s="66"/>
      <c r="G3" s="66"/>
      <c r="H3" s="29"/>
      <c r="I3" s="29"/>
      <c r="J3" s="67" t="s">
        <v>6</v>
      </c>
      <c r="K3" s="67"/>
      <c r="L3" s="67"/>
      <c r="M3" s="67"/>
      <c r="N3" s="67"/>
      <c r="O3" s="24"/>
      <c r="P3" s="67" t="s">
        <v>7</v>
      </c>
      <c r="Q3" s="67"/>
      <c r="R3" s="67"/>
      <c r="S3" s="67"/>
      <c r="T3" s="67"/>
      <c r="U3" s="6"/>
      <c r="V3" s="6"/>
      <c r="W3" s="6"/>
      <c r="X3" s="68" t="s">
        <v>8</v>
      </c>
      <c r="Y3" s="68"/>
      <c r="Z3" s="68"/>
      <c r="AA3" s="68"/>
      <c r="AB3" s="68"/>
      <c r="AC3" s="25"/>
      <c r="AD3" s="25"/>
      <c r="AE3" s="68" t="s">
        <v>9</v>
      </c>
      <c r="AF3" s="68"/>
      <c r="AG3" s="68"/>
      <c r="AH3" s="68"/>
      <c r="AI3" s="68"/>
    </row>
    <row r="4" spans="1:36" ht="25.5">
      <c r="A4" s="63"/>
      <c r="B4" s="63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46</v>
      </c>
      <c r="I4" s="30" t="s">
        <v>52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46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46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46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46</v>
      </c>
    </row>
    <row r="5" spans="1:36" ht="14.25" customHeight="1">
      <c r="A5" s="23"/>
      <c r="B5" s="27" t="s">
        <v>48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48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48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49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49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49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50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50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50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45</v>
      </c>
    </row>
    <row r="36" spans="1:35">
      <c r="A36" s="1"/>
      <c r="B36" s="26" t="s">
        <v>46</v>
      </c>
    </row>
    <row r="37" spans="1:35">
      <c r="B37" s="27" t="s">
        <v>40</v>
      </c>
      <c r="C37" s="27" t="s">
        <v>47</v>
      </c>
      <c r="D37" s="27" t="s">
        <v>41</v>
      </c>
      <c r="E37" s="27"/>
      <c r="F37" s="27"/>
    </row>
    <row r="38" spans="1:35">
      <c r="A38" s="27" t="s">
        <v>48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49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50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53</v>
      </c>
      <c r="C42" s="34"/>
      <c r="D42" s="34"/>
    </row>
    <row r="43" spans="1:35">
      <c r="B43" s="27" t="s">
        <v>40</v>
      </c>
      <c r="C43" s="27" t="s">
        <v>47</v>
      </c>
      <c r="D43" s="27" t="s">
        <v>41</v>
      </c>
    </row>
    <row r="44" spans="1:35">
      <c r="A44" s="27" t="s">
        <v>48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49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50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54</v>
      </c>
      <c r="C49" s="34"/>
      <c r="D49" s="34"/>
    </row>
    <row r="50" spans="1:5">
      <c r="B50" s="27" t="s">
        <v>40</v>
      </c>
      <c r="C50" s="27" t="s">
        <v>47</v>
      </c>
      <c r="D50" s="27" t="s">
        <v>41</v>
      </c>
    </row>
    <row r="51" spans="1:5">
      <c r="A51" s="27" t="s">
        <v>48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49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50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55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56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54</v>
      </c>
      <c r="B59" s="35">
        <v>14232</v>
      </c>
      <c r="C59" s="35">
        <v>6099</v>
      </c>
      <c r="D59" s="35">
        <v>8133</v>
      </c>
    </row>
    <row r="60" spans="1:5">
      <c r="A60" s="34" t="s">
        <v>53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57</v>
      </c>
    </row>
    <row r="67" spans="1:11">
      <c r="B67" s="34"/>
      <c r="H67" s="34" t="s">
        <v>58</v>
      </c>
    </row>
    <row r="68" spans="1:11">
      <c r="A68" s="1"/>
      <c r="B68" s="34"/>
      <c r="C68" s="34" t="s">
        <v>59</v>
      </c>
      <c r="D68" s="34" t="s">
        <v>60</v>
      </c>
      <c r="E68" s="34" t="s">
        <v>61</v>
      </c>
      <c r="F68" s="34" t="s">
        <v>62</v>
      </c>
      <c r="G68" s="34"/>
      <c r="H68" s="36" t="s">
        <v>63</v>
      </c>
      <c r="I68" s="34" t="s">
        <v>64</v>
      </c>
      <c r="J68" s="34" t="s">
        <v>65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8.41</vt:lpstr>
      <vt:lpstr>8.20 workings</vt:lpstr>
      <vt:lpstr>'8.41'!Print_Area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2018-09-26T05:55:32Z</cp:lastPrinted>
  <dcterms:created xsi:type="dcterms:W3CDTF">2013-04-04T04:05:16Z</dcterms:created>
  <dcterms:modified xsi:type="dcterms:W3CDTF">2018-09-26T05:55:39Z</dcterms:modified>
</cp:coreProperties>
</file>