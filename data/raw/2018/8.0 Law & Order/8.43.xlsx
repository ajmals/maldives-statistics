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43" sheetId="89" r:id="rId1"/>
    <sheet name="8.20 workings" sheetId="36" state="hidden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B39" i="89" l="1"/>
  <c r="B38" i="89"/>
  <c r="B37" i="89"/>
  <c r="B36" i="89"/>
  <c r="J35" i="89"/>
  <c r="I35" i="89"/>
  <c r="H35" i="89"/>
  <c r="G35" i="89"/>
  <c r="F35" i="89"/>
  <c r="E35" i="89"/>
  <c r="D35" i="89"/>
  <c r="B27" i="89"/>
  <c r="B26" i="89"/>
  <c r="B25" i="89"/>
  <c r="B24" i="89"/>
  <c r="J23" i="89"/>
  <c r="I23" i="89"/>
  <c r="H23" i="89"/>
  <c r="G23" i="89"/>
  <c r="F23" i="89"/>
  <c r="E23" i="89"/>
  <c r="D23" i="89"/>
  <c r="B15" i="89"/>
  <c r="B14" i="89"/>
  <c r="B13" i="89"/>
  <c r="B12" i="89"/>
  <c r="B11" i="89"/>
  <c r="B10" i="89"/>
  <c r="B9" i="89"/>
  <c r="B8" i="89"/>
  <c r="B7" i="89"/>
  <c r="J6" i="89"/>
  <c r="I6" i="89"/>
  <c r="H6" i="89"/>
  <c r="G6" i="89"/>
  <c r="F6" i="89"/>
  <c r="E6" i="89"/>
  <c r="D6" i="89"/>
  <c r="B23" i="89" l="1"/>
  <c r="B6" i="89"/>
  <c r="B35" i="89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<sst xmlns="http://schemas.openxmlformats.org/spreadsheetml/2006/main" count="243" uniqueCount="101">
  <si>
    <t>Total</t>
  </si>
  <si>
    <t>Source: Department of Judicial Administration</t>
  </si>
  <si>
    <t>Others</t>
  </si>
  <si>
    <t>އެހެނިހެން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</si>
  <si>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</si>
  <si>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</si>
  <si>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</si>
  <si>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</si>
  <si>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</si>
  <si>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</si>
  <si>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</si>
  <si>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</si>
  <si>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</si>
  <si>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</si>
  <si>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</si>
  <si>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</si>
  <si>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</si>
  <si>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</si>
  <si>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</si>
  <si>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</si>
  <si>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</si>
  <si>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</si>
  <si>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</si>
  <si>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</si>
  <si>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</si>
  <si>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</si>
  <si>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</si>
  <si>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</si>
  <si>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</si>
  <si>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</si>
  <si>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</si>
  <si>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</si>
  <si>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</si>
  <si>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</si>
  <si>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</si>
  <si>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</si>
  <si>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</si>
  <si>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</si>
  <si>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</si>
  <si>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</si>
  <si>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</si>
  <si>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</si>
  <si>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</si>
  <si>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</si>
  <si>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</si>
  <si>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</si>
  <si>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</si>
  <si>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</si>
  <si>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</si>
  <si>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</si>
  <si>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</si>
  <si>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</si>
  <si>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</si>
  <si>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</si>
  <si>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</si>
  <si>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</si>
  <si>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</si>
  <si>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</si>
  <si>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</si>
  <si>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</si>
  <si>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</si>
  <si>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</si>
  <si>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</si>
  <si>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</si>
  <si>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</si>
  <si>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</si>
  <si>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ކުރެވޭ އަނިޔާގެ ބާވަތް</t>
  </si>
  <si>
    <t>Neglect</t>
  </si>
  <si>
    <t>އަޅާނުލުން</t>
  </si>
  <si>
    <t>Physical Abuse</t>
  </si>
  <si>
    <t>ޖިސްމާނީ އަނިޔާ</t>
  </si>
  <si>
    <t>Emotional Abuse</t>
  </si>
  <si>
    <t>ނަފްސާނީ އަނިޔާ</t>
  </si>
  <si>
    <t>Sexual Abuse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</si>
  <si>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</si>
  <si>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</si>
  <si>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</si>
  <si>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</si>
  <si>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</si>
  <si>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</si>
  <si>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</si>
  <si>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</si>
  <si>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</si>
  <si>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>Source: Ministry of Gender &amp; Family</t>
  </si>
  <si>
    <t>މަޢުލޫމާތު ދެއްވީ: މިނިސްޓްރީ އޮފް ޖެންޑަރ އެންޑް ފެމިލީ</t>
  </si>
  <si>
    <t>Types of abuse</t>
  </si>
  <si>
    <t xml:space="preserve">Age-group </t>
  </si>
  <si>
    <t>under 1 year</t>
  </si>
  <si>
    <t>1 - 4</t>
  </si>
  <si>
    <t>5</t>
  </si>
  <si>
    <t>6 - 9</t>
  </si>
  <si>
    <t>10 - 14</t>
  </si>
  <si>
    <t>15</t>
  </si>
  <si>
    <t>16 - 18</t>
  </si>
  <si>
    <t>ތާވަލު 8.36: ކުޑަކުދިންނަށް ކުރާ އަނިޔާއާއިބެހެގޮތުން ހުށަހެޅިފައިވާ މައްސަލަތައް،  2016</t>
  </si>
  <si>
    <t>Table 8.36: NUMBER OF REPORTED CHILD ABUSE CASES BY TYPE AND AGE OF CHILD, 2016</t>
  </si>
  <si>
    <t>ތާވަލު 8.18: ކުޑަކުދިންނަށް ކުރާ އަނިޔާއާއިބެހެގޮތުން ހުށަހެޅިފައިވާ މައްސަލަތައް،  2015</t>
  </si>
  <si>
    <t>Table 8.18: NUMBER OF REPORTED CHILD ABUSE CASES BY TYPE AND AGE OF CHILD, 2015</t>
  </si>
  <si>
    <t xml:space="preserve">Note: Others include: Child Deaths, Exploitation, Commercial Exploitation / Child Labor,  Commercial Sexual Exploitation,  Trafficking of Children, Victims of Bullying,  Child Abandonment 
</t>
  </si>
  <si>
    <t>Table 8.43: NUMBER OF REPORTED CHILD ABUSE CASES BY TYPE AND AGE OF CHILD, 2017</t>
  </si>
  <si>
    <t>ތާވަލު 8.43: ޢުމުރުފުރާގެ ގޮތުން ކުޑަކުދިންނަށް ކުރާ އަނިޔާއާއިބެހެގޮތުން ހުށަހެޅިފައިވާ މައްސަލަތައް، 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</si>
</sst>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Faruma"/>
    </font>
    <font>
      <sz val="10"/>
      <name val="Faruma"/>
    </font>
    <font>
      <sz val="10"/>
      <name val="A_Reethi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9" fillId="0" borderId="0"/>
    <xf numFmtId="0" fontId="13" fillId="0" borderId="7" applyNumberFormat="0" applyFill="0" applyAlignment="0" applyProtection="0"/>
    <xf numFmtId="0" fontId="9" fillId="0" borderId="0"/>
    <xf numFmtId="166" fontId="1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11" applyNumberFormat="0" applyAlignment="0" applyProtection="0"/>
    <xf numFmtId="0" fontId="24" fillId="8" borderId="12" applyNumberFormat="0" applyAlignment="0" applyProtection="0"/>
    <xf numFmtId="0" fontId="25" fillId="8" borderId="11" applyNumberFormat="0" applyAlignment="0" applyProtection="0"/>
    <xf numFmtId="0" fontId="26" fillId="0" borderId="13" applyNumberFormat="0" applyFill="0" applyAlignment="0" applyProtection="0"/>
    <xf numFmtId="0" fontId="27" fillId="9" borderId="14" applyNumberFormat="0" applyAlignment="0" applyProtection="0"/>
    <xf numFmtId="0" fontId="15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9" fillId="0" borderId="0"/>
  </cellStyleXfs>
  <cellXfs count="86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8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>
      <alignment horizontal="left" vertical="center" wrapText="1"/>
    </xf>
    <xf numFmtId="3" fontId="5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0" fillId="2" borderId="0" xfId="0" applyNumberFormat="1" applyFill="1"/>
    <xf numFmtId="164" fontId="4" fillId="2" borderId="0" xfId="0" applyNumberFormat="1" applyFont="1" applyFill="1" applyBorder="1" applyAlignment="1">
      <alignment vertical="top"/>
    </xf>
    <xf numFmtId="164" fontId="5" fillId="2" borderId="0" xfId="0" applyNumberFormat="1" applyFont="1" applyFill="1" applyBorder="1" applyAlignment="1">
      <alignment vertical="center"/>
    </xf>
    <xf numFmtId="164" fontId="5" fillId="2" borderId="0" xfId="0" applyNumberFormat="1" applyFont="1" applyFill="1" applyAlignment="1">
      <alignment vertical="center"/>
    </xf>
    <xf numFmtId="164" fontId="5" fillId="2" borderId="0" xfId="0" applyNumberFormat="1" applyFont="1" applyFill="1"/>
    <xf numFmtId="166" fontId="30" fillId="2" borderId="18" xfId="1" applyNumberFormat="1" applyFont="1" applyFill="1" applyBorder="1" applyAlignment="1">
      <alignment vertical="center" wrapText="1" readingOrder="2"/>
    </xf>
    <xf numFmtId="0" fontId="3" fillId="2" borderId="4" xfId="3" applyFont="1" applyFill="1" applyBorder="1" applyAlignment="1">
      <alignment horizontal="right" vertical="center"/>
    </xf>
    <xf numFmtId="49" fontId="3" fillId="2" borderId="4" xfId="3" applyNumberFormat="1" applyFont="1" applyFill="1" applyBorder="1" applyAlignment="1">
      <alignment horizontal="right" vertical="center"/>
    </xf>
    <xf numFmtId="166" fontId="3" fillId="2" borderId="18" xfId="1" applyNumberFormat="1" applyFont="1" applyFill="1" applyBorder="1" applyAlignment="1">
      <alignment vertical="center" wrapText="1"/>
    </xf>
    <xf numFmtId="3" fontId="3" fillId="2" borderId="18" xfId="1" applyNumberFormat="1" applyFont="1" applyFill="1" applyBorder="1" applyAlignment="1">
      <alignment vertical="center" wrapText="1"/>
    </xf>
    <xf numFmtId="164" fontId="3" fillId="2" borderId="0" xfId="0" applyNumberFormat="1" applyFont="1" applyFill="1" applyAlignment="1">
      <alignment vertical="center"/>
    </xf>
    <xf numFmtId="3" fontId="3" fillId="2" borderId="0" xfId="1" applyNumberFormat="1" applyFont="1" applyFill="1" applyAlignment="1">
      <alignment vertical="center" wrapText="1"/>
    </xf>
    <xf numFmtId="3" fontId="3" fillId="2" borderId="0" xfId="1" applyNumberFormat="1" applyFont="1" applyFill="1" applyBorder="1" applyAlignment="1">
      <alignment vertical="center" wrapText="1"/>
    </xf>
    <xf numFmtId="3" fontId="3" fillId="2" borderId="4" xfId="1" applyNumberFormat="1" applyFont="1" applyFill="1" applyBorder="1" applyAlignment="1">
      <alignment vertical="center" wrapText="1"/>
    </xf>
    <xf numFmtId="164" fontId="6" fillId="2" borderId="0" xfId="0" applyNumberFormat="1" applyFont="1" applyFill="1" applyBorder="1" applyAlignment="1">
      <alignment vertical="top"/>
    </xf>
    <xf numFmtId="164" fontId="31" fillId="2" borderId="0" xfId="0" applyNumberFormat="1" applyFont="1" applyFill="1" applyBorder="1" applyAlignment="1">
      <alignment vertical="top" readingOrder="2"/>
    </xf>
    <xf numFmtId="3" fontId="5" fillId="2" borderId="0" xfId="1" applyNumberFormat="1" applyFont="1" applyFill="1" applyBorder="1" applyAlignment="1">
      <alignment vertical="center" wrapText="1"/>
    </xf>
    <xf numFmtId="166" fontId="32" fillId="2" borderId="0" xfId="1" applyNumberFormat="1" applyFont="1" applyFill="1" applyBorder="1" applyAlignment="1">
      <alignment vertical="center" wrapText="1" readingOrder="2"/>
    </xf>
    <xf numFmtId="3" fontId="5" fillId="2" borderId="0" xfId="1" applyNumberFormat="1" applyFont="1" applyFill="1" applyAlignment="1">
      <alignment vertical="center" wrapText="1"/>
    </xf>
    <xf numFmtId="164" fontId="32" fillId="2" borderId="0" xfId="0" applyNumberFormat="1" applyFont="1" applyFill="1" applyBorder="1" applyAlignment="1">
      <alignment horizontal="right" vertical="top" wrapText="1" readingOrder="2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18" xfId="0" applyNumberFormat="1" applyFont="1" applyFill="1" applyBorder="1" applyAlignment="1">
      <alignment horizontal="right" vertical="center" wrapText="1"/>
    </xf>
    <xf numFmtId="164" fontId="3" fillId="2" borderId="4" xfId="0" applyNumberFormat="1" applyFont="1" applyFill="1" applyBorder="1" applyAlignment="1">
      <alignment horizontal="right" vertical="center" wrapText="1"/>
    </xf>
    <xf numFmtId="3" fontId="5" fillId="2" borderId="4" xfId="1" applyNumberFormat="1" applyFont="1" applyFill="1" applyBorder="1" applyAlignment="1">
      <alignment vertical="center" wrapText="1"/>
    </xf>
    <xf numFmtId="166" fontId="5" fillId="2" borderId="0" xfId="1" applyNumberFormat="1" applyFont="1" applyFill="1" applyAlignment="1">
      <alignment horizontal="left" vertical="center" wrapText="1" indent="1"/>
    </xf>
    <xf numFmtId="166" fontId="5" fillId="2" borderId="4" xfId="1" applyNumberFormat="1" applyFont="1" applyFill="1" applyBorder="1" applyAlignment="1">
      <alignment horizontal="left" vertical="center" wrapText="1" indent="1"/>
    </xf>
    <xf numFmtId="166" fontId="31" fillId="2" borderId="0" xfId="1" applyNumberFormat="1" applyFont="1" applyFill="1" applyAlignment="1">
      <alignment horizontal="right" vertical="center" wrapText="1" indent="1" readingOrder="2"/>
    </xf>
    <xf numFmtId="166" fontId="32" fillId="2" borderId="4" xfId="1" applyNumberFormat="1" applyFont="1" applyFill="1" applyBorder="1" applyAlignment="1">
      <alignment horizontal="right" vertical="center" wrapText="1" indent="1" readingOrder="2"/>
    </xf>
    <xf numFmtId="166" fontId="5" fillId="2" borderId="0" xfId="1" applyNumberFormat="1" applyFont="1" applyFill="1" applyBorder="1" applyAlignment="1">
      <alignment horizontal="left" vertical="center" wrapText="1" indent="1"/>
    </xf>
    <xf numFmtId="166" fontId="31" fillId="2" borderId="0" xfId="1" applyNumberFormat="1" applyFont="1" applyFill="1" applyBorder="1" applyAlignment="1">
      <alignment horizontal="right" vertical="center" wrapText="1" indent="1" readingOrder="2"/>
    </xf>
    <xf numFmtId="166" fontId="31" fillId="2" borderId="4" xfId="1" applyNumberFormat="1" applyFont="1" applyFill="1" applyBorder="1" applyAlignment="1">
      <alignment horizontal="right" vertical="center" wrapText="1" indent="1" readingOrder="2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0" fillId="2" borderId="0" xfId="0" applyNumberFormat="1" applyFont="1" applyFill="1" applyAlignment="1">
      <alignment horizontal="center" vertical="center" wrapText="1" readingOrder="2"/>
    </xf>
    <xf numFmtId="164" fontId="3" fillId="2" borderId="0" xfId="0" applyNumberFormat="1" applyFont="1" applyFill="1" applyBorder="1" applyAlignment="1">
      <alignment horizontal="center" vertical="center" wrapText="1"/>
    </xf>
    <xf numFmtId="164" fontId="10" fillId="2" borderId="18" xfId="0" applyNumberFormat="1" applyFont="1" applyFill="1" applyBorder="1" applyAlignment="1">
      <alignment horizontal="left" vertical="center" wrapText="1"/>
    </xf>
    <xf numFmtId="164" fontId="3" fillId="2" borderId="18" xfId="0" applyNumberFormat="1" applyFont="1" applyFill="1" applyBorder="1" applyAlignment="1">
      <alignment horizontal="left" vertical="center" wrapText="1"/>
    </xf>
    <xf numFmtId="164" fontId="3" fillId="2" borderId="4" xfId="0" applyNumberFormat="1" applyFont="1" applyFill="1" applyBorder="1" applyAlignment="1">
      <alignment horizontal="left" vertical="center" wrapText="1"/>
    </xf>
    <xf numFmtId="164" fontId="30" fillId="2" borderId="18" xfId="0" applyNumberFormat="1" applyFont="1" applyFill="1" applyBorder="1" applyAlignment="1">
      <alignment horizontal="right" vertical="center" wrapText="1" readingOrder="2"/>
    </xf>
    <xf numFmtId="164" fontId="30" fillId="2" borderId="4" xfId="0" applyNumberFormat="1" applyFont="1" applyFill="1" applyBorder="1" applyAlignment="1">
      <alignment horizontal="right" vertical="center" wrapText="1" readingOrder="2"/>
    </xf>
    <xf numFmtId="164" fontId="3" fillId="2" borderId="18" xfId="0" applyNumberFormat="1" applyFont="1" applyFill="1" applyBorder="1" applyAlignment="1">
      <alignment horizontal="right" vertical="center" wrapText="1"/>
    </xf>
    <xf numFmtId="164" fontId="3" fillId="2" borderId="4" xfId="0" applyNumberFormat="1" applyFont="1" applyFill="1" applyBorder="1" applyAlignment="1">
      <alignment horizontal="right" vertical="center" wrapText="1"/>
    </xf>
    <xf numFmtId="164" fontId="3" fillId="2" borderId="17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6"/>
    <cellStyle name="Explanatory Text" xfId="23" builtinId="53" customBuiltin="1"/>
    <cellStyle name="Good" xfId="13" builtinId="26" customBuiltin="1"/>
    <cellStyle name="Heading 1" xfId="9" builtinId="16" customBuiltin="1"/>
    <cellStyle name="Heading 1 2" xfId="4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0"/>
    <cellStyle name="Normal 2 2" xfId="49"/>
    <cellStyle name="Normal 3" xfId="2"/>
    <cellStyle name="Normal 5" xfId="5"/>
    <cellStyle name="Normal_II-14(Population)" xfId="3"/>
    <cellStyle name="Note" xfId="22" builtinId="10" customBuiltin="1"/>
    <cellStyle name="Output" xfId="17" builtinId="21" customBuiltin="1"/>
    <cellStyle name="Percent 2" xfId="7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40"/>
  <sheetViews>
    <sheetView tabSelected="1" zoomScaleNormal="100" workbookViewId="0">
      <selection activeCell="P23" sqref="P23"/>
    </sheetView>
  </sheetViews>
  <sheetFormatPr defaultColWidth="6.85546875" defaultRowHeight="15"/>
  <cols>
    <col min="1" max="1" width="23" style="38" customWidth="1"/>
    <col min="2" max="2" width="6.85546875" style="38"/>
    <col min="3" max="3" width="3.28515625" style="38" customWidth="1"/>
    <col min="4" max="4" width="9.7109375" style="38" customWidth="1"/>
    <col min="5" max="10" width="10.85546875" style="38" customWidth="1"/>
    <col min="11" max="11" width="39.7109375" style="38" customWidth="1"/>
    <col min="12" max="16384" width="6.85546875" style="38"/>
  </cols>
  <sheetData>
    <row r="1" spans="1:11" s="42" customFormat="1" ht="18.75">
      <c r="A1" s="70" t="s">
        <v>100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 spans="1:11" s="42" customFormat="1" ht="12.75">
      <c r="A2" s="71" t="s">
        <v>99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s="42" customFormat="1" ht="12.7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s="42" customFormat="1" ht="12.75">
      <c r="A4" s="73" t="s">
        <v>85</v>
      </c>
      <c r="B4" s="77" t="s">
        <v>0</v>
      </c>
      <c r="C4" s="59"/>
      <c r="D4" s="79" t="s">
        <v>86</v>
      </c>
      <c r="E4" s="79"/>
      <c r="F4" s="79"/>
      <c r="G4" s="79"/>
      <c r="H4" s="79"/>
      <c r="I4" s="79"/>
      <c r="J4" s="79"/>
      <c r="K4" s="75" t="s">
        <v>66</v>
      </c>
    </row>
    <row r="5" spans="1:11" s="42" customFormat="1" ht="12.75">
      <c r="A5" s="74"/>
      <c r="B5" s="78"/>
      <c r="C5" s="60"/>
      <c r="D5" s="44" t="s">
        <v>87</v>
      </c>
      <c r="E5" s="45" t="s">
        <v>88</v>
      </c>
      <c r="F5" s="45" t="s">
        <v>89</v>
      </c>
      <c r="G5" s="45" t="s">
        <v>90</v>
      </c>
      <c r="H5" s="45" t="s">
        <v>91</v>
      </c>
      <c r="I5" s="45" t="s">
        <v>92</v>
      </c>
      <c r="J5" s="45" t="s">
        <v>93</v>
      </c>
      <c r="K5" s="76"/>
    </row>
    <row r="6" spans="1:11" s="48" customFormat="1" ht="18.75">
      <c r="A6" s="46" t="s">
        <v>0</v>
      </c>
      <c r="B6" s="47">
        <f>SUM(B7:B15)</f>
        <v>808</v>
      </c>
      <c r="C6" s="47"/>
      <c r="D6" s="47">
        <f t="shared" ref="D6:J6" si="0">SUM(D7:D15)</f>
        <v>56</v>
      </c>
      <c r="E6" s="47">
        <f t="shared" si="0"/>
        <v>120</v>
      </c>
      <c r="F6" s="47">
        <f t="shared" si="0"/>
        <v>60</v>
      </c>
      <c r="G6" s="47">
        <f t="shared" si="0"/>
        <v>176</v>
      </c>
      <c r="H6" s="47">
        <f t="shared" si="0"/>
        <v>229</v>
      </c>
      <c r="I6" s="47">
        <f t="shared" si="0"/>
        <v>40</v>
      </c>
      <c r="J6" s="47">
        <f t="shared" si="0"/>
        <v>127</v>
      </c>
      <c r="K6" s="43" t="s">
        <v>4</v>
      </c>
    </row>
    <row r="7" spans="1:11" s="41" customFormat="1" ht="18.75">
      <c r="A7" s="62" t="s">
        <v>67</v>
      </c>
      <c r="B7" s="49">
        <f>SUM(D7:J7)</f>
        <v>201</v>
      </c>
      <c r="C7" s="49"/>
      <c r="D7" s="56">
        <v>37</v>
      </c>
      <c r="E7" s="56">
        <v>53</v>
      </c>
      <c r="F7" s="56">
        <v>22</v>
      </c>
      <c r="G7" s="56">
        <v>53</v>
      </c>
      <c r="H7" s="56">
        <v>26</v>
      </c>
      <c r="I7" s="56">
        <v>3</v>
      </c>
      <c r="J7" s="56">
        <v>7</v>
      </c>
      <c r="K7" s="64" t="s">
        <v>68</v>
      </c>
    </row>
    <row r="8" spans="1:11" s="41" customFormat="1" ht="18.75">
      <c r="A8" s="62" t="s">
        <v>69</v>
      </c>
      <c r="B8" s="49">
        <f>SUM(D8:J8)</f>
        <v>186</v>
      </c>
      <c r="C8" s="49"/>
      <c r="D8" s="56">
        <v>7</v>
      </c>
      <c r="E8" s="56">
        <v>41</v>
      </c>
      <c r="F8" s="56">
        <v>14</v>
      </c>
      <c r="G8" s="56">
        <v>42</v>
      </c>
      <c r="H8" s="56">
        <v>50</v>
      </c>
      <c r="I8" s="56">
        <v>10</v>
      </c>
      <c r="J8" s="56">
        <v>22</v>
      </c>
      <c r="K8" s="64" t="s">
        <v>70</v>
      </c>
    </row>
    <row r="9" spans="1:11" s="41" customFormat="1" ht="18.75">
      <c r="A9" s="62" t="s">
        <v>73</v>
      </c>
      <c r="B9" s="49">
        <f>SUM(D9:J9)</f>
        <v>201</v>
      </c>
      <c r="C9" s="49"/>
      <c r="D9" s="56">
        <v>4</v>
      </c>
      <c r="E9" s="56">
        <v>13</v>
      </c>
      <c r="F9" s="56">
        <v>10</v>
      </c>
      <c r="G9" s="56">
        <v>36</v>
      </c>
      <c r="H9" s="56">
        <v>71</v>
      </c>
      <c r="I9" s="56">
        <v>15</v>
      </c>
      <c r="J9" s="56">
        <v>52</v>
      </c>
      <c r="K9" s="64" t="s">
        <v>74</v>
      </c>
    </row>
    <row r="10" spans="1:11" s="41" customFormat="1" ht="18.75">
      <c r="A10" s="62" t="s">
        <v>71</v>
      </c>
      <c r="B10" s="49">
        <f>SUM(D10:J10)</f>
        <v>117</v>
      </c>
      <c r="C10" s="49"/>
      <c r="D10" s="56">
        <v>6</v>
      </c>
      <c r="E10" s="56">
        <v>6</v>
      </c>
      <c r="F10" s="56">
        <v>8</v>
      </c>
      <c r="G10" s="56">
        <v>31</v>
      </c>
      <c r="H10" s="56">
        <v>35</v>
      </c>
      <c r="I10" s="56">
        <v>8</v>
      </c>
      <c r="J10" s="56">
        <v>23</v>
      </c>
      <c r="K10" s="64" t="s">
        <v>72</v>
      </c>
    </row>
    <row r="11" spans="1:11" s="41" customFormat="1" ht="18.75">
      <c r="A11" s="62" t="s">
        <v>75</v>
      </c>
      <c r="B11" s="49">
        <f t="shared" ref="B11:B15" si="1">SUM(D11:J11)</f>
        <v>16</v>
      </c>
      <c r="C11" s="49"/>
      <c r="D11" s="56">
        <v>0</v>
      </c>
      <c r="E11" s="56">
        <v>0</v>
      </c>
      <c r="F11" s="56">
        <v>0</v>
      </c>
      <c r="G11" s="56">
        <v>2</v>
      </c>
      <c r="H11" s="56">
        <v>11</v>
      </c>
      <c r="I11" s="56">
        <v>0</v>
      </c>
      <c r="J11" s="56">
        <v>3</v>
      </c>
      <c r="K11" s="64" t="s">
        <v>76</v>
      </c>
    </row>
    <row r="12" spans="1:11" s="41" customFormat="1" ht="18.75">
      <c r="A12" s="62" t="s">
        <v>77</v>
      </c>
      <c r="B12" s="49">
        <f t="shared" si="1"/>
        <v>3</v>
      </c>
      <c r="C12" s="50"/>
      <c r="D12" s="54">
        <v>0</v>
      </c>
      <c r="E12" s="54">
        <v>0</v>
      </c>
      <c r="F12" s="54">
        <v>0</v>
      </c>
      <c r="G12" s="54">
        <v>0</v>
      </c>
      <c r="H12" s="54">
        <v>2</v>
      </c>
      <c r="I12" s="54">
        <v>0</v>
      </c>
      <c r="J12" s="54">
        <v>1</v>
      </c>
      <c r="K12" s="64" t="s">
        <v>78</v>
      </c>
    </row>
    <row r="13" spans="1:11" s="41" customFormat="1" ht="31.5" customHeight="1">
      <c r="A13" s="62" t="s">
        <v>79</v>
      </c>
      <c r="B13" s="49">
        <f t="shared" si="1"/>
        <v>24</v>
      </c>
      <c r="C13" s="50"/>
      <c r="D13" s="54">
        <v>2</v>
      </c>
      <c r="E13" s="54">
        <v>4</v>
      </c>
      <c r="F13" s="54">
        <v>4</v>
      </c>
      <c r="G13" s="54">
        <v>4</v>
      </c>
      <c r="H13" s="54">
        <v>9</v>
      </c>
      <c r="I13" s="54">
        <v>1</v>
      </c>
      <c r="J13" s="54">
        <v>0</v>
      </c>
      <c r="K13" s="64" t="s">
        <v>80</v>
      </c>
    </row>
    <row r="14" spans="1:11" s="41" customFormat="1" ht="18.75" customHeight="1">
      <c r="A14" s="62" t="s">
        <v>81</v>
      </c>
      <c r="B14" s="49">
        <f t="shared" si="1"/>
        <v>8</v>
      </c>
      <c r="C14" s="50"/>
      <c r="D14" s="54">
        <v>0</v>
      </c>
      <c r="E14" s="54">
        <v>0</v>
      </c>
      <c r="F14" s="54">
        <v>0</v>
      </c>
      <c r="G14" s="54">
        <v>1</v>
      </c>
      <c r="H14" s="54">
        <v>2</v>
      </c>
      <c r="I14" s="54">
        <v>0</v>
      </c>
      <c r="J14" s="54">
        <v>5</v>
      </c>
      <c r="K14" s="64" t="s">
        <v>82</v>
      </c>
    </row>
    <row r="15" spans="1:11" s="41" customFormat="1" ht="18.75">
      <c r="A15" s="63" t="s">
        <v>2</v>
      </c>
      <c r="B15" s="51">
        <f t="shared" si="1"/>
        <v>52</v>
      </c>
      <c r="C15" s="51"/>
      <c r="D15" s="61">
        <v>0</v>
      </c>
      <c r="E15" s="61">
        <v>3</v>
      </c>
      <c r="F15" s="61">
        <v>2</v>
      </c>
      <c r="G15" s="61">
        <v>7</v>
      </c>
      <c r="H15" s="61">
        <v>23</v>
      </c>
      <c r="I15" s="61">
        <v>3</v>
      </c>
      <c r="J15" s="61">
        <v>14</v>
      </c>
      <c r="K15" s="65" t="s">
        <v>3</v>
      </c>
    </row>
    <row r="16" spans="1:11" s="42" customFormat="1" ht="24" customHeight="1">
      <c r="A16" s="72" t="s">
        <v>98</v>
      </c>
      <c r="B16" s="72"/>
      <c r="C16" s="72"/>
      <c r="D16" s="72"/>
      <c r="E16" s="72"/>
      <c r="F16" s="72"/>
      <c r="G16" s="72"/>
      <c r="H16" s="72"/>
      <c r="I16" s="53"/>
      <c r="J16" s="53"/>
      <c r="K16" s="53" t="s">
        <v>84</v>
      </c>
    </row>
    <row r="17" spans="1:11" s="41" customFormat="1" ht="18.75">
      <c r="A17" s="52" t="s">
        <v>83</v>
      </c>
      <c r="B17" s="42"/>
      <c r="C17" s="42"/>
      <c r="D17" s="42"/>
      <c r="E17" s="54"/>
      <c r="F17" s="54"/>
      <c r="G17" s="54"/>
      <c r="H17" s="54"/>
      <c r="I17" s="54"/>
      <c r="J17" s="54"/>
      <c r="K17" s="55"/>
    </row>
    <row r="18" spans="1:11" s="42" customFormat="1" ht="18.75">
      <c r="A18" s="70" t="s">
        <v>94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</row>
    <row r="19" spans="1:11" s="42" customFormat="1" ht="12.75">
      <c r="A19" s="71" t="s">
        <v>95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</row>
    <row r="20" spans="1:11" s="42" customFormat="1" ht="12.7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</row>
    <row r="21" spans="1:11" s="42" customFormat="1" ht="12.75">
      <c r="A21" s="73" t="s">
        <v>85</v>
      </c>
      <c r="B21" s="77" t="s">
        <v>0</v>
      </c>
      <c r="C21" s="59"/>
      <c r="D21" s="79" t="s">
        <v>86</v>
      </c>
      <c r="E21" s="79"/>
      <c r="F21" s="79"/>
      <c r="G21" s="79"/>
      <c r="H21" s="79"/>
      <c r="I21" s="79"/>
      <c r="J21" s="79"/>
      <c r="K21" s="75" t="s">
        <v>66</v>
      </c>
    </row>
    <row r="22" spans="1:11" s="42" customFormat="1" ht="12.75">
      <c r="A22" s="74"/>
      <c r="B22" s="78"/>
      <c r="C22" s="60"/>
      <c r="D22" s="44" t="s">
        <v>87</v>
      </c>
      <c r="E22" s="45" t="s">
        <v>88</v>
      </c>
      <c r="F22" s="45" t="s">
        <v>89</v>
      </c>
      <c r="G22" s="45" t="s">
        <v>90</v>
      </c>
      <c r="H22" s="45" t="s">
        <v>91</v>
      </c>
      <c r="I22" s="45" t="s">
        <v>92</v>
      </c>
      <c r="J22" s="45" t="s">
        <v>93</v>
      </c>
      <c r="K22" s="76"/>
    </row>
    <row r="23" spans="1:11" s="48" customFormat="1" ht="18.75">
      <c r="A23" s="46" t="s">
        <v>0</v>
      </c>
      <c r="B23" s="47">
        <f t="shared" ref="B23" si="2">SUM(B24:B27)</f>
        <v>1076</v>
      </c>
      <c r="C23" s="47"/>
      <c r="D23" s="47">
        <f t="shared" ref="D23:J23" si="3">SUM(D24:D27)</f>
        <v>39</v>
      </c>
      <c r="E23" s="47">
        <f t="shared" si="3"/>
        <v>193</v>
      </c>
      <c r="F23" s="47">
        <f t="shared" si="3"/>
        <v>51</v>
      </c>
      <c r="G23" s="47">
        <f t="shared" si="3"/>
        <v>263</v>
      </c>
      <c r="H23" s="47">
        <f t="shared" si="3"/>
        <v>356</v>
      </c>
      <c r="I23" s="47">
        <f t="shared" si="3"/>
        <v>71</v>
      </c>
      <c r="J23" s="47">
        <f t="shared" si="3"/>
        <v>103</v>
      </c>
      <c r="K23" s="43" t="s">
        <v>4</v>
      </c>
    </row>
    <row r="24" spans="1:11" s="41" customFormat="1" ht="18.75">
      <c r="A24" s="66" t="s">
        <v>67</v>
      </c>
      <c r="B24" s="49">
        <f>SUM(D24:J24)</f>
        <v>284</v>
      </c>
      <c r="C24" s="49"/>
      <c r="D24" s="56">
        <v>30</v>
      </c>
      <c r="E24" s="56">
        <v>83</v>
      </c>
      <c r="F24" s="56">
        <v>17</v>
      </c>
      <c r="G24" s="56">
        <v>79</v>
      </c>
      <c r="H24" s="56">
        <v>56</v>
      </c>
      <c r="I24" s="56">
        <v>12</v>
      </c>
      <c r="J24" s="56">
        <v>7</v>
      </c>
      <c r="K24" s="67" t="s">
        <v>68</v>
      </c>
    </row>
    <row r="25" spans="1:11" s="41" customFormat="1" ht="18.75">
      <c r="A25" s="66" t="s">
        <v>69</v>
      </c>
      <c r="B25" s="49">
        <f>SUM(D25:J25)</f>
        <v>325</v>
      </c>
      <c r="C25" s="49"/>
      <c r="D25" s="56">
        <v>8</v>
      </c>
      <c r="E25" s="56">
        <v>63</v>
      </c>
      <c r="F25" s="56">
        <v>18</v>
      </c>
      <c r="G25" s="56">
        <v>89</v>
      </c>
      <c r="H25" s="56">
        <v>106</v>
      </c>
      <c r="I25" s="56">
        <v>14</v>
      </c>
      <c r="J25" s="56">
        <v>27</v>
      </c>
      <c r="K25" s="67" t="s">
        <v>70</v>
      </c>
    </row>
    <row r="26" spans="1:11" s="41" customFormat="1" ht="18.75">
      <c r="A26" s="66" t="s">
        <v>73</v>
      </c>
      <c r="B26" s="50">
        <f>SUM(D26:J26)</f>
        <v>332</v>
      </c>
      <c r="C26" s="50"/>
      <c r="D26" s="54">
        <v>1</v>
      </c>
      <c r="E26" s="54">
        <v>21</v>
      </c>
      <c r="F26" s="54">
        <v>10</v>
      </c>
      <c r="G26" s="54">
        <v>57</v>
      </c>
      <c r="H26" s="54">
        <v>156</v>
      </c>
      <c r="I26" s="56">
        <v>32</v>
      </c>
      <c r="J26" s="56">
        <v>55</v>
      </c>
      <c r="K26" s="67" t="s">
        <v>74</v>
      </c>
    </row>
    <row r="27" spans="1:11" s="41" customFormat="1" ht="18.75">
      <c r="A27" s="63" t="s">
        <v>71</v>
      </c>
      <c r="B27" s="51">
        <f>SUM(D27:J27)</f>
        <v>135</v>
      </c>
      <c r="C27" s="51"/>
      <c r="D27" s="61">
        <v>0</v>
      </c>
      <c r="E27" s="61">
        <v>26</v>
      </c>
      <c r="F27" s="61">
        <v>6</v>
      </c>
      <c r="G27" s="61">
        <v>38</v>
      </c>
      <c r="H27" s="61">
        <v>38</v>
      </c>
      <c r="I27" s="61">
        <v>13</v>
      </c>
      <c r="J27" s="61">
        <v>14</v>
      </c>
      <c r="K27" s="68" t="s">
        <v>72</v>
      </c>
    </row>
    <row r="28" spans="1:11" s="41" customFormat="1" ht="18.75">
      <c r="A28" s="52" t="s">
        <v>83</v>
      </c>
      <c r="B28" s="42"/>
      <c r="C28" s="42"/>
      <c r="D28" s="42"/>
      <c r="E28" s="54"/>
      <c r="F28" s="54"/>
      <c r="G28" s="54"/>
      <c r="H28" s="54"/>
      <c r="I28" s="54"/>
      <c r="J28" s="54"/>
      <c r="K28" s="53" t="s">
        <v>84</v>
      </c>
    </row>
    <row r="29" spans="1:11" s="42" customFormat="1" ht="18.75">
      <c r="A29" s="52"/>
      <c r="B29" s="52"/>
      <c r="C29" s="52"/>
      <c r="D29" s="39"/>
      <c r="E29" s="39"/>
      <c r="F29" s="57"/>
      <c r="G29" s="57"/>
      <c r="H29" s="57"/>
      <c r="I29" s="57"/>
      <c r="J29" s="57"/>
      <c r="K29" s="57"/>
    </row>
    <row r="30" spans="1:11" s="42" customFormat="1" ht="18.75">
      <c r="A30" s="70" t="s">
        <v>96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</row>
    <row r="31" spans="1:11" s="42" customFormat="1" ht="12.75">
      <c r="A31" s="71" t="s">
        <v>97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</row>
    <row r="32" spans="1:11" s="42" customFormat="1" ht="12.7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</row>
    <row r="33" spans="1:11" s="42" customFormat="1" ht="12.75">
      <c r="A33" s="73" t="s">
        <v>85</v>
      </c>
      <c r="B33" s="77" t="s">
        <v>0</v>
      </c>
      <c r="C33" s="59"/>
      <c r="D33" s="79" t="s">
        <v>86</v>
      </c>
      <c r="E33" s="79"/>
      <c r="F33" s="79"/>
      <c r="G33" s="79"/>
      <c r="H33" s="79"/>
      <c r="I33" s="79"/>
      <c r="J33" s="79"/>
      <c r="K33" s="75" t="s">
        <v>66</v>
      </c>
    </row>
    <row r="34" spans="1:11" s="42" customFormat="1" ht="12.75">
      <c r="A34" s="74"/>
      <c r="B34" s="78"/>
      <c r="C34" s="60"/>
      <c r="D34" s="44" t="s">
        <v>87</v>
      </c>
      <c r="E34" s="45" t="s">
        <v>88</v>
      </c>
      <c r="F34" s="45" t="s">
        <v>89</v>
      </c>
      <c r="G34" s="45" t="s">
        <v>90</v>
      </c>
      <c r="H34" s="45" t="s">
        <v>91</v>
      </c>
      <c r="I34" s="45" t="s">
        <v>92</v>
      </c>
      <c r="J34" s="45" t="s">
        <v>93</v>
      </c>
      <c r="K34" s="76"/>
    </row>
    <row r="35" spans="1:11" s="48" customFormat="1" ht="18.75">
      <c r="A35" s="46" t="s">
        <v>0</v>
      </c>
      <c r="B35" s="47">
        <f t="shared" ref="B35" si="4">SUM(B36:B39)</f>
        <v>892</v>
      </c>
      <c r="C35" s="47"/>
      <c r="D35" s="47">
        <f>SUM(D36:D39)</f>
        <v>22</v>
      </c>
      <c r="E35" s="47">
        <f t="shared" ref="E35:J35" si="5">SUM(E36:E39)</f>
        <v>174</v>
      </c>
      <c r="F35" s="47">
        <f t="shared" si="5"/>
        <v>56</v>
      </c>
      <c r="G35" s="47">
        <f t="shared" si="5"/>
        <v>216</v>
      </c>
      <c r="H35" s="47">
        <f t="shared" si="5"/>
        <v>259</v>
      </c>
      <c r="I35" s="47">
        <f t="shared" si="5"/>
        <v>58</v>
      </c>
      <c r="J35" s="47">
        <f t="shared" si="5"/>
        <v>107</v>
      </c>
      <c r="K35" s="43" t="s">
        <v>4</v>
      </c>
    </row>
    <row r="36" spans="1:11" s="41" customFormat="1" ht="18.75">
      <c r="A36" s="66" t="s">
        <v>67</v>
      </c>
      <c r="B36" s="49">
        <f>SUM(D36:J36)</f>
        <v>230</v>
      </c>
      <c r="C36" s="49"/>
      <c r="D36" s="56">
        <v>16</v>
      </c>
      <c r="E36" s="56">
        <v>77</v>
      </c>
      <c r="F36" s="56">
        <v>16</v>
      </c>
      <c r="G36" s="56">
        <v>65</v>
      </c>
      <c r="H36" s="56">
        <v>43</v>
      </c>
      <c r="I36" s="56">
        <v>6</v>
      </c>
      <c r="J36" s="56">
        <v>7</v>
      </c>
      <c r="K36" s="67" t="s">
        <v>68</v>
      </c>
    </row>
    <row r="37" spans="1:11" s="41" customFormat="1" ht="18.75">
      <c r="A37" s="66" t="s">
        <v>69</v>
      </c>
      <c r="B37" s="49">
        <f>SUM(D37:J37)</f>
        <v>264</v>
      </c>
      <c r="C37" s="49"/>
      <c r="D37" s="56">
        <v>2</v>
      </c>
      <c r="E37" s="56">
        <v>63</v>
      </c>
      <c r="F37" s="56">
        <v>18</v>
      </c>
      <c r="G37" s="56">
        <v>76</v>
      </c>
      <c r="H37" s="56">
        <v>71</v>
      </c>
      <c r="I37" s="56">
        <v>9</v>
      </c>
      <c r="J37" s="56">
        <v>25</v>
      </c>
      <c r="K37" s="67" t="s">
        <v>70</v>
      </c>
    </row>
    <row r="38" spans="1:11" s="41" customFormat="1" ht="18.75">
      <c r="A38" s="66" t="s">
        <v>73</v>
      </c>
      <c r="B38" s="49">
        <f>SUM(D38:J38)</f>
        <v>327</v>
      </c>
      <c r="C38" s="49"/>
      <c r="D38" s="56">
        <v>1</v>
      </c>
      <c r="E38" s="56">
        <v>23</v>
      </c>
      <c r="F38" s="56">
        <v>15</v>
      </c>
      <c r="G38" s="56">
        <v>55</v>
      </c>
      <c r="H38" s="56">
        <v>121</v>
      </c>
      <c r="I38" s="56">
        <v>40</v>
      </c>
      <c r="J38" s="56">
        <v>72</v>
      </c>
      <c r="K38" s="67" t="s">
        <v>74</v>
      </c>
    </row>
    <row r="39" spans="1:11" s="40" customFormat="1" ht="18.75">
      <c r="A39" s="63" t="s">
        <v>71</v>
      </c>
      <c r="B39" s="51">
        <f>SUM(D39:J39)</f>
        <v>71</v>
      </c>
      <c r="C39" s="51"/>
      <c r="D39" s="61">
        <v>3</v>
      </c>
      <c r="E39" s="61">
        <v>11</v>
      </c>
      <c r="F39" s="61">
        <v>7</v>
      </c>
      <c r="G39" s="61">
        <v>20</v>
      </c>
      <c r="H39" s="61">
        <v>24</v>
      </c>
      <c r="I39" s="61">
        <v>3</v>
      </c>
      <c r="J39" s="61">
        <v>3</v>
      </c>
      <c r="K39" s="68" t="s">
        <v>72</v>
      </c>
    </row>
    <row r="40" spans="1:11" s="41" customFormat="1" ht="18.75">
      <c r="A40" s="52" t="s">
        <v>83</v>
      </c>
      <c r="B40" s="42"/>
      <c r="C40" s="42"/>
      <c r="D40" s="42"/>
      <c r="E40" s="54"/>
      <c r="F40" s="54"/>
      <c r="G40" s="54"/>
      <c r="H40" s="54"/>
      <c r="I40" s="54"/>
      <c r="J40" s="54"/>
      <c r="K40" s="53" t="s">
        <v>84</v>
      </c>
    </row>
  </sheetData>
  <mergeCells count="19">
    <mergeCell ref="A16:H16"/>
    <mergeCell ref="A1:K1"/>
    <mergeCell ref="A2:K2"/>
    <mergeCell ref="A4:A5"/>
    <mergeCell ref="B4:B5"/>
    <mergeCell ref="D4:J4"/>
    <mergeCell ref="K4:K5"/>
    <mergeCell ref="A18:K18"/>
    <mergeCell ref="A19:K19"/>
    <mergeCell ref="A21:A22"/>
    <mergeCell ref="B21:B22"/>
    <mergeCell ref="D21:J21"/>
    <mergeCell ref="K21:K22"/>
    <mergeCell ref="A30:K30"/>
    <mergeCell ref="A31:K31"/>
    <mergeCell ref="A33:A34"/>
    <mergeCell ref="B33:B34"/>
    <mergeCell ref="D33:J33"/>
    <mergeCell ref="K33:K34"/>
  </mergeCells>
  <pageMargins left="0.7" right="0.7" top="0.75" bottom="0.75" header="0.3" footer="0.3"/>
  <pageSetup paperSize="9" scale="5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81" t="s">
        <v>51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</row>
    <row r="2" spans="1:36">
      <c r="A2" s="69" t="s">
        <v>44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</row>
    <row r="3" spans="1:36" ht="15" customHeight="1">
      <c r="A3" s="82"/>
      <c r="B3" s="82"/>
      <c r="C3" s="83" t="s">
        <v>40</v>
      </c>
      <c r="D3" s="83"/>
      <c r="E3" s="83"/>
      <c r="F3" s="83"/>
      <c r="G3" s="83"/>
      <c r="H3" s="29"/>
      <c r="I3" s="29"/>
      <c r="J3" s="84" t="s">
        <v>6</v>
      </c>
      <c r="K3" s="84"/>
      <c r="L3" s="84"/>
      <c r="M3" s="84"/>
      <c r="N3" s="84"/>
      <c r="O3" s="24"/>
      <c r="P3" s="84" t="s">
        <v>7</v>
      </c>
      <c r="Q3" s="84"/>
      <c r="R3" s="84"/>
      <c r="S3" s="84"/>
      <c r="T3" s="84"/>
      <c r="U3" s="6"/>
      <c r="V3" s="6"/>
      <c r="W3" s="6"/>
      <c r="X3" s="85" t="s">
        <v>8</v>
      </c>
      <c r="Y3" s="85"/>
      <c r="Z3" s="85"/>
      <c r="AA3" s="85"/>
      <c r="AB3" s="85"/>
      <c r="AC3" s="25"/>
      <c r="AD3" s="25"/>
      <c r="AE3" s="85" t="s">
        <v>9</v>
      </c>
      <c r="AF3" s="85"/>
      <c r="AG3" s="85"/>
      <c r="AH3" s="85"/>
      <c r="AI3" s="85"/>
    </row>
    <row r="4" spans="1:36" ht="25.5">
      <c r="A4" s="80"/>
      <c r="B4" s="80"/>
      <c r="C4" s="30" t="s">
        <v>10</v>
      </c>
      <c r="D4" s="30" t="s">
        <v>11</v>
      </c>
      <c r="E4" s="30" t="s">
        <v>5</v>
      </c>
      <c r="F4" s="31" t="s">
        <v>12</v>
      </c>
      <c r="G4" s="30" t="s">
        <v>13</v>
      </c>
      <c r="H4" s="30" t="s">
        <v>46</v>
      </c>
      <c r="I4" s="30" t="s">
        <v>52</v>
      </c>
      <c r="J4" s="13" t="s">
        <v>10</v>
      </c>
      <c r="K4" s="13" t="s">
        <v>11</v>
      </c>
      <c r="L4" s="13" t="s">
        <v>5</v>
      </c>
      <c r="M4" s="14" t="s">
        <v>12</v>
      </c>
      <c r="N4" s="13" t="s">
        <v>13</v>
      </c>
      <c r="O4" s="30" t="s">
        <v>46</v>
      </c>
      <c r="P4" s="13" t="s">
        <v>10</v>
      </c>
      <c r="Q4" s="13" t="s">
        <v>11</v>
      </c>
      <c r="R4" s="13" t="s">
        <v>5</v>
      </c>
      <c r="S4" s="14" t="s">
        <v>12</v>
      </c>
      <c r="T4" s="13" t="s">
        <v>13</v>
      </c>
      <c r="U4" s="30" t="s">
        <v>46</v>
      </c>
      <c r="V4" s="30"/>
      <c r="W4" s="30"/>
      <c r="X4" s="13" t="s">
        <v>10</v>
      </c>
      <c r="Y4" s="13" t="s">
        <v>11</v>
      </c>
      <c r="Z4" s="13" t="s">
        <v>5</v>
      </c>
      <c r="AA4" s="14" t="s">
        <v>12</v>
      </c>
      <c r="AB4" s="13" t="s">
        <v>13</v>
      </c>
      <c r="AC4" s="30" t="s">
        <v>46</v>
      </c>
      <c r="AD4" s="30"/>
      <c r="AE4" s="13" t="s">
        <v>10</v>
      </c>
      <c r="AF4" s="13" t="s">
        <v>11</v>
      </c>
      <c r="AG4" s="13" t="s">
        <v>5</v>
      </c>
      <c r="AH4" s="14" t="s">
        <v>12</v>
      </c>
      <c r="AI4" s="13" t="s">
        <v>13</v>
      </c>
      <c r="AJ4" s="30" t="s">
        <v>46</v>
      </c>
    </row>
    <row r="5" spans="1:36" ht="14.25" customHeight="1">
      <c r="A5" s="23"/>
      <c r="B5" s="27" t="s">
        <v>48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48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48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49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49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49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50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50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50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20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21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22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23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24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25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26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27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28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29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30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31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32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33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34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35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36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37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38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39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14</v>
      </c>
      <c r="B28" s="9" t="s">
        <v>15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14</v>
      </c>
      <c r="B29" s="9" t="s">
        <v>16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14</v>
      </c>
      <c r="B30" s="9" t="s">
        <v>17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14</v>
      </c>
      <c r="B31" s="9" t="s">
        <v>18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14</v>
      </c>
      <c r="B32" s="16" t="s">
        <v>19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45</v>
      </c>
    </row>
    <row r="36" spans="1:35">
      <c r="A36" s="1"/>
      <c r="B36" s="26" t="s">
        <v>46</v>
      </c>
    </row>
    <row r="37" spans="1:35">
      <c r="B37" s="27" t="s">
        <v>40</v>
      </c>
      <c r="C37" s="27" t="s">
        <v>47</v>
      </c>
      <c r="D37" s="27" t="s">
        <v>41</v>
      </c>
      <c r="E37" s="27"/>
      <c r="F37" s="27"/>
    </row>
    <row r="38" spans="1:35">
      <c r="A38" s="27" t="s">
        <v>48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49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50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53</v>
      </c>
      <c r="C42" s="34"/>
      <c r="D42" s="34"/>
    </row>
    <row r="43" spans="1:35">
      <c r="B43" s="27" t="s">
        <v>40</v>
      </c>
      <c r="C43" s="27" t="s">
        <v>47</v>
      </c>
      <c r="D43" s="27" t="s">
        <v>41</v>
      </c>
    </row>
    <row r="44" spans="1:35">
      <c r="A44" s="27" t="s">
        <v>48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49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50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54</v>
      </c>
      <c r="C49" s="34"/>
      <c r="D49" s="34"/>
    </row>
    <row r="50" spans="1:5">
      <c r="B50" s="27" t="s">
        <v>40</v>
      </c>
      <c r="C50" s="27" t="s">
        <v>47</v>
      </c>
      <c r="D50" s="27" t="s">
        <v>41</v>
      </c>
    </row>
    <row r="51" spans="1:5">
      <c r="A51" s="27" t="s">
        <v>48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49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50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43</v>
      </c>
      <c r="C56" s="34" t="s">
        <v>14</v>
      </c>
      <c r="D56" s="34" t="s">
        <v>42</v>
      </c>
    </row>
    <row r="57" spans="1:5">
      <c r="A57" s="34" t="s">
        <v>55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56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54</v>
      </c>
      <c r="B59" s="35">
        <v>14232</v>
      </c>
      <c r="C59" s="35">
        <v>6099</v>
      </c>
      <c r="D59" s="35">
        <v>8133</v>
      </c>
    </row>
    <row r="60" spans="1:5">
      <c r="A60" s="34" t="s">
        <v>53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57</v>
      </c>
    </row>
    <row r="67" spans="1:11">
      <c r="B67" s="34"/>
      <c r="H67" s="34" t="s">
        <v>58</v>
      </c>
    </row>
    <row r="68" spans="1:11">
      <c r="A68" s="1"/>
      <c r="B68" s="34"/>
      <c r="C68" s="34" t="s">
        <v>59</v>
      </c>
      <c r="D68" s="34" t="s">
        <v>60</v>
      </c>
      <c r="E68" s="34" t="s">
        <v>61</v>
      </c>
      <c r="F68" s="34" t="s">
        <v>62</v>
      </c>
      <c r="G68" s="34"/>
      <c r="H68" s="36" t="s">
        <v>63</v>
      </c>
      <c r="I68" s="34" t="s">
        <v>64</v>
      </c>
      <c r="J68" s="34" t="s">
        <v>65</v>
      </c>
      <c r="K68" s="34"/>
    </row>
    <row r="69" spans="1:11">
      <c r="A69" s="1"/>
      <c r="B69" s="34" t="s">
        <v>20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21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22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23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24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25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26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27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28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29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30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31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32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33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34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35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36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37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38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39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8.43</vt:lpstr>
      <vt:lpstr>8.20 workings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2018-09-26T05:57:47Z</cp:lastPrinted>
  <dcterms:created xsi:type="dcterms:W3CDTF">2013-04-04T04:05:16Z</dcterms:created>
  <dcterms:modified xsi:type="dcterms:W3CDTF">2018-09-26T05:57:54Z</dcterms:modified>
</cp:coreProperties>
</file>