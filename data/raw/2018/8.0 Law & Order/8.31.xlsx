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8. LAW AND ORDER\"/>
    </mc:Choice>
  </mc:AlternateContent>
  <bookViews>
    <workbookView xWindow="0" yWindow="0" windowWidth="28800" windowHeight="12330" tabRatio="842"/>
  </bookViews>
  <sheets>
    <sheet name="8.31" sheetId="73" r:id="rId1"/>
    <sheet name="8.20 workings" sheetId="36" state="hidden" r:id="rId2"/>
  </sheets>
  <externalReferences>
    <externalReference r:id="rId3"/>
    <externalReference r:id="rId4"/>
  </externalReferences>
  <definedNames>
    <definedName name="_xlnm.Print_Area" localSheetId="0">'8.31'!$A$1:$U$40</definedName>
  </definedNames>
  <calcPr calcId="162913"/>
</workbook>
</file>

<file path=xl/calcChain.xml><?xml version="1.0" encoding="utf-8"?>
<calcChain xmlns="http://schemas.openxmlformats.org/spreadsheetml/2006/main">
  <c r="Q13" i="73" l="1"/>
  <c r="AG10" i="73" l="1"/>
  <c r="AG9" i="73"/>
  <c r="Q16" i="73"/>
  <c r="N16" i="73"/>
  <c r="K16" i="73"/>
  <c r="E16" i="73"/>
  <c r="B16" i="73"/>
  <c r="Q15" i="73"/>
  <c r="N15" i="73"/>
  <c r="K15" i="73"/>
  <c r="E15" i="73"/>
  <c r="B15" i="73"/>
  <c r="Q14" i="73"/>
  <c r="N14" i="73"/>
  <c r="K14" i="73"/>
  <c r="E14" i="73"/>
  <c r="B14" i="73"/>
  <c r="N13" i="73"/>
  <c r="K13" i="73"/>
  <c r="E13" i="73"/>
  <c r="B13" i="73"/>
  <c r="Q12" i="73"/>
  <c r="N12" i="73"/>
  <c r="K12" i="73"/>
  <c r="E12" i="73"/>
  <c r="B12" i="73"/>
  <c r="Q11" i="73"/>
  <c r="N11" i="73"/>
  <c r="K11" i="73"/>
  <c r="E11" i="73"/>
  <c r="B11" i="73"/>
  <c r="Q10" i="73"/>
  <c r="N10" i="73"/>
  <c r="K10" i="73"/>
  <c r="E10" i="73"/>
  <c r="B10" i="73"/>
  <c r="Q9" i="73"/>
  <c r="N9" i="73"/>
  <c r="K9" i="73"/>
  <c r="E9" i="73"/>
  <c r="B9" i="73"/>
  <c r="Q8" i="73"/>
  <c r="N8" i="73"/>
  <c r="K8" i="73"/>
  <c r="E8" i="73"/>
  <c r="B8" i="73"/>
  <c r="S7" i="73"/>
  <c r="R7" i="73"/>
  <c r="P7" i="73"/>
  <c r="O7" i="73"/>
  <c r="N7" i="73"/>
  <c r="M7" i="73"/>
  <c r="L7" i="73"/>
  <c r="K7" i="73"/>
  <c r="G7" i="73"/>
  <c r="F7" i="73"/>
  <c r="E7" i="73" s="1"/>
  <c r="D7" i="73"/>
  <c r="C7" i="73"/>
  <c r="B7" i="73" s="1"/>
  <c r="Q7" i="73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<sst xmlns="http://schemas.openxmlformats.org/spreadsheetml/2006/main" count="224" uniqueCount="97">
  <si>
    <t>Total</t>
  </si>
  <si>
    <t>Source: Department of Judicial Administration</t>
  </si>
  <si>
    <t>އެހެނިހެން</t>
  </si>
  <si>
    <t>Both Sexes</t>
  </si>
  <si>
    <t>Female</t>
  </si>
  <si>
    <t>ދެޖިންސް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</si>
  <si>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</si>
  <si>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</si>
  <si>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</si>
  <si>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</si>
  <si>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</si>
  <si>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</si>
  <si>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</si>
  <si>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</si>
  <si>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</si>
  <si>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</si>
  <si>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</si>
  <si>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</si>
  <si>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</si>
  <si>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</si>
  <si>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</si>
  <si>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</si>
  <si>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</si>
  <si>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</si>
  <si>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</si>
  <si>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</si>
  <si>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</si>
  <si>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</si>
  <si>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</si>
  <si>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</si>
  <si>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</si>
  <si>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</si>
  <si>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</si>
  <si>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</si>
  <si>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</si>
  <si>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</si>
  <si>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</si>
  <si>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</si>
  <si>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</si>
  <si>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</si>
  <si>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</si>
  <si>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</si>
  <si>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</si>
  <si>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</si>
  <si>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</si>
  <si>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</si>
  <si>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</si>
  <si>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</si>
  <si>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</si>
  <si>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</si>
  <si>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</si>
  <si>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</si>
  <si>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</si>
  <si>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</si>
  <si>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</si>
  <si>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</si>
  <si>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</si>
  <si>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</si>
  <si>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</si>
  <si>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</si>
  <si>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</si>
  <si>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</si>
  <si>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</si>
  <si>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</si>
  <si>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</si>
  <si>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</si>
  <si>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</si>
  <si>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</si>
  <si>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</si>
  <si>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</si>
  <si>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m</t>
  </si>
  <si>
    <t>f</t>
  </si>
  <si>
    <t>Qualification</t>
  </si>
  <si>
    <t xml:space="preserve">Male </t>
  </si>
  <si>
    <t xml:space="preserve">ތަޢުލީމީ ފެންވަރު </t>
  </si>
  <si>
    <t>Certificate 3</t>
  </si>
  <si>
    <t>ސެޓްފިކެޓް 3</t>
  </si>
  <si>
    <t>Advanced Certificate</t>
  </si>
  <si>
    <t>އެޑްވާންސްޑް ސެޓްފިކެޓް</t>
  </si>
  <si>
    <t>Gaanoonee vakeelukamuge sanadhu</t>
  </si>
  <si>
    <t xml:space="preserve">ޤާނޫނޫ ވަކީލުކަމުގެ ސަނަދު </t>
  </si>
  <si>
    <t>Diploma</t>
  </si>
  <si>
    <t>ޑިޕްލޮމާ</t>
  </si>
  <si>
    <t>Advanced Diploma</t>
  </si>
  <si>
    <t>އެޑްވާންސްޑް ޑިޕްލޮމާ</t>
  </si>
  <si>
    <t>Bachelors degree</t>
  </si>
  <si>
    <t>ބެޗެލަރސް ޑިގްރީ</t>
  </si>
  <si>
    <t xml:space="preserve">Masters degree </t>
  </si>
  <si>
    <t>މާސްޓަރސް ޑިގްރީ</t>
  </si>
  <si>
    <t>Doctoral degree</t>
  </si>
  <si>
    <t>ޑޮކްޓޯރަލް ޑިގްރީ</t>
  </si>
  <si>
    <t>Other</t>
  </si>
  <si>
    <t xml:space="preserve">ނޯޓް: މި މިޢުލޫމާތަކީ 2014 ވަނަ އަހަރުގެ ނިޔަލަށް ޤާނޫނީ ވަކީލުންގެ ދަފްތަރުގައި ރަޖިސްޓްރީ ކޮށްފައިވާ ޤާނޫނީ ވަކީލުންގެ މަޢުލޫމާތެވެ. އަދި 2015 އަދި 2016 ގައި އެވަނީ އެއަހަރަކު އަލަށް ރަޖިސްޓްރީކުރެވުނު ޤާނޫނީ ވަކީލުންގެ އަދަދެވެ. </t>
  </si>
  <si>
    <t>total registered lawyers as of Dec 2017</t>
  </si>
  <si>
    <t>TABLE 8.31: REGISTERED LAWYERS IN SERVICE, BY QUALIFICATION AND SEX, 2014 - 2017</t>
  </si>
  <si>
    <t>ތާވަލު 8.31: ރަޖިސްޓްރީކުރެވިފައިވާ ޤާނޫނީ ވަކީލުންގެ އަދަދު އަދި ތަޢުލީމީ ފެންވަރު، 2014 - 2017</t>
  </si>
  <si>
    <t>2017 ވަނަ އަހަރުގައި އެއްވެސް ވަކީލަކު ހުވާ ކުރައްވާފައި ނުވޭ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</si>
</sst>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sz val="9"/>
      <name val="Arial"/>
      <family val="2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theme="1" tint="4.9989318521683403E-2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dotted">
        <color theme="1"/>
      </bottom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hair">
        <color theme="1" tint="4.9989318521683403E-2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theme="1" tint="4.9989318521683403E-2"/>
      </left>
      <right/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 tint="4.9989318521683403E-2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 tint="4.9989318521683403E-2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6" fillId="0" borderId="21" applyNumberFormat="0" applyFill="0" applyAlignment="0" applyProtection="0"/>
    <xf numFmtId="0" fontId="11" fillId="0" borderId="0"/>
    <xf numFmtId="166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21" applyNumberFormat="0" applyFill="0" applyAlignment="0" applyProtection="0"/>
    <xf numFmtId="0" fontId="22" fillId="0" borderId="23" applyNumberFormat="0" applyFill="0" applyAlignment="0" applyProtection="0"/>
    <xf numFmtId="0" fontId="23" fillId="0" borderId="24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25" applyNumberFormat="0" applyAlignment="0" applyProtection="0"/>
    <xf numFmtId="0" fontId="28" fillId="8" borderId="26" applyNumberFormat="0" applyAlignment="0" applyProtection="0"/>
    <xf numFmtId="0" fontId="29" fillId="8" borderId="25" applyNumberFormat="0" applyAlignment="0" applyProtection="0"/>
    <xf numFmtId="0" fontId="30" fillId="0" borderId="27" applyNumberFormat="0" applyFill="0" applyAlignment="0" applyProtection="0"/>
    <xf numFmtId="0" fontId="31" fillId="9" borderId="28" applyNumberFormat="0" applyAlignment="0" applyProtection="0"/>
    <xf numFmtId="0" fontId="18" fillId="0" borderId="0" applyNumberFormat="0" applyFill="0" applyBorder="0" applyAlignment="0" applyProtection="0"/>
    <xf numFmtId="0" fontId="1" fillId="10" borderId="29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30" applyNumberFormat="0" applyFill="0" applyAlignment="0" applyProtection="0"/>
    <xf numFmtId="0" fontId="3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0" borderId="0"/>
    <xf numFmtId="0" fontId="11" fillId="0" borderId="0"/>
  </cellStyleXfs>
  <cellXfs count="138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9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2" xfId="0" applyNumberFormat="1" applyFont="1" applyFill="1" applyBorder="1" applyAlignment="1">
      <alignment horizontal="center" vertical="center"/>
    </xf>
    <xf numFmtId="0" fontId="4" fillId="2" borderId="22" xfId="0" applyNumberFormat="1" applyFont="1" applyFill="1" applyBorder="1" applyAlignment="1">
      <alignment horizontal="left" vertical="center" wrapText="1"/>
    </xf>
    <xf numFmtId="3" fontId="4" fillId="2" borderId="22" xfId="1" applyNumberFormat="1" applyFont="1" applyFill="1" applyBorder="1" applyAlignment="1"/>
    <xf numFmtId="3" fontId="3" fillId="2" borderId="2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11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5" xfId="0" applyNumberFormat="1" applyFont="1" applyFill="1" applyBorder="1" applyAlignment="1" applyProtection="1">
      <alignment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vertical="center"/>
    </xf>
    <xf numFmtId="164" fontId="9" fillId="2" borderId="6" xfId="0" applyNumberFormat="1" applyFont="1" applyFill="1" applyBorder="1"/>
    <xf numFmtId="164" fontId="35" fillId="2" borderId="5" xfId="0" applyNumberFormat="1" applyFont="1" applyFill="1" applyBorder="1" applyAlignment="1" applyProtection="1">
      <alignment horizontal="fill" vertical="center"/>
    </xf>
    <xf numFmtId="164" fontId="9" fillId="2" borderId="15" xfId="0" applyNumberFormat="1" applyFont="1" applyFill="1" applyBorder="1"/>
    <xf numFmtId="164" fontId="9" fillId="2" borderId="15" xfId="0" applyNumberFormat="1" applyFont="1" applyFill="1" applyBorder="1" applyAlignment="1">
      <alignment vertical="center"/>
    </xf>
    <xf numFmtId="164" fontId="9" fillId="2" borderId="6" xfId="0" applyNumberFormat="1" applyFont="1" applyFill="1" applyBorder="1" applyAlignment="1">
      <alignment vertical="center"/>
    </xf>
    <xf numFmtId="164" fontId="2" fillId="2" borderId="35" xfId="0" applyNumberFormat="1" applyFont="1" applyFill="1" applyBorder="1" applyAlignment="1" applyProtection="1">
      <alignment horizontal="right" vertical="center"/>
    </xf>
    <xf numFmtId="164" fontId="2" fillId="2" borderId="36" xfId="0" applyNumberFormat="1" applyFont="1" applyFill="1" applyBorder="1" applyAlignment="1" applyProtection="1">
      <alignment horizontal="right" vertical="center"/>
    </xf>
    <xf numFmtId="164" fontId="2" fillId="2" borderId="16" xfId="0" applyNumberFormat="1" applyFont="1" applyFill="1" applyBorder="1" applyAlignment="1" applyProtection="1">
      <alignment horizontal="right" vertical="center"/>
    </xf>
    <xf numFmtId="164" fontId="2" fillId="2" borderId="37" xfId="0" applyNumberFormat="1" applyFont="1" applyFill="1" applyBorder="1" applyAlignment="1" applyProtection="1">
      <alignment horizontal="right" vertical="center"/>
    </xf>
    <xf numFmtId="164" fontId="2" fillId="2" borderId="38" xfId="0" applyNumberFormat="1" applyFont="1" applyFill="1" applyBorder="1" applyAlignment="1" applyProtection="1">
      <alignment horizontal="right" vertical="center"/>
    </xf>
    <xf numFmtId="164" fontId="2" fillId="2" borderId="39" xfId="0" applyNumberFormat="1" applyFont="1" applyFill="1" applyBorder="1" applyAlignment="1" applyProtection="1">
      <alignment horizontal="right" vertical="center"/>
    </xf>
    <xf numFmtId="164" fontId="19" fillId="2" borderId="6" xfId="0" applyNumberFormat="1" applyFont="1" applyFill="1" applyBorder="1" applyAlignment="1">
      <alignment vertical="center"/>
    </xf>
    <xf numFmtId="164" fontId="38" fillId="2" borderId="40" xfId="0" applyNumberFormat="1" applyFont="1" applyFill="1" applyBorder="1" applyAlignment="1" applyProtection="1">
      <alignment horizontal="right" vertical="center"/>
    </xf>
    <xf numFmtId="164" fontId="38" fillId="2" borderId="41" xfId="0" applyNumberFormat="1" applyFont="1" applyFill="1" applyBorder="1" applyAlignment="1" applyProtection="1">
      <alignment horizontal="right" vertical="center"/>
    </xf>
    <xf numFmtId="164" fontId="38" fillId="2" borderId="42" xfId="0" applyNumberFormat="1" applyFont="1" applyFill="1" applyBorder="1" applyAlignment="1" applyProtection="1">
      <alignment horizontal="right" vertical="center"/>
    </xf>
    <xf numFmtId="164" fontId="38" fillId="2" borderId="43" xfId="0" applyNumberFormat="1" applyFont="1" applyFill="1" applyBorder="1" applyAlignment="1" applyProtection="1">
      <alignment horizontal="right" vertical="center"/>
    </xf>
    <xf numFmtId="164" fontId="38" fillId="2" borderId="44" xfId="0" applyNumberFormat="1" applyFont="1" applyFill="1" applyBorder="1" applyAlignment="1" applyProtection="1">
      <alignment horizontal="right" vertical="center"/>
    </xf>
    <xf numFmtId="164" fontId="38" fillId="2" borderId="45" xfId="0" applyNumberFormat="1" applyFont="1" applyFill="1" applyBorder="1" applyAlignment="1" applyProtection="1">
      <alignment horizontal="right" vertical="center"/>
    </xf>
    <xf numFmtId="0" fontId="2" fillId="2" borderId="5" xfId="0" applyNumberFormat="1" applyFont="1" applyFill="1" applyBorder="1" applyAlignment="1" applyProtection="1">
      <alignment horizontal="right" vertical="center"/>
    </xf>
    <xf numFmtId="0" fontId="2" fillId="2" borderId="5" xfId="0" applyNumberFormat="1" applyFont="1" applyFill="1" applyBorder="1" applyAlignment="1">
      <alignment horizontal="right" vertical="center"/>
    </xf>
    <xf numFmtId="0" fontId="2" fillId="2" borderId="48" xfId="0" applyNumberFormat="1" applyFont="1" applyFill="1" applyBorder="1" applyAlignment="1">
      <alignment horizontal="right" vertical="center"/>
    </xf>
    <xf numFmtId="0" fontId="2" fillId="2" borderId="9" xfId="0" applyNumberFormat="1" applyFont="1" applyFill="1" applyBorder="1" applyAlignment="1" applyProtection="1">
      <alignment horizontal="right" vertical="center"/>
    </xf>
    <xf numFmtId="0" fontId="2" fillId="2" borderId="14" xfId="0" applyNumberFormat="1" applyFont="1" applyFill="1" applyBorder="1" applyAlignment="1">
      <alignment horizontal="right" vertical="center"/>
    </xf>
    <xf numFmtId="0" fontId="2" fillId="2" borderId="49" xfId="0" applyNumberFormat="1" applyFont="1" applyFill="1" applyBorder="1" applyAlignment="1" applyProtection="1">
      <alignment horizontal="right" vertical="center"/>
    </xf>
    <xf numFmtId="164" fontId="36" fillId="2" borderId="5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>
      <alignment vertical="center"/>
    </xf>
    <xf numFmtId="164" fontId="0" fillId="2" borderId="6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horizontal="right" vertical="center"/>
    </xf>
    <xf numFmtId="0" fontId="0" fillId="2" borderId="5" xfId="0" applyNumberFormat="1" applyFont="1" applyFill="1" applyBorder="1" applyAlignment="1" applyProtection="1">
      <alignment horizontal="right" vertical="center"/>
      <protection locked="0"/>
    </xf>
    <xf numFmtId="0" fontId="0" fillId="2" borderId="48" xfId="0" applyNumberFormat="1" applyFont="1" applyFill="1" applyBorder="1" applyAlignment="1" applyProtection="1">
      <alignment horizontal="right" vertical="center"/>
      <protection locked="0"/>
    </xf>
    <xf numFmtId="0" fontId="0" fillId="2" borderId="15" xfId="0" applyNumberFormat="1" applyFont="1" applyFill="1" applyBorder="1" applyAlignment="1" applyProtection="1">
      <alignment horizontal="right" vertical="center"/>
    </xf>
    <xf numFmtId="0" fontId="0" fillId="2" borderId="14" xfId="0" applyNumberFormat="1" applyFont="1" applyFill="1" applyBorder="1" applyAlignment="1" applyProtection="1">
      <alignment horizontal="right" vertical="center"/>
      <protection locked="0"/>
    </xf>
    <xf numFmtId="0" fontId="0" fillId="2" borderId="51" xfId="0" applyNumberFormat="1" applyFont="1" applyFill="1" applyBorder="1" applyAlignment="1" applyProtection="1">
      <alignment horizontal="right" vertical="center"/>
    </xf>
    <xf numFmtId="0" fontId="0" fillId="2" borderId="52" xfId="0" applyNumberFormat="1" applyFont="1" applyFill="1" applyBorder="1" applyAlignment="1" applyProtection="1">
      <alignment horizontal="right" vertical="center"/>
    </xf>
    <xf numFmtId="0" fontId="0" fillId="2" borderId="53" xfId="0" applyNumberFormat="1" applyFont="1" applyFill="1" applyBorder="1" applyAlignment="1" applyProtection="1">
      <alignment horizontal="right" vertical="center"/>
    </xf>
    <xf numFmtId="164" fontId="34" fillId="2" borderId="6" xfId="0" applyNumberFormat="1" applyFont="1" applyFill="1" applyBorder="1" applyAlignment="1">
      <alignment vertical="center"/>
    </xf>
    <xf numFmtId="164" fontId="12" fillId="2" borderId="14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>
      <alignment vertical="center"/>
    </xf>
    <xf numFmtId="164" fontId="0" fillId="2" borderId="5" xfId="0" applyNumberFormat="1" applyFont="1" applyFill="1" applyBorder="1" applyAlignment="1" applyProtection="1">
      <alignment vertical="center"/>
    </xf>
    <xf numFmtId="3" fontId="12" fillId="2" borderId="14" xfId="0" applyNumberFormat="1" applyFont="1" applyFill="1" applyBorder="1" applyAlignment="1" applyProtection="1">
      <alignment vertical="center"/>
    </xf>
    <xf numFmtId="3" fontId="12" fillId="2" borderId="0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horizontal="right" vertical="center"/>
      <protection locked="0"/>
    </xf>
    <xf numFmtId="0" fontId="0" fillId="2" borderId="54" xfId="0" applyNumberFormat="1" applyFont="1" applyFill="1" applyBorder="1" applyAlignment="1" applyProtection="1">
      <alignment horizontal="right" vertical="center"/>
      <protection locked="0"/>
    </xf>
    <xf numFmtId="0" fontId="0" fillId="2" borderId="10" xfId="0" applyNumberFormat="1" applyFont="1" applyFill="1" applyBorder="1" applyAlignment="1" applyProtection="1">
      <alignment horizontal="right" vertical="center"/>
      <protection locked="0"/>
    </xf>
    <xf numFmtId="164" fontId="12" fillId="2" borderId="1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 applyProtection="1">
      <alignment horizontal="right" vertical="center"/>
    </xf>
    <xf numFmtId="164" fontId="0" fillId="2" borderId="8" xfId="0" applyNumberFormat="1" applyFont="1" applyFill="1" applyBorder="1" applyAlignment="1" applyProtection="1">
      <alignment vertical="center"/>
    </xf>
    <xf numFmtId="0" fontId="0" fillId="2" borderId="8" xfId="0" applyNumberFormat="1" applyFont="1" applyFill="1" applyBorder="1" applyAlignment="1" applyProtection="1">
      <alignment horizontal="right" vertical="center"/>
    </xf>
    <xf numFmtId="0" fontId="0" fillId="2" borderId="8" xfId="0" applyNumberFormat="1" applyFont="1" applyFill="1" applyBorder="1" applyAlignment="1" applyProtection="1">
      <alignment horizontal="right" vertical="center"/>
      <protection locked="0"/>
    </xf>
    <xf numFmtId="0" fontId="0" fillId="2" borderId="55" xfId="0" applyNumberFormat="1" applyFont="1" applyFill="1" applyBorder="1" applyAlignment="1" applyProtection="1">
      <alignment horizontal="right" vertical="center"/>
      <protection locked="0"/>
    </xf>
    <xf numFmtId="0" fontId="0" fillId="2" borderId="34" xfId="0" applyNumberFormat="1" applyFont="1" applyFill="1" applyBorder="1" applyAlignment="1" applyProtection="1">
      <alignment horizontal="right" vertical="center"/>
    </xf>
    <xf numFmtId="0" fontId="0" fillId="2" borderId="17" xfId="0" applyNumberFormat="1" applyFont="1" applyFill="1" applyBorder="1" applyAlignment="1" applyProtection="1">
      <alignment horizontal="right" vertical="center"/>
      <protection locked="0"/>
    </xf>
    <xf numFmtId="0" fontId="0" fillId="2" borderId="56" xfId="0" applyNumberFormat="1" applyFont="1" applyFill="1" applyBorder="1" applyAlignment="1" applyProtection="1">
      <alignment horizontal="right" vertical="center"/>
    </xf>
    <xf numFmtId="0" fontId="0" fillId="2" borderId="57" xfId="0" applyNumberFormat="1" applyFont="1" applyFill="1" applyBorder="1" applyAlignment="1" applyProtection="1">
      <alignment horizontal="right" vertical="center"/>
    </xf>
    <xf numFmtId="0" fontId="2" fillId="2" borderId="56" xfId="0" applyNumberFormat="1" applyFont="1" applyFill="1" applyBorder="1" applyAlignment="1" applyProtection="1">
      <alignment horizontal="right" vertical="center"/>
    </xf>
    <xf numFmtId="0" fontId="0" fillId="2" borderId="58" xfId="0" applyNumberFormat="1" applyFont="1" applyFill="1" applyBorder="1" applyAlignment="1" applyProtection="1">
      <alignment horizontal="right" vertical="center"/>
    </xf>
    <xf numFmtId="164" fontId="34" fillId="2" borderId="8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>
      <alignment vertical="center"/>
    </xf>
    <xf numFmtId="0" fontId="12" fillId="2" borderId="5" xfId="0" applyNumberFormat="1" applyFont="1" applyFill="1" applyBorder="1" applyAlignment="1" applyProtection="1">
      <alignment horizontal="center" vertical="center"/>
    </xf>
    <xf numFmtId="164" fontId="9" fillId="2" borderId="6" xfId="0" applyNumberFormat="1" applyFont="1" applyFill="1" applyBorder="1" applyAlignment="1">
      <alignment horizontal="center"/>
    </xf>
    <xf numFmtId="164" fontId="37" fillId="2" borderId="6" xfId="0" applyNumberFormat="1" applyFont="1" applyFill="1" applyBorder="1" applyAlignment="1">
      <alignment horizontal="right" readingOrder="2"/>
    </xf>
    <xf numFmtId="164" fontId="9" fillId="2" borderId="15" xfId="0" applyNumberFormat="1" applyFont="1" applyFill="1" applyBorder="1" applyAlignment="1">
      <alignment horizontal="left"/>
    </xf>
    <xf numFmtId="164" fontId="2" fillId="2" borderId="12" xfId="0" applyNumberFormat="1" applyFont="1" applyFill="1" applyBorder="1" applyAlignment="1" applyProtection="1">
      <alignment horizontal="left" vertical="center"/>
    </xf>
    <xf numFmtId="3" fontId="2" fillId="2" borderId="50" xfId="0" applyNumberFormat="1" applyFont="1" applyFill="1" applyBorder="1" applyAlignment="1" applyProtection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3" fontId="2" fillId="2" borderId="59" xfId="0" applyNumberFormat="1" applyFont="1" applyFill="1" applyBorder="1" applyAlignment="1" applyProtection="1">
      <alignment horizontal="right" vertical="center"/>
    </xf>
    <xf numFmtId="3" fontId="0" fillId="2" borderId="51" xfId="0" applyNumberFormat="1" applyFont="1" applyFill="1" applyBorder="1" applyAlignment="1" applyProtection="1">
      <alignment horizontal="right" vertical="center"/>
    </xf>
    <xf numFmtId="3" fontId="0" fillId="2" borderId="56" xfId="0" applyNumberFormat="1" applyFont="1" applyFill="1" applyBorder="1" applyAlignment="1" applyProtection="1">
      <alignment horizontal="right" vertical="center"/>
    </xf>
    <xf numFmtId="164" fontId="10" fillId="2" borderId="47" xfId="0" applyNumberFormat="1" applyFont="1" applyFill="1" applyBorder="1" applyAlignment="1" applyProtection="1">
      <alignment horizontal="center" vertical="center"/>
    </xf>
    <xf numFmtId="164" fontId="10" fillId="2" borderId="4" xfId="0" applyNumberFormat="1" applyFont="1" applyFill="1" applyBorder="1" applyAlignment="1" applyProtection="1">
      <alignment horizontal="center" vertical="center"/>
    </xf>
    <xf numFmtId="164" fontId="10" fillId="2" borderId="33" xfId="0" applyNumberFormat="1" applyFont="1" applyFill="1" applyBorder="1" applyAlignment="1" applyProtection="1">
      <alignment horizontal="center" vertical="center"/>
    </xf>
    <xf numFmtId="164" fontId="9" fillId="2" borderId="10" xfId="0" applyNumberFormat="1" applyFont="1" applyFill="1" applyBorder="1" applyAlignment="1">
      <alignment horizontal="left"/>
    </xf>
    <xf numFmtId="164" fontId="9" fillId="2" borderId="18" xfId="0" applyNumberFormat="1" applyFont="1" applyFill="1" applyBorder="1" applyAlignment="1">
      <alignment horizontal="left"/>
    </xf>
    <xf numFmtId="164" fontId="9" fillId="2" borderId="15" xfId="0" applyNumberFormat="1" applyFont="1" applyFill="1" applyBorder="1" applyAlignment="1">
      <alignment horizontal="left"/>
    </xf>
    <xf numFmtId="164" fontId="36" fillId="2" borderId="0" xfId="0" applyNumberFormat="1" applyFont="1" applyFill="1" applyBorder="1" applyAlignment="1">
      <alignment horizontal="center"/>
    </xf>
    <xf numFmtId="164" fontId="36" fillId="2" borderId="32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 applyProtection="1">
      <alignment horizontal="center" vertical="center" wrapText="1"/>
    </xf>
    <xf numFmtId="164" fontId="2" fillId="2" borderId="31" xfId="0" applyNumberFormat="1" applyFont="1" applyFill="1" applyBorder="1" applyAlignment="1" applyProtection="1">
      <alignment horizontal="center" vertical="center" wrapText="1"/>
    </xf>
    <xf numFmtId="164" fontId="2" fillId="2" borderId="4" xfId="0" applyNumberFormat="1" applyFont="1" applyFill="1" applyBorder="1" applyAlignment="1" applyProtection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 wrapText="1"/>
    </xf>
    <xf numFmtId="164" fontId="2" fillId="2" borderId="20" xfId="0" applyNumberFormat="1" applyFont="1" applyFill="1" applyBorder="1" applyAlignment="1" applyProtection="1">
      <alignment horizontal="left" vertical="center"/>
    </xf>
    <xf numFmtId="164" fontId="2" fillId="2" borderId="12" xfId="0" applyNumberFormat="1" applyFont="1" applyFill="1" applyBorder="1" applyAlignment="1" applyProtection="1">
      <alignment horizontal="left" vertical="center"/>
    </xf>
    <xf numFmtId="164" fontId="2" fillId="2" borderId="19" xfId="0" applyNumberFormat="1" applyFont="1" applyFill="1" applyBorder="1" applyAlignment="1" applyProtection="1">
      <alignment horizontal="left" vertical="center"/>
    </xf>
    <xf numFmtId="164" fontId="36" fillId="2" borderId="20" xfId="0" applyNumberFormat="1" applyFont="1" applyFill="1" applyBorder="1" applyAlignment="1">
      <alignment horizontal="right" vertical="center"/>
    </xf>
    <xf numFmtId="164" fontId="36" fillId="2" borderId="12" xfId="0" applyNumberFormat="1" applyFont="1" applyFill="1" applyBorder="1" applyAlignment="1">
      <alignment horizontal="right" vertical="center"/>
    </xf>
    <xf numFmtId="164" fontId="36" fillId="2" borderId="19" xfId="0" applyNumberFormat="1" applyFont="1" applyFill="1" applyBorder="1" applyAlignment="1">
      <alignment horizontal="right" vertical="center"/>
    </xf>
    <xf numFmtId="164" fontId="10" fillId="2" borderId="31" xfId="0" applyNumberFormat="1" applyFont="1" applyFill="1" applyBorder="1" applyAlignment="1" applyProtection="1">
      <alignment horizontal="center" vertical="center"/>
    </xf>
    <xf numFmtId="164" fontId="10" fillId="2" borderId="46" xfId="0" applyNumberFormat="1" applyFont="1" applyFill="1" applyBorder="1" applyAlignment="1" applyProtection="1">
      <alignment horizontal="center" vertical="center"/>
    </xf>
    <xf numFmtId="164" fontId="10" fillId="2" borderId="13" xfId="0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1" xfId="1" applyNumberFormat="1" applyFont="1" applyFill="1" applyBorder="1" applyAlignment="1">
      <alignment horizontal="center" vertical="center" wrapText="1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737189582071473"/>
          <c:y val="0.22766510605093282"/>
          <c:w val="0.71388895618816883"/>
          <c:h val="0.67855359296304174"/>
        </c:manualLayout>
      </c:layout>
      <c:pie3DChart>
        <c:varyColors val="1"/>
        <c:ser>
          <c:idx val="0"/>
          <c:order val="0"/>
          <c:explosion val="8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D0A-4B3B-86D1-F53DFE9CCBC7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D0A-4B3B-86D1-F53DFE9CCBC7}"/>
              </c:ext>
            </c:extLst>
          </c:dPt>
          <c:dLbls>
            <c:dLbl>
              <c:idx val="0"/>
              <c:layout>
                <c:manualLayout>
                  <c:x val="-0.20937047563334671"/>
                  <c:y val="2.685227173828402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29178034205291"/>
                      <c:h val="5.12120976151977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D0A-4B3B-86D1-F53DFE9CCBC7}"/>
                </c:ext>
              </c:extLst>
            </c:dLbl>
            <c:dLbl>
              <c:idx val="1"/>
              <c:layout>
                <c:manualLayout>
                  <c:x val="0.24029276912378064"/>
                  <c:y val="-8.7541587842531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D0A-4B3B-86D1-F53DFE9CCBC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'8.31'!$O$4:$P$4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'8.31'!$O$7:$P$7</c:f>
              <c:numCache>
                <c:formatCode>General</c:formatCode>
                <c:ptCount val="2"/>
                <c:pt idx="0">
                  <c:v>54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0A-4B3B-86D1-F53DFE9CCBC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19</xdr:row>
      <xdr:rowOff>97154</xdr:rowOff>
    </xdr:from>
    <xdr:to>
      <xdr:col>15</xdr:col>
      <xdr:colOff>504825</xdr:colOff>
      <xdr:row>39</xdr:row>
      <xdr:rowOff>133349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22</xdr:row>
      <xdr:rowOff>9525</xdr:rowOff>
    </xdr:from>
    <xdr:to>
      <xdr:col>14</xdr:col>
      <xdr:colOff>514350</xdr:colOff>
      <xdr:row>22</xdr:row>
      <xdr:rowOff>9525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3114675" y="4991100"/>
          <a:ext cx="46196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</cdr:x>
      <cdr:y>0.04324</cdr:y>
    </cdr:from>
    <cdr:to>
      <cdr:x>0.95069</cdr:x>
      <cdr:y>0.1301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115900" y="141598"/>
          <a:ext cx="5393360" cy="28444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</a:t>
          </a:r>
          <a:r>
            <a:rPr lang="en-US" sz="1100" b="1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8.47: Percenatge </a:t>
          </a:r>
          <a:r>
            <a:rPr lang="en-US" sz="1100" b="1">
              <a:latin typeface="Consolas" pitchFamily="49" charset="0"/>
              <a:cs typeface="Consolas" pitchFamily="49" charset="0"/>
            </a:rPr>
            <a:t>of registered lawyers by sex, 2016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/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24"/>
  <sheetViews>
    <sheetView tabSelected="1" topLeftCell="A4" zoomScaleNormal="100" workbookViewId="0">
      <selection activeCell="Y9" sqref="Y9"/>
    </sheetView>
  </sheetViews>
  <sheetFormatPr defaultColWidth="22.28515625" defaultRowHeight="12.75"/>
  <cols>
    <col min="1" max="1" width="34" style="101" customWidth="1"/>
    <col min="2" max="7" width="9.85546875" style="41" hidden="1" customWidth="1"/>
    <col min="8" max="10" width="9.85546875" style="41" customWidth="1"/>
    <col min="11" max="11" width="12" style="41" customWidth="1"/>
    <col min="12" max="13" width="9.85546875" style="41" customWidth="1"/>
    <col min="14" max="14" width="13" style="41" customWidth="1"/>
    <col min="15" max="16" width="9.85546875" style="41" customWidth="1"/>
    <col min="17" max="17" width="13" style="41" customWidth="1"/>
    <col min="18" max="19" width="9.85546875" style="41" customWidth="1"/>
    <col min="20" max="20" width="28.5703125" style="41" customWidth="1"/>
    <col min="21" max="21" width="2.28515625" style="41" customWidth="1"/>
    <col min="22" max="22" width="5.28515625" style="41" customWidth="1"/>
    <col min="23" max="24" width="4.28515625" style="41" customWidth="1"/>
    <col min="25" max="25" width="22.28515625" style="41"/>
    <col min="26" max="26" width="6.7109375" style="41" customWidth="1"/>
    <col min="27" max="16384" width="22.28515625" style="41"/>
  </cols>
  <sheetData>
    <row r="1" spans="1:33" ht="21">
      <c r="A1" s="116" t="s">
        <v>95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  <c r="U1" s="43"/>
    </row>
    <row r="2" spans="1:33" s="45" customFormat="1" ht="15">
      <c r="A2" s="118" t="s">
        <v>94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44"/>
    </row>
    <row r="3" spans="1:33" s="45" customFormat="1" ht="15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1"/>
      <c r="Z3" s="41"/>
    </row>
    <row r="4" spans="1:33" s="52" customFormat="1" ht="15" customHeight="1">
      <c r="A4" s="122" t="s">
        <v>72</v>
      </c>
      <c r="B4" s="46" t="s">
        <v>3</v>
      </c>
      <c r="C4" s="46" t="s">
        <v>73</v>
      </c>
      <c r="D4" s="47" t="s">
        <v>4</v>
      </c>
      <c r="E4" s="48" t="s">
        <v>3</v>
      </c>
      <c r="F4" s="46" t="s">
        <v>73</v>
      </c>
      <c r="G4" s="49" t="s">
        <v>4</v>
      </c>
      <c r="H4" s="50" t="s">
        <v>3</v>
      </c>
      <c r="I4" s="46" t="s">
        <v>73</v>
      </c>
      <c r="J4" s="49" t="s">
        <v>4</v>
      </c>
      <c r="K4" s="50" t="s">
        <v>3</v>
      </c>
      <c r="L4" s="46" t="s">
        <v>73</v>
      </c>
      <c r="M4" s="47" t="s">
        <v>4</v>
      </c>
      <c r="N4" s="48" t="s">
        <v>3</v>
      </c>
      <c r="O4" s="46" t="s">
        <v>73</v>
      </c>
      <c r="P4" s="49" t="s">
        <v>4</v>
      </c>
      <c r="Q4" s="51" t="s">
        <v>3</v>
      </c>
      <c r="R4" s="46" t="s">
        <v>73</v>
      </c>
      <c r="S4" s="46" t="s">
        <v>4</v>
      </c>
      <c r="T4" s="125" t="s">
        <v>74</v>
      </c>
      <c r="Z4" s="41"/>
    </row>
    <row r="5" spans="1:33" s="52" customFormat="1" ht="18.75">
      <c r="A5" s="123"/>
      <c r="B5" s="53" t="s">
        <v>5</v>
      </c>
      <c r="C5" s="53" t="s">
        <v>46</v>
      </c>
      <c r="D5" s="54" t="s">
        <v>47</v>
      </c>
      <c r="E5" s="55" t="s">
        <v>5</v>
      </c>
      <c r="F5" s="53" t="s">
        <v>46</v>
      </c>
      <c r="G5" s="56" t="s">
        <v>47</v>
      </c>
      <c r="H5" s="57" t="s">
        <v>5</v>
      </c>
      <c r="I5" s="53" t="s">
        <v>46</v>
      </c>
      <c r="J5" s="56" t="s">
        <v>47</v>
      </c>
      <c r="K5" s="57" t="s">
        <v>5</v>
      </c>
      <c r="L5" s="53" t="s">
        <v>46</v>
      </c>
      <c r="M5" s="54" t="s">
        <v>47</v>
      </c>
      <c r="N5" s="55" t="s">
        <v>5</v>
      </c>
      <c r="O5" s="53" t="s">
        <v>46</v>
      </c>
      <c r="P5" s="56" t="s">
        <v>47</v>
      </c>
      <c r="Q5" s="58" t="s">
        <v>5</v>
      </c>
      <c r="R5" s="53" t="s">
        <v>46</v>
      </c>
      <c r="S5" s="53" t="s">
        <v>47</v>
      </c>
      <c r="T5" s="126"/>
      <c r="Z5" s="41"/>
    </row>
    <row r="6" spans="1:33" s="52" customFormat="1">
      <c r="A6" s="124"/>
      <c r="B6" s="128">
        <v>2012</v>
      </c>
      <c r="C6" s="111"/>
      <c r="D6" s="129"/>
      <c r="E6" s="111">
        <v>2013</v>
      </c>
      <c r="F6" s="111"/>
      <c r="G6" s="111"/>
      <c r="H6" s="130">
        <v>2014</v>
      </c>
      <c r="I6" s="111"/>
      <c r="J6" s="111"/>
      <c r="K6" s="130">
        <v>2015</v>
      </c>
      <c r="L6" s="111"/>
      <c r="M6" s="129"/>
      <c r="N6" s="111">
        <v>2016</v>
      </c>
      <c r="O6" s="111"/>
      <c r="P6" s="111"/>
      <c r="Q6" s="110">
        <v>2017</v>
      </c>
      <c r="R6" s="111"/>
      <c r="S6" s="112"/>
      <c r="T6" s="127"/>
      <c r="Z6" s="41"/>
      <c r="AE6" s="41"/>
      <c r="AF6" s="41"/>
      <c r="AG6" s="41"/>
    </row>
    <row r="7" spans="1:33" s="52" customFormat="1" ht="21">
      <c r="A7" s="104" t="s">
        <v>7</v>
      </c>
      <c r="B7" s="59">
        <f>C7+D7</f>
        <v>641</v>
      </c>
      <c r="C7" s="60">
        <f>SUM(C8:C16)</f>
        <v>435</v>
      </c>
      <c r="D7" s="61">
        <f>SUM(D8:D16)</f>
        <v>206</v>
      </c>
      <c r="E7" s="62">
        <f>F7+G7</f>
        <v>699</v>
      </c>
      <c r="F7" s="60">
        <f>SUM(F8:F16)</f>
        <v>466</v>
      </c>
      <c r="G7" s="63">
        <f>SUM(G8:G16)</f>
        <v>233</v>
      </c>
      <c r="H7" s="64">
        <v>798</v>
      </c>
      <c r="I7" s="60">
        <v>521</v>
      </c>
      <c r="J7" s="63">
        <v>277</v>
      </c>
      <c r="K7" s="64">
        <f>SUM(L7:M7)</f>
        <v>145</v>
      </c>
      <c r="L7" s="60">
        <f>SUM(L8:L16)</f>
        <v>72</v>
      </c>
      <c r="M7" s="61">
        <f>SUM(M8:M16)</f>
        <v>73</v>
      </c>
      <c r="N7" s="64">
        <f>SUM(O7:P7)</f>
        <v>132</v>
      </c>
      <c r="O7" s="60">
        <f>SUM(O8:O16)</f>
        <v>54</v>
      </c>
      <c r="P7" s="63">
        <f>SUM(P8:P16)</f>
        <v>78</v>
      </c>
      <c r="Q7" s="105">
        <f>SUM(R7:S7)</f>
        <v>0</v>
      </c>
      <c r="R7" s="106">
        <f>SUM(R8:R16)</f>
        <v>0</v>
      </c>
      <c r="S7" s="106">
        <f>SUM(S8:S16)</f>
        <v>0</v>
      </c>
      <c r="T7" s="65" t="s">
        <v>6</v>
      </c>
      <c r="V7" s="66"/>
      <c r="W7" s="66"/>
      <c r="X7" s="66"/>
      <c r="Y7" s="66"/>
      <c r="Z7" s="41"/>
      <c r="AE7" s="41" t="s">
        <v>93</v>
      </c>
      <c r="AF7" s="41"/>
      <c r="AG7" s="41"/>
    </row>
    <row r="8" spans="1:33" s="79" customFormat="1" ht="21">
      <c r="A8" s="67" t="s">
        <v>75</v>
      </c>
      <c r="B8" s="68">
        <f>SUM(C8:D8)</f>
        <v>91</v>
      </c>
      <c r="C8" s="69">
        <v>91</v>
      </c>
      <c r="D8" s="70">
        <v>0</v>
      </c>
      <c r="E8" s="71">
        <f>SUM(F8:G8)</f>
        <v>89</v>
      </c>
      <c r="F8" s="69">
        <v>89</v>
      </c>
      <c r="G8" s="72">
        <v>0</v>
      </c>
      <c r="H8" s="73">
        <v>90</v>
      </c>
      <c r="I8" s="73">
        <v>90</v>
      </c>
      <c r="J8" s="74">
        <v>0</v>
      </c>
      <c r="K8" s="64">
        <f t="shared" ref="K8:K16" si="0">SUM(L8:M8)</f>
        <v>0</v>
      </c>
      <c r="L8" s="73">
        <v>0</v>
      </c>
      <c r="M8" s="75">
        <v>0</v>
      </c>
      <c r="N8" s="64">
        <f t="shared" ref="N8:N16" si="1">SUM(O8:P8)</f>
        <v>0</v>
      </c>
      <c r="O8" s="73">
        <v>0</v>
      </c>
      <c r="P8" s="74">
        <v>0</v>
      </c>
      <c r="Q8" s="105">
        <f t="shared" ref="Q8:Q16" si="2">SUM(R8:S8)</f>
        <v>0</v>
      </c>
      <c r="R8" s="108">
        <v>0</v>
      </c>
      <c r="S8" s="108">
        <v>0</v>
      </c>
      <c r="T8" s="76" t="s">
        <v>76</v>
      </c>
      <c r="U8" s="77"/>
      <c r="V8" s="78"/>
      <c r="W8" s="78"/>
      <c r="X8" s="78"/>
      <c r="Y8" s="78"/>
      <c r="Z8" s="43"/>
      <c r="AE8" s="41"/>
      <c r="AF8" s="41"/>
      <c r="AG8" s="41"/>
    </row>
    <row r="9" spans="1:33" s="79" customFormat="1" ht="21">
      <c r="A9" s="80" t="s">
        <v>77</v>
      </c>
      <c r="B9" s="68">
        <f t="shared" ref="B9:B16" si="3">SUM(C9:D9)</f>
        <v>74</v>
      </c>
      <c r="C9" s="69">
        <v>73</v>
      </c>
      <c r="D9" s="70">
        <v>1</v>
      </c>
      <c r="E9" s="71">
        <f t="shared" ref="E9:E16" si="4">SUM(F9:G9)</f>
        <v>74</v>
      </c>
      <c r="F9" s="69">
        <v>73</v>
      </c>
      <c r="G9" s="72">
        <v>1</v>
      </c>
      <c r="H9" s="73">
        <v>72</v>
      </c>
      <c r="I9" s="73">
        <v>71</v>
      </c>
      <c r="J9" s="74">
        <v>1</v>
      </c>
      <c r="K9" s="64">
        <f t="shared" si="0"/>
        <v>0</v>
      </c>
      <c r="L9" s="73">
        <v>0</v>
      </c>
      <c r="M9" s="75">
        <v>0</v>
      </c>
      <c r="N9" s="64">
        <f t="shared" si="1"/>
        <v>0</v>
      </c>
      <c r="O9" s="73">
        <v>0</v>
      </c>
      <c r="P9" s="74">
        <v>0</v>
      </c>
      <c r="Q9" s="105">
        <f t="shared" si="2"/>
        <v>0</v>
      </c>
      <c r="R9" s="108">
        <v>0</v>
      </c>
      <c r="S9" s="108">
        <v>0</v>
      </c>
      <c r="T9" s="76" t="s">
        <v>78</v>
      </c>
      <c r="U9" s="81"/>
      <c r="V9" s="82"/>
      <c r="W9" s="82"/>
      <c r="X9" s="82"/>
      <c r="Y9" s="78"/>
      <c r="Z9" s="43"/>
      <c r="AE9" s="41">
        <v>423</v>
      </c>
      <c r="AF9" s="41" t="s">
        <v>71</v>
      </c>
      <c r="AG9" s="41">
        <f>AE9/AE11*100</f>
        <v>39.348837209302324</v>
      </c>
    </row>
    <row r="10" spans="1:33" s="79" customFormat="1" ht="21">
      <c r="A10" s="80" t="s">
        <v>79</v>
      </c>
      <c r="B10" s="68">
        <f t="shared" si="3"/>
        <v>7</v>
      </c>
      <c r="C10" s="83">
        <v>7</v>
      </c>
      <c r="D10" s="84">
        <v>0</v>
      </c>
      <c r="E10" s="71">
        <f t="shared" si="4"/>
        <v>7</v>
      </c>
      <c r="F10" s="83">
        <v>7</v>
      </c>
      <c r="G10" s="85">
        <v>0</v>
      </c>
      <c r="H10" s="73">
        <v>7</v>
      </c>
      <c r="I10" s="73">
        <v>7</v>
      </c>
      <c r="J10" s="74">
        <v>0</v>
      </c>
      <c r="K10" s="64">
        <f t="shared" si="0"/>
        <v>0</v>
      </c>
      <c r="L10" s="73">
        <v>0</v>
      </c>
      <c r="M10" s="75">
        <v>0</v>
      </c>
      <c r="N10" s="64">
        <f t="shared" si="1"/>
        <v>0</v>
      </c>
      <c r="O10" s="73">
        <v>0</v>
      </c>
      <c r="P10" s="74">
        <v>0</v>
      </c>
      <c r="Q10" s="105">
        <f t="shared" si="2"/>
        <v>0</v>
      </c>
      <c r="R10" s="108">
        <v>0</v>
      </c>
      <c r="S10" s="108">
        <v>0</v>
      </c>
      <c r="T10" s="76" t="s">
        <v>80</v>
      </c>
      <c r="U10" s="86"/>
      <c r="V10" s="78"/>
      <c r="W10" s="78"/>
      <c r="X10" s="78"/>
      <c r="Y10" s="78"/>
      <c r="Z10" s="43"/>
      <c r="AE10" s="41">
        <v>652</v>
      </c>
      <c r="AF10" s="41" t="s">
        <v>70</v>
      </c>
      <c r="AG10" s="41">
        <f>AE10/AE11*100</f>
        <v>60.651162790697676</v>
      </c>
    </row>
    <row r="11" spans="1:33" s="79" customFormat="1" ht="21">
      <c r="A11" s="67" t="s">
        <v>81</v>
      </c>
      <c r="B11" s="68">
        <f t="shared" si="3"/>
        <v>43</v>
      </c>
      <c r="C11" s="83">
        <v>25</v>
      </c>
      <c r="D11" s="84">
        <v>18</v>
      </c>
      <c r="E11" s="71">
        <f t="shared" si="4"/>
        <v>43</v>
      </c>
      <c r="F11" s="83">
        <v>25</v>
      </c>
      <c r="G11" s="85">
        <v>18</v>
      </c>
      <c r="H11" s="73">
        <v>43</v>
      </c>
      <c r="I11" s="73">
        <v>25</v>
      </c>
      <c r="J11" s="74">
        <v>18</v>
      </c>
      <c r="K11" s="64">
        <f t="shared" si="0"/>
        <v>0</v>
      </c>
      <c r="L11" s="73">
        <v>0</v>
      </c>
      <c r="M11" s="75">
        <v>0</v>
      </c>
      <c r="N11" s="64">
        <f t="shared" si="1"/>
        <v>0</v>
      </c>
      <c r="O11" s="73">
        <v>0</v>
      </c>
      <c r="P11" s="74">
        <v>0</v>
      </c>
      <c r="Q11" s="105">
        <f t="shared" si="2"/>
        <v>0</v>
      </c>
      <c r="R11" s="108">
        <v>0</v>
      </c>
      <c r="S11" s="108">
        <v>0</v>
      </c>
      <c r="T11" s="76" t="s">
        <v>82</v>
      </c>
      <c r="U11" s="86"/>
      <c r="V11" s="78"/>
      <c r="W11" s="78"/>
      <c r="X11" s="78"/>
      <c r="Y11" s="78"/>
      <c r="Z11" s="43"/>
      <c r="AE11" s="41">
        <v>1075</v>
      </c>
      <c r="AF11" s="41"/>
      <c r="AG11" s="41"/>
    </row>
    <row r="12" spans="1:33" s="79" customFormat="1" ht="21">
      <c r="A12" s="67" t="s">
        <v>83</v>
      </c>
      <c r="B12" s="68">
        <f t="shared" si="3"/>
        <v>68</v>
      </c>
      <c r="C12" s="83">
        <v>31</v>
      </c>
      <c r="D12" s="84">
        <v>37</v>
      </c>
      <c r="E12" s="71">
        <f t="shared" si="4"/>
        <v>68</v>
      </c>
      <c r="F12" s="83">
        <v>31</v>
      </c>
      <c r="G12" s="85">
        <v>37</v>
      </c>
      <c r="H12" s="73">
        <v>68</v>
      </c>
      <c r="I12" s="73">
        <v>31</v>
      </c>
      <c r="J12" s="74">
        <v>37</v>
      </c>
      <c r="K12" s="64">
        <f t="shared" si="0"/>
        <v>0</v>
      </c>
      <c r="L12" s="73">
        <v>0</v>
      </c>
      <c r="M12" s="75">
        <v>0</v>
      </c>
      <c r="N12" s="64">
        <f t="shared" si="1"/>
        <v>0</v>
      </c>
      <c r="O12" s="73">
        <v>0</v>
      </c>
      <c r="P12" s="74">
        <v>0</v>
      </c>
      <c r="Q12" s="105">
        <f t="shared" si="2"/>
        <v>0</v>
      </c>
      <c r="R12" s="108">
        <v>0</v>
      </c>
      <c r="S12" s="108">
        <v>0</v>
      </c>
      <c r="T12" s="76" t="s">
        <v>84</v>
      </c>
      <c r="U12" s="86"/>
      <c r="V12" s="78"/>
      <c r="W12" s="78"/>
      <c r="X12" s="78"/>
      <c r="Y12" s="78"/>
      <c r="Z12" s="43"/>
      <c r="AE12" s="41"/>
      <c r="AF12" s="41"/>
      <c r="AG12" s="41"/>
    </row>
    <row r="13" spans="1:33" s="79" customFormat="1" ht="21">
      <c r="A13" s="80" t="s">
        <v>85</v>
      </c>
      <c r="B13" s="68">
        <f t="shared" si="3"/>
        <v>331</v>
      </c>
      <c r="C13" s="83">
        <v>183</v>
      </c>
      <c r="D13" s="84">
        <v>148</v>
      </c>
      <c r="E13" s="71">
        <f t="shared" si="4"/>
        <v>391</v>
      </c>
      <c r="F13" s="83">
        <v>216</v>
      </c>
      <c r="G13" s="85">
        <v>175</v>
      </c>
      <c r="H13" s="73">
        <v>492</v>
      </c>
      <c r="I13" s="83">
        <v>273</v>
      </c>
      <c r="J13" s="85">
        <v>219</v>
      </c>
      <c r="K13" s="64">
        <f t="shared" si="0"/>
        <v>145</v>
      </c>
      <c r="L13" s="83">
        <v>72</v>
      </c>
      <c r="M13" s="84">
        <v>73</v>
      </c>
      <c r="N13" s="64">
        <f t="shared" si="1"/>
        <v>132</v>
      </c>
      <c r="O13" s="83">
        <v>54</v>
      </c>
      <c r="P13" s="85">
        <v>78</v>
      </c>
      <c r="Q13" s="105">
        <f t="shared" ref="Q13" si="5">SUM(R13:S13)</f>
        <v>0</v>
      </c>
      <c r="R13" s="108">
        <v>0</v>
      </c>
      <c r="S13" s="108">
        <v>0</v>
      </c>
      <c r="T13" s="76" t="s">
        <v>86</v>
      </c>
      <c r="U13" s="86"/>
      <c r="V13" s="78"/>
      <c r="W13" s="78"/>
      <c r="X13" s="78"/>
      <c r="Y13" s="78"/>
      <c r="Z13" s="43"/>
      <c r="AE13" s="41"/>
      <c r="AF13" s="41"/>
      <c r="AG13" s="41"/>
    </row>
    <row r="14" spans="1:33" s="79" customFormat="1" ht="21">
      <c r="A14" s="67" t="s">
        <v>87</v>
      </c>
      <c r="B14" s="68">
        <f t="shared" si="3"/>
        <v>10</v>
      </c>
      <c r="C14" s="83">
        <v>8</v>
      </c>
      <c r="D14" s="84">
        <v>2</v>
      </c>
      <c r="E14" s="71">
        <f t="shared" si="4"/>
        <v>11</v>
      </c>
      <c r="F14" s="83">
        <v>9</v>
      </c>
      <c r="G14" s="85">
        <v>2</v>
      </c>
      <c r="H14" s="73">
        <v>11</v>
      </c>
      <c r="I14" s="73">
        <v>9</v>
      </c>
      <c r="J14" s="74">
        <v>2</v>
      </c>
      <c r="K14" s="64">
        <f t="shared" si="0"/>
        <v>0</v>
      </c>
      <c r="L14" s="73">
        <v>0</v>
      </c>
      <c r="M14" s="75">
        <v>0</v>
      </c>
      <c r="N14" s="64">
        <f t="shared" si="1"/>
        <v>0</v>
      </c>
      <c r="O14" s="73">
        <v>0</v>
      </c>
      <c r="P14" s="74">
        <v>0</v>
      </c>
      <c r="Q14" s="105">
        <f t="shared" si="2"/>
        <v>0</v>
      </c>
      <c r="R14" s="108">
        <v>0</v>
      </c>
      <c r="S14" s="108">
        <v>0</v>
      </c>
      <c r="T14" s="76" t="s">
        <v>88</v>
      </c>
      <c r="U14" s="86"/>
      <c r="V14" s="78"/>
      <c r="W14" s="78"/>
      <c r="X14" s="78"/>
      <c r="Y14" s="78"/>
      <c r="Z14" s="43"/>
    </row>
    <row r="15" spans="1:33" s="79" customFormat="1" ht="21">
      <c r="A15" s="80" t="s">
        <v>89</v>
      </c>
      <c r="B15" s="68">
        <f t="shared" si="3"/>
        <v>2</v>
      </c>
      <c r="C15" s="83">
        <v>2</v>
      </c>
      <c r="D15" s="84">
        <v>0</v>
      </c>
      <c r="E15" s="71">
        <f t="shared" si="4"/>
        <v>1</v>
      </c>
      <c r="F15" s="83">
        <v>1</v>
      </c>
      <c r="G15" s="85">
        <v>0</v>
      </c>
      <c r="H15" s="73">
        <v>1</v>
      </c>
      <c r="I15" s="73">
        <v>1</v>
      </c>
      <c r="J15" s="74">
        <v>0</v>
      </c>
      <c r="K15" s="64">
        <f t="shared" si="0"/>
        <v>0</v>
      </c>
      <c r="L15" s="73">
        <v>0</v>
      </c>
      <c r="M15" s="75">
        <v>0</v>
      </c>
      <c r="N15" s="64">
        <f t="shared" si="1"/>
        <v>0</v>
      </c>
      <c r="O15" s="73">
        <v>0</v>
      </c>
      <c r="P15" s="74">
        <v>0</v>
      </c>
      <c r="Q15" s="105">
        <f t="shared" si="2"/>
        <v>0</v>
      </c>
      <c r="R15" s="108">
        <v>0</v>
      </c>
      <c r="S15" s="108">
        <v>0</v>
      </c>
      <c r="T15" s="76" t="s">
        <v>90</v>
      </c>
      <c r="U15" s="86"/>
      <c r="V15" s="78"/>
      <c r="W15" s="87"/>
      <c r="X15" s="87"/>
      <c r="Y15" s="78"/>
      <c r="Z15" s="43"/>
    </row>
    <row r="16" spans="1:33" s="79" customFormat="1" ht="21">
      <c r="A16" s="88" t="s">
        <v>91</v>
      </c>
      <c r="B16" s="89">
        <f t="shared" si="3"/>
        <v>15</v>
      </c>
      <c r="C16" s="90">
        <v>15</v>
      </c>
      <c r="D16" s="91">
        <v>0</v>
      </c>
      <c r="E16" s="92">
        <f t="shared" si="4"/>
        <v>15</v>
      </c>
      <c r="F16" s="90">
        <v>15</v>
      </c>
      <c r="G16" s="93">
        <v>0</v>
      </c>
      <c r="H16" s="94">
        <v>14</v>
      </c>
      <c r="I16" s="94">
        <v>14</v>
      </c>
      <c r="J16" s="95">
        <v>0</v>
      </c>
      <c r="K16" s="96">
        <f t="shared" si="0"/>
        <v>0</v>
      </c>
      <c r="L16" s="94">
        <v>0</v>
      </c>
      <c r="M16" s="97">
        <v>0</v>
      </c>
      <c r="N16" s="96">
        <f t="shared" si="1"/>
        <v>0</v>
      </c>
      <c r="O16" s="94">
        <v>0</v>
      </c>
      <c r="P16" s="95">
        <v>0</v>
      </c>
      <c r="Q16" s="107">
        <f t="shared" si="2"/>
        <v>0</v>
      </c>
      <c r="R16" s="109">
        <v>0</v>
      </c>
      <c r="S16" s="109">
        <v>0</v>
      </c>
      <c r="T16" s="98" t="s">
        <v>2</v>
      </c>
      <c r="V16" s="99"/>
      <c r="W16" s="99"/>
      <c r="X16" s="99"/>
      <c r="Y16" s="99"/>
    </row>
    <row r="17" spans="1:21" s="79" customFormat="1" ht="18.75">
      <c r="A17" s="38" t="s">
        <v>1</v>
      </c>
      <c r="B17" s="42"/>
      <c r="C17" s="42"/>
      <c r="D17" s="42"/>
      <c r="E17" s="42"/>
      <c r="F17" s="42"/>
      <c r="G17" s="40"/>
      <c r="H17" s="40"/>
      <c r="I17" s="40"/>
      <c r="J17" s="40"/>
      <c r="K17" s="40"/>
      <c r="M17" s="99"/>
      <c r="N17" s="100"/>
      <c r="O17" s="99"/>
      <c r="P17" s="99"/>
      <c r="Q17" s="100"/>
      <c r="R17" s="99"/>
      <c r="S17" s="99"/>
      <c r="T17" s="102" t="s">
        <v>92</v>
      </c>
    </row>
    <row r="18" spans="1:21" ht="18.75">
      <c r="T18" s="102" t="s">
        <v>96</v>
      </c>
      <c r="U18" s="79"/>
    </row>
    <row r="19" spans="1:21" ht="15.75" customHeight="1">
      <c r="A19" s="113"/>
      <c r="B19" s="114"/>
      <c r="C19" s="114"/>
      <c r="D19" s="115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39" t="s">
        <v>49</v>
      </c>
      <c r="U19" s="79"/>
    </row>
    <row r="20" spans="1:21">
      <c r="U20" s="79"/>
    </row>
    <row r="21" spans="1:21">
      <c r="U21" s="79"/>
    </row>
    <row r="22" spans="1:21">
      <c r="U22" s="79"/>
    </row>
    <row r="23" spans="1:21">
      <c r="U23" s="79"/>
    </row>
    <row r="24" spans="1:21">
      <c r="U24" s="79"/>
    </row>
  </sheetData>
  <mergeCells count="12">
    <mergeCell ref="Q6:S6"/>
    <mergeCell ref="A19:D19"/>
    <mergeCell ref="A1:T1"/>
    <mergeCell ref="A2:T2"/>
    <mergeCell ref="A3:T3"/>
    <mergeCell ref="A4:A6"/>
    <mergeCell ref="T4:T6"/>
    <mergeCell ref="B6:D6"/>
    <mergeCell ref="E6:G6"/>
    <mergeCell ref="H6:J6"/>
    <mergeCell ref="K6:M6"/>
    <mergeCell ref="N6:P6"/>
  </mergeCells>
  <pageMargins left="0.7" right="0.7" top="0.75" bottom="0.75" header="0.3" footer="0.3"/>
  <pageSetup paperSize="9" scale="45" orientation="portrait" horizontalDpi="4294967295" verticalDpi="4294967295" r:id="rId1"/>
  <ignoredErrors>
    <ignoredError sqref="N7:Q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131" t="s">
        <v>55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</row>
    <row r="2" spans="1:36">
      <c r="A2" s="132" t="s">
        <v>48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</row>
    <row r="3" spans="1:36" ht="15" customHeight="1">
      <c r="A3" s="133"/>
      <c r="B3" s="133"/>
      <c r="C3" s="135" t="s">
        <v>42</v>
      </c>
      <c r="D3" s="135"/>
      <c r="E3" s="135"/>
      <c r="F3" s="135"/>
      <c r="G3" s="135"/>
      <c r="H3" s="29"/>
      <c r="I3" s="29"/>
      <c r="J3" s="136" t="s">
        <v>8</v>
      </c>
      <c r="K3" s="136"/>
      <c r="L3" s="136"/>
      <c r="M3" s="136"/>
      <c r="N3" s="136"/>
      <c r="O3" s="24"/>
      <c r="P3" s="136" t="s">
        <v>9</v>
      </c>
      <c r="Q3" s="136"/>
      <c r="R3" s="136"/>
      <c r="S3" s="136"/>
      <c r="T3" s="136"/>
      <c r="U3" s="6"/>
      <c r="V3" s="6"/>
      <c r="W3" s="6"/>
      <c r="X3" s="137" t="s">
        <v>10</v>
      </c>
      <c r="Y3" s="137"/>
      <c r="Z3" s="137"/>
      <c r="AA3" s="137"/>
      <c r="AB3" s="137"/>
      <c r="AC3" s="25"/>
      <c r="AD3" s="25"/>
      <c r="AE3" s="137" t="s">
        <v>11</v>
      </c>
      <c r="AF3" s="137"/>
      <c r="AG3" s="137"/>
      <c r="AH3" s="137"/>
      <c r="AI3" s="137"/>
    </row>
    <row r="4" spans="1:36" ht="25.5">
      <c r="A4" s="134"/>
      <c r="B4" s="134"/>
      <c r="C4" s="30" t="s">
        <v>12</v>
      </c>
      <c r="D4" s="30" t="s">
        <v>13</v>
      </c>
      <c r="E4" s="30" t="s">
        <v>7</v>
      </c>
      <c r="F4" s="31" t="s">
        <v>14</v>
      </c>
      <c r="G4" s="30" t="s">
        <v>15</v>
      </c>
      <c r="H4" s="30" t="s">
        <v>50</v>
      </c>
      <c r="I4" s="30" t="s">
        <v>56</v>
      </c>
      <c r="J4" s="13" t="s">
        <v>12</v>
      </c>
      <c r="K4" s="13" t="s">
        <v>13</v>
      </c>
      <c r="L4" s="13" t="s">
        <v>7</v>
      </c>
      <c r="M4" s="14" t="s">
        <v>14</v>
      </c>
      <c r="N4" s="13" t="s">
        <v>15</v>
      </c>
      <c r="O4" s="30" t="s">
        <v>50</v>
      </c>
      <c r="P4" s="13" t="s">
        <v>12</v>
      </c>
      <c r="Q4" s="13" t="s">
        <v>13</v>
      </c>
      <c r="R4" s="13" t="s">
        <v>7</v>
      </c>
      <c r="S4" s="14" t="s">
        <v>14</v>
      </c>
      <c r="T4" s="13" t="s">
        <v>15</v>
      </c>
      <c r="U4" s="30" t="s">
        <v>50</v>
      </c>
      <c r="V4" s="30"/>
      <c r="W4" s="30"/>
      <c r="X4" s="13" t="s">
        <v>12</v>
      </c>
      <c r="Y4" s="13" t="s">
        <v>13</v>
      </c>
      <c r="Z4" s="13" t="s">
        <v>7</v>
      </c>
      <c r="AA4" s="14" t="s">
        <v>14</v>
      </c>
      <c r="AB4" s="13" t="s">
        <v>15</v>
      </c>
      <c r="AC4" s="30" t="s">
        <v>50</v>
      </c>
      <c r="AD4" s="30"/>
      <c r="AE4" s="13" t="s">
        <v>12</v>
      </c>
      <c r="AF4" s="13" t="s">
        <v>13</v>
      </c>
      <c r="AG4" s="13" t="s">
        <v>7</v>
      </c>
      <c r="AH4" s="14" t="s">
        <v>14</v>
      </c>
      <c r="AI4" s="13" t="s">
        <v>15</v>
      </c>
      <c r="AJ4" s="30" t="s">
        <v>50</v>
      </c>
    </row>
    <row r="5" spans="1:36" ht="14.25" customHeight="1">
      <c r="A5" s="23"/>
      <c r="B5" s="27" t="s">
        <v>52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52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52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53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53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53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54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54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54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22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23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24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25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26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27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28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29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30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31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32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33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34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35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36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37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38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39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40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41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16</v>
      </c>
      <c r="B28" s="9" t="s">
        <v>17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16</v>
      </c>
      <c r="B29" s="9" t="s">
        <v>18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16</v>
      </c>
      <c r="B30" s="9" t="s">
        <v>19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16</v>
      </c>
      <c r="B31" s="9" t="s">
        <v>20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16</v>
      </c>
      <c r="B32" s="16" t="s">
        <v>21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49</v>
      </c>
    </row>
    <row r="36" spans="1:35">
      <c r="A36" s="1"/>
      <c r="B36" s="26" t="s">
        <v>50</v>
      </c>
    </row>
    <row r="37" spans="1:35">
      <c r="B37" s="27" t="s">
        <v>42</v>
      </c>
      <c r="C37" s="27" t="s">
        <v>51</v>
      </c>
      <c r="D37" s="27" t="s">
        <v>43</v>
      </c>
      <c r="E37" s="27"/>
      <c r="F37" s="27"/>
    </row>
    <row r="38" spans="1:35">
      <c r="A38" s="27" t="s">
        <v>52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53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54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57</v>
      </c>
      <c r="C42" s="34"/>
      <c r="D42" s="34"/>
    </row>
    <row r="43" spans="1:35">
      <c r="B43" s="27" t="s">
        <v>42</v>
      </c>
      <c r="C43" s="27" t="s">
        <v>51</v>
      </c>
      <c r="D43" s="27" t="s">
        <v>43</v>
      </c>
    </row>
    <row r="44" spans="1:35">
      <c r="A44" s="27" t="s">
        <v>52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53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54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58</v>
      </c>
      <c r="C49" s="34"/>
      <c r="D49" s="34"/>
    </row>
    <row r="50" spans="1:5">
      <c r="B50" s="27" t="s">
        <v>42</v>
      </c>
      <c r="C50" s="27" t="s">
        <v>51</v>
      </c>
      <c r="D50" s="27" t="s">
        <v>43</v>
      </c>
    </row>
    <row r="51" spans="1:5">
      <c r="A51" s="27" t="s">
        <v>52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53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54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45</v>
      </c>
      <c r="C56" s="34" t="s">
        <v>16</v>
      </c>
      <c r="D56" s="34" t="s">
        <v>44</v>
      </c>
    </row>
    <row r="57" spans="1:5">
      <c r="A57" s="34" t="s">
        <v>59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60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58</v>
      </c>
      <c r="B59" s="35">
        <v>14232</v>
      </c>
      <c r="C59" s="35">
        <v>6099</v>
      </c>
      <c r="D59" s="35">
        <v>8133</v>
      </c>
    </row>
    <row r="60" spans="1:5">
      <c r="A60" s="34" t="s">
        <v>57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61</v>
      </c>
    </row>
    <row r="67" spans="1:11">
      <c r="B67" s="34"/>
      <c r="H67" s="34" t="s">
        <v>62</v>
      </c>
    </row>
    <row r="68" spans="1:11">
      <c r="A68" s="1"/>
      <c r="B68" s="34"/>
      <c r="C68" s="34" t="s">
        <v>63</v>
      </c>
      <c r="D68" s="34" t="s">
        <v>64</v>
      </c>
      <c r="E68" s="34" t="s">
        <v>65</v>
      </c>
      <c r="F68" s="34" t="s">
        <v>66</v>
      </c>
      <c r="G68" s="34"/>
      <c r="H68" s="36" t="s">
        <v>67</v>
      </c>
      <c r="I68" s="34" t="s">
        <v>68</v>
      </c>
      <c r="J68" s="34" t="s">
        <v>69</v>
      </c>
      <c r="K68" s="34"/>
    </row>
    <row r="69" spans="1:11">
      <c r="A69" s="1"/>
      <c r="B69" s="34" t="s">
        <v>22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23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24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25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26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27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28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29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30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31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32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33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34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35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36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37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38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39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40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41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8.31</vt:lpstr>
      <vt:lpstr>8.20 workings</vt:lpstr>
      <vt:lpstr>'8.31'!Print_Area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2018-10-02T08:50:36Z</cp:lastPrinted>
  <dcterms:created xsi:type="dcterms:W3CDTF">2013-04-04T04:05:16Z</dcterms:created>
  <dcterms:modified xsi:type="dcterms:W3CDTF">2018-10-07T05:08:16Z</dcterms:modified>
</cp:coreProperties>
</file>