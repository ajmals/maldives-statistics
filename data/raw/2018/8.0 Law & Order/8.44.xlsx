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842"/>
  </bookViews>
  <sheets>
    <sheet name="8.44" sheetId="90" r:id="rId1"/>
    <sheet name="8.20 workings" sheetId="36" state="hidden" r:id="rId2"/>
  </sheets>
  <externalReferences>
    <externalReference r:id="rId3"/>
  </externalReferences>
  <calcPr calcId="162913"/>
</workbook>
</file>

<file path=xl/calcChain.xml><?xml version="1.0" encoding="utf-8"?>
<calcChain xmlns="http://schemas.openxmlformats.org/spreadsheetml/2006/main">
  <c r="B9" i="90" l="1"/>
  <c r="B8" i="90"/>
  <c r="B7" i="90"/>
  <c r="D6" i="90"/>
  <c r="C6" i="90"/>
  <c r="B6" i="90" s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<sst xmlns="http://schemas.openxmlformats.org/spreadsheetml/2006/main" count="177" uniqueCount="82">
  <si>
    <t>Total</t>
  </si>
  <si>
    <t>Source: Department of Judicial Administration</t>
  </si>
  <si>
    <t>Male</t>
  </si>
  <si>
    <t>Female</t>
  </si>
  <si>
    <t>ޖުމްލަ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</si>
  <si>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</si>
  <si>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</si>
  <si>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</si>
  <si>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</si>
  <si>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</si>
  <si>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</si>
  <si>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</si>
  <si>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</si>
  <si>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</si>
  <si>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</si>
  <si>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</si>
  <si>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</si>
  <si>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</si>
  <si>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</si>
  <si>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</si>
  <si>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</si>
  <si>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</si>
  <si>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</si>
  <si>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</si>
  <si>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</si>
  <si>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</si>
  <si>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</si>
  <si>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</si>
  <si>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</si>
  <si>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</si>
  <si>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</si>
  <si>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</si>
  <si>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</si>
  <si>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</si>
  <si>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</si>
  <si>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</si>
  <si>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</si>
  <si>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</si>
  <si>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</si>
  <si>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</si>
  <si>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</si>
  <si>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</si>
  <si>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</si>
  <si>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</si>
  <si>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ބާވަތް</t>
  </si>
  <si>
    <t>ފިރިހެން</t>
  </si>
  <si>
    <t>އަންހެން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</si>
  <si>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</si>
  <si>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</si>
  <si>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</si>
  <si>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</si>
  <si>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</si>
  <si>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</si>
  <si>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</si>
  <si>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</si>
  <si>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</si>
  <si>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</si>
  <si>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</si>
  <si>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</si>
  <si>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</si>
  <si>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</si>
  <si>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</si>
  <si>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</si>
  <si>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</si>
  <si>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</si>
  <si>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</si>
  <si>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</si>
  <si>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</si>
  <si>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</si>
  <si>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Type</t>
  </si>
  <si>
    <t>Source: Ministry of Gender &amp; Family</t>
  </si>
  <si>
    <t>މަޢުލޫމާތު ދެއްވީ: މިނިސްޓްރީ އޮފް ޖެންޑަރ އެންޑް ފެމިލީ</t>
  </si>
  <si>
    <t>Both Sex</t>
  </si>
  <si>
    <t>ދެޖިންސު</t>
  </si>
  <si>
    <t>Refusal to Attend School</t>
  </si>
  <si>
    <t>Tamper Tantrums</t>
  </si>
  <si>
    <t xml:space="preserve">Running Away </t>
  </si>
  <si>
    <t xml:space="preserve">ތާވަލު 8.44: ހުށަހެޅިފައިވާ ކުޑަކުދިންގެ އަޚްލާޤީ މައްސަލަތައް އަދި ޖިންސު، 2017 </t>
  </si>
  <si>
    <t>ގެއިން ނުކުމެގެން ދިއުން</t>
  </si>
  <si>
    <t>ރުޅިއިސްކުރުން / ރުޅިގަދަވެގެން އުޅުން</t>
  </si>
  <si>
    <t>ސްކޫލަށްދާން ބޭނުންނުވުން</t>
  </si>
  <si>
    <t xml:space="preserve">Table 8.44: Number of cases reported regarding behavioural problems of children by sex, 2017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</si>
</sst>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_);_(* \(#,##0\);_(* &quot;-&quot;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b/>
      <sz val="10"/>
      <name val="Faruma"/>
    </font>
    <font>
      <sz val="10"/>
      <name val="Farum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7" fillId="0" borderId="0"/>
    <xf numFmtId="0" fontId="12" fillId="0" borderId="7" applyNumberFormat="0" applyFill="0" applyAlignment="0" applyProtection="0"/>
    <xf numFmtId="0" fontId="8" fillId="0" borderId="0"/>
    <xf numFmtId="166" fontId="13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7" fillId="0" borderId="9" applyNumberFormat="0" applyFill="0" applyAlignment="0" applyProtection="0"/>
    <xf numFmtId="0" fontId="18" fillId="0" borderId="10" applyNumberFormat="0" applyFill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11" applyNumberFormat="0" applyAlignment="0" applyProtection="0"/>
    <xf numFmtId="0" fontId="23" fillId="8" borderId="12" applyNumberFormat="0" applyAlignment="0" applyProtection="0"/>
    <xf numFmtId="0" fontId="24" fillId="8" borderId="11" applyNumberFormat="0" applyAlignment="0" applyProtection="0"/>
    <xf numFmtId="0" fontId="25" fillId="0" borderId="13" applyNumberFormat="0" applyFill="0" applyAlignment="0" applyProtection="0"/>
    <xf numFmtId="0" fontId="26" fillId="9" borderId="14" applyNumberFormat="0" applyAlignment="0" applyProtection="0"/>
    <xf numFmtId="0" fontId="14" fillId="0" borderId="0" applyNumberFormat="0" applyFill="0" applyBorder="0" applyAlignment="0" applyProtection="0"/>
    <xf numFmtId="0" fontId="1" fillId="10" borderId="15" applyNumberFormat="0" applyFont="0" applyAlignment="0" applyProtection="0"/>
    <xf numFmtId="0" fontId="27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28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8" fillId="34" borderId="0" applyNumberFormat="0" applyBorder="0" applyAlignment="0" applyProtection="0"/>
    <xf numFmtId="0" fontId="1" fillId="0" borderId="0"/>
    <xf numFmtId="0" fontId="8" fillId="0" borderId="0"/>
  </cellStyleXfs>
  <cellXfs count="66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8" fontId="0" fillId="2" borderId="0" xfId="1" applyNumberFormat="1" applyFont="1" applyFill="1"/>
    <xf numFmtId="164" fontId="6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8" xfId="0" applyNumberFormat="1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left" vertical="center" wrapText="1"/>
    </xf>
    <xf numFmtId="3" fontId="4" fillId="2" borderId="8" xfId="1" applyNumberFormat="1" applyFont="1" applyFill="1" applyBorder="1" applyAlignment="1"/>
    <xf numFmtId="3" fontId="3" fillId="2" borderId="8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9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8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2" borderId="0" xfId="0" applyFill="1"/>
    <xf numFmtId="164" fontId="3" fillId="2" borderId="0" xfId="0" applyNumberFormat="1" applyFont="1" applyFill="1" applyBorder="1" applyAlignment="1">
      <alignment horizontal="right" vertical="center" wrapText="1"/>
    </xf>
    <xf numFmtId="0" fontId="0" fillId="2" borderId="4" xfId="0" applyFill="1" applyBorder="1" applyAlignment="1">
      <alignment horizontal="left" vertical="center" indent="1"/>
    </xf>
    <xf numFmtId="0" fontId="29" fillId="2" borderId="0" xfId="0" applyFont="1" applyFill="1" applyBorder="1"/>
    <xf numFmtId="0" fontId="30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  <xf numFmtId="164" fontId="31" fillId="2" borderId="4" xfId="0" applyNumberFormat="1" applyFont="1" applyFill="1" applyBorder="1" applyAlignment="1">
      <alignment horizontal="right" vertical="center" wrapText="1"/>
    </xf>
    <xf numFmtId="164" fontId="3" fillId="2" borderId="17" xfId="0" applyNumberFormat="1" applyFont="1" applyFill="1" applyBorder="1" applyAlignment="1">
      <alignment horizontal="right" vertical="center" wrapText="1"/>
    </xf>
    <xf numFmtId="164" fontId="3" fillId="2" borderId="4" xfId="0" applyNumberFormat="1" applyFont="1" applyFill="1" applyBorder="1" applyAlignment="1">
      <alignment horizontal="right" vertical="center" wrapText="1"/>
    </xf>
    <xf numFmtId="164" fontId="5" fillId="2" borderId="0" xfId="0" applyNumberFormat="1" applyFont="1" applyFill="1" applyBorder="1" applyAlignment="1">
      <alignment vertical="top"/>
    </xf>
    <xf numFmtId="164" fontId="32" fillId="2" borderId="0" xfId="0" applyNumberFormat="1" applyFont="1" applyFill="1" applyBorder="1" applyAlignment="1">
      <alignment vertical="top" readingOrder="2"/>
    </xf>
    <xf numFmtId="0" fontId="0" fillId="2" borderId="0" xfId="0" applyFill="1" applyBorder="1" applyAlignment="1">
      <alignment horizontal="left" vertical="center" indent="1"/>
    </xf>
    <xf numFmtId="0" fontId="0" fillId="2" borderId="4" xfId="0" applyFont="1" applyFill="1" applyBorder="1"/>
    <xf numFmtId="0" fontId="0" fillId="2" borderId="0" xfId="0" applyFont="1" applyFill="1" applyBorder="1"/>
    <xf numFmtId="0" fontId="29" fillId="2" borderId="4" xfId="0" applyFont="1" applyFill="1" applyBorder="1"/>
    <xf numFmtId="164" fontId="11" fillId="2" borderId="0" xfId="0" applyNumberFormat="1" applyFont="1" applyFill="1" applyBorder="1" applyAlignment="1" applyProtection="1">
      <alignment horizontal="center" vertical="center"/>
    </xf>
    <xf numFmtId="164" fontId="3" fillId="2" borderId="17" xfId="0" applyNumberFormat="1" applyFont="1" applyFill="1" applyBorder="1" applyAlignment="1">
      <alignment horizontal="left" vertical="center" wrapText="1"/>
    </xf>
    <xf numFmtId="164" fontId="3" fillId="2" borderId="4" xfId="0" applyNumberFormat="1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/>
    </xf>
    <xf numFmtId="0" fontId="30" fillId="2" borderId="17" xfId="0" applyFont="1" applyFill="1" applyBorder="1" applyAlignment="1">
      <alignment horizontal="right" vertical="center"/>
    </xf>
    <xf numFmtId="0" fontId="30" fillId="2" borderId="4" xfId="0" applyFont="1" applyFill="1" applyBorder="1" applyAlignment="1">
      <alignment horizontal="right" vertical="center"/>
    </xf>
    <xf numFmtId="0" fontId="30" fillId="2" borderId="0" xfId="0" applyFont="1" applyFill="1" applyAlignment="1">
      <alignment horizontal="center"/>
    </xf>
    <xf numFmtId="164" fontId="3" fillId="2" borderId="4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/>
    </xf>
    <xf numFmtId="164" fontId="3" fillId="2" borderId="3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27A16"/>
      <color rgb="FFF8A45E"/>
      <color rgb="FFFBC497"/>
      <color rgb="FFCE2049"/>
      <color rgb="FF953735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/>
              <a:t>Figure 8.61: Number of reported cases on  behavioural problems of children by sex,</a:t>
            </a:r>
            <a:r>
              <a:rPr lang="en-US" sz="1050" b="1" baseline="0"/>
              <a:t> 2017</a:t>
            </a:r>
            <a:endParaRPr lang="en-US" sz="1050" b="1"/>
          </a:p>
        </c:rich>
      </c:tx>
      <c:layout>
        <c:manualLayout>
          <c:xMode val="edge"/>
          <c:yMode val="edge"/>
          <c:x val="0.15010607649628946"/>
          <c:y val="2.33236151603498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81421965111504E-2"/>
          <c:y val="0.12662878787878787"/>
          <c:w val="0.9365639295088114"/>
          <c:h val="0.764494750656168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'8.44'!$C$4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'8.44'!$A$7:$A$9</c:f>
              <c:strCache>
                <c:ptCount val="3"/>
                <c:pt idx="0">
                  <c:v>Refusal to Attend School</c:v>
                </c:pt>
                <c:pt idx="1">
                  <c:v>Tamper Tantrums</c:v>
                </c:pt>
                <c:pt idx="2">
                  <c:v>Running Away </c:v>
                </c:pt>
              </c:strCache>
            </c:strRef>
          </c:cat>
          <c:val>
            <c:numRef>
              <c:f>'8.44'!$C$7:$C$9</c:f>
              <c:numCache>
                <c:formatCode>General</c:formatCode>
                <c:ptCount val="3"/>
                <c:pt idx="0">
                  <c:v>18</c:v>
                </c:pt>
                <c:pt idx="1">
                  <c:v>59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D-4C09-B67E-CB1C87F2E0EE}"/>
            </c:ext>
          </c:extLst>
        </c:ser>
        <c:ser>
          <c:idx val="1"/>
          <c:order val="1"/>
          <c:tx>
            <c:strRef>
              <c:f>'8.44'!$D$4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'8.44'!$A$7:$A$9</c:f>
              <c:strCache>
                <c:ptCount val="3"/>
                <c:pt idx="0">
                  <c:v>Refusal to Attend School</c:v>
                </c:pt>
                <c:pt idx="1">
                  <c:v>Tamper Tantrums</c:v>
                </c:pt>
                <c:pt idx="2">
                  <c:v>Running Away </c:v>
                </c:pt>
              </c:strCache>
            </c:strRef>
          </c:cat>
          <c:val>
            <c:numRef>
              <c:f>'8.44'!$D$7:$D$9</c:f>
              <c:numCache>
                <c:formatCode>General</c:formatCode>
                <c:ptCount val="3"/>
                <c:pt idx="0">
                  <c:v>16</c:v>
                </c:pt>
                <c:pt idx="1">
                  <c:v>19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ED-4C09-B67E-CB1C87F2E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945295"/>
        <c:axId val="42951535"/>
      </c:barChart>
      <c:catAx>
        <c:axId val="42945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51535"/>
        <c:crosses val="autoZero"/>
        <c:auto val="1"/>
        <c:lblAlgn val="ctr"/>
        <c:lblOffset val="100"/>
        <c:noMultiLvlLbl val="0"/>
      </c:catAx>
      <c:valAx>
        <c:axId val="4295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45295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43328869605585"/>
          <c:y val="0.26183667382486275"/>
          <c:w val="0.19225368257539235"/>
          <c:h val="6.39209019327129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342899</xdr:colOff>
      <xdr:row>11</xdr:row>
      <xdr:rowOff>66675</xdr:rowOff>
    </xdr:from>
    <xdr:to>
      <xdr:col>5</xdr:col>
      <xdr:colOff>180975</xdr:colOff>
      <xdr:row>28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1247775</xdr:colOff>
      <xdr:row>12</xdr:row>
      <xdr:rowOff>171450</xdr:rowOff>
    </xdr:from>
    <xdr:to>
      <xdr:col>4</xdr:col>
      <xdr:colOff>2038350</xdr:colOff>
      <xdr:row>12</xdr:row>
      <xdr:rowOff>171450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1247775" y="2933700"/>
          <a:ext cx="5000625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10"/>
  <sheetViews>
    <sheetView tabSelected="1" zoomScaleNormal="100" workbookViewId="0">
      <selection activeCell="L29" sqref="L29"/>
    </sheetView>
  </sheetViews>
  <sheetFormatPr defaultRowHeight="15"/>
  <cols>
    <col min="1" max="1" width="27.5703125" style="38" customWidth="1"/>
    <col min="2" max="4" width="11.85546875" style="38" customWidth="1"/>
    <col min="5" max="5" width="33.5703125" style="38" customWidth="1"/>
    <col min="6" max="16384" width="9.140625" style="38"/>
  </cols>
  <sheetData>
    <row r="1" spans="1:5" ht="21">
      <c r="A1" s="59" t="s">
        <v>77</v>
      </c>
      <c r="B1" s="59"/>
      <c r="C1" s="59"/>
      <c r="D1" s="59"/>
      <c r="E1" s="59"/>
    </row>
    <row r="2" spans="1:5">
      <c r="A2" s="56" t="s">
        <v>81</v>
      </c>
      <c r="B2" s="56"/>
      <c r="C2" s="56"/>
      <c r="D2" s="56"/>
      <c r="E2" s="56"/>
    </row>
    <row r="4" spans="1:5">
      <c r="A4" s="54" t="s">
        <v>69</v>
      </c>
      <c r="B4" s="45" t="s">
        <v>72</v>
      </c>
      <c r="C4" s="45" t="s">
        <v>2</v>
      </c>
      <c r="D4" s="45" t="s">
        <v>3</v>
      </c>
      <c r="E4" s="57" t="s">
        <v>44</v>
      </c>
    </row>
    <row r="5" spans="1:5" ht="18.75">
      <c r="A5" s="55"/>
      <c r="B5" s="44" t="s">
        <v>73</v>
      </c>
      <c r="C5" s="44" t="s">
        <v>45</v>
      </c>
      <c r="D5" s="44" t="s">
        <v>46</v>
      </c>
      <c r="E5" s="58"/>
    </row>
    <row r="6" spans="1:5" ht="21">
      <c r="A6" s="43" t="s">
        <v>5</v>
      </c>
      <c r="B6" s="39">
        <f>SUM(C6:D6)</f>
        <v>140</v>
      </c>
      <c r="C6" s="39">
        <f>SUM(C7:C9)</f>
        <v>78</v>
      </c>
      <c r="D6" s="39">
        <f>SUM(D7:D9)</f>
        <v>62</v>
      </c>
      <c r="E6" s="42" t="s">
        <v>4</v>
      </c>
    </row>
    <row r="7" spans="1:5" ht="21">
      <c r="A7" s="49" t="s">
        <v>74</v>
      </c>
      <c r="B7" s="39">
        <f>SUM(C7:D7)</f>
        <v>34</v>
      </c>
      <c r="C7" s="51">
        <v>18</v>
      </c>
      <c r="D7" s="51">
        <v>16</v>
      </c>
      <c r="E7" s="41" t="s">
        <v>80</v>
      </c>
    </row>
    <row r="8" spans="1:5" ht="21">
      <c r="A8" s="49" t="s">
        <v>75</v>
      </c>
      <c r="B8" s="39">
        <f>SUM(C8:D8)</f>
        <v>78</v>
      </c>
      <c r="C8" s="51">
        <v>59</v>
      </c>
      <c r="D8" s="51">
        <v>19</v>
      </c>
      <c r="E8" s="41" t="s">
        <v>79</v>
      </c>
    </row>
    <row r="9" spans="1:5" ht="21">
      <c r="A9" s="40" t="s">
        <v>76</v>
      </c>
      <c r="B9" s="46">
        <f>SUM(C9:D9)</f>
        <v>28</v>
      </c>
      <c r="C9" s="50">
        <v>1</v>
      </c>
      <c r="D9" s="50">
        <v>27</v>
      </c>
      <c r="E9" s="52" t="s">
        <v>78</v>
      </c>
    </row>
    <row r="10" spans="1:5" ht="18.75">
      <c r="A10" s="47" t="s">
        <v>70</v>
      </c>
      <c r="E10" s="48" t="s">
        <v>71</v>
      </c>
    </row>
  </sheetData>
  <mergeCells count="4">
    <mergeCell ref="A2:E2"/>
    <mergeCell ref="A4:A5"/>
    <mergeCell ref="E4:E5"/>
    <mergeCell ref="A1:E1"/>
  </mergeCells>
  <pageMargins left="0.7" right="0.7" top="0.75" bottom="0.75" header="0.3" footer="0.3"/>
  <pageSetup paperSize="9" scale="82" orientation="landscape" horizontalDpi="4294967295" verticalDpi="4294967295" r:id="rId1"/>
  <ignoredErrors>
    <ignoredError sqref="B7:B9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61" t="s">
        <v>54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</row>
    <row r="2" spans="1:36">
      <c r="A2" s="53" t="s">
        <v>47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</row>
    <row r="3" spans="1:36" ht="15" customHeight="1">
      <c r="A3" s="62"/>
      <c r="B3" s="62"/>
      <c r="C3" s="63" t="s">
        <v>40</v>
      </c>
      <c r="D3" s="63"/>
      <c r="E3" s="63"/>
      <c r="F3" s="63"/>
      <c r="G3" s="63"/>
      <c r="H3" s="29"/>
      <c r="I3" s="29"/>
      <c r="J3" s="64" t="s">
        <v>6</v>
      </c>
      <c r="K3" s="64"/>
      <c r="L3" s="64"/>
      <c r="M3" s="64"/>
      <c r="N3" s="64"/>
      <c r="O3" s="24"/>
      <c r="P3" s="64" t="s">
        <v>7</v>
      </c>
      <c r="Q3" s="64"/>
      <c r="R3" s="64"/>
      <c r="S3" s="64"/>
      <c r="T3" s="64"/>
      <c r="U3" s="6"/>
      <c r="V3" s="6"/>
      <c r="W3" s="6"/>
      <c r="X3" s="65" t="s">
        <v>8</v>
      </c>
      <c r="Y3" s="65"/>
      <c r="Z3" s="65"/>
      <c r="AA3" s="65"/>
      <c r="AB3" s="65"/>
      <c r="AC3" s="25"/>
      <c r="AD3" s="25"/>
      <c r="AE3" s="65" t="s">
        <v>9</v>
      </c>
      <c r="AF3" s="65"/>
      <c r="AG3" s="65"/>
      <c r="AH3" s="65"/>
      <c r="AI3" s="65"/>
    </row>
    <row r="4" spans="1:36" ht="25.5">
      <c r="A4" s="60"/>
      <c r="B4" s="60"/>
      <c r="C4" s="30" t="s">
        <v>10</v>
      </c>
      <c r="D4" s="30" t="s">
        <v>11</v>
      </c>
      <c r="E4" s="30" t="s">
        <v>5</v>
      </c>
      <c r="F4" s="31" t="s">
        <v>12</v>
      </c>
      <c r="G4" s="30" t="s">
        <v>13</v>
      </c>
      <c r="H4" s="30" t="s">
        <v>49</v>
      </c>
      <c r="I4" s="30" t="s">
        <v>55</v>
      </c>
      <c r="J4" s="13" t="s">
        <v>10</v>
      </c>
      <c r="K4" s="13" t="s">
        <v>11</v>
      </c>
      <c r="L4" s="13" t="s">
        <v>5</v>
      </c>
      <c r="M4" s="14" t="s">
        <v>12</v>
      </c>
      <c r="N4" s="13" t="s">
        <v>13</v>
      </c>
      <c r="O4" s="30" t="s">
        <v>49</v>
      </c>
      <c r="P4" s="13" t="s">
        <v>10</v>
      </c>
      <c r="Q4" s="13" t="s">
        <v>11</v>
      </c>
      <c r="R4" s="13" t="s">
        <v>5</v>
      </c>
      <c r="S4" s="14" t="s">
        <v>12</v>
      </c>
      <c r="T4" s="13" t="s">
        <v>13</v>
      </c>
      <c r="U4" s="30" t="s">
        <v>49</v>
      </c>
      <c r="V4" s="30"/>
      <c r="W4" s="30"/>
      <c r="X4" s="13" t="s">
        <v>10</v>
      </c>
      <c r="Y4" s="13" t="s">
        <v>11</v>
      </c>
      <c r="Z4" s="13" t="s">
        <v>5</v>
      </c>
      <c r="AA4" s="14" t="s">
        <v>12</v>
      </c>
      <c r="AB4" s="13" t="s">
        <v>13</v>
      </c>
      <c r="AC4" s="30" t="s">
        <v>49</v>
      </c>
      <c r="AD4" s="30"/>
      <c r="AE4" s="13" t="s">
        <v>10</v>
      </c>
      <c r="AF4" s="13" t="s">
        <v>11</v>
      </c>
      <c r="AG4" s="13" t="s">
        <v>5</v>
      </c>
      <c r="AH4" s="14" t="s">
        <v>12</v>
      </c>
      <c r="AI4" s="13" t="s">
        <v>13</v>
      </c>
      <c r="AJ4" s="30" t="s">
        <v>49</v>
      </c>
    </row>
    <row r="5" spans="1:36" ht="14.25" customHeight="1">
      <c r="A5" s="23"/>
      <c r="B5" s="27" t="s">
        <v>51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51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51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52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52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52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53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53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53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20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21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22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23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24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25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26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27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28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29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30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31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32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33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34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35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36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37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38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39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14</v>
      </c>
      <c r="B28" s="9" t="s">
        <v>15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14</v>
      </c>
      <c r="B29" s="9" t="s">
        <v>16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14</v>
      </c>
      <c r="B30" s="9" t="s">
        <v>17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14</v>
      </c>
      <c r="B31" s="9" t="s">
        <v>18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14</v>
      </c>
      <c r="B32" s="16" t="s">
        <v>19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48</v>
      </c>
    </row>
    <row r="36" spans="1:35">
      <c r="A36" s="1"/>
      <c r="B36" s="26" t="s">
        <v>49</v>
      </c>
    </row>
    <row r="37" spans="1:35">
      <c r="B37" s="27" t="s">
        <v>40</v>
      </c>
      <c r="C37" s="27" t="s">
        <v>50</v>
      </c>
      <c r="D37" s="27" t="s">
        <v>41</v>
      </c>
      <c r="E37" s="27"/>
      <c r="F37" s="27"/>
    </row>
    <row r="38" spans="1:35">
      <c r="A38" s="27" t="s">
        <v>51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52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53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56</v>
      </c>
      <c r="C42" s="34"/>
      <c r="D42" s="34"/>
    </row>
    <row r="43" spans="1:35">
      <c r="B43" s="27" t="s">
        <v>40</v>
      </c>
      <c r="C43" s="27" t="s">
        <v>50</v>
      </c>
      <c r="D43" s="27" t="s">
        <v>41</v>
      </c>
    </row>
    <row r="44" spans="1:35">
      <c r="A44" s="27" t="s">
        <v>51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52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53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57</v>
      </c>
      <c r="C49" s="34"/>
      <c r="D49" s="34"/>
    </row>
    <row r="50" spans="1:5">
      <c r="B50" s="27" t="s">
        <v>40</v>
      </c>
      <c r="C50" s="27" t="s">
        <v>50</v>
      </c>
      <c r="D50" s="27" t="s">
        <v>41</v>
      </c>
    </row>
    <row r="51" spans="1:5">
      <c r="A51" s="27" t="s">
        <v>51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52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53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43</v>
      </c>
      <c r="C56" s="34" t="s">
        <v>14</v>
      </c>
      <c r="D56" s="34" t="s">
        <v>42</v>
      </c>
    </row>
    <row r="57" spans="1:5">
      <c r="A57" s="34" t="s">
        <v>58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59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57</v>
      </c>
      <c r="B59" s="35">
        <v>14232</v>
      </c>
      <c r="C59" s="35">
        <v>6099</v>
      </c>
      <c r="D59" s="35">
        <v>8133</v>
      </c>
    </row>
    <row r="60" spans="1:5">
      <c r="A60" s="34" t="s">
        <v>56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60</v>
      </c>
    </row>
    <row r="67" spans="1:11">
      <c r="B67" s="34"/>
      <c r="H67" s="34" t="s">
        <v>61</v>
      </c>
    </row>
    <row r="68" spans="1:11">
      <c r="A68" s="1"/>
      <c r="B68" s="34"/>
      <c r="C68" s="34" t="s">
        <v>62</v>
      </c>
      <c r="D68" s="34" t="s">
        <v>63</v>
      </c>
      <c r="E68" s="34" t="s">
        <v>64</v>
      </c>
      <c r="F68" s="34" t="s">
        <v>65</v>
      </c>
      <c r="G68" s="34"/>
      <c r="H68" s="36" t="s">
        <v>66</v>
      </c>
      <c r="I68" s="34" t="s">
        <v>67</v>
      </c>
      <c r="J68" s="34" t="s">
        <v>68</v>
      </c>
      <c r="K68" s="34"/>
    </row>
    <row r="69" spans="1:11">
      <c r="A69" s="1"/>
      <c r="B69" s="34" t="s">
        <v>20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21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22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23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24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25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26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27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28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29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30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31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32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33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34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35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36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37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38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39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8.44</vt:lpstr>
      <vt:lpstr>8.20 workings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2018-09-26T05:58:34Z</cp:lastPrinted>
  <dcterms:created xsi:type="dcterms:W3CDTF">2013-04-04T04:05:16Z</dcterms:created>
  <dcterms:modified xsi:type="dcterms:W3CDTF">2018-09-26T05:58:38Z</dcterms:modified>
</cp:coreProperties>
</file>