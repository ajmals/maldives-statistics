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48" sheetId="94" r:id="rId1"/>
    <sheet name="8.20 workings" sheetId="36" state="hidden" r:id="rId2"/>
  </sheets>
  <externalReferences>
    <externalReference r:id="rId3"/>
  </externalReferences>
  <definedNames>
    <definedName name="_xlnm.Print_Area" localSheetId="0">'8.48'!$A$1:$M$18</definedName>
  </definedNames>
  <calcPr calcId="162913"/>
</workbook>
</file>

<file path=xl/calcChain.xml><?xml version="1.0" encoding="utf-8"?>
<calcChain xmlns="http://schemas.openxmlformats.org/spreadsheetml/2006/main">
  <c r="K17" i="94" l="1"/>
  <c r="H17" i="94"/>
  <c r="K16" i="94"/>
  <c r="H16" i="94"/>
  <c r="K15" i="94"/>
  <c r="H15" i="94"/>
  <c r="K14" i="94"/>
  <c r="H14" i="94"/>
  <c r="K13" i="94"/>
  <c r="H13" i="94"/>
  <c r="K12" i="94"/>
  <c r="H12" i="94"/>
  <c r="K11" i="94"/>
  <c r="H11" i="94"/>
  <c r="K10" i="94"/>
  <c r="H10" i="94"/>
  <c r="M9" i="94"/>
  <c r="L9" i="94"/>
  <c r="K9" i="94" s="1"/>
  <c r="J9" i="94"/>
  <c r="I9" i="94"/>
  <c r="H9" i="94" s="1"/>
  <c r="G9" i="94"/>
  <c r="F9" i="94"/>
  <c r="E9" i="94" s="1"/>
  <c r="D9" i="94"/>
  <c r="C9" i="94"/>
  <c r="B9" i="94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<sst xmlns="http://schemas.openxmlformats.org/spreadsheetml/2006/main" count="187" uniqueCount="80">
  <si>
    <t>Total</t>
  </si>
  <si>
    <t>Source: Department of Judicial Administration</t>
  </si>
  <si>
    <t>Both Sexes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</si>
  <si>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</si>
  <si>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</si>
  <si>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</si>
  <si>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</si>
  <si>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</si>
  <si>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</si>
  <si>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</si>
  <si>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</si>
  <si>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</si>
  <si>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</si>
  <si>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</si>
  <si>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</si>
  <si>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</si>
  <si>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</si>
  <si>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</si>
  <si>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</si>
  <si>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</si>
  <si>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</si>
  <si>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</si>
  <si>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</si>
  <si>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</si>
  <si>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</si>
  <si>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</si>
  <si>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</si>
  <si>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</si>
  <si>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</si>
  <si>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</si>
  <si>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</si>
  <si>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</si>
  <si>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</si>
  <si>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</si>
  <si>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</si>
  <si>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</si>
  <si>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</si>
  <si>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</si>
  <si>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</si>
  <si>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</si>
  <si>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</si>
  <si>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</si>
  <si>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</si>
  <si>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</si>
  <si>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</si>
  <si>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</si>
  <si>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</si>
  <si>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</si>
  <si>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</si>
  <si>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</si>
  <si>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</si>
  <si>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</si>
  <si>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</si>
  <si>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</si>
  <si>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</si>
  <si>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</si>
  <si>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</si>
  <si>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</si>
  <si>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</si>
  <si>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</si>
  <si>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</si>
  <si>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</si>
  <si>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</si>
  <si>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</si>
  <si>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</si>
  <si>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</si>
  <si>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Less than 1 year</t>
  </si>
  <si>
    <t>Source: Ministry of Gender &amp; Family</t>
  </si>
  <si>
    <t>މަޢުލޫމާތު ދެއްވީ: މިނިސްޓްރީ އޮފް ޖެންޑަރ އެންޑް ފެމިލީ</t>
  </si>
  <si>
    <t>1 - 4</t>
  </si>
  <si>
    <t>5</t>
  </si>
  <si>
    <t>6 - 9</t>
  </si>
  <si>
    <t>10 - 14</t>
  </si>
  <si>
    <t>15</t>
  </si>
  <si>
    <t>Age group</t>
  </si>
  <si>
    <t>Number of Children</t>
  </si>
  <si>
    <t>16 - 7</t>
  </si>
  <si>
    <t>18+</t>
  </si>
  <si>
    <t>Table 8.48 : Number of children at   Childrens Shelter, K.Villingili, by age group and sex, 2014 - 2017</t>
  </si>
  <si>
    <t>ތާވަލު 8.48: ވިލިމާލެ ކުޑަކުދިންގެ މަރުކަޒުގައި ތިބި ކުދިންގެ އަދަދު، 2011 - 2017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</si>
</sst>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Faruma"/>
    </font>
    <font>
      <sz val="10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9" fillId="0" borderId="0"/>
    <xf numFmtId="0" fontId="13" fillId="0" borderId="7" applyNumberFormat="0" applyFill="0" applyAlignment="0" applyProtection="0"/>
    <xf numFmtId="0" fontId="9" fillId="0" borderId="0"/>
    <xf numFmtId="166" fontId="1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11" applyNumberFormat="0" applyAlignment="0" applyProtection="0"/>
    <xf numFmtId="0" fontId="24" fillId="8" borderId="12" applyNumberFormat="0" applyAlignment="0" applyProtection="0"/>
    <xf numFmtId="0" fontId="25" fillId="8" borderId="11" applyNumberFormat="0" applyAlignment="0" applyProtection="0"/>
    <xf numFmtId="0" fontId="26" fillId="0" borderId="13" applyNumberFormat="0" applyFill="0" applyAlignment="0" applyProtection="0"/>
    <xf numFmtId="0" fontId="27" fillId="9" borderId="14" applyNumberFormat="0" applyAlignment="0" applyProtection="0"/>
    <xf numFmtId="0" fontId="15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9" fillId="0" borderId="0"/>
  </cellStyleXfs>
  <cellXfs count="77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4" fillId="2" borderId="0" xfId="0" applyNumberFormat="1" applyFont="1" applyFill="1"/>
    <xf numFmtId="164" fontId="5" fillId="2" borderId="23" xfId="0" applyNumberFormat="1" applyFont="1" applyFill="1" applyBorder="1" applyAlignment="1">
      <alignment vertical="top"/>
    </xf>
    <xf numFmtId="164" fontId="4" fillId="2" borderId="0" xfId="0" applyNumberFormat="1" applyFont="1" applyFill="1" applyBorder="1"/>
    <xf numFmtId="164" fontId="3" fillId="2" borderId="19" xfId="0" applyNumberFormat="1" applyFont="1" applyFill="1" applyBorder="1" applyAlignment="1">
      <alignment horizontal="center" vertical="center" wrapText="1"/>
    </xf>
    <xf numFmtId="164" fontId="4" fillId="2" borderId="17" xfId="0" applyNumberFormat="1" applyFont="1" applyFill="1" applyBorder="1"/>
    <xf numFmtId="164" fontId="4" fillId="2" borderId="4" xfId="0" applyNumberFormat="1" applyFont="1" applyFill="1" applyBorder="1"/>
    <xf numFmtId="164" fontId="4" fillId="2" borderId="19" xfId="0" applyNumberFormat="1" applyFont="1" applyFill="1" applyBorder="1"/>
    <xf numFmtId="164" fontId="31" fillId="2" borderId="0" xfId="0" applyNumberFormat="1" applyFont="1" applyFill="1" applyBorder="1" applyAlignment="1">
      <alignment vertical="top" wrapText="1" readingOrder="2"/>
    </xf>
    <xf numFmtId="164" fontId="3" fillId="2" borderId="23" xfId="0" applyNumberFormat="1" applyFont="1" applyFill="1" applyBorder="1"/>
    <xf numFmtId="164" fontId="3" fillId="2" borderId="24" xfId="0" applyNumberFormat="1" applyFont="1" applyFill="1" applyBorder="1"/>
    <xf numFmtId="0" fontId="4" fillId="2" borderId="0" xfId="3" applyFont="1" applyFill="1" applyBorder="1" applyAlignment="1">
      <alignment horizontal="left" vertical="top"/>
    </xf>
    <xf numFmtId="49" fontId="4" fillId="2" borderId="0" xfId="3" applyNumberFormat="1" applyFont="1" applyFill="1" applyBorder="1" applyAlignment="1">
      <alignment horizontal="left"/>
    </xf>
    <xf numFmtId="49" fontId="8" fillId="2" borderId="0" xfId="3" applyNumberFormat="1" applyFont="1" applyFill="1" applyBorder="1" applyAlignment="1">
      <alignment horizontal="left"/>
    </xf>
    <xf numFmtId="49" fontId="4" fillId="2" borderId="4" xfId="3" applyNumberFormat="1" applyFont="1" applyFill="1" applyBorder="1" applyAlignment="1">
      <alignment horizontal="left"/>
    </xf>
    <xf numFmtId="164" fontId="31" fillId="2" borderId="23" xfId="0" applyNumberFormat="1" applyFont="1" applyFill="1" applyBorder="1" applyAlignment="1">
      <alignment vertical="top" wrapText="1" readingOrder="2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18" xfId="0" applyNumberFormat="1" applyFont="1" applyFill="1" applyBorder="1" applyAlignment="1">
      <alignment horizontal="center" vertical="center" wrapText="1"/>
    </xf>
    <xf numFmtId="164" fontId="3" fillId="2" borderId="28" xfId="0" applyNumberFormat="1" applyFont="1" applyFill="1" applyBorder="1"/>
    <xf numFmtId="164" fontId="4" fillId="2" borderId="27" xfId="0" applyNumberFormat="1" applyFont="1" applyFill="1" applyBorder="1"/>
    <xf numFmtId="164" fontId="4" fillId="2" borderId="18" xfId="0" applyNumberFormat="1" applyFont="1" applyFill="1" applyBorder="1"/>
    <xf numFmtId="164" fontId="12" fillId="2" borderId="0" xfId="0" applyNumberFormat="1" applyFont="1" applyFill="1" applyBorder="1" applyAlignment="1" applyProtection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 wrapText="1"/>
    </xf>
    <xf numFmtId="164" fontId="3" fillId="2" borderId="2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22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21" xfId="0" applyNumberFormat="1" applyFont="1" applyFill="1" applyBorder="1" applyAlignment="1">
      <alignment horizontal="center"/>
    </xf>
    <xf numFmtId="164" fontId="30" fillId="2" borderId="0" xfId="0" applyNumberFormat="1" applyFont="1" applyFill="1" applyAlignment="1">
      <alignment horizontal="center"/>
    </xf>
    <xf numFmtId="164" fontId="31" fillId="2" borderId="23" xfId="0" applyNumberFormat="1" applyFont="1" applyFill="1" applyBorder="1" applyAlignment="1">
      <alignment horizontal="center" vertical="top" wrapText="1" readingOrder="2"/>
    </xf>
    <xf numFmtId="164" fontId="3" fillId="2" borderId="0" xfId="0" applyNumberFormat="1" applyFont="1" applyFill="1" applyAlignment="1">
      <alignment horizontal="center" vertical="center" wrapText="1"/>
    </xf>
    <xf numFmtId="164" fontId="3" fillId="2" borderId="20" xfId="0" applyNumberFormat="1" applyFont="1" applyFill="1" applyBorder="1" applyAlignment="1">
      <alignment horizontal="center"/>
    </xf>
    <xf numFmtId="164" fontId="3" fillId="2" borderId="26" xfId="0" applyNumberFormat="1" applyFont="1" applyFill="1" applyBorder="1" applyAlignment="1">
      <alignment horizontal="center" vertical="center"/>
    </xf>
    <xf numFmtId="164" fontId="3" fillId="2" borderId="25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6"/>
    <cellStyle name="Explanatory Text" xfId="23" builtinId="53" customBuiltin="1"/>
    <cellStyle name="Good" xfId="13" builtinId="26" customBuiltin="1"/>
    <cellStyle name="Heading 1" xfId="9" builtinId="16" customBuiltin="1"/>
    <cellStyle name="Heading 1 2" xfId="4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0"/>
    <cellStyle name="Normal 2 2" xfId="49"/>
    <cellStyle name="Normal 3" xfId="2"/>
    <cellStyle name="Normal 5" xfId="5"/>
    <cellStyle name="Normal_II-14(Population)" xfId="3"/>
    <cellStyle name="Note" xfId="22" builtinId="10" customBuiltin="1"/>
    <cellStyle name="Output" xfId="17" builtinId="21" customBuiltin="1"/>
    <cellStyle name="Percent 2" xfId="7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R18"/>
  <sheetViews>
    <sheetView tabSelected="1" zoomScaleNormal="100" workbookViewId="0">
      <selection activeCell="O23" sqref="O23"/>
    </sheetView>
  </sheetViews>
  <sheetFormatPr defaultColWidth="9.140625" defaultRowHeight="12.75"/>
  <cols>
    <col min="1" max="1" width="14.140625" style="38" customWidth="1"/>
    <col min="2" max="13" width="10.85546875" style="38" customWidth="1"/>
    <col min="14" max="16384" width="9.140625" style="38"/>
  </cols>
  <sheetData>
    <row r="3" spans="1:13" ht="18.75">
      <c r="A3" s="66" t="s">
        <v>79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spans="1:13">
      <c r="A4" s="68" t="s">
        <v>78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6" spans="1:13">
      <c r="A6" s="61" t="s">
        <v>74</v>
      </c>
      <c r="B6" s="63">
        <v>2014</v>
      </c>
      <c r="C6" s="63"/>
      <c r="D6" s="69"/>
      <c r="E6" s="65">
        <v>2015</v>
      </c>
      <c r="F6" s="63"/>
      <c r="G6" s="63"/>
      <c r="H6" s="65">
        <v>2016</v>
      </c>
      <c r="I6" s="63"/>
      <c r="J6" s="63"/>
      <c r="K6" s="65">
        <v>2017</v>
      </c>
      <c r="L6" s="63"/>
      <c r="M6" s="63"/>
    </row>
    <row r="7" spans="1:13">
      <c r="A7" s="60"/>
      <c r="B7" s="64" t="s">
        <v>75</v>
      </c>
      <c r="C7" s="64"/>
      <c r="D7" s="70"/>
      <c r="E7" s="71" t="s">
        <v>75</v>
      </c>
      <c r="F7" s="64"/>
      <c r="G7" s="64"/>
      <c r="H7" s="71" t="s">
        <v>75</v>
      </c>
      <c r="I7" s="64"/>
      <c r="J7" s="64"/>
      <c r="K7" s="71" t="s">
        <v>75</v>
      </c>
      <c r="L7" s="64"/>
      <c r="M7" s="64"/>
    </row>
    <row r="8" spans="1:13">
      <c r="A8" s="62"/>
      <c r="B8" s="54" t="s">
        <v>2</v>
      </c>
      <c r="C8" s="54" t="s">
        <v>3</v>
      </c>
      <c r="D8" s="55" t="s">
        <v>4</v>
      </c>
      <c r="E8" s="41" t="s">
        <v>2</v>
      </c>
      <c r="F8" s="53" t="s">
        <v>3</v>
      </c>
      <c r="G8" s="53" t="s">
        <v>4</v>
      </c>
      <c r="H8" s="41" t="s">
        <v>2</v>
      </c>
      <c r="I8" s="53" t="s">
        <v>3</v>
      </c>
      <c r="J8" s="53" t="s">
        <v>4</v>
      </c>
      <c r="K8" s="41" t="s">
        <v>2</v>
      </c>
      <c r="L8" s="53" t="s">
        <v>3</v>
      </c>
      <c r="M8" s="53" t="s">
        <v>4</v>
      </c>
    </row>
    <row r="9" spans="1:13">
      <c r="A9" s="46" t="s">
        <v>0</v>
      </c>
      <c r="B9" s="46">
        <f>SUM(C9:D9)</f>
        <v>69</v>
      </c>
      <c r="C9" s="46">
        <f>SUM(C10:C17)</f>
        <v>30</v>
      </c>
      <c r="D9" s="56">
        <f>SUM(D10:D17)</f>
        <v>39</v>
      </c>
      <c r="E9" s="47">
        <f>SUM(F9:G9)</f>
        <v>118</v>
      </c>
      <c r="F9" s="46">
        <f>SUM(F10:F17)</f>
        <v>61</v>
      </c>
      <c r="G9" s="46">
        <f>SUM(G10:G17)</f>
        <v>57</v>
      </c>
      <c r="H9" s="47">
        <f>SUM(I9:J9)</f>
        <v>63</v>
      </c>
      <c r="I9" s="46">
        <f>SUM(I10:I17)</f>
        <v>36</v>
      </c>
      <c r="J9" s="46">
        <f>SUM(J10:J17)</f>
        <v>27</v>
      </c>
      <c r="K9" s="47">
        <f>SUM(L9:M9)</f>
        <v>71</v>
      </c>
      <c r="L9" s="46">
        <f>SUM(L10:L17)</f>
        <v>36</v>
      </c>
      <c r="M9" s="46">
        <f>SUM(M10:M17)</f>
        <v>35</v>
      </c>
    </row>
    <row r="10" spans="1:13">
      <c r="A10" s="48" t="s">
        <v>66</v>
      </c>
      <c r="B10" s="40">
        <v>2</v>
      </c>
      <c r="C10" s="40">
        <v>1</v>
      </c>
      <c r="D10" s="57">
        <v>1</v>
      </c>
      <c r="E10" s="42">
        <v>4</v>
      </c>
      <c r="F10" s="40">
        <v>4</v>
      </c>
      <c r="G10" s="40">
        <v>0</v>
      </c>
      <c r="H10" s="42">
        <f t="shared" ref="H10:H17" si="0">SUM(I10:J10)</f>
        <v>1</v>
      </c>
      <c r="I10" s="40">
        <v>0</v>
      </c>
      <c r="J10" s="40">
        <v>1</v>
      </c>
      <c r="K10" s="42">
        <f t="shared" ref="K10:K17" si="1">SUM(L10:M10)</f>
        <v>0</v>
      </c>
      <c r="L10" s="40">
        <v>0</v>
      </c>
      <c r="M10" s="40">
        <v>0</v>
      </c>
    </row>
    <row r="11" spans="1:13">
      <c r="A11" s="49" t="s">
        <v>69</v>
      </c>
      <c r="B11" s="40">
        <v>17</v>
      </c>
      <c r="C11" s="40">
        <v>9</v>
      </c>
      <c r="D11" s="57">
        <v>8</v>
      </c>
      <c r="E11" s="42">
        <v>24</v>
      </c>
      <c r="F11" s="40">
        <v>13</v>
      </c>
      <c r="G11" s="40">
        <v>11</v>
      </c>
      <c r="H11" s="42">
        <f t="shared" si="0"/>
        <v>1</v>
      </c>
      <c r="I11" s="40">
        <v>1</v>
      </c>
      <c r="J11" s="40">
        <v>0</v>
      </c>
      <c r="K11" s="42">
        <f t="shared" si="1"/>
        <v>0</v>
      </c>
      <c r="L11" s="40">
        <v>0</v>
      </c>
      <c r="M11" s="40">
        <v>0</v>
      </c>
    </row>
    <row r="12" spans="1:13">
      <c r="A12" s="49" t="s">
        <v>70</v>
      </c>
      <c r="B12" s="40">
        <v>9</v>
      </c>
      <c r="C12" s="40">
        <v>4</v>
      </c>
      <c r="D12" s="57">
        <v>5</v>
      </c>
      <c r="E12" s="42">
        <v>10</v>
      </c>
      <c r="F12" s="40">
        <v>3</v>
      </c>
      <c r="G12" s="40">
        <v>7</v>
      </c>
      <c r="H12" s="42">
        <f t="shared" si="0"/>
        <v>0</v>
      </c>
      <c r="I12" s="40">
        <v>0</v>
      </c>
      <c r="J12" s="40">
        <v>0</v>
      </c>
      <c r="K12" s="42">
        <f t="shared" si="1"/>
        <v>0</v>
      </c>
      <c r="L12" s="40">
        <v>0</v>
      </c>
      <c r="M12" s="40">
        <v>0</v>
      </c>
    </row>
    <row r="13" spans="1:13">
      <c r="A13" s="49" t="s">
        <v>71</v>
      </c>
      <c r="B13" s="40">
        <v>21</v>
      </c>
      <c r="C13" s="40">
        <v>8</v>
      </c>
      <c r="D13" s="57">
        <v>13</v>
      </c>
      <c r="E13" s="42">
        <v>41</v>
      </c>
      <c r="F13" s="40">
        <v>19</v>
      </c>
      <c r="G13" s="40">
        <v>22</v>
      </c>
      <c r="H13" s="42">
        <f t="shared" si="0"/>
        <v>1</v>
      </c>
      <c r="I13" s="40">
        <v>1</v>
      </c>
      <c r="J13" s="40">
        <v>0</v>
      </c>
      <c r="K13" s="42">
        <f t="shared" si="1"/>
        <v>4</v>
      </c>
      <c r="L13" s="40">
        <v>2</v>
      </c>
      <c r="M13" s="40">
        <v>2</v>
      </c>
    </row>
    <row r="14" spans="1:13">
      <c r="A14" s="49" t="s">
        <v>72</v>
      </c>
      <c r="B14" s="40">
        <v>13</v>
      </c>
      <c r="C14" s="40">
        <v>7</v>
      </c>
      <c r="D14" s="57">
        <v>6</v>
      </c>
      <c r="E14" s="42">
        <v>27</v>
      </c>
      <c r="F14" s="40">
        <v>19</v>
      </c>
      <c r="G14" s="40">
        <v>8</v>
      </c>
      <c r="H14" s="42">
        <f t="shared" si="0"/>
        <v>41</v>
      </c>
      <c r="I14" s="40">
        <v>26</v>
      </c>
      <c r="J14" s="40">
        <v>15</v>
      </c>
      <c r="K14" s="42">
        <f t="shared" si="1"/>
        <v>42</v>
      </c>
      <c r="L14" s="40">
        <v>27</v>
      </c>
      <c r="M14" s="40">
        <v>15</v>
      </c>
    </row>
    <row r="15" spans="1:13">
      <c r="A15" s="49" t="s">
        <v>73</v>
      </c>
      <c r="B15" s="40">
        <v>4</v>
      </c>
      <c r="C15" s="40">
        <v>0</v>
      </c>
      <c r="D15" s="57">
        <v>4</v>
      </c>
      <c r="E15" s="42">
        <v>4</v>
      </c>
      <c r="F15" s="40">
        <v>0</v>
      </c>
      <c r="G15" s="40">
        <v>4</v>
      </c>
      <c r="H15" s="42">
        <f t="shared" si="0"/>
        <v>7</v>
      </c>
      <c r="I15" s="40">
        <v>3</v>
      </c>
      <c r="J15" s="40">
        <v>4</v>
      </c>
      <c r="K15" s="42">
        <f t="shared" si="1"/>
        <v>8</v>
      </c>
      <c r="L15" s="40">
        <v>3</v>
      </c>
      <c r="M15" s="40">
        <v>5</v>
      </c>
    </row>
    <row r="16" spans="1:13">
      <c r="A16" s="50" t="s">
        <v>76</v>
      </c>
      <c r="B16" s="40">
        <v>2</v>
      </c>
      <c r="C16" s="40">
        <v>1</v>
      </c>
      <c r="D16" s="57">
        <v>1</v>
      </c>
      <c r="E16" s="42">
        <v>7</v>
      </c>
      <c r="F16" s="40">
        <v>3</v>
      </c>
      <c r="G16" s="40">
        <v>4</v>
      </c>
      <c r="H16" s="42">
        <f t="shared" si="0"/>
        <v>9</v>
      </c>
      <c r="I16" s="40">
        <v>4</v>
      </c>
      <c r="J16" s="40">
        <v>5</v>
      </c>
      <c r="K16" s="42">
        <f t="shared" si="1"/>
        <v>13</v>
      </c>
      <c r="L16" s="40">
        <v>3</v>
      </c>
      <c r="M16" s="40">
        <v>10</v>
      </c>
    </row>
    <row r="17" spans="1:18">
      <c r="A17" s="51" t="s">
        <v>77</v>
      </c>
      <c r="B17" s="43">
        <v>1</v>
      </c>
      <c r="C17" s="43">
        <v>0</v>
      </c>
      <c r="D17" s="58">
        <v>1</v>
      </c>
      <c r="E17" s="44">
        <v>1</v>
      </c>
      <c r="F17" s="43">
        <v>0</v>
      </c>
      <c r="G17" s="43">
        <v>1</v>
      </c>
      <c r="H17" s="44">
        <f t="shared" si="0"/>
        <v>3</v>
      </c>
      <c r="I17" s="43">
        <v>1</v>
      </c>
      <c r="J17" s="43">
        <v>2</v>
      </c>
      <c r="K17" s="44">
        <f t="shared" si="1"/>
        <v>4</v>
      </c>
      <c r="L17" s="43">
        <v>1</v>
      </c>
      <c r="M17" s="43">
        <v>3</v>
      </c>
    </row>
    <row r="18" spans="1:18" ht="18.75" customHeight="1">
      <c r="A18" s="39" t="s">
        <v>67</v>
      </c>
      <c r="B18" s="52"/>
      <c r="C18" s="52"/>
      <c r="D18" s="52"/>
      <c r="E18" s="52"/>
      <c r="F18" s="52"/>
      <c r="G18" s="52"/>
      <c r="H18" s="52"/>
      <c r="I18" s="52"/>
      <c r="J18" s="52"/>
      <c r="K18" s="67" t="s">
        <v>68</v>
      </c>
      <c r="L18" s="67"/>
      <c r="M18" s="67"/>
      <c r="N18" s="45"/>
      <c r="O18" s="45"/>
      <c r="P18" s="45"/>
      <c r="Q18" s="45"/>
      <c r="R18" s="45"/>
    </row>
  </sheetData>
  <mergeCells count="12">
    <mergeCell ref="A3:M3"/>
    <mergeCell ref="K18:M18"/>
    <mergeCell ref="A4:M4"/>
    <mergeCell ref="A6:A8"/>
    <mergeCell ref="B6:D6"/>
    <mergeCell ref="E6:G6"/>
    <mergeCell ref="H6:J6"/>
    <mergeCell ref="K6:M6"/>
    <mergeCell ref="B7:D7"/>
    <mergeCell ref="E7:G7"/>
    <mergeCell ref="H7:J7"/>
    <mergeCell ref="K7:M7"/>
  </mergeCells>
  <pageMargins left="0.7" right="0.7" top="0.75" bottom="0.75" header="0.3" footer="0.3"/>
  <pageSetup paperSize="9" scale="9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72" t="s">
        <v>51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</row>
    <row r="2" spans="1:36">
      <c r="A2" s="59" t="s">
        <v>44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6" ht="15" customHeight="1">
      <c r="A3" s="73"/>
      <c r="B3" s="73"/>
      <c r="C3" s="74" t="s">
        <v>40</v>
      </c>
      <c r="D3" s="74"/>
      <c r="E3" s="74"/>
      <c r="F3" s="74"/>
      <c r="G3" s="74"/>
      <c r="H3" s="29"/>
      <c r="I3" s="29"/>
      <c r="J3" s="75" t="s">
        <v>6</v>
      </c>
      <c r="K3" s="75"/>
      <c r="L3" s="75"/>
      <c r="M3" s="75"/>
      <c r="N3" s="75"/>
      <c r="O3" s="24"/>
      <c r="P3" s="75" t="s">
        <v>7</v>
      </c>
      <c r="Q3" s="75"/>
      <c r="R3" s="75"/>
      <c r="S3" s="75"/>
      <c r="T3" s="75"/>
      <c r="U3" s="6"/>
      <c r="V3" s="6"/>
      <c r="W3" s="6"/>
      <c r="X3" s="76" t="s">
        <v>8</v>
      </c>
      <c r="Y3" s="76"/>
      <c r="Z3" s="76"/>
      <c r="AA3" s="76"/>
      <c r="AB3" s="76"/>
      <c r="AC3" s="25"/>
      <c r="AD3" s="25"/>
      <c r="AE3" s="76" t="s">
        <v>9</v>
      </c>
      <c r="AF3" s="76"/>
      <c r="AG3" s="76"/>
      <c r="AH3" s="76"/>
      <c r="AI3" s="76"/>
    </row>
    <row r="4" spans="1:36" ht="25.5">
      <c r="A4" s="62"/>
      <c r="B4" s="62"/>
      <c r="C4" s="30" t="s">
        <v>10</v>
      </c>
      <c r="D4" s="30" t="s">
        <v>11</v>
      </c>
      <c r="E4" s="30" t="s">
        <v>5</v>
      </c>
      <c r="F4" s="31" t="s">
        <v>12</v>
      </c>
      <c r="G4" s="30" t="s">
        <v>13</v>
      </c>
      <c r="H4" s="30" t="s">
        <v>46</v>
      </c>
      <c r="I4" s="30" t="s">
        <v>52</v>
      </c>
      <c r="J4" s="13" t="s">
        <v>10</v>
      </c>
      <c r="K4" s="13" t="s">
        <v>11</v>
      </c>
      <c r="L4" s="13" t="s">
        <v>5</v>
      </c>
      <c r="M4" s="14" t="s">
        <v>12</v>
      </c>
      <c r="N4" s="13" t="s">
        <v>13</v>
      </c>
      <c r="O4" s="30" t="s">
        <v>46</v>
      </c>
      <c r="P4" s="13" t="s">
        <v>10</v>
      </c>
      <c r="Q4" s="13" t="s">
        <v>11</v>
      </c>
      <c r="R4" s="13" t="s">
        <v>5</v>
      </c>
      <c r="S4" s="14" t="s">
        <v>12</v>
      </c>
      <c r="T4" s="13" t="s">
        <v>13</v>
      </c>
      <c r="U4" s="30" t="s">
        <v>46</v>
      </c>
      <c r="V4" s="30"/>
      <c r="W4" s="30"/>
      <c r="X4" s="13" t="s">
        <v>10</v>
      </c>
      <c r="Y4" s="13" t="s">
        <v>11</v>
      </c>
      <c r="Z4" s="13" t="s">
        <v>5</v>
      </c>
      <c r="AA4" s="14" t="s">
        <v>12</v>
      </c>
      <c r="AB4" s="13" t="s">
        <v>13</v>
      </c>
      <c r="AC4" s="30" t="s">
        <v>46</v>
      </c>
      <c r="AD4" s="30"/>
      <c r="AE4" s="13" t="s">
        <v>10</v>
      </c>
      <c r="AF4" s="13" t="s">
        <v>11</v>
      </c>
      <c r="AG4" s="13" t="s">
        <v>5</v>
      </c>
      <c r="AH4" s="14" t="s">
        <v>12</v>
      </c>
      <c r="AI4" s="13" t="s">
        <v>13</v>
      </c>
      <c r="AJ4" s="30" t="s">
        <v>46</v>
      </c>
    </row>
    <row r="5" spans="1:36" ht="14.25" customHeight="1">
      <c r="A5" s="23"/>
      <c r="B5" s="27" t="s">
        <v>48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48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48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49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49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49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50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50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50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20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21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22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23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24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25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26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27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28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29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30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31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32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33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34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35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36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37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38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39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14</v>
      </c>
      <c r="B28" s="9" t="s">
        <v>15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14</v>
      </c>
      <c r="B29" s="9" t="s">
        <v>16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14</v>
      </c>
      <c r="B30" s="9" t="s">
        <v>17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14</v>
      </c>
      <c r="B31" s="9" t="s">
        <v>18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14</v>
      </c>
      <c r="B32" s="16" t="s">
        <v>19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45</v>
      </c>
    </row>
    <row r="36" spans="1:35">
      <c r="A36" s="1"/>
      <c r="B36" s="26" t="s">
        <v>46</v>
      </c>
    </row>
    <row r="37" spans="1:35">
      <c r="B37" s="27" t="s">
        <v>40</v>
      </c>
      <c r="C37" s="27" t="s">
        <v>47</v>
      </c>
      <c r="D37" s="27" t="s">
        <v>41</v>
      </c>
      <c r="E37" s="27"/>
      <c r="F37" s="27"/>
    </row>
    <row r="38" spans="1:35">
      <c r="A38" s="27" t="s">
        <v>48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49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50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53</v>
      </c>
      <c r="C42" s="34"/>
      <c r="D42" s="34"/>
    </row>
    <row r="43" spans="1:35">
      <c r="B43" s="27" t="s">
        <v>40</v>
      </c>
      <c r="C43" s="27" t="s">
        <v>47</v>
      </c>
      <c r="D43" s="27" t="s">
        <v>41</v>
      </c>
    </row>
    <row r="44" spans="1:35">
      <c r="A44" s="27" t="s">
        <v>48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49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50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54</v>
      </c>
      <c r="C49" s="34"/>
      <c r="D49" s="34"/>
    </row>
    <row r="50" spans="1:5">
      <c r="B50" s="27" t="s">
        <v>40</v>
      </c>
      <c r="C50" s="27" t="s">
        <v>47</v>
      </c>
      <c r="D50" s="27" t="s">
        <v>41</v>
      </c>
    </row>
    <row r="51" spans="1:5">
      <c r="A51" s="27" t="s">
        <v>48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49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50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43</v>
      </c>
      <c r="C56" s="34" t="s">
        <v>14</v>
      </c>
      <c r="D56" s="34" t="s">
        <v>42</v>
      </c>
    </row>
    <row r="57" spans="1:5">
      <c r="A57" s="34" t="s">
        <v>55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56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54</v>
      </c>
      <c r="B59" s="35">
        <v>14232</v>
      </c>
      <c r="C59" s="35">
        <v>6099</v>
      </c>
      <c r="D59" s="35">
        <v>8133</v>
      </c>
    </row>
    <row r="60" spans="1:5">
      <c r="A60" s="34" t="s">
        <v>53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57</v>
      </c>
    </row>
    <row r="67" spans="1:11">
      <c r="B67" s="34"/>
      <c r="H67" s="34" t="s">
        <v>58</v>
      </c>
    </row>
    <row r="68" spans="1:11">
      <c r="A68" s="1"/>
      <c r="B68" s="34"/>
      <c r="C68" s="34" t="s">
        <v>59</v>
      </c>
      <c r="D68" s="34" t="s">
        <v>60</v>
      </c>
      <c r="E68" s="34" t="s">
        <v>61</v>
      </c>
      <c r="F68" s="34" t="s">
        <v>62</v>
      </c>
      <c r="G68" s="34"/>
      <c r="H68" s="36" t="s">
        <v>63</v>
      </c>
      <c r="I68" s="34" t="s">
        <v>64</v>
      </c>
      <c r="J68" s="34" t="s">
        <v>65</v>
      </c>
      <c r="K68" s="34"/>
    </row>
    <row r="69" spans="1:11">
      <c r="A69" s="1"/>
      <c r="B69" s="34" t="s">
        <v>20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21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22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23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24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25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26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27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28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29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30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31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32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33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34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35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36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37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38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39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8.48</vt:lpstr>
      <vt:lpstr>8.20 workings</vt:lpstr>
      <vt:lpstr>'8.48'!Print_Area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2018-09-26T06:11:02Z</cp:lastPrinted>
  <dcterms:created xsi:type="dcterms:W3CDTF">2013-04-04T04:05:16Z</dcterms:created>
  <dcterms:modified xsi:type="dcterms:W3CDTF">2018-09-26T06:11:07Z</dcterms:modified>
</cp:coreProperties>
</file>