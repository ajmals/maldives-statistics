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942"/>
  </bookViews>
  <sheets>
    <sheet name="8.15" sheetId="52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0">'8.15'!$A$1:$P$54</definedName>
  </definedNames>
  <calcPr calcId="162913"/>
</workbook>
</file>

<file path=xl/calcChain.xml><?xml version="1.0" encoding="utf-8"?>
<calcChain xmlns="http://schemas.openxmlformats.org/spreadsheetml/2006/main">
  <c r="AA16" i="52" l="1"/>
  <c r="B13" i="52" l="1"/>
  <c r="AA6" i="52" l="1"/>
  <c r="I21" i="52"/>
  <c r="I9" i="52" s="1"/>
  <c r="H21" i="52"/>
  <c r="J21" i="52"/>
  <c r="O21" i="52"/>
  <c r="O9" i="52" s="1"/>
  <c r="N21" i="52"/>
  <c r="N9" i="52" s="1"/>
  <c r="M21" i="52"/>
  <c r="M9" i="52" s="1"/>
  <c r="C21" i="52" l="1"/>
  <c r="H9" i="52"/>
  <c r="AA13" i="52" s="1"/>
  <c r="G21" i="52"/>
  <c r="B21" i="52" s="1"/>
  <c r="L9" i="52"/>
  <c r="AA8" i="52" s="1"/>
  <c r="L20" i="52" l="1"/>
  <c r="G20" i="52"/>
  <c r="E20" i="52"/>
  <c r="D20" i="52"/>
  <c r="C20" i="52"/>
  <c r="L19" i="52"/>
  <c r="G19" i="52"/>
  <c r="E19" i="52"/>
  <c r="D19" i="52"/>
  <c r="C19" i="52"/>
  <c r="L18" i="52"/>
  <c r="G18" i="52"/>
  <c r="E18" i="52"/>
  <c r="D18" i="52"/>
  <c r="C18" i="52"/>
  <c r="L17" i="52"/>
  <c r="G17" i="52"/>
  <c r="E17" i="52"/>
  <c r="D17" i="52"/>
  <c r="C17" i="52"/>
  <c r="L16" i="52"/>
  <c r="G16" i="52"/>
  <c r="E16" i="52"/>
  <c r="D16" i="52"/>
  <c r="C16" i="52"/>
  <c r="L15" i="52"/>
  <c r="G15" i="52"/>
  <c r="E15" i="52"/>
  <c r="D15" i="52"/>
  <c r="C15" i="52"/>
  <c r="L14" i="52"/>
  <c r="G14" i="52"/>
  <c r="E14" i="52"/>
  <c r="D14" i="52"/>
  <c r="C14" i="52"/>
  <c r="L13" i="52"/>
  <c r="G13" i="52"/>
  <c r="E13" i="52"/>
  <c r="D13" i="52"/>
  <c r="C13" i="52"/>
  <c r="L12" i="52"/>
  <c r="G12" i="52"/>
  <c r="E12" i="52"/>
  <c r="D12" i="52"/>
  <c r="C12" i="52"/>
  <c r="L11" i="52"/>
  <c r="G11" i="52"/>
  <c r="E11" i="52"/>
  <c r="D11" i="52"/>
  <c r="C11" i="52"/>
  <c r="L10" i="52"/>
  <c r="G10" i="52"/>
  <c r="E10" i="52"/>
  <c r="D10" i="52"/>
  <c r="C10" i="52"/>
  <c r="B11" i="52" l="1"/>
  <c r="B19" i="52"/>
  <c r="B12" i="52"/>
  <c r="B17" i="52"/>
  <c r="B20" i="52"/>
  <c r="B14" i="52"/>
  <c r="B16" i="52"/>
  <c r="B15" i="52"/>
  <c r="B10" i="52"/>
  <c r="B18" i="52"/>
  <c r="D29" i="52" l="1"/>
  <c r="D33" i="52"/>
  <c r="D23" i="52"/>
  <c r="D26" i="52"/>
  <c r="D30" i="52"/>
  <c r="D34" i="52"/>
  <c r="D24" i="52"/>
  <c r="D27" i="52"/>
  <c r="D31" i="52"/>
  <c r="D25" i="52"/>
  <c r="D28" i="52"/>
  <c r="D32" i="52"/>
  <c r="AB15" i="52" l="1"/>
  <c r="E26" i="52"/>
  <c r="E32" i="52"/>
  <c r="E28" i="52"/>
  <c r="E25" i="52"/>
  <c r="E31" i="52"/>
  <c r="E24" i="52"/>
  <c r="E34" i="52"/>
  <c r="E30" i="52"/>
  <c r="AB14" i="52"/>
  <c r="E27" i="52"/>
  <c r="E23" i="52"/>
  <c r="E33" i="52"/>
  <c r="E29" i="52"/>
  <c r="D22" i="52"/>
  <c r="C31" i="52"/>
  <c r="G31" i="52"/>
  <c r="C30" i="52"/>
  <c r="G30" i="52"/>
  <c r="G29" i="52"/>
  <c r="C29" i="52"/>
  <c r="G25" i="52"/>
  <c r="C25" i="52"/>
  <c r="C27" i="52"/>
  <c r="G27" i="52"/>
  <c r="C26" i="52"/>
  <c r="G26" i="52"/>
  <c r="C24" i="52"/>
  <c r="G24" i="52"/>
  <c r="C23" i="52"/>
  <c r="G23" i="52"/>
  <c r="G32" i="52"/>
  <c r="C32" i="52"/>
  <c r="C22" i="52"/>
  <c r="G22" i="52"/>
  <c r="C34" i="52"/>
  <c r="G34" i="52"/>
  <c r="C33" i="52"/>
  <c r="G33" i="52"/>
  <c r="G28" i="52"/>
  <c r="C28" i="52"/>
  <c r="E22" i="52"/>
  <c r="B22" i="52" l="1"/>
  <c r="B23" i="52"/>
  <c r="B31" i="52"/>
  <c r="B32" i="52"/>
  <c r="B34" i="52"/>
  <c r="B28" i="52"/>
  <c r="B24" i="52"/>
  <c r="B26" i="52"/>
  <c r="B30" i="52"/>
  <c r="B25" i="52"/>
  <c r="B27" i="52"/>
  <c r="B33" i="52"/>
  <c r="B29" i="52"/>
  <c r="J9" i="52"/>
  <c r="G9" i="52" s="1"/>
  <c r="AA7" i="52" s="1"/>
  <c r="E21" i="52"/>
  <c r="D21" i="52"/>
  <c r="AA9" i="52" l="1"/>
  <c r="AC4" i="52" s="1"/>
  <c r="AB7" i="52"/>
  <c r="AA14" i="52"/>
  <c r="D9" i="52"/>
  <c r="AA4" i="52" s="1"/>
  <c r="AB13" i="52"/>
  <c r="AB8" i="52"/>
  <c r="C9" i="52"/>
  <c r="Z4" i="52" s="1"/>
  <c r="AA15" i="52"/>
  <c r="E9" i="52"/>
  <c r="AB4" i="52" s="1"/>
  <c r="AB16" i="52" l="1"/>
  <c r="AB25" i="52"/>
  <c r="AA25" i="52"/>
  <c r="B9" i="52"/>
  <c r="AB9" i="52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comments1.xml><?xml version="1.0" encoding="utf-8"?>
<comments xmlns="http://schemas.openxmlformats.org/spreadsheetml/2006/main">
  <authors>
    <author>Ahmed Niushad</author>
  </authors>
  <commentList>
    <comment ref="B8" authorId="0" shapeId="0">
      <text>
        <r>
          <rPr>
            <b/>
            <sz val="9"/>
            <color indexed="41"/>
            <rFont val="Tahoma"/>
            <family val="2"/>
          </rPr>
          <t>Foreigners without ages are not included in this total</t>
        </r>
      </text>
    </comment>
  </commentList>
</comments>
</file>

<file path=xl/sharedStrings.xml><?xml version="1.0" encoding="utf-8"?>
<sst xmlns="http://schemas.openxmlformats.org/spreadsheetml/2006/main" count="262" uniqueCount="137">
  <si>
    <t>Total</t>
  </si>
  <si>
    <t>Source: Department of Judicial Administration</t>
  </si>
  <si>
    <t>Theft</t>
  </si>
  <si>
    <t>ވައްކަން</t>
  </si>
  <si>
    <t>Traffic</t>
  </si>
  <si>
    <t>ޓްރެފިކް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</si>
  <si>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</si>
  <si>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</si>
  <si>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</si>
  <si>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</si>
  <si>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</si>
  <si>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</si>
  <si>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</si>
  <si>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</si>
  <si>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</si>
  <si>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</si>
  <si>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މަކަރާއި ޙީލަތް</t>
  </si>
  <si>
    <t>Domestic violence</t>
  </si>
  <si>
    <t>އާއިލީ</t>
  </si>
  <si>
    <t>ވަގުފައިސާ</t>
  </si>
  <si>
    <t>Others</t>
  </si>
  <si>
    <t>އެހެނިހެން</t>
  </si>
  <si>
    <t>Source: Maldives Police Service</t>
  </si>
  <si>
    <t>Type of offence</t>
  </si>
  <si>
    <t>ކުށުގެ ބާވަތް</t>
  </si>
  <si>
    <t>Male</t>
  </si>
  <si>
    <t>Female</t>
  </si>
  <si>
    <t>ދެޖިންސް</t>
  </si>
  <si>
    <t xml:space="preserve">ފިރިހެން </t>
  </si>
  <si>
    <t xml:space="preserve">އަންހެން </t>
  </si>
  <si>
    <t>ޖުމްލަ</t>
  </si>
  <si>
    <t>Sexual Offences</t>
  </si>
  <si>
    <t>ޖިންސީ މައްސަލަ</t>
  </si>
  <si>
    <t>Counterfeit and forgery</t>
  </si>
  <si>
    <t>Embezzlement</t>
  </si>
  <si>
    <t>&lt; 18</t>
  </si>
  <si>
    <t>35 +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</si>
  <si>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</si>
  <si>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</si>
  <si>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</si>
  <si>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</si>
  <si>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</si>
  <si>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</si>
  <si>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</si>
  <si>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</si>
  <si>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</si>
  <si>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</si>
  <si>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</si>
  <si>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</si>
  <si>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</si>
  <si>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</si>
  <si>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</si>
  <si>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</si>
  <si>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</si>
  <si>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</si>
  <si>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</si>
  <si>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</si>
  <si>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</si>
  <si>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</si>
  <si>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</si>
  <si>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</si>
  <si>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</si>
  <si>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</si>
  <si>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</si>
  <si>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</si>
  <si>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</si>
  <si>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</si>
  <si>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</si>
  <si>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</si>
  <si>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</si>
  <si>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</si>
  <si>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</si>
  <si>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</si>
  <si>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</si>
  <si>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</si>
  <si>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</si>
  <si>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މަޢުލޫމާތު ދެއްވީ: މޯލްޑިވްސް ޕޮލިސް ސަރވިސް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</si>
  <si>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</si>
  <si>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</si>
  <si>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</si>
  <si>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</si>
  <si>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</si>
  <si>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</si>
  <si>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</si>
  <si>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</si>
  <si>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</si>
  <si>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</si>
  <si>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</si>
  <si>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</si>
  <si>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</si>
  <si>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</si>
  <si>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</si>
  <si>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</si>
  <si>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</si>
  <si>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</si>
  <si>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</si>
  <si>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</si>
  <si>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</si>
  <si>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</si>
  <si>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Arson</t>
  </si>
  <si>
    <t>ހުޅުޖެހުން</t>
  </si>
  <si>
    <t>އަމިއްލައަށް މަރުވާން އުޅުން</t>
  </si>
  <si>
    <t>Both sexes</t>
  </si>
  <si>
    <t>18 އަހަރުންދަށް</t>
  </si>
  <si>
    <t>35 އަހަރުން މަތި</t>
  </si>
  <si>
    <t>18-34 އަހަރާއި ދެމެދު</t>
  </si>
  <si>
    <t>&lt; 18 yrs</t>
  </si>
  <si>
    <t>18 - 34 yrs</t>
  </si>
  <si>
    <t>35 yrs  and above</t>
  </si>
  <si>
    <t>ތާވަލު 8.15: ހުށަހެޅިފައިވާ މައްސަލަތަކުގެ ތެރެއިން ހައްޔަރުކުރެވުނު މީހުންގެ އަދަދު ޖިންސް އަދި އުމުރުފުރާއިން، 2017</t>
  </si>
  <si>
    <t>Table 8.15: NUMBER OF DETAINEES REPORTED BY TYPE OF OFFENCES, GENDER AND AGE GROUP, 2017</t>
  </si>
  <si>
    <t>Threats; False Alarms</t>
  </si>
  <si>
    <t>Disorderly Conduct</t>
  </si>
  <si>
    <t>Use of a Dangerous Weapon During an Offense</t>
  </si>
  <si>
    <t>Trafficking, Manufacture, Sale, or Possession of Firearms or Catastrophic Agents</t>
  </si>
  <si>
    <t>Deceptive Practices</t>
  </si>
  <si>
    <t>Obstructing Justice</t>
  </si>
  <si>
    <t>Child Abandonment and Parental Duty of Care</t>
  </si>
  <si>
    <t>Producing or Distributing Obscene Material</t>
  </si>
  <si>
    <t>Theft by Deception</t>
  </si>
  <si>
    <t>Attempted Suicides</t>
  </si>
  <si>
    <t>18-34</t>
  </si>
  <si>
    <t>35+</t>
  </si>
  <si>
    <t>Causing, Aiding or Soliciting Suicide</t>
  </si>
  <si>
    <t>އަމިއްލައަށް /  އެހެނިހެން ގޮތްގޮތަށް މަރުވުން</t>
  </si>
  <si>
    <t>ދަރިންނަށް އިޙްމާލުވުން ފަދަ މައްސަލަތައް</t>
  </si>
  <si>
    <t>އަޚްލާޤީ ގޮތުން ދަށުދަރަޖައިގެ ޢަމަލުތައް</t>
  </si>
  <si>
    <t>އަމުރަށް ނުކިޔަމަންތެރިވުމާއި ވާޖިބަށް ހުރަސްއެޅުން</t>
  </si>
  <si>
    <t>އޮރިޔާން ފޮޓޯ / ފިލްމުގެ މައްސަލަތައް</t>
  </si>
  <si>
    <t>ޓެކުން އަދި ފްރޯޑް</t>
  </si>
  <si>
    <t>ބިރުދެއްކުމާއި އިންޒާރުދިނުން</t>
  </si>
  <si>
    <t>ހަތިޔާރު / ގޮވާތަކެތީގެ މައްސަލަތައް</t>
  </si>
  <si>
    <t>ހަތިޔާރު ބޭނުންކުރުން</t>
  </si>
  <si>
    <t>މަކަރުހެދުމާއި އޮޅުވާލުން</t>
  </si>
  <si>
    <t>Note: Foreigners without ages are not included in this total</t>
  </si>
  <si>
    <t>ނޯޓް: އުމުރު ނޭނގޭ ބިދޭސީން މިތާވަލުގައި ނުހިމެނޭ</t>
  </si>
  <si>
    <t>Age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</si>
</sst>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Faruma"/>
      <family val="3"/>
    </font>
    <font>
      <sz val="10"/>
      <name val="Courier"/>
      <family val="3"/>
    </font>
    <font>
      <b/>
      <sz val="10"/>
      <color theme="1"/>
      <name val="Faruma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name val="P_Faruma"/>
    </font>
    <font>
      <sz val="10"/>
      <color rgb="FF000000"/>
      <name val="Faruma"/>
      <family val="3"/>
    </font>
    <font>
      <i/>
      <sz val="10"/>
      <color theme="1"/>
      <name val="Calibri"/>
      <family val="2"/>
      <scheme val="minor"/>
    </font>
    <font>
      <b/>
      <sz val="11"/>
      <color theme="1"/>
      <name val="Faruma"/>
      <family val="3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b/>
      <sz val="10"/>
      <name val="A_Utheem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sz val="11"/>
      <color rgb="FF000000"/>
      <name val="Faruma"/>
      <family val="3"/>
    </font>
    <font>
      <b/>
      <sz val="15"/>
      <color theme="3"/>
      <name val="Arial Mäori"/>
      <family val="2"/>
    </font>
    <font>
      <b/>
      <sz val="12"/>
      <color theme="1"/>
      <name val="Faruma"/>
      <family val="3"/>
    </font>
    <font>
      <b/>
      <sz val="12"/>
      <color theme="1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Faruma"/>
      <family val="3"/>
    </font>
    <font>
      <b/>
      <sz val="10"/>
      <name val="A_Reethi"/>
    </font>
    <font>
      <b/>
      <sz val="9"/>
      <color indexed="41"/>
      <name val="Tahoma"/>
      <family val="2"/>
    </font>
    <font>
      <i/>
      <sz val="11"/>
      <color rgb="FF00000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theme="0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0" fillId="0" borderId="0"/>
    <xf numFmtId="0" fontId="23" fillId="0" borderId="16" applyNumberFormat="0" applyFill="0" applyAlignment="0" applyProtection="0"/>
    <xf numFmtId="0" fontId="10" fillId="0" borderId="0"/>
    <xf numFmtId="166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30" fillId="0" borderId="18" applyNumberFormat="0" applyFill="0" applyAlignment="0" applyProtection="0"/>
    <xf numFmtId="0" fontId="31" fillId="0" borderId="19" applyNumberFormat="0" applyFill="0" applyAlignment="0" applyProtection="0"/>
    <xf numFmtId="0" fontId="31" fillId="0" borderId="0" applyNumberFormat="0" applyFill="0" applyBorder="0" applyAlignment="0" applyProtection="0"/>
    <xf numFmtId="0" fontId="32" fillId="4" borderId="0" applyNumberFormat="0" applyBorder="0" applyAlignment="0" applyProtection="0"/>
    <xf numFmtId="0" fontId="33" fillId="5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20" applyNumberFormat="0" applyAlignment="0" applyProtection="0"/>
    <xf numFmtId="0" fontId="36" fillId="8" borderId="21" applyNumberFormat="0" applyAlignment="0" applyProtection="0"/>
    <xf numFmtId="0" fontId="37" fillId="8" borderId="20" applyNumberFormat="0" applyAlignment="0" applyProtection="0"/>
    <xf numFmtId="0" fontId="38" fillId="0" borderId="22" applyNumberFormat="0" applyFill="0" applyAlignment="0" applyProtection="0"/>
    <xf numFmtId="0" fontId="39" fillId="9" borderId="23" applyNumberFormat="0" applyAlignment="0" applyProtection="0"/>
    <xf numFmtId="0" fontId="27" fillId="0" borderId="0" applyNumberFormat="0" applyFill="0" applyBorder="0" applyAlignment="0" applyProtection="0"/>
    <xf numFmtId="0" fontId="1" fillId="10" borderId="24" applyNumberFormat="0" applyFont="0" applyAlignment="0" applyProtection="0"/>
    <xf numFmtId="0" fontId="40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4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1" fillId="34" borderId="0" applyNumberFormat="0" applyBorder="0" applyAlignment="0" applyProtection="0"/>
    <xf numFmtId="0" fontId="1" fillId="0" borderId="0"/>
    <xf numFmtId="0" fontId="10" fillId="0" borderId="0"/>
  </cellStyleXfs>
  <cellXfs count="117">
    <xf numFmtId="0" fontId="0" fillId="0" borderId="0" xfId="0"/>
    <xf numFmtId="164" fontId="0" fillId="2" borderId="0" xfId="0" applyNumberFormat="1" applyFill="1"/>
    <xf numFmtId="0" fontId="4" fillId="2" borderId="0" xfId="0" applyNumberFormat="1" applyFont="1" applyFill="1"/>
    <xf numFmtId="0" fontId="11" fillId="2" borderId="0" xfId="3" applyFont="1" applyFill="1" applyBorder="1" applyAlignment="1">
      <alignment horizontal="right" vertical="center" wrapText="1"/>
    </xf>
    <xf numFmtId="0" fontId="0" fillId="2" borderId="0" xfId="0" applyNumberFormat="1" applyFont="1" applyFill="1"/>
    <xf numFmtId="0" fontId="13" fillId="2" borderId="0" xfId="0" applyNumberFormat="1" applyFont="1" applyFill="1" applyBorder="1" applyAlignment="1">
      <alignment vertical="top"/>
    </xf>
    <xf numFmtId="0" fontId="0" fillId="2" borderId="0" xfId="0" applyNumberFormat="1" applyFont="1" applyFill="1" applyBorder="1"/>
    <xf numFmtId="1" fontId="0" fillId="2" borderId="0" xfId="0" applyNumberFormat="1" applyFont="1" applyFill="1"/>
    <xf numFmtId="0" fontId="4" fillId="2" borderId="4" xfId="0" applyNumberFormat="1" applyFont="1" applyFill="1" applyBorder="1"/>
    <xf numFmtId="0" fontId="9" fillId="2" borderId="0" xfId="0" applyNumberFormat="1" applyFont="1" applyFill="1" applyBorder="1" applyAlignment="1">
      <alignment horizontal="center" vertical="center"/>
    </xf>
    <xf numFmtId="0" fontId="16" fillId="2" borderId="0" xfId="0" applyNumberFormat="1" applyFont="1" applyFill="1"/>
    <xf numFmtId="0" fontId="9" fillId="2" borderId="0" xfId="0" applyNumberFormat="1" applyFont="1" applyFill="1" applyBorder="1" applyAlignment="1">
      <alignment horizontal="center" vertical="center" wrapText="1"/>
    </xf>
    <xf numFmtId="0" fontId="17" fillId="2" borderId="4" xfId="3" applyFont="1" applyFill="1" applyBorder="1" applyAlignment="1">
      <alignment horizontal="center" vertical="center" wrapText="1"/>
    </xf>
    <xf numFmtId="0" fontId="14" fillId="2" borderId="0" xfId="0" applyNumberFormat="1" applyFont="1" applyFill="1" applyBorder="1" applyAlignment="1">
      <alignment vertical="center"/>
    </xf>
    <xf numFmtId="164" fontId="0" fillId="2" borderId="0" xfId="0" applyNumberFormat="1" applyFill="1" applyAlignment="1">
      <alignment horizontal="center"/>
    </xf>
    <xf numFmtId="0" fontId="2" fillId="2" borderId="0" xfId="0" applyNumberFormat="1" applyFont="1" applyFill="1" applyBorder="1" applyAlignment="1">
      <alignment vertical="center"/>
    </xf>
    <xf numFmtId="0" fontId="0" fillId="2" borderId="0" xfId="0" applyNumberFormat="1" applyFill="1"/>
    <xf numFmtId="0" fontId="0" fillId="2" borderId="0" xfId="0" applyNumberFormat="1" applyFill="1" applyBorder="1"/>
    <xf numFmtId="0" fontId="12" fillId="2" borderId="0" xfId="0" applyNumberFormat="1" applyFont="1" applyFill="1" applyBorder="1" applyAlignment="1">
      <alignment horizontal="right" vertical="center" wrapText="1"/>
    </xf>
    <xf numFmtId="3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ont="1" applyFill="1"/>
    <xf numFmtId="0" fontId="8" fillId="2" borderId="0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right" vertical="center"/>
    </xf>
    <xf numFmtId="0" fontId="22" fillId="2" borderId="0" xfId="0" applyNumberFormat="1" applyFont="1" applyFill="1" applyBorder="1" applyAlignment="1">
      <alignment horizontal="right" vertical="center" wrapText="1"/>
    </xf>
    <xf numFmtId="0" fontId="16" fillId="2" borderId="0" xfId="0" applyNumberFormat="1" applyFont="1" applyFill="1" applyAlignment="1">
      <alignment vertical="center"/>
    </xf>
    <xf numFmtId="0" fontId="0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Alignment="1">
      <alignment vertical="center"/>
    </xf>
    <xf numFmtId="3" fontId="16" fillId="2" borderId="0" xfId="0" applyNumberFormat="1" applyFont="1" applyFill="1" applyAlignment="1">
      <alignment vertical="center"/>
    </xf>
    <xf numFmtId="0" fontId="7" fillId="2" borderId="0" xfId="0" applyNumberFormat="1" applyFont="1" applyFill="1" applyAlignment="1">
      <alignment vertical="center"/>
    </xf>
    <xf numFmtId="3" fontId="0" fillId="2" borderId="0" xfId="0" applyNumberFormat="1" applyFont="1" applyFill="1" applyAlignment="1">
      <alignment vertical="center"/>
    </xf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7" xfId="0" applyNumberFormat="1" applyFont="1" applyFill="1" applyBorder="1" applyAlignment="1">
      <alignment horizontal="center" vertical="center"/>
    </xf>
    <xf numFmtId="0" fontId="4" fillId="2" borderId="17" xfId="0" applyNumberFormat="1" applyFont="1" applyFill="1" applyBorder="1" applyAlignment="1">
      <alignment horizontal="left" vertical="center" wrapText="1"/>
    </xf>
    <xf numFmtId="3" fontId="4" fillId="2" borderId="17" xfId="1" applyNumberFormat="1" applyFont="1" applyFill="1" applyBorder="1" applyAlignment="1"/>
    <xf numFmtId="3" fontId="3" fillId="2" borderId="17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8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2" fillId="2" borderId="0" xfId="0" applyNumberFormat="1" applyFont="1" applyFill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 applyBorder="1" applyAlignment="1" applyProtection="1">
      <alignment horizontal="right" vertical="center" indent="2"/>
    </xf>
    <xf numFmtId="0" fontId="12" fillId="2" borderId="6" xfId="0" applyNumberFormat="1" applyFont="1" applyFill="1" applyBorder="1" applyAlignment="1">
      <alignment vertical="center"/>
    </xf>
    <xf numFmtId="0" fontId="19" fillId="2" borderId="0" xfId="0" applyNumberFormat="1" applyFont="1" applyFill="1"/>
    <xf numFmtId="3" fontId="2" fillId="2" borderId="3" xfId="0" applyNumberFormat="1" applyFont="1" applyFill="1" applyBorder="1" applyAlignment="1">
      <alignment horizontal="right" vertical="center" indent="3"/>
    </xf>
    <xf numFmtId="3" fontId="2" fillId="2" borderId="0" xfId="0" applyNumberFormat="1" applyFont="1" applyFill="1" applyBorder="1" applyAlignment="1">
      <alignment horizontal="right" vertical="center" indent="3"/>
    </xf>
    <xf numFmtId="3" fontId="0" fillId="2" borderId="0" xfId="0" applyNumberFormat="1" applyFont="1" applyFill="1" applyBorder="1" applyAlignment="1">
      <alignment horizontal="right" vertical="center" indent="3"/>
    </xf>
    <xf numFmtId="3" fontId="0" fillId="2" borderId="4" xfId="0" applyNumberFormat="1" applyFont="1" applyFill="1" applyBorder="1" applyAlignment="1">
      <alignment horizontal="right" vertical="center" indent="3"/>
    </xf>
    <xf numFmtId="0" fontId="12" fillId="2" borderId="0" xfId="0" applyNumberFormat="1" applyFont="1" applyFill="1" applyBorder="1" applyAlignment="1">
      <alignment vertical="center"/>
    </xf>
    <xf numFmtId="1" fontId="0" fillId="2" borderId="0" xfId="0" applyNumberFormat="1" applyFont="1" applyFill="1" applyAlignment="1">
      <alignment vertical="center"/>
    </xf>
    <xf numFmtId="0" fontId="42" fillId="2" borderId="0" xfId="0" applyNumberFormat="1" applyFont="1" applyFill="1" applyBorder="1" applyAlignment="1">
      <alignment horizontal="right" vertical="center" wrapText="1"/>
    </xf>
    <xf numFmtId="0" fontId="43" fillId="2" borderId="4" xfId="3" applyFont="1" applyFill="1" applyBorder="1" applyAlignment="1">
      <alignment horizontal="center" vertical="center" wrapText="1" readingOrder="2"/>
    </xf>
    <xf numFmtId="3" fontId="0" fillId="2" borderId="0" xfId="0" applyNumberFormat="1" applyFont="1" applyFill="1"/>
    <xf numFmtId="0" fontId="2" fillId="2" borderId="0" xfId="0" applyNumberFormat="1" applyFont="1" applyFill="1" applyBorder="1" applyAlignment="1">
      <alignment horizontal="center" vertical="center" wrapText="1"/>
    </xf>
    <xf numFmtId="0" fontId="9" fillId="2" borderId="3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vertical="center"/>
    </xf>
    <xf numFmtId="164" fontId="45" fillId="2" borderId="0" xfId="0" applyNumberFormat="1" applyFont="1" applyFill="1" applyBorder="1" applyAlignment="1">
      <alignment horizontal="left" vertical="center" indent="2"/>
    </xf>
    <xf numFmtId="164" fontId="45" fillId="2" borderId="4" xfId="0" applyNumberFormat="1" applyFont="1" applyFill="1" applyBorder="1" applyAlignment="1">
      <alignment horizontal="left" vertical="center" indent="2"/>
    </xf>
    <xf numFmtId="164" fontId="45" fillId="2" borderId="0" xfId="0" applyNumberFormat="1" applyFont="1" applyFill="1" applyBorder="1" applyAlignment="1">
      <alignment horizontal="left" vertical="center" wrapText="1" indent="2"/>
    </xf>
    <xf numFmtId="0" fontId="2" fillId="2" borderId="13" xfId="0" applyNumberFormat="1" applyFont="1" applyFill="1" applyBorder="1" applyAlignment="1">
      <alignment horizontal="center" vertical="center" wrapText="1"/>
    </xf>
    <xf numFmtId="0" fontId="2" fillId="2" borderId="15" xfId="0" applyNumberFormat="1" applyFont="1" applyFill="1" applyBorder="1" applyAlignment="1">
      <alignment horizontal="center" vertical="center" wrapText="1"/>
    </xf>
    <xf numFmtId="0" fontId="43" fillId="2" borderId="12" xfId="3" applyFont="1" applyFill="1" applyBorder="1" applyAlignment="1">
      <alignment horizontal="center" vertical="center" wrapText="1" readingOrder="2"/>
    </xf>
    <xf numFmtId="0" fontId="43" fillId="2" borderId="11" xfId="3" applyFont="1" applyFill="1" applyBorder="1" applyAlignment="1">
      <alignment horizontal="center" vertical="center" wrapText="1" readingOrder="2"/>
    </xf>
    <xf numFmtId="3" fontId="2" fillId="2" borderId="14" xfId="0" applyNumberFormat="1" applyFont="1" applyFill="1" applyBorder="1" applyAlignment="1">
      <alignment horizontal="right" vertical="center" indent="3"/>
    </xf>
    <xf numFmtId="3" fontId="2" fillId="2" borderId="10" xfId="0" applyNumberFormat="1" applyFont="1" applyFill="1" applyBorder="1" applyAlignment="1">
      <alignment horizontal="right" vertical="center" indent="3"/>
    </xf>
    <xf numFmtId="3" fontId="0" fillId="2" borderId="13" xfId="0" applyNumberFormat="1" applyFont="1" applyFill="1" applyBorder="1" applyAlignment="1">
      <alignment horizontal="right" vertical="center" indent="3"/>
    </xf>
    <xf numFmtId="3" fontId="0" fillId="2" borderId="15" xfId="0" applyNumberFormat="1" applyFont="1" applyFill="1" applyBorder="1" applyAlignment="1">
      <alignment horizontal="right" vertical="center" indent="3"/>
    </xf>
    <xf numFmtId="3" fontId="0" fillId="2" borderId="12" xfId="0" applyNumberFormat="1" applyFont="1" applyFill="1" applyBorder="1" applyAlignment="1">
      <alignment horizontal="right" vertical="center" indent="3"/>
    </xf>
    <xf numFmtId="3" fontId="0" fillId="2" borderId="11" xfId="0" applyNumberFormat="1" applyFont="1" applyFill="1" applyBorder="1" applyAlignment="1">
      <alignment horizontal="right" vertical="center" indent="3"/>
    </xf>
    <xf numFmtId="164" fontId="6" fillId="2" borderId="4" xfId="0" applyNumberFormat="1" applyFont="1" applyFill="1" applyBorder="1" applyAlignment="1" applyProtection="1">
      <alignment horizontal="right" vertical="center" indent="2"/>
    </xf>
    <xf numFmtId="0" fontId="8" fillId="2" borderId="3" xfId="0" applyNumberFormat="1" applyFont="1" applyFill="1" applyBorder="1" applyAlignment="1">
      <alignment horizontal="right" vertical="center"/>
    </xf>
    <xf numFmtId="0" fontId="8" fillId="2" borderId="0" xfId="0" applyNumberFormat="1" applyFont="1" applyFill="1" applyBorder="1" applyAlignment="1">
      <alignment horizontal="right" vertical="center"/>
    </xf>
    <xf numFmtId="0" fontId="8" fillId="2" borderId="4" xfId="0" applyNumberFormat="1" applyFont="1" applyFill="1" applyBorder="1" applyAlignment="1">
      <alignment horizontal="right" vertical="center"/>
    </xf>
    <xf numFmtId="0" fontId="24" fillId="2" borderId="0" xfId="0" applyNumberFormat="1" applyFont="1" applyFill="1" applyAlignment="1">
      <alignment horizontal="center"/>
    </xf>
    <xf numFmtId="0" fontId="25" fillId="2" borderId="0" xfId="0" applyNumberFormat="1" applyFont="1" applyFill="1" applyAlignment="1">
      <alignment horizontal="center"/>
    </xf>
    <xf numFmtId="164" fontId="15" fillId="2" borderId="7" xfId="0" applyNumberFormat="1" applyFont="1" applyFill="1" applyBorder="1" applyAlignment="1">
      <alignment horizontal="center"/>
    </xf>
    <xf numFmtId="164" fontId="15" fillId="2" borderId="9" xfId="0" applyNumberFormat="1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9" fillId="2" borderId="3" xfId="0" applyNumberFormat="1" applyFont="1" applyFill="1" applyBorder="1" applyAlignment="1">
      <alignment horizontal="center" vertical="center"/>
    </xf>
    <xf numFmtId="0" fontId="8" fillId="2" borderId="4" xfId="0" applyNumberFormat="1" applyFont="1" applyFill="1" applyBorder="1" applyAlignment="1">
      <alignment horizontal="center" vertical="center"/>
    </xf>
    <xf numFmtId="0" fontId="9" fillId="2" borderId="14" xfId="0" applyNumberFormat="1" applyFont="1" applyFill="1" applyBorder="1" applyAlignment="1">
      <alignment horizontal="center" vertical="center"/>
    </xf>
    <xf numFmtId="0" fontId="9" fillId="2" borderId="10" xfId="0" applyNumberFormat="1" applyFont="1" applyFill="1" applyBorder="1" applyAlignment="1">
      <alignment horizontal="center" vertical="center"/>
    </xf>
    <xf numFmtId="0" fontId="8" fillId="2" borderId="12" xfId="0" applyNumberFormat="1" applyFont="1" applyFill="1" applyBorder="1" applyAlignment="1">
      <alignment horizontal="center" vertical="center"/>
    </xf>
    <xf numFmtId="0" fontId="8" fillId="2" borderId="11" xfId="0" applyNumberFormat="1" applyFont="1" applyFill="1" applyBorder="1" applyAlignment="1">
      <alignment horizontal="center" vertical="center"/>
    </xf>
    <xf numFmtId="164" fontId="21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20" fillId="2" borderId="0" xfId="0" applyNumberFormat="1" applyFont="1" applyFill="1" applyAlignment="1">
      <alignment horizontal="center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6"/>
    <cellStyle name="Explanatory Text" xfId="23" builtinId="53" customBuiltin="1"/>
    <cellStyle name="Good" xfId="13" builtinId="26" customBuiltin="1"/>
    <cellStyle name="Heading 1" xfId="9" builtinId="16" customBuiltin="1"/>
    <cellStyle name="Heading 1 2" xfId="4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0"/>
    <cellStyle name="Normal 2 2" xfId="49"/>
    <cellStyle name="Normal 3" xfId="2"/>
    <cellStyle name="Normal 5" xfId="5"/>
    <cellStyle name="Normal_II-14(Population)" xfId="3"/>
    <cellStyle name="Note" xfId="22" builtinId="10" customBuiltin="1"/>
    <cellStyle name="Output" xfId="17" builtinId="21" customBuiltin="1"/>
    <cellStyle name="Percent 2" xfId="7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6392885016318"/>
          <c:y val="0.19039225453296482"/>
          <c:w val="0.45958964231087795"/>
          <c:h val="0.77451325587626529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2"/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091D-45DC-ACBD-ABE54013CFD0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091D-45DC-ACBD-ABE54013CFD0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091D-45DC-ACBD-ABE54013CFD0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7284-4662-AD3A-55E4B4A65155}"/>
              </c:ext>
            </c:extLst>
          </c:dPt>
          <c:dLbls>
            <c:dLbl>
              <c:idx val="0"/>
              <c:layout>
                <c:manualLayout>
                  <c:x val="1.9335961421270753E-2"/>
                  <c:y val="7.460120102642787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91D-45DC-ACBD-ABE54013CFD0}"/>
                </c:ext>
              </c:extLst>
            </c:dLbl>
            <c:dLbl>
              <c:idx val="1"/>
              <c:layout>
                <c:manualLayout>
                  <c:x val="6.7890888184621481E-2"/>
                  <c:y val="-0.2072191564394405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91D-45DC-ACBD-ABE54013CFD0}"/>
                </c:ext>
              </c:extLst>
            </c:dLbl>
            <c:dLbl>
              <c:idx val="2"/>
              <c:layout>
                <c:manualLayout>
                  <c:x val="1.8383078265735556E-2"/>
                  <c:y val="0.2359014247951209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91D-45DC-ACBD-ABE54013CFD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'8.15'!$Z$3:$AC$3</c:f>
              <c:strCache>
                <c:ptCount val="4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  <c:pt idx="3">
                  <c:v>Age Unknown</c:v>
                </c:pt>
              </c:strCache>
            </c:strRef>
          </c:cat>
          <c:val>
            <c:numRef>
              <c:f>'8.15'!$Z$4:$AC$4</c:f>
              <c:numCache>
                <c:formatCode>#,##0</c:formatCode>
                <c:ptCount val="4"/>
                <c:pt idx="0">
                  <c:v>218</c:v>
                </c:pt>
                <c:pt idx="1">
                  <c:v>2787</c:v>
                </c:pt>
                <c:pt idx="2">
                  <c:v>818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1D-45DC-ACBD-ABE54013CFD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44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 horizontalDpi="-1" verticalDpi="-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955776764456935"/>
          <c:y val="0.13651285620307213"/>
          <c:w val="0.54892824060778178"/>
          <c:h val="0.79067459282821462"/>
        </c:manualLayout>
      </c:layout>
      <c:doughnutChart>
        <c:varyColors val="1"/>
        <c:ser>
          <c:idx val="0"/>
          <c:order val="0"/>
          <c:spPr>
            <a:solidFill>
              <a:srgbClr val="33CCCC"/>
            </a:solidFill>
          </c:spPr>
          <c:dPt>
            <c:idx val="0"/>
            <c:bubble3D val="0"/>
            <c:explosion val="2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C4D-476D-8F5D-04E19C5CDCD4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C4D-476D-8F5D-04E19C5CDCD4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5C4D-476D-8F5D-04E19C5CDCD4}"/>
              </c:ext>
            </c:extLst>
          </c:dPt>
          <c:dLbls>
            <c:dLbl>
              <c:idx val="0"/>
              <c:layout>
                <c:manualLayout>
                  <c:x val="-5.8049782093655855E-2"/>
                  <c:y val="-0.134155445232306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100" b="1">
                      <a:solidFill>
                        <a:schemeClr val="bg1">
                          <a:lumMod val="95000"/>
                        </a:schemeClr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C4D-476D-8F5D-04E19C5CDCD4}"/>
                </c:ext>
              </c:extLst>
            </c:dLbl>
            <c:dLbl>
              <c:idx val="1"/>
              <c:layout>
                <c:manualLayout>
                  <c:x val="-5.1217805141561563E-3"/>
                  <c:y val="-0.1245510712788538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C4D-476D-8F5D-04E19C5CDCD4}"/>
                </c:ext>
              </c:extLst>
            </c:dLbl>
            <c:dLbl>
              <c:idx val="2"/>
              <c:layout>
                <c:manualLayout>
                  <c:x val="0.15716158473963002"/>
                  <c:y val="-3.4212670102808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4D-476D-8F5D-04E19C5CDC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'8.15'!$W$11:$X$11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'8.15'!$W$12:$X$12</c:f>
              <c:numCache>
                <c:formatCode>General</c:formatCode>
                <c:ptCount val="2"/>
                <c:pt idx="0">
                  <c:v>3811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4D-476D-8F5D-04E19C5CD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53"/>
        <c:holeSize val="50"/>
      </c:doughnut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7628848494122"/>
          <c:y val="0.14376166520851469"/>
          <c:w val="0.87973626075415867"/>
          <c:h val="0.69013721194806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'8.15'!$AA$12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dLbl>
              <c:idx val="1"/>
              <c:layout>
                <c:manualLayout>
                  <c:x val="0"/>
                  <c:y val="1.259768996059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1D7-4EE2-9DF1-E1AB62237F1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'8.15'!$Z$13:$Z$16</c:f>
              <c:strCache>
                <c:ptCount val="4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  <c:pt idx="3">
                  <c:v>Age Unknown</c:v>
                </c:pt>
              </c:strCache>
            </c:strRef>
          </c:cat>
          <c:val>
            <c:numRef>
              <c:f>'8.15'!$AA$13:$AA$16</c:f>
              <c:numCache>
                <c:formatCode>#,##0</c:formatCode>
                <c:ptCount val="4"/>
                <c:pt idx="0">
                  <c:v>213</c:v>
                </c:pt>
                <c:pt idx="1">
                  <c:v>2691</c:v>
                </c:pt>
                <c:pt idx="2">
                  <c:v>770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7-4EE2-9DF1-E1AB62237F1A}"/>
            </c:ext>
          </c:extLst>
        </c:ser>
        <c:ser>
          <c:idx val="1"/>
          <c:order val="1"/>
          <c:tx>
            <c:strRef>
              <c:f>'8.15'!$AB$12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'8.15'!$Z$13:$Z$16</c:f>
              <c:strCache>
                <c:ptCount val="4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  <c:pt idx="3">
                  <c:v>Age Unknown</c:v>
                </c:pt>
              </c:strCache>
            </c:strRef>
          </c:cat>
          <c:val>
            <c:numRef>
              <c:f>'8.15'!$AB$13:$AB$16</c:f>
              <c:numCache>
                <c:formatCode>#,##0</c:formatCode>
                <c:ptCount val="4"/>
                <c:pt idx="0">
                  <c:v>5</c:v>
                </c:pt>
                <c:pt idx="1">
                  <c:v>96</c:v>
                </c:pt>
                <c:pt idx="2">
                  <c:v>48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D7-4EE2-9DF1-E1AB62237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35264"/>
        <c:axId val="99437184"/>
      </c:barChart>
      <c:catAx>
        <c:axId val="9943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8408181457485313"/>
              <c:y val="0.9157175503129295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99437184"/>
        <c:crosses val="autoZero"/>
        <c:auto val="1"/>
        <c:lblAlgn val="ctr"/>
        <c:lblOffset val="100"/>
        <c:noMultiLvlLbl val="0"/>
      </c:catAx>
      <c:valAx>
        <c:axId val="9943718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99435264"/>
        <c:crosses val="autoZero"/>
        <c:crossBetween val="between"/>
      </c:valAx>
      <c:spPr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475016787898998"/>
          <c:y val="0.26559931278113352"/>
          <c:w val="0.20184986698786023"/>
          <c:h val="7.322498217807114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'[9]8.9graphs'!$C$37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'[9]8.9graphs'!$D$37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'[9]8.9graphs'!$C$43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'[9]8.9graphs'!$D$43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'[9]8.9graphs'!$C$56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'[9]8.9graphs'!$D$56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'[9]8.9graphs'!$C$50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'[9]8.9graphs'!$D$50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40674</xdr:colOff>
      <xdr:row>36</xdr:row>
      <xdr:rowOff>65305</xdr:rowOff>
    </xdr:from>
    <xdr:to>
      <xdr:col>9</xdr:col>
      <xdr:colOff>719666</xdr:colOff>
      <xdr:row>52</xdr:row>
      <xdr:rowOff>84666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39D55E9-0083-4B00-A1A6-4B1C67428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293611</xdr:colOff>
      <xdr:row>36</xdr:row>
      <xdr:rowOff>45509</xdr:rowOff>
    </xdr:from>
    <xdr:to>
      <xdr:col>2</xdr:col>
      <xdr:colOff>709084</xdr:colOff>
      <xdr:row>52</xdr:row>
      <xdr:rowOff>63500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FE4A694D-FEAE-4ECE-BA04-A0380A230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878418</xdr:colOff>
      <xdr:row>36</xdr:row>
      <xdr:rowOff>95250</xdr:rowOff>
    </xdr:from>
    <xdr:to>
      <xdr:col>15</xdr:col>
      <xdr:colOff>2137833</xdr:colOff>
      <xdr:row>52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7D2144-791B-4812-8AB7-F996FA29F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819742</xdr:colOff>
      <xdr:row>36</xdr:row>
      <xdr:rowOff>120121</xdr:rowOff>
    </xdr:from>
    <xdr:to>
      <xdr:col>2</xdr:col>
      <xdr:colOff>423801</xdr:colOff>
      <xdr:row>38</xdr:row>
      <xdr:rowOff>10584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772BFDA-DC1C-44A6-AAED-0DB02AB81BCC}"/>
            </a:ext>
          </a:extLst>
        </xdr:cNvPr>
        <xdr:cNvSpPr txBox="1"/>
      </xdr:nvSpPr>
      <xdr:spPr>
        <a:xfrm>
          <a:off x="819742" y="9200621"/>
          <a:ext cx="4027892" cy="3772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8.21: Percentage share of detainees by sex, 2017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656167</xdr:colOff>
      <xdr:row>36</xdr:row>
      <xdr:rowOff>158316</xdr:rowOff>
    </xdr:from>
    <xdr:to>
      <xdr:col>9</xdr:col>
      <xdr:colOff>229255</xdr:colOff>
      <xdr:row>37</xdr:row>
      <xdr:rowOff>169333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70EC8D-42CF-4ACA-A3E5-CF5BAE561683}"/>
            </a:ext>
          </a:extLst>
        </xdr:cNvPr>
        <xdr:cNvSpPr txBox="1"/>
      </xdr:nvSpPr>
      <xdr:spPr>
        <a:xfrm>
          <a:off x="5894917" y="9238816"/>
          <a:ext cx="4155671" cy="2544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8.22: Percentage share of detainees by age, 2017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718610</xdr:colOff>
      <xdr:row>37</xdr:row>
      <xdr:rowOff>152398</xdr:rowOff>
    </xdr:from>
    <xdr:to>
      <xdr:col>9</xdr:col>
      <xdr:colOff>105834</xdr:colOff>
      <xdr:row>37</xdr:row>
      <xdr:rowOff>158749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2C3267A0-67A4-4FD4-BFB1-A32DCF6868EB}"/>
            </a:ext>
          </a:extLst>
        </xdr:cNvPr>
        <xdr:cNvSpPr>
          <a:spLocks noChangeShapeType="1"/>
        </xdr:cNvSpPr>
      </xdr:nvSpPr>
      <xdr:spPr bwMode="auto">
        <a:xfrm>
          <a:off x="5957360" y="9476315"/>
          <a:ext cx="3969807" cy="635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833967</xdr:colOff>
      <xdr:row>37</xdr:row>
      <xdr:rowOff>115358</xdr:rowOff>
    </xdr:from>
    <xdr:to>
      <xdr:col>2</xdr:col>
      <xdr:colOff>359834</xdr:colOff>
      <xdr:row>37</xdr:row>
      <xdr:rowOff>126999</xdr:rowOff>
    </xdr:to>
    <xdr:sp macro="" textlink="">
      <xdr:nvSpPr>
        <xdr:cNvPr id="8" name="Line 4">
          <a:extLst>
            <a:ext uri="{FF2B5EF4-FFF2-40B4-BE49-F238E27FC236}">
              <a16:creationId xmlns:a16="http://schemas.microsoft.com/office/drawing/2014/main" id="{75182F77-B5C8-4F1C-AF9A-4970824CF9A2}"/>
            </a:ext>
          </a:extLst>
        </xdr:cNvPr>
        <xdr:cNvSpPr>
          <a:spLocks noChangeShapeType="1"/>
        </xdr:cNvSpPr>
      </xdr:nvSpPr>
      <xdr:spPr bwMode="auto">
        <a:xfrm>
          <a:off x="833967" y="9439275"/>
          <a:ext cx="3949700" cy="1164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11</xdr:col>
      <xdr:colOff>783167</xdr:colOff>
      <xdr:row>37</xdr:row>
      <xdr:rowOff>211666</xdr:rowOff>
    </xdr:from>
    <xdr:to>
      <xdr:col>15</xdr:col>
      <xdr:colOff>1386417</xdr:colOff>
      <xdr:row>37</xdr:row>
      <xdr:rowOff>211666</xdr:rowOff>
    </xdr:to>
    <xdr:sp macro="" textlink="">
      <xdr:nvSpPr>
        <xdr:cNvPr id="10" name="Line 4">
          <a:extLst>
            <a:ext uri="{FF2B5EF4-FFF2-40B4-BE49-F238E27FC236}">
              <a16:creationId xmlns:a16="http://schemas.microsoft.com/office/drawing/2014/main" id="{2C3267A0-67A4-4FD4-BFB1-A32DCF6868EB}"/>
            </a:ext>
          </a:extLst>
        </xdr:cNvPr>
        <xdr:cNvSpPr>
          <a:spLocks noChangeShapeType="1"/>
        </xdr:cNvSpPr>
      </xdr:nvSpPr>
      <xdr:spPr bwMode="auto">
        <a:xfrm>
          <a:off x="11535834" y="9535583"/>
          <a:ext cx="4138083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0.13269</cdr:x>
      <cdr:y>0.03482</cdr:y>
    </cdr:from>
    <cdr:to>
      <cdr:x>0.88523</cdr:x>
      <cdr:y>0.12114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59721" y="110565"/>
          <a:ext cx="4308729" cy="2740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8.23: Number of Detainees by age and sex,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LAW%20AND%20ORDER_%20PG%20%20with%20Transl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8%20%20LAW%20%20ORDER%20-%20DJA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45.523385300668153</v>
          </cell>
          <cell r="AF241">
            <v>70.860927152317871</v>
          </cell>
          <cell r="AG241">
            <v>82.176047694196043</v>
          </cell>
        </row>
        <row r="242">
          <cell r="AD242" t="str">
            <v xml:space="preserve">Male' </v>
          </cell>
          <cell r="AE242">
            <v>46.537495514890566</v>
          </cell>
          <cell r="AF242">
            <v>71.522556390977442</v>
          </cell>
          <cell r="AG242">
            <v>82.48571428571428</v>
          </cell>
        </row>
        <row r="243">
          <cell r="AD243" t="str">
            <v xml:space="preserve">Atoll </v>
          </cell>
          <cell r="AE243">
            <v>43.86376981796829</v>
          </cell>
          <cell r="AF243">
            <v>69.814126394052039</v>
          </cell>
          <cell r="AG243">
            <v>82.038957753604862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4892</v>
          </cell>
          <cell r="AF247">
            <v>2024</v>
          </cell>
          <cell r="AG247">
            <v>2033</v>
          </cell>
        </row>
        <row r="248">
          <cell r="AD248" t="str">
            <v xml:space="preserve">Male' </v>
          </cell>
          <cell r="AE248">
            <v>2980</v>
          </cell>
          <cell r="AF248">
            <v>1212</v>
          </cell>
          <cell r="AG248">
            <v>613</v>
          </cell>
        </row>
        <row r="249">
          <cell r="AD249" t="str">
            <v xml:space="preserve">Atoll </v>
          </cell>
          <cell r="AE249">
            <v>1912</v>
          </cell>
          <cell r="AF249">
            <v>812</v>
          </cell>
          <cell r="AG249">
            <v>1420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4088</v>
          </cell>
          <cell r="AF255">
            <v>4922</v>
          </cell>
          <cell r="AG255">
            <v>9373</v>
          </cell>
        </row>
        <row r="256">
          <cell r="AD256" t="str">
            <v xml:space="preserve">Male' </v>
          </cell>
          <cell r="AE256">
            <v>2594</v>
          </cell>
          <cell r="AF256">
            <v>3044</v>
          </cell>
          <cell r="AG256">
            <v>2887</v>
          </cell>
        </row>
        <row r="257">
          <cell r="AD257" t="str">
            <v xml:space="preserve">Atoll </v>
          </cell>
          <cell r="AE257">
            <v>1494</v>
          </cell>
          <cell r="AF257">
            <v>1878</v>
          </cell>
          <cell r="AG257">
            <v>6486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6637</v>
          </cell>
          <cell r="AF261">
            <v>3686</v>
          </cell>
          <cell r="AG261">
            <v>2951</v>
          </cell>
        </row>
        <row r="262">
          <cell r="AD262" t="str">
            <v>new cases filed</v>
          </cell>
          <cell r="AE262">
            <v>20695</v>
          </cell>
          <cell r="AF262">
            <v>9644</v>
          </cell>
          <cell r="AG262">
            <v>11051</v>
          </cell>
        </row>
        <row r="263">
          <cell r="AD263" t="str">
            <v>concluded</v>
          </cell>
          <cell r="AE263">
            <v>18383</v>
          </cell>
          <cell r="AF263">
            <v>8525</v>
          </cell>
          <cell r="AG263">
            <v>9858</v>
          </cell>
        </row>
        <row r="264">
          <cell r="AD264" t="str">
            <v>ending balance</v>
          </cell>
          <cell r="AE264">
            <v>8949</v>
          </cell>
          <cell r="AF264">
            <v>4805</v>
          </cell>
          <cell r="AG264">
            <v>4144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341</v>
          </cell>
          <cell r="AF271">
            <v>215</v>
          </cell>
        </row>
        <row r="272">
          <cell r="AD272" t="str">
            <v>HDh</v>
          </cell>
          <cell r="AE272">
            <v>670</v>
          </cell>
          <cell r="AF272">
            <v>204</v>
          </cell>
        </row>
        <row r="273">
          <cell r="AD273" t="str">
            <v>Sh</v>
          </cell>
          <cell r="AE273">
            <v>397</v>
          </cell>
          <cell r="AF273">
            <v>117</v>
          </cell>
        </row>
        <row r="274">
          <cell r="AD274" t="str">
            <v>N</v>
          </cell>
          <cell r="AE274">
            <v>487</v>
          </cell>
          <cell r="AF274">
            <v>266</v>
          </cell>
        </row>
        <row r="275">
          <cell r="AD275" t="str">
            <v>R</v>
          </cell>
          <cell r="AE275">
            <v>668</v>
          </cell>
          <cell r="AF275">
            <v>141</v>
          </cell>
        </row>
        <row r="276">
          <cell r="AD276" t="str">
            <v>B</v>
          </cell>
          <cell r="AE276">
            <v>333</v>
          </cell>
          <cell r="AF276">
            <v>99</v>
          </cell>
        </row>
        <row r="277">
          <cell r="AD277" t="str">
            <v>Lh</v>
          </cell>
          <cell r="AE277">
            <v>430</v>
          </cell>
          <cell r="AF277">
            <v>332</v>
          </cell>
        </row>
        <row r="278">
          <cell r="AD278" t="str">
            <v>K</v>
          </cell>
          <cell r="AE278">
            <v>650</v>
          </cell>
          <cell r="AF278">
            <v>93</v>
          </cell>
        </row>
        <row r="279">
          <cell r="AD279" t="str">
            <v>AA</v>
          </cell>
          <cell r="AE279">
            <v>356</v>
          </cell>
          <cell r="AF279">
            <v>165</v>
          </cell>
        </row>
        <row r="280">
          <cell r="AD280" t="str">
            <v>ADh</v>
          </cell>
          <cell r="AE280">
            <v>395</v>
          </cell>
          <cell r="AF280">
            <v>135</v>
          </cell>
        </row>
        <row r="281">
          <cell r="AD281" t="str">
            <v>V</v>
          </cell>
          <cell r="AE281">
            <v>75</v>
          </cell>
          <cell r="AF281">
            <v>22</v>
          </cell>
        </row>
        <row r="282">
          <cell r="AD282" t="str">
            <v>M</v>
          </cell>
          <cell r="AE282">
            <v>148</v>
          </cell>
          <cell r="AF282">
            <v>47</v>
          </cell>
        </row>
        <row r="283">
          <cell r="AD283" t="str">
            <v>F</v>
          </cell>
          <cell r="AE283">
            <v>245</v>
          </cell>
          <cell r="AF283">
            <v>58</v>
          </cell>
        </row>
        <row r="284">
          <cell r="AD284" t="str">
            <v>Dh</v>
          </cell>
          <cell r="AE284">
            <v>208</v>
          </cell>
          <cell r="AF284">
            <v>58</v>
          </cell>
        </row>
        <row r="285">
          <cell r="AD285" t="str">
            <v>Th</v>
          </cell>
          <cell r="AE285">
            <v>428</v>
          </cell>
          <cell r="AF285">
            <v>227</v>
          </cell>
        </row>
        <row r="286">
          <cell r="AD286" t="str">
            <v>L</v>
          </cell>
          <cell r="AE286">
            <v>904</v>
          </cell>
          <cell r="AF286">
            <v>354</v>
          </cell>
        </row>
        <row r="287">
          <cell r="AD287" t="str">
            <v>GA</v>
          </cell>
          <cell r="AE287">
            <v>707</v>
          </cell>
          <cell r="AF287">
            <v>355</v>
          </cell>
        </row>
        <row r="288">
          <cell r="AD288" t="str">
            <v>GDh</v>
          </cell>
          <cell r="AE288">
            <v>599</v>
          </cell>
          <cell r="AF288">
            <v>491</v>
          </cell>
        </row>
        <row r="289">
          <cell r="AD289" t="str">
            <v>Gn</v>
          </cell>
          <cell r="AE289">
            <v>543</v>
          </cell>
          <cell r="AF289">
            <v>292</v>
          </cell>
        </row>
        <row r="290">
          <cell r="AD290" t="str">
            <v>S</v>
          </cell>
          <cell r="AE290">
            <v>1274</v>
          </cell>
          <cell r="AF290">
            <v>473</v>
          </cell>
        </row>
        <row r="295">
          <cell r="AE295" t="str">
            <v>HA</v>
          </cell>
          <cell r="AF295">
            <v>61.330935251798557</v>
          </cell>
        </row>
        <row r="296">
          <cell r="AE296" t="str">
            <v>HDh</v>
          </cell>
          <cell r="AF296">
            <v>76.659038901601832</v>
          </cell>
        </row>
        <row r="297">
          <cell r="AE297" t="str">
            <v>Sh</v>
          </cell>
          <cell r="AF297">
            <v>77.237354085603116</v>
          </cell>
        </row>
        <row r="298">
          <cell r="AE298" t="str">
            <v>N</v>
          </cell>
          <cell r="AF298">
            <v>64.674634794156702</v>
          </cell>
        </row>
        <row r="299">
          <cell r="AE299" t="str">
            <v>R</v>
          </cell>
          <cell r="AF299">
            <v>82.571075401730525</v>
          </cell>
        </row>
        <row r="300">
          <cell r="AE300" t="str">
            <v>B</v>
          </cell>
          <cell r="AF300">
            <v>77.083333333333343</v>
          </cell>
        </row>
        <row r="301">
          <cell r="AE301" t="str">
            <v>Lh</v>
          </cell>
          <cell r="AF301">
            <v>56.430446194225723</v>
          </cell>
        </row>
        <row r="302">
          <cell r="AE302" t="str">
            <v>K</v>
          </cell>
          <cell r="AF302">
            <v>87.48317631224765</v>
          </cell>
        </row>
        <row r="303">
          <cell r="AE303" t="str">
            <v>AA</v>
          </cell>
          <cell r="AF303">
            <v>68.330134357005761</v>
          </cell>
        </row>
        <row r="304">
          <cell r="AE304" t="str">
            <v>ADh</v>
          </cell>
          <cell r="AF304">
            <v>74.528301886792448</v>
          </cell>
        </row>
        <row r="305">
          <cell r="AE305" t="str">
            <v>V</v>
          </cell>
          <cell r="AF305">
            <v>77.319587628865989</v>
          </cell>
        </row>
        <row r="306">
          <cell r="AE306" t="str">
            <v>M</v>
          </cell>
          <cell r="AF306">
            <v>75.897435897435898</v>
          </cell>
        </row>
        <row r="307">
          <cell r="AE307" t="str">
            <v>F</v>
          </cell>
          <cell r="AF307">
            <v>80.858085808580853</v>
          </cell>
        </row>
        <row r="308">
          <cell r="AE308" t="str">
            <v>Dh</v>
          </cell>
          <cell r="AF308">
            <v>78.195488721804509</v>
          </cell>
        </row>
        <row r="309">
          <cell r="AE309" t="str">
            <v>Th</v>
          </cell>
          <cell r="AF309">
            <v>65.343511450381669</v>
          </cell>
        </row>
        <row r="310">
          <cell r="AE310" t="str">
            <v>L</v>
          </cell>
          <cell r="AF310">
            <v>71.860095389507151</v>
          </cell>
        </row>
        <row r="311">
          <cell r="AE311" t="str">
            <v>GA</v>
          </cell>
          <cell r="AF311">
            <v>66.572504708097924</v>
          </cell>
        </row>
        <row r="312">
          <cell r="AE312" t="str">
            <v>GDh</v>
          </cell>
          <cell r="AF312">
            <v>54.954128440366965</v>
          </cell>
        </row>
        <row r="313">
          <cell r="AE313" t="str">
            <v>Gn</v>
          </cell>
          <cell r="AF313">
            <v>65.029940119760482</v>
          </cell>
        </row>
        <row r="314">
          <cell r="AE314" t="str">
            <v>S</v>
          </cell>
          <cell r="AF314">
            <v>72.925014310246141</v>
          </cell>
        </row>
      </sheetData>
      <sheetData sheetId="3"/>
      <sheetData sheetId="4"/>
      <sheetData sheetId="5"/>
      <sheetData sheetId="6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  <sheetData sheetId="7">
        <row r="4">
          <cell r="R4" t="str">
            <v xml:space="preserve">Male </v>
          </cell>
          <cell r="S4" t="str">
            <v>Female</v>
          </cell>
        </row>
        <row r="7">
          <cell r="R7">
            <v>0</v>
          </cell>
          <cell r="S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4"/>
      <sheetName val="8.25"/>
      <sheetName val="8.26"/>
      <sheetName val="Cases by Type 2017"/>
    </sheetNames>
    <sheetDataSet>
      <sheetData sheetId="0"/>
      <sheetData sheetId="1"/>
      <sheetData sheetId="2">
        <row r="30">
          <cell r="T30">
            <v>2011</v>
          </cell>
          <cell r="U30">
            <v>2012</v>
          </cell>
          <cell r="V30">
            <v>2013</v>
          </cell>
          <cell r="W30">
            <v>2014</v>
          </cell>
          <cell r="X30">
            <v>2015</v>
          </cell>
          <cell r="Y30">
            <v>2016</v>
          </cell>
          <cell r="Z30">
            <v>2017</v>
          </cell>
        </row>
        <row r="31">
          <cell r="S31" t="str">
            <v>Completion rate</v>
          </cell>
          <cell r="T31">
            <v>86.812804453723032</v>
          </cell>
          <cell r="U31">
            <v>61.540749553837003</v>
          </cell>
          <cell r="V31">
            <v>70.99408617290905</v>
          </cell>
          <cell r="W31">
            <v>70.70082449941107</v>
          </cell>
          <cell r="X31">
            <v>70.769571967176759</v>
          </cell>
          <cell r="Y31">
            <v>96.101645971700833</v>
          </cell>
          <cell r="Z31">
            <v>98.131868131868131</v>
          </cell>
        </row>
        <row r="32">
          <cell r="S32" t="str">
            <v>Submission rate to courts</v>
          </cell>
          <cell r="T32">
            <v>64.370215727209469</v>
          </cell>
          <cell r="U32">
            <v>42.504461629982153</v>
          </cell>
          <cell r="V32">
            <v>51.281329203041395</v>
          </cell>
          <cell r="W32">
            <v>44.081272084805654</v>
          </cell>
          <cell r="X32">
            <v>40.607673541805276</v>
          </cell>
          <cell r="Y32">
            <v>97.458850707479058</v>
          </cell>
          <cell r="Z32">
            <v>118.05860805860806</v>
          </cell>
        </row>
        <row r="34">
          <cell r="T34">
            <v>2011</v>
          </cell>
          <cell r="U34">
            <v>2012</v>
          </cell>
          <cell r="V34">
            <v>2013</v>
          </cell>
          <cell r="W34">
            <v>2014</v>
          </cell>
          <cell r="X34">
            <v>2015</v>
          </cell>
          <cell r="Y34">
            <v>2016</v>
          </cell>
          <cell r="Z34">
            <v>2017</v>
          </cell>
        </row>
        <row r="35">
          <cell r="S35" t="str">
            <v xml:space="preserve">Completed </v>
          </cell>
          <cell r="T35">
            <v>2495</v>
          </cell>
          <cell r="U35">
            <v>2069</v>
          </cell>
          <cell r="V35">
            <v>2521</v>
          </cell>
          <cell r="W35">
            <v>2401</v>
          </cell>
          <cell r="X35">
            <v>3191</v>
          </cell>
          <cell r="Y35">
            <v>3328</v>
          </cell>
          <cell r="Z35">
            <v>2679</v>
          </cell>
        </row>
        <row r="36">
          <cell r="S36" t="str">
            <v>Submitted to court</v>
          </cell>
          <cell r="T36">
            <v>1850</v>
          </cell>
          <cell r="U36">
            <v>1429</v>
          </cell>
          <cell r="V36">
            <v>1821</v>
          </cell>
          <cell r="W36">
            <v>1497</v>
          </cell>
          <cell r="X36">
            <v>1831</v>
          </cell>
          <cell r="Y36">
            <v>3375</v>
          </cell>
          <cell r="Z36">
            <v>3223</v>
          </cell>
        </row>
        <row r="37">
          <cell r="S37" t="str">
            <v xml:space="preserve">Not sent to court </v>
          </cell>
          <cell r="T37">
            <v>379</v>
          </cell>
          <cell r="U37">
            <v>1293</v>
          </cell>
          <cell r="V37">
            <v>1030</v>
          </cell>
          <cell r="W37">
            <v>995</v>
          </cell>
          <cell r="X37">
            <v>1318</v>
          </cell>
          <cell r="Y37">
            <v>135</v>
          </cell>
          <cell r="Z37">
            <v>51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357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672</v>
          </cell>
          <cell r="F8">
            <v>412</v>
          </cell>
          <cell r="G8">
            <v>532</v>
          </cell>
          <cell r="H8">
            <v>601</v>
          </cell>
          <cell r="W8" t="str">
            <v>Male'</v>
          </cell>
          <cell r="X8">
            <v>37.265135699373694</v>
          </cell>
        </row>
        <row r="9">
          <cell r="W9" t="str">
            <v>Atolls</v>
          </cell>
          <cell r="X9">
            <v>62.734864300626306</v>
          </cell>
        </row>
      </sheetData>
      <sheetData sheetId="2"/>
      <sheetData sheetId="3"/>
      <sheetData sheetId="4">
        <row r="19">
          <cell r="J19" t="str">
            <v xml:space="preserve">މަޢުލޫމާތު ދެއްވި ފަރާތް: އެންޓި ކޮރަޕްޝަން ކޮމިޝަން </v>
          </cell>
        </row>
      </sheetData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>
        <row r="6">
          <cell r="I6" t="str">
            <v>Male</v>
          </cell>
          <cell r="M6" t="str">
            <v>Female</v>
          </cell>
        </row>
        <row r="7">
          <cell r="L7">
            <v>1058</v>
          </cell>
        </row>
        <row r="8">
          <cell r="A8" t="str">
            <v>Under 15</v>
          </cell>
          <cell r="L8">
            <v>0</v>
          </cell>
          <cell r="M8">
            <v>0</v>
          </cell>
        </row>
        <row r="9">
          <cell r="A9" t="str">
            <v>15 - 19</v>
          </cell>
          <cell r="L9">
            <v>73</v>
          </cell>
          <cell r="M9">
            <v>4</v>
          </cell>
        </row>
        <row r="10">
          <cell r="A10" t="str">
            <v>20 - 24</v>
          </cell>
          <cell r="L10">
            <v>205</v>
          </cell>
          <cell r="M10">
            <v>16</v>
          </cell>
        </row>
        <row r="11">
          <cell r="A11" t="str">
            <v>25 - 29</v>
          </cell>
          <cell r="L11">
            <v>260</v>
          </cell>
          <cell r="M11">
            <v>19</v>
          </cell>
        </row>
        <row r="12">
          <cell r="A12" t="str">
            <v>30 - 34</v>
          </cell>
          <cell r="L12">
            <v>209</v>
          </cell>
          <cell r="M12">
            <v>5</v>
          </cell>
        </row>
        <row r="13">
          <cell r="A13" t="str">
            <v>35 - 39</v>
          </cell>
          <cell r="L13">
            <v>146</v>
          </cell>
          <cell r="M13">
            <v>13</v>
          </cell>
        </row>
        <row r="14">
          <cell r="A14" t="str">
            <v>40 - 49</v>
          </cell>
          <cell r="L14">
            <v>108</v>
          </cell>
          <cell r="M14">
            <v>4</v>
          </cell>
          <cell r="X14" t="str">
            <v>Both sexes</v>
          </cell>
          <cell r="Y14" t="str">
            <v>Male</v>
          </cell>
          <cell r="Z14" t="str">
            <v>Female</v>
          </cell>
        </row>
        <row r="15">
          <cell r="A15" t="str">
            <v>50 &amp; Over</v>
          </cell>
          <cell r="M15">
            <v>5</v>
          </cell>
          <cell r="W15">
            <v>2014</v>
          </cell>
          <cell r="X15">
            <v>401</v>
          </cell>
          <cell r="Y15">
            <v>342</v>
          </cell>
          <cell r="Z15">
            <v>59</v>
          </cell>
        </row>
        <row r="16">
          <cell r="W16">
            <v>2015</v>
          </cell>
          <cell r="X16">
            <v>358</v>
          </cell>
          <cell r="Y16">
            <v>302</v>
          </cell>
          <cell r="Z16">
            <v>56</v>
          </cell>
        </row>
        <row r="17">
          <cell r="W17">
            <v>2016</v>
          </cell>
          <cell r="X17">
            <v>828</v>
          </cell>
          <cell r="Y17">
            <v>752</v>
          </cell>
          <cell r="Z17">
            <v>76</v>
          </cell>
        </row>
        <row r="18">
          <cell r="W18">
            <v>2017</v>
          </cell>
          <cell r="X18">
            <v>1124</v>
          </cell>
          <cell r="Y18">
            <v>1058</v>
          </cell>
          <cell r="Z18">
            <v>66</v>
          </cell>
        </row>
      </sheetData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C88"/>
  <sheetViews>
    <sheetView tabSelected="1" view="pageBreakPreview" zoomScaleNormal="90" zoomScaleSheetLayoutView="100" workbookViewId="0">
      <selection activeCell="A24" sqref="A24"/>
    </sheetView>
  </sheetViews>
  <sheetFormatPr defaultColWidth="9.140625" defaultRowHeight="15"/>
  <cols>
    <col min="1" max="1" width="54.140625" style="4" customWidth="1"/>
    <col min="2" max="2" width="13" style="4" customWidth="1"/>
    <col min="3" max="3" width="12.28515625" style="4" customWidth="1"/>
    <col min="4" max="5" width="13.85546875" style="4" customWidth="1"/>
    <col min="6" max="6" width="0.140625" style="4" customWidth="1"/>
    <col min="7" max="10" width="13.7109375" style="4" customWidth="1"/>
    <col min="11" max="11" width="0.28515625" style="4" customWidth="1"/>
    <col min="12" max="13" width="12.28515625" style="4" customWidth="1"/>
    <col min="14" max="15" width="14.28515625" style="4" customWidth="1"/>
    <col min="16" max="16" width="34.28515625" style="4" customWidth="1"/>
    <col min="17" max="17" width="3.28515625" style="4" customWidth="1"/>
    <col min="18" max="24" width="9.140625" style="4"/>
    <col min="25" max="25" width="33.85546875" style="4" customWidth="1"/>
    <col min="26" max="26" width="9.140625" style="4"/>
    <col min="27" max="27" width="11.28515625" style="4" customWidth="1"/>
    <col min="28" max="28" width="12.140625" style="4" customWidth="1"/>
    <col min="29" max="16384" width="9.140625" style="4"/>
  </cols>
  <sheetData>
    <row r="1" spans="1:29" ht="9" customHeight="1"/>
    <row r="2" spans="1:29" s="49" customFormat="1" ht="19.5" customHeight="1">
      <c r="A2" s="97" t="s">
        <v>109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Z2" s="4"/>
      <c r="AA2" s="4"/>
      <c r="AB2" s="4"/>
    </row>
    <row r="3" spans="1:29">
      <c r="A3" s="99" t="s">
        <v>110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Z3" s="11" t="s">
        <v>106</v>
      </c>
      <c r="AA3" s="11" t="s">
        <v>107</v>
      </c>
      <c r="AB3" s="4" t="s">
        <v>108</v>
      </c>
      <c r="AC3" s="26" t="s">
        <v>136</v>
      </c>
    </row>
    <row r="4" spans="1:29" ht="9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8"/>
      <c r="L4" s="8"/>
      <c r="M4" s="2"/>
      <c r="N4" s="2"/>
      <c r="O4" s="2"/>
      <c r="P4" s="2"/>
      <c r="Z4" s="68">
        <f>C9</f>
        <v>218</v>
      </c>
      <c r="AA4" s="68">
        <f>D9</f>
        <v>2787</v>
      </c>
      <c r="AB4" s="68">
        <f>E9</f>
        <v>818</v>
      </c>
      <c r="AC4" s="76" t="e">
        <f>AA9</f>
        <v>#REF!</v>
      </c>
    </row>
    <row r="5" spans="1:29" s="10" customFormat="1" ht="13.5" customHeight="1">
      <c r="A5" s="101" t="s">
        <v>23</v>
      </c>
      <c r="B5" s="104" t="s">
        <v>102</v>
      </c>
      <c r="C5" s="104"/>
      <c r="D5" s="104"/>
      <c r="E5" s="104"/>
      <c r="F5" s="78"/>
      <c r="G5" s="106" t="s">
        <v>25</v>
      </c>
      <c r="H5" s="104"/>
      <c r="I5" s="104"/>
      <c r="J5" s="107"/>
      <c r="K5" s="9"/>
      <c r="L5" s="104" t="s">
        <v>26</v>
      </c>
      <c r="M5" s="104"/>
      <c r="N5" s="104"/>
      <c r="O5" s="104"/>
      <c r="P5" s="94" t="s">
        <v>24</v>
      </c>
      <c r="Z5" s="4"/>
      <c r="AA5" s="4"/>
      <c r="AB5" s="4"/>
    </row>
    <row r="6" spans="1:29" s="10" customFormat="1" ht="18.75" customHeight="1">
      <c r="A6" s="102"/>
      <c r="B6" s="105" t="s">
        <v>27</v>
      </c>
      <c r="C6" s="105"/>
      <c r="D6" s="105"/>
      <c r="E6" s="105"/>
      <c r="F6" s="21"/>
      <c r="G6" s="108" t="s">
        <v>28</v>
      </c>
      <c r="H6" s="105"/>
      <c r="I6" s="105"/>
      <c r="J6" s="109"/>
      <c r="K6" s="21"/>
      <c r="L6" s="105" t="s">
        <v>29</v>
      </c>
      <c r="M6" s="105"/>
      <c r="N6" s="105"/>
      <c r="O6" s="105"/>
      <c r="P6" s="95"/>
      <c r="Z6" s="26"/>
      <c r="AA6" s="29" t="e">
        <f>#REF!</f>
        <v>#REF!</v>
      </c>
      <c r="AB6" s="26"/>
    </row>
    <row r="7" spans="1:29" s="67" customFormat="1" ht="12.75" customHeight="1">
      <c r="A7" s="102"/>
      <c r="B7" s="77" t="s">
        <v>0</v>
      </c>
      <c r="C7" s="77" t="s">
        <v>35</v>
      </c>
      <c r="D7" s="77" t="s">
        <v>121</v>
      </c>
      <c r="E7" s="77" t="s">
        <v>36</v>
      </c>
      <c r="F7" s="77"/>
      <c r="G7" s="83" t="s">
        <v>0</v>
      </c>
      <c r="H7" s="77" t="s">
        <v>35</v>
      </c>
      <c r="I7" s="77" t="s">
        <v>121</v>
      </c>
      <c r="J7" s="84" t="s">
        <v>122</v>
      </c>
      <c r="K7" s="77"/>
      <c r="L7" s="77" t="s">
        <v>0</v>
      </c>
      <c r="M7" s="77" t="s">
        <v>35</v>
      </c>
      <c r="N7" s="77" t="s">
        <v>121</v>
      </c>
      <c r="O7" s="77" t="s">
        <v>122</v>
      </c>
      <c r="P7" s="95"/>
      <c r="Z7" s="24" t="s">
        <v>25</v>
      </c>
      <c r="AA7" s="27">
        <f>G9</f>
        <v>3674</v>
      </c>
      <c r="AB7" s="73" t="e">
        <f>AA7/AA6*100</f>
        <v>#REF!</v>
      </c>
    </row>
    <row r="8" spans="1:29" ht="37.5">
      <c r="A8" s="103"/>
      <c r="B8" s="75" t="s">
        <v>30</v>
      </c>
      <c r="C8" s="75" t="s">
        <v>103</v>
      </c>
      <c r="D8" s="75" t="s">
        <v>105</v>
      </c>
      <c r="E8" s="75" t="s">
        <v>104</v>
      </c>
      <c r="F8" s="12"/>
      <c r="G8" s="85" t="s">
        <v>30</v>
      </c>
      <c r="H8" s="75" t="s">
        <v>103</v>
      </c>
      <c r="I8" s="75" t="s">
        <v>105</v>
      </c>
      <c r="J8" s="86" t="s">
        <v>104</v>
      </c>
      <c r="K8" s="12"/>
      <c r="L8" s="75" t="s">
        <v>30</v>
      </c>
      <c r="M8" s="75" t="s">
        <v>103</v>
      </c>
      <c r="N8" s="75" t="s">
        <v>105</v>
      </c>
      <c r="O8" s="75" t="s">
        <v>104</v>
      </c>
      <c r="P8" s="96"/>
      <c r="Z8" s="28" t="s">
        <v>26</v>
      </c>
      <c r="AA8" s="29">
        <f>L9</f>
        <v>149</v>
      </c>
      <c r="AB8" s="73" t="e">
        <f>AA8/AA6*100</f>
        <v>#REF!</v>
      </c>
    </row>
    <row r="9" spans="1:29" s="24" customFormat="1" ht="21.75" customHeight="1">
      <c r="A9" s="15" t="s">
        <v>0</v>
      </c>
      <c r="B9" s="68">
        <f>G9+L9</f>
        <v>3823</v>
      </c>
      <c r="C9" s="68">
        <f t="shared" ref="C9:E21" si="0">H9+M9</f>
        <v>218</v>
      </c>
      <c r="D9" s="68">
        <f t="shared" si="0"/>
        <v>2787</v>
      </c>
      <c r="E9" s="68">
        <f t="shared" si="0"/>
        <v>818</v>
      </c>
      <c r="F9" s="69"/>
      <c r="G9" s="87">
        <f>SUM(H9:J9)</f>
        <v>3674</v>
      </c>
      <c r="H9" s="68">
        <f>SUM(H10:H21)</f>
        <v>213</v>
      </c>
      <c r="I9" s="68">
        <f>SUM(I10:I21)</f>
        <v>2691</v>
      </c>
      <c r="J9" s="88">
        <f>SUM(J10:J21)</f>
        <v>770</v>
      </c>
      <c r="K9" s="69"/>
      <c r="L9" s="68">
        <f>SUM(M9:O9)</f>
        <v>149</v>
      </c>
      <c r="M9" s="68">
        <f>SUM(M10:M21)</f>
        <v>5</v>
      </c>
      <c r="N9" s="68">
        <f t="shared" ref="N9:O9" si="1">SUM(N10:N21)</f>
        <v>96</v>
      </c>
      <c r="O9" s="68">
        <f t="shared" si="1"/>
        <v>48</v>
      </c>
      <c r="P9" s="13" t="s">
        <v>30</v>
      </c>
      <c r="Z9" s="26" t="s">
        <v>136</v>
      </c>
      <c r="AA9" s="29" t="e">
        <f>AA6-(AA7+AA8)</f>
        <v>#REF!</v>
      </c>
      <c r="AB9" s="73" t="e">
        <f>AA9/AA6*100</f>
        <v>#REF!</v>
      </c>
    </row>
    <row r="10" spans="1:29" s="26" customFormat="1" ht="21.75" customHeight="1">
      <c r="A10" s="25" t="s">
        <v>10</v>
      </c>
      <c r="B10" s="70">
        <f>G10+L10</f>
        <v>478</v>
      </c>
      <c r="C10" s="70">
        <f>H10+M10</f>
        <v>35</v>
      </c>
      <c r="D10" s="70">
        <f>I10+N10</f>
        <v>392</v>
      </c>
      <c r="E10" s="70">
        <f t="shared" si="0"/>
        <v>51</v>
      </c>
      <c r="F10" s="70"/>
      <c r="G10" s="89">
        <f>SUM(H10:J10)</f>
        <v>471</v>
      </c>
      <c r="H10" s="70">
        <v>35</v>
      </c>
      <c r="I10" s="70">
        <v>388</v>
      </c>
      <c r="J10" s="90">
        <v>48</v>
      </c>
      <c r="K10" s="70"/>
      <c r="L10" s="70">
        <f>SUM(M10:O10)</f>
        <v>7</v>
      </c>
      <c r="M10" s="70">
        <v>0</v>
      </c>
      <c r="N10" s="70">
        <v>4</v>
      </c>
      <c r="O10" s="70">
        <v>3</v>
      </c>
      <c r="P10" s="23" t="s">
        <v>11</v>
      </c>
      <c r="Q10" s="3"/>
      <c r="R10" s="74"/>
      <c r="Z10" s="22"/>
      <c r="AA10" s="22"/>
      <c r="AB10" s="22"/>
    </row>
    <row r="11" spans="1:29" s="26" customFormat="1" ht="21.75" customHeight="1">
      <c r="A11" s="25" t="s">
        <v>2</v>
      </c>
      <c r="B11" s="70">
        <f t="shared" ref="B11:B20" si="2">G11+L11</f>
        <v>747</v>
      </c>
      <c r="C11" s="70">
        <f t="shared" si="0"/>
        <v>25</v>
      </c>
      <c r="D11" s="70">
        <f t="shared" si="0"/>
        <v>535</v>
      </c>
      <c r="E11" s="70">
        <f t="shared" si="0"/>
        <v>187</v>
      </c>
      <c r="F11" s="70"/>
      <c r="G11" s="89">
        <f t="shared" ref="G11:G20" si="3">SUM(H11:J11)</f>
        <v>729</v>
      </c>
      <c r="H11" s="70">
        <v>24</v>
      </c>
      <c r="I11" s="70">
        <v>527</v>
      </c>
      <c r="J11" s="90">
        <v>178</v>
      </c>
      <c r="K11" s="70"/>
      <c r="L11" s="70">
        <f t="shared" ref="L11:L20" si="4">SUM(M11:O11)</f>
        <v>18</v>
      </c>
      <c r="M11" s="70">
        <v>1</v>
      </c>
      <c r="N11" s="70">
        <v>8</v>
      </c>
      <c r="O11" s="70">
        <v>9</v>
      </c>
      <c r="P11" s="23" t="s">
        <v>3</v>
      </c>
      <c r="Q11" s="18"/>
      <c r="R11" s="74"/>
      <c r="W11" s="17" t="s">
        <v>25</v>
      </c>
      <c r="X11" s="17" t="s">
        <v>26</v>
      </c>
      <c r="Y11" s="4"/>
      <c r="AC11" s="4"/>
    </row>
    <row r="12" spans="1:29" s="26" customFormat="1" ht="21.75" customHeight="1">
      <c r="A12" s="25" t="s">
        <v>14</v>
      </c>
      <c r="B12" s="70">
        <f t="shared" si="2"/>
        <v>166</v>
      </c>
      <c r="C12" s="70">
        <f t="shared" si="0"/>
        <v>9</v>
      </c>
      <c r="D12" s="70">
        <f t="shared" si="0"/>
        <v>124</v>
      </c>
      <c r="E12" s="70">
        <f t="shared" si="0"/>
        <v>33</v>
      </c>
      <c r="F12" s="70"/>
      <c r="G12" s="89">
        <f t="shared" si="3"/>
        <v>150</v>
      </c>
      <c r="H12" s="70">
        <v>9</v>
      </c>
      <c r="I12" s="70">
        <v>116</v>
      </c>
      <c r="J12" s="90">
        <v>25</v>
      </c>
      <c r="K12" s="70"/>
      <c r="L12" s="70">
        <f t="shared" si="4"/>
        <v>16</v>
      </c>
      <c r="M12" s="70">
        <v>0</v>
      </c>
      <c r="N12" s="70">
        <v>8</v>
      </c>
      <c r="O12" s="70">
        <v>8</v>
      </c>
      <c r="P12" s="23" t="s">
        <v>15</v>
      </c>
      <c r="Q12" s="18"/>
      <c r="R12" s="74"/>
      <c r="W12" s="24">
        <v>3811</v>
      </c>
      <c r="X12" s="24">
        <v>150</v>
      </c>
      <c r="Y12" s="10"/>
      <c r="Z12" s="6"/>
      <c r="AA12" s="17" t="s">
        <v>25</v>
      </c>
      <c r="AB12" s="17" t="s">
        <v>26</v>
      </c>
      <c r="AC12" s="10"/>
    </row>
    <row r="13" spans="1:29" s="26" customFormat="1" ht="21.75" customHeight="1">
      <c r="A13" s="25" t="s">
        <v>6</v>
      </c>
      <c r="B13" s="70">
        <f>G13+L13</f>
        <v>1657</v>
      </c>
      <c r="C13" s="70">
        <f t="shared" si="0"/>
        <v>105</v>
      </c>
      <c r="D13" s="70">
        <f t="shared" si="0"/>
        <v>1206</v>
      </c>
      <c r="E13" s="70">
        <f t="shared" si="0"/>
        <v>346</v>
      </c>
      <c r="F13" s="70"/>
      <c r="G13" s="89">
        <f>SUM(H13:J13)</f>
        <v>1580</v>
      </c>
      <c r="H13" s="70">
        <v>102</v>
      </c>
      <c r="I13" s="70">
        <v>1148</v>
      </c>
      <c r="J13" s="90">
        <v>330</v>
      </c>
      <c r="K13" s="70"/>
      <c r="L13" s="70">
        <f t="shared" si="4"/>
        <v>77</v>
      </c>
      <c r="M13" s="70">
        <v>3</v>
      </c>
      <c r="N13" s="70">
        <v>58</v>
      </c>
      <c r="O13" s="70">
        <v>16</v>
      </c>
      <c r="P13" s="23" t="s">
        <v>7</v>
      </c>
      <c r="Q13" s="18"/>
      <c r="R13" s="74"/>
      <c r="Y13" s="10"/>
      <c r="Z13" s="11" t="s">
        <v>106</v>
      </c>
      <c r="AA13" s="19">
        <f>H9</f>
        <v>213</v>
      </c>
      <c r="AB13" s="19">
        <f>M9</f>
        <v>5</v>
      </c>
      <c r="AC13" s="10"/>
    </row>
    <row r="14" spans="1:29" s="26" customFormat="1" ht="21.75" customHeight="1">
      <c r="A14" s="25" t="s">
        <v>31</v>
      </c>
      <c r="B14" s="70">
        <f t="shared" si="2"/>
        <v>182</v>
      </c>
      <c r="C14" s="70">
        <f t="shared" si="0"/>
        <v>5</v>
      </c>
      <c r="D14" s="70">
        <f t="shared" si="0"/>
        <v>112</v>
      </c>
      <c r="E14" s="70">
        <f t="shared" si="0"/>
        <v>65</v>
      </c>
      <c r="F14" s="70"/>
      <c r="G14" s="89">
        <f t="shared" si="3"/>
        <v>169</v>
      </c>
      <c r="H14" s="70">
        <v>5</v>
      </c>
      <c r="I14" s="70">
        <v>103</v>
      </c>
      <c r="J14" s="90">
        <v>61</v>
      </c>
      <c r="K14" s="70"/>
      <c r="L14" s="70">
        <f t="shared" si="4"/>
        <v>13</v>
      </c>
      <c r="M14" s="70">
        <v>0</v>
      </c>
      <c r="N14" s="70">
        <v>9</v>
      </c>
      <c r="O14" s="70">
        <v>4</v>
      </c>
      <c r="P14" s="23" t="s">
        <v>32</v>
      </c>
      <c r="Q14" s="18"/>
      <c r="R14" s="74"/>
      <c r="Y14" s="2"/>
      <c r="Z14" s="11" t="s">
        <v>107</v>
      </c>
      <c r="AA14" s="19">
        <f>I9</f>
        <v>2691</v>
      </c>
      <c r="AB14" s="19">
        <f>N9</f>
        <v>96</v>
      </c>
      <c r="AC14" s="2"/>
    </row>
    <row r="15" spans="1:29" s="26" customFormat="1" ht="21.75" customHeight="1">
      <c r="A15" s="25" t="s">
        <v>4</v>
      </c>
      <c r="B15" s="70">
        <f t="shared" si="2"/>
        <v>2</v>
      </c>
      <c r="C15" s="70">
        <f t="shared" si="0"/>
        <v>0</v>
      </c>
      <c r="D15" s="70">
        <f t="shared" si="0"/>
        <v>2</v>
      </c>
      <c r="E15" s="70">
        <f t="shared" si="0"/>
        <v>0</v>
      </c>
      <c r="F15" s="70"/>
      <c r="G15" s="89">
        <f t="shared" si="3"/>
        <v>2</v>
      </c>
      <c r="H15" s="70">
        <v>0</v>
      </c>
      <c r="I15" s="70">
        <v>2</v>
      </c>
      <c r="J15" s="90">
        <v>0</v>
      </c>
      <c r="K15" s="70"/>
      <c r="L15" s="70">
        <f t="shared" si="4"/>
        <v>0</v>
      </c>
      <c r="M15" s="70">
        <v>0</v>
      </c>
      <c r="N15" s="70">
        <v>0</v>
      </c>
      <c r="O15" s="70">
        <v>0</v>
      </c>
      <c r="P15" s="23" t="s">
        <v>5</v>
      </c>
      <c r="Q15" s="18"/>
      <c r="R15" s="74"/>
      <c r="W15" s="29"/>
      <c r="X15" s="29"/>
      <c r="Z15" s="4" t="s">
        <v>108</v>
      </c>
      <c r="AA15" s="19">
        <f>J9</f>
        <v>770</v>
      </c>
      <c r="AB15" s="19">
        <f>O9</f>
        <v>48</v>
      </c>
    </row>
    <row r="16" spans="1:29" s="26" customFormat="1" ht="21.75" customHeight="1">
      <c r="A16" s="25" t="s">
        <v>17</v>
      </c>
      <c r="B16" s="70">
        <f t="shared" si="2"/>
        <v>22</v>
      </c>
      <c r="C16" s="70">
        <f t="shared" si="0"/>
        <v>1</v>
      </c>
      <c r="D16" s="70">
        <f t="shared" si="0"/>
        <v>11</v>
      </c>
      <c r="E16" s="70">
        <f t="shared" si="0"/>
        <v>10</v>
      </c>
      <c r="F16" s="70"/>
      <c r="G16" s="89">
        <f t="shared" si="3"/>
        <v>18</v>
      </c>
      <c r="H16" s="70">
        <v>1</v>
      </c>
      <c r="I16" s="70">
        <v>9</v>
      </c>
      <c r="J16" s="90">
        <v>8</v>
      </c>
      <c r="K16" s="70"/>
      <c r="L16" s="70">
        <f t="shared" si="4"/>
        <v>4</v>
      </c>
      <c r="M16" s="70">
        <v>0</v>
      </c>
      <c r="N16" s="70">
        <v>2</v>
      </c>
      <c r="O16" s="70">
        <v>2</v>
      </c>
      <c r="P16" s="23" t="s">
        <v>18</v>
      </c>
      <c r="Q16" s="18"/>
      <c r="R16" s="74"/>
      <c r="Z16" s="26" t="s">
        <v>136</v>
      </c>
      <c r="AA16" s="19" t="e">
        <f>#REF!-SUM('8.15'!AA13:AA15)</f>
        <v>#REF!</v>
      </c>
      <c r="AB16" s="19" t="e">
        <f>#REF!-SUM('8.15'!AB13:AB15)</f>
        <v>#REF!</v>
      </c>
    </row>
    <row r="17" spans="1:28" s="26" customFormat="1" ht="21.75" customHeight="1">
      <c r="A17" s="25" t="s">
        <v>33</v>
      </c>
      <c r="B17" s="70">
        <f t="shared" si="2"/>
        <v>5</v>
      </c>
      <c r="C17" s="70">
        <f t="shared" si="0"/>
        <v>0</v>
      </c>
      <c r="D17" s="70">
        <f t="shared" si="0"/>
        <v>1</v>
      </c>
      <c r="E17" s="70">
        <f t="shared" si="0"/>
        <v>4</v>
      </c>
      <c r="F17" s="70"/>
      <c r="G17" s="89">
        <f t="shared" si="3"/>
        <v>5</v>
      </c>
      <c r="H17" s="70">
        <v>0</v>
      </c>
      <c r="I17" s="70">
        <v>1</v>
      </c>
      <c r="J17" s="90">
        <v>4</v>
      </c>
      <c r="K17" s="70"/>
      <c r="L17" s="70">
        <f t="shared" si="4"/>
        <v>0</v>
      </c>
      <c r="M17" s="70">
        <v>0</v>
      </c>
      <c r="N17" s="70">
        <v>0</v>
      </c>
      <c r="O17" s="70">
        <v>0</v>
      </c>
      <c r="P17" s="23" t="s">
        <v>19</v>
      </c>
      <c r="Q17" s="18"/>
      <c r="R17" s="74"/>
      <c r="Z17" s="11"/>
      <c r="AA17" s="19"/>
      <c r="AB17" s="19"/>
    </row>
    <row r="18" spans="1:28" s="26" customFormat="1" ht="21.75" customHeight="1">
      <c r="A18" s="25" t="s">
        <v>12</v>
      </c>
      <c r="B18" s="70">
        <f t="shared" si="2"/>
        <v>73</v>
      </c>
      <c r="C18" s="70">
        <f t="shared" si="0"/>
        <v>11</v>
      </c>
      <c r="D18" s="70">
        <f t="shared" si="0"/>
        <v>54</v>
      </c>
      <c r="E18" s="70">
        <f t="shared" si="0"/>
        <v>8</v>
      </c>
      <c r="F18" s="70"/>
      <c r="G18" s="89">
        <f t="shared" si="3"/>
        <v>68</v>
      </c>
      <c r="H18" s="70">
        <v>11</v>
      </c>
      <c r="I18" s="70">
        <v>50</v>
      </c>
      <c r="J18" s="90">
        <v>7</v>
      </c>
      <c r="K18" s="70"/>
      <c r="L18" s="70">
        <f t="shared" si="4"/>
        <v>5</v>
      </c>
      <c r="M18" s="70">
        <v>0</v>
      </c>
      <c r="N18" s="70">
        <v>4</v>
      </c>
      <c r="O18" s="70">
        <v>1</v>
      </c>
      <c r="P18" s="23" t="s">
        <v>13</v>
      </c>
      <c r="Q18" s="18"/>
      <c r="R18" s="74"/>
    </row>
    <row r="19" spans="1:28" s="26" customFormat="1" ht="21.75" customHeight="1">
      <c r="A19" s="25" t="s">
        <v>34</v>
      </c>
      <c r="B19" s="70">
        <f t="shared" si="2"/>
        <v>25</v>
      </c>
      <c r="C19" s="70">
        <f t="shared" si="0"/>
        <v>1</v>
      </c>
      <c r="D19" s="70">
        <f t="shared" si="0"/>
        <v>16</v>
      </c>
      <c r="E19" s="70">
        <f t="shared" si="0"/>
        <v>8</v>
      </c>
      <c r="F19" s="70"/>
      <c r="G19" s="89">
        <f t="shared" si="3"/>
        <v>24</v>
      </c>
      <c r="H19" s="70">
        <v>1</v>
      </c>
      <c r="I19" s="70">
        <v>16</v>
      </c>
      <c r="J19" s="90">
        <v>7</v>
      </c>
      <c r="K19" s="70"/>
      <c r="L19" s="70">
        <f t="shared" si="4"/>
        <v>1</v>
      </c>
      <c r="M19" s="70">
        <v>0</v>
      </c>
      <c r="N19" s="70">
        <v>0</v>
      </c>
      <c r="O19" s="70">
        <v>1</v>
      </c>
      <c r="P19" s="23" t="s">
        <v>16</v>
      </c>
      <c r="Q19" s="18"/>
      <c r="R19" s="74"/>
      <c r="S19" s="25"/>
    </row>
    <row r="20" spans="1:28" s="26" customFormat="1" ht="21.75" customHeight="1">
      <c r="A20" s="25" t="s">
        <v>8</v>
      </c>
      <c r="B20" s="70">
        <f t="shared" si="2"/>
        <v>0</v>
      </c>
      <c r="C20" s="70">
        <f t="shared" si="0"/>
        <v>0</v>
      </c>
      <c r="D20" s="70">
        <f t="shared" si="0"/>
        <v>0</v>
      </c>
      <c r="E20" s="70">
        <f t="shared" si="0"/>
        <v>0</v>
      </c>
      <c r="F20" s="70"/>
      <c r="G20" s="89">
        <f t="shared" si="3"/>
        <v>0</v>
      </c>
      <c r="H20" s="70">
        <v>0</v>
      </c>
      <c r="I20" s="70">
        <v>0</v>
      </c>
      <c r="J20" s="90">
        <v>0</v>
      </c>
      <c r="K20" s="70"/>
      <c r="L20" s="70">
        <f t="shared" si="4"/>
        <v>0</v>
      </c>
      <c r="M20" s="70">
        <v>0</v>
      </c>
      <c r="N20" s="70">
        <v>0</v>
      </c>
      <c r="O20" s="70">
        <v>0</v>
      </c>
      <c r="P20" s="23" t="s">
        <v>9</v>
      </c>
      <c r="Q20" s="18"/>
      <c r="R20" s="74"/>
      <c r="S20" s="25"/>
    </row>
    <row r="21" spans="1:28" s="26" customFormat="1" ht="21.75" customHeight="1">
      <c r="A21" s="25" t="s">
        <v>20</v>
      </c>
      <c r="B21" s="70">
        <f>G21+L21</f>
        <v>466</v>
      </c>
      <c r="C21" s="70">
        <f>H21+M21</f>
        <v>26</v>
      </c>
      <c r="D21" s="70">
        <f t="shared" si="0"/>
        <v>334</v>
      </c>
      <c r="E21" s="70">
        <f t="shared" si="0"/>
        <v>106</v>
      </c>
      <c r="F21" s="70"/>
      <c r="G21" s="89">
        <f>SUM(H21:J21)</f>
        <v>458</v>
      </c>
      <c r="H21" s="70">
        <f>SUM(H22:H34)</f>
        <v>25</v>
      </c>
      <c r="I21" s="70">
        <f>SUM(I22:I34)</f>
        <v>331</v>
      </c>
      <c r="J21" s="90">
        <f>SUM(J22:J34)</f>
        <v>102</v>
      </c>
      <c r="K21" s="70"/>
      <c r="L21" s="70">
        <v>8</v>
      </c>
      <c r="M21" s="70">
        <f>SUM(M22:M34)</f>
        <v>1</v>
      </c>
      <c r="N21" s="70">
        <f>SUM(N22:N34)</f>
        <v>3</v>
      </c>
      <c r="O21" s="70">
        <f>SUM(O22:O34)</f>
        <v>4</v>
      </c>
      <c r="P21" s="23" t="s">
        <v>21</v>
      </c>
      <c r="Q21" s="18"/>
      <c r="R21" s="74"/>
      <c r="S21" s="25"/>
    </row>
    <row r="22" spans="1:28" ht="18.75" customHeight="1">
      <c r="A22" s="80" t="s">
        <v>99</v>
      </c>
      <c r="B22" s="70">
        <f t="shared" ref="B22:B34" si="5">G22+L22</f>
        <v>11</v>
      </c>
      <c r="C22" s="70">
        <f t="shared" ref="C22:C34" si="6">H22+M22</f>
        <v>0</v>
      </c>
      <c r="D22" s="70">
        <f t="shared" ref="D22:D34" si="7">I22+N22</f>
        <v>8</v>
      </c>
      <c r="E22" s="70">
        <f t="shared" ref="E22:E34" si="8">J22+O22</f>
        <v>3</v>
      </c>
      <c r="F22" s="70"/>
      <c r="G22" s="89">
        <f t="shared" ref="G22:G34" si="9">SUM(H22:J22)</f>
        <v>11</v>
      </c>
      <c r="H22" s="70">
        <v>0</v>
      </c>
      <c r="I22" s="70">
        <v>8</v>
      </c>
      <c r="J22" s="90">
        <v>3</v>
      </c>
      <c r="K22" s="70"/>
      <c r="L22" s="70">
        <v>0</v>
      </c>
      <c r="M22" s="70">
        <v>0</v>
      </c>
      <c r="N22" s="70">
        <v>0</v>
      </c>
      <c r="O22" s="70">
        <v>0</v>
      </c>
      <c r="P22" s="65" t="s">
        <v>100</v>
      </c>
      <c r="Q22" s="18"/>
      <c r="R22" s="6"/>
      <c r="S22" s="6"/>
    </row>
    <row r="23" spans="1:28" ht="18.75" customHeight="1">
      <c r="A23" s="80" t="s">
        <v>120</v>
      </c>
      <c r="B23" s="70">
        <f t="shared" si="5"/>
        <v>13</v>
      </c>
      <c r="C23" s="70">
        <f t="shared" si="6"/>
        <v>0</v>
      </c>
      <c r="D23" s="70">
        <f t="shared" si="7"/>
        <v>10</v>
      </c>
      <c r="E23" s="70">
        <f t="shared" si="8"/>
        <v>3</v>
      </c>
      <c r="F23" s="70"/>
      <c r="G23" s="89">
        <f t="shared" si="9"/>
        <v>10</v>
      </c>
      <c r="H23" s="70">
        <v>0</v>
      </c>
      <c r="I23" s="70">
        <v>8</v>
      </c>
      <c r="J23" s="90">
        <v>2</v>
      </c>
      <c r="K23" s="70"/>
      <c r="L23" s="70">
        <v>3</v>
      </c>
      <c r="M23" s="70">
        <v>0</v>
      </c>
      <c r="N23" s="70">
        <v>2</v>
      </c>
      <c r="O23" s="70">
        <v>1</v>
      </c>
      <c r="P23" s="65" t="s">
        <v>101</v>
      </c>
      <c r="Q23" s="18"/>
      <c r="R23" s="6"/>
      <c r="S23" s="6"/>
      <c r="Z23" s="4">
        <v>3961</v>
      </c>
      <c r="AA23" s="4">
        <v>3811</v>
      </c>
      <c r="AB23" s="4">
        <v>150</v>
      </c>
    </row>
    <row r="24" spans="1:28" ht="18.75" customHeight="1">
      <c r="A24" s="80" t="s">
        <v>123</v>
      </c>
      <c r="B24" s="70">
        <f t="shared" si="5"/>
        <v>0</v>
      </c>
      <c r="C24" s="70">
        <f t="shared" si="6"/>
        <v>0</v>
      </c>
      <c r="D24" s="70">
        <f t="shared" si="7"/>
        <v>0</v>
      </c>
      <c r="E24" s="70">
        <f t="shared" si="8"/>
        <v>0</v>
      </c>
      <c r="F24" s="70"/>
      <c r="G24" s="89">
        <f t="shared" si="9"/>
        <v>0</v>
      </c>
      <c r="H24" s="70">
        <v>0</v>
      </c>
      <c r="I24" s="70">
        <v>0</v>
      </c>
      <c r="J24" s="90">
        <v>0</v>
      </c>
      <c r="K24" s="70"/>
      <c r="L24" s="70">
        <v>0</v>
      </c>
      <c r="M24" s="70">
        <v>0</v>
      </c>
      <c r="N24" s="70">
        <v>0</v>
      </c>
      <c r="O24" s="70">
        <v>0</v>
      </c>
      <c r="P24" s="65" t="s">
        <v>124</v>
      </c>
      <c r="Q24" s="18"/>
      <c r="R24" s="6"/>
      <c r="S24" s="6"/>
    </row>
    <row r="25" spans="1:28" ht="18.75" customHeight="1">
      <c r="A25" s="80" t="s">
        <v>117</v>
      </c>
      <c r="B25" s="70">
        <f t="shared" si="5"/>
        <v>3</v>
      </c>
      <c r="C25" s="70">
        <f t="shared" si="6"/>
        <v>1</v>
      </c>
      <c r="D25" s="70">
        <f t="shared" si="7"/>
        <v>1</v>
      </c>
      <c r="E25" s="70">
        <f t="shared" si="8"/>
        <v>1</v>
      </c>
      <c r="F25" s="70"/>
      <c r="G25" s="89">
        <f t="shared" si="9"/>
        <v>2</v>
      </c>
      <c r="H25" s="70">
        <v>1</v>
      </c>
      <c r="I25" s="70">
        <v>1</v>
      </c>
      <c r="J25" s="90">
        <v>0</v>
      </c>
      <c r="K25" s="70"/>
      <c r="L25" s="70">
        <v>1</v>
      </c>
      <c r="M25" s="70">
        <v>0</v>
      </c>
      <c r="N25" s="70">
        <v>0</v>
      </c>
      <c r="O25" s="70">
        <v>1</v>
      </c>
      <c r="P25" s="65" t="s">
        <v>125</v>
      </c>
      <c r="Q25" s="18"/>
      <c r="R25" s="6"/>
      <c r="S25" s="6"/>
      <c r="AA25" s="76">
        <f>AA23-AA13-AA14-AA15</f>
        <v>137</v>
      </c>
      <c r="AB25" s="76">
        <f>AB23-AB13-AB14-AB15</f>
        <v>1</v>
      </c>
    </row>
    <row r="26" spans="1:28" ht="18.75" customHeight="1">
      <c r="A26" s="80" t="s">
        <v>115</v>
      </c>
      <c r="B26" s="70">
        <f t="shared" si="5"/>
        <v>3</v>
      </c>
      <c r="C26" s="70">
        <f t="shared" si="6"/>
        <v>0</v>
      </c>
      <c r="D26" s="70">
        <f t="shared" si="7"/>
        <v>1</v>
      </c>
      <c r="E26" s="70">
        <f t="shared" si="8"/>
        <v>2</v>
      </c>
      <c r="F26" s="70"/>
      <c r="G26" s="89">
        <f t="shared" si="9"/>
        <v>3</v>
      </c>
      <c r="H26" s="70">
        <v>0</v>
      </c>
      <c r="I26" s="70">
        <v>1</v>
      </c>
      <c r="J26" s="90">
        <v>2</v>
      </c>
      <c r="K26" s="70"/>
      <c r="L26" s="70">
        <v>0</v>
      </c>
      <c r="M26" s="70">
        <v>0</v>
      </c>
      <c r="N26" s="70">
        <v>0</v>
      </c>
      <c r="O26" s="70">
        <v>0</v>
      </c>
      <c r="P26" s="65" t="s">
        <v>133</v>
      </c>
      <c r="Q26" s="18"/>
      <c r="R26" s="6"/>
      <c r="S26" s="6"/>
    </row>
    <row r="27" spans="1:28" ht="18.75" customHeight="1">
      <c r="A27" s="80" t="s">
        <v>112</v>
      </c>
      <c r="B27" s="70">
        <f t="shared" si="5"/>
        <v>8</v>
      </c>
      <c r="C27" s="70">
        <f t="shared" si="6"/>
        <v>0</v>
      </c>
      <c r="D27" s="70">
        <f t="shared" si="7"/>
        <v>3</v>
      </c>
      <c r="E27" s="70">
        <f t="shared" si="8"/>
        <v>5</v>
      </c>
      <c r="F27" s="70"/>
      <c r="G27" s="89">
        <f t="shared" si="9"/>
        <v>8</v>
      </c>
      <c r="H27" s="70">
        <v>0</v>
      </c>
      <c r="I27" s="70">
        <v>3</v>
      </c>
      <c r="J27" s="90">
        <v>5</v>
      </c>
      <c r="K27" s="70"/>
      <c r="L27" s="70">
        <v>0</v>
      </c>
      <c r="M27" s="70">
        <v>0</v>
      </c>
      <c r="N27" s="70">
        <v>0</v>
      </c>
      <c r="O27" s="70">
        <v>0</v>
      </c>
      <c r="P27" s="65" t="s">
        <v>126</v>
      </c>
      <c r="Q27" s="18"/>
      <c r="R27" s="6"/>
      <c r="S27" s="6"/>
    </row>
    <row r="28" spans="1:28" ht="18.75" customHeight="1">
      <c r="A28" s="80" t="s">
        <v>116</v>
      </c>
      <c r="B28" s="70">
        <f t="shared" si="5"/>
        <v>53</v>
      </c>
      <c r="C28" s="70">
        <f t="shared" si="6"/>
        <v>6</v>
      </c>
      <c r="D28" s="70">
        <f t="shared" si="7"/>
        <v>37</v>
      </c>
      <c r="E28" s="70">
        <f t="shared" si="8"/>
        <v>10</v>
      </c>
      <c r="F28" s="70"/>
      <c r="G28" s="89">
        <f t="shared" si="9"/>
        <v>52</v>
      </c>
      <c r="H28" s="70">
        <v>6</v>
      </c>
      <c r="I28" s="70">
        <v>37</v>
      </c>
      <c r="J28" s="90">
        <v>9</v>
      </c>
      <c r="K28" s="70"/>
      <c r="L28" s="70">
        <v>1</v>
      </c>
      <c r="M28" s="70">
        <v>0</v>
      </c>
      <c r="N28" s="70">
        <v>0</v>
      </c>
      <c r="O28" s="70">
        <v>1</v>
      </c>
      <c r="P28" s="65" t="s">
        <v>127</v>
      </c>
      <c r="Q28" s="18"/>
      <c r="R28" s="6"/>
      <c r="S28" s="6"/>
    </row>
    <row r="29" spans="1:28" ht="18.75" customHeight="1">
      <c r="A29" s="80" t="s">
        <v>118</v>
      </c>
      <c r="B29" s="70">
        <f t="shared" si="5"/>
        <v>7</v>
      </c>
      <c r="C29" s="70">
        <f t="shared" si="6"/>
        <v>0</v>
      </c>
      <c r="D29" s="70">
        <f t="shared" si="7"/>
        <v>5</v>
      </c>
      <c r="E29" s="70">
        <f t="shared" si="8"/>
        <v>2</v>
      </c>
      <c r="F29" s="70"/>
      <c r="G29" s="89">
        <f t="shared" si="9"/>
        <v>7</v>
      </c>
      <c r="H29" s="70">
        <v>0</v>
      </c>
      <c r="I29" s="70">
        <v>5</v>
      </c>
      <c r="J29" s="90">
        <v>2</v>
      </c>
      <c r="K29" s="70"/>
      <c r="L29" s="70">
        <v>0</v>
      </c>
      <c r="M29" s="70">
        <v>0</v>
      </c>
      <c r="N29" s="70">
        <v>0</v>
      </c>
      <c r="O29" s="70">
        <v>0</v>
      </c>
      <c r="P29" s="65" t="s">
        <v>128</v>
      </c>
      <c r="Q29" s="18"/>
      <c r="R29" s="6"/>
      <c r="S29" s="6"/>
    </row>
    <row r="30" spans="1:28" ht="18.75" customHeight="1">
      <c r="A30" s="80" t="s">
        <v>119</v>
      </c>
      <c r="B30" s="70">
        <f t="shared" si="5"/>
        <v>5</v>
      </c>
      <c r="C30" s="70">
        <f t="shared" si="6"/>
        <v>0</v>
      </c>
      <c r="D30" s="70">
        <f t="shared" si="7"/>
        <v>5</v>
      </c>
      <c r="E30" s="70">
        <f t="shared" si="8"/>
        <v>0</v>
      </c>
      <c r="F30" s="70"/>
      <c r="G30" s="89">
        <f t="shared" si="9"/>
        <v>5</v>
      </c>
      <c r="H30" s="70">
        <v>0</v>
      </c>
      <c r="I30" s="70">
        <v>5</v>
      </c>
      <c r="J30" s="90">
        <v>0</v>
      </c>
      <c r="K30" s="70"/>
      <c r="L30" s="70">
        <v>0</v>
      </c>
      <c r="M30" s="70">
        <v>0</v>
      </c>
      <c r="N30" s="70">
        <v>0</v>
      </c>
      <c r="O30" s="70">
        <v>0</v>
      </c>
      <c r="P30" s="65" t="s">
        <v>129</v>
      </c>
      <c r="Q30" s="18"/>
      <c r="R30" s="6"/>
      <c r="S30" s="6"/>
    </row>
    <row r="31" spans="1:28" ht="18.75" customHeight="1">
      <c r="A31" s="80" t="s">
        <v>111</v>
      </c>
      <c r="B31" s="70">
        <f t="shared" si="5"/>
        <v>64</v>
      </c>
      <c r="C31" s="70">
        <f t="shared" si="6"/>
        <v>2</v>
      </c>
      <c r="D31" s="70">
        <f t="shared" si="7"/>
        <v>48</v>
      </c>
      <c r="E31" s="70">
        <f t="shared" si="8"/>
        <v>14</v>
      </c>
      <c r="F31" s="70"/>
      <c r="G31" s="89">
        <f t="shared" si="9"/>
        <v>63</v>
      </c>
      <c r="H31" s="70">
        <v>2</v>
      </c>
      <c r="I31" s="70">
        <v>47</v>
      </c>
      <c r="J31" s="90">
        <v>14</v>
      </c>
      <c r="K31" s="70"/>
      <c r="L31" s="70">
        <v>1</v>
      </c>
      <c r="M31" s="70">
        <v>0</v>
      </c>
      <c r="N31" s="70">
        <v>1</v>
      </c>
      <c r="O31" s="70">
        <v>0</v>
      </c>
      <c r="P31" s="65" t="s">
        <v>130</v>
      </c>
      <c r="Q31" s="18"/>
      <c r="R31" s="6"/>
      <c r="S31" s="6"/>
    </row>
    <row r="32" spans="1:28" ht="29.25" customHeight="1">
      <c r="A32" s="82" t="s">
        <v>114</v>
      </c>
      <c r="B32" s="70">
        <f t="shared" si="5"/>
        <v>38</v>
      </c>
      <c r="C32" s="70">
        <f t="shared" si="6"/>
        <v>5</v>
      </c>
      <c r="D32" s="70">
        <f t="shared" si="7"/>
        <v>31</v>
      </c>
      <c r="E32" s="70">
        <f t="shared" si="8"/>
        <v>2</v>
      </c>
      <c r="F32" s="70"/>
      <c r="G32" s="89">
        <f t="shared" si="9"/>
        <v>38</v>
      </c>
      <c r="H32" s="70">
        <v>5</v>
      </c>
      <c r="I32" s="70">
        <v>31</v>
      </c>
      <c r="J32" s="90">
        <v>2</v>
      </c>
      <c r="K32" s="70"/>
      <c r="L32" s="70">
        <v>0</v>
      </c>
      <c r="M32" s="70">
        <v>0</v>
      </c>
      <c r="N32" s="70">
        <v>0</v>
      </c>
      <c r="O32" s="70">
        <v>0</v>
      </c>
      <c r="P32" s="65" t="s">
        <v>131</v>
      </c>
      <c r="Q32" s="18"/>
      <c r="R32" s="6"/>
      <c r="S32" s="6"/>
    </row>
    <row r="33" spans="1:19" ht="18.75" customHeight="1">
      <c r="A33" s="80" t="s">
        <v>113</v>
      </c>
      <c r="B33" s="70">
        <f t="shared" si="5"/>
        <v>9</v>
      </c>
      <c r="C33" s="70">
        <f t="shared" si="6"/>
        <v>0</v>
      </c>
      <c r="D33" s="70">
        <f t="shared" si="7"/>
        <v>9</v>
      </c>
      <c r="E33" s="70">
        <f t="shared" si="8"/>
        <v>0</v>
      </c>
      <c r="F33" s="70"/>
      <c r="G33" s="89">
        <f t="shared" si="9"/>
        <v>9</v>
      </c>
      <c r="H33" s="70">
        <v>0</v>
      </c>
      <c r="I33" s="70">
        <v>9</v>
      </c>
      <c r="J33" s="90">
        <v>0</v>
      </c>
      <c r="K33" s="70"/>
      <c r="L33" s="70">
        <v>0</v>
      </c>
      <c r="M33" s="70">
        <v>0</v>
      </c>
      <c r="N33" s="70">
        <v>0</v>
      </c>
      <c r="O33" s="70">
        <v>0</v>
      </c>
      <c r="P33" s="65" t="s">
        <v>132</v>
      </c>
      <c r="Q33" s="18"/>
      <c r="R33" s="6"/>
      <c r="S33" s="6"/>
    </row>
    <row r="34" spans="1:19" ht="18.75" customHeight="1">
      <c r="A34" s="81" t="s">
        <v>20</v>
      </c>
      <c r="B34" s="71">
        <f t="shared" si="5"/>
        <v>252</v>
      </c>
      <c r="C34" s="71">
        <f t="shared" si="6"/>
        <v>12</v>
      </c>
      <c r="D34" s="71">
        <f t="shared" si="7"/>
        <v>176</v>
      </c>
      <c r="E34" s="71">
        <f t="shared" si="8"/>
        <v>64</v>
      </c>
      <c r="F34" s="71"/>
      <c r="G34" s="91">
        <f t="shared" si="9"/>
        <v>250</v>
      </c>
      <c r="H34" s="71">
        <v>11</v>
      </c>
      <c r="I34" s="71">
        <v>176</v>
      </c>
      <c r="J34" s="92">
        <v>63</v>
      </c>
      <c r="K34" s="71"/>
      <c r="L34" s="71">
        <v>2</v>
      </c>
      <c r="M34" s="71">
        <v>1</v>
      </c>
      <c r="N34" s="71">
        <v>0</v>
      </c>
      <c r="O34" s="71">
        <v>1</v>
      </c>
      <c r="P34" s="93" t="s">
        <v>21</v>
      </c>
      <c r="Q34" s="18"/>
      <c r="R34" s="6"/>
      <c r="S34" s="6"/>
    </row>
    <row r="35" spans="1:19" ht="18.75" customHeight="1">
      <c r="A35" s="79" t="s">
        <v>134</v>
      </c>
      <c r="B35" s="70"/>
      <c r="C35" s="70"/>
      <c r="D35" s="70"/>
      <c r="E35" s="70"/>
      <c r="F35" s="70"/>
      <c r="G35" s="70"/>
      <c r="N35" s="66"/>
      <c r="O35" s="66"/>
      <c r="P35" s="66" t="s">
        <v>135</v>
      </c>
      <c r="Q35" s="18"/>
      <c r="R35" s="6"/>
      <c r="S35" s="6"/>
    </row>
    <row r="36" spans="1:19" ht="18.75" customHeight="1">
      <c r="A36" s="5" t="s">
        <v>22</v>
      </c>
      <c r="N36" s="72"/>
      <c r="O36" s="72"/>
      <c r="P36" s="66" t="s">
        <v>76</v>
      </c>
      <c r="Q36" s="18"/>
      <c r="R36" s="6"/>
      <c r="S36" s="6"/>
    </row>
    <row r="37" spans="1:19" ht="18.75" customHeight="1">
      <c r="N37" s="72"/>
      <c r="O37" s="72"/>
      <c r="P37" s="72"/>
      <c r="Q37" s="18"/>
      <c r="R37" s="6"/>
      <c r="S37" s="6"/>
    </row>
    <row r="38" spans="1:19" ht="18.75" customHeight="1">
      <c r="A38" s="5"/>
      <c r="N38" s="72"/>
      <c r="O38" s="72"/>
      <c r="P38" s="72"/>
      <c r="Q38" s="18"/>
      <c r="R38" s="6"/>
      <c r="S38" s="6"/>
    </row>
    <row r="39" spans="1:19" ht="18.75" customHeight="1">
      <c r="A39" s="5"/>
      <c r="N39" s="72"/>
      <c r="O39" s="72"/>
      <c r="P39" s="72"/>
      <c r="Q39" s="18"/>
      <c r="R39" s="6"/>
      <c r="S39" s="6"/>
    </row>
    <row r="40" spans="1:19" ht="18.75" customHeight="1">
      <c r="A40" s="5"/>
      <c r="N40" s="72"/>
      <c r="O40" s="72"/>
      <c r="P40" s="72"/>
      <c r="Q40" s="18"/>
      <c r="R40" s="6"/>
      <c r="S40" s="6"/>
    </row>
    <row r="41" spans="1:19" ht="18.75" customHeight="1">
      <c r="Q41" s="18"/>
      <c r="R41" s="6"/>
      <c r="S41" s="6"/>
    </row>
    <row r="42" spans="1:19" ht="18.75" customHeight="1">
      <c r="A42" s="5"/>
      <c r="N42" s="72"/>
      <c r="O42" s="72"/>
      <c r="P42" s="72"/>
      <c r="Q42" s="18"/>
      <c r="R42" s="6"/>
      <c r="S42" s="6"/>
    </row>
    <row r="43" spans="1:19" ht="18.75" customHeight="1">
      <c r="A43" s="5"/>
      <c r="N43" s="72"/>
      <c r="O43" s="72"/>
      <c r="P43" s="72"/>
      <c r="Q43" s="18"/>
      <c r="R43" s="6"/>
      <c r="S43" s="6"/>
    </row>
    <row r="44" spans="1:19" ht="18.75" customHeight="1">
      <c r="A44" s="5"/>
      <c r="N44" s="72"/>
      <c r="O44" s="72"/>
      <c r="P44" s="72"/>
      <c r="Q44" s="18"/>
      <c r="R44" s="6"/>
      <c r="S44" s="6"/>
    </row>
    <row r="45" spans="1:19" ht="18.75" customHeight="1">
      <c r="A45" s="5"/>
      <c r="N45" s="72"/>
      <c r="O45" s="72"/>
      <c r="P45" s="72"/>
      <c r="Q45" s="18"/>
      <c r="R45" s="6"/>
      <c r="S45" s="6"/>
    </row>
    <row r="46" spans="1:19" ht="18.75" customHeight="1">
      <c r="Q46" s="18"/>
      <c r="R46" s="6"/>
      <c r="S46" s="6"/>
    </row>
    <row r="47" spans="1:19" ht="18.75">
      <c r="Q47" s="18"/>
      <c r="R47" s="6"/>
      <c r="S47" s="6"/>
    </row>
    <row r="48" spans="1:19" ht="9" customHeight="1"/>
    <row r="49" spans="17:28" ht="4.5" customHeight="1">
      <c r="Q49" s="18"/>
    </row>
    <row r="50" spans="17:28" ht="18.75" hidden="1">
      <c r="Q50" s="18"/>
    </row>
    <row r="51" spans="17:28" ht="9" customHeight="1"/>
    <row r="52" spans="17:28" ht="18.75">
      <c r="Q52" s="18"/>
      <c r="Z52" s="11"/>
      <c r="AA52" s="19"/>
      <c r="AB52" s="19"/>
    </row>
    <row r="53" spans="17:28" ht="18.75">
      <c r="Q53" s="18"/>
      <c r="Z53" s="11"/>
      <c r="AA53" s="19"/>
      <c r="AB53" s="19"/>
    </row>
    <row r="74" spans="1:16">
      <c r="D74" s="16"/>
      <c r="E74" s="16"/>
    </row>
    <row r="76" spans="1:16">
      <c r="C76" s="7"/>
      <c r="D76" s="7"/>
    </row>
    <row r="80" spans="1:16">
      <c r="A80" s="6"/>
      <c r="B80" s="6"/>
      <c r="C80" s="11"/>
      <c r="D80" s="11"/>
      <c r="E80" s="11"/>
      <c r="F80" s="6"/>
      <c r="G80" s="6"/>
      <c r="H80" s="11"/>
      <c r="I80" s="11"/>
      <c r="J80" s="11"/>
      <c r="K80" s="6"/>
      <c r="L80" s="6"/>
      <c r="M80" s="6"/>
      <c r="N80" s="6"/>
      <c r="O80" s="6"/>
      <c r="P80" s="6"/>
    </row>
    <row r="81" spans="1:16" s="6" customFormat="1"/>
    <row r="82" spans="1:16" s="6" customFormat="1">
      <c r="C82" s="19"/>
      <c r="D82" s="19"/>
      <c r="E82" s="19"/>
      <c r="F82" s="19"/>
      <c r="H82" s="19"/>
      <c r="I82" s="19"/>
      <c r="J82" s="19"/>
    </row>
    <row r="83" spans="1:16" s="6" customFormat="1"/>
    <row r="84" spans="1:16" s="6" customFormat="1"/>
    <row r="85" spans="1:16" s="6" customFormat="1"/>
    <row r="86" spans="1:16" s="6" customFormat="1"/>
    <row r="87" spans="1:16" s="6" customFormat="1"/>
    <row r="88" spans="1:16" s="6" customForma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</sheetData>
  <mergeCells count="10">
    <mergeCell ref="A2:P2"/>
    <mergeCell ref="A3:P3"/>
    <mergeCell ref="A5:A8"/>
    <mergeCell ref="B5:E5"/>
    <mergeCell ref="G5:J5"/>
    <mergeCell ref="L5:O5"/>
    <mergeCell ref="P5:P8"/>
    <mergeCell ref="B6:E6"/>
    <mergeCell ref="G6:J6"/>
    <mergeCell ref="L6:O6"/>
  </mergeCells>
  <pageMargins left="0.23" right="0.17" top="0.09" bottom="7.0000000000000007E-2" header="0.3" footer="0.16"/>
  <pageSetup paperSize="9" scale="57" orientation="landscape" horizontalDpi="4294967295" verticalDpi="4294967295" r:id="rId1"/>
  <rowBreaks count="1" manualBreakCount="1">
    <brk id="36" max="15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4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20" customWidth="1"/>
    <col min="36" max="16384" width="12.28515625" style="1"/>
  </cols>
  <sheetData>
    <row r="1" spans="1:36" ht="21">
      <c r="A1" s="113" t="s">
        <v>84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</row>
    <row r="2" spans="1:36">
      <c r="A2" s="110" t="s">
        <v>77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</row>
    <row r="3" spans="1:36" ht="15" customHeight="1">
      <c r="A3" s="111"/>
      <c r="B3" s="111"/>
      <c r="C3" s="114" t="s">
        <v>72</v>
      </c>
      <c r="D3" s="114"/>
      <c r="E3" s="114"/>
      <c r="F3" s="114"/>
      <c r="G3" s="114"/>
      <c r="H3" s="56"/>
      <c r="I3" s="56"/>
      <c r="J3" s="115" t="s">
        <v>38</v>
      </c>
      <c r="K3" s="115"/>
      <c r="L3" s="115"/>
      <c r="M3" s="115"/>
      <c r="N3" s="115"/>
      <c r="O3" s="51"/>
      <c r="P3" s="115" t="s">
        <v>39</v>
      </c>
      <c r="Q3" s="115"/>
      <c r="R3" s="115"/>
      <c r="S3" s="115"/>
      <c r="T3" s="115"/>
      <c r="U3" s="32"/>
      <c r="V3" s="32"/>
      <c r="W3" s="32"/>
      <c r="X3" s="116" t="s">
        <v>40</v>
      </c>
      <c r="Y3" s="116"/>
      <c r="Z3" s="116"/>
      <c r="AA3" s="116"/>
      <c r="AB3" s="116"/>
      <c r="AC3" s="52"/>
      <c r="AD3" s="52"/>
      <c r="AE3" s="116" t="s">
        <v>41</v>
      </c>
      <c r="AF3" s="116"/>
      <c r="AG3" s="116"/>
      <c r="AH3" s="116"/>
      <c r="AI3" s="116"/>
    </row>
    <row r="4" spans="1:36" ht="25.5">
      <c r="A4" s="112"/>
      <c r="B4" s="112"/>
      <c r="C4" s="57" t="s">
        <v>42</v>
      </c>
      <c r="D4" s="57" t="s">
        <v>43</v>
      </c>
      <c r="E4" s="57" t="s">
        <v>37</v>
      </c>
      <c r="F4" s="58" t="s">
        <v>44</v>
      </c>
      <c r="G4" s="57" t="s">
        <v>45</v>
      </c>
      <c r="H4" s="57" t="s">
        <v>79</v>
      </c>
      <c r="I4" s="57" t="s">
        <v>85</v>
      </c>
      <c r="J4" s="39" t="s">
        <v>42</v>
      </c>
      <c r="K4" s="39" t="s">
        <v>43</v>
      </c>
      <c r="L4" s="39" t="s">
        <v>37</v>
      </c>
      <c r="M4" s="40" t="s">
        <v>44</v>
      </c>
      <c r="N4" s="39" t="s">
        <v>45</v>
      </c>
      <c r="O4" s="57" t="s">
        <v>79</v>
      </c>
      <c r="P4" s="39" t="s">
        <v>42</v>
      </c>
      <c r="Q4" s="39" t="s">
        <v>43</v>
      </c>
      <c r="R4" s="39" t="s">
        <v>37</v>
      </c>
      <c r="S4" s="40" t="s">
        <v>44</v>
      </c>
      <c r="T4" s="39" t="s">
        <v>45</v>
      </c>
      <c r="U4" s="57" t="s">
        <v>79</v>
      </c>
      <c r="V4" s="57"/>
      <c r="W4" s="57"/>
      <c r="X4" s="39" t="s">
        <v>42</v>
      </c>
      <c r="Y4" s="39" t="s">
        <v>43</v>
      </c>
      <c r="Z4" s="39" t="s">
        <v>37</v>
      </c>
      <c r="AA4" s="40" t="s">
        <v>44</v>
      </c>
      <c r="AB4" s="39" t="s">
        <v>45</v>
      </c>
      <c r="AC4" s="57" t="s">
        <v>79</v>
      </c>
      <c r="AD4" s="57"/>
      <c r="AE4" s="39" t="s">
        <v>42</v>
      </c>
      <c r="AF4" s="39" t="s">
        <v>43</v>
      </c>
      <c r="AG4" s="39" t="s">
        <v>37</v>
      </c>
      <c r="AH4" s="40" t="s">
        <v>44</v>
      </c>
      <c r="AI4" s="39" t="s">
        <v>45</v>
      </c>
      <c r="AJ4" s="57" t="s">
        <v>79</v>
      </c>
    </row>
    <row r="5" spans="1:36" ht="14.25" customHeight="1">
      <c r="A5" s="50"/>
      <c r="B5" s="54" t="s">
        <v>81</v>
      </c>
      <c r="C5" s="59">
        <f t="shared" ref="C5:G32" si="0">J5+P5</f>
        <v>3010</v>
      </c>
      <c r="D5" s="59">
        <f t="shared" si="0"/>
        <v>2381</v>
      </c>
      <c r="E5" s="59">
        <f t="shared" si="0"/>
        <v>5391</v>
      </c>
      <c r="F5" s="59">
        <f>M5+S5</f>
        <v>1774</v>
      </c>
      <c r="G5" s="59">
        <f t="shared" si="0"/>
        <v>3617</v>
      </c>
      <c r="H5" s="60">
        <f>F5/E5*100</f>
        <v>32.906696345761453</v>
      </c>
      <c r="I5" s="60">
        <f>G5/E5*100</f>
        <v>67.093303654238539</v>
      </c>
      <c r="J5" s="36">
        <v>2893</v>
      </c>
      <c r="K5" s="36">
        <v>2200</v>
      </c>
      <c r="L5" s="36">
        <v>5093</v>
      </c>
      <c r="M5" s="36">
        <v>1617</v>
      </c>
      <c r="N5" s="36">
        <v>3476</v>
      </c>
      <c r="O5" s="60">
        <f>M5/L5*100</f>
        <v>31.749460043196542</v>
      </c>
      <c r="P5" s="36">
        <v>117</v>
      </c>
      <c r="Q5" s="36">
        <v>181</v>
      </c>
      <c r="R5" s="36">
        <v>298</v>
      </c>
      <c r="S5" s="36">
        <v>157</v>
      </c>
      <c r="T5" s="36">
        <v>141</v>
      </c>
      <c r="U5" s="60">
        <f>S5/R5*100</f>
        <v>52.68456375838926</v>
      </c>
      <c r="V5" s="60"/>
      <c r="W5" s="54" t="s">
        <v>81</v>
      </c>
      <c r="X5" s="36">
        <v>3628</v>
      </c>
      <c r="Y5" s="36">
        <v>6873</v>
      </c>
      <c r="Z5" s="36">
        <v>10500</v>
      </c>
      <c r="AA5" s="36">
        <v>6554</v>
      </c>
      <c r="AB5" s="36">
        <v>3946</v>
      </c>
      <c r="AC5" s="60">
        <f>AA5/Z5*100</f>
        <v>62.419047619047618</v>
      </c>
      <c r="AD5" s="54" t="s">
        <v>81</v>
      </c>
      <c r="AE5" s="36">
        <v>890</v>
      </c>
      <c r="AF5" s="36">
        <v>6097</v>
      </c>
      <c r="AG5" s="36">
        <v>6987</v>
      </c>
      <c r="AH5" s="36">
        <v>5904</v>
      </c>
      <c r="AI5" s="36">
        <v>1083</v>
      </c>
      <c r="AJ5" s="60">
        <f>AH5/AG5*100</f>
        <v>84.499785315586081</v>
      </c>
    </row>
    <row r="6" spans="1:36" ht="14.25" customHeight="1">
      <c r="A6" s="50"/>
      <c r="B6" s="54" t="s">
        <v>82</v>
      </c>
      <c r="C6" s="59">
        <f t="shared" si="0"/>
        <v>2247</v>
      </c>
      <c r="D6" s="59">
        <f t="shared" si="0"/>
        <v>1246</v>
      </c>
      <c r="E6" s="59">
        <f t="shared" si="0"/>
        <v>3493</v>
      </c>
      <c r="F6" s="59">
        <f t="shared" si="0"/>
        <v>1084</v>
      </c>
      <c r="G6" s="59">
        <f t="shared" si="0"/>
        <v>2409</v>
      </c>
      <c r="H6" s="60">
        <f>F6/E6*100</f>
        <v>31.033495562553682</v>
      </c>
      <c r="I6" s="60">
        <f>G6/E6*100</f>
        <v>68.966504437446318</v>
      </c>
      <c r="J6" s="38">
        <v>2193</v>
      </c>
      <c r="K6" s="38">
        <v>1163</v>
      </c>
      <c r="L6" s="38">
        <v>3356</v>
      </c>
      <c r="M6" s="38">
        <v>990</v>
      </c>
      <c r="N6" s="38">
        <v>2366</v>
      </c>
      <c r="O6" s="60">
        <f>M6/L6*100</f>
        <v>29.499404052443385</v>
      </c>
      <c r="P6" s="38">
        <v>54</v>
      </c>
      <c r="Q6" s="38">
        <v>83</v>
      </c>
      <c r="R6" s="38">
        <v>137</v>
      </c>
      <c r="S6" s="38">
        <v>94</v>
      </c>
      <c r="T6" s="38">
        <v>43</v>
      </c>
      <c r="U6" s="60">
        <f>S6/R6*100</f>
        <v>68.613138686131393</v>
      </c>
      <c r="V6" s="60"/>
      <c r="W6" s="54" t="s">
        <v>82</v>
      </c>
      <c r="X6" s="38">
        <v>1847</v>
      </c>
      <c r="Y6" s="38">
        <v>2725</v>
      </c>
      <c r="Z6" s="38">
        <v>4571</v>
      </c>
      <c r="AA6" s="38">
        <v>2719</v>
      </c>
      <c r="AB6" s="38">
        <v>1852</v>
      </c>
      <c r="AC6" s="60">
        <f>AA6/Z6*100</f>
        <v>59.483701597024719</v>
      </c>
      <c r="AD6" s="54" t="s">
        <v>82</v>
      </c>
      <c r="AE6" s="38">
        <v>456</v>
      </c>
      <c r="AF6" s="38">
        <v>2367</v>
      </c>
      <c r="AG6" s="38">
        <v>2823</v>
      </c>
      <c r="AH6" s="38">
        <v>2296</v>
      </c>
      <c r="AI6" s="38">
        <v>527</v>
      </c>
      <c r="AJ6" s="60">
        <f>AH6/AG6*100</f>
        <v>81.331916400991858</v>
      </c>
    </row>
    <row r="7" spans="1:36" s="47" customFormat="1" ht="14.25" customHeight="1">
      <c r="A7" s="45"/>
      <c r="B7" s="54" t="s">
        <v>83</v>
      </c>
      <c r="C7" s="59">
        <f t="shared" si="0"/>
        <v>763</v>
      </c>
      <c r="D7" s="59">
        <f t="shared" si="0"/>
        <v>1135</v>
      </c>
      <c r="E7" s="59">
        <f t="shared" si="0"/>
        <v>1898</v>
      </c>
      <c r="F7" s="59">
        <f t="shared" si="0"/>
        <v>690</v>
      </c>
      <c r="G7" s="59">
        <f t="shared" si="0"/>
        <v>1208</v>
      </c>
      <c r="H7" s="60">
        <f>F7/E7*100</f>
        <v>36.354056902002107</v>
      </c>
      <c r="I7" s="60">
        <f>G7/E7*100</f>
        <v>63.645943097997893</v>
      </c>
      <c r="J7" s="38">
        <v>700</v>
      </c>
      <c r="K7" s="38">
        <v>1037</v>
      </c>
      <c r="L7" s="38">
        <v>1737</v>
      </c>
      <c r="M7" s="38">
        <v>627</v>
      </c>
      <c r="N7" s="38">
        <v>1110</v>
      </c>
      <c r="O7" s="60">
        <f>M7/L7*100</f>
        <v>36.096718480138165</v>
      </c>
      <c r="P7" s="38">
        <v>63</v>
      </c>
      <c r="Q7" s="38">
        <v>98</v>
      </c>
      <c r="R7" s="38">
        <v>161</v>
      </c>
      <c r="S7" s="38">
        <v>63</v>
      </c>
      <c r="T7" s="38">
        <v>98</v>
      </c>
      <c r="U7" s="60">
        <f>S7/R7*100</f>
        <v>39.130434782608695</v>
      </c>
      <c r="V7" s="60"/>
      <c r="W7" s="54" t="s">
        <v>83</v>
      </c>
      <c r="X7" s="38">
        <v>1781</v>
      </c>
      <c r="Y7" s="38">
        <v>4148</v>
      </c>
      <c r="Z7" s="38">
        <v>5929</v>
      </c>
      <c r="AA7" s="38">
        <v>3835</v>
      </c>
      <c r="AB7" s="38">
        <v>2094</v>
      </c>
      <c r="AC7" s="60">
        <f>AA7/Z7*100</f>
        <v>64.682071175577676</v>
      </c>
      <c r="AD7" s="54" t="s">
        <v>83</v>
      </c>
      <c r="AE7" s="38">
        <v>434</v>
      </c>
      <c r="AF7" s="38">
        <v>3730</v>
      </c>
      <c r="AG7" s="38">
        <v>4164</v>
      </c>
      <c r="AH7" s="38">
        <v>3608</v>
      </c>
      <c r="AI7" s="38">
        <v>556</v>
      </c>
      <c r="AJ7" s="60">
        <f>AH7/AG7*100</f>
        <v>86.647454370797306</v>
      </c>
    </row>
    <row r="8" spans="1:36" s="47" customFormat="1" ht="14.25" customHeight="1">
      <c r="A8" s="50" t="s">
        <v>52</v>
      </c>
      <c r="B8" s="33" t="s">
        <v>0</v>
      </c>
      <c r="C8" s="59">
        <f t="shared" si="0"/>
        <v>68</v>
      </c>
      <c r="D8" s="59">
        <f t="shared" si="0"/>
        <v>28</v>
      </c>
      <c r="E8" s="59">
        <f t="shared" si="0"/>
        <v>96</v>
      </c>
      <c r="F8" s="59">
        <f t="shared" si="0"/>
        <v>21</v>
      </c>
      <c r="G8" s="59">
        <f t="shared" si="0"/>
        <v>75</v>
      </c>
      <c r="H8" s="59"/>
      <c r="I8" s="59"/>
      <c r="J8" s="38">
        <v>61</v>
      </c>
      <c r="K8" s="38">
        <v>27</v>
      </c>
      <c r="L8" s="38">
        <v>88</v>
      </c>
      <c r="M8" s="38">
        <v>18</v>
      </c>
      <c r="N8" s="38">
        <v>70</v>
      </c>
      <c r="O8" s="38"/>
      <c r="P8" s="38">
        <v>7</v>
      </c>
      <c r="Q8" s="38">
        <v>1</v>
      </c>
      <c r="R8" s="38">
        <v>8</v>
      </c>
      <c r="S8" s="38">
        <v>3</v>
      </c>
      <c r="T8" s="38">
        <v>5</v>
      </c>
      <c r="U8" s="38"/>
      <c r="V8" s="38"/>
      <c r="W8" s="38"/>
      <c r="X8" s="38">
        <v>123</v>
      </c>
      <c r="Y8" s="38">
        <v>181</v>
      </c>
      <c r="Z8" s="38">
        <v>304</v>
      </c>
      <c r="AA8" s="38">
        <v>148</v>
      </c>
      <c r="AB8" s="38">
        <v>156</v>
      </c>
      <c r="AC8" s="38"/>
      <c r="AD8" s="38"/>
      <c r="AE8" s="38">
        <v>21</v>
      </c>
      <c r="AF8" s="38">
        <v>169</v>
      </c>
      <c r="AG8" s="38">
        <v>190</v>
      </c>
      <c r="AH8" s="38">
        <v>170</v>
      </c>
      <c r="AI8" s="38">
        <v>20</v>
      </c>
    </row>
    <row r="9" spans="1:36" s="47" customFormat="1" ht="14.25" customHeight="1">
      <c r="A9" s="50" t="s">
        <v>53</v>
      </c>
      <c r="B9" s="33" t="s">
        <v>0</v>
      </c>
      <c r="C9" s="59">
        <f t="shared" si="0"/>
        <v>81</v>
      </c>
      <c r="D9" s="59">
        <f t="shared" si="0"/>
        <v>73</v>
      </c>
      <c r="E9" s="59">
        <f t="shared" si="0"/>
        <v>154</v>
      </c>
      <c r="F9" s="59">
        <f t="shared" si="0"/>
        <v>41</v>
      </c>
      <c r="G9" s="59">
        <f t="shared" si="0"/>
        <v>113</v>
      </c>
      <c r="H9" s="59"/>
      <c r="I9" s="59"/>
      <c r="J9" s="38">
        <v>74</v>
      </c>
      <c r="K9" s="38">
        <v>69</v>
      </c>
      <c r="L9" s="38">
        <v>143</v>
      </c>
      <c r="M9" s="38">
        <v>34</v>
      </c>
      <c r="N9" s="38">
        <v>109</v>
      </c>
      <c r="O9" s="38"/>
      <c r="P9" s="38">
        <v>7</v>
      </c>
      <c r="Q9" s="38">
        <v>4</v>
      </c>
      <c r="R9" s="38">
        <v>11</v>
      </c>
      <c r="S9" s="38">
        <v>7</v>
      </c>
      <c r="T9" s="38">
        <v>4</v>
      </c>
      <c r="U9" s="38"/>
      <c r="V9" s="38"/>
      <c r="W9" s="38"/>
      <c r="X9" s="38">
        <v>93</v>
      </c>
      <c r="Y9" s="38">
        <v>178</v>
      </c>
      <c r="Z9" s="38">
        <v>271</v>
      </c>
      <c r="AA9" s="38">
        <v>104</v>
      </c>
      <c r="AB9" s="38">
        <v>167</v>
      </c>
      <c r="AC9" s="38"/>
      <c r="AD9" s="38"/>
      <c r="AE9" s="38">
        <v>34</v>
      </c>
      <c r="AF9" s="38">
        <v>233</v>
      </c>
      <c r="AG9" s="38">
        <v>267</v>
      </c>
      <c r="AH9" s="38">
        <v>222</v>
      </c>
      <c r="AI9" s="38">
        <v>45</v>
      </c>
    </row>
    <row r="10" spans="1:36" s="47" customFormat="1" ht="14.25" customHeight="1">
      <c r="A10" s="50" t="s">
        <v>54</v>
      </c>
      <c r="B10" s="33" t="s">
        <v>0</v>
      </c>
      <c r="C10" s="59">
        <f t="shared" si="0"/>
        <v>10</v>
      </c>
      <c r="D10" s="59">
        <f t="shared" si="0"/>
        <v>24</v>
      </c>
      <c r="E10" s="59">
        <f t="shared" si="0"/>
        <v>34</v>
      </c>
      <c r="F10" s="59">
        <f t="shared" si="0"/>
        <v>28</v>
      </c>
      <c r="G10" s="59">
        <f t="shared" si="0"/>
        <v>6</v>
      </c>
      <c r="H10" s="59"/>
      <c r="I10" s="59"/>
      <c r="J10" s="38">
        <v>10</v>
      </c>
      <c r="K10" s="38">
        <v>22</v>
      </c>
      <c r="L10" s="38">
        <v>32</v>
      </c>
      <c r="M10" s="38">
        <v>28</v>
      </c>
      <c r="N10" s="38">
        <v>4</v>
      </c>
      <c r="O10" s="38"/>
      <c r="P10" s="38">
        <v>0</v>
      </c>
      <c r="Q10" s="38">
        <v>2</v>
      </c>
      <c r="R10" s="38">
        <v>2</v>
      </c>
      <c r="S10" s="38">
        <v>0</v>
      </c>
      <c r="T10" s="38">
        <v>2</v>
      </c>
      <c r="U10" s="38"/>
      <c r="V10" s="38"/>
      <c r="W10" s="38"/>
      <c r="X10" s="38">
        <v>43</v>
      </c>
      <c r="Y10" s="38">
        <v>145</v>
      </c>
      <c r="Z10" s="38">
        <v>188</v>
      </c>
      <c r="AA10" s="38">
        <v>142</v>
      </c>
      <c r="AB10" s="38">
        <v>46</v>
      </c>
      <c r="AC10" s="38"/>
      <c r="AD10" s="38"/>
      <c r="AE10" s="38">
        <v>16</v>
      </c>
      <c r="AF10" s="38">
        <v>162</v>
      </c>
      <c r="AG10" s="38">
        <v>178</v>
      </c>
      <c r="AH10" s="38">
        <v>162</v>
      </c>
      <c r="AI10" s="38">
        <v>16</v>
      </c>
    </row>
    <row r="11" spans="1:36" s="47" customFormat="1" ht="14.25" customHeight="1">
      <c r="A11" s="50" t="s">
        <v>55</v>
      </c>
      <c r="B11" s="33" t="s">
        <v>0</v>
      </c>
      <c r="C11" s="59">
        <f t="shared" si="0"/>
        <v>48</v>
      </c>
      <c r="D11" s="59">
        <f t="shared" si="0"/>
        <v>62</v>
      </c>
      <c r="E11" s="59">
        <f t="shared" si="0"/>
        <v>110</v>
      </c>
      <c r="F11" s="59">
        <f t="shared" si="0"/>
        <v>45</v>
      </c>
      <c r="G11" s="59">
        <f t="shared" si="0"/>
        <v>65</v>
      </c>
      <c r="H11" s="59"/>
      <c r="I11" s="59"/>
      <c r="J11" s="38">
        <v>47</v>
      </c>
      <c r="K11" s="38">
        <v>58</v>
      </c>
      <c r="L11" s="38">
        <v>105</v>
      </c>
      <c r="M11" s="38">
        <v>42</v>
      </c>
      <c r="N11" s="38">
        <v>63</v>
      </c>
      <c r="O11" s="38"/>
      <c r="P11" s="38">
        <v>1</v>
      </c>
      <c r="Q11" s="38">
        <v>4</v>
      </c>
      <c r="R11" s="38">
        <v>5</v>
      </c>
      <c r="S11" s="38">
        <v>3</v>
      </c>
      <c r="T11" s="38">
        <v>2</v>
      </c>
      <c r="U11" s="38"/>
      <c r="V11" s="38"/>
      <c r="W11" s="38"/>
      <c r="X11" s="38">
        <v>117</v>
      </c>
      <c r="Y11" s="38">
        <v>186</v>
      </c>
      <c r="Z11" s="38">
        <v>303</v>
      </c>
      <c r="AA11" s="38">
        <v>174</v>
      </c>
      <c r="AB11" s="38">
        <v>129</v>
      </c>
      <c r="AC11" s="38"/>
      <c r="AD11" s="38"/>
      <c r="AE11" s="38">
        <v>30</v>
      </c>
      <c r="AF11" s="38">
        <v>215</v>
      </c>
      <c r="AG11" s="38">
        <v>245</v>
      </c>
      <c r="AH11" s="38">
        <v>188</v>
      </c>
      <c r="AI11" s="38">
        <v>57</v>
      </c>
    </row>
    <row r="12" spans="1:36" s="47" customFormat="1" ht="14.25" customHeight="1">
      <c r="A12" s="50" t="s">
        <v>56</v>
      </c>
      <c r="B12" s="33" t="s">
        <v>0</v>
      </c>
      <c r="C12" s="59">
        <f t="shared" si="0"/>
        <v>73</v>
      </c>
      <c r="D12" s="59">
        <f t="shared" si="0"/>
        <v>84</v>
      </c>
      <c r="E12" s="59">
        <f t="shared" si="0"/>
        <v>157</v>
      </c>
      <c r="F12" s="59">
        <f t="shared" si="0"/>
        <v>80</v>
      </c>
      <c r="G12" s="59">
        <f t="shared" si="0"/>
        <v>77</v>
      </c>
      <c r="H12" s="59"/>
      <c r="I12" s="59"/>
      <c r="J12" s="38">
        <v>70</v>
      </c>
      <c r="K12" s="38">
        <v>78</v>
      </c>
      <c r="L12" s="38">
        <v>148</v>
      </c>
      <c r="M12" s="38">
        <v>76</v>
      </c>
      <c r="N12" s="38">
        <v>72</v>
      </c>
      <c r="O12" s="38"/>
      <c r="P12" s="38">
        <v>3</v>
      </c>
      <c r="Q12" s="38">
        <v>6</v>
      </c>
      <c r="R12" s="38">
        <v>9</v>
      </c>
      <c r="S12" s="38">
        <v>4</v>
      </c>
      <c r="T12" s="38">
        <v>5</v>
      </c>
      <c r="U12" s="38"/>
      <c r="V12" s="38"/>
      <c r="W12" s="38"/>
      <c r="X12" s="38">
        <v>71</v>
      </c>
      <c r="Y12" s="38">
        <v>202</v>
      </c>
      <c r="Z12" s="38">
        <v>273</v>
      </c>
      <c r="AA12" s="38">
        <v>186</v>
      </c>
      <c r="AB12" s="38">
        <v>87</v>
      </c>
      <c r="AC12" s="38"/>
      <c r="AD12" s="38"/>
      <c r="AE12" s="38">
        <v>18</v>
      </c>
      <c r="AF12" s="38">
        <v>231</v>
      </c>
      <c r="AG12" s="38">
        <v>249</v>
      </c>
      <c r="AH12" s="38">
        <v>219</v>
      </c>
      <c r="AI12" s="38">
        <v>30</v>
      </c>
    </row>
    <row r="13" spans="1:36" s="47" customFormat="1" ht="14.25" customHeight="1">
      <c r="A13" s="50" t="s">
        <v>57</v>
      </c>
      <c r="B13" s="33" t="s">
        <v>0</v>
      </c>
      <c r="C13" s="59">
        <f t="shared" si="0"/>
        <v>21</v>
      </c>
      <c r="D13" s="59">
        <f t="shared" si="0"/>
        <v>26</v>
      </c>
      <c r="E13" s="59">
        <f t="shared" si="0"/>
        <v>47</v>
      </c>
      <c r="F13" s="59">
        <f t="shared" si="0"/>
        <v>10</v>
      </c>
      <c r="G13" s="59">
        <f t="shared" si="0"/>
        <v>37</v>
      </c>
      <c r="H13" s="59"/>
      <c r="I13" s="59"/>
      <c r="J13" s="38">
        <v>17</v>
      </c>
      <c r="K13" s="38">
        <v>23</v>
      </c>
      <c r="L13" s="38">
        <v>40</v>
      </c>
      <c r="M13" s="38">
        <v>9</v>
      </c>
      <c r="N13" s="38">
        <v>31</v>
      </c>
      <c r="O13" s="38"/>
      <c r="P13" s="38">
        <v>4</v>
      </c>
      <c r="Q13" s="38">
        <v>3</v>
      </c>
      <c r="R13" s="38">
        <v>7</v>
      </c>
      <c r="S13" s="38">
        <v>1</v>
      </c>
      <c r="T13" s="38">
        <v>6</v>
      </c>
      <c r="U13" s="38"/>
      <c r="V13" s="38"/>
      <c r="W13" s="38"/>
      <c r="X13" s="38">
        <v>38</v>
      </c>
      <c r="Y13" s="38">
        <v>183</v>
      </c>
      <c r="Z13" s="38">
        <v>221</v>
      </c>
      <c r="AA13" s="38">
        <v>119</v>
      </c>
      <c r="AB13" s="38">
        <v>102</v>
      </c>
      <c r="AC13" s="38"/>
      <c r="AD13" s="38"/>
      <c r="AE13" s="38">
        <v>20</v>
      </c>
      <c r="AF13" s="38">
        <v>135</v>
      </c>
      <c r="AG13" s="38">
        <v>155</v>
      </c>
      <c r="AH13" s="38">
        <v>124</v>
      </c>
      <c r="AI13" s="38">
        <v>31</v>
      </c>
    </row>
    <row r="14" spans="1:36" s="47" customFormat="1" ht="14.25" customHeight="1">
      <c r="A14" s="50" t="s">
        <v>58</v>
      </c>
      <c r="B14" s="33" t="s">
        <v>0</v>
      </c>
      <c r="C14" s="59">
        <f t="shared" si="0"/>
        <v>77</v>
      </c>
      <c r="D14" s="59">
        <f t="shared" si="0"/>
        <v>61</v>
      </c>
      <c r="E14" s="59">
        <f t="shared" si="0"/>
        <v>138</v>
      </c>
      <c r="F14" s="59">
        <f t="shared" si="0"/>
        <v>57</v>
      </c>
      <c r="G14" s="59">
        <f t="shared" si="0"/>
        <v>81</v>
      </c>
      <c r="H14" s="59"/>
      <c r="I14" s="59"/>
      <c r="J14" s="38">
        <v>72</v>
      </c>
      <c r="K14" s="38">
        <v>57</v>
      </c>
      <c r="L14" s="38">
        <v>129</v>
      </c>
      <c r="M14" s="38">
        <v>52</v>
      </c>
      <c r="N14" s="38">
        <v>77</v>
      </c>
      <c r="O14" s="38"/>
      <c r="P14" s="38">
        <v>5</v>
      </c>
      <c r="Q14" s="38">
        <v>4</v>
      </c>
      <c r="R14" s="38">
        <v>9</v>
      </c>
      <c r="S14" s="38">
        <v>5</v>
      </c>
      <c r="T14" s="38">
        <v>4</v>
      </c>
      <c r="U14" s="38"/>
      <c r="V14" s="38"/>
      <c r="W14" s="38"/>
      <c r="X14" s="38">
        <v>124</v>
      </c>
      <c r="Y14" s="38">
        <v>124</v>
      </c>
      <c r="Z14" s="38">
        <v>248</v>
      </c>
      <c r="AA14" s="38">
        <v>127</v>
      </c>
      <c r="AB14" s="38">
        <v>121</v>
      </c>
      <c r="AC14" s="38"/>
      <c r="AD14" s="38"/>
      <c r="AE14" s="38">
        <v>44</v>
      </c>
      <c r="AF14" s="38">
        <v>178</v>
      </c>
      <c r="AG14" s="38">
        <v>222</v>
      </c>
      <c r="AH14" s="38">
        <v>182</v>
      </c>
      <c r="AI14" s="38">
        <v>40</v>
      </c>
    </row>
    <row r="15" spans="1:36" s="47" customFormat="1" ht="14.25" customHeight="1">
      <c r="A15" s="50" t="s">
        <v>59</v>
      </c>
      <c r="B15" s="33" t="s">
        <v>0</v>
      </c>
      <c r="C15" s="59">
        <f t="shared" si="0"/>
        <v>31</v>
      </c>
      <c r="D15" s="59">
        <f t="shared" si="0"/>
        <v>41</v>
      </c>
      <c r="E15" s="59">
        <f t="shared" si="0"/>
        <v>72</v>
      </c>
      <c r="F15" s="59">
        <f t="shared" si="0"/>
        <v>31</v>
      </c>
      <c r="G15" s="59">
        <f t="shared" si="0"/>
        <v>41</v>
      </c>
      <c r="H15" s="59"/>
      <c r="I15" s="59"/>
      <c r="J15" s="38">
        <v>30</v>
      </c>
      <c r="K15" s="38">
        <v>37</v>
      </c>
      <c r="L15" s="38">
        <v>67</v>
      </c>
      <c r="M15" s="38">
        <v>30</v>
      </c>
      <c r="N15" s="38">
        <v>37</v>
      </c>
      <c r="O15" s="38"/>
      <c r="P15" s="38">
        <v>1</v>
      </c>
      <c r="Q15" s="38">
        <v>4</v>
      </c>
      <c r="R15" s="38">
        <v>5</v>
      </c>
      <c r="S15" s="38">
        <v>1</v>
      </c>
      <c r="T15" s="38">
        <v>4</v>
      </c>
      <c r="U15" s="38"/>
      <c r="V15" s="38"/>
      <c r="W15" s="38"/>
      <c r="X15" s="38">
        <v>67</v>
      </c>
      <c r="Y15" s="38">
        <v>145</v>
      </c>
      <c r="Z15" s="38">
        <v>212</v>
      </c>
      <c r="AA15" s="38">
        <v>153</v>
      </c>
      <c r="AB15" s="38">
        <v>59</v>
      </c>
      <c r="AC15" s="38"/>
      <c r="AD15" s="38"/>
      <c r="AE15" s="38">
        <v>17</v>
      </c>
      <c r="AF15" s="38">
        <v>218</v>
      </c>
      <c r="AG15" s="38">
        <v>235</v>
      </c>
      <c r="AH15" s="38">
        <v>217</v>
      </c>
      <c r="AI15" s="38">
        <v>18</v>
      </c>
    </row>
    <row r="16" spans="1:36" s="47" customFormat="1" ht="14.25" customHeight="1">
      <c r="A16" s="50" t="s">
        <v>60</v>
      </c>
      <c r="B16" s="33" t="s">
        <v>0</v>
      </c>
      <c r="C16" s="59">
        <f t="shared" si="0"/>
        <v>13</v>
      </c>
      <c r="D16" s="59">
        <f t="shared" si="0"/>
        <v>13</v>
      </c>
      <c r="E16" s="59">
        <f t="shared" si="0"/>
        <v>26</v>
      </c>
      <c r="F16" s="59">
        <f t="shared" si="0"/>
        <v>11</v>
      </c>
      <c r="G16" s="59">
        <f t="shared" si="0"/>
        <v>15</v>
      </c>
      <c r="H16" s="59"/>
      <c r="I16" s="59"/>
      <c r="J16" s="38">
        <v>12</v>
      </c>
      <c r="K16" s="38">
        <v>11</v>
      </c>
      <c r="L16" s="38">
        <v>23</v>
      </c>
      <c r="M16" s="38">
        <v>11</v>
      </c>
      <c r="N16" s="38">
        <v>12</v>
      </c>
      <c r="O16" s="38"/>
      <c r="P16" s="38">
        <v>1</v>
      </c>
      <c r="Q16" s="38">
        <v>2</v>
      </c>
      <c r="R16" s="38">
        <v>3</v>
      </c>
      <c r="S16" s="38">
        <v>0</v>
      </c>
      <c r="T16" s="38">
        <v>3</v>
      </c>
      <c r="U16" s="38"/>
      <c r="V16" s="38"/>
      <c r="W16" s="38"/>
      <c r="X16" s="38">
        <v>58</v>
      </c>
      <c r="Y16" s="38">
        <v>123</v>
      </c>
      <c r="Z16" s="38">
        <v>181</v>
      </c>
      <c r="AA16" s="38">
        <v>142</v>
      </c>
      <c r="AB16" s="38">
        <v>39</v>
      </c>
      <c r="AC16" s="38"/>
      <c r="AD16" s="38"/>
      <c r="AE16" s="38">
        <v>9</v>
      </c>
      <c r="AF16" s="38">
        <v>123</v>
      </c>
      <c r="AG16" s="38">
        <v>132</v>
      </c>
      <c r="AH16" s="38">
        <v>126</v>
      </c>
      <c r="AI16" s="38">
        <v>6</v>
      </c>
    </row>
    <row r="17" spans="1:35" s="47" customFormat="1">
      <c r="A17" s="50" t="s">
        <v>61</v>
      </c>
      <c r="B17" s="33" t="s">
        <v>0</v>
      </c>
      <c r="C17" s="59">
        <f t="shared" si="0"/>
        <v>14</v>
      </c>
      <c r="D17" s="59">
        <f t="shared" si="0"/>
        <v>18</v>
      </c>
      <c r="E17" s="59">
        <f t="shared" si="0"/>
        <v>32</v>
      </c>
      <c r="F17" s="59">
        <f t="shared" si="0"/>
        <v>23</v>
      </c>
      <c r="G17" s="59">
        <f t="shared" si="0"/>
        <v>9</v>
      </c>
      <c r="H17" s="59"/>
      <c r="I17" s="59"/>
      <c r="J17" s="38">
        <v>13</v>
      </c>
      <c r="K17" s="38">
        <v>16</v>
      </c>
      <c r="L17" s="38">
        <v>29</v>
      </c>
      <c r="M17" s="38">
        <v>22</v>
      </c>
      <c r="N17" s="38">
        <v>7</v>
      </c>
      <c r="O17" s="38"/>
      <c r="P17" s="38">
        <v>1</v>
      </c>
      <c r="Q17" s="38">
        <v>2</v>
      </c>
      <c r="R17" s="38">
        <v>3</v>
      </c>
      <c r="S17" s="38">
        <v>1</v>
      </c>
      <c r="T17" s="38">
        <v>2</v>
      </c>
      <c r="U17" s="38"/>
      <c r="V17" s="38"/>
      <c r="W17" s="38"/>
      <c r="X17" s="38">
        <v>78</v>
      </c>
      <c r="Y17" s="38">
        <v>145</v>
      </c>
      <c r="Z17" s="38">
        <v>223</v>
      </c>
      <c r="AA17" s="38">
        <v>155</v>
      </c>
      <c r="AB17" s="38">
        <v>68</v>
      </c>
      <c r="AC17" s="38"/>
      <c r="AD17" s="38"/>
      <c r="AE17" s="38">
        <v>25</v>
      </c>
      <c r="AF17" s="38">
        <v>141</v>
      </c>
      <c r="AG17" s="38">
        <v>166</v>
      </c>
      <c r="AH17" s="38">
        <v>138</v>
      </c>
      <c r="AI17" s="38">
        <v>28</v>
      </c>
    </row>
    <row r="18" spans="1:35" s="47" customFormat="1">
      <c r="A18" s="50" t="s">
        <v>62</v>
      </c>
      <c r="B18" s="33" t="s">
        <v>0</v>
      </c>
      <c r="C18" s="59">
        <f t="shared" si="0"/>
        <v>2</v>
      </c>
      <c r="D18" s="59">
        <f t="shared" si="0"/>
        <v>1</v>
      </c>
      <c r="E18" s="59">
        <f t="shared" si="0"/>
        <v>3</v>
      </c>
      <c r="F18" s="59">
        <f t="shared" si="0"/>
        <v>2</v>
      </c>
      <c r="G18" s="59">
        <f t="shared" si="0"/>
        <v>1</v>
      </c>
      <c r="H18" s="59"/>
      <c r="I18" s="59"/>
      <c r="J18" s="38">
        <v>2</v>
      </c>
      <c r="K18" s="38">
        <v>1</v>
      </c>
      <c r="L18" s="38">
        <v>3</v>
      </c>
      <c r="M18" s="38">
        <v>2</v>
      </c>
      <c r="N18" s="38">
        <v>1</v>
      </c>
      <c r="O18" s="38"/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/>
      <c r="V18" s="38"/>
      <c r="W18" s="38"/>
      <c r="X18" s="38">
        <v>6</v>
      </c>
      <c r="Y18" s="38">
        <v>33</v>
      </c>
      <c r="Z18" s="38">
        <v>39</v>
      </c>
      <c r="AA18" s="38">
        <v>28</v>
      </c>
      <c r="AB18" s="38">
        <v>11</v>
      </c>
      <c r="AC18" s="38"/>
      <c r="AD18" s="38"/>
      <c r="AE18" s="38">
        <v>2</v>
      </c>
      <c r="AF18" s="38">
        <v>19</v>
      </c>
      <c r="AG18" s="38">
        <v>21</v>
      </c>
      <c r="AH18" s="38">
        <v>21</v>
      </c>
      <c r="AI18" s="38">
        <v>0</v>
      </c>
    </row>
    <row r="19" spans="1:35" s="47" customFormat="1">
      <c r="A19" s="50" t="s">
        <v>63</v>
      </c>
      <c r="B19" s="33" t="s">
        <v>0</v>
      </c>
      <c r="C19" s="59">
        <f t="shared" si="0"/>
        <v>4</v>
      </c>
      <c r="D19" s="59">
        <f t="shared" si="0"/>
        <v>4</v>
      </c>
      <c r="E19" s="59">
        <f t="shared" si="0"/>
        <v>8</v>
      </c>
      <c r="F19" s="59">
        <f t="shared" si="0"/>
        <v>3</v>
      </c>
      <c r="G19" s="59">
        <f t="shared" si="0"/>
        <v>5</v>
      </c>
      <c r="H19" s="59"/>
      <c r="I19" s="59"/>
      <c r="J19" s="38">
        <v>4</v>
      </c>
      <c r="K19" s="38">
        <v>3</v>
      </c>
      <c r="L19" s="38">
        <v>7</v>
      </c>
      <c r="M19" s="38">
        <v>3</v>
      </c>
      <c r="N19" s="38">
        <v>4</v>
      </c>
      <c r="O19" s="38"/>
      <c r="P19" s="38">
        <v>0</v>
      </c>
      <c r="Q19" s="38">
        <v>1</v>
      </c>
      <c r="R19" s="38">
        <v>1</v>
      </c>
      <c r="S19" s="38">
        <v>0</v>
      </c>
      <c r="T19" s="38">
        <v>1</v>
      </c>
      <c r="U19" s="38"/>
      <c r="V19" s="38"/>
      <c r="W19" s="38"/>
      <c r="X19" s="38">
        <v>89</v>
      </c>
      <c r="Y19" s="38">
        <v>62</v>
      </c>
      <c r="Z19" s="38">
        <v>151</v>
      </c>
      <c r="AA19" s="38">
        <v>109</v>
      </c>
      <c r="AB19" s="38">
        <v>42</v>
      </c>
      <c r="AC19" s="38"/>
      <c r="AD19" s="38"/>
      <c r="AE19" s="38">
        <v>6</v>
      </c>
      <c r="AF19" s="38">
        <v>72</v>
      </c>
      <c r="AG19" s="38">
        <v>78</v>
      </c>
      <c r="AH19" s="38">
        <v>71</v>
      </c>
      <c r="AI19" s="38">
        <v>7</v>
      </c>
    </row>
    <row r="20" spans="1:35" s="47" customFormat="1">
      <c r="A20" s="50" t="s">
        <v>64</v>
      </c>
      <c r="B20" s="33" t="s">
        <v>0</v>
      </c>
      <c r="C20" s="59">
        <f t="shared" si="0"/>
        <v>6</v>
      </c>
      <c r="D20" s="59">
        <f t="shared" si="0"/>
        <v>14</v>
      </c>
      <c r="E20" s="59">
        <f t="shared" si="0"/>
        <v>20</v>
      </c>
      <c r="F20" s="59">
        <f t="shared" si="0"/>
        <v>13</v>
      </c>
      <c r="G20" s="59">
        <f t="shared" si="0"/>
        <v>7</v>
      </c>
      <c r="H20" s="59"/>
      <c r="I20" s="59"/>
      <c r="J20" s="38">
        <v>5</v>
      </c>
      <c r="K20" s="38">
        <v>14</v>
      </c>
      <c r="L20" s="38">
        <v>19</v>
      </c>
      <c r="M20" s="38">
        <v>12</v>
      </c>
      <c r="N20" s="38">
        <v>7</v>
      </c>
      <c r="O20" s="38"/>
      <c r="P20" s="38">
        <v>1</v>
      </c>
      <c r="Q20" s="38">
        <v>0</v>
      </c>
      <c r="R20" s="38">
        <v>1</v>
      </c>
      <c r="S20" s="38">
        <v>1</v>
      </c>
      <c r="T20" s="38">
        <v>0</v>
      </c>
      <c r="U20" s="38"/>
      <c r="V20" s="38"/>
      <c r="W20" s="38"/>
      <c r="X20" s="38">
        <v>50</v>
      </c>
      <c r="Y20" s="38">
        <v>83</v>
      </c>
      <c r="Z20" s="38">
        <v>133</v>
      </c>
      <c r="AA20" s="38">
        <v>84</v>
      </c>
      <c r="AB20" s="38">
        <v>49</v>
      </c>
      <c r="AC20" s="38"/>
      <c r="AD20" s="38"/>
      <c r="AE20" s="38">
        <v>14</v>
      </c>
      <c r="AF20" s="38">
        <v>70</v>
      </c>
      <c r="AG20" s="38">
        <v>84</v>
      </c>
      <c r="AH20" s="38">
        <v>70</v>
      </c>
      <c r="AI20" s="38">
        <v>14</v>
      </c>
    </row>
    <row r="21" spans="1:35" s="47" customFormat="1">
      <c r="A21" s="50" t="s">
        <v>65</v>
      </c>
      <c r="B21" s="33" t="s">
        <v>0</v>
      </c>
      <c r="C21" s="59">
        <f t="shared" si="0"/>
        <v>5</v>
      </c>
      <c r="D21" s="59">
        <f t="shared" si="0"/>
        <v>4</v>
      </c>
      <c r="E21" s="59">
        <f t="shared" si="0"/>
        <v>9</v>
      </c>
      <c r="F21" s="59">
        <f t="shared" si="0"/>
        <v>6</v>
      </c>
      <c r="G21" s="59">
        <f t="shared" si="0"/>
        <v>3</v>
      </c>
      <c r="H21" s="59"/>
      <c r="I21" s="59"/>
      <c r="J21" s="38">
        <v>3</v>
      </c>
      <c r="K21" s="38">
        <v>4</v>
      </c>
      <c r="L21" s="38">
        <v>7</v>
      </c>
      <c r="M21" s="38">
        <v>6</v>
      </c>
      <c r="N21" s="38">
        <v>1</v>
      </c>
      <c r="O21" s="38"/>
      <c r="P21" s="38">
        <v>2</v>
      </c>
      <c r="Q21" s="38">
        <v>0</v>
      </c>
      <c r="R21" s="38">
        <v>2</v>
      </c>
      <c r="S21" s="38">
        <v>0</v>
      </c>
      <c r="T21" s="38">
        <v>2</v>
      </c>
      <c r="U21" s="38"/>
      <c r="V21" s="38"/>
      <c r="W21" s="38"/>
      <c r="X21" s="38">
        <v>57</v>
      </c>
      <c r="Y21" s="38">
        <v>89</v>
      </c>
      <c r="Z21" s="38">
        <v>146</v>
      </c>
      <c r="AA21" s="38">
        <v>111</v>
      </c>
      <c r="AB21" s="38">
        <v>35</v>
      </c>
      <c r="AC21" s="38"/>
      <c r="AD21" s="38"/>
      <c r="AE21" s="38">
        <v>14</v>
      </c>
      <c r="AF21" s="38">
        <v>85</v>
      </c>
      <c r="AG21" s="38">
        <v>99</v>
      </c>
      <c r="AH21" s="38">
        <v>87</v>
      </c>
      <c r="AI21" s="38">
        <v>12</v>
      </c>
    </row>
    <row r="22" spans="1:35" s="47" customFormat="1">
      <c r="A22" s="50" t="s">
        <v>66</v>
      </c>
      <c r="B22" s="33" t="s">
        <v>0</v>
      </c>
      <c r="C22" s="59">
        <f t="shared" si="0"/>
        <v>46</v>
      </c>
      <c r="D22" s="59">
        <f t="shared" si="0"/>
        <v>76</v>
      </c>
      <c r="E22" s="59">
        <f t="shared" si="0"/>
        <v>122</v>
      </c>
      <c r="F22" s="59">
        <f t="shared" si="0"/>
        <v>34</v>
      </c>
      <c r="G22" s="59">
        <f t="shared" si="0"/>
        <v>88</v>
      </c>
      <c r="H22" s="59"/>
      <c r="I22" s="59"/>
      <c r="J22" s="38">
        <v>42</v>
      </c>
      <c r="K22" s="38">
        <v>67</v>
      </c>
      <c r="L22" s="38">
        <v>109</v>
      </c>
      <c r="M22" s="38">
        <v>27</v>
      </c>
      <c r="N22" s="38">
        <v>82</v>
      </c>
      <c r="O22" s="38"/>
      <c r="P22" s="38">
        <v>4</v>
      </c>
      <c r="Q22" s="38">
        <v>9</v>
      </c>
      <c r="R22" s="38">
        <v>13</v>
      </c>
      <c r="S22" s="38">
        <v>7</v>
      </c>
      <c r="T22" s="38">
        <v>6</v>
      </c>
      <c r="U22" s="38"/>
      <c r="V22" s="38"/>
      <c r="W22" s="38"/>
      <c r="X22" s="38">
        <v>103</v>
      </c>
      <c r="Y22" s="38">
        <v>177</v>
      </c>
      <c r="Z22" s="38">
        <v>280</v>
      </c>
      <c r="AA22" s="38">
        <v>172</v>
      </c>
      <c r="AB22" s="38">
        <v>108</v>
      </c>
      <c r="AC22" s="38"/>
      <c r="AD22" s="38"/>
      <c r="AE22" s="38">
        <v>22</v>
      </c>
      <c r="AF22" s="38">
        <v>171</v>
      </c>
      <c r="AG22" s="38">
        <v>193</v>
      </c>
      <c r="AH22" s="38">
        <v>168</v>
      </c>
      <c r="AI22" s="38">
        <v>25</v>
      </c>
    </row>
    <row r="23" spans="1:35" s="47" customFormat="1">
      <c r="A23" s="50" t="s">
        <v>67</v>
      </c>
      <c r="B23" s="33" t="s">
        <v>0</v>
      </c>
      <c r="C23" s="59">
        <f t="shared" si="0"/>
        <v>89</v>
      </c>
      <c r="D23" s="59">
        <f t="shared" si="0"/>
        <v>108</v>
      </c>
      <c r="E23" s="59">
        <f t="shared" si="0"/>
        <v>197</v>
      </c>
      <c r="F23" s="59">
        <f t="shared" si="0"/>
        <v>33</v>
      </c>
      <c r="G23" s="59">
        <f t="shared" si="0"/>
        <v>164</v>
      </c>
      <c r="H23" s="59"/>
      <c r="I23" s="59"/>
      <c r="J23" s="38">
        <v>82</v>
      </c>
      <c r="K23" s="38">
        <v>104</v>
      </c>
      <c r="L23" s="38">
        <v>186</v>
      </c>
      <c r="M23" s="38">
        <v>31</v>
      </c>
      <c r="N23" s="38">
        <v>155</v>
      </c>
      <c r="O23" s="38"/>
      <c r="P23" s="38">
        <v>7</v>
      </c>
      <c r="Q23" s="38">
        <v>4</v>
      </c>
      <c r="R23" s="38">
        <v>11</v>
      </c>
      <c r="S23" s="38">
        <v>2</v>
      </c>
      <c r="T23" s="38">
        <v>9</v>
      </c>
      <c r="U23" s="38"/>
      <c r="V23" s="38"/>
      <c r="W23" s="38"/>
      <c r="X23" s="38">
        <v>292</v>
      </c>
      <c r="Y23" s="38">
        <v>374</v>
      </c>
      <c r="Z23" s="38">
        <v>666</v>
      </c>
      <c r="AA23" s="38">
        <v>422</v>
      </c>
      <c r="AB23" s="38">
        <v>244</v>
      </c>
      <c r="AC23" s="38"/>
      <c r="AD23" s="38"/>
      <c r="AE23" s="38">
        <v>55</v>
      </c>
      <c r="AF23" s="38">
        <v>291</v>
      </c>
      <c r="AG23" s="38">
        <v>346</v>
      </c>
      <c r="AH23" s="38">
        <v>281</v>
      </c>
      <c r="AI23" s="38">
        <v>65</v>
      </c>
    </row>
    <row r="24" spans="1:35" s="47" customFormat="1">
      <c r="A24" s="50" t="s">
        <v>68</v>
      </c>
      <c r="B24" s="33" t="s">
        <v>0</v>
      </c>
      <c r="C24" s="59">
        <f t="shared" si="0"/>
        <v>34</v>
      </c>
      <c r="D24" s="59">
        <f t="shared" si="0"/>
        <v>48</v>
      </c>
      <c r="E24" s="59">
        <f t="shared" si="0"/>
        <v>82</v>
      </c>
      <c r="F24" s="59">
        <f t="shared" si="0"/>
        <v>48</v>
      </c>
      <c r="G24" s="59">
        <f t="shared" si="0"/>
        <v>34</v>
      </c>
      <c r="H24" s="59"/>
      <c r="I24" s="59"/>
      <c r="J24" s="38">
        <v>29</v>
      </c>
      <c r="K24" s="38">
        <v>47</v>
      </c>
      <c r="L24" s="38">
        <v>76</v>
      </c>
      <c r="M24" s="38">
        <v>45</v>
      </c>
      <c r="N24" s="38">
        <v>31</v>
      </c>
      <c r="O24" s="38"/>
      <c r="P24" s="38">
        <v>5</v>
      </c>
      <c r="Q24" s="38">
        <v>1</v>
      </c>
      <c r="R24" s="38">
        <v>6</v>
      </c>
      <c r="S24" s="38">
        <v>3</v>
      </c>
      <c r="T24" s="38">
        <v>3</v>
      </c>
      <c r="U24" s="38"/>
      <c r="V24" s="38"/>
      <c r="W24" s="38"/>
      <c r="X24" s="38">
        <v>185</v>
      </c>
      <c r="Y24" s="38">
        <v>652</v>
      </c>
      <c r="Z24" s="38">
        <v>837</v>
      </c>
      <c r="AA24" s="38">
        <v>625</v>
      </c>
      <c r="AB24" s="38">
        <v>212</v>
      </c>
      <c r="AC24" s="38"/>
      <c r="AD24" s="38"/>
      <c r="AE24" s="38">
        <v>31</v>
      </c>
      <c r="AF24" s="38">
        <v>238</v>
      </c>
      <c r="AG24" s="38">
        <v>269</v>
      </c>
      <c r="AH24" s="38">
        <v>245</v>
      </c>
      <c r="AI24" s="38">
        <v>24</v>
      </c>
    </row>
    <row r="25" spans="1:35" s="47" customFormat="1">
      <c r="A25" s="50" t="s">
        <v>69</v>
      </c>
      <c r="B25" s="33" t="s">
        <v>0</v>
      </c>
      <c r="C25" s="59">
        <f t="shared" si="0"/>
        <v>28</v>
      </c>
      <c r="D25" s="59">
        <f t="shared" si="0"/>
        <v>57</v>
      </c>
      <c r="E25" s="59">
        <f t="shared" si="0"/>
        <v>85</v>
      </c>
      <c r="F25" s="59">
        <f t="shared" si="0"/>
        <v>33</v>
      </c>
      <c r="G25" s="59">
        <f t="shared" si="0"/>
        <v>52</v>
      </c>
      <c r="H25" s="59"/>
      <c r="I25" s="59"/>
      <c r="J25" s="38">
        <v>27</v>
      </c>
      <c r="K25" s="38">
        <v>50</v>
      </c>
      <c r="L25" s="38">
        <v>77</v>
      </c>
      <c r="M25" s="38">
        <v>29</v>
      </c>
      <c r="N25" s="38">
        <v>48</v>
      </c>
      <c r="O25" s="38"/>
      <c r="P25" s="38">
        <v>1</v>
      </c>
      <c r="Q25" s="38">
        <v>7</v>
      </c>
      <c r="R25" s="38">
        <v>8</v>
      </c>
      <c r="S25" s="38">
        <v>4</v>
      </c>
      <c r="T25" s="38">
        <v>4</v>
      </c>
      <c r="U25" s="38"/>
      <c r="V25" s="38"/>
      <c r="W25" s="38"/>
      <c r="X25" s="38">
        <v>97</v>
      </c>
      <c r="Y25" s="38">
        <v>381</v>
      </c>
      <c r="Z25" s="38">
        <v>478</v>
      </c>
      <c r="AA25" s="38">
        <v>354</v>
      </c>
      <c r="AB25" s="38">
        <v>124</v>
      </c>
      <c r="AC25" s="38"/>
      <c r="AD25" s="38"/>
      <c r="AE25" s="38">
        <v>25</v>
      </c>
      <c r="AF25" s="38">
        <v>309</v>
      </c>
      <c r="AG25" s="38">
        <v>334</v>
      </c>
      <c r="AH25" s="38">
        <v>314</v>
      </c>
      <c r="AI25" s="38">
        <v>20</v>
      </c>
    </row>
    <row r="26" spans="1:35" s="47" customFormat="1">
      <c r="A26" s="50" t="s">
        <v>70</v>
      </c>
      <c r="B26" s="33" t="s">
        <v>0</v>
      </c>
      <c r="C26" s="59">
        <f t="shared" si="0"/>
        <v>106</v>
      </c>
      <c r="D26" s="59">
        <f t="shared" si="0"/>
        <v>149</v>
      </c>
      <c r="E26" s="59">
        <f t="shared" si="0"/>
        <v>255</v>
      </c>
      <c r="F26" s="59">
        <f t="shared" si="0"/>
        <v>110</v>
      </c>
      <c r="G26" s="59">
        <f t="shared" si="0"/>
        <v>145</v>
      </c>
      <c r="H26" s="59"/>
      <c r="I26" s="59"/>
      <c r="J26" s="38">
        <v>94</v>
      </c>
      <c r="K26" s="38">
        <v>128</v>
      </c>
      <c r="L26" s="38">
        <v>222</v>
      </c>
      <c r="M26" s="38">
        <v>95</v>
      </c>
      <c r="N26" s="38">
        <v>127</v>
      </c>
      <c r="O26" s="38"/>
      <c r="P26" s="38">
        <v>12</v>
      </c>
      <c r="Q26" s="38">
        <v>21</v>
      </c>
      <c r="R26" s="38">
        <v>33</v>
      </c>
      <c r="S26" s="38">
        <v>15</v>
      </c>
      <c r="T26" s="38">
        <v>18</v>
      </c>
      <c r="U26" s="38"/>
      <c r="V26" s="38"/>
      <c r="W26" s="38"/>
      <c r="X26" s="38">
        <v>49</v>
      </c>
      <c r="Y26" s="38">
        <v>295</v>
      </c>
      <c r="Z26" s="38">
        <v>344</v>
      </c>
      <c r="AA26" s="38">
        <v>257</v>
      </c>
      <c r="AB26" s="38">
        <v>87</v>
      </c>
      <c r="AC26" s="38"/>
      <c r="AD26" s="38"/>
      <c r="AE26" s="38">
        <v>18</v>
      </c>
      <c r="AF26" s="38">
        <v>242</v>
      </c>
      <c r="AG26" s="38">
        <v>260</v>
      </c>
      <c r="AH26" s="38">
        <v>228</v>
      </c>
      <c r="AI26" s="38">
        <v>32</v>
      </c>
    </row>
    <row r="27" spans="1:35" s="48" customFormat="1">
      <c r="A27" s="50" t="s">
        <v>71</v>
      </c>
      <c r="B27" s="33" t="s">
        <v>0</v>
      </c>
      <c r="C27" s="59">
        <f t="shared" si="0"/>
        <v>7</v>
      </c>
      <c r="D27" s="59">
        <f t="shared" si="0"/>
        <v>244</v>
      </c>
      <c r="E27" s="59">
        <f t="shared" si="0"/>
        <v>251</v>
      </c>
      <c r="F27" s="59">
        <f t="shared" si="0"/>
        <v>61</v>
      </c>
      <c r="G27" s="59">
        <f t="shared" si="0"/>
        <v>190</v>
      </c>
      <c r="H27" s="59"/>
      <c r="I27" s="59"/>
      <c r="J27" s="38">
        <v>6</v>
      </c>
      <c r="K27" s="38">
        <v>221</v>
      </c>
      <c r="L27" s="38">
        <v>227</v>
      </c>
      <c r="M27" s="38">
        <v>55</v>
      </c>
      <c r="N27" s="38">
        <v>172</v>
      </c>
      <c r="O27" s="38"/>
      <c r="P27" s="38">
        <v>1</v>
      </c>
      <c r="Q27" s="38">
        <v>23</v>
      </c>
      <c r="R27" s="38">
        <v>24</v>
      </c>
      <c r="S27" s="38">
        <v>6</v>
      </c>
      <c r="T27" s="38">
        <v>18</v>
      </c>
      <c r="U27" s="38"/>
      <c r="V27" s="38"/>
      <c r="W27" s="38"/>
      <c r="X27" s="38">
        <v>41</v>
      </c>
      <c r="Y27" s="38">
        <v>390</v>
      </c>
      <c r="Z27" s="38">
        <v>431</v>
      </c>
      <c r="AA27" s="38">
        <v>223</v>
      </c>
      <c r="AB27" s="38">
        <v>208</v>
      </c>
      <c r="AC27" s="38"/>
      <c r="AD27" s="38"/>
      <c r="AE27" s="38">
        <v>13</v>
      </c>
      <c r="AF27" s="38">
        <v>428</v>
      </c>
      <c r="AG27" s="38">
        <v>441</v>
      </c>
      <c r="AH27" s="38">
        <v>375</v>
      </c>
      <c r="AI27" s="38">
        <v>66</v>
      </c>
    </row>
    <row r="28" spans="1:35">
      <c r="A28" s="34" t="s">
        <v>46</v>
      </c>
      <c r="B28" s="35" t="s">
        <v>47</v>
      </c>
      <c r="C28" s="59">
        <f t="shared" si="0"/>
        <v>0</v>
      </c>
      <c r="D28" s="59">
        <f t="shared" si="0"/>
        <v>0</v>
      </c>
      <c r="E28" s="59">
        <f t="shared" si="0"/>
        <v>0</v>
      </c>
      <c r="F28" s="59">
        <f t="shared" si="0"/>
        <v>0</v>
      </c>
      <c r="G28" s="59">
        <f t="shared" si="0"/>
        <v>0</v>
      </c>
      <c r="H28" s="59"/>
      <c r="I28" s="59"/>
      <c r="J28" s="36">
        <v>0</v>
      </c>
      <c r="K28" s="37">
        <v>0</v>
      </c>
      <c r="L28" s="37">
        <v>0</v>
      </c>
      <c r="M28" s="37">
        <v>0</v>
      </c>
      <c r="N28" s="38">
        <v>0</v>
      </c>
      <c r="O28" s="38"/>
      <c r="P28" s="37">
        <v>0</v>
      </c>
      <c r="Q28" s="37">
        <v>0</v>
      </c>
      <c r="R28" s="37">
        <v>0</v>
      </c>
      <c r="S28" s="37">
        <v>0</v>
      </c>
      <c r="T28" s="38">
        <v>0</v>
      </c>
      <c r="U28" s="38"/>
      <c r="V28" s="38"/>
      <c r="W28" s="38"/>
      <c r="X28" s="37">
        <v>1736</v>
      </c>
      <c r="Y28" s="37">
        <v>2277</v>
      </c>
      <c r="Z28" s="37">
        <v>4013</v>
      </c>
      <c r="AA28" s="37">
        <v>2412</v>
      </c>
      <c r="AB28" s="38">
        <v>1601</v>
      </c>
      <c r="AC28" s="38"/>
      <c r="AD28" s="38"/>
      <c r="AE28" s="37">
        <v>0</v>
      </c>
      <c r="AF28" s="37">
        <v>0</v>
      </c>
      <c r="AG28" s="37">
        <v>0</v>
      </c>
      <c r="AH28" s="37">
        <v>0</v>
      </c>
      <c r="AI28" s="37">
        <v>0</v>
      </c>
    </row>
    <row r="29" spans="1:35">
      <c r="A29" s="34" t="s">
        <v>46</v>
      </c>
      <c r="B29" s="35" t="s">
        <v>48</v>
      </c>
      <c r="C29" s="59">
        <f t="shared" si="0"/>
        <v>2191</v>
      </c>
      <c r="D29" s="59">
        <f t="shared" si="0"/>
        <v>1158</v>
      </c>
      <c r="E29" s="59">
        <f t="shared" si="0"/>
        <v>3349</v>
      </c>
      <c r="F29" s="59">
        <f t="shared" si="0"/>
        <v>990</v>
      </c>
      <c r="G29" s="59">
        <f t="shared" si="0"/>
        <v>2359</v>
      </c>
      <c r="H29" s="59"/>
      <c r="I29" s="59"/>
      <c r="J29" s="37">
        <v>2191</v>
      </c>
      <c r="K29" s="37">
        <v>1158</v>
      </c>
      <c r="L29" s="37">
        <v>3349</v>
      </c>
      <c r="M29" s="37">
        <v>990</v>
      </c>
      <c r="N29" s="38">
        <v>2359</v>
      </c>
      <c r="O29" s="38"/>
      <c r="P29" s="37">
        <v>0</v>
      </c>
      <c r="Q29" s="37">
        <v>0</v>
      </c>
      <c r="R29" s="37">
        <v>0</v>
      </c>
      <c r="S29" s="37">
        <v>0</v>
      </c>
      <c r="T29" s="38">
        <v>0</v>
      </c>
      <c r="U29" s="38"/>
      <c r="V29" s="38"/>
      <c r="W29" s="38"/>
      <c r="X29" s="37">
        <v>0</v>
      </c>
      <c r="Y29" s="37">
        <v>0</v>
      </c>
      <c r="Z29" s="37">
        <v>0</v>
      </c>
      <c r="AA29" s="37">
        <v>0</v>
      </c>
      <c r="AB29" s="38">
        <v>0</v>
      </c>
      <c r="AC29" s="38"/>
      <c r="AD29" s="38"/>
      <c r="AE29" s="37">
        <v>0</v>
      </c>
      <c r="AF29" s="37">
        <v>0</v>
      </c>
      <c r="AG29" s="37">
        <v>0</v>
      </c>
      <c r="AH29" s="37">
        <v>0</v>
      </c>
      <c r="AI29" s="37">
        <v>0</v>
      </c>
    </row>
    <row r="30" spans="1:35">
      <c r="A30" s="34" t="s">
        <v>46</v>
      </c>
      <c r="B30" s="35" t="s">
        <v>49</v>
      </c>
      <c r="C30" s="59">
        <f t="shared" si="0"/>
        <v>0</v>
      </c>
      <c r="D30" s="59">
        <f t="shared" si="0"/>
        <v>0</v>
      </c>
      <c r="E30" s="59">
        <f t="shared" si="0"/>
        <v>0</v>
      </c>
      <c r="F30" s="59">
        <f t="shared" si="0"/>
        <v>0</v>
      </c>
      <c r="G30" s="59">
        <f t="shared" si="0"/>
        <v>0</v>
      </c>
      <c r="H30" s="59"/>
      <c r="I30" s="59"/>
      <c r="J30" s="37">
        <v>0</v>
      </c>
      <c r="K30" s="37">
        <v>0</v>
      </c>
      <c r="L30" s="37">
        <v>0</v>
      </c>
      <c r="M30" s="37">
        <v>0</v>
      </c>
      <c r="N30" s="38">
        <v>0</v>
      </c>
      <c r="O30" s="38"/>
      <c r="P30" s="37">
        <v>0</v>
      </c>
      <c r="Q30" s="37">
        <v>0</v>
      </c>
      <c r="R30" s="37">
        <v>0</v>
      </c>
      <c r="S30" s="37">
        <v>0</v>
      </c>
      <c r="T30" s="38">
        <v>0</v>
      </c>
      <c r="U30" s="38"/>
      <c r="V30" s="38"/>
      <c r="W30" s="38"/>
      <c r="X30" s="37">
        <v>0</v>
      </c>
      <c r="Y30" s="37">
        <v>0</v>
      </c>
      <c r="Z30" s="37">
        <v>0</v>
      </c>
      <c r="AA30" s="37">
        <v>0</v>
      </c>
      <c r="AB30" s="38">
        <v>0</v>
      </c>
      <c r="AC30" s="38"/>
      <c r="AD30" s="38"/>
      <c r="AE30" s="37">
        <v>451</v>
      </c>
      <c r="AF30" s="37">
        <v>2251</v>
      </c>
      <c r="AG30" s="37">
        <v>2702</v>
      </c>
      <c r="AH30" s="37">
        <v>2194</v>
      </c>
      <c r="AI30" s="37">
        <v>508</v>
      </c>
    </row>
    <row r="31" spans="1:35">
      <c r="A31" s="34" t="s">
        <v>46</v>
      </c>
      <c r="B31" s="35" t="s">
        <v>50</v>
      </c>
      <c r="C31" s="59">
        <f t="shared" si="0"/>
        <v>54</v>
      </c>
      <c r="D31" s="59">
        <f t="shared" si="0"/>
        <v>83</v>
      </c>
      <c r="E31" s="59">
        <f t="shared" si="0"/>
        <v>137</v>
      </c>
      <c r="F31" s="59">
        <f t="shared" si="0"/>
        <v>94</v>
      </c>
      <c r="G31" s="59">
        <f t="shared" si="0"/>
        <v>43</v>
      </c>
      <c r="H31" s="59"/>
      <c r="I31" s="59"/>
      <c r="J31" s="37">
        <v>0</v>
      </c>
      <c r="K31" s="37">
        <v>0</v>
      </c>
      <c r="L31" s="37">
        <v>0</v>
      </c>
      <c r="M31" s="37">
        <v>0</v>
      </c>
      <c r="N31" s="38">
        <v>0</v>
      </c>
      <c r="O31" s="38"/>
      <c r="P31" s="37">
        <v>54</v>
      </c>
      <c r="Q31" s="37">
        <v>83</v>
      </c>
      <c r="R31" s="37">
        <v>137</v>
      </c>
      <c r="S31" s="37">
        <v>94</v>
      </c>
      <c r="T31" s="38">
        <v>43</v>
      </c>
      <c r="U31" s="38"/>
      <c r="V31" s="38"/>
      <c r="W31" s="38"/>
      <c r="X31" s="37">
        <v>0</v>
      </c>
      <c r="Y31" s="37">
        <v>0</v>
      </c>
      <c r="Z31" s="37">
        <v>0</v>
      </c>
      <c r="AA31" s="37">
        <v>0</v>
      </c>
      <c r="AB31" s="38">
        <v>0</v>
      </c>
      <c r="AC31" s="38"/>
      <c r="AD31" s="38"/>
      <c r="AE31" s="37">
        <v>0</v>
      </c>
      <c r="AF31" s="37">
        <v>0</v>
      </c>
      <c r="AG31" s="37">
        <v>0</v>
      </c>
      <c r="AH31" s="37">
        <v>0</v>
      </c>
      <c r="AI31" s="37">
        <v>0</v>
      </c>
    </row>
    <row r="32" spans="1:35">
      <c r="A32" s="41" t="s">
        <v>46</v>
      </c>
      <c r="B32" s="42" t="s">
        <v>51</v>
      </c>
      <c r="C32" s="59">
        <f t="shared" si="0"/>
        <v>2</v>
      </c>
      <c r="D32" s="59">
        <f t="shared" si="0"/>
        <v>5</v>
      </c>
      <c r="E32" s="59">
        <f t="shared" si="0"/>
        <v>7</v>
      </c>
      <c r="F32" s="59">
        <f t="shared" si="0"/>
        <v>0</v>
      </c>
      <c r="G32" s="59">
        <f t="shared" si="0"/>
        <v>7</v>
      </c>
      <c r="H32" s="59"/>
      <c r="I32" s="59"/>
      <c r="J32" s="43">
        <v>2</v>
      </c>
      <c r="K32" s="43">
        <v>5</v>
      </c>
      <c r="L32" s="43">
        <v>7</v>
      </c>
      <c r="M32" s="43">
        <v>0</v>
      </c>
      <c r="N32" s="44">
        <v>7</v>
      </c>
      <c r="O32" s="44"/>
      <c r="P32" s="43">
        <v>0</v>
      </c>
      <c r="Q32" s="43">
        <v>0</v>
      </c>
      <c r="R32" s="43">
        <v>0</v>
      </c>
      <c r="S32" s="43">
        <v>0</v>
      </c>
      <c r="T32" s="44">
        <v>0</v>
      </c>
      <c r="U32" s="44"/>
      <c r="V32" s="44"/>
      <c r="W32" s="44"/>
      <c r="X32" s="43">
        <v>111</v>
      </c>
      <c r="Y32" s="43">
        <v>448</v>
      </c>
      <c r="Z32" s="43">
        <v>558</v>
      </c>
      <c r="AA32" s="43">
        <v>307</v>
      </c>
      <c r="AB32" s="44">
        <v>251</v>
      </c>
      <c r="AC32" s="44"/>
      <c r="AD32" s="44"/>
      <c r="AE32" s="43">
        <v>5</v>
      </c>
      <c r="AF32" s="43">
        <v>116</v>
      </c>
      <c r="AG32" s="43">
        <v>121</v>
      </c>
      <c r="AH32" s="43">
        <v>102</v>
      </c>
      <c r="AI32" s="43">
        <v>19</v>
      </c>
    </row>
    <row r="33" spans="1:35">
      <c r="A33" s="46" t="s">
        <v>1</v>
      </c>
      <c r="AI33" s="31" t="s">
        <v>78</v>
      </c>
    </row>
    <row r="36" spans="1:35">
      <c r="A36" s="1"/>
      <c r="B36" s="53" t="s">
        <v>79</v>
      </c>
    </row>
    <row r="37" spans="1:35">
      <c r="B37" s="54" t="s">
        <v>72</v>
      </c>
      <c r="C37" s="54" t="s">
        <v>80</v>
      </c>
      <c r="D37" s="54" t="s">
        <v>73</v>
      </c>
      <c r="E37" s="54"/>
      <c r="F37" s="54"/>
    </row>
    <row r="38" spans="1:35">
      <c r="A38" s="54" t="s">
        <v>81</v>
      </c>
      <c r="B38" s="55">
        <f>H5</f>
        <v>32.906696345761453</v>
      </c>
      <c r="C38" s="55">
        <f>AC5</f>
        <v>62.419047619047618</v>
      </c>
      <c r="D38" s="55">
        <f>AJ5</f>
        <v>84.499785315586081</v>
      </c>
    </row>
    <row r="39" spans="1:35">
      <c r="A39" s="54" t="s">
        <v>82</v>
      </c>
      <c r="B39" s="55">
        <f>H6</f>
        <v>31.033495562553682</v>
      </c>
      <c r="C39" s="55">
        <f>AC6</f>
        <v>59.483701597024719</v>
      </c>
      <c r="D39" s="55">
        <f>AJ6</f>
        <v>81.331916400991858</v>
      </c>
    </row>
    <row r="40" spans="1:35">
      <c r="A40" s="54" t="s">
        <v>83</v>
      </c>
      <c r="B40" s="55">
        <f>H7</f>
        <v>36.354056902002107</v>
      </c>
      <c r="C40" s="55">
        <f>AC7</f>
        <v>64.682071175577676</v>
      </c>
      <c r="D40" s="55">
        <f>AJ7</f>
        <v>86.647454370797306</v>
      </c>
    </row>
    <row r="42" spans="1:35">
      <c r="B42" s="61" t="s">
        <v>86</v>
      </c>
      <c r="C42" s="61"/>
      <c r="D42" s="61"/>
    </row>
    <row r="43" spans="1:35">
      <c r="B43" s="54" t="s">
        <v>72</v>
      </c>
      <c r="C43" s="54" t="s">
        <v>80</v>
      </c>
      <c r="D43" s="54" t="s">
        <v>73</v>
      </c>
    </row>
    <row r="44" spans="1:35">
      <c r="A44" s="54" t="s">
        <v>81</v>
      </c>
      <c r="B44" s="62">
        <f>G5</f>
        <v>3617</v>
      </c>
      <c r="C44" s="62">
        <f>AB5</f>
        <v>3946</v>
      </c>
      <c r="D44" s="62">
        <f>AI5</f>
        <v>1083</v>
      </c>
    </row>
    <row r="45" spans="1:35">
      <c r="A45" s="54" t="s">
        <v>82</v>
      </c>
      <c r="B45" s="62">
        <f>G6</f>
        <v>2409</v>
      </c>
      <c r="C45" s="62">
        <f>AB6</f>
        <v>1852</v>
      </c>
      <c r="D45" s="62">
        <f>AI6</f>
        <v>527</v>
      </c>
    </row>
    <row r="46" spans="1:35">
      <c r="A46" s="54" t="s">
        <v>83</v>
      </c>
      <c r="B46" s="62">
        <f>G7</f>
        <v>1208</v>
      </c>
      <c r="C46" s="62">
        <f>AB7</f>
        <v>2094</v>
      </c>
      <c r="D46" s="62">
        <f>AI7</f>
        <v>556</v>
      </c>
    </row>
    <row r="49" spans="1:5">
      <c r="B49" s="61" t="s">
        <v>87</v>
      </c>
      <c r="C49" s="61"/>
      <c r="D49" s="61"/>
    </row>
    <row r="50" spans="1:5">
      <c r="B50" s="54" t="s">
        <v>72</v>
      </c>
      <c r="C50" s="54" t="s">
        <v>80</v>
      </c>
      <c r="D50" s="54" t="s">
        <v>73</v>
      </c>
    </row>
    <row r="51" spans="1:5">
      <c r="A51" s="54" t="s">
        <v>81</v>
      </c>
      <c r="B51" s="62">
        <f>F5</f>
        <v>1774</v>
      </c>
      <c r="C51" s="62">
        <f>AA5</f>
        <v>6554</v>
      </c>
      <c r="D51" s="62">
        <f>AH5</f>
        <v>5904</v>
      </c>
    </row>
    <row r="52" spans="1:5">
      <c r="A52" s="54" t="s">
        <v>82</v>
      </c>
      <c r="B52" s="62">
        <f>F6</f>
        <v>1084</v>
      </c>
      <c r="C52" s="62">
        <f>AA6</f>
        <v>2719</v>
      </c>
      <c r="D52" s="62">
        <f>AH6</f>
        <v>2296</v>
      </c>
    </row>
    <row r="53" spans="1:5">
      <c r="A53" s="54" t="s">
        <v>83</v>
      </c>
      <c r="B53" s="62">
        <f>F7</f>
        <v>690</v>
      </c>
      <c r="C53" s="62">
        <f>AA7</f>
        <v>3835</v>
      </c>
      <c r="D53" s="62">
        <f>AH7</f>
        <v>3608</v>
      </c>
    </row>
    <row r="55" spans="1:5">
      <c r="A55" s="53" t="s">
        <v>0</v>
      </c>
      <c r="B55" s="61"/>
      <c r="C55" s="61"/>
      <c r="D55" s="61"/>
    </row>
    <row r="56" spans="1:5">
      <c r="A56" s="53"/>
      <c r="B56" s="61" t="s">
        <v>75</v>
      </c>
      <c r="C56" s="61" t="s">
        <v>46</v>
      </c>
      <c r="D56" s="61" t="s">
        <v>74</v>
      </c>
    </row>
    <row r="57" spans="1:5">
      <c r="A57" s="61" t="s">
        <v>88</v>
      </c>
      <c r="B57" s="62">
        <v>7528</v>
      </c>
      <c r="C57" s="62">
        <v>4550</v>
      </c>
      <c r="D57" s="62">
        <v>2978</v>
      </c>
      <c r="E57" s="30"/>
    </row>
    <row r="58" spans="1:5">
      <c r="A58" s="61" t="s">
        <v>89</v>
      </c>
      <c r="B58" s="62">
        <v>15351</v>
      </c>
      <c r="C58" s="62">
        <v>6338</v>
      </c>
      <c r="D58" s="62">
        <v>9013</v>
      </c>
      <c r="E58" s="30"/>
    </row>
    <row r="59" spans="1:5">
      <c r="A59" s="61" t="s">
        <v>87</v>
      </c>
      <c r="B59" s="62">
        <v>14232</v>
      </c>
      <c r="C59" s="62">
        <v>6099</v>
      </c>
      <c r="D59" s="62">
        <v>8133</v>
      </c>
    </row>
    <row r="60" spans="1:5">
      <c r="A60" s="61" t="s">
        <v>86</v>
      </c>
      <c r="B60" s="62">
        <v>8646</v>
      </c>
      <c r="C60" s="62">
        <v>4788</v>
      </c>
      <c r="D60" s="62">
        <v>3858</v>
      </c>
    </row>
    <row r="61" spans="1:5">
      <c r="B61" s="33"/>
      <c r="C61" s="33"/>
      <c r="D61" s="33"/>
    </row>
    <row r="62" spans="1:5">
      <c r="A62" s="1"/>
      <c r="B62" s="30"/>
      <c r="C62" s="30"/>
      <c r="D62" s="30"/>
      <c r="E62" s="30"/>
    </row>
    <row r="63" spans="1:5">
      <c r="A63" s="1"/>
      <c r="B63" s="30"/>
      <c r="C63" s="30"/>
      <c r="D63" s="30"/>
      <c r="E63" s="30"/>
    </row>
    <row r="64" spans="1:5">
      <c r="A64" s="1"/>
      <c r="B64" s="30"/>
      <c r="C64" s="30"/>
      <c r="D64" s="30"/>
      <c r="E64" s="30"/>
    </row>
    <row r="65" spans="1:11">
      <c r="A65" s="1"/>
      <c r="B65" s="30"/>
      <c r="C65" s="30"/>
      <c r="D65" s="30"/>
      <c r="E65" s="30"/>
    </row>
    <row r="66" spans="1:11">
      <c r="B66" s="53" t="s">
        <v>90</v>
      </c>
    </row>
    <row r="67" spans="1:11">
      <c r="B67" s="61"/>
      <c r="H67" s="61" t="s">
        <v>91</v>
      </c>
    </row>
    <row r="68" spans="1:11">
      <c r="A68" s="1"/>
      <c r="B68" s="61"/>
      <c r="C68" s="61" t="s">
        <v>92</v>
      </c>
      <c r="D68" s="61" t="s">
        <v>93</v>
      </c>
      <c r="E68" s="61" t="s">
        <v>94</v>
      </c>
      <c r="F68" s="61" t="s">
        <v>95</v>
      </c>
      <c r="G68" s="61"/>
      <c r="H68" s="63" t="s">
        <v>96</v>
      </c>
      <c r="I68" s="61" t="s">
        <v>97</v>
      </c>
      <c r="J68" s="61" t="s">
        <v>98</v>
      </c>
      <c r="K68" s="61"/>
    </row>
    <row r="69" spans="1:11">
      <c r="A69" s="1"/>
      <c r="B69" s="61" t="s">
        <v>52</v>
      </c>
      <c r="C69" s="61">
        <v>590</v>
      </c>
      <c r="D69" s="61">
        <v>339</v>
      </c>
      <c r="E69" s="61">
        <v>251</v>
      </c>
      <c r="F69" s="55">
        <f>D69/C69*100</f>
        <v>57.457627118644069</v>
      </c>
      <c r="G69" s="61"/>
      <c r="H69" s="64">
        <v>10</v>
      </c>
      <c r="I69" s="55">
        <f t="shared" ref="I69:I88" si="1">C69/H69</f>
        <v>59</v>
      </c>
      <c r="J69" s="55">
        <f t="shared" ref="J69:J88" si="2">D69/H69</f>
        <v>33.9</v>
      </c>
      <c r="K69" s="61"/>
    </row>
    <row r="70" spans="1:11">
      <c r="A70" s="1"/>
      <c r="B70" s="61" t="s">
        <v>53</v>
      </c>
      <c r="C70" s="61">
        <v>692</v>
      </c>
      <c r="D70" s="61">
        <v>367</v>
      </c>
      <c r="E70" s="61">
        <v>325</v>
      </c>
      <c r="F70" s="55">
        <f t="shared" ref="F70:F88" si="3">D70/C70*100</f>
        <v>53.034682080924853</v>
      </c>
      <c r="G70" s="61"/>
      <c r="H70" s="64">
        <v>8</v>
      </c>
      <c r="I70" s="55">
        <f t="shared" si="1"/>
        <v>86.5</v>
      </c>
      <c r="J70" s="55">
        <f t="shared" si="2"/>
        <v>45.875</v>
      </c>
      <c r="K70" s="61"/>
    </row>
    <row r="71" spans="1:11">
      <c r="A71" s="1"/>
      <c r="B71" s="61" t="s">
        <v>54</v>
      </c>
      <c r="C71" s="61">
        <v>400</v>
      </c>
      <c r="D71" s="61">
        <v>332</v>
      </c>
      <c r="E71" s="61">
        <v>68</v>
      </c>
      <c r="F71" s="55">
        <f t="shared" si="3"/>
        <v>83</v>
      </c>
      <c r="G71" s="61"/>
      <c r="H71" s="64">
        <v>4</v>
      </c>
      <c r="I71" s="55">
        <f t="shared" si="1"/>
        <v>100</v>
      </c>
      <c r="J71" s="55">
        <f t="shared" si="2"/>
        <v>83</v>
      </c>
      <c r="K71" s="61"/>
    </row>
    <row r="72" spans="1:11">
      <c r="A72" s="1"/>
      <c r="B72" s="61" t="s">
        <v>55</v>
      </c>
      <c r="C72" s="61">
        <v>658</v>
      </c>
      <c r="D72" s="61">
        <v>407</v>
      </c>
      <c r="E72" s="61">
        <v>251</v>
      </c>
      <c r="F72" s="55">
        <f t="shared" si="3"/>
        <v>61.854103343465049</v>
      </c>
      <c r="G72" s="61"/>
      <c r="H72" s="64">
        <v>5</v>
      </c>
      <c r="I72" s="55">
        <f t="shared" si="1"/>
        <v>131.6</v>
      </c>
      <c r="J72" s="55">
        <f t="shared" si="2"/>
        <v>81.400000000000006</v>
      </c>
      <c r="K72" s="61"/>
    </row>
    <row r="73" spans="1:11">
      <c r="A73" s="1"/>
      <c r="B73" s="61" t="s">
        <v>56</v>
      </c>
      <c r="C73" s="61">
        <v>679</v>
      </c>
      <c r="D73" s="61">
        <v>485</v>
      </c>
      <c r="E73" s="61">
        <v>194</v>
      </c>
      <c r="F73" s="55">
        <f t="shared" si="3"/>
        <v>71.428571428571431</v>
      </c>
      <c r="G73" s="61"/>
      <c r="H73" s="64">
        <v>7</v>
      </c>
      <c r="I73" s="55">
        <f t="shared" si="1"/>
        <v>97</v>
      </c>
      <c r="J73" s="55">
        <f t="shared" si="2"/>
        <v>69.285714285714292</v>
      </c>
      <c r="K73" s="61"/>
    </row>
    <row r="74" spans="1:11">
      <c r="B74" s="61" t="s">
        <v>57</v>
      </c>
      <c r="C74" s="61">
        <v>423</v>
      </c>
      <c r="D74" s="61">
        <v>253</v>
      </c>
      <c r="E74" s="61">
        <v>170</v>
      </c>
      <c r="F74" s="55">
        <f t="shared" si="3"/>
        <v>59.810874704491724</v>
      </c>
      <c r="G74" s="61"/>
      <c r="H74" s="64">
        <v>5</v>
      </c>
      <c r="I74" s="55">
        <f t="shared" si="1"/>
        <v>84.6</v>
      </c>
      <c r="J74" s="55">
        <f t="shared" si="2"/>
        <v>50.6</v>
      </c>
      <c r="K74" s="61"/>
    </row>
    <row r="75" spans="1:11">
      <c r="B75" s="61" t="s">
        <v>58</v>
      </c>
      <c r="C75" s="61">
        <v>608</v>
      </c>
      <c r="D75" s="61">
        <v>366</v>
      </c>
      <c r="E75" s="61">
        <v>242</v>
      </c>
      <c r="F75" s="55">
        <f t="shared" si="3"/>
        <v>60.19736842105263</v>
      </c>
      <c r="G75" s="61"/>
      <c r="H75" s="64">
        <v>1</v>
      </c>
      <c r="I75" s="55">
        <f t="shared" si="1"/>
        <v>608</v>
      </c>
      <c r="J75" s="55">
        <f t="shared" si="2"/>
        <v>366</v>
      </c>
      <c r="K75" s="61"/>
    </row>
    <row r="76" spans="1:11">
      <c r="B76" s="61" t="s">
        <v>59</v>
      </c>
      <c r="C76" s="61">
        <v>519</v>
      </c>
      <c r="D76" s="61">
        <v>401</v>
      </c>
      <c r="E76" s="61">
        <v>118</v>
      </c>
      <c r="F76" s="55">
        <f t="shared" si="3"/>
        <v>77.263969171483623</v>
      </c>
      <c r="G76" s="61"/>
      <c r="H76" s="64">
        <v>8</v>
      </c>
      <c r="I76" s="55">
        <f t="shared" si="1"/>
        <v>64.875</v>
      </c>
      <c r="J76" s="55">
        <f t="shared" si="2"/>
        <v>50.125</v>
      </c>
      <c r="K76" s="61"/>
    </row>
    <row r="77" spans="1:11">
      <c r="B77" s="61" t="s">
        <v>60</v>
      </c>
      <c r="C77" s="61">
        <v>339</v>
      </c>
      <c r="D77" s="61">
        <v>279</v>
      </c>
      <c r="E77" s="61">
        <v>60</v>
      </c>
      <c r="F77" s="55">
        <f t="shared" si="3"/>
        <v>82.30088495575221</v>
      </c>
      <c r="G77" s="61"/>
      <c r="H77" s="64">
        <v>7</v>
      </c>
      <c r="I77" s="55">
        <f t="shared" si="1"/>
        <v>48.428571428571431</v>
      </c>
      <c r="J77" s="55">
        <f t="shared" si="2"/>
        <v>39.857142857142854</v>
      </c>
      <c r="K77" s="61"/>
    </row>
    <row r="78" spans="1:11">
      <c r="B78" s="61" t="s">
        <v>61</v>
      </c>
      <c r="C78" s="61">
        <v>421</v>
      </c>
      <c r="D78" s="61">
        <v>316</v>
      </c>
      <c r="E78" s="61">
        <v>105</v>
      </c>
      <c r="F78" s="55">
        <f t="shared" si="3"/>
        <v>75.059382422802841</v>
      </c>
      <c r="G78" s="61"/>
      <c r="H78" s="64">
        <v>4</v>
      </c>
      <c r="I78" s="55">
        <f t="shared" si="1"/>
        <v>105.25</v>
      </c>
      <c r="J78" s="55">
        <f t="shared" si="2"/>
        <v>79</v>
      </c>
      <c r="K78" s="61"/>
    </row>
    <row r="79" spans="1:11">
      <c r="B79" s="61" t="s">
        <v>62</v>
      </c>
      <c r="C79" s="61">
        <v>63</v>
      </c>
      <c r="D79" s="61">
        <v>51</v>
      </c>
      <c r="E79" s="61">
        <v>12</v>
      </c>
      <c r="F79" s="55">
        <f t="shared" si="3"/>
        <v>80.952380952380949</v>
      </c>
      <c r="G79" s="61"/>
      <c r="H79" s="64">
        <v>2</v>
      </c>
      <c r="I79" s="55">
        <f t="shared" si="1"/>
        <v>31.5</v>
      </c>
      <c r="J79" s="55">
        <f t="shared" si="2"/>
        <v>25.5</v>
      </c>
      <c r="K79" s="61"/>
    </row>
    <row r="80" spans="1:11">
      <c r="B80" s="61" t="s">
        <v>63</v>
      </c>
      <c r="C80" s="61">
        <v>237</v>
      </c>
      <c r="D80" s="61">
        <v>183</v>
      </c>
      <c r="E80" s="61">
        <v>54</v>
      </c>
      <c r="F80" s="55">
        <f t="shared" si="3"/>
        <v>77.215189873417728</v>
      </c>
      <c r="G80" s="61"/>
      <c r="H80" s="64">
        <v>5</v>
      </c>
      <c r="I80" s="55">
        <f t="shared" si="1"/>
        <v>47.4</v>
      </c>
      <c r="J80" s="55">
        <f t="shared" si="2"/>
        <v>36.6</v>
      </c>
      <c r="K80" s="61"/>
    </row>
    <row r="81" spans="2:11">
      <c r="B81" s="61" t="s">
        <v>64</v>
      </c>
      <c r="C81" s="61">
        <v>237</v>
      </c>
      <c r="D81" s="61">
        <v>167</v>
      </c>
      <c r="E81" s="61">
        <v>70</v>
      </c>
      <c r="F81" s="55">
        <f t="shared" si="3"/>
        <v>70.46413502109705</v>
      </c>
      <c r="G81" s="61"/>
      <c r="H81" s="64">
        <v>3</v>
      </c>
      <c r="I81" s="55">
        <f t="shared" si="1"/>
        <v>79</v>
      </c>
      <c r="J81" s="55">
        <f t="shared" si="2"/>
        <v>55.666666666666664</v>
      </c>
      <c r="K81" s="61"/>
    </row>
    <row r="82" spans="2:11">
      <c r="B82" s="61" t="s">
        <v>65</v>
      </c>
      <c r="C82" s="61">
        <v>254</v>
      </c>
      <c r="D82" s="61">
        <v>204</v>
      </c>
      <c r="E82" s="61">
        <v>50</v>
      </c>
      <c r="F82" s="55">
        <f t="shared" si="3"/>
        <v>80.314960629921259</v>
      </c>
      <c r="G82" s="61"/>
      <c r="H82" s="64">
        <v>4</v>
      </c>
      <c r="I82" s="55">
        <f t="shared" si="1"/>
        <v>63.5</v>
      </c>
      <c r="J82" s="55">
        <f t="shared" si="2"/>
        <v>51</v>
      </c>
      <c r="K82" s="61"/>
    </row>
    <row r="83" spans="2:11">
      <c r="B83" s="61" t="s">
        <v>66</v>
      </c>
      <c r="C83" s="61">
        <v>595</v>
      </c>
      <c r="D83" s="61">
        <v>374</v>
      </c>
      <c r="E83" s="61">
        <v>221</v>
      </c>
      <c r="F83" s="55">
        <f t="shared" si="3"/>
        <v>62.857142857142854</v>
      </c>
      <c r="G83" s="61"/>
      <c r="H83" s="64">
        <v>10</v>
      </c>
      <c r="I83" s="55">
        <f t="shared" si="1"/>
        <v>59.5</v>
      </c>
      <c r="J83" s="55">
        <f t="shared" si="2"/>
        <v>37.4</v>
      </c>
      <c r="K83" s="61"/>
    </row>
    <row r="84" spans="2:11">
      <c r="B84" s="61" t="s">
        <v>67</v>
      </c>
      <c r="C84" s="61">
        <v>1209</v>
      </c>
      <c r="D84" s="61">
        <v>736</v>
      </c>
      <c r="E84" s="61">
        <v>473</v>
      </c>
      <c r="F84" s="55">
        <f t="shared" si="3"/>
        <v>60.876757650951198</v>
      </c>
      <c r="G84" s="61"/>
      <c r="H84" s="64">
        <v>9</v>
      </c>
      <c r="I84" s="55">
        <f t="shared" si="1"/>
        <v>134.33333333333334</v>
      </c>
      <c r="J84" s="55">
        <f t="shared" si="2"/>
        <v>81.777777777777771</v>
      </c>
      <c r="K84" s="61"/>
    </row>
    <row r="85" spans="2:11">
      <c r="B85" s="61" t="s">
        <v>68</v>
      </c>
      <c r="C85" s="61">
        <v>1188</v>
      </c>
      <c r="D85" s="61">
        <v>918</v>
      </c>
      <c r="E85" s="61">
        <v>270</v>
      </c>
      <c r="F85" s="55">
        <f t="shared" si="3"/>
        <v>77.272727272727266</v>
      </c>
      <c r="G85" s="61"/>
      <c r="H85" s="64">
        <v>10</v>
      </c>
      <c r="I85" s="55">
        <f t="shared" si="1"/>
        <v>118.8</v>
      </c>
      <c r="J85" s="55">
        <f t="shared" si="2"/>
        <v>91.8</v>
      </c>
      <c r="K85" s="61"/>
    </row>
    <row r="86" spans="2:11">
      <c r="B86" s="61" t="s">
        <v>69</v>
      </c>
      <c r="C86" s="61">
        <v>897</v>
      </c>
      <c r="D86" s="61">
        <v>701</v>
      </c>
      <c r="E86" s="61">
        <v>196</v>
      </c>
      <c r="F86" s="55">
        <f t="shared" si="3"/>
        <v>78.149386845039018</v>
      </c>
      <c r="G86" s="61"/>
      <c r="H86" s="64">
        <v>8</v>
      </c>
      <c r="I86" s="55">
        <f t="shared" si="1"/>
        <v>112.125</v>
      </c>
      <c r="J86" s="55">
        <f t="shared" si="2"/>
        <v>87.625</v>
      </c>
      <c r="K86" s="61"/>
    </row>
    <row r="87" spans="2:11">
      <c r="B87" s="61" t="s">
        <v>70</v>
      </c>
      <c r="C87" s="61">
        <v>859</v>
      </c>
      <c r="D87" s="61">
        <v>595</v>
      </c>
      <c r="E87" s="61">
        <v>264</v>
      </c>
      <c r="F87" s="55">
        <f t="shared" si="3"/>
        <v>69.266589057043078</v>
      </c>
      <c r="G87" s="61"/>
      <c r="H87" s="64">
        <v>2</v>
      </c>
      <c r="I87" s="55">
        <f t="shared" si="1"/>
        <v>429.5</v>
      </c>
      <c r="J87" s="55">
        <f t="shared" si="2"/>
        <v>297.5</v>
      </c>
      <c r="K87" s="61"/>
    </row>
    <row r="88" spans="2:11">
      <c r="B88" s="61" t="s">
        <v>71</v>
      </c>
      <c r="C88" s="61">
        <v>1123</v>
      </c>
      <c r="D88" s="61">
        <v>659</v>
      </c>
      <c r="E88" s="61">
        <v>464</v>
      </c>
      <c r="F88" s="55">
        <f t="shared" si="3"/>
        <v>58.682101513802323</v>
      </c>
      <c r="G88" s="61"/>
      <c r="H88" s="64">
        <v>8</v>
      </c>
      <c r="I88" s="55">
        <f t="shared" si="1"/>
        <v>140.375</v>
      </c>
      <c r="J88" s="55">
        <f t="shared" si="2"/>
        <v>82.375</v>
      </c>
      <c r="K88" s="61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8.15</vt:lpstr>
      <vt:lpstr>8.20 workings</vt:lpstr>
      <vt:lpstr>'8.15'!Print_Area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2018-05-29T08:52:41Z</cp:lastPrinted>
  <dcterms:created xsi:type="dcterms:W3CDTF">2013-04-04T04:05:16Z</dcterms:created>
  <dcterms:modified xsi:type="dcterms:W3CDTF">2018-05-29T08:53:13Z</dcterms:modified>
</cp:coreProperties>
</file>