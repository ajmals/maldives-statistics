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53" sheetId="96" r:id="rId1"/>
    <sheet name="8.20 workings" sheetId="36" state="hidden" r:id="rId2"/>
  </sheets>
  <externalReferences>
    <externalReference r:id="rId3"/>
  </externalReferences>
  <definedNames>
    <definedName name="_xlnm.Print_Area" localSheetId="0">'8.53'!$A$1:$H$30</definedName>
  </definedNames>
  <calcPr calcId="162913"/>
</workbook>
</file>

<file path=xl/calcChain.xml><?xml version="1.0" encoding="utf-8"?>
<calcChain xmlns="http://schemas.openxmlformats.org/spreadsheetml/2006/main">
  <c r="E29" i="96" l="1"/>
  <c r="B29" i="96"/>
  <c r="E28" i="96"/>
  <c r="B28" i="96"/>
  <c r="E27" i="96"/>
  <c r="B27" i="96"/>
  <c r="E26" i="96"/>
  <c r="B26" i="96"/>
  <c r="E25" i="96"/>
  <c r="B25" i="96"/>
  <c r="E24" i="96"/>
  <c r="B24" i="96"/>
  <c r="E23" i="96"/>
  <c r="E22" i="96" s="1"/>
  <c r="B23" i="96"/>
  <c r="G22" i="96"/>
  <c r="F22" i="96"/>
  <c r="D22" i="96"/>
  <c r="C22" i="96"/>
  <c r="E13" i="96"/>
  <c r="B13" i="96"/>
  <c r="E12" i="96"/>
  <c r="B12" i="96"/>
  <c r="E11" i="96"/>
  <c r="B11" i="96"/>
  <c r="E10" i="96"/>
  <c r="B10" i="96"/>
  <c r="E9" i="96"/>
  <c r="B9" i="96"/>
  <c r="E8" i="96"/>
  <c r="B8" i="96"/>
  <c r="E7" i="96"/>
  <c r="B7" i="96"/>
  <c r="G6" i="96"/>
  <c r="F6" i="96"/>
  <c r="D6" i="96"/>
  <c r="C6" i="96"/>
  <c r="B6" i="96" l="1"/>
  <c r="E6" i="96"/>
  <c r="B22" i="9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<sst xmlns="http://schemas.openxmlformats.org/spreadsheetml/2006/main" count="199" uniqueCount="84">
  <si>
    <t>Total</t>
  </si>
  <si>
    <t>Source: Department of Judicial Administration</t>
  </si>
  <si>
    <t>Both Sexes</t>
  </si>
  <si>
    <t>Male</t>
  </si>
  <si>
    <t>Female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</si>
  <si>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</si>
  <si>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</si>
  <si>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</si>
  <si>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</si>
  <si>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</si>
  <si>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</si>
  <si>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</si>
  <si>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</si>
  <si>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</si>
  <si>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</si>
  <si>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</si>
  <si>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</si>
  <si>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</si>
  <si>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</si>
  <si>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</si>
  <si>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</si>
  <si>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</si>
  <si>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</si>
  <si>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</si>
  <si>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</si>
  <si>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</si>
  <si>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</si>
  <si>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</si>
  <si>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</si>
  <si>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</si>
  <si>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</si>
  <si>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</si>
  <si>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</si>
  <si>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</si>
  <si>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</si>
  <si>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</si>
  <si>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</si>
  <si>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</si>
  <si>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</si>
  <si>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</si>
  <si>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</si>
  <si>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</si>
  <si>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</si>
  <si>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</si>
  <si>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</si>
  <si>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</si>
  <si>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</si>
  <si>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</si>
  <si>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</si>
  <si>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</si>
  <si>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</si>
  <si>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</si>
  <si>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</si>
  <si>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</si>
  <si>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</si>
  <si>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</si>
  <si>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</si>
  <si>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</si>
  <si>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</si>
  <si>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</si>
  <si>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</si>
  <si>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</si>
  <si>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</si>
  <si>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</si>
  <si>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</si>
  <si>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</si>
  <si>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Source: Ministry of Gender &amp; Family</t>
  </si>
  <si>
    <t>މަޢުލޫމާތު ދެއްވީ: މިނިސްޓްރީ އޮފް ޖެންޑަރ އެންޑް ފެމިލީ</t>
  </si>
  <si>
    <t>5</t>
  </si>
  <si>
    <t>6 - 9</t>
  </si>
  <si>
    <t>10 - 14</t>
  </si>
  <si>
    <t>15</t>
  </si>
  <si>
    <t>16 - 18</t>
  </si>
  <si>
    <t>Age group</t>
  </si>
  <si>
    <t>18+</t>
  </si>
  <si>
    <t>No. of Children Attending School</t>
  </si>
  <si>
    <t>No. of Children Not Attending School</t>
  </si>
  <si>
    <t>3-4</t>
  </si>
  <si>
    <t>Source: Ministry of Law &amp; Gender</t>
  </si>
  <si>
    <t>މަޢުލޫމާތު ދެއްވީ: މިނިސްޓްރީ އޮފް ލޯ އެންޑް ޖެންޑަރ</t>
  </si>
  <si>
    <t>Table 8.53: School attendance of children at  Childrens Shelter, Fiyavathi, by age group and sex, 2017</t>
  </si>
  <si>
    <t>ތާވަލު 8.53: ހުޅުމާލެ ފިޔަވަތީގައި ތިބި ސްކޫލަށްދާ އަދި ނުދާ ކުދިންގެ އަދަދު، 2017</t>
  </si>
  <si>
    <t>Table 8.53: School attendance of children at  Childrens Shelter, Fiyavathi, by age group and sex, 2016</t>
  </si>
  <si>
    <t>ތާވަލު 8.53: ހުޅުމާލެ ފިޔަވަތީގައި ތިބި ސްކޫލަށްދާ އަދި ނުދާ ކުދިންގެ އަދަދު،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</si>
</sst>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Faruma"/>
    </font>
    <font>
      <sz val="10"/>
      <name val="Faruma"/>
    </font>
    <font>
      <sz val="9"/>
      <name val="A_Reethi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theme="1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9" fillId="0" borderId="0"/>
    <xf numFmtId="0" fontId="13" fillId="0" borderId="7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1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left" vertical="center" wrapText="1"/>
    </xf>
    <xf numFmtId="3" fontId="5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/>
    </xf>
    <xf numFmtId="164" fontId="0" fillId="2" borderId="0" xfId="0" applyNumberFormat="1" applyFill="1"/>
    <xf numFmtId="164" fontId="5" fillId="2" borderId="0" xfId="0" applyNumberFormat="1" applyFont="1" applyFill="1"/>
    <xf numFmtId="164" fontId="6" fillId="2" borderId="19" xfId="0" applyNumberFormat="1" applyFont="1" applyFill="1" applyBorder="1" applyAlignment="1">
      <alignment vertical="top"/>
    </xf>
    <xf numFmtId="164" fontId="4" fillId="2" borderId="19" xfId="0" applyNumberFormat="1" applyFont="1" applyFill="1" applyBorder="1" applyAlignment="1">
      <alignment vertical="top"/>
    </xf>
    <xf numFmtId="164" fontId="5" fillId="2" borderId="4" xfId="0" applyNumberFormat="1" applyFont="1" applyFill="1" applyBorder="1"/>
    <xf numFmtId="164" fontId="31" fillId="2" borderId="0" xfId="0" applyNumberFormat="1" applyFont="1" applyFill="1" applyBorder="1" applyAlignment="1">
      <alignment vertical="top" wrapText="1" readingOrder="2"/>
    </xf>
    <xf numFmtId="164" fontId="3" fillId="2" borderId="18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49" fontId="5" fillId="2" borderId="0" xfId="3" applyNumberFormat="1" applyFont="1" applyFill="1" applyAlignment="1">
      <alignment horizontal="left"/>
    </xf>
    <xf numFmtId="3" fontId="5" fillId="2" borderId="17" xfId="0" applyNumberFormat="1" applyFont="1" applyFill="1" applyBorder="1" applyAlignment="1">
      <alignment horizontal="right"/>
    </xf>
    <xf numFmtId="3" fontId="5" fillId="2" borderId="4" xfId="0" applyNumberFormat="1" applyFont="1" applyFill="1" applyBorder="1" applyAlignment="1">
      <alignment horizontal="right"/>
    </xf>
    <xf numFmtId="3" fontId="5" fillId="2" borderId="18" xfId="0" applyNumberFormat="1" applyFont="1" applyFill="1" applyBorder="1" applyAlignment="1">
      <alignment horizontal="right"/>
    </xf>
    <xf numFmtId="164" fontId="32" fillId="2" borderId="0" xfId="0" applyNumberFormat="1" applyFont="1" applyFill="1" applyBorder="1" applyAlignment="1">
      <alignment vertical="top" readingOrder="2"/>
    </xf>
    <xf numFmtId="164" fontId="3" fillId="2" borderId="0" xfId="0" applyNumberFormat="1" applyFont="1" applyFill="1" applyBorder="1" applyAlignment="1">
      <alignment horizontal="left" vertical="center" wrapText="1"/>
    </xf>
    <xf numFmtId="164" fontId="3" fillId="2" borderId="4" xfId="0" applyNumberFormat="1" applyFont="1" applyFill="1" applyBorder="1" applyAlignment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19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/>
    </xf>
    <xf numFmtId="164" fontId="31" fillId="2" borderId="19" xfId="0" applyNumberFormat="1" applyFont="1" applyFill="1" applyBorder="1" applyAlignment="1">
      <alignment horizontal="right" vertical="top" wrapText="1" readingOrder="2"/>
    </xf>
    <xf numFmtId="164" fontId="3" fillId="2" borderId="20" xfId="0" applyNumberFormat="1" applyFont="1" applyFill="1" applyBorder="1" applyAlignment="1">
      <alignment horizontal="center" vertical="center"/>
    </xf>
    <xf numFmtId="164" fontId="30" fillId="2" borderId="0" xfId="0" applyNumberFormat="1" applyFont="1" applyFill="1" applyAlignment="1">
      <alignment horizontal="center"/>
    </xf>
    <xf numFmtId="0" fontId="12" fillId="2" borderId="0" xfId="0" applyNumberFormat="1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6"/>
    <cellStyle name="Explanatory Text" xfId="23" builtinId="53" customBuiltin="1"/>
    <cellStyle name="Good" xfId="13" builtinId="26" customBuiltin="1"/>
    <cellStyle name="Heading 1" xfId="9" builtinId="16" customBuiltin="1"/>
    <cellStyle name="Heading 1 2" xfId="4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5"/>
    <cellStyle name="Normal_II-14(Population)" xfId="3"/>
    <cellStyle name="Note" xfId="22" builtinId="10" customBuiltin="1"/>
    <cellStyle name="Output" xfId="17" builtinId="21" customBuiltin="1"/>
    <cellStyle name="Percent 2" xfId="7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30"/>
  <sheetViews>
    <sheetView tabSelected="1" zoomScaleNormal="100" workbookViewId="0">
      <selection activeCell="J24" sqref="J24"/>
    </sheetView>
  </sheetViews>
  <sheetFormatPr defaultColWidth="9.140625" defaultRowHeight="15"/>
  <cols>
    <col min="1" max="1" width="13.7109375" style="41" customWidth="1"/>
    <col min="2" max="6" width="12.28515625" style="41" customWidth="1"/>
    <col min="7" max="7" width="14" style="41" customWidth="1"/>
    <col min="8" max="16384" width="9.140625" style="41"/>
  </cols>
  <sheetData>
    <row r="1" spans="1:11" ht="21">
      <c r="A1" s="64" t="s">
        <v>81</v>
      </c>
      <c r="B1" s="64"/>
      <c r="C1" s="64"/>
      <c r="D1" s="64"/>
      <c r="E1" s="64"/>
      <c r="F1" s="64"/>
      <c r="G1" s="64"/>
    </row>
    <row r="2" spans="1:11">
      <c r="A2" s="65" t="s">
        <v>80</v>
      </c>
      <c r="B2" s="65"/>
      <c r="C2" s="65"/>
      <c r="D2" s="65"/>
      <c r="E2" s="65"/>
      <c r="F2" s="65"/>
      <c r="G2" s="65"/>
    </row>
    <row r="4" spans="1:11">
      <c r="A4" s="59" t="s">
        <v>73</v>
      </c>
      <c r="B4" s="61" t="s">
        <v>75</v>
      </c>
      <c r="C4" s="61"/>
      <c r="D4" s="63"/>
      <c r="E4" s="61" t="s">
        <v>76</v>
      </c>
      <c r="F4" s="61"/>
      <c r="G4" s="61"/>
    </row>
    <row r="5" spans="1:11">
      <c r="A5" s="60"/>
      <c r="B5" s="57" t="s">
        <v>2</v>
      </c>
      <c r="C5" s="57" t="s">
        <v>3</v>
      </c>
      <c r="D5" s="57" t="s">
        <v>4</v>
      </c>
      <c r="E5" s="47" t="s">
        <v>2</v>
      </c>
      <c r="F5" s="57" t="s">
        <v>3</v>
      </c>
      <c r="G5" s="57" t="s">
        <v>4</v>
      </c>
    </row>
    <row r="6" spans="1:11">
      <c r="A6" s="56" t="s">
        <v>0</v>
      </c>
      <c r="B6" s="48">
        <f t="shared" ref="B6:G6" si="0">SUM(B7:B13)</f>
        <v>88</v>
      </c>
      <c r="C6" s="49">
        <f t="shared" si="0"/>
        <v>51</v>
      </c>
      <c r="D6" s="49">
        <f t="shared" si="0"/>
        <v>37</v>
      </c>
      <c r="E6" s="50">
        <f t="shared" si="0"/>
        <v>0</v>
      </c>
      <c r="F6" s="49">
        <f t="shared" si="0"/>
        <v>0</v>
      </c>
      <c r="G6" s="49">
        <f t="shared" si="0"/>
        <v>0</v>
      </c>
    </row>
    <row r="7" spans="1:11">
      <c r="A7" s="51" t="s">
        <v>77</v>
      </c>
      <c r="B7" s="40">
        <f>SUM(C7:D7)</f>
        <v>17</v>
      </c>
      <c r="C7" s="39">
        <v>10</v>
      </c>
      <c r="D7" s="39">
        <v>7</v>
      </c>
      <c r="E7" s="52">
        <f>SUM(F7:G7)</f>
        <v>0</v>
      </c>
      <c r="F7" s="39">
        <v>0</v>
      </c>
      <c r="G7" s="39">
        <v>0</v>
      </c>
    </row>
    <row r="8" spans="1:11">
      <c r="A8" s="51" t="s">
        <v>68</v>
      </c>
      <c r="B8" s="40">
        <f t="shared" ref="B8:B11" si="1">SUM(C8:D8)</f>
        <v>8</v>
      </c>
      <c r="C8" s="39">
        <v>5</v>
      </c>
      <c r="D8" s="39">
        <v>3</v>
      </c>
      <c r="E8" s="52">
        <f t="shared" ref="E8:E13" si="2">SUM(F8:G8)</f>
        <v>0</v>
      </c>
      <c r="F8" s="39">
        <v>0</v>
      </c>
      <c r="G8" s="39">
        <v>0</v>
      </c>
    </row>
    <row r="9" spans="1:11">
      <c r="A9" s="51" t="s">
        <v>69</v>
      </c>
      <c r="B9" s="40">
        <f t="shared" si="1"/>
        <v>45</v>
      </c>
      <c r="C9" s="39">
        <v>28</v>
      </c>
      <c r="D9" s="39">
        <v>17</v>
      </c>
      <c r="E9" s="52">
        <f t="shared" si="2"/>
        <v>0</v>
      </c>
      <c r="F9" s="39">
        <v>0</v>
      </c>
      <c r="G9" s="39">
        <v>0</v>
      </c>
    </row>
    <row r="10" spans="1:11">
      <c r="A10" s="51" t="s">
        <v>70</v>
      </c>
      <c r="B10" s="40">
        <f t="shared" si="1"/>
        <v>18</v>
      </c>
      <c r="C10" s="39">
        <v>8</v>
      </c>
      <c r="D10" s="39">
        <v>10</v>
      </c>
      <c r="E10" s="52">
        <f t="shared" si="2"/>
        <v>0</v>
      </c>
      <c r="F10" s="39">
        <v>0</v>
      </c>
      <c r="G10" s="39">
        <v>0</v>
      </c>
    </row>
    <row r="11" spans="1:11">
      <c r="A11" s="51" t="s">
        <v>71</v>
      </c>
      <c r="B11" s="40">
        <f t="shared" si="1"/>
        <v>0</v>
      </c>
      <c r="C11" s="39">
        <v>0</v>
      </c>
      <c r="D11" s="39">
        <v>0</v>
      </c>
      <c r="E11" s="52">
        <f t="shared" si="2"/>
        <v>0</v>
      </c>
      <c r="F11" s="39">
        <v>0</v>
      </c>
      <c r="G11" s="39">
        <v>0</v>
      </c>
    </row>
    <row r="12" spans="1:11">
      <c r="A12" s="51" t="s">
        <v>72</v>
      </c>
      <c r="B12" s="40">
        <f>SUM(C12:D12)</f>
        <v>0</v>
      </c>
      <c r="C12" s="39">
        <v>0</v>
      </c>
      <c r="D12" s="39">
        <v>0</v>
      </c>
      <c r="E12" s="52">
        <f t="shared" si="2"/>
        <v>0</v>
      </c>
      <c r="F12" s="39">
        <v>0</v>
      </c>
      <c r="G12" s="39">
        <v>0</v>
      </c>
    </row>
    <row r="13" spans="1:11">
      <c r="A13" s="45" t="s">
        <v>74</v>
      </c>
      <c r="B13" s="53">
        <f>SUM(C13:D13)</f>
        <v>0</v>
      </c>
      <c r="C13" s="39">
        <v>0</v>
      </c>
      <c r="D13" s="39">
        <v>0</v>
      </c>
      <c r="E13" s="54">
        <f t="shared" si="2"/>
        <v>0</v>
      </c>
      <c r="F13" s="39">
        <v>0</v>
      </c>
      <c r="G13" s="39">
        <v>0</v>
      </c>
    </row>
    <row r="14" spans="1:11" s="42" customFormat="1" ht="18.75">
      <c r="A14" s="43" t="s">
        <v>66</v>
      </c>
      <c r="B14" s="44"/>
      <c r="C14" s="44"/>
      <c r="D14" s="62" t="s">
        <v>67</v>
      </c>
      <c r="E14" s="62"/>
      <c r="F14" s="62"/>
      <c r="G14" s="62"/>
      <c r="H14" s="46"/>
      <c r="I14" s="46"/>
      <c r="J14" s="46"/>
      <c r="K14" s="46"/>
    </row>
    <row r="17" spans="1:7" ht="21">
      <c r="A17" s="64" t="s">
        <v>83</v>
      </c>
      <c r="B17" s="64"/>
      <c r="C17" s="64"/>
      <c r="D17" s="64"/>
      <c r="E17" s="64"/>
      <c r="F17" s="64"/>
      <c r="G17" s="64"/>
    </row>
    <row r="18" spans="1:7">
      <c r="A18" s="65" t="s">
        <v>82</v>
      </c>
      <c r="B18" s="65"/>
      <c r="C18" s="65"/>
      <c r="D18" s="65"/>
      <c r="E18" s="65"/>
      <c r="F18" s="65"/>
      <c r="G18" s="65"/>
    </row>
    <row r="20" spans="1:7">
      <c r="A20" s="59" t="s">
        <v>73</v>
      </c>
      <c r="B20" s="61" t="s">
        <v>75</v>
      </c>
      <c r="C20" s="61"/>
      <c r="D20" s="63"/>
      <c r="E20" s="61" t="s">
        <v>76</v>
      </c>
      <c r="F20" s="61"/>
      <c r="G20" s="61"/>
    </row>
    <row r="21" spans="1:7">
      <c r="A21" s="60"/>
      <c r="B21" s="57" t="s">
        <v>2</v>
      </c>
      <c r="C21" s="57" t="s">
        <v>3</v>
      </c>
      <c r="D21" s="57" t="s">
        <v>4</v>
      </c>
      <c r="E21" s="47" t="s">
        <v>2</v>
      </c>
      <c r="F21" s="57" t="s">
        <v>3</v>
      </c>
      <c r="G21" s="57" t="s">
        <v>4</v>
      </c>
    </row>
    <row r="22" spans="1:7">
      <c r="A22" s="56" t="s">
        <v>0</v>
      </c>
      <c r="B22" s="48">
        <f t="shared" ref="B22:G22" si="3">SUM(B23:B29)</f>
        <v>66</v>
      </c>
      <c r="C22" s="49">
        <f t="shared" si="3"/>
        <v>36</v>
      </c>
      <c r="D22" s="49">
        <f t="shared" si="3"/>
        <v>30</v>
      </c>
      <c r="E22" s="50">
        <f t="shared" si="3"/>
        <v>9</v>
      </c>
      <c r="F22" s="49">
        <f t="shared" si="3"/>
        <v>6</v>
      </c>
      <c r="G22" s="49">
        <f t="shared" si="3"/>
        <v>3</v>
      </c>
    </row>
    <row r="23" spans="1:7">
      <c r="A23" s="51" t="s">
        <v>77</v>
      </c>
      <c r="B23" s="40">
        <f>SUM(C23:D23)</f>
        <v>8</v>
      </c>
      <c r="C23" s="39">
        <v>4</v>
      </c>
      <c r="D23" s="39">
        <v>4</v>
      </c>
      <c r="E23" s="52">
        <f>SUM(F23:G23)</f>
        <v>3</v>
      </c>
      <c r="F23" s="39">
        <v>1</v>
      </c>
      <c r="G23" s="39">
        <v>2</v>
      </c>
    </row>
    <row r="24" spans="1:7">
      <c r="A24" s="51" t="s">
        <v>68</v>
      </c>
      <c r="B24" s="40">
        <f t="shared" ref="B24:B27" si="4">SUM(C24:D24)</f>
        <v>6</v>
      </c>
      <c r="C24" s="39">
        <v>4</v>
      </c>
      <c r="D24" s="39">
        <v>2</v>
      </c>
      <c r="E24" s="52">
        <f t="shared" ref="E24:E29" si="5">SUM(F24:G24)</f>
        <v>0</v>
      </c>
      <c r="F24" s="39">
        <v>0</v>
      </c>
      <c r="G24" s="39">
        <v>0</v>
      </c>
    </row>
    <row r="25" spans="1:7">
      <c r="A25" s="51" t="s">
        <v>69</v>
      </c>
      <c r="B25" s="40">
        <f t="shared" si="4"/>
        <v>49</v>
      </c>
      <c r="C25" s="39">
        <v>26</v>
      </c>
      <c r="D25" s="39">
        <v>23</v>
      </c>
      <c r="E25" s="52">
        <f t="shared" si="5"/>
        <v>6</v>
      </c>
      <c r="F25" s="39">
        <v>5</v>
      </c>
      <c r="G25" s="39">
        <v>1</v>
      </c>
    </row>
    <row r="26" spans="1:7">
      <c r="A26" s="51" t="s">
        <v>70</v>
      </c>
      <c r="B26" s="40">
        <f t="shared" si="4"/>
        <v>3</v>
      </c>
      <c r="C26" s="39">
        <v>2</v>
      </c>
      <c r="D26" s="39">
        <v>1</v>
      </c>
      <c r="E26" s="52">
        <f t="shared" si="5"/>
        <v>0</v>
      </c>
      <c r="F26" s="39">
        <v>0</v>
      </c>
      <c r="G26" s="39">
        <v>0</v>
      </c>
    </row>
    <row r="27" spans="1:7">
      <c r="A27" s="51" t="s">
        <v>71</v>
      </c>
      <c r="B27" s="40">
        <f t="shared" si="4"/>
        <v>0</v>
      </c>
      <c r="C27" s="39">
        <v>0</v>
      </c>
      <c r="D27" s="39">
        <v>0</v>
      </c>
      <c r="E27" s="52">
        <f t="shared" si="5"/>
        <v>0</v>
      </c>
      <c r="F27" s="39">
        <v>0</v>
      </c>
      <c r="G27" s="39">
        <v>0</v>
      </c>
    </row>
    <row r="28" spans="1:7">
      <c r="A28" s="51" t="s">
        <v>72</v>
      </c>
      <c r="B28" s="40">
        <f>SUM(C28:D28)</f>
        <v>0</v>
      </c>
      <c r="C28" s="39">
        <v>0</v>
      </c>
      <c r="D28" s="39">
        <v>0</v>
      </c>
      <c r="E28" s="52">
        <f t="shared" si="5"/>
        <v>0</v>
      </c>
      <c r="F28" s="39">
        <v>0</v>
      </c>
      <c r="G28" s="39">
        <v>0</v>
      </c>
    </row>
    <row r="29" spans="1:7">
      <c r="A29" s="45" t="s">
        <v>74</v>
      </c>
      <c r="B29" s="53">
        <f>SUM(C29:D29)</f>
        <v>0</v>
      </c>
      <c r="C29" s="38">
        <v>0</v>
      </c>
      <c r="D29" s="38">
        <v>0</v>
      </c>
      <c r="E29" s="54">
        <f t="shared" si="5"/>
        <v>0</v>
      </c>
      <c r="F29" s="38">
        <v>0</v>
      </c>
      <c r="G29" s="38">
        <v>0</v>
      </c>
    </row>
    <row r="30" spans="1:7" ht="17.25">
      <c r="A30" s="43" t="s">
        <v>78</v>
      </c>
      <c r="B30" s="42"/>
      <c r="C30" s="42"/>
      <c r="G30" s="55" t="s">
        <v>79</v>
      </c>
    </row>
  </sheetData>
  <mergeCells count="11">
    <mergeCell ref="A1:G1"/>
    <mergeCell ref="A17:G17"/>
    <mergeCell ref="A20:A21"/>
    <mergeCell ref="B20:D20"/>
    <mergeCell ref="E20:G20"/>
    <mergeCell ref="A2:G2"/>
    <mergeCell ref="A4:A5"/>
    <mergeCell ref="B4:D4"/>
    <mergeCell ref="E4:G4"/>
    <mergeCell ref="D14:G14"/>
    <mergeCell ref="A18:G18"/>
  </mergeCells>
  <pageMargins left="0.7" right="0.7" top="0.75" bottom="0.75" header="0.3" footer="0.3"/>
  <pageSetup paperSize="9" scale="88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66" t="s">
        <v>51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</row>
    <row r="2" spans="1:36">
      <c r="A2" s="58" t="s">
        <v>44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</row>
    <row r="3" spans="1:36" ht="15" customHeight="1">
      <c r="A3" s="67"/>
      <c r="B3" s="67"/>
      <c r="C3" s="68" t="s">
        <v>40</v>
      </c>
      <c r="D3" s="68"/>
      <c r="E3" s="68"/>
      <c r="F3" s="68"/>
      <c r="G3" s="68"/>
      <c r="H3" s="29"/>
      <c r="I3" s="29"/>
      <c r="J3" s="69" t="s">
        <v>6</v>
      </c>
      <c r="K3" s="69"/>
      <c r="L3" s="69"/>
      <c r="M3" s="69"/>
      <c r="N3" s="69"/>
      <c r="O3" s="24"/>
      <c r="P3" s="69" t="s">
        <v>7</v>
      </c>
      <c r="Q3" s="69"/>
      <c r="R3" s="69"/>
      <c r="S3" s="69"/>
      <c r="T3" s="69"/>
      <c r="U3" s="6"/>
      <c r="V3" s="6"/>
      <c r="W3" s="6"/>
      <c r="X3" s="70" t="s">
        <v>8</v>
      </c>
      <c r="Y3" s="70"/>
      <c r="Z3" s="70"/>
      <c r="AA3" s="70"/>
      <c r="AB3" s="70"/>
      <c r="AC3" s="25"/>
      <c r="AD3" s="25"/>
      <c r="AE3" s="70" t="s">
        <v>9</v>
      </c>
      <c r="AF3" s="70"/>
      <c r="AG3" s="70"/>
      <c r="AH3" s="70"/>
      <c r="AI3" s="70"/>
    </row>
    <row r="4" spans="1:36" ht="25.5">
      <c r="A4" s="60"/>
      <c r="B4" s="60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46</v>
      </c>
      <c r="I4" s="30" t="s">
        <v>52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46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46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46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46</v>
      </c>
    </row>
    <row r="5" spans="1:36" ht="14.25" customHeight="1">
      <c r="A5" s="23"/>
      <c r="B5" s="27" t="s">
        <v>48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48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48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49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49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49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50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50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50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45</v>
      </c>
    </row>
    <row r="36" spans="1:35">
      <c r="A36" s="1"/>
      <c r="B36" s="26" t="s">
        <v>46</v>
      </c>
    </row>
    <row r="37" spans="1:35">
      <c r="B37" s="27" t="s">
        <v>40</v>
      </c>
      <c r="C37" s="27" t="s">
        <v>47</v>
      </c>
      <c r="D37" s="27" t="s">
        <v>41</v>
      </c>
      <c r="E37" s="27"/>
      <c r="F37" s="27"/>
    </row>
    <row r="38" spans="1:35">
      <c r="A38" s="27" t="s">
        <v>48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49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50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53</v>
      </c>
      <c r="C42" s="34"/>
      <c r="D42" s="34"/>
    </row>
    <row r="43" spans="1:35">
      <c r="B43" s="27" t="s">
        <v>40</v>
      </c>
      <c r="C43" s="27" t="s">
        <v>47</v>
      </c>
      <c r="D43" s="27" t="s">
        <v>41</v>
      </c>
    </row>
    <row r="44" spans="1:35">
      <c r="A44" s="27" t="s">
        <v>48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49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50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54</v>
      </c>
      <c r="C49" s="34"/>
      <c r="D49" s="34"/>
    </row>
    <row r="50" spans="1:5">
      <c r="B50" s="27" t="s">
        <v>40</v>
      </c>
      <c r="C50" s="27" t="s">
        <v>47</v>
      </c>
      <c r="D50" s="27" t="s">
        <v>41</v>
      </c>
    </row>
    <row r="51" spans="1:5">
      <c r="A51" s="27" t="s">
        <v>48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49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50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55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56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54</v>
      </c>
      <c r="B59" s="35">
        <v>14232</v>
      </c>
      <c r="C59" s="35">
        <v>6099</v>
      </c>
      <c r="D59" s="35">
        <v>8133</v>
      </c>
    </row>
    <row r="60" spans="1:5">
      <c r="A60" s="34" t="s">
        <v>53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57</v>
      </c>
    </row>
    <row r="67" spans="1:11">
      <c r="B67" s="34"/>
      <c r="H67" s="34" t="s">
        <v>58</v>
      </c>
    </row>
    <row r="68" spans="1:11">
      <c r="A68" s="1"/>
      <c r="B68" s="34"/>
      <c r="C68" s="34" t="s">
        <v>59</v>
      </c>
      <c r="D68" s="34" t="s">
        <v>60</v>
      </c>
      <c r="E68" s="34" t="s">
        <v>61</v>
      </c>
      <c r="F68" s="34" t="s">
        <v>62</v>
      </c>
      <c r="G68" s="34"/>
      <c r="H68" s="36" t="s">
        <v>63</v>
      </c>
      <c r="I68" s="34" t="s">
        <v>64</v>
      </c>
      <c r="J68" s="34" t="s">
        <v>65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8.53</vt:lpstr>
      <vt:lpstr>8.20 workings</vt:lpstr>
      <vt:lpstr>'8.53'!Print_Area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2018-09-26T06:14:18Z</cp:lastPrinted>
  <dcterms:created xsi:type="dcterms:W3CDTF">2013-04-04T04:05:16Z</dcterms:created>
  <dcterms:modified xsi:type="dcterms:W3CDTF">2018-09-26T06:14:23Z</dcterms:modified>
</cp:coreProperties>
</file>