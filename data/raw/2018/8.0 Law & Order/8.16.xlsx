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16.1" sheetId="5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'8.16.1'!$A$1:$Z$52</definedName>
  </definedNames>
  <calcPr calcId="162913"/>
</workbook>
</file>

<file path=xl/calcChain.xml><?xml version="1.0" encoding="utf-8"?>
<calcChain xmlns="http://schemas.openxmlformats.org/spreadsheetml/2006/main">
  <c r="W19" i="53" l="1"/>
  <c r="T19" i="53"/>
  <c r="K19" i="53"/>
  <c r="H19" i="53"/>
  <c r="W18" i="53"/>
  <c r="T18" i="53"/>
  <c r="K18" i="53"/>
  <c r="H18" i="53"/>
  <c r="W17" i="53"/>
  <c r="T17" i="53"/>
  <c r="K17" i="53"/>
  <c r="H17" i="53"/>
  <c r="W16" i="53"/>
  <c r="T16" i="53"/>
  <c r="K16" i="53"/>
  <c r="H16" i="53"/>
  <c r="W15" i="53"/>
  <c r="T15" i="53"/>
  <c r="K15" i="53"/>
  <c r="H15" i="53"/>
  <c r="W14" i="53"/>
  <c r="T14" i="53"/>
  <c r="K14" i="53"/>
  <c r="H14" i="53"/>
  <c r="W13" i="53"/>
  <c r="T13" i="53"/>
  <c r="K13" i="53"/>
  <c r="H13" i="53"/>
  <c r="W12" i="53"/>
  <c r="T12" i="53"/>
  <c r="K12" i="53"/>
  <c r="H12" i="53"/>
  <c r="W11" i="53"/>
  <c r="T11" i="53"/>
  <c r="K11" i="53"/>
  <c r="H11" i="53"/>
  <c r="W10" i="53"/>
  <c r="T10" i="53"/>
  <c r="K10" i="53"/>
  <c r="H10" i="53"/>
  <c r="W9" i="53"/>
  <c r="T9" i="53"/>
  <c r="K9" i="53"/>
  <c r="H9" i="53"/>
  <c r="W8" i="53"/>
  <c r="T8" i="53"/>
  <c r="K8" i="53"/>
  <c r="H8" i="53"/>
  <c r="Y7" i="53"/>
  <c r="X7" i="53"/>
  <c r="V7" i="53"/>
  <c r="U7" i="53"/>
  <c r="M7" i="53"/>
  <c r="L7" i="53"/>
  <c r="J7" i="53"/>
  <c r="I7" i="53"/>
  <c r="G7" i="53"/>
  <c r="F7" i="53"/>
  <c r="E7" i="53"/>
  <c r="D7" i="53"/>
  <c r="T7" i="53" l="1"/>
  <c r="H7" i="53"/>
  <c r="W7" i="53"/>
  <c r="AG7" i="53" s="1"/>
  <c r="K7" i="53"/>
  <c r="AF7" i="53" l="1"/>
  <c r="Q22" i="53" l="1"/>
  <c r="Q24" i="53"/>
  <c r="Q28" i="53"/>
  <c r="N11" i="53"/>
  <c r="N13" i="53"/>
  <c r="Q30" i="53" l="1"/>
  <c r="Q32" i="53"/>
  <c r="Q26" i="53"/>
  <c r="N15" i="53"/>
  <c r="N9" i="53"/>
  <c r="Q21" i="53"/>
  <c r="N16" i="53"/>
  <c r="N12" i="53"/>
  <c r="N10" i="53"/>
  <c r="N14" i="53"/>
  <c r="N17" i="53"/>
  <c r="N26" i="53"/>
  <c r="N24" i="53"/>
  <c r="N23" i="53"/>
  <c r="N21" i="53"/>
  <c r="T20" i="53"/>
  <c r="T26" i="53"/>
  <c r="T31" i="53"/>
  <c r="W23" i="53"/>
  <c r="W24" i="53"/>
  <c r="W26" i="53"/>
  <c r="Q10" i="53"/>
  <c r="Q12" i="53"/>
  <c r="R7" i="53"/>
  <c r="N31" i="53"/>
  <c r="N29" i="53"/>
  <c r="N27" i="53"/>
  <c r="N25" i="53"/>
  <c r="T32" i="53"/>
  <c r="T24" i="53"/>
  <c r="T29" i="53"/>
  <c r="T22" i="53"/>
  <c r="W30" i="53"/>
  <c r="W32" i="53"/>
  <c r="W25" i="53"/>
  <c r="Q9" i="53"/>
  <c r="Q18" i="53"/>
  <c r="Q25" i="53"/>
  <c r="Q31" i="53"/>
  <c r="N22" i="53"/>
  <c r="P7" i="53"/>
  <c r="N18" i="53"/>
  <c r="T30" i="53"/>
  <c r="T23" i="53"/>
  <c r="T27" i="53"/>
  <c r="W20" i="53"/>
  <c r="W22" i="53"/>
  <c r="W21" i="53"/>
  <c r="Q17" i="53"/>
  <c r="Q11" i="53"/>
  <c r="Q13" i="53"/>
  <c r="Q15" i="53"/>
  <c r="Q14" i="53"/>
  <c r="Q23" i="53"/>
  <c r="N32" i="53"/>
  <c r="N30" i="53"/>
  <c r="N28" i="53"/>
  <c r="T28" i="53"/>
  <c r="T21" i="53"/>
  <c r="T25" i="53"/>
  <c r="W27" i="53"/>
  <c r="W29" i="53"/>
  <c r="W31" i="53"/>
  <c r="W28" i="53"/>
  <c r="Q27" i="53"/>
  <c r="Q16" i="53"/>
  <c r="Q29" i="53"/>
  <c r="N8" i="53"/>
  <c r="N20" i="53"/>
  <c r="O7" i="53"/>
  <c r="Q20" i="53"/>
  <c r="Q8" i="53"/>
  <c r="Q19" i="53" l="1"/>
  <c r="N19" i="53"/>
  <c r="N7" i="53"/>
  <c r="S7" i="53"/>
  <c r="Q7" i="53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<sst xmlns="http://schemas.openxmlformats.org/spreadsheetml/2006/main" count="265" uniqueCount="124">
  <si>
    <t>Total</t>
  </si>
  <si>
    <t>Source: Department of Judicial Administration</t>
  </si>
  <si>
    <t>Theft</t>
  </si>
  <si>
    <t>ވައްކަން</t>
  </si>
  <si>
    <t>Traffic</t>
  </si>
  <si>
    <t>ޓްރެފިކް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</si>
  <si>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</si>
  <si>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</si>
  <si>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</si>
  <si>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</si>
  <si>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</si>
  <si>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</si>
  <si>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</si>
  <si>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</si>
  <si>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</si>
  <si>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</si>
  <si>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މަކަރާއި ޙީލަތް</t>
  </si>
  <si>
    <t>Domestic violence</t>
  </si>
  <si>
    <t>އާއިލީ</t>
  </si>
  <si>
    <t>ވަގުފައިސާ</t>
  </si>
  <si>
    <t>Others</t>
  </si>
  <si>
    <t>އެހެނިހެން</t>
  </si>
  <si>
    <t>Source: Maldives Police Service</t>
  </si>
  <si>
    <t>ކުށުގެ ބާވަތް</t>
  </si>
  <si>
    <t>ޖުމްލަ</t>
  </si>
  <si>
    <t>Sexual Offences</t>
  </si>
  <si>
    <t>ޖިންސީ މައްސަލަ</t>
  </si>
  <si>
    <t>Counterfeit and forgery</t>
  </si>
  <si>
    <t>Embezzlement</t>
  </si>
  <si>
    <t>ދިވެހިން</t>
  </si>
  <si>
    <t>ބިދޭސީ</t>
  </si>
  <si>
    <t xml:space="preserve">Total </t>
  </si>
  <si>
    <t xml:space="preserve">Locals </t>
  </si>
  <si>
    <t>Foreign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</si>
  <si>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</si>
  <si>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</si>
  <si>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</si>
  <si>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</si>
  <si>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</si>
  <si>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</si>
  <si>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</si>
  <si>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</si>
  <si>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</si>
  <si>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</si>
  <si>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</si>
  <si>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</si>
  <si>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</si>
  <si>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</si>
  <si>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</si>
  <si>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</si>
  <si>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</si>
  <si>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</si>
  <si>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</si>
  <si>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</si>
  <si>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</si>
  <si>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</si>
  <si>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</si>
  <si>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</si>
  <si>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</si>
  <si>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</si>
  <si>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</si>
  <si>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</si>
  <si>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</si>
  <si>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</si>
  <si>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</si>
  <si>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</si>
  <si>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</si>
  <si>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</si>
  <si>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</si>
  <si>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</si>
  <si>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</si>
  <si>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</si>
  <si>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މަޢުލޫމާތު ދެއްވީ: މޯލްޑިވްސް ޕޮލިސް ސަރވިސް</t>
  </si>
  <si>
    <t>Type of Offence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</si>
  <si>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</si>
  <si>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</si>
  <si>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</si>
  <si>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</si>
  <si>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</si>
  <si>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</si>
  <si>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</si>
  <si>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</si>
  <si>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</si>
  <si>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</si>
  <si>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</si>
  <si>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</si>
  <si>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</si>
  <si>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</si>
  <si>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</si>
  <si>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</si>
  <si>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</si>
  <si>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</si>
  <si>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</si>
  <si>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</si>
  <si>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</si>
  <si>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</si>
  <si>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Arson</t>
  </si>
  <si>
    <t>ހުޅުޖެހުން</t>
  </si>
  <si>
    <t>އަމިއްލައަށް މަރުވާން އުޅުން</t>
  </si>
  <si>
    <t>Foreigners</t>
  </si>
  <si>
    <t>Table: 8.16  NUMBER OF LOCAL AND FOREIGN DETAINEES BY TYPE OF OFFENCES, 2014 - 2017</t>
  </si>
  <si>
    <t xml:space="preserve">ތާވަލް 8.16: ހައްޔަރު ކުރެވުނު ދިވެހިންނާއި ބިދޭސީންގެ އަދަދު، 2014 - 2017 </t>
  </si>
  <si>
    <t>Threats; False Alarms</t>
  </si>
  <si>
    <t>Disorderly Conduct</t>
  </si>
  <si>
    <t>Use of a Dangerous Weapon During an Offense</t>
  </si>
  <si>
    <t>Trafficking, Manufacture, Sale, or Possession of Firearms or Catastrophic Agents</t>
  </si>
  <si>
    <t>Deceptive Practices</t>
  </si>
  <si>
    <t>Obstructing Justice</t>
  </si>
  <si>
    <t>Child Abandonment and Parental Duty of Care</t>
  </si>
  <si>
    <t>Producing or Distributing Obscene Material</t>
  </si>
  <si>
    <t>Theft by Deception</t>
  </si>
  <si>
    <t>Attempted Suicides</t>
  </si>
  <si>
    <t>Locals</t>
  </si>
  <si>
    <t>Causing, Aiding or Soliciting Suicide</t>
  </si>
  <si>
    <t>އަމިއްލައަށް /  އެހެނިހެން ގޮތްގޮތަށް މަރުވުން</t>
  </si>
  <si>
    <t>ދަރިންނަށް އިޙްމާލުވުން ފަދަ މައްސަލަތައް</t>
  </si>
  <si>
    <t>އަޚްލާޤީ ގޮތުން ދަށުދަރަޖައިގެ ޢަމަލުތައް</t>
  </si>
  <si>
    <t>އަމުރަށް ނުކިޔަމަންތެރިވުމާއި ވާޖިބަށް ހުރަސްއެޅުން</t>
  </si>
  <si>
    <t>އޮރިޔާން ފޮޓޯ / ފިލްމުގެ މައްސަލަތައް</t>
  </si>
  <si>
    <t>ޓެކުން އަދި ފްރޯޑް</t>
  </si>
  <si>
    <t>ބިރުދެއްކުމާއި އިންޒާރުދިނުން</t>
  </si>
  <si>
    <t>ހަތިޔާރު / ގޮވާތަކެތީގެ މައްސަލަތައް</t>
  </si>
  <si>
    <t>ހަތިޔާރު ބޭނުންކުރުން</t>
  </si>
  <si>
    <t>މަކަރުހެދުމާއި އޮޅުވާލުން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</si>
</sst>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69" formatCode="_(* #,##0.0_);_(* \(#,##0.0\);_(* &quot;-&quot;??_);_(@_)"/>
    <numFmt numFmtId="170" formatCode="_(* #,##0_);_(* \(#,##0\);_(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9"/>
      <name val="Faruma"/>
      <family val="3"/>
    </font>
    <font>
      <sz val="10"/>
      <name val="Faruma"/>
      <family val="3"/>
    </font>
    <font>
      <b/>
      <sz val="10"/>
      <color rgb="FF000000"/>
      <name val="Arial"/>
      <family val="2"/>
    </font>
    <font>
      <sz val="10"/>
      <name val="Courier"/>
      <family val="3"/>
    </font>
    <font>
      <i/>
      <sz val="9"/>
      <name val="Arial"/>
      <family val="2"/>
    </font>
    <font>
      <b/>
      <sz val="10"/>
      <color theme="1"/>
      <name val="Faruma"/>
      <family val="3"/>
    </font>
    <font>
      <sz val="10"/>
      <name val="Arial"/>
      <family val="2"/>
    </font>
    <font>
      <sz val="10"/>
      <color rgb="FF000000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Faruma"/>
      <family val="3"/>
    </font>
    <font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2" fillId="0" borderId="0"/>
    <xf numFmtId="0" fontId="25" fillId="0" borderId="20" applyNumberFormat="0" applyFill="0" applyAlignment="0" applyProtection="0"/>
    <xf numFmtId="0" fontId="15" fillId="0" borderId="0"/>
    <xf numFmtId="166" fontId="26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0" applyNumberFormat="0" applyFill="0" applyAlignment="0" applyProtection="0"/>
    <xf numFmtId="0" fontId="30" fillId="0" borderId="25" applyNumberFormat="0" applyFill="0" applyAlignment="0" applyProtection="0"/>
    <xf numFmtId="0" fontId="31" fillId="0" borderId="26" applyNumberFormat="0" applyFill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5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27" applyNumberFormat="0" applyAlignment="0" applyProtection="0"/>
    <xf numFmtId="0" fontId="36" fillId="8" borderId="28" applyNumberFormat="0" applyAlignment="0" applyProtection="0"/>
    <xf numFmtId="0" fontId="37" fillId="8" borderId="27" applyNumberFormat="0" applyAlignment="0" applyProtection="0"/>
    <xf numFmtId="0" fontId="38" fillId="0" borderId="29" applyNumberFormat="0" applyFill="0" applyAlignment="0" applyProtection="0"/>
    <xf numFmtId="0" fontId="39" fillId="9" borderId="30" applyNumberFormat="0" applyAlignment="0" applyProtection="0"/>
    <xf numFmtId="0" fontId="27" fillId="0" borderId="0" applyNumberFormat="0" applyFill="0" applyBorder="0" applyAlignment="0" applyProtection="0"/>
    <xf numFmtId="0" fontId="1" fillId="10" borderId="31" applyNumberFormat="0" applyFont="0" applyAlignment="0" applyProtection="0"/>
    <xf numFmtId="0" fontId="40" fillId="0" borderId="0" applyNumberFormat="0" applyFill="0" applyBorder="0" applyAlignment="0" applyProtection="0"/>
    <xf numFmtId="0" fontId="2" fillId="0" borderId="32" applyNumberFormat="0" applyFill="0" applyAlignment="0" applyProtection="0"/>
    <xf numFmtId="0" fontId="4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1" fillId="26" borderId="0" applyNumberFormat="0" applyBorder="0" applyAlignment="0" applyProtection="0"/>
    <xf numFmtId="0" fontId="4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1" fillId="30" borderId="0" applyNumberFormat="0" applyBorder="0" applyAlignment="0" applyProtection="0"/>
    <xf numFmtId="0" fontId="4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1" fillId="34" borderId="0" applyNumberFormat="0" applyBorder="0" applyAlignment="0" applyProtection="0"/>
    <xf numFmtId="0" fontId="1" fillId="0" borderId="0"/>
    <xf numFmtId="0" fontId="15" fillId="0" borderId="0"/>
  </cellStyleXfs>
  <cellXfs count="115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0" fontId="16" fillId="2" borderId="0" xfId="0" applyNumberFormat="1" applyFont="1" applyFill="1" applyBorder="1" applyAlignment="1">
      <alignment vertical="center" wrapText="1"/>
    </xf>
    <xf numFmtId="164" fontId="11" fillId="2" borderId="9" xfId="0" applyNumberFormat="1" applyFont="1" applyFill="1" applyBorder="1" applyAlignment="1">
      <alignment horizontal="center"/>
    </xf>
    <xf numFmtId="164" fontId="18" fillId="2" borderId="3" xfId="0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 applyProtection="1">
      <alignment horizontal="center" vertical="center"/>
    </xf>
    <xf numFmtId="164" fontId="5" fillId="2" borderId="5" xfId="0" applyNumberFormat="1" applyFon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11" fillId="2" borderId="7" xfId="0" applyNumberFormat="1" applyFont="1" applyFill="1" applyBorder="1" applyAlignment="1">
      <alignment horizont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left" vertical="center"/>
    </xf>
    <xf numFmtId="166" fontId="2" fillId="2" borderId="0" xfId="1" applyNumberFormat="1" applyFont="1" applyFill="1" applyBorder="1" applyAlignment="1">
      <alignment horizontal="right" vertical="center"/>
    </xf>
    <xf numFmtId="0" fontId="0" fillId="2" borderId="0" xfId="0" applyNumberFormat="1" applyFont="1" applyFill="1" applyBorder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21" xfId="0" applyNumberFormat="1" applyFont="1" applyFill="1" applyBorder="1" applyAlignment="1">
      <alignment horizontal="center" vertical="center"/>
    </xf>
    <xf numFmtId="0" fontId="4" fillId="2" borderId="21" xfId="0" applyNumberFormat="1" applyFont="1" applyFill="1" applyBorder="1" applyAlignment="1">
      <alignment horizontal="left" vertical="center" wrapText="1"/>
    </xf>
    <xf numFmtId="3" fontId="4" fillId="2" borderId="21" xfId="1" applyNumberFormat="1" applyFont="1" applyFill="1" applyBorder="1" applyAlignment="1"/>
    <xf numFmtId="3" fontId="3" fillId="2" borderId="2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164" fontId="17" fillId="2" borderId="22" xfId="0" applyNumberFormat="1" applyFont="1" applyFill="1" applyBorder="1" applyAlignment="1">
      <alignment horizontal="right" vertical="center"/>
    </xf>
    <xf numFmtId="164" fontId="18" fillId="2" borderId="14" xfId="0" applyNumberFormat="1" applyFont="1" applyFill="1" applyBorder="1" applyAlignment="1">
      <alignment horizontal="right" vertical="center"/>
    </xf>
    <xf numFmtId="164" fontId="17" fillId="2" borderId="23" xfId="0" applyNumberFormat="1" applyFont="1" applyFill="1" applyBorder="1" applyAlignment="1">
      <alignment horizontal="right" vertical="center"/>
    </xf>
    <xf numFmtId="166" fontId="24" fillId="2" borderId="19" xfId="1" applyNumberFormat="1" applyFont="1" applyFill="1" applyBorder="1" applyAlignment="1">
      <alignment horizontal="right" vertical="center"/>
    </xf>
    <xf numFmtId="166" fontId="21" fillId="2" borderId="19" xfId="1" applyNumberFormat="1" applyFont="1" applyFill="1" applyBorder="1" applyAlignment="1">
      <alignment horizontal="right" vertical="center"/>
    </xf>
    <xf numFmtId="3" fontId="21" fillId="2" borderId="19" xfId="1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0" xfId="0" applyNumberFormat="1" applyFont="1" applyFill="1" applyBorder="1" applyAlignment="1" applyProtection="1">
      <alignment horizontal="right" vertical="center" indent="2"/>
    </xf>
    <xf numFmtId="164" fontId="18" fillId="2" borderId="18" xfId="0" applyNumberFormat="1" applyFont="1" applyFill="1" applyBorder="1" applyAlignment="1">
      <alignment horizontal="right" vertical="center"/>
    </xf>
    <xf numFmtId="164" fontId="17" fillId="2" borderId="24" xfId="0" applyNumberFormat="1" applyFont="1" applyFill="1" applyBorder="1" applyAlignment="1">
      <alignment horizontal="right" vertical="center"/>
    </xf>
    <xf numFmtId="0" fontId="19" fillId="2" borderId="0" xfId="0" applyNumberFormat="1" applyFont="1" applyFill="1" applyBorder="1" applyAlignment="1"/>
    <xf numFmtId="3" fontId="19" fillId="2" borderId="0" xfId="0" applyNumberFormat="1" applyFont="1" applyFill="1" applyBorder="1" applyAlignment="1"/>
    <xf numFmtId="0" fontId="22" fillId="2" borderId="0" xfId="0" applyNumberFormat="1" applyFont="1" applyFill="1" applyBorder="1" applyAlignment="1">
      <alignment wrapText="1"/>
    </xf>
    <xf numFmtId="3" fontId="24" fillId="2" borderId="0" xfId="1" applyNumberFormat="1" applyFont="1" applyFill="1" applyBorder="1" applyAlignment="1">
      <alignment horizontal="right" vertical="center"/>
    </xf>
    <xf numFmtId="3" fontId="24" fillId="2" borderId="19" xfId="1" applyNumberFormat="1" applyFont="1" applyFill="1" applyBorder="1" applyAlignment="1">
      <alignment horizontal="right" vertical="center"/>
    </xf>
    <xf numFmtId="3" fontId="24" fillId="2" borderId="17" xfId="1" applyNumberFormat="1" applyFont="1" applyFill="1" applyBorder="1" applyAlignment="1">
      <alignment horizontal="right" vertical="center"/>
    </xf>
    <xf numFmtId="3" fontId="24" fillId="2" borderId="0" xfId="1" applyNumberFormat="1" applyFont="1" applyFill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21" fillId="2" borderId="17" xfId="1" applyNumberFormat="1" applyFont="1" applyFill="1" applyBorder="1" applyAlignment="1">
      <alignment horizontal="right" vertical="center"/>
    </xf>
    <xf numFmtId="3" fontId="21" fillId="2" borderId="0" xfId="1" applyNumberFormat="1" applyFont="1" applyFill="1" applyBorder="1" applyAlignment="1">
      <alignment horizontal="right" vertical="center"/>
    </xf>
    <xf numFmtId="3" fontId="0" fillId="2" borderId="4" xfId="1" applyNumberFormat="1" applyFont="1" applyFill="1" applyBorder="1" applyAlignment="1">
      <alignment horizontal="right" vertical="center"/>
    </xf>
    <xf numFmtId="3" fontId="21" fillId="2" borderId="16" xfId="1" applyNumberFormat="1" applyFont="1" applyFill="1" applyBorder="1" applyAlignment="1">
      <alignment horizontal="right" vertical="center"/>
    </xf>
    <xf numFmtId="3" fontId="21" fillId="2" borderId="4" xfId="1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center"/>
    </xf>
    <xf numFmtId="0" fontId="16" fillId="2" borderId="0" xfId="0" applyNumberFormat="1" applyFont="1" applyFill="1" applyBorder="1" applyAlignment="1">
      <alignment vertical="center"/>
    </xf>
    <xf numFmtId="3" fontId="24" fillId="2" borderId="3" xfId="1" applyNumberFormat="1" applyFont="1" applyFill="1" applyBorder="1" applyAlignment="1">
      <alignment horizontal="right" vertical="center"/>
    </xf>
    <xf numFmtId="166" fontId="21" fillId="2" borderId="0" xfId="1" applyNumberFormat="1" applyFont="1" applyFill="1" applyBorder="1" applyAlignment="1">
      <alignment horizontal="right" vertical="center"/>
    </xf>
    <xf numFmtId="164" fontId="6" fillId="2" borderId="5" xfId="0" applyNumberFormat="1" applyFont="1" applyFill="1" applyBorder="1" applyAlignment="1" applyProtection="1">
      <alignment vertical="center"/>
    </xf>
    <xf numFmtId="164" fontId="0" fillId="2" borderId="12" xfId="0" applyNumberFormat="1" applyFill="1" applyBorder="1"/>
    <xf numFmtId="164" fontId="17" fillId="2" borderId="0" xfId="0" applyNumberFormat="1" applyFont="1" applyFill="1" applyBorder="1" applyAlignment="1">
      <alignment horizontal="right" vertical="center"/>
    </xf>
    <xf numFmtId="169" fontId="0" fillId="2" borderId="0" xfId="1" applyNumberFormat="1" applyFont="1" applyFill="1" applyBorder="1"/>
    <xf numFmtId="164" fontId="0" fillId="2" borderId="33" xfId="0" applyNumberFormat="1" applyFill="1" applyBorder="1"/>
    <xf numFmtId="164" fontId="0" fillId="2" borderId="7" xfId="0" applyNumberFormat="1" applyFill="1" applyBorder="1"/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3" fontId="24" fillId="2" borderId="14" xfId="1" applyNumberFormat="1" applyFont="1" applyFill="1" applyBorder="1" applyAlignment="1">
      <alignment horizontal="right" vertical="center"/>
    </xf>
    <xf numFmtId="3" fontId="0" fillId="2" borderId="19" xfId="1" applyNumberFormat="1" applyFont="1" applyFill="1" applyBorder="1" applyAlignment="1">
      <alignment horizontal="right" vertical="center"/>
    </xf>
    <xf numFmtId="164" fontId="0" fillId="2" borderId="4" xfId="0" applyNumberFormat="1" applyFill="1" applyBorder="1" applyAlignment="1">
      <alignment horizontal="center"/>
    </xf>
    <xf numFmtId="3" fontId="0" fillId="2" borderId="15" xfId="1" applyNumberFormat="1" applyFont="1" applyFill="1" applyBorder="1" applyAlignment="1">
      <alignment horizontal="right" vertical="center"/>
    </xf>
    <xf numFmtId="164" fontId="42" fillId="2" borderId="0" xfId="0" applyNumberFormat="1" applyFont="1" applyFill="1" applyBorder="1" applyAlignment="1">
      <alignment horizontal="left" vertical="center" indent="2"/>
    </xf>
    <xf numFmtId="164" fontId="42" fillId="2" borderId="4" xfId="0" applyNumberFormat="1" applyFont="1" applyFill="1" applyBorder="1" applyAlignment="1">
      <alignment horizontal="left" vertical="center" indent="2"/>
    </xf>
    <xf numFmtId="164" fontId="42" fillId="2" borderId="0" xfId="0" applyNumberFormat="1" applyFont="1" applyFill="1" applyBorder="1" applyAlignment="1">
      <alignment horizontal="left" vertical="center" wrapText="1" indent="2"/>
    </xf>
    <xf numFmtId="164" fontId="10" fillId="2" borderId="4" xfId="0" applyNumberFormat="1" applyFont="1" applyFill="1" applyBorder="1" applyAlignment="1" applyProtection="1">
      <alignment horizontal="right" vertical="center" indent="2"/>
    </xf>
    <xf numFmtId="164" fontId="17" fillId="2" borderId="16" xfId="0" applyNumberFormat="1" applyFont="1" applyFill="1" applyBorder="1" applyAlignment="1">
      <alignment horizontal="center" vertical="center"/>
    </xf>
    <xf numFmtId="164" fontId="17" fillId="2" borderId="4" xfId="0" applyNumberFormat="1" applyFont="1" applyFill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left" vertical="center"/>
    </xf>
    <xf numFmtId="164" fontId="17" fillId="2" borderId="0" xfId="0" applyNumberFormat="1" applyFont="1" applyFill="1" applyBorder="1" applyAlignment="1">
      <alignment horizontal="left" vertical="center"/>
    </xf>
    <xf numFmtId="164" fontId="17" fillId="2" borderId="4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 applyProtection="1">
      <alignment horizontal="right" vertical="center"/>
    </xf>
    <xf numFmtId="164" fontId="9" fillId="2" borderId="4" xfId="0" applyNumberFormat="1" applyFont="1" applyFill="1" applyBorder="1" applyAlignment="1" applyProtection="1">
      <alignment horizontal="right" vertical="center"/>
    </xf>
    <xf numFmtId="164" fontId="17" fillId="2" borderId="15" xfId="0" applyNumberFormat="1" applyFont="1" applyFill="1" applyBorder="1" applyAlignment="1">
      <alignment horizontal="center" vertical="center"/>
    </xf>
    <xf numFmtId="164" fontId="24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23" fillId="2" borderId="0" xfId="0" applyNumberFormat="1" applyFont="1" applyFill="1" applyAlignment="1">
      <alignment horizontal="center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834165077219153"/>
          <c:y val="0.17781756272226584"/>
          <c:w val="0.44771947147106894"/>
          <c:h val="0.8221824372777341"/>
        </c:manualLayout>
      </c:layout>
      <c:pieChart>
        <c:varyColors val="1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011-449E-8717-047C3819F07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1011-449E-8717-047C3819F07C}"/>
              </c:ext>
            </c:extLst>
          </c:dPt>
          <c:dLbls>
            <c:dLbl>
              <c:idx val="0"/>
              <c:layout>
                <c:manualLayout>
                  <c:x val="0.17705172252449769"/>
                  <c:y val="-0.164310368901253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1011-449E-8717-047C3819F07C}"/>
                </c:ext>
              </c:extLst>
            </c:dLbl>
            <c:dLbl>
              <c:idx val="1"/>
              <c:layout>
                <c:manualLayout>
                  <c:x val="6.2667718317892772E-3"/>
                  <c:y val="-2.237234239008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050"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569892473118279"/>
                      <c:h val="0.1092179521633969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1011-449E-8717-047C3819F0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'8.16.1'!$X$5:$Y$5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'8.16.1'!$X$7:$Y$7</c:f>
              <c:numCache>
                <c:formatCode>#,##0</c:formatCode>
                <c:ptCount val="2"/>
                <c:pt idx="0">
                  <c:v>3481</c:v>
                </c:pt>
                <c:pt idx="1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1-449E-8717-047C3819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33</xdr:row>
      <xdr:rowOff>89180</xdr:rowOff>
    </xdr:from>
    <xdr:to>
      <xdr:col>21</xdr:col>
      <xdr:colOff>333375</xdr:colOff>
      <xdr:row>50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2B56F-7BC8-43B4-9457-7FAA081E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35</xdr:row>
      <xdr:rowOff>80433</xdr:rowOff>
    </xdr:from>
    <xdr:to>
      <xdr:col>21</xdr:col>
      <xdr:colOff>155574</xdr:colOff>
      <xdr:row>35</xdr:row>
      <xdr:rowOff>91017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C4F4C05B-41F1-4AC3-8389-2C0C92A7D3FD}"/>
            </a:ext>
          </a:extLst>
        </xdr:cNvPr>
        <xdr:cNvSpPr>
          <a:spLocks noChangeShapeType="1"/>
        </xdr:cNvSpPr>
      </xdr:nvSpPr>
      <xdr:spPr bwMode="auto">
        <a:xfrm flipV="1">
          <a:off x="3314700" y="8214783"/>
          <a:ext cx="5175249" cy="1058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0.03176</cdr:x>
      <cdr:y>0.01985</cdr:y>
    </cdr:from>
    <cdr:to>
      <cdr:x>1</cdr:x>
      <cdr:y>0.17339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156" y="52662"/>
          <a:ext cx="4729397" cy="4073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2017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J382"/>
  <sheetViews>
    <sheetView tabSelected="1" zoomScaleNormal="100" zoomScaleSheetLayoutView="90" workbookViewId="0">
      <selection activeCell="AC8" sqref="AC8"/>
    </sheetView>
  </sheetViews>
  <sheetFormatPr defaultColWidth="21" defaultRowHeight="15"/>
  <cols>
    <col min="1" max="1" width="45" style="84" customWidth="1"/>
    <col min="2" max="2" width="11.5703125" style="85" hidden="1" customWidth="1"/>
    <col min="3" max="3" width="13.28515625" style="85" hidden="1" customWidth="1"/>
    <col min="4" max="4" width="14" style="85" hidden="1" customWidth="1"/>
    <col min="5" max="13" width="10" style="85" hidden="1" customWidth="1"/>
    <col min="14" max="25" width="10" style="85" customWidth="1"/>
    <col min="26" max="26" width="32.28515625" style="84" customWidth="1"/>
    <col min="27" max="28" width="2.42578125" style="10" customWidth="1"/>
    <col min="29" max="80" width="21" style="10"/>
    <col min="81" max="81" width="21" style="78"/>
    <col min="82" max="140" width="21" style="2"/>
    <col min="141" max="16384" width="21" style="84"/>
  </cols>
  <sheetData>
    <row r="1" spans="1:140" ht="21.75">
      <c r="A1" s="96" t="s">
        <v>101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</row>
    <row r="2" spans="1:140">
      <c r="A2" s="98" t="s">
        <v>100</v>
      </c>
      <c r="B2" s="99"/>
      <c r="C2" s="99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</row>
    <row r="3" spans="1:140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</row>
    <row r="4" spans="1:140" ht="18.75">
      <c r="A4" s="101" t="s">
        <v>73</v>
      </c>
      <c r="B4" s="5" t="s">
        <v>24</v>
      </c>
      <c r="C4" s="5" t="s">
        <v>29</v>
      </c>
      <c r="D4" s="37" t="s">
        <v>30</v>
      </c>
      <c r="E4" s="5" t="s">
        <v>24</v>
      </c>
      <c r="F4" s="5" t="s">
        <v>29</v>
      </c>
      <c r="G4" s="37" t="s">
        <v>30</v>
      </c>
      <c r="H4" s="58" t="s">
        <v>24</v>
      </c>
      <c r="I4" s="5" t="s">
        <v>29</v>
      </c>
      <c r="J4" s="37" t="s">
        <v>30</v>
      </c>
      <c r="K4" s="5" t="s">
        <v>24</v>
      </c>
      <c r="L4" s="5" t="s">
        <v>29</v>
      </c>
      <c r="M4" s="5" t="s">
        <v>30</v>
      </c>
      <c r="N4" s="58" t="s">
        <v>24</v>
      </c>
      <c r="O4" s="5" t="s">
        <v>29</v>
      </c>
      <c r="P4" s="37" t="s">
        <v>30</v>
      </c>
      <c r="Q4" s="5" t="s">
        <v>24</v>
      </c>
      <c r="R4" s="5" t="s">
        <v>29</v>
      </c>
      <c r="S4" s="5" t="s">
        <v>30</v>
      </c>
      <c r="T4" s="58" t="s">
        <v>24</v>
      </c>
      <c r="U4" s="5" t="s">
        <v>29</v>
      </c>
      <c r="V4" s="37" t="s">
        <v>30</v>
      </c>
      <c r="W4" s="5" t="s">
        <v>24</v>
      </c>
      <c r="X4" s="5" t="s">
        <v>29</v>
      </c>
      <c r="Y4" s="5" t="s">
        <v>30</v>
      </c>
      <c r="Z4" s="104" t="s">
        <v>23</v>
      </c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</row>
    <row r="5" spans="1:140" ht="15" customHeight="1">
      <c r="A5" s="102"/>
      <c r="B5" s="36" t="s">
        <v>31</v>
      </c>
      <c r="C5" s="36" t="s">
        <v>32</v>
      </c>
      <c r="D5" s="38" t="s">
        <v>33</v>
      </c>
      <c r="E5" s="36" t="s">
        <v>31</v>
      </c>
      <c r="F5" s="36" t="s">
        <v>32</v>
      </c>
      <c r="G5" s="38" t="s">
        <v>33</v>
      </c>
      <c r="H5" s="59" t="s">
        <v>31</v>
      </c>
      <c r="I5" s="36" t="s">
        <v>32</v>
      </c>
      <c r="J5" s="38" t="s">
        <v>33</v>
      </c>
      <c r="K5" s="36" t="s">
        <v>31</v>
      </c>
      <c r="L5" s="36" t="s">
        <v>32</v>
      </c>
      <c r="M5" s="36" t="s">
        <v>33</v>
      </c>
      <c r="N5" s="59" t="s">
        <v>0</v>
      </c>
      <c r="O5" s="36" t="s">
        <v>112</v>
      </c>
      <c r="P5" s="38" t="s">
        <v>33</v>
      </c>
      <c r="Q5" s="36" t="s">
        <v>0</v>
      </c>
      <c r="R5" s="36" t="s">
        <v>112</v>
      </c>
      <c r="S5" s="36" t="s">
        <v>33</v>
      </c>
      <c r="T5" s="59" t="s">
        <v>0</v>
      </c>
      <c r="U5" s="36" t="s">
        <v>112</v>
      </c>
      <c r="V5" s="38" t="s">
        <v>33</v>
      </c>
      <c r="W5" s="36" t="s">
        <v>0</v>
      </c>
      <c r="X5" s="36" t="s">
        <v>112</v>
      </c>
      <c r="Y5" s="36" t="s">
        <v>33</v>
      </c>
      <c r="Z5" s="105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</row>
    <row r="6" spans="1:140" ht="17.25" customHeight="1">
      <c r="A6" s="103"/>
      <c r="B6" s="95">
        <v>2010</v>
      </c>
      <c r="C6" s="95"/>
      <c r="D6" s="107"/>
      <c r="E6" s="95">
        <v>2011</v>
      </c>
      <c r="F6" s="95"/>
      <c r="G6" s="107"/>
      <c r="H6" s="94">
        <v>2012</v>
      </c>
      <c r="I6" s="95"/>
      <c r="J6" s="107"/>
      <c r="K6" s="95">
        <v>2013</v>
      </c>
      <c r="L6" s="95"/>
      <c r="M6" s="95"/>
      <c r="N6" s="94">
        <v>2014</v>
      </c>
      <c r="O6" s="95"/>
      <c r="P6" s="107"/>
      <c r="Q6" s="95">
        <v>2015</v>
      </c>
      <c r="R6" s="95"/>
      <c r="S6" s="95"/>
      <c r="T6" s="94">
        <v>2016</v>
      </c>
      <c r="U6" s="95"/>
      <c r="V6" s="107"/>
      <c r="W6" s="95">
        <v>2017</v>
      </c>
      <c r="X6" s="95"/>
      <c r="Y6" s="95"/>
      <c r="Z6" s="106"/>
      <c r="AF6" s="79" t="s">
        <v>32</v>
      </c>
      <c r="AG6" s="79" t="s">
        <v>99</v>
      </c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</row>
    <row r="7" spans="1:140" ht="18.75">
      <c r="A7" s="13" t="s">
        <v>0</v>
      </c>
      <c r="B7" s="14">
        <v>4141</v>
      </c>
      <c r="C7" s="14">
        <v>3533</v>
      </c>
      <c r="D7" s="39">
        <f>SUM(D8:D19)</f>
        <v>608</v>
      </c>
      <c r="E7" s="63">
        <f>SUM(E8:E19)</f>
        <v>5279</v>
      </c>
      <c r="F7" s="63">
        <f>SUM(F8:F19)</f>
        <v>4554</v>
      </c>
      <c r="G7" s="64">
        <f>SUM(G8:G19)</f>
        <v>725</v>
      </c>
      <c r="H7" s="65">
        <f>I7+J7</f>
        <v>6339</v>
      </c>
      <c r="I7" s="63">
        <f>SUM(I8:I19)</f>
        <v>5734</v>
      </c>
      <c r="J7" s="64">
        <f>SUM(J8:J19)</f>
        <v>605</v>
      </c>
      <c r="K7" s="66">
        <f>L7+M7</f>
        <v>6981</v>
      </c>
      <c r="L7" s="66">
        <f>SUM(L8:L19)</f>
        <v>6422</v>
      </c>
      <c r="M7" s="75">
        <f>SUM(M8:M19)</f>
        <v>559</v>
      </c>
      <c r="N7" s="65">
        <f>O7+P7</f>
        <v>6975</v>
      </c>
      <c r="O7" s="63">
        <f>SUM(O8:O19)</f>
        <v>6547</v>
      </c>
      <c r="P7" s="86">
        <f>SUM(P8:P19)</f>
        <v>428</v>
      </c>
      <c r="Q7" s="63">
        <f>R7+S7</f>
        <v>5823</v>
      </c>
      <c r="R7" s="63">
        <f>SUM(R8:R19)</f>
        <v>5442</v>
      </c>
      <c r="S7" s="75">
        <f>SUM(S8:S19)</f>
        <v>381</v>
      </c>
      <c r="T7" s="65">
        <f>U7+V7</f>
        <v>5511</v>
      </c>
      <c r="U7" s="63">
        <f>SUM(U8:U19)</f>
        <v>4914</v>
      </c>
      <c r="V7" s="86">
        <f>SUM(V8:V19)</f>
        <v>597</v>
      </c>
      <c r="W7" s="63">
        <f>X7+Y7</f>
        <v>3961</v>
      </c>
      <c r="X7" s="63">
        <f>SUM(X8:X19)</f>
        <v>3481</v>
      </c>
      <c r="Y7" s="75">
        <f>SUM(Y8:Y19)</f>
        <v>480</v>
      </c>
      <c r="Z7" s="6" t="s">
        <v>24</v>
      </c>
      <c r="AF7" s="80">
        <f>X7/W7*100</f>
        <v>87.881848018177237</v>
      </c>
      <c r="AG7" s="80">
        <f>Y7/W7*100</f>
        <v>12.118151981822772</v>
      </c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</row>
    <row r="8" spans="1:140" ht="18.75">
      <c r="A8" s="15" t="s">
        <v>10</v>
      </c>
      <c r="B8" s="16">
        <v>945</v>
      </c>
      <c r="C8" s="16">
        <v>857</v>
      </c>
      <c r="D8" s="40">
        <v>88</v>
      </c>
      <c r="E8" s="67">
        <v>967</v>
      </c>
      <c r="F8" s="67">
        <v>884</v>
      </c>
      <c r="G8" s="41">
        <v>83</v>
      </c>
      <c r="H8" s="68">
        <f>I8+J8</f>
        <v>677</v>
      </c>
      <c r="I8" s="67">
        <v>624</v>
      </c>
      <c r="J8" s="41">
        <v>53</v>
      </c>
      <c r="K8" s="69">
        <f>L8+M8</f>
        <v>668</v>
      </c>
      <c r="L8" s="67">
        <v>620</v>
      </c>
      <c r="M8" s="69">
        <v>48</v>
      </c>
      <c r="N8" s="68">
        <f>O8+P8</f>
        <v>566</v>
      </c>
      <c r="O8" s="67">
        <v>524</v>
      </c>
      <c r="P8" s="87">
        <v>42</v>
      </c>
      <c r="Q8" s="69">
        <f>R8+S8</f>
        <v>576</v>
      </c>
      <c r="R8" s="67">
        <v>537</v>
      </c>
      <c r="S8" s="67">
        <v>39</v>
      </c>
      <c r="T8" s="68">
        <f>U8+V8</f>
        <v>487</v>
      </c>
      <c r="U8" s="67">
        <v>435</v>
      </c>
      <c r="V8" s="87">
        <v>52</v>
      </c>
      <c r="W8" s="69">
        <f>X8+Y8</f>
        <v>505</v>
      </c>
      <c r="X8" s="67">
        <v>433</v>
      </c>
      <c r="Y8" s="69">
        <v>72</v>
      </c>
      <c r="Z8" s="3" t="s">
        <v>11</v>
      </c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</row>
    <row r="9" spans="1:140" ht="18.75">
      <c r="A9" s="15" t="s">
        <v>2</v>
      </c>
      <c r="B9" s="16">
        <v>774</v>
      </c>
      <c r="C9" s="16">
        <v>663</v>
      </c>
      <c r="D9" s="40">
        <v>111</v>
      </c>
      <c r="E9" s="67">
        <v>1149</v>
      </c>
      <c r="F9" s="67">
        <v>1034</v>
      </c>
      <c r="G9" s="41">
        <v>115</v>
      </c>
      <c r="H9" s="68">
        <f t="shared" ref="H9:H19" si="0">I9+J9</f>
        <v>1474</v>
      </c>
      <c r="I9" s="67">
        <v>1379</v>
      </c>
      <c r="J9" s="41">
        <v>95</v>
      </c>
      <c r="K9" s="69">
        <f t="shared" ref="K9:K19" si="1">L9+M9</f>
        <v>1613</v>
      </c>
      <c r="L9" s="67">
        <v>1523</v>
      </c>
      <c r="M9" s="69">
        <v>90</v>
      </c>
      <c r="N9" s="68">
        <f t="shared" ref="N9:N19" si="2">O9+P9</f>
        <v>1608</v>
      </c>
      <c r="O9" s="67">
        <v>1516</v>
      </c>
      <c r="P9" s="87">
        <v>92</v>
      </c>
      <c r="Q9" s="69">
        <f t="shared" ref="Q9:Q19" si="3">R9+S9</f>
        <v>1194</v>
      </c>
      <c r="R9" s="67">
        <v>1128</v>
      </c>
      <c r="S9" s="67">
        <v>66</v>
      </c>
      <c r="T9" s="68">
        <f t="shared" ref="T9:T19" si="4">U9+V9</f>
        <v>958</v>
      </c>
      <c r="U9" s="67">
        <v>869</v>
      </c>
      <c r="V9" s="87">
        <v>89</v>
      </c>
      <c r="W9" s="69">
        <f t="shared" ref="W9:W19" si="5">X9+Y9</f>
        <v>772</v>
      </c>
      <c r="X9" s="67">
        <v>718</v>
      </c>
      <c r="Y9" s="69">
        <v>54</v>
      </c>
      <c r="Z9" s="3" t="s">
        <v>3</v>
      </c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</row>
    <row r="10" spans="1:140" ht="18.75">
      <c r="A10" s="15" t="s">
        <v>14</v>
      </c>
      <c r="B10" s="16">
        <v>199</v>
      </c>
      <c r="C10" s="16">
        <v>186</v>
      </c>
      <c r="D10" s="40">
        <v>13</v>
      </c>
      <c r="E10" s="67">
        <v>292</v>
      </c>
      <c r="F10" s="67">
        <v>263</v>
      </c>
      <c r="G10" s="41">
        <v>29</v>
      </c>
      <c r="H10" s="68">
        <f t="shared" si="0"/>
        <v>277</v>
      </c>
      <c r="I10" s="67">
        <v>272</v>
      </c>
      <c r="J10" s="41">
        <v>5</v>
      </c>
      <c r="K10" s="69">
        <f t="shared" si="1"/>
        <v>268</v>
      </c>
      <c r="L10" s="67">
        <v>258</v>
      </c>
      <c r="M10" s="69">
        <v>10</v>
      </c>
      <c r="N10" s="68">
        <f t="shared" si="2"/>
        <v>243</v>
      </c>
      <c r="O10" s="67">
        <v>240</v>
      </c>
      <c r="P10" s="87">
        <v>3</v>
      </c>
      <c r="Q10" s="69">
        <f t="shared" si="3"/>
        <v>143</v>
      </c>
      <c r="R10" s="67">
        <v>141</v>
      </c>
      <c r="S10" s="67">
        <v>2</v>
      </c>
      <c r="T10" s="68">
        <f t="shared" si="4"/>
        <v>165</v>
      </c>
      <c r="U10" s="67">
        <v>161</v>
      </c>
      <c r="V10" s="87">
        <v>4</v>
      </c>
      <c r="W10" s="69">
        <f t="shared" si="5"/>
        <v>167</v>
      </c>
      <c r="X10" s="67">
        <v>162</v>
      </c>
      <c r="Y10" s="69">
        <v>5</v>
      </c>
      <c r="Z10" s="3" t="s">
        <v>15</v>
      </c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</row>
    <row r="11" spans="1:140" ht="18.75">
      <c r="A11" s="15" t="s">
        <v>6</v>
      </c>
      <c r="B11" s="16">
        <v>1160</v>
      </c>
      <c r="C11" s="16">
        <v>1104</v>
      </c>
      <c r="D11" s="40">
        <v>56</v>
      </c>
      <c r="E11" s="67">
        <v>1453</v>
      </c>
      <c r="F11" s="67">
        <v>1394</v>
      </c>
      <c r="G11" s="41">
        <v>59</v>
      </c>
      <c r="H11" s="68">
        <f t="shared" si="0"/>
        <v>2073</v>
      </c>
      <c r="I11" s="67">
        <v>1969</v>
      </c>
      <c r="J11" s="41">
        <v>104</v>
      </c>
      <c r="K11" s="69">
        <f t="shared" si="1"/>
        <v>2906</v>
      </c>
      <c r="L11" s="67">
        <v>2799</v>
      </c>
      <c r="M11" s="69">
        <v>107</v>
      </c>
      <c r="N11" s="68">
        <f t="shared" si="2"/>
        <v>3315</v>
      </c>
      <c r="O11" s="67">
        <v>3208</v>
      </c>
      <c r="P11" s="87">
        <v>107</v>
      </c>
      <c r="Q11" s="69">
        <f t="shared" si="3"/>
        <v>2352</v>
      </c>
      <c r="R11" s="67">
        <v>2265</v>
      </c>
      <c r="S11" s="67">
        <v>87</v>
      </c>
      <c r="T11" s="68">
        <f t="shared" si="4"/>
        <v>2732</v>
      </c>
      <c r="U11" s="67">
        <v>2579</v>
      </c>
      <c r="V11" s="87">
        <v>153</v>
      </c>
      <c r="W11" s="69">
        <f t="shared" si="5"/>
        <v>1690</v>
      </c>
      <c r="X11" s="67">
        <v>1547</v>
      </c>
      <c r="Y11" s="69">
        <v>143</v>
      </c>
      <c r="Z11" s="3" t="s">
        <v>7</v>
      </c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</row>
    <row r="12" spans="1:140" ht="18.75">
      <c r="A12" s="15" t="s">
        <v>25</v>
      </c>
      <c r="B12" s="16">
        <v>299</v>
      </c>
      <c r="C12" s="16">
        <v>221</v>
      </c>
      <c r="D12" s="40">
        <v>78</v>
      </c>
      <c r="E12" s="67">
        <v>447</v>
      </c>
      <c r="F12" s="67">
        <v>328</v>
      </c>
      <c r="G12" s="41">
        <v>119</v>
      </c>
      <c r="H12" s="68">
        <f t="shared" si="0"/>
        <v>423</v>
      </c>
      <c r="I12" s="67">
        <v>290</v>
      </c>
      <c r="J12" s="41">
        <v>133</v>
      </c>
      <c r="K12" s="69">
        <f t="shared" si="1"/>
        <v>404</v>
      </c>
      <c r="L12" s="67">
        <v>302</v>
      </c>
      <c r="M12" s="69">
        <v>102</v>
      </c>
      <c r="N12" s="68">
        <f t="shared" si="2"/>
        <v>318</v>
      </c>
      <c r="O12" s="67">
        <v>243</v>
      </c>
      <c r="P12" s="87">
        <v>75</v>
      </c>
      <c r="Q12" s="69">
        <f t="shared" si="3"/>
        <v>326</v>
      </c>
      <c r="R12" s="67">
        <v>259</v>
      </c>
      <c r="S12" s="67">
        <v>67</v>
      </c>
      <c r="T12" s="68">
        <f t="shared" si="4"/>
        <v>309</v>
      </c>
      <c r="U12" s="67">
        <v>205</v>
      </c>
      <c r="V12" s="87">
        <v>104</v>
      </c>
      <c r="W12" s="69">
        <f t="shared" si="5"/>
        <v>190</v>
      </c>
      <c r="X12" s="67">
        <v>129</v>
      </c>
      <c r="Y12" s="69">
        <v>61</v>
      </c>
      <c r="Z12" s="3" t="s">
        <v>26</v>
      </c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</row>
    <row r="13" spans="1:140" ht="18.75">
      <c r="A13" s="15" t="s">
        <v>4</v>
      </c>
      <c r="B13" s="16">
        <v>9</v>
      </c>
      <c r="C13" s="16">
        <v>9</v>
      </c>
      <c r="D13" s="41">
        <v>0</v>
      </c>
      <c r="E13" s="67">
        <v>9</v>
      </c>
      <c r="F13" s="67">
        <v>8</v>
      </c>
      <c r="G13" s="41">
        <v>1</v>
      </c>
      <c r="H13" s="68">
        <f t="shared" si="0"/>
        <v>12</v>
      </c>
      <c r="I13" s="67">
        <v>12</v>
      </c>
      <c r="J13" s="41">
        <v>0</v>
      </c>
      <c r="K13" s="69">
        <f t="shared" si="1"/>
        <v>6</v>
      </c>
      <c r="L13" s="67">
        <v>6</v>
      </c>
      <c r="M13" s="69">
        <v>0</v>
      </c>
      <c r="N13" s="68">
        <f t="shared" si="2"/>
        <v>0</v>
      </c>
      <c r="O13" s="67">
        <v>0</v>
      </c>
      <c r="P13" s="87">
        <v>0</v>
      </c>
      <c r="Q13" s="69">
        <f t="shared" si="3"/>
        <v>0</v>
      </c>
      <c r="R13" s="67">
        <v>0</v>
      </c>
      <c r="S13" s="67">
        <v>0</v>
      </c>
      <c r="T13" s="68">
        <f t="shared" si="4"/>
        <v>14</v>
      </c>
      <c r="U13" s="67">
        <v>13</v>
      </c>
      <c r="V13" s="87">
        <v>1</v>
      </c>
      <c r="W13" s="69">
        <f t="shared" si="5"/>
        <v>3</v>
      </c>
      <c r="X13" s="67">
        <v>2</v>
      </c>
      <c r="Y13" s="69">
        <v>1</v>
      </c>
      <c r="Z13" s="3" t="s">
        <v>5</v>
      </c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</row>
    <row r="14" spans="1:140" ht="18.75">
      <c r="A14" s="15" t="s">
        <v>17</v>
      </c>
      <c r="B14" s="16">
        <v>11</v>
      </c>
      <c r="C14" s="16">
        <v>11</v>
      </c>
      <c r="D14" s="41">
        <v>0</v>
      </c>
      <c r="E14" s="67">
        <v>34</v>
      </c>
      <c r="F14" s="67">
        <v>30</v>
      </c>
      <c r="G14" s="41">
        <v>4</v>
      </c>
      <c r="H14" s="68">
        <f t="shared" si="0"/>
        <v>36</v>
      </c>
      <c r="I14" s="67">
        <v>35</v>
      </c>
      <c r="J14" s="41">
        <v>1</v>
      </c>
      <c r="K14" s="69">
        <f t="shared" si="1"/>
        <v>33</v>
      </c>
      <c r="L14" s="67">
        <v>33</v>
      </c>
      <c r="M14" s="69">
        <v>0</v>
      </c>
      <c r="N14" s="68">
        <f t="shared" si="2"/>
        <v>38</v>
      </c>
      <c r="O14" s="67">
        <v>37</v>
      </c>
      <c r="P14" s="87">
        <v>1</v>
      </c>
      <c r="Q14" s="69">
        <f t="shared" si="3"/>
        <v>57</v>
      </c>
      <c r="R14" s="67">
        <v>54</v>
      </c>
      <c r="S14" s="67">
        <v>3</v>
      </c>
      <c r="T14" s="68">
        <f t="shared" si="4"/>
        <v>42</v>
      </c>
      <c r="U14" s="67">
        <v>39</v>
      </c>
      <c r="V14" s="87">
        <v>3</v>
      </c>
      <c r="W14" s="69">
        <f t="shared" si="5"/>
        <v>23</v>
      </c>
      <c r="X14" s="67">
        <v>21</v>
      </c>
      <c r="Y14" s="69">
        <v>2</v>
      </c>
      <c r="Z14" s="3" t="s">
        <v>18</v>
      </c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</row>
    <row r="15" spans="1:140" ht="18.75">
      <c r="A15" s="15" t="s">
        <v>27</v>
      </c>
      <c r="B15" s="16">
        <v>31</v>
      </c>
      <c r="C15" s="16">
        <v>19</v>
      </c>
      <c r="D15" s="40">
        <v>12</v>
      </c>
      <c r="E15" s="67">
        <v>52</v>
      </c>
      <c r="F15" s="67">
        <v>25</v>
      </c>
      <c r="G15" s="41">
        <v>27</v>
      </c>
      <c r="H15" s="68">
        <f t="shared" si="0"/>
        <v>24</v>
      </c>
      <c r="I15" s="67">
        <v>16</v>
      </c>
      <c r="J15" s="41">
        <v>8</v>
      </c>
      <c r="K15" s="69">
        <f t="shared" si="1"/>
        <v>30</v>
      </c>
      <c r="L15" s="67">
        <v>23</v>
      </c>
      <c r="M15" s="69">
        <v>7</v>
      </c>
      <c r="N15" s="68">
        <f t="shared" si="2"/>
        <v>10</v>
      </c>
      <c r="O15" s="67">
        <v>9</v>
      </c>
      <c r="P15" s="87">
        <v>1</v>
      </c>
      <c r="Q15" s="69">
        <f t="shared" si="3"/>
        <v>12</v>
      </c>
      <c r="R15" s="67">
        <v>8</v>
      </c>
      <c r="S15" s="67">
        <v>4</v>
      </c>
      <c r="T15" s="68">
        <f t="shared" si="4"/>
        <v>24</v>
      </c>
      <c r="U15" s="67">
        <v>16</v>
      </c>
      <c r="V15" s="87">
        <v>8</v>
      </c>
      <c r="W15" s="69">
        <f t="shared" si="5"/>
        <v>7</v>
      </c>
      <c r="X15" s="67">
        <v>2</v>
      </c>
      <c r="Y15" s="69">
        <v>5</v>
      </c>
      <c r="Z15" s="3" t="s">
        <v>19</v>
      </c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</row>
    <row r="16" spans="1:140" ht="18.75">
      <c r="A16" s="15" t="s">
        <v>12</v>
      </c>
      <c r="B16" s="16">
        <v>79</v>
      </c>
      <c r="C16" s="16">
        <v>78</v>
      </c>
      <c r="D16" s="40">
        <v>1</v>
      </c>
      <c r="E16" s="67">
        <v>106</v>
      </c>
      <c r="F16" s="67">
        <v>104</v>
      </c>
      <c r="G16" s="41">
        <v>2</v>
      </c>
      <c r="H16" s="68">
        <f t="shared" si="0"/>
        <v>149</v>
      </c>
      <c r="I16" s="67">
        <v>135</v>
      </c>
      <c r="J16" s="41">
        <v>14</v>
      </c>
      <c r="K16" s="69">
        <f t="shared" si="1"/>
        <v>122</v>
      </c>
      <c r="L16" s="67">
        <v>121</v>
      </c>
      <c r="M16" s="69">
        <v>1</v>
      </c>
      <c r="N16" s="68">
        <f t="shared" si="2"/>
        <v>146</v>
      </c>
      <c r="O16" s="67">
        <v>144</v>
      </c>
      <c r="P16" s="87">
        <v>2</v>
      </c>
      <c r="Q16" s="69">
        <f t="shared" si="3"/>
        <v>127</v>
      </c>
      <c r="R16" s="67">
        <v>124</v>
      </c>
      <c r="S16" s="67">
        <v>3</v>
      </c>
      <c r="T16" s="68">
        <f t="shared" si="4"/>
        <v>73</v>
      </c>
      <c r="U16" s="67">
        <v>71</v>
      </c>
      <c r="V16" s="87">
        <v>2</v>
      </c>
      <c r="W16" s="69">
        <f t="shared" si="5"/>
        <v>73</v>
      </c>
      <c r="X16" s="67">
        <v>68</v>
      </c>
      <c r="Y16" s="69">
        <v>5</v>
      </c>
      <c r="Z16" s="3" t="s">
        <v>13</v>
      </c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</row>
    <row r="17" spans="1:140" ht="18.75">
      <c r="A17" s="15" t="s">
        <v>28</v>
      </c>
      <c r="B17" s="16">
        <v>52</v>
      </c>
      <c r="C17" s="16">
        <v>29</v>
      </c>
      <c r="D17" s="40">
        <v>23</v>
      </c>
      <c r="E17" s="67">
        <v>60</v>
      </c>
      <c r="F17" s="67">
        <v>39</v>
      </c>
      <c r="G17" s="41">
        <v>21</v>
      </c>
      <c r="H17" s="68">
        <f t="shared" si="0"/>
        <v>40</v>
      </c>
      <c r="I17" s="67">
        <v>29</v>
      </c>
      <c r="J17" s="41">
        <v>11</v>
      </c>
      <c r="K17" s="69">
        <f t="shared" si="1"/>
        <v>59</v>
      </c>
      <c r="L17" s="67">
        <v>51</v>
      </c>
      <c r="M17" s="69">
        <v>8</v>
      </c>
      <c r="N17" s="68">
        <f t="shared" si="2"/>
        <v>80</v>
      </c>
      <c r="O17" s="67">
        <v>60</v>
      </c>
      <c r="P17" s="87">
        <v>20</v>
      </c>
      <c r="Q17" s="69">
        <f t="shared" si="3"/>
        <v>64</v>
      </c>
      <c r="R17" s="67">
        <v>45</v>
      </c>
      <c r="S17" s="67">
        <v>19</v>
      </c>
      <c r="T17" s="68">
        <f t="shared" si="4"/>
        <v>75</v>
      </c>
      <c r="U17" s="67">
        <v>54</v>
      </c>
      <c r="V17" s="87">
        <v>21</v>
      </c>
      <c r="W17" s="69">
        <f t="shared" si="5"/>
        <v>29</v>
      </c>
      <c r="X17" s="67">
        <v>17</v>
      </c>
      <c r="Y17" s="69">
        <v>12</v>
      </c>
      <c r="Z17" s="3" t="s">
        <v>16</v>
      </c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</row>
    <row r="18" spans="1:140" ht="18.75">
      <c r="A18" s="15" t="s">
        <v>8</v>
      </c>
      <c r="B18" s="16">
        <v>12</v>
      </c>
      <c r="C18" s="16">
        <v>10</v>
      </c>
      <c r="D18" s="40">
        <v>2</v>
      </c>
      <c r="E18" s="67">
        <v>7</v>
      </c>
      <c r="F18" s="67">
        <v>5</v>
      </c>
      <c r="G18" s="41">
        <v>2</v>
      </c>
      <c r="H18" s="68">
        <f t="shared" si="0"/>
        <v>7</v>
      </c>
      <c r="I18" s="67">
        <v>4</v>
      </c>
      <c r="J18" s="41">
        <v>3</v>
      </c>
      <c r="K18" s="69">
        <f t="shared" si="1"/>
        <v>3</v>
      </c>
      <c r="L18" s="67">
        <v>3</v>
      </c>
      <c r="M18" s="69">
        <v>0</v>
      </c>
      <c r="N18" s="68">
        <f t="shared" si="2"/>
        <v>0</v>
      </c>
      <c r="O18" s="67">
        <v>0</v>
      </c>
      <c r="P18" s="87">
        <v>0</v>
      </c>
      <c r="Q18" s="69">
        <f t="shared" si="3"/>
        <v>0</v>
      </c>
      <c r="R18" s="67">
        <v>0</v>
      </c>
      <c r="S18" s="67">
        <v>0</v>
      </c>
      <c r="T18" s="68">
        <f t="shared" si="4"/>
        <v>0</v>
      </c>
      <c r="U18" s="67">
        <v>0</v>
      </c>
      <c r="V18" s="87">
        <v>0</v>
      </c>
      <c r="W18" s="69">
        <f t="shared" si="5"/>
        <v>0</v>
      </c>
      <c r="X18" s="67">
        <v>0</v>
      </c>
      <c r="Y18" s="69">
        <v>0</v>
      </c>
      <c r="Z18" s="3" t="s">
        <v>9</v>
      </c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</row>
    <row r="19" spans="1:140" ht="18.75">
      <c r="A19" s="15" t="s">
        <v>20</v>
      </c>
      <c r="B19" s="16">
        <v>570</v>
      </c>
      <c r="C19" s="16">
        <v>346</v>
      </c>
      <c r="D19" s="76">
        <v>224</v>
      </c>
      <c r="E19" s="67">
        <v>703</v>
      </c>
      <c r="F19" s="67">
        <v>440</v>
      </c>
      <c r="G19" s="69">
        <v>263</v>
      </c>
      <c r="H19" s="69">
        <f t="shared" si="0"/>
        <v>1147</v>
      </c>
      <c r="I19" s="67">
        <v>969</v>
      </c>
      <c r="J19" s="69">
        <v>178</v>
      </c>
      <c r="K19" s="69">
        <f t="shared" si="1"/>
        <v>869</v>
      </c>
      <c r="L19" s="67">
        <v>683</v>
      </c>
      <c r="M19" s="69">
        <v>186</v>
      </c>
      <c r="N19" s="68">
        <f t="shared" si="2"/>
        <v>651</v>
      </c>
      <c r="O19" s="67">
        <v>566</v>
      </c>
      <c r="P19" s="87">
        <v>85</v>
      </c>
      <c r="Q19" s="69">
        <f t="shared" si="3"/>
        <v>972</v>
      </c>
      <c r="R19" s="67">
        <v>881</v>
      </c>
      <c r="S19" s="67">
        <v>91</v>
      </c>
      <c r="T19" s="68">
        <f t="shared" si="4"/>
        <v>632</v>
      </c>
      <c r="U19" s="67">
        <v>472</v>
      </c>
      <c r="V19" s="87">
        <v>160</v>
      </c>
      <c r="W19" s="69">
        <f t="shared" si="5"/>
        <v>502</v>
      </c>
      <c r="X19" s="67">
        <v>382</v>
      </c>
      <c r="Y19" s="69">
        <v>120</v>
      </c>
      <c r="Z19" s="3" t="s">
        <v>21</v>
      </c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</row>
    <row r="20" spans="1:140" ht="18" customHeight="1">
      <c r="A20" s="90" t="s">
        <v>96</v>
      </c>
      <c r="N20" s="68">
        <f>P20+O20</f>
        <v>13</v>
      </c>
      <c r="O20" s="67">
        <v>13</v>
      </c>
      <c r="P20" s="87">
        <v>0</v>
      </c>
      <c r="Q20" s="69">
        <f>S20+R20</f>
        <v>23</v>
      </c>
      <c r="R20" s="67">
        <v>21</v>
      </c>
      <c r="S20" s="67">
        <v>2</v>
      </c>
      <c r="T20" s="68">
        <f>V20+U20</f>
        <v>16</v>
      </c>
      <c r="U20" s="67">
        <v>16</v>
      </c>
      <c r="V20" s="87">
        <v>0</v>
      </c>
      <c r="W20" s="69">
        <f>Y20+X20</f>
        <v>11</v>
      </c>
      <c r="X20" s="67">
        <v>11</v>
      </c>
      <c r="Y20" s="69">
        <v>0</v>
      </c>
      <c r="Z20" s="57" t="s">
        <v>97</v>
      </c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</row>
    <row r="21" spans="1:140" ht="18" customHeight="1">
      <c r="A21" s="90" t="s">
        <v>111</v>
      </c>
      <c r="N21" s="68">
        <f t="shared" ref="N21:N32" si="6">P21+O21</f>
        <v>13</v>
      </c>
      <c r="O21" s="67">
        <v>13</v>
      </c>
      <c r="P21" s="87">
        <v>0</v>
      </c>
      <c r="Q21" s="69">
        <f t="shared" ref="Q21:Q32" si="7">S21+R21</f>
        <v>17</v>
      </c>
      <c r="R21" s="67">
        <v>15</v>
      </c>
      <c r="S21" s="67">
        <v>2</v>
      </c>
      <c r="T21" s="68">
        <f t="shared" ref="T21:T32" si="8">V21+U21</f>
        <v>12</v>
      </c>
      <c r="U21" s="67">
        <v>12</v>
      </c>
      <c r="V21" s="87">
        <v>0</v>
      </c>
      <c r="W21" s="69">
        <f t="shared" ref="W21:W32" si="9">Y21+X21</f>
        <v>15</v>
      </c>
      <c r="X21" s="67">
        <v>11</v>
      </c>
      <c r="Y21" s="69">
        <v>4</v>
      </c>
      <c r="Z21" s="57" t="s">
        <v>98</v>
      </c>
      <c r="CC21" s="81"/>
      <c r="CD21" s="82"/>
      <c r="CE21" s="82"/>
      <c r="CF21" s="82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82"/>
      <c r="DT21" s="82"/>
      <c r="DU21" s="82"/>
      <c r="DV21" s="82"/>
      <c r="DW21" s="82"/>
      <c r="DX21" s="82"/>
      <c r="DY21" s="82"/>
      <c r="DZ21" s="82"/>
      <c r="EA21" s="82"/>
      <c r="EB21" s="82"/>
      <c r="EC21" s="82"/>
      <c r="ED21" s="82"/>
      <c r="EE21" s="82"/>
      <c r="EF21" s="82"/>
      <c r="EG21" s="82"/>
      <c r="EH21" s="82"/>
      <c r="EI21" s="82"/>
      <c r="EJ21" s="82"/>
    </row>
    <row r="22" spans="1:140" s="60" customFormat="1" ht="18" customHeight="1">
      <c r="A22" s="90" t="s">
        <v>113</v>
      </c>
      <c r="H22" s="61"/>
      <c r="I22" s="62"/>
      <c r="N22" s="68">
        <f t="shared" si="6"/>
        <v>0</v>
      </c>
      <c r="O22" s="67">
        <v>0</v>
      </c>
      <c r="P22" s="87">
        <v>0</v>
      </c>
      <c r="Q22" s="69">
        <f t="shared" si="7"/>
        <v>0</v>
      </c>
      <c r="R22" s="67">
        <v>0</v>
      </c>
      <c r="S22" s="67">
        <v>0</v>
      </c>
      <c r="T22" s="68">
        <f t="shared" si="8"/>
        <v>6</v>
      </c>
      <c r="U22" s="67">
        <v>6</v>
      </c>
      <c r="V22" s="87">
        <v>0</v>
      </c>
      <c r="W22" s="69">
        <f t="shared" si="9"/>
        <v>0</v>
      </c>
      <c r="X22" s="67">
        <v>0</v>
      </c>
      <c r="Y22" s="69">
        <v>0</v>
      </c>
      <c r="Z22" s="57" t="s">
        <v>114</v>
      </c>
    </row>
    <row r="23" spans="1:140" s="10" customFormat="1" ht="18" customHeight="1">
      <c r="A23" s="90" t="s">
        <v>108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68">
        <f t="shared" si="6"/>
        <v>1</v>
      </c>
      <c r="O23" s="67">
        <v>1</v>
      </c>
      <c r="P23" s="87">
        <v>0</v>
      </c>
      <c r="Q23" s="69">
        <f t="shared" si="7"/>
        <v>7</v>
      </c>
      <c r="R23" s="67">
        <v>7</v>
      </c>
      <c r="S23" s="67">
        <v>0</v>
      </c>
      <c r="T23" s="68">
        <f t="shared" si="8"/>
        <v>1</v>
      </c>
      <c r="U23" s="67">
        <v>1</v>
      </c>
      <c r="V23" s="87">
        <v>0</v>
      </c>
      <c r="W23" s="69">
        <f t="shared" si="9"/>
        <v>3</v>
      </c>
      <c r="X23" s="67">
        <v>3</v>
      </c>
      <c r="Y23" s="69">
        <v>0</v>
      </c>
      <c r="Z23" s="57" t="s">
        <v>115</v>
      </c>
    </row>
    <row r="24" spans="1:140" s="10" customFormat="1" ht="18" customHeight="1">
      <c r="A24" s="90" t="s">
        <v>106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68">
        <f t="shared" si="6"/>
        <v>1</v>
      </c>
      <c r="O24" s="67">
        <v>1</v>
      </c>
      <c r="P24" s="87">
        <v>0</v>
      </c>
      <c r="Q24" s="69">
        <f t="shared" si="7"/>
        <v>3</v>
      </c>
      <c r="R24" s="67">
        <v>2</v>
      </c>
      <c r="S24" s="67">
        <v>1</v>
      </c>
      <c r="T24" s="68">
        <f t="shared" si="8"/>
        <v>4</v>
      </c>
      <c r="U24" s="67">
        <v>3</v>
      </c>
      <c r="V24" s="87">
        <v>1</v>
      </c>
      <c r="W24" s="69">
        <f t="shared" si="9"/>
        <v>3</v>
      </c>
      <c r="X24" s="67">
        <v>0</v>
      </c>
      <c r="Y24" s="69">
        <v>3</v>
      </c>
      <c r="Z24" s="57" t="s">
        <v>123</v>
      </c>
    </row>
    <row r="25" spans="1:140" s="10" customFormat="1" ht="18" customHeight="1">
      <c r="A25" s="90" t="s">
        <v>103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68">
        <f t="shared" si="6"/>
        <v>5</v>
      </c>
      <c r="O25" s="67">
        <v>4</v>
      </c>
      <c r="P25" s="87">
        <v>1</v>
      </c>
      <c r="Q25" s="69">
        <f t="shared" si="7"/>
        <v>21</v>
      </c>
      <c r="R25" s="67">
        <v>20</v>
      </c>
      <c r="S25" s="67">
        <v>1</v>
      </c>
      <c r="T25" s="68">
        <f t="shared" si="8"/>
        <v>19</v>
      </c>
      <c r="U25" s="67">
        <v>15</v>
      </c>
      <c r="V25" s="87">
        <v>4</v>
      </c>
      <c r="W25" s="69">
        <f t="shared" si="9"/>
        <v>9</v>
      </c>
      <c r="X25" s="67">
        <v>8</v>
      </c>
      <c r="Y25" s="69">
        <v>1</v>
      </c>
      <c r="Z25" s="57" t="s">
        <v>116</v>
      </c>
    </row>
    <row r="26" spans="1:140" s="10" customFormat="1" ht="18" customHeight="1">
      <c r="A26" s="90" t="s">
        <v>107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68">
        <f t="shared" si="6"/>
        <v>73</v>
      </c>
      <c r="O26" s="67">
        <v>71</v>
      </c>
      <c r="P26" s="87">
        <v>2</v>
      </c>
      <c r="Q26" s="69">
        <f t="shared" si="7"/>
        <v>123</v>
      </c>
      <c r="R26" s="67">
        <v>120</v>
      </c>
      <c r="S26" s="67">
        <v>3</v>
      </c>
      <c r="T26" s="68">
        <f t="shared" si="8"/>
        <v>95</v>
      </c>
      <c r="U26" s="67">
        <v>87</v>
      </c>
      <c r="V26" s="87">
        <v>8</v>
      </c>
      <c r="W26" s="69">
        <f t="shared" si="9"/>
        <v>54</v>
      </c>
      <c r="X26" s="67">
        <v>52</v>
      </c>
      <c r="Y26" s="69">
        <v>2</v>
      </c>
      <c r="Z26" s="57" t="s">
        <v>117</v>
      </c>
    </row>
    <row r="27" spans="1:140" s="10" customFormat="1" ht="18" customHeight="1">
      <c r="A27" s="90" t="s">
        <v>109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68">
        <f t="shared" si="6"/>
        <v>33</v>
      </c>
      <c r="O27" s="67">
        <v>28</v>
      </c>
      <c r="P27" s="87">
        <v>5</v>
      </c>
      <c r="Q27" s="69">
        <f t="shared" si="7"/>
        <v>30</v>
      </c>
      <c r="R27" s="67">
        <v>26</v>
      </c>
      <c r="S27" s="67">
        <v>4</v>
      </c>
      <c r="T27" s="68">
        <f t="shared" si="8"/>
        <v>13</v>
      </c>
      <c r="U27" s="67">
        <v>9</v>
      </c>
      <c r="V27" s="87">
        <v>4</v>
      </c>
      <c r="W27" s="69">
        <f t="shared" si="9"/>
        <v>7</v>
      </c>
      <c r="X27" s="67">
        <v>7</v>
      </c>
      <c r="Y27" s="69">
        <v>0</v>
      </c>
      <c r="Z27" s="57" t="s">
        <v>118</v>
      </c>
    </row>
    <row r="28" spans="1:140" s="10" customFormat="1" ht="18" customHeight="1">
      <c r="A28" s="90" t="s">
        <v>110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68">
        <f t="shared" si="6"/>
        <v>17</v>
      </c>
      <c r="O28" s="67">
        <v>17</v>
      </c>
      <c r="P28" s="87">
        <v>0</v>
      </c>
      <c r="Q28" s="69">
        <f t="shared" si="7"/>
        <v>4</v>
      </c>
      <c r="R28" s="67">
        <v>4</v>
      </c>
      <c r="S28" s="67">
        <v>0</v>
      </c>
      <c r="T28" s="68">
        <f t="shared" si="8"/>
        <v>13</v>
      </c>
      <c r="U28" s="67">
        <v>9</v>
      </c>
      <c r="V28" s="87">
        <v>4</v>
      </c>
      <c r="W28" s="69">
        <f t="shared" si="9"/>
        <v>5</v>
      </c>
      <c r="X28" s="67">
        <v>5</v>
      </c>
      <c r="Y28" s="69">
        <v>0</v>
      </c>
      <c r="Z28" s="57" t="s">
        <v>119</v>
      </c>
    </row>
    <row r="29" spans="1:140" s="10" customFormat="1" ht="18" customHeight="1">
      <c r="A29" s="90" t="s">
        <v>102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68">
        <f t="shared" si="6"/>
        <v>154</v>
      </c>
      <c r="O29" s="67">
        <v>150</v>
      </c>
      <c r="P29" s="87">
        <v>4</v>
      </c>
      <c r="Q29" s="69">
        <f t="shared" si="7"/>
        <v>132</v>
      </c>
      <c r="R29" s="67">
        <v>131</v>
      </c>
      <c r="S29" s="67">
        <v>1</v>
      </c>
      <c r="T29" s="68">
        <f t="shared" si="8"/>
        <v>108</v>
      </c>
      <c r="U29" s="67">
        <v>104</v>
      </c>
      <c r="V29" s="87">
        <v>4</v>
      </c>
      <c r="W29" s="69">
        <f t="shared" si="9"/>
        <v>65</v>
      </c>
      <c r="X29" s="67">
        <v>63</v>
      </c>
      <c r="Y29" s="69">
        <v>2</v>
      </c>
      <c r="Z29" s="57" t="s">
        <v>120</v>
      </c>
    </row>
    <row r="30" spans="1:140" s="10" customFormat="1" ht="30" customHeight="1">
      <c r="A30" s="92" t="s">
        <v>105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68">
        <f t="shared" si="6"/>
        <v>62</v>
      </c>
      <c r="O30" s="67">
        <v>61</v>
      </c>
      <c r="P30" s="87">
        <v>1</v>
      </c>
      <c r="Q30" s="69">
        <f t="shared" si="7"/>
        <v>53</v>
      </c>
      <c r="R30" s="67">
        <v>53</v>
      </c>
      <c r="S30" s="67">
        <v>0</v>
      </c>
      <c r="T30" s="68">
        <f t="shared" si="8"/>
        <v>34</v>
      </c>
      <c r="U30" s="67">
        <v>33</v>
      </c>
      <c r="V30" s="87">
        <v>1</v>
      </c>
      <c r="W30" s="69">
        <f t="shared" si="9"/>
        <v>38</v>
      </c>
      <c r="X30" s="67">
        <v>38</v>
      </c>
      <c r="Y30" s="69">
        <v>0</v>
      </c>
      <c r="Z30" s="57" t="s">
        <v>121</v>
      </c>
    </row>
    <row r="31" spans="1:140" s="10" customFormat="1" ht="18" customHeight="1">
      <c r="A31" s="90" t="s">
        <v>104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68">
        <f t="shared" si="6"/>
        <v>33</v>
      </c>
      <c r="O31" s="67">
        <v>31</v>
      </c>
      <c r="P31" s="87">
        <v>2</v>
      </c>
      <c r="Q31" s="69">
        <f t="shared" si="7"/>
        <v>21</v>
      </c>
      <c r="R31" s="67">
        <v>19</v>
      </c>
      <c r="S31" s="67">
        <v>2</v>
      </c>
      <c r="T31" s="68">
        <f t="shared" si="8"/>
        <v>11</v>
      </c>
      <c r="U31" s="67">
        <v>11</v>
      </c>
      <c r="V31" s="87">
        <v>0</v>
      </c>
      <c r="W31" s="69">
        <f t="shared" si="9"/>
        <v>9</v>
      </c>
      <c r="X31" s="67">
        <v>9</v>
      </c>
      <c r="Y31" s="69">
        <v>0</v>
      </c>
      <c r="Z31" s="57" t="s">
        <v>122</v>
      </c>
    </row>
    <row r="32" spans="1:140" s="10" customFormat="1" ht="18" customHeight="1">
      <c r="A32" s="91" t="s">
        <v>20</v>
      </c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71">
        <f t="shared" si="6"/>
        <v>246</v>
      </c>
      <c r="O32" s="70">
        <v>176</v>
      </c>
      <c r="P32" s="89">
        <v>70</v>
      </c>
      <c r="Q32" s="72">
        <f t="shared" si="7"/>
        <v>538</v>
      </c>
      <c r="R32" s="70">
        <v>463</v>
      </c>
      <c r="S32" s="70">
        <v>75</v>
      </c>
      <c r="T32" s="71">
        <f t="shared" si="8"/>
        <v>300</v>
      </c>
      <c r="U32" s="70">
        <v>166</v>
      </c>
      <c r="V32" s="89">
        <v>134</v>
      </c>
      <c r="W32" s="72">
        <f t="shared" si="9"/>
        <v>283</v>
      </c>
      <c r="X32" s="70">
        <v>175</v>
      </c>
      <c r="Y32" s="72">
        <v>108</v>
      </c>
      <c r="Z32" s="93" t="s">
        <v>21</v>
      </c>
    </row>
    <row r="33" spans="1:26" s="10" customFormat="1" ht="18" customHeight="1">
      <c r="A33" s="77" t="s">
        <v>22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74" t="s">
        <v>72</v>
      </c>
    </row>
    <row r="34" spans="1:26" s="10" customFormat="1"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</row>
    <row r="35" spans="1:26" s="10" customFormat="1"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</row>
    <row r="36" spans="1:26" s="10" customFormat="1"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</row>
    <row r="37" spans="1:26" s="10" customFormat="1">
      <c r="B37" s="7"/>
      <c r="C37" s="7"/>
      <c r="D37" s="8"/>
      <c r="E37" s="7"/>
      <c r="F37" s="7"/>
      <c r="G37" s="8"/>
      <c r="H37" s="7"/>
      <c r="I37" s="7"/>
      <c r="J37" s="8"/>
      <c r="K37" s="7"/>
      <c r="L37" s="7"/>
      <c r="M37" s="73"/>
      <c r="N37" s="7"/>
      <c r="O37" s="7"/>
      <c r="P37" s="73"/>
      <c r="Q37" s="7"/>
      <c r="R37" s="7"/>
      <c r="S37" s="73"/>
      <c r="T37" s="7"/>
      <c r="U37" s="7"/>
      <c r="V37" s="73"/>
      <c r="W37" s="7"/>
      <c r="X37" s="7"/>
      <c r="Y37" s="73"/>
    </row>
    <row r="38" spans="1:26" s="10" customFormat="1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</row>
    <row r="39" spans="1:26" s="10" customFormat="1"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</row>
    <row r="40" spans="1:26" s="10" customFormat="1"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</row>
    <row r="41" spans="1:26" s="10" customFormat="1"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</row>
    <row r="42" spans="1:26" s="10" customFormat="1"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</row>
    <row r="43" spans="1:26" s="10" customFormat="1"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</row>
    <row r="44" spans="1:26" s="10" customFormat="1"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</row>
    <row r="45" spans="1:26" s="10" customFormat="1"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</row>
    <row r="46" spans="1:26" s="10" customForma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</row>
    <row r="47" spans="1:26" s="10" customFormat="1"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</row>
    <row r="48" spans="1:26" s="10" customFormat="1"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</row>
    <row r="49" spans="2:25" s="10" customFormat="1"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</row>
    <row r="50" spans="2:25" s="10" customForma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</row>
    <row r="51" spans="2:25" s="10" customFormat="1"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</row>
    <row r="52" spans="2:25" s="10" customFormat="1"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spans="2:25" s="10" customFormat="1"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spans="2:25" s="10" customForma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spans="2:25" s="10" customFormat="1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spans="2:25" s="10" customFormat="1"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</row>
    <row r="57" spans="2:25" s="10" customFormat="1"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</row>
    <row r="58" spans="2:25" s="10" customFormat="1"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</row>
    <row r="59" spans="2:25" s="10" customFormat="1"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</row>
    <row r="60" spans="2:25" s="10" customFormat="1"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</row>
    <row r="61" spans="2:25" s="10" customFormat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</row>
    <row r="62" spans="2:25" s="10" customForma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</row>
    <row r="63" spans="2:25" s="10" customFormat="1"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</row>
    <row r="64" spans="2:25" s="10" customFormat="1"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</row>
    <row r="65" spans="2:25" s="10" customFormat="1"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</row>
    <row r="66" spans="2:25" s="10" customFormat="1"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</row>
    <row r="67" spans="2:25" s="10" customForma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</row>
    <row r="68" spans="2:25" s="10" customFormat="1"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</row>
    <row r="69" spans="2:25" s="10" customFormat="1"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</row>
    <row r="70" spans="2:25" s="10" customFormat="1"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</row>
    <row r="71" spans="2:25" s="10" customForma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</row>
    <row r="72" spans="2:25" s="10" customFormat="1"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</row>
    <row r="73" spans="2:25" s="10" customFormat="1"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</row>
    <row r="74" spans="2:25" s="10" customForma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</row>
    <row r="75" spans="2:25" s="10" customFormat="1"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</row>
    <row r="76" spans="2:25" s="10" customFormat="1"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</row>
    <row r="77" spans="2:25" s="10" customFormat="1"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</row>
    <row r="78" spans="2:25" s="10" customFormat="1"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</row>
    <row r="79" spans="2:25" s="10" customFormat="1"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</row>
    <row r="80" spans="2:25" s="10" customFormat="1"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</row>
    <row r="81" spans="2:25" s="10" customFormat="1"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</row>
    <row r="82" spans="2:25" s="10" customFormat="1"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</row>
    <row r="83" spans="2:25" s="10" customFormat="1"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</row>
    <row r="84" spans="2:25" s="10" customFormat="1"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</row>
    <row r="85" spans="2:25" s="10" customFormat="1"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</row>
    <row r="86" spans="2:25" s="10" customFormat="1"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</row>
    <row r="87" spans="2:25" s="10" customFormat="1"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</row>
    <row r="88" spans="2:25" s="10" customFormat="1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</row>
    <row r="89" spans="2:25" s="10" customFormat="1"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</row>
    <row r="90" spans="2:25" s="10" customFormat="1"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</row>
    <row r="91" spans="2:25" s="10" customFormat="1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</row>
    <row r="92" spans="2:25" s="10" customFormat="1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</row>
    <row r="93" spans="2:25" s="10" customFormat="1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</row>
    <row r="94" spans="2:25" s="10" customFormat="1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</row>
    <row r="95" spans="2:25" s="10" customFormat="1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</row>
    <row r="96" spans="2:25" s="10" customFormat="1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</row>
    <row r="97" spans="2:25" s="10" customFormat="1"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</row>
    <row r="98" spans="2:25" s="10" customFormat="1"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</row>
    <row r="99" spans="2:25" s="10" customFormat="1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</row>
    <row r="100" spans="2:25" s="10" customFormat="1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</row>
    <row r="101" spans="2:25" s="10" customFormat="1"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</row>
    <row r="102" spans="2:25" s="10" customFormat="1"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</row>
    <row r="103" spans="2:25" s="10" customFormat="1"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</row>
    <row r="104" spans="2:25" s="10" customFormat="1"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spans="2:25" s="10" customFormat="1"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</row>
    <row r="106" spans="2:25" s="10" customFormat="1"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</row>
    <row r="107" spans="2:25" s="10" customFormat="1"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</row>
    <row r="108" spans="2:25" s="10" customFormat="1"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</row>
    <row r="109" spans="2:25" s="10" customFormat="1"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</row>
    <row r="110" spans="2:25" s="10" customFormat="1"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</row>
    <row r="111" spans="2:25" s="10" customFormat="1"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</row>
    <row r="112" spans="2:25" s="10" customFormat="1"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</row>
    <row r="113" spans="2:25" s="10" customFormat="1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</row>
    <row r="114" spans="2:25" s="10" customFormat="1"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</row>
    <row r="115" spans="2:25" s="10" customFormat="1"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</row>
    <row r="116" spans="2:25" s="10" customFormat="1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</row>
    <row r="117" spans="2:25" s="10" customFormat="1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</row>
    <row r="118" spans="2:25" s="10" customFormat="1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</row>
    <row r="119" spans="2:25" s="10" customFormat="1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</row>
    <row r="120" spans="2:25" s="10" customFormat="1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</row>
    <row r="121" spans="2:25" s="10" customFormat="1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</row>
    <row r="122" spans="2:25" s="10" customFormat="1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</row>
    <row r="123" spans="2:25" s="10" customFormat="1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</row>
    <row r="124" spans="2:25" s="10" customFormat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</row>
    <row r="125" spans="2:25" s="10" customFormat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</row>
    <row r="126" spans="2:25" s="10" customFormat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</row>
    <row r="127" spans="2:25" s="10" customFormat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</row>
    <row r="128" spans="2:25" s="10" customFormat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</row>
    <row r="129" spans="2:25" s="10" customFormat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</row>
    <row r="130" spans="2:25" s="10" customFormat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</row>
    <row r="131" spans="2:25" s="10" customFormat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</row>
    <row r="132" spans="2:25" s="10" customFormat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</row>
    <row r="133" spans="2:25" s="10" customFormat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</row>
    <row r="134" spans="2:25" s="10" customFormat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</row>
    <row r="135" spans="2:25" s="10" customFormat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</row>
    <row r="136" spans="2:25" s="10" customFormat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</row>
    <row r="137" spans="2:25" s="10" customFormat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</row>
    <row r="138" spans="2:25" s="10" customFormat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</row>
    <row r="139" spans="2:25" s="10" customFormat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</row>
    <row r="140" spans="2:25" s="10" customFormat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</row>
    <row r="141" spans="2:25" s="10" customFormat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</row>
    <row r="142" spans="2:25" s="10" customFormat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</row>
    <row r="143" spans="2:25" s="10" customFormat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</row>
    <row r="144" spans="2:25" s="10" customFormat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</row>
    <row r="145" spans="2:25" s="10" customFormat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</row>
    <row r="146" spans="2:25" s="10" customFormat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</row>
    <row r="147" spans="2:25" s="10" customFormat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</row>
    <row r="148" spans="2:25" s="10" customFormat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</row>
    <row r="149" spans="2:25" s="10" customFormat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</row>
    <row r="150" spans="2:25" s="10" customFormat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</row>
    <row r="151" spans="2:25" s="10" customFormat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</row>
    <row r="152" spans="2:25" s="10" customFormat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</row>
    <row r="153" spans="2:25" s="10" customFormat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</row>
    <row r="154" spans="2:25" s="10" customFormat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</row>
    <row r="155" spans="2:25" s="10" customFormat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</row>
    <row r="156" spans="2:25" s="10" customFormat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</row>
    <row r="157" spans="2:25" s="10" customFormat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</row>
    <row r="158" spans="2:25" s="10" customFormat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</row>
    <row r="159" spans="2:25" s="10" customFormat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</row>
    <row r="160" spans="2:25" s="10" customFormat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</row>
    <row r="161" spans="2:25" s="10" customFormat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</row>
    <row r="162" spans="2:25" s="10" customFormat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</row>
    <row r="163" spans="2:25" s="10" customFormat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</row>
    <row r="164" spans="2:25" s="10" customFormat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</row>
    <row r="165" spans="2:25" s="10" customFormat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</row>
    <row r="166" spans="2:25" s="10" customFormat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</row>
    <row r="167" spans="2:25" s="10" customFormat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</row>
    <row r="168" spans="2:25" s="10" customFormat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</row>
    <row r="169" spans="2:25" s="10" customFormat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</row>
    <row r="170" spans="2:25" s="10" customFormat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</row>
    <row r="171" spans="2:25" s="10" customFormat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</row>
    <row r="172" spans="2:25" s="10" customFormat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</row>
    <row r="173" spans="2:25" s="10" customFormat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</row>
    <row r="174" spans="2:25" s="10" customFormat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</row>
    <row r="175" spans="2:25" s="10" customFormat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</row>
    <row r="176" spans="2:25" s="10" customFormat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</row>
    <row r="177" spans="2:25" s="10" customFormat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</row>
    <row r="178" spans="2:25" s="10" customFormat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</row>
    <row r="179" spans="2:25" s="10" customFormat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</row>
    <row r="180" spans="2:25" s="10" customFormat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</row>
    <row r="181" spans="2:25" s="10" customFormat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</row>
    <row r="182" spans="2:25" s="10" customFormat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</row>
    <row r="183" spans="2:25" s="10" customFormat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</row>
    <row r="184" spans="2:25" s="10" customFormat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</row>
    <row r="185" spans="2:25" s="10" customFormat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</row>
    <row r="186" spans="2:25" s="10" customFormat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</row>
    <row r="187" spans="2:25" s="10" customFormat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</row>
    <row r="188" spans="2:25" s="10" customFormat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</row>
    <row r="189" spans="2:25" s="10" customFormat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</row>
    <row r="190" spans="2:25" s="10" customFormat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</row>
    <row r="191" spans="2:25" s="10" customFormat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</row>
    <row r="192" spans="2:25" s="10" customFormat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</row>
    <row r="193" spans="2:25" s="10" customFormat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</row>
    <row r="194" spans="2:25" s="10" customFormat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</row>
    <row r="195" spans="2:25" s="10" customFormat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</row>
    <row r="196" spans="2:25" s="10" customFormat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</row>
    <row r="197" spans="2:25" s="10" customFormat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</row>
    <row r="198" spans="2:25" s="10" customFormat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</row>
    <row r="199" spans="2:25" s="10" customFormat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</row>
    <row r="200" spans="2:25" s="10" customFormat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</row>
    <row r="201" spans="2:25" s="10" customFormat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</row>
    <row r="202" spans="2:25" s="10" customFormat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</row>
    <row r="203" spans="2:25" s="10" customFormat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</row>
    <row r="204" spans="2:25" s="10" customFormat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</row>
    <row r="205" spans="2:25" s="10" customFormat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</row>
    <row r="206" spans="2:25" s="10" customFormat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</row>
    <row r="207" spans="2:25" s="10" customFormat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</row>
    <row r="208" spans="2:25" s="10" customFormat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</row>
    <row r="209" spans="2:25" s="10" customFormat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</row>
    <row r="210" spans="2:25" s="10" customFormat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</row>
    <row r="211" spans="2:25" s="10" customFormat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</row>
    <row r="212" spans="2:25" s="10" customFormat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</row>
    <row r="213" spans="2:25" s="10" customFormat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</row>
    <row r="214" spans="2:25" s="10" customFormat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</row>
    <row r="215" spans="2:25" s="10" customFormat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</row>
    <row r="216" spans="2:25" s="10" customFormat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</row>
    <row r="217" spans="2:25" s="10" customFormat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</row>
    <row r="218" spans="2:25" s="10" customFormat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</row>
    <row r="219" spans="2:25" s="10" customFormat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</row>
    <row r="220" spans="2:25" s="10" customFormat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</row>
    <row r="221" spans="2:25" s="10" customFormat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</row>
    <row r="222" spans="2:25" s="10" customFormat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</row>
    <row r="223" spans="2:25" s="10" customFormat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</row>
    <row r="224" spans="2:25" s="10" customFormat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</row>
    <row r="225" spans="2:25" s="10" customFormat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</row>
    <row r="226" spans="2:25" s="10" customFormat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</row>
    <row r="227" spans="2:25" s="10" customFormat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</row>
    <row r="228" spans="2:25" s="10" customFormat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</row>
    <row r="229" spans="2:25" s="10" customFormat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</row>
    <row r="230" spans="2:25" s="10" customFormat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</row>
    <row r="231" spans="2:25" s="10" customFormat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</row>
    <row r="232" spans="2:25" s="10" customFormat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</row>
    <row r="233" spans="2:25" s="10" customFormat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</row>
    <row r="234" spans="2:25" s="10" customFormat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</row>
    <row r="235" spans="2:25" s="10" customFormat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</row>
    <row r="236" spans="2:25" s="10" customFormat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</row>
    <row r="237" spans="2:25" s="10" customFormat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</row>
    <row r="238" spans="2:25" s="10" customFormat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</row>
    <row r="239" spans="2:25" s="10" customFormat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</row>
    <row r="240" spans="2:25" s="10" customFormat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</row>
    <row r="241" spans="2:25" s="10" customFormat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</row>
    <row r="242" spans="2:25" s="10" customFormat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</row>
    <row r="243" spans="2:25" s="10" customFormat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</row>
    <row r="244" spans="2:25" s="10" customFormat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</row>
    <row r="245" spans="2:25" s="10" customFormat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</row>
    <row r="246" spans="2:25" s="10" customFormat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</row>
    <row r="247" spans="2:25" s="10" customFormat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</row>
    <row r="248" spans="2:25" s="10" customFormat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</row>
    <row r="249" spans="2:25" s="10" customFormat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</row>
    <row r="250" spans="2:25" s="10" customFormat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</row>
    <row r="251" spans="2:25" s="10" customFormat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</row>
    <row r="252" spans="2:25" s="10" customFormat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</row>
    <row r="253" spans="2:25" s="10" customFormat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</row>
    <row r="254" spans="2:25" s="10" customFormat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</row>
    <row r="255" spans="2:25" s="10" customFormat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</row>
    <row r="256" spans="2:25" s="10" customFormat="1"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</row>
    <row r="257" spans="2:25" s="10" customFormat="1"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</row>
    <row r="258" spans="2:25" s="10" customFormat="1"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</row>
    <row r="259" spans="2:25" s="10" customFormat="1"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</row>
    <row r="260" spans="2:25" s="10" customFormat="1"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</row>
    <row r="261" spans="2:25" s="10" customFormat="1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</row>
    <row r="262" spans="2:25" s="10" customFormat="1"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</row>
    <row r="263" spans="2:25" s="10" customFormat="1"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</row>
    <row r="264" spans="2:25" s="10" customFormat="1"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</row>
    <row r="265" spans="2:25" s="10" customFormat="1"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</row>
    <row r="266" spans="2:25" s="10" customFormat="1"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</row>
    <row r="267" spans="2:25" s="10" customFormat="1"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</row>
    <row r="268" spans="2:25" s="10" customFormat="1"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</row>
    <row r="269" spans="2:25" s="10" customFormat="1"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</row>
    <row r="270" spans="2:25" s="10" customFormat="1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</row>
    <row r="271" spans="2:25" s="10" customFormat="1"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</row>
    <row r="272" spans="2:25" s="10" customFormat="1"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</row>
    <row r="273" spans="2:25" s="10" customFormat="1"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</row>
    <row r="274" spans="2:25" s="10" customFormat="1"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</row>
    <row r="275" spans="2:25" s="10" customFormat="1"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</row>
    <row r="276" spans="2:25" s="10" customFormat="1"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</row>
    <row r="277" spans="2:25" s="10" customFormat="1"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</row>
    <row r="278" spans="2:25" s="10" customFormat="1"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</row>
    <row r="279" spans="2:25" s="10" customFormat="1"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</row>
    <row r="280" spans="2:25" s="10" customFormat="1"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</row>
    <row r="281" spans="2:25" s="10" customFormat="1"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</row>
    <row r="282" spans="2:25" s="10" customFormat="1"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</row>
    <row r="283" spans="2:25" s="10" customFormat="1"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</row>
    <row r="284" spans="2:25" s="10" customFormat="1"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</row>
    <row r="285" spans="2:25" s="10" customFormat="1"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</row>
    <row r="286" spans="2:25" s="10" customFormat="1"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</row>
    <row r="287" spans="2:25" s="10" customFormat="1"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</row>
    <row r="288" spans="2:25" s="10" customFormat="1"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</row>
    <row r="289" spans="2:25" s="10" customFormat="1"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</row>
    <row r="290" spans="2:25" s="10" customFormat="1"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</row>
    <row r="291" spans="2:25" s="10" customFormat="1"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</row>
    <row r="292" spans="2:25" s="10" customFormat="1"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</row>
    <row r="293" spans="2:25" s="10" customFormat="1"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</row>
    <row r="294" spans="2:25" s="10" customFormat="1"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</row>
    <row r="295" spans="2:25" s="10" customFormat="1"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</row>
    <row r="296" spans="2:25" s="10" customFormat="1"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</row>
    <row r="297" spans="2:25" s="10" customFormat="1"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</row>
    <row r="298" spans="2:25" s="10" customFormat="1"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</row>
    <row r="299" spans="2:25" s="10" customFormat="1"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</row>
    <row r="300" spans="2:25" s="10" customFormat="1"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</row>
    <row r="301" spans="2:25" s="10" customFormat="1"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</row>
    <row r="302" spans="2:25" s="10" customFormat="1"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</row>
    <row r="303" spans="2:25" s="10" customFormat="1"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</row>
    <row r="304" spans="2:25" s="10" customFormat="1"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</row>
    <row r="305" spans="2:25" s="10" customFormat="1"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</row>
    <row r="306" spans="2:25" s="10" customFormat="1"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</row>
    <row r="307" spans="2:25" s="10" customFormat="1"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</row>
    <row r="308" spans="2:25" s="10" customFormat="1"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</row>
    <row r="309" spans="2:25" s="10" customFormat="1"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</row>
    <row r="310" spans="2:25" s="10" customFormat="1"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</row>
    <row r="311" spans="2:25" s="10" customFormat="1"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</row>
    <row r="312" spans="2:25" s="10" customFormat="1"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</row>
    <row r="313" spans="2:25" s="10" customFormat="1"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</row>
    <row r="314" spans="2:25" s="10" customFormat="1"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</row>
    <row r="315" spans="2:25" s="10" customFormat="1"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</row>
    <row r="316" spans="2:25" s="10" customFormat="1"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</row>
    <row r="317" spans="2:25" s="10" customFormat="1"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</row>
    <row r="318" spans="2:25" s="10" customFormat="1"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</row>
    <row r="319" spans="2:25" s="10" customFormat="1"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</row>
    <row r="320" spans="2:25" s="10" customFormat="1"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</row>
    <row r="321" spans="2:25" s="10" customFormat="1"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</row>
    <row r="322" spans="2:25" s="10" customFormat="1"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</row>
    <row r="323" spans="2:25" s="10" customFormat="1"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</row>
    <row r="324" spans="2:25" s="10" customFormat="1"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</row>
    <row r="325" spans="2:25" s="10" customFormat="1"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</row>
    <row r="326" spans="2:25" s="10" customFormat="1"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</row>
    <row r="327" spans="2:25" s="10" customFormat="1"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</row>
    <row r="328" spans="2:25" s="10" customFormat="1"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</row>
    <row r="329" spans="2:25" s="10" customFormat="1"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</row>
    <row r="330" spans="2:25" s="10" customFormat="1"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</row>
    <row r="331" spans="2:25" s="10" customFormat="1"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</row>
    <row r="332" spans="2:25" s="10" customFormat="1"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</row>
    <row r="333" spans="2:25" s="10" customFormat="1"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</row>
    <row r="334" spans="2:25" s="10" customFormat="1"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</row>
    <row r="335" spans="2:25" s="10" customFormat="1"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</row>
    <row r="336" spans="2:25" s="10" customFormat="1"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</row>
    <row r="337" spans="2:25" s="10" customFormat="1"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</row>
    <row r="338" spans="2:25" s="10" customFormat="1"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</row>
    <row r="339" spans="2:25" s="10" customFormat="1"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</row>
    <row r="340" spans="2:25" s="10" customFormat="1"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</row>
    <row r="341" spans="2:25" s="10" customFormat="1"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</row>
    <row r="342" spans="2:25" s="10" customFormat="1"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</row>
    <row r="343" spans="2:25" s="10" customFormat="1"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</row>
    <row r="344" spans="2:25" s="10" customFormat="1"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</row>
    <row r="345" spans="2:25" s="10" customFormat="1"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</row>
    <row r="346" spans="2:25" s="10" customFormat="1"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</row>
    <row r="347" spans="2:25" s="10" customFormat="1"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</row>
    <row r="348" spans="2:25" s="10" customFormat="1"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</row>
    <row r="349" spans="2:25" s="10" customFormat="1"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</row>
    <row r="350" spans="2:25" s="10" customFormat="1"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</row>
    <row r="351" spans="2:25" s="10" customFormat="1"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</row>
    <row r="352" spans="2:25" s="10" customFormat="1"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</row>
    <row r="353" spans="2:25" s="10" customFormat="1"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</row>
    <row r="354" spans="2:25" s="10" customFormat="1"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</row>
    <row r="355" spans="2:25" s="10" customFormat="1"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</row>
    <row r="356" spans="2:25" s="10" customFormat="1"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</row>
    <row r="357" spans="2:25" s="10" customFormat="1"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</row>
    <row r="358" spans="2:25" s="10" customFormat="1"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</row>
    <row r="359" spans="2:25" s="10" customFormat="1"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</row>
    <row r="360" spans="2:25" s="10" customFormat="1"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</row>
    <row r="361" spans="2:25" s="10" customFormat="1"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</row>
    <row r="362" spans="2:25" s="10" customFormat="1"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</row>
    <row r="363" spans="2:25" s="10" customFormat="1"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</row>
    <row r="364" spans="2:25" s="10" customFormat="1"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</row>
    <row r="365" spans="2:25" s="10" customFormat="1"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</row>
    <row r="366" spans="2:25" s="10" customFormat="1"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</row>
    <row r="367" spans="2:25" s="10" customFormat="1"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</row>
    <row r="368" spans="2:25" s="10" customFormat="1"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</row>
    <row r="369" spans="1:26" s="10" customFormat="1"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</row>
    <row r="370" spans="1:26" s="10" customFormat="1"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</row>
    <row r="371" spans="1:26" s="10" customFormat="1"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</row>
    <row r="372" spans="1:26" s="10" customFormat="1"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</row>
    <row r="373" spans="1:26" s="10" customFormat="1"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</row>
    <row r="374" spans="1:26" s="10" customFormat="1"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</row>
    <row r="375" spans="1:26" s="10" customFormat="1"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</row>
    <row r="376" spans="1:26" s="10" customFormat="1"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</row>
    <row r="377" spans="1:26" s="10" customFormat="1"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</row>
    <row r="378" spans="1:26" s="10" customFormat="1"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</row>
    <row r="379" spans="1:26" s="10" customFormat="1"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</row>
    <row r="380" spans="1:26" s="10" customFormat="1"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</row>
    <row r="381" spans="1:26" s="10" customFormat="1"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</row>
    <row r="382" spans="1:26" s="10" customFormat="1">
      <c r="A382" s="84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4"/>
    </row>
  </sheetData>
  <mergeCells count="12">
    <mergeCell ref="T6:V6"/>
    <mergeCell ref="W6:Y6"/>
    <mergeCell ref="A1:Z1"/>
    <mergeCell ref="A2:Z2"/>
    <mergeCell ref="A4:A6"/>
    <mergeCell ref="Z4:Z6"/>
    <mergeCell ref="B6:D6"/>
    <mergeCell ref="E6:G6"/>
    <mergeCell ref="H6:J6"/>
    <mergeCell ref="K6:M6"/>
    <mergeCell ref="N6:P6"/>
    <mergeCell ref="Q6:S6"/>
  </mergeCells>
  <pageMargins left="0.46" right="0.17" top="0.52" bottom="0.34" header="0.3" footer="0.3"/>
  <pageSetup paperSize="9" scale="71" orientation="landscape" horizontalDpi="4294967295" verticalDpi="4294967295" r:id="rId1"/>
  <rowBreaks count="1" manualBreakCount="1">
    <brk id="33" max="25" man="1"/>
  </rowBreaks>
  <colBreaks count="15" manualBreakCount="15">
    <brk id="26" max="19" man="1"/>
    <brk id="33" max="19" man="1"/>
    <brk id="37" max="19" man="1"/>
    <brk id="41" max="19" man="1"/>
    <brk id="44" max="19" man="1"/>
    <brk id="46" max="19" man="1"/>
    <brk id="47" max="19" man="1"/>
    <brk id="50" max="19" man="1"/>
    <brk id="53" max="19" man="1"/>
    <brk id="55" max="19" man="1"/>
    <brk id="56" max="19" man="1"/>
    <brk id="58" max="19" man="1"/>
    <brk id="60" max="19" man="1"/>
    <brk id="61" max="19" man="1"/>
    <brk id="63" max="1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9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2" customWidth="1"/>
    <col min="36" max="16384" width="12.28515625" style="1"/>
  </cols>
  <sheetData>
    <row r="1" spans="1:36" ht="21">
      <c r="A1" s="111" t="s">
        <v>81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</row>
    <row r="2" spans="1:36">
      <c r="A2" s="108" t="s">
        <v>74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</row>
    <row r="3" spans="1:36" ht="15" customHeight="1">
      <c r="A3" s="109"/>
      <c r="B3" s="109"/>
      <c r="C3" s="112" t="s">
        <v>68</v>
      </c>
      <c r="D3" s="112"/>
      <c r="E3" s="112"/>
      <c r="F3" s="112"/>
      <c r="G3" s="112"/>
      <c r="H3" s="48"/>
      <c r="I3" s="48"/>
      <c r="J3" s="113" t="s">
        <v>34</v>
      </c>
      <c r="K3" s="113"/>
      <c r="L3" s="113"/>
      <c r="M3" s="113"/>
      <c r="N3" s="113"/>
      <c r="O3" s="43"/>
      <c r="P3" s="113" t="s">
        <v>35</v>
      </c>
      <c r="Q3" s="113"/>
      <c r="R3" s="113"/>
      <c r="S3" s="113"/>
      <c r="T3" s="113"/>
      <c r="U3" s="19"/>
      <c r="V3" s="19"/>
      <c r="W3" s="19"/>
      <c r="X3" s="114" t="s">
        <v>36</v>
      </c>
      <c r="Y3" s="114"/>
      <c r="Z3" s="114"/>
      <c r="AA3" s="114"/>
      <c r="AB3" s="114"/>
      <c r="AC3" s="44"/>
      <c r="AD3" s="44"/>
      <c r="AE3" s="114" t="s">
        <v>37</v>
      </c>
      <c r="AF3" s="114"/>
      <c r="AG3" s="114"/>
      <c r="AH3" s="114"/>
      <c r="AI3" s="114"/>
    </row>
    <row r="4" spans="1:36" ht="25.5">
      <c r="A4" s="110"/>
      <c r="B4" s="110"/>
      <c r="C4" s="49" t="s">
        <v>38</v>
      </c>
      <c r="D4" s="49" t="s">
        <v>39</v>
      </c>
      <c r="E4" s="49" t="s">
        <v>31</v>
      </c>
      <c r="F4" s="50" t="s">
        <v>40</v>
      </c>
      <c r="G4" s="49" t="s">
        <v>41</v>
      </c>
      <c r="H4" s="49" t="s">
        <v>76</v>
      </c>
      <c r="I4" s="49" t="s">
        <v>82</v>
      </c>
      <c r="J4" s="26" t="s">
        <v>38</v>
      </c>
      <c r="K4" s="26" t="s">
        <v>39</v>
      </c>
      <c r="L4" s="26" t="s">
        <v>31</v>
      </c>
      <c r="M4" s="27" t="s">
        <v>40</v>
      </c>
      <c r="N4" s="26" t="s">
        <v>41</v>
      </c>
      <c r="O4" s="49" t="s">
        <v>76</v>
      </c>
      <c r="P4" s="26" t="s">
        <v>38</v>
      </c>
      <c r="Q4" s="26" t="s">
        <v>39</v>
      </c>
      <c r="R4" s="26" t="s">
        <v>31</v>
      </c>
      <c r="S4" s="27" t="s">
        <v>40</v>
      </c>
      <c r="T4" s="26" t="s">
        <v>41</v>
      </c>
      <c r="U4" s="49" t="s">
        <v>76</v>
      </c>
      <c r="V4" s="49"/>
      <c r="W4" s="49"/>
      <c r="X4" s="26" t="s">
        <v>38</v>
      </c>
      <c r="Y4" s="26" t="s">
        <v>39</v>
      </c>
      <c r="Z4" s="26" t="s">
        <v>31</v>
      </c>
      <c r="AA4" s="27" t="s">
        <v>40</v>
      </c>
      <c r="AB4" s="26" t="s">
        <v>41</v>
      </c>
      <c r="AC4" s="49" t="s">
        <v>76</v>
      </c>
      <c r="AD4" s="49"/>
      <c r="AE4" s="26" t="s">
        <v>38</v>
      </c>
      <c r="AF4" s="26" t="s">
        <v>39</v>
      </c>
      <c r="AG4" s="26" t="s">
        <v>31</v>
      </c>
      <c r="AH4" s="27" t="s">
        <v>40</v>
      </c>
      <c r="AI4" s="26" t="s">
        <v>41</v>
      </c>
      <c r="AJ4" s="49" t="s">
        <v>76</v>
      </c>
    </row>
    <row r="5" spans="1:36" ht="14.25" customHeight="1">
      <c r="A5" s="42"/>
      <c r="B5" s="46" t="s">
        <v>78</v>
      </c>
      <c r="C5" s="51">
        <f t="shared" ref="C5:G32" si="0">J5+P5</f>
        <v>3010</v>
      </c>
      <c r="D5" s="51">
        <f t="shared" si="0"/>
        <v>2381</v>
      </c>
      <c r="E5" s="51">
        <f t="shared" si="0"/>
        <v>5391</v>
      </c>
      <c r="F5" s="51">
        <f>M5+S5</f>
        <v>1774</v>
      </c>
      <c r="G5" s="51">
        <f t="shared" si="0"/>
        <v>3617</v>
      </c>
      <c r="H5" s="52">
        <f>F5/E5*100</f>
        <v>32.906696345761453</v>
      </c>
      <c r="I5" s="52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52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52">
        <f>S5/R5*100</f>
        <v>52.68456375838926</v>
      </c>
      <c r="V5" s="52"/>
      <c r="W5" s="46" t="s">
        <v>78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52">
        <f>AA5/Z5*100</f>
        <v>62.419047619047618</v>
      </c>
      <c r="AD5" s="46" t="s">
        <v>78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52">
        <f>AH5/AG5*100</f>
        <v>84.499785315586081</v>
      </c>
    </row>
    <row r="6" spans="1:36" ht="14.25" customHeight="1">
      <c r="A6" s="42"/>
      <c r="B6" s="46" t="s">
        <v>79</v>
      </c>
      <c r="C6" s="51">
        <f t="shared" si="0"/>
        <v>2247</v>
      </c>
      <c r="D6" s="51">
        <f t="shared" si="0"/>
        <v>1246</v>
      </c>
      <c r="E6" s="51">
        <f t="shared" si="0"/>
        <v>3493</v>
      </c>
      <c r="F6" s="51">
        <f t="shared" si="0"/>
        <v>1084</v>
      </c>
      <c r="G6" s="51">
        <f t="shared" si="0"/>
        <v>2409</v>
      </c>
      <c r="H6" s="52">
        <f>F6/E6*100</f>
        <v>31.033495562553682</v>
      </c>
      <c r="I6" s="52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52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52">
        <f>S6/R6*100</f>
        <v>68.613138686131393</v>
      </c>
      <c r="V6" s="52"/>
      <c r="W6" s="46" t="s">
        <v>79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52">
        <f>AA6/Z6*100</f>
        <v>59.483701597024719</v>
      </c>
      <c r="AD6" s="46" t="s">
        <v>79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52">
        <f>AH6/AG6*100</f>
        <v>81.331916400991858</v>
      </c>
    </row>
    <row r="7" spans="1:36" s="34" customFormat="1" ht="14.25" customHeight="1">
      <c r="A7" s="32"/>
      <c r="B7" s="46" t="s">
        <v>80</v>
      </c>
      <c r="C7" s="51">
        <f t="shared" si="0"/>
        <v>763</v>
      </c>
      <c r="D7" s="51">
        <f t="shared" si="0"/>
        <v>1135</v>
      </c>
      <c r="E7" s="51">
        <f t="shared" si="0"/>
        <v>1898</v>
      </c>
      <c r="F7" s="51">
        <f t="shared" si="0"/>
        <v>690</v>
      </c>
      <c r="G7" s="51">
        <f t="shared" si="0"/>
        <v>1208</v>
      </c>
      <c r="H7" s="52">
        <f>F7/E7*100</f>
        <v>36.354056902002107</v>
      </c>
      <c r="I7" s="52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52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52">
        <f>S7/R7*100</f>
        <v>39.130434782608695</v>
      </c>
      <c r="V7" s="52"/>
      <c r="W7" s="46" t="s">
        <v>80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52">
        <f>AA7/Z7*100</f>
        <v>64.682071175577676</v>
      </c>
      <c r="AD7" s="46" t="s">
        <v>80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52">
        <f>AH7/AG7*100</f>
        <v>86.647454370797306</v>
      </c>
    </row>
    <row r="8" spans="1:36" s="34" customFormat="1" ht="14.25" customHeight="1">
      <c r="A8" s="42" t="s">
        <v>48</v>
      </c>
      <c r="B8" s="20" t="s">
        <v>0</v>
      </c>
      <c r="C8" s="51">
        <f t="shared" si="0"/>
        <v>68</v>
      </c>
      <c r="D8" s="51">
        <f t="shared" si="0"/>
        <v>28</v>
      </c>
      <c r="E8" s="51">
        <f t="shared" si="0"/>
        <v>96</v>
      </c>
      <c r="F8" s="51">
        <f t="shared" si="0"/>
        <v>21</v>
      </c>
      <c r="G8" s="51">
        <f t="shared" si="0"/>
        <v>75</v>
      </c>
      <c r="H8" s="51"/>
      <c r="I8" s="51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42" t="s">
        <v>49</v>
      </c>
      <c r="B9" s="20" t="s">
        <v>0</v>
      </c>
      <c r="C9" s="51">
        <f t="shared" si="0"/>
        <v>81</v>
      </c>
      <c r="D9" s="51">
        <f t="shared" si="0"/>
        <v>73</v>
      </c>
      <c r="E9" s="51">
        <f t="shared" si="0"/>
        <v>154</v>
      </c>
      <c r="F9" s="51">
        <f t="shared" si="0"/>
        <v>41</v>
      </c>
      <c r="G9" s="51">
        <f t="shared" si="0"/>
        <v>113</v>
      </c>
      <c r="H9" s="51"/>
      <c r="I9" s="51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42" t="s">
        <v>50</v>
      </c>
      <c r="B10" s="20" t="s">
        <v>0</v>
      </c>
      <c r="C10" s="51">
        <f t="shared" si="0"/>
        <v>10</v>
      </c>
      <c r="D10" s="51">
        <f t="shared" si="0"/>
        <v>24</v>
      </c>
      <c r="E10" s="51">
        <f t="shared" si="0"/>
        <v>34</v>
      </c>
      <c r="F10" s="51">
        <f t="shared" si="0"/>
        <v>28</v>
      </c>
      <c r="G10" s="51">
        <f t="shared" si="0"/>
        <v>6</v>
      </c>
      <c r="H10" s="51"/>
      <c r="I10" s="51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42" t="s">
        <v>51</v>
      </c>
      <c r="B11" s="20" t="s">
        <v>0</v>
      </c>
      <c r="C11" s="51">
        <f t="shared" si="0"/>
        <v>48</v>
      </c>
      <c r="D11" s="51">
        <f t="shared" si="0"/>
        <v>62</v>
      </c>
      <c r="E11" s="51">
        <f t="shared" si="0"/>
        <v>110</v>
      </c>
      <c r="F11" s="51">
        <f t="shared" si="0"/>
        <v>45</v>
      </c>
      <c r="G11" s="51">
        <f t="shared" si="0"/>
        <v>65</v>
      </c>
      <c r="H11" s="51"/>
      <c r="I11" s="51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42" t="s">
        <v>52</v>
      </c>
      <c r="B12" s="20" t="s">
        <v>0</v>
      </c>
      <c r="C12" s="51">
        <f t="shared" si="0"/>
        <v>73</v>
      </c>
      <c r="D12" s="51">
        <f t="shared" si="0"/>
        <v>84</v>
      </c>
      <c r="E12" s="51">
        <f t="shared" si="0"/>
        <v>157</v>
      </c>
      <c r="F12" s="51">
        <f t="shared" si="0"/>
        <v>80</v>
      </c>
      <c r="G12" s="51">
        <f t="shared" si="0"/>
        <v>77</v>
      </c>
      <c r="H12" s="51"/>
      <c r="I12" s="51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42" t="s">
        <v>53</v>
      </c>
      <c r="B13" s="20" t="s">
        <v>0</v>
      </c>
      <c r="C13" s="51">
        <f t="shared" si="0"/>
        <v>21</v>
      </c>
      <c r="D13" s="51">
        <f t="shared" si="0"/>
        <v>26</v>
      </c>
      <c r="E13" s="51">
        <f t="shared" si="0"/>
        <v>47</v>
      </c>
      <c r="F13" s="51">
        <f t="shared" si="0"/>
        <v>10</v>
      </c>
      <c r="G13" s="51">
        <f t="shared" si="0"/>
        <v>37</v>
      </c>
      <c r="H13" s="51"/>
      <c r="I13" s="51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42" t="s">
        <v>54</v>
      </c>
      <c r="B14" s="20" t="s">
        <v>0</v>
      </c>
      <c r="C14" s="51">
        <f t="shared" si="0"/>
        <v>77</v>
      </c>
      <c r="D14" s="51">
        <f t="shared" si="0"/>
        <v>61</v>
      </c>
      <c r="E14" s="51">
        <f t="shared" si="0"/>
        <v>138</v>
      </c>
      <c r="F14" s="51">
        <f t="shared" si="0"/>
        <v>57</v>
      </c>
      <c r="G14" s="51">
        <f t="shared" si="0"/>
        <v>81</v>
      </c>
      <c r="H14" s="51"/>
      <c r="I14" s="51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42" t="s">
        <v>55</v>
      </c>
      <c r="B15" s="20" t="s">
        <v>0</v>
      </c>
      <c r="C15" s="51">
        <f t="shared" si="0"/>
        <v>31</v>
      </c>
      <c r="D15" s="51">
        <f t="shared" si="0"/>
        <v>41</v>
      </c>
      <c r="E15" s="51">
        <f t="shared" si="0"/>
        <v>72</v>
      </c>
      <c r="F15" s="51">
        <f t="shared" si="0"/>
        <v>31</v>
      </c>
      <c r="G15" s="51">
        <f t="shared" si="0"/>
        <v>41</v>
      </c>
      <c r="H15" s="51"/>
      <c r="I15" s="51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42" t="s">
        <v>56</v>
      </c>
      <c r="B16" s="20" t="s">
        <v>0</v>
      </c>
      <c r="C16" s="51">
        <f t="shared" si="0"/>
        <v>13</v>
      </c>
      <c r="D16" s="51">
        <f t="shared" si="0"/>
        <v>13</v>
      </c>
      <c r="E16" s="51">
        <f t="shared" si="0"/>
        <v>26</v>
      </c>
      <c r="F16" s="51">
        <f t="shared" si="0"/>
        <v>11</v>
      </c>
      <c r="G16" s="51">
        <f t="shared" si="0"/>
        <v>15</v>
      </c>
      <c r="H16" s="51"/>
      <c r="I16" s="51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42" t="s">
        <v>57</v>
      </c>
      <c r="B17" s="20" t="s">
        <v>0</v>
      </c>
      <c r="C17" s="51">
        <f t="shared" si="0"/>
        <v>14</v>
      </c>
      <c r="D17" s="51">
        <f t="shared" si="0"/>
        <v>18</v>
      </c>
      <c r="E17" s="51">
        <f t="shared" si="0"/>
        <v>32</v>
      </c>
      <c r="F17" s="51">
        <f t="shared" si="0"/>
        <v>23</v>
      </c>
      <c r="G17" s="51">
        <f t="shared" si="0"/>
        <v>9</v>
      </c>
      <c r="H17" s="51"/>
      <c r="I17" s="51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42" t="s">
        <v>58</v>
      </c>
      <c r="B18" s="20" t="s">
        <v>0</v>
      </c>
      <c r="C18" s="51">
        <f t="shared" si="0"/>
        <v>2</v>
      </c>
      <c r="D18" s="51">
        <f t="shared" si="0"/>
        <v>1</v>
      </c>
      <c r="E18" s="51">
        <f t="shared" si="0"/>
        <v>3</v>
      </c>
      <c r="F18" s="51">
        <f t="shared" si="0"/>
        <v>2</v>
      </c>
      <c r="G18" s="51">
        <f t="shared" si="0"/>
        <v>1</v>
      </c>
      <c r="H18" s="51"/>
      <c r="I18" s="51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42" t="s">
        <v>59</v>
      </c>
      <c r="B19" s="20" t="s">
        <v>0</v>
      </c>
      <c r="C19" s="51">
        <f t="shared" si="0"/>
        <v>4</v>
      </c>
      <c r="D19" s="51">
        <f t="shared" si="0"/>
        <v>4</v>
      </c>
      <c r="E19" s="51">
        <f t="shared" si="0"/>
        <v>8</v>
      </c>
      <c r="F19" s="51">
        <f t="shared" si="0"/>
        <v>3</v>
      </c>
      <c r="G19" s="51">
        <f t="shared" si="0"/>
        <v>5</v>
      </c>
      <c r="H19" s="51"/>
      <c r="I19" s="51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42" t="s">
        <v>60</v>
      </c>
      <c r="B20" s="20" t="s">
        <v>0</v>
      </c>
      <c r="C20" s="51">
        <f t="shared" si="0"/>
        <v>6</v>
      </c>
      <c r="D20" s="51">
        <f t="shared" si="0"/>
        <v>14</v>
      </c>
      <c r="E20" s="51">
        <f t="shared" si="0"/>
        <v>20</v>
      </c>
      <c r="F20" s="51">
        <f t="shared" si="0"/>
        <v>13</v>
      </c>
      <c r="G20" s="51">
        <f t="shared" si="0"/>
        <v>7</v>
      </c>
      <c r="H20" s="51"/>
      <c r="I20" s="51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42" t="s">
        <v>61</v>
      </c>
      <c r="B21" s="20" t="s">
        <v>0</v>
      </c>
      <c r="C21" s="51">
        <f t="shared" si="0"/>
        <v>5</v>
      </c>
      <c r="D21" s="51">
        <f t="shared" si="0"/>
        <v>4</v>
      </c>
      <c r="E21" s="51">
        <f t="shared" si="0"/>
        <v>9</v>
      </c>
      <c r="F21" s="51">
        <f t="shared" si="0"/>
        <v>6</v>
      </c>
      <c r="G21" s="51">
        <f t="shared" si="0"/>
        <v>3</v>
      </c>
      <c r="H21" s="51"/>
      <c r="I21" s="51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42" t="s">
        <v>62</v>
      </c>
      <c r="B22" s="20" t="s">
        <v>0</v>
      </c>
      <c r="C22" s="51">
        <f t="shared" si="0"/>
        <v>46</v>
      </c>
      <c r="D22" s="51">
        <f t="shared" si="0"/>
        <v>76</v>
      </c>
      <c r="E22" s="51">
        <f t="shared" si="0"/>
        <v>122</v>
      </c>
      <c r="F22" s="51">
        <f t="shared" si="0"/>
        <v>34</v>
      </c>
      <c r="G22" s="51">
        <f t="shared" si="0"/>
        <v>88</v>
      </c>
      <c r="H22" s="51"/>
      <c r="I22" s="51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42" t="s">
        <v>63</v>
      </c>
      <c r="B23" s="20" t="s">
        <v>0</v>
      </c>
      <c r="C23" s="51">
        <f t="shared" si="0"/>
        <v>89</v>
      </c>
      <c r="D23" s="51">
        <f t="shared" si="0"/>
        <v>108</v>
      </c>
      <c r="E23" s="51">
        <f t="shared" si="0"/>
        <v>197</v>
      </c>
      <c r="F23" s="51">
        <f t="shared" si="0"/>
        <v>33</v>
      </c>
      <c r="G23" s="51">
        <f t="shared" si="0"/>
        <v>164</v>
      </c>
      <c r="H23" s="51"/>
      <c r="I23" s="51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42" t="s">
        <v>64</v>
      </c>
      <c r="B24" s="20" t="s">
        <v>0</v>
      </c>
      <c r="C24" s="51">
        <f t="shared" si="0"/>
        <v>34</v>
      </c>
      <c r="D24" s="51">
        <f t="shared" si="0"/>
        <v>48</v>
      </c>
      <c r="E24" s="51">
        <f t="shared" si="0"/>
        <v>82</v>
      </c>
      <c r="F24" s="51">
        <f t="shared" si="0"/>
        <v>48</v>
      </c>
      <c r="G24" s="51">
        <f t="shared" si="0"/>
        <v>34</v>
      </c>
      <c r="H24" s="51"/>
      <c r="I24" s="51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42" t="s">
        <v>65</v>
      </c>
      <c r="B25" s="20" t="s">
        <v>0</v>
      </c>
      <c r="C25" s="51">
        <f t="shared" si="0"/>
        <v>28</v>
      </c>
      <c r="D25" s="51">
        <f t="shared" si="0"/>
        <v>57</v>
      </c>
      <c r="E25" s="51">
        <f t="shared" si="0"/>
        <v>85</v>
      </c>
      <c r="F25" s="51">
        <f t="shared" si="0"/>
        <v>33</v>
      </c>
      <c r="G25" s="51">
        <f t="shared" si="0"/>
        <v>52</v>
      </c>
      <c r="H25" s="51"/>
      <c r="I25" s="51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42" t="s">
        <v>66</v>
      </c>
      <c r="B26" s="20" t="s">
        <v>0</v>
      </c>
      <c r="C26" s="51">
        <f t="shared" si="0"/>
        <v>106</v>
      </c>
      <c r="D26" s="51">
        <f t="shared" si="0"/>
        <v>149</v>
      </c>
      <c r="E26" s="51">
        <f t="shared" si="0"/>
        <v>255</v>
      </c>
      <c r="F26" s="51">
        <f t="shared" si="0"/>
        <v>110</v>
      </c>
      <c r="G26" s="51">
        <f t="shared" si="0"/>
        <v>145</v>
      </c>
      <c r="H26" s="51"/>
      <c r="I26" s="51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42" t="s">
        <v>67</v>
      </c>
      <c r="B27" s="20" t="s">
        <v>0</v>
      </c>
      <c r="C27" s="51">
        <f t="shared" si="0"/>
        <v>7</v>
      </c>
      <c r="D27" s="51">
        <f t="shared" si="0"/>
        <v>244</v>
      </c>
      <c r="E27" s="51">
        <f t="shared" si="0"/>
        <v>251</v>
      </c>
      <c r="F27" s="51">
        <f t="shared" si="0"/>
        <v>61</v>
      </c>
      <c r="G27" s="51">
        <f t="shared" si="0"/>
        <v>190</v>
      </c>
      <c r="H27" s="51"/>
      <c r="I27" s="51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42</v>
      </c>
      <c r="B28" s="22" t="s">
        <v>43</v>
      </c>
      <c r="C28" s="51">
        <f t="shared" si="0"/>
        <v>0</v>
      </c>
      <c r="D28" s="51">
        <f t="shared" si="0"/>
        <v>0</v>
      </c>
      <c r="E28" s="51">
        <f t="shared" si="0"/>
        <v>0</v>
      </c>
      <c r="F28" s="51">
        <f t="shared" si="0"/>
        <v>0</v>
      </c>
      <c r="G28" s="51">
        <f t="shared" si="0"/>
        <v>0</v>
      </c>
      <c r="H28" s="51"/>
      <c r="I28" s="51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42</v>
      </c>
      <c r="B29" s="22" t="s">
        <v>44</v>
      </c>
      <c r="C29" s="51">
        <f t="shared" si="0"/>
        <v>2191</v>
      </c>
      <c r="D29" s="51">
        <f t="shared" si="0"/>
        <v>1158</v>
      </c>
      <c r="E29" s="51">
        <f t="shared" si="0"/>
        <v>3349</v>
      </c>
      <c r="F29" s="51">
        <f t="shared" si="0"/>
        <v>990</v>
      </c>
      <c r="G29" s="51">
        <f t="shared" si="0"/>
        <v>2359</v>
      </c>
      <c r="H29" s="51"/>
      <c r="I29" s="51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42</v>
      </c>
      <c r="B30" s="22" t="s">
        <v>45</v>
      </c>
      <c r="C30" s="51">
        <f t="shared" si="0"/>
        <v>0</v>
      </c>
      <c r="D30" s="51">
        <f t="shared" si="0"/>
        <v>0</v>
      </c>
      <c r="E30" s="51">
        <f t="shared" si="0"/>
        <v>0</v>
      </c>
      <c r="F30" s="51">
        <f t="shared" si="0"/>
        <v>0</v>
      </c>
      <c r="G30" s="51">
        <f t="shared" si="0"/>
        <v>0</v>
      </c>
      <c r="H30" s="51"/>
      <c r="I30" s="51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42</v>
      </c>
      <c r="B31" s="22" t="s">
        <v>46</v>
      </c>
      <c r="C31" s="51">
        <f t="shared" si="0"/>
        <v>54</v>
      </c>
      <c r="D31" s="51">
        <f t="shared" si="0"/>
        <v>83</v>
      </c>
      <c r="E31" s="51">
        <f t="shared" si="0"/>
        <v>137</v>
      </c>
      <c r="F31" s="51">
        <f t="shared" si="0"/>
        <v>94</v>
      </c>
      <c r="G31" s="51">
        <f t="shared" si="0"/>
        <v>43</v>
      </c>
      <c r="H31" s="51"/>
      <c r="I31" s="51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42</v>
      </c>
      <c r="B32" s="29" t="s">
        <v>47</v>
      </c>
      <c r="C32" s="51">
        <f t="shared" si="0"/>
        <v>2</v>
      </c>
      <c r="D32" s="51">
        <f t="shared" si="0"/>
        <v>5</v>
      </c>
      <c r="E32" s="51">
        <f t="shared" si="0"/>
        <v>7</v>
      </c>
      <c r="F32" s="51">
        <f t="shared" si="0"/>
        <v>0</v>
      </c>
      <c r="G32" s="51">
        <f t="shared" si="0"/>
        <v>7</v>
      </c>
      <c r="H32" s="51"/>
      <c r="I32" s="51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75</v>
      </c>
    </row>
    <row r="36" spans="1:35">
      <c r="A36" s="1"/>
      <c r="B36" s="45" t="s">
        <v>76</v>
      </c>
    </row>
    <row r="37" spans="1:35">
      <c r="B37" s="46" t="s">
        <v>68</v>
      </c>
      <c r="C37" s="46" t="s">
        <v>77</v>
      </c>
      <c r="D37" s="46" t="s">
        <v>69</v>
      </c>
      <c r="E37" s="46"/>
      <c r="F37" s="46"/>
    </row>
    <row r="38" spans="1:35">
      <c r="A38" s="46" t="s">
        <v>78</v>
      </c>
      <c r="B38" s="47">
        <f>H5</f>
        <v>32.906696345761453</v>
      </c>
      <c r="C38" s="47">
        <f>AC5</f>
        <v>62.419047619047618</v>
      </c>
      <c r="D38" s="47">
        <f>AJ5</f>
        <v>84.499785315586081</v>
      </c>
    </row>
    <row r="39" spans="1:35">
      <c r="A39" s="46" t="s">
        <v>79</v>
      </c>
      <c r="B39" s="47">
        <f>H6</f>
        <v>31.033495562553682</v>
      </c>
      <c r="C39" s="47">
        <f>AC6</f>
        <v>59.483701597024719</v>
      </c>
      <c r="D39" s="47">
        <f>AJ6</f>
        <v>81.331916400991858</v>
      </c>
    </row>
    <row r="40" spans="1:35">
      <c r="A40" s="46" t="s">
        <v>80</v>
      </c>
      <c r="B40" s="47">
        <f>H7</f>
        <v>36.354056902002107</v>
      </c>
      <c r="C40" s="47">
        <f>AC7</f>
        <v>64.682071175577676</v>
      </c>
      <c r="D40" s="47">
        <f>AJ7</f>
        <v>86.647454370797306</v>
      </c>
    </row>
    <row r="42" spans="1:35">
      <c r="B42" s="53" t="s">
        <v>83</v>
      </c>
      <c r="C42" s="53"/>
      <c r="D42" s="53"/>
    </row>
    <row r="43" spans="1:35">
      <c r="B43" s="46" t="s">
        <v>68</v>
      </c>
      <c r="C43" s="46" t="s">
        <v>77</v>
      </c>
      <c r="D43" s="46" t="s">
        <v>69</v>
      </c>
    </row>
    <row r="44" spans="1:35">
      <c r="A44" s="46" t="s">
        <v>78</v>
      </c>
      <c r="B44" s="54">
        <f>G5</f>
        <v>3617</v>
      </c>
      <c r="C44" s="54">
        <f>AB5</f>
        <v>3946</v>
      </c>
      <c r="D44" s="54">
        <f>AI5</f>
        <v>1083</v>
      </c>
    </row>
    <row r="45" spans="1:35">
      <c r="A45" s="46" t="s">
        <v>79</v>
      </c>
      <c r="B45" s="54">
        <f>G6</f>
        <v>2409</v>
      </c>
      <c r="C45" s="54">
        <f>AB6</f>
        <v>1852</v>
      </c>
      <c r="D45" s="54">
        <f>AI6</f>
        <v>527</v>
      </c>
    </row>
    <row r="46" spans="1:35">
      <c r="A46" s="46" t="s">
        <v>80</v>
      </c>
      <c r="B46" s="54">
        <f>G7</f>
        <v>1208</v>
      </c>
      <c r="C46" s="54">
        <f>AB7</f>
        <v>2094</v>
      </c>
      <c r="D46" s="54">
        <f>AI7</f>
        <v>556</v>
      </c>
    </row>
    <row r="49" spans="1:5">
      <c r="B49" s="53" t="s">
        <v>84</v>
      </c>
      <c r="C49" s="53"/>
      <c r="D49" s="53"/>
    </row>
    <row r="50" spans="1:5">
      <c r="B50" s="46" t="s">
        <v>68</v>
      </c>
      <c r="C50" s="46" t="s">
        <v>77</v>
      </c>
      <c r="D50" s="46" t="s">
        <v>69</v>
      </c>
    </row>
    <row r="51" spans="1:5">
      <c r="A51" s="46" t="s">
        <v>78</v>
      </c>
      <c r="B51" s="54">
        <f>F5</f>
        <v>1774</v>
      </c>
      <c r="C51" s="54">
        <f>AA5</f>
        <v>6554</v>
      </c>
      <c r="D51" s="54">
        <f>AH5</f>
        <v>5904</v>
      </c>
    </row>
    <row r="52" spans="1:5">
      <c r="A52" s="46" t="s">
        <v>79</v>
      </c>
      <c r="B52" s="54">
        <f>F6</f>
        <v>1084</v>
      </c>
      <c r="C52" s="54">
        <f>AA6</f>
        <v>2719</v>
      </c>
      <c r="D52" s="54">
        <f>AH6</f>
        <v>2296</v>
      </c>
    </row>
    <row r="53" spans="1:5">
      <c r="A53" s="46" t="s">
        <v>80</v>
      </c>
      <c r="B53" s="54">
        <f>F7</f>
        <v>690</v>
      </c>
      <c r="C53" s="54">
        <f>AA7</f>
        <v>3835</v>
      </c>
      <c r="D53" s="54">
        <f>AH7</f>
        <v>3608</v>
      </c>
    </row>
    <row r="55" spans="1:5">
      <c r="A55" s="45" t="s">
        <v>0</v>
      </c>
      <c r="B55" s="53"/>
      <c r="C55" s="53"/>
      <c r="D55" s="53"/>
    </row>
    <row r="56" spans="1:5">
      <c r="A56" s="45"/>
      <c r="B56" s="53" t="s">
        <v>71</v>
      </c>
      <c r="C56" s="53" t="s">
        <v>42</v>
      </c>
      <c r="D56" s="53" t="s">
        <v>70</v>
      </c>
    </row>
    <row r="57" spans="1:5">
      <c r="A57" s="53" t="s">
        <v>85</v>
      </c>
      <c r="B57" s="54">
        <v>7528</v>
      </c>
      <c r="C57" s="54">
        <v>4550</v>
      </c>
      <c r="D57" s="54">
        <v>2978</v>
      </c>
      <c r="E57" s="17"/>
    </row>
    <row r="58" spans="1:5">
      <c r="A58" s="53" t="s">
        <v>86</v>
      </c>
      <c r="B58" s="54">
        <v>15351</v>
      </c>
      <c r="C58" s="54">
        <v>6338</v>
      </c>
      <c r="D58" s="54">
        <v>9013</v>
      </c>
      <c r="E58" s="17"/>
    </row>
    <row r="59" spans="1:5">
      <c r="A59" s="53" t="s">
        <v>84</v>
      </c>
      <c r="B59" s="54">
        <v>14232</v>
      </c>
      <c r="C59" s="54">
        <v>6099</v>
      </c>
      <c r="D59" s="54">
        <v>8133</v>
      </c>
    </row>
    <row r="60" spans="1:5">
      <c r="A60" s="53" t="s">
        <v>83</v>
      </c>
      <c r="B60" s="54">
        <v>8646</v>
      </c>
      <c r="C60" s="54">
        <v>4788</v>
      </c>
      <c r="D60" s="54">
        <v>3858</v>
      </c>
    </row>
    <row r="61" spans="1:5">
      <c r="B61" s="20"/>
      <c r="C61" s="20"/>
      <c r="D61" s="20"/>
    </row>
    <row r="62" spans="1:5">
      <c r="A62" s="1"/>
      <c r="B62" s="17"/>
      <c r="C62" s="17"/>
      <c r="D62" s="17"/>
      <c r="E62" s="17"/>
    </row>
    <row r="63" spans="1:5">
      <c r="A63" s="1"/>
      <c r="B63" s="17"/>
      <c r="C63" s="17"/>
      <c r="D63" s="17"/>
      <c r="E63" s="17"/>
    </row>
    <row r="64" spans="1:5">
      <c r="A64" s="1"/>
      <c r="B64" s="17"/>
      <c r="C64" s="17"/>
      <c r="D64" s="17"/>
      <c r="E64" s="17"/>
    </row>
    <row r="65" spans="1:11">
      <c r="A65" s="1"/>
      <c r="B65" s="17"/>
      <c r="C65" s="17"/>
      <c r="D65" s="17"/>
      <c r="E65" s="17"/>
    </row>
    <row r="66" spans="1:11">
      <c r="B66" s="45" t="s">
        <v>87</v>
      </c>
    </row>
    <row r="67" spans="1:11">
      <c r="B67" s="53"/>
      <c r="H67" s="53" t="s">
        <v>88</v>
      </c>
    </row>
    <row r="68" spans="1:11">
      <c r="A68" s="1"/>
      <c r="B68" s="53"/>
      <c r="C68" s="53" t="s">
        <v>89</v>
      </c>
      <c r="D68" s="53" t="s">
        <v>90</v>
      </c>
      <c r="E68" s="53" t="s">
        <v>91</v>
      </c>
      <c r="F68" s="53" t="s">
        <v>92</v>
      </c>
      <c r="G68" s="53"/>
      <c r="H68" s="55" t="s">
        <v>93</v>
      </c>
      <c r="I68" s="53" t="s">
        <v>94</v>
      </c>
      <c r="J68" s="53" t="s">
        <v>95</v>
      </c>
      <c r="K68" s="53"/>
    </row>
    <row r="69" spans="1:11">
      <c r="A69" s="1"/>
      <c r="B69" s="53" t="s">
        <v>48</v>
      </c>
      <c r="C69" s="53">
        <v>590</v>
      </c>
      <c r="D69" s="53">
        <v>339</v>
      </c>
      <c r="E69" s="53">
        <v>251</v>
      </c>
      <c r="F69" s="47">
        <f>D69/C69*100</f>
        <v>57.457627118644069</v>
      </c>
      <c r="G69" s="53"/>
      <c r="H69" s="56">
        <v>10</v>
      </c>
      <c r="I69" s="47">
        <f t="shared" ref="I69:I88" si="1">C69/H69</f>
        <v>59</v>
      </c>
      <c r="J69" s="47">
        <f t="shared" ref="J69:J88" si="2">D69/H69</f>
        <v>33.9</v>
      </c>
      <c r="K69" s="53"/>
    </row>
    <row r="70" spans="1:11">
      <c r="A70" s="1"/>
      <c r="B70" s="53" t="s">
        <v>49</v>
      </c>
      <c r="C70" s="53">
        <v>692</v>
      </c>
      <c r="D70" s="53">
        <v>367</v>
      </c>
      <c r="E70" s="53">
        <v>325</v>
      </c>
      <c r="F70" s="47">
        <f t="shared" ref="F70:F88" si="3">D70/C70*100</f>
        <v>53.034682080924853</v>
      </c>
      <c r="G70" s="53"/>
      <c r="H70" s="56">
        <v>8</v>
      </c>
      <c r="I70" s="47">
        <f t="shared" si="1"/>
        <v>86.5</v>
      </c>
      <c r="J70" s="47">
        <f t="shared" si="2"/>
        <v>45.875</v>
      </c>
      <c r="K70" s="53"/>
    </row>
    <row r="71" spans="1:11">
      <c r="A71" s="1"/>
      <c r="B71" s="53" t="s">
        <v>50</v>
      </c>
      <c r="C71" s="53">
        <v>400</v>
      </c>
      <c r="D71" s="53">
        <v>332</v>
      </c>
      <c r="E71" s="53">
        <v>68</v>
      </c>
      <c r="F71" s="47">
        <f t="shared" si="3"/>
        <v>83</v>
      </c>
      <c r="G71" s="53"/>
      <c r="H71" s="56">
        <v>4</v>
      </c>
      <c r="I71" s="47">
        <f t="shared" si="1"/>
        <v>100</v>
      </c>
      <c r="J71" s="47">
        <f t="shared" si="2"/>
        <v>83</v>
      </c>
      <c r="K71" s="53"/>
    </row>
    <row r="72" spans="1:11">
      <c r="A72" s="1"/>
      <c r="B72" s="53" t="s">
        <v>51</v>
      </c>
      <c r="C72" s="53">
        <v>658</v>
      </c>
      <c r="D72" s="53">
        <v>407</v>
      </c>
      <c r="E72" s="53">
        <v>251</v>
      </c>
      <c r="F72" s="47">
        <f t="shared" si="3"/>
        <v>61.854103343465049</v>
      </c>
      <c r="G72" s="53"/>
      <c r="H72" s="56">
        <v>5</v>
      </c>
      <c r="I72" s="47">
        <f t="shared" si="1"/>
        <v>131.6</v>
      </c>
      <c r="J72" s="47">
        <f t="shared" si="2"/>
        <v>81.400000000000006</v>
      </c>
      <c r="K72" s="53"/>
    </row>
    <row r="73" spans="1:11">
      <c r="A73" s="1"/>
      <c r="B73" s="53" t="s">
        <v>52</v>
      </c>
      <c r="C73" s="53">
        <v>679</v>
      </c>
      <c r="D73" s="53">
        <v>485</v>
      </c>
      <c r="E73" s="53">
        <v>194</v>
      </c>
      <c r="F73" s="47">
        <f t="shared" si="3"/>
        <v>71.428571428571431</v>
      </c>
      <c r="G73" s="53"/>
      <c r="H73" s="56">
        <v>7</v>
      </c>
      <c r="I73" s="47">
        <f t="shared" si="1"/>
        <v>97</v>
      </c>
      <c r="J73" s="47">
        <f t="shared" si="2"/>
        <v>69.285714285714292</v>
      </c>
      <c r="K73" s="53"/>
    </row>
    <row r="74" spans="1:11">
      <c r="B74" s="53" t="s">
        <v>53</v>
      </c>
      <c r="C74" s="53">
        <v>423</v>
      </c>
      <c r="D74" s="53">
        <v>253</v>
      </c>
      <c r="E74" s="53">
        <v>170</v>
      </c>
      <c r="F74" s="47">
        <f t="shared" si="3"/>
        <v>59.810874704491724</v>
      </c>
      <c r="G74" s="53"/>
      <c r="H74" s="56">
        <v>5</v>
      </c>
      <c r="I74" s="47">
        <f t="shared" si="1"/>
        <v>84.6</v>
      </c>
      <c r="J74" s="47">
        <f t="shared" si="2"/>
        <v>50.6</v>
      </c>
      <c r="K74" s="53"/>
    </row>
    <row r="75" spans="1:11">
      <c r="B75" s="53" t="s">
        <v>54</v>
      </c>
      <c r="C75" s="53">
        <v>608</v>
      </c>
      <c r="D75" s="53">
        <v>366</v>
      </c>
      <c r="E75" s="53">
        <v>242</v>
      </c>
      <c r="F75" s="47">
        <f t="shared" si="3"/>
        <v>60.19736842105263</v>
      </c>
      <c r="G75" s="53"/>
      <c r="H75" s="56">
        <v>1</v>
      </c>
      <c r="I75" s="47">
        <f t="shared" si="1"/>
        <v>608</v>
      </c>
      <c r="J75" s="47">
        <f t="shared" si="2"/>
        <v>366</v>
      </c>
      <c r="K75" s="53"/>
    </row>
    <row r="76" spans="1:11">
      <c r="B76" s="53" t="s">
        <v>55</v>
      </c>
      <c r="C76" s="53">
        <v>519</v>
      </c>
      <c r="D76" s="53">
        <v>401</v>
      </c>
      <c r="E76" s="53">
        <v>118</v>
      </c>
      <c r="F76" s="47">
        <f t="shared" si="3"/>
        <v>77.263969171483623</v>
      </c>
      <c r="G76" s="53"/>
      <c r="H76" s="56">
        <v>8</v>
      </c>
      <c r="I76" s="47">
        <f t="shared" si="1"/>
        <v>64.875</v>
      </c>
      <c r="J76" s="47">
        <f t="shared" si="2"/>
        <v>50.125</v>
      </c>
      <c r="K76" s="53"/>
    </row>
    <row r="77" spans="1:11">
      <c r="B77" s="53" t="s">
        <v>56</v>
      </c>
      <c r="C77" s="53">
        <v>339</v>
      </c>
      <c r="D77" s="53">
        <v>279</v>
      </c>
      <c r="E77" s="53">
        <v>60</v>
      </c>
      <c r="F77" s="47">
        <f t="shared" si="3"/>
        <v>82.30088495575221</v>
      </c>
      <c r="G77" s="53"/>
      <c r="H77" s="56">
        <v>7</v>
      </c>
      <c r="I77" s="47">
        <f t="shared" si="1"/>
        <v>48.428571428571431</v>
      </c>
      <c r="J77" s="47">
        <f t="shared" si="2"/>
        <v>39.857142857142854</v>
      </c>
      <c r="K77" s="53"/>
    </row>
    <row r="78" spans="1:11">
      <c r="B78" s="53" t="s">
        <v>57</v>
      </c>
      <c r="C78" s="53">
        <v>421</v>
      </c>
      <c r="D78" s="53">
        <v>316</v>
      </c>
      <c r="E78" s="53">
        <v>105</v>
      </c>
      <c r="F78" s="47">
        <f t="shared" si="3"/>
        <v>75.059382422802841</v>
      </c>
      <c r="G78" s="53"/>
      <c r="H78" s="56">
        <v>4</v>
      </c>
      <c r="I78" s="47">
        <f t="shared" si="1"/>
        <v>105.25</v>
      </c>
      <c r="J78" s="47">
        <f t="shared" si="2"/>
        <v>79</v>
      </c>
      <c r="K78" s="53"/>
    </row>
    <row r="79" spans="1:11">
      <c r="B79" s="53" t="s">
        <v>58</v>
      </c>
      <c r="C79" s="53">
        <v>63</v>
      </c>
      <c r="D79" s="53">
        <v>51</v>
      </c>
      <c r="E79" s="53">
        <v>12</v>
      </c>
      <c r="F79" s="47">
        <f t="shared" si="3"/>
        <v>80.952380952380949</v>
      </c>
      <c r="G79" s="53"/>
      <c r="H79" s="56">
        <v>2</v>
      </c>
      <c r="I79" s="47">
        <f t="shared" si="1"/>
        <v>31.5</v>
      </c>
      <c r="J79" s="47">
        <f t="shared" si="2"/>
        <v>25.5</v>
      </c>
      <c r="K79" s="53"/>
    </row>
    <row r="80" spans="1:11">
      <c r="B80" s="53" t="s">
        <v>59</v>
      </c>
      <c r="C80" s="53">
        <v>237</v>
      </c>
      <c r="D80" s="53">
        <v>183</v>
      </c>
      <c r="E80" s="53">
        <v>54</v>
      </c>
      <c r="F80" s="47">
        <f t="shared" si="3"/>
        <v>77.215189873417728</v>
      </c>
      <c r="G80" s="53"/>
      <c r="H80" s="56">
        <v>5</v>
      </c>
      <c r="I80" s="47">
        <f t="shared" si="1"/>
        <v>47.4</v>
      </c>
      <c r="J80" s="47">
        <f t="shared" si="2"/>
        <v>36.6</v>
      </c>
      <c r="K80" s="53"/>
    </row>
    <row r="81" spans="2:11">
      <c r="B81" s="53" t="s">
        <v>60</v>
      </c>
      <c r="C81" s="53">
        <v>237</v>
      </c>
      <c r="D81" s="53">
        <v>167</v>
      </c>
      <c r="E81" s="53">
        <v>70</v>
      </c>
      <c r="F81" s="47">
        <f t="shared" si="3"/>
        <v>70.46413502109705</v>
      </c>
      <c r="G81" s="53"/>
      <c r="H81" s="56">
        <v>3</v>
      </c>
      <c r="I81" s="47">
        <f t="shared" si="1"/>
        <v>79</v>
      </c>
      <c r="J81" s="47">
        <f t="shared" si="2"/>
        <v>55.666666666666664</v>
      </c>
      <c r="K81" s="53"/>
    </row>
    <row r="82" spans="2:11">
      <c r="B82" s="53" t="s">
        <v>61</v>
      </c>
      <c r="C82" s="53">
        <v>254</v>
      </c>
      <c r="D82" s="53">
        <v>204</v>
      </c>
      <c r="E82" s="53">
        <v>50</v>
      </c>
      <c r="F82" s="47">
        <f t="shared" si="3"/>
        <v>80.314960629921259</v>
      </c>
      <c r="G82" s="53"/>
      <c r="H82" s="56">
        <v>4</v>
      </c>
      <c r="I82" s="47">
        <f t="shared" si="1"/>
        <v>63.5</v>
      </c>
      <c r="J82" s="47">
        <f t="shared" si="2"/>
        <v>51</v>
      </c>
      <c r="K82" s="53"/>
    </row>
    <row r="83" spans="2:11">
      <c r="B83" s="53" t="s">
        <v>62</v>
      </c>
      <c r="C83" s="53">
        <v>595</v>
      </c>
      <c r="D83" s="53">
        <v>374</v>
      </c>
      <c r="E83" s="53">
        <v>221</v>
      </c>
      <c r="F83" s="47">
        <f t="shared" si="3"/>
        <v>62.857142857142854</v>
      </c>
      <c r="G83" s="53"/>
      <c r="H83" s="56">
        <v>10</v>
      </c>
      <c r="I83" s="47">
        <f t="shared" si="1"/>
        <v>59.5</v>
      </c>
      <c r="J83" s="47">
        <f t="shared" si="2"/>
        <v>37.4</v>
      </c>
      <c r="K83" s="53"/>
    </row>
    <row r="84" spans="2:11">
      <c r="B84" s="53" t="s">
        <v>63</v>
      </c>
      <c r="C84" s="53">
        <v>1209</v>
      </c>
      <c r="D84" s="53">
        <v>736</v>
      </c>
      <c r="E84" s="53">
        <v>473</v>
      </c>
      <c r="F84" s="47">
        <f t="shared" si="3"/>
        <v>60.876757650951198</v>
      </c>
      <c r="G84" s="53"/>
      <c r="H84" s="56">
        <v>9</v>
      </c>
      <c r="I84" s="47">
        <f t="shared" si="1"/>
        <v>134.33333333333334</v>
      </c>
      <c r="J84" s="47">
        <f t="shared" si="2"/>
        <v>81.777777777777771</v>
      </c>
      <c r="K84" s="53"/>
    </row>
    <row r="85" spans="2:11">
      <c r="B85" s="53" t="s">
        <v>64</v>
      </c>
      <c r="C85" s="53">
        <v>1188</v>
      </c>
      <c r="D85" s="53">
        <v>918</v>
      </c>
      <c r="E85" s="53">
        <v>270</v>
      </c>
      <c r="F85" s="47">
        <f t="shared" si="3"/>
        <v>77.272727272727266</v>
      </c>
      <c r="G85" s="53"/>
      <c r="H85" s="56">
        <v>10</v>
      </c>
      <c r="I85" s="47">
        <f t="shared" si="1"/>
        <v>118.8</v>
      </c>
      <c r="J85" s="47">
        <f t="shared" si="2"/>
        <v>91.8</v>
      </c>
      <c r="K85" s="53"/>
    </row>
    <row r="86" spans="2:11">
      <c r="B86" s="53" t="s">
        <v>65</v>
      </c>
      <c r="C86" s="53">
        <v>897</v>
      </c>
      <c r="D86" s="53">
        <v>701</v>
      </c>
      <c r="E86" s="53">
        <v>196</v>
      </c>
      <c r="F86" s="47">
        <f t="shared" si="3"/>
        <v>78.149386845039018</v>
      </c>
      <c r="G86" s="53"/>
      <c r="H86" s="56">
        <v>8</v>
      </c>
      <c r="I86" s="47">
        <f t="shared" si="1"/>
        <v>112.125</v>
      </c>
      <c r="J86" s="47">
        <f t="shared" si="2"/>
        <v>87.625</v>
      </c>
      <c r="K86" s="53"/>
    </row>
    <row r="87" spans="2:11">
      <c r="B87" s="53" t="s">
        <v>66</v>
      </c>
      <c r="C87" s="53">
        <v>859</v>
      </c>
      <c r="D87" s="53">
        <v>595</v>
      </c>
      <c r="E87" s="53">
        <v>264</v>
      </c>
      <c r="F87" s="47">
        <f t="shared" si="3"/>
        <v>69.266589057043078</v>
      </c>
      <c r="G87" s="53"/>
      <c r="H87" s="56">
        <v>2</v>
      </c>
      <c r="I87" s="47">
        <f t="shared" si="1"/>
        <v>429.5</v>
      </c>
      <c r="J87" s="47">
        <f t="shared" si="2"/>
        <v>297.5</v>
      </c>
      <c r="K87" s="53"/>
    </row>
    <row r="88" spans="2:11">
      <c r="B88" s="53" t="s">
        <v>67</v>
      </c>
      <c r="C88" s="53">
        <v>1123</v>
      </c>
      <c r="D88" s="53">
        <v>659</v>
      </c>
      <c r="E88" s="53">
        <v>464</v>
      </c>
      <c r="F88" s="47">
        <f t="shared" si="3"/>
        <v>58.682101513802323</v>
      </c>
      <c r="G88" s="53"/>
      <c r="H88" s="56">
        <v>8</v>
      </c>
      <c r="I88" s="47">
        <f t="shared" si="1"/>
        <v>140.375</v>
      </c>
      <c r="J88" s="47">
        <f t="shared" si="2"/>
        <v>82.375</v>
      </c>
      <c r="K88" s="5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8.16.1</vt:lpstr>
      <vt:lpstr>8.20 workings</vt:lpstr>
      <vt:lpstr>'8.16.1'!Print_Area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2018-05-29T08:57:09Z</cp:lastPrinted>
  <dcterms:created xsi:type="dcterms:W3CDTF">2013-04-04T04:05:16Z</dcterms:created>
  <dcterms:modified xsi:type="dcterms:W3CDTF">2018-05-29T08:57:25Z</dcterms:modified>
</cp:coreProperties>
</file>