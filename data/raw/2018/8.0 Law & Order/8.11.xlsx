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942"/>
  </bookViews>
  <sheets>
    <sheet name="8.11" sheetId="44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Print_Area" localSheetId="0">'8.11'!$A$1:$J$53</definedName>
  </definedNames>
  <calcPr calcId="162913"/>
</workbook>
</file>

<file path=xl/calcChain.xml><?xml version="1.0" encoding="utf-8"?>
<calcChain xmlns="http://schemas.openxmlformats.org/spreadsheetml/2006/main">
  <c r="H5" i="44" l="1"/>
  <c r="T6" i="44" s="1"/>
  <c r="I6" i="44"/>
  <c r="I9" i="44"/>
  <c r="G5" i="44" l="1"/>
  <c r="I11" i="44" l="1"/>
  <c r="I10" i="44"/>
  <c r="I8" i="44"/>
  <c r="I7" i="44"/>
  <c r="C5" i="44"/>
  <c r="D5" i="44"/>
  <c r="E5" i="44"/>
  <c r="F5" i="44"/>
  <c r="T7" i="44" l="1"/>
  <c r="T11" i="44"/>
  <c r="T8" i="44"/>
  <c r="T9" i="44"/>
  <c r="I5" i="44"/>
  <c r="T10" i="44"/>
  <c r="B5" i="44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<sst xmlns="http://schemas.openxmlformats.org/spreadsheetml/2006/main" count="187" uniqueCount="86">
  <si>
    <t>Total</t>
  </si>
  <si>
    <t>Source: Department of Judicial Administration</t>
  </si>
  <si>
    <t>Source: Maldives Police Service</t>
  </si>
  <si>
    <t>ޖުމްލަ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</si>
  <si>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</si>
  <si>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</si>
  <si>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</si>
  <si>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</si>
  <si>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</si>
  <si>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</si>
  <si>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</si>
  <si>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</si>
  <si>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</si>
  <si>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</si>
  <si>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</si>
  <si>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</si>
  <si>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</si>
  <si>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</si>
  <si>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</si>
  <si>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</si>
  <si>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</si>
  <si>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</si>
  <si>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</si>
  <si>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</si>
  <si>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</si>
  <si>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</si>
  <si>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</si>
  <si>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</si>
  <si>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</si>
  <si>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</si>
  <si>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</si>
  <si>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</si>
  <si>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</si>
  <si>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</si>
  <si>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</si>
  <si>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</si>
  <si>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</si>
  <si>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</si>
  <si>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</si>
  <si>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</si>
  <si>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</si>
  <si>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</si>
  <si>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</si>
  <si>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</si>
  <si>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Traffic accidents</t>
  </si>
  <si>
    <t xml:space="preserve">Type 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</si>
  <si>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</si>
  <si>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</si>
  <si>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</si>
  <si>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</si>
  <si>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</si>
  <si>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</si>
  <si>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</si>
  <si>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</si>
  <si>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</si>
  <si>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</si>
  <si>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</si>
  <si>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</si>
  <si>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</si>
  <si>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</si>
  <si>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</si>
  <si>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</si>
  <si>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</si>
  <si>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</si>
  <si>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</si>
  <si>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</si>
  <si>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</si>
  <si>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</si>
  <si>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 xml:space="preserve"> މައްސަލައިގެ ބާވަތް</t>
  </si>
  <si>
    <t xml:space="preserve">  ކުރީ އަހަރާއި  އަޅާބަލާއިރު  އިތުރުވި މިންވަރު</t>
  </si>
  <si>
    <t>Homicide</t>
  </si>
  <si>
    <t>ގަސްތުގައި މީހުން މެރުން</t>
  </si>
  <si>
    <t>Suicide</t>
  </si>
  <si>
    <t>އަމިއްލައަށް މަރުވުން</t>
  </si>
  <si>
    <t>Diving/snorkeling  accidents</t>
  </si>
  <si>
    <t>ޑައިވިންގ / ސްނޯކްލިންގ އެކްސިޑެންޓް</t>
  </si>
  <si>
    <t>ޓްރެފިކް އެކްސިޑެންޓް</t>
  </si>
  <si>
    <t>Drowning</t>
  </si>
  <si>
    <t>ގެނބިގެން</t>
  </si>
  <si>
    <t>Other death cases logged</t>
  </si>
  <si>
    <t xml:space="preserve">އެހެނިހެން </t>
  </si>
  <si>
    <t>% change over 2016</t>
  </si>
  <si>
    <t>ތާވަލު 8.11: ހުށަހެޅިފައިވާ މަރުގެ މައްސަލަތައް، 2011- 2017</t>
  </si>
  <si>
    <t>Table 8.11 : LOGGED CASES OF DEATH , 2011 - 2017</t>
  </si>
  <si>
    <t>Note: 2016 data revised</t>
  </si>
  <si>
    <t>ނޯޓް: 2016 ގެ މަޢުލޫމާތު އިސްލާޙުކުރެވިފައި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</si>
</sst>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color theme="1"/>
      <name val="Calibri"/>
      <family val="2"/>
      <scheme val="minor"/>
    </font>
    <font>
      <b/>
      <sz val="10"/>
      <color theme="1"/>
      <name val="Faruma"/>
      <family val="3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Faruma"/>
      <family val="3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Faruma"/>
      <family val="3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ourier"/>
      <family val="3"/>
    </font>
    <font>
      <sz val="10"/>
      <color theme="1"/>
      <name val="Courier"/>
      <family val="3"/>
    </font>
    <font>
      <b/>
      <sz val="9"/>
      <color theme="1"/>
      <name val="Faruma"/>
      <family val="3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ourier"/>
      <family val="3"/>
    </font>
    <font>
      <sz val="9"/>
      <color theme="1"/>
      <name val="A_Randhoo"/>
    </font>
    <font>
      <i/>
      <sz val="8"/>
      <color theme="1"/>
      <name val="Calibri"/>
      <family val="2"/>
      <scheme val="minor"/>
    </font>
    <font>
      <sz val="8"/>
      <name val="Faruma"/>
      <family val="3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6" fillId="0" borderId="0"/>
    <xf numFmtId="0" fontId="17" fillId="0" borderId="9" applyNumberFormat="0" applyFill="0" applyAlignment="0" applyProtection="0"/>
    <xf numFmtId="0" fontId="10" fillId="0" borderId="0"/>
    <xf numFmtId="166" fontId="18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0" borderId="11" applyNumberFormat="0" applyFill="0" applyAlignment="0" applyProtection="0"/>
    <xf numFmtId="0" fontId="27" fillId="0" borderId="12" applyNumberFormat="0" applyFill="0" applyAlignment="0" applyProtection="0"/>
    <xf numFmtId="0" fontId="27" fillId="0" borderId="0" applyNumberFormat="0" applyFill="0" applyBorder="0" applyAlignment="0" applyProtection="0"/>
    <xf numFmtId="0" fontId="28" fillId="4" borderId="0" applyNumberFormat="0" applyBorder="0" applyAlignment="0" applyProtection="0"/>
    <xf numFmtId="0" fontId="29" fillId="5" borderId="0" applyNumberFormat="0" applyBorder="0" applyAlignment="0" applyProtection="0"/>
    <xf numFmtId="0" fontId="30" fillId="6" borderId="0" applyNumberFormat="0" applyBorder="0" applyAlignment="0" applyProtection="0"/>
    <xf numFmtId="0" fontId="31" fillId="7" borderId="13" applyNumberFormat="0" applyAlignment="0" applyProtection="0"/>
    <xf numFmtId="0" fontId="32" fillId="8" borderId="14" applyNumberFormat="0" applyAlignment="0" applyProtection="0"/>
    <xf numFmtId="0" fontId="33" fillId="8" borderId="13" applyNumberFormat="0" applyAlignment="0" applyProtection="0"/>
    <xf numFmtId="0" fontId="34" fillId="0" borderId="15" applyNumberFormat="0" applyFill="0" applyAlignment="0" applyProtection="0"/>
    <xf numFmtId="0" fontId="35" fillId="9" borderId="16" applyNumberFormat="0" applyAlignment="0" applyProtection="0"/>
    <xf numFmtId="0" fontId="19" fillId="0" borderId="0" applyNumberFormat="0" applyFill="0" applyBorder="0" applyAlignment="0" applyProtection="0"/>
    <xf numFmtId="0" fontId="1" fillId="10" borderId="17" applyNumberFormat="0" applyFont="0" applyAlignment="0" applyProtection="0"/>
    <xf numFmtId="0" fontId="36" fillId="0" borderId="0" applyNumberFormat="0" applyFill="0" applyBorder="0" applyAlignment="0" applyProtection="0"/>
    <xf numFmtId="0" fontId="2" fillId="0" borderId="18" applyNumberFormat="0" applyFill="0" applyAlignment="0" applyProtection="0"/>
    <xf numFmtId="0" fontId="3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7" fillId="34" borderId="0" applyNumberFormat="0" applyBorder="0" applyAlignment="0" applyProtection="0"/>
    <xf numFmtId="0" fontId="1" fillId="0" borderId="0"/>
    <xf numFmtId="0" fontId="10" fillId="0" borderId="0"/>
  </cellStyleXfs>
  <cellXfs count="90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70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top" wrapText="1"/>
    </xf>
    <xf numFmtId="0" fontId="4" fillId="2" borderId="10" xfId="0" applyNumberFormat="1" applyFont="1" applyFill="1" applyBorder="1" applyAlignment="1">
      <alignment horizontal="center" vertical="center"/>
    </xf>
    <xf numFmtId="0" fontId="4" fillId="2" borderId="10" xfId="0" applyNumberFormat="1" applyFont="1" applyFill="1" applyBorder="1" applyAlignment="1">
      <alignment horizontal="left" vertical="center" wrapText="1"/>
    </xf>
    <xf numFmtId="3" fontId="4" fillId="2" borderId="10" xfId="1" applyNumberFormat="1" applyFont="1" applyFill="1" applyBorder="1" applyAlignment="1"/>
    <xf numFmtId="3" fontId="3" fillId="2" borderId="10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2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right" vertical="center" wrapText="1"/>
    </xf>
    <xf numFmtId="166" fontId="3" fillId="3" borderId="6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3" fontId="7" fillId="2" borderId="0" xfId="0" applyNumberFormat="1" applyFont="1" applyFill="1" applyBorder="1" applyAlignment="1">
      <alignment horizontal="right" vertical="center"/>
    </xf>
    <xf numFmtId="3" fontId="7" fillId="2" borderId="6" xfId="0" applyNumberFormat="1" applyFont="1" applyFill="1" applyBorder="1" applyAlignment="1">
      <alignment horizontal="right" vertical="center"/>
    </xf>
    <xf numFmtId="164" fontId="22" fillId="2" borderId="0" xfId="0" applyNumberFormat="1" applyFont="1" applyFill="1"/>
    <xf numFmtId="164" fontId="14" fillId="2" borderId="1" xfId="0" applyNumberFormat="1" applyFont="1" applyFill="1" applyBorder="1" applyAlignment="1" applyProtection="1">
      <alignment vertical="center"/>
    </xf>
    <xf numFmtId="164" fontId="21" fillId="2" borderId="0" xfId="0" applyNumberFormat="1" applyFont="1" applyFill="1"/>
    <xf numFmtId="164" fontId="23" fillId="2" borderId="5" xfId="0" applyNumberFormat="1" applyFont="1" applyFill="1" applyBorder="1" applyAlignment="1">
      <alignment horizontal="center" vertical="center" wrapText="1"/>
    </xf>
    <xf numFmtId="164" fontId="20" fillId="2" borderId="6" xfId="0" applyNumberFormat="1" applyFont="1" applyFill="1" applyBorder="1" applyAlignment="1">
      <alignment horizontal="center" vertical="center" wrapText="1"/>
    </xf>
    <xf numFmtId="164" fontId="9" fillId="2" borderId="0" xfId="0" applyNumberFormat="1" applyFont="1" applyFill="1" applyBorder="1" applyAlignment="1">
      <alignment vertical="center"/>
    </xf>
    <xf numFmtId="166" fontId="9" fillId="2" borderId="5" xfId="1" applyNumberFormat="1" applyFont="1" applyFill="1" applyBorder="1" applyAlignment="1">
      <alignment horizontal="center" vertical="center"/>
    </xf>
    <xf numFmtId="164" fontId="8" fillId="2" borderId="0" xfId="0" applyNumberFormat="1" applyFont="1" applyFill="1" applyBorder="1" applyAlignment="1" applyProtection="1">
      <alignment horizontal="right" vertical="center"/>
    </xf>
    <xf numFmtId="164" fontId="38" fillId="2" borderId="0" xfId="0" applyNumberFormat="1" applyFont="1" applyFill="1"/>
    <xf numFmtId="164" fontId="7" fillId="2" borderId="0" xfId="0" applyNumberFormat="1" applyFont="1" applyFill="1" applyBorder="1" applyAlignment="1">
      <alignment vertical="center"/>
    </xf>
    <xf numFmtId="166" fontId="7" fillId="2" borderId="0" xfId="1" applyNumberFormat="1" applyFont="1" applyFill="1" applyBorder="1" applyAlignment="1">
      <alignment horizontal="center" vertical="center"/>
    </xf>
    <xf numFmtId="3" fontId="7" fillId="2" borderId="0" xfId="0" applyNumberFormat="1" applyFont="1" applyFill="1" applyBorder="1" applyAlignment="1">
      <alignment horizontal="center" vertical="center"/>
    </xf>
    <xf numFmtId="164" fontId="16" fillId="2" borderId="0" xfId="0" applyNumberFormat="1" applyFont="1" applyFill="1" applyBorder="1" applyAlignment="1" applyProtection="1">
      <alignment horizontal="right" vertical="center"/>
    </xf>
    <xf numFmtId="166" fontId="7" fillId="2" borderId="6" xfId="1" applyNumberFormat="1" applyFont="1" applyFill="1" applyBorder="1" applyAlignment="1">
      <alignment horizontal="center" vertical="center"/>
    </xf>
    <xf numFmtId="164" fontId="0" fillId="2" borderId="6" xfId="0" applyNumberFormat="1" applyFont="1" applyFill="1" applyBorder="1" applyAlignment="1">
      <alignment vertical="center"/>
    </xf>
    <xf numFmtId="164" fontId="22" fillId="2" borderId="0" xfId="0" applyNumberFormat="1" applyFont="1" applyFill="1" applyBorder="1"/>
    <xf numFmtId="164" fontId="39" fillId="2" borderId="1" xfId="0" applyNumberFormat="1" applyFont="1" applyFill="1" applyBorder="1" applyAlignment="1">
      <alignment horizontal="right" vertical="center"/>
    </xf>
    <xf numFmtId="166" fontId="20" fillId="2" borderId="0" xfId="1" applyNumberFormat="1" applyFont="1" applyFill="1" applyBorder="1" applyAlignment="1">
      <alignment horizontal="center"/>
    </xf>
    <xf numFmtId="164" fontId="7" fillId="2" borderId="0" xfId="0" applyNumberFormat="1" applyFont="1" applyFill="1" applyBorder="1" applyAlignment="1">
      <alignment horizontal="left" vertical="center" indent="1"/>
    </xf>
    <xf numFmtId="164" fontId="7" fillId="2" borderId="6" xfId="0" applyNumberFormat="1" applyFont="1" applyFill="1" applyBorder="1" applyAlignment="1">
      <alignment horizontal="left" vertical="center" indent="1"/>
    </xf>
    <xf numFmtId="168" fontId="22" fillId="2" borderId="0" xfId="0" applyNumberFormat="1" applyFont="1" applyFill="1"/>
    <xf numFmtId="164" fontId="11" fillId="2" borderId="0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164" fontId="23" fillId="2" borderId="0" xfId="0" applyNumberFormat="1" applyFont="1" applyFill="1" applyBorder="1" applyAlignment="1" applyProtection="1">
      <alignment horizontal="right" vertical="center" wrapText="1"/>
    </xf>
    <xf numFmtId="164" fontId="16" fillId="2" borderId="0" xfId="0" applyNumberFormat="1" applyFont="1" applyFill="1" applyBorder="1" applyAlignment="1">
      <alignment horizontal="right" vertical="center" wrapText="1"/>
    </xf>
    <xf numFmtId="164" fontId="39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ont="1" applyFill="1"/>
    <xf numFmtId="164" fontId="16" fillId="2" borderId="0" xfId="0" applyNumberFormat="1" applyFont="1" applyFill="1" applyBorder="1" applyAlignment="1" applyProtection="1">
      <alignment horizontal="right" vertical="center" indent="1"/>
    </xf>
    <xf numFmtId="164" fontId="16" fillId="2" borderId="6" xfId="0" applyNumberFormat="1" applyFont="1" applyFill="1" applyBorder="1" applyAlignment="1" applyProtection="1">
      <alignment horizontal="right" vertical="center" indent="1"/>
    </xf>
    <xf numFmtId="164" fontId="40" fillId="2" borderId="0" xfId="0" applyNumberFormat="1" applyFont="1" applyFill="1" applyAlignment="1">
      <alignment vertical="center"/>
    </xf>
    <xf numFmtId="164" fontId="41" fillId="2" borderId="0" xfId="0" applyNumberFormat="1" applyFont="1" applyFill="1" applyBorder="1" applyAlignment="1" applyProtection="1">
      <alignment horizontal="right" vertical="center"/>
    </xf>
    <xf numFmtId="164" fontId="0" fillId="2" borderId="0" xfId="0" applyNumberFormat="1" applyFont="1" applyFill="1" applyBorder="1" applyAlignment="1">
      <alignment vertical="center"/>
    </xf>
    <xf numFmtId="3" fontId="9" fillId="2" borderId="5" xfId="0" applyNumberFormat="1" applyFont="1" applyFill="1" applyBorder="1" applyAlignment="1">
      <alignment horizontal="right" vertical="center" indent="7"/>
    </xf>
    <xf numFmtId="3" fontId="7" fillId="2" borderId="0" xfId="0" applyNumberFormat="1" applyFont="1" applyFill="1" applyBorder="1" applyAlignment="1">
      <alignment horizontal="right" vertical="center" indent="7"/>
    </xf>
    <xf numFmtId="3" fontId="7" fillId="2" borderId="6" xfId="0" applyNumberFormat="1" applyFont="1" applyFill="1" applyBorder="1" applyAlignment="1">
      <alignment horizontal="right" vertical="center" indent="7"/>
    </xf>
    <xf numFmtId="164" fontId="11" fillId="2" borderId="3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0" fillId="2" borderId="5" xfId="0" applyNumberFormat="1" applyFont="1" applyFill="1" applyBorder="1" applyAlignment="1">
      <alignment horizontal="left" vertical="center" wrapText="1"/>
    </xf>
    <xf numFmtId="164" fontId="20" fillId="2" borderId="6" xfId="0" applyNumberFormat="1" applyFont="1" applyFill="1" applyBorder="1" applyAlignment="1">
      <alignment horizontal="left" vertical="center" wrapText="1"/>
    </xf>
    <xf numFmtId="164" fontId="9" fillId="2" borderId="5" xfId="0" applyNumberFormat="1" applyFont="1" applyFill="1" applyBorder="1" applyAlignment="1">
      <alignment horizontal="right" vertical="center" wrapText="1"/>
    </xf>
    <xf numFmtId="164" fontId="9" fillId="2" borderId="6" xfId="0" applyNumberFormat="1" applyFont="1" applyFill="1" applyBorder="1" applyAlignment="1">
      <alignment horizontal="right" vertical="center" wrapText="1"/>
    </xf>
    <xf numFmtId="164" fontId="23" fillId="2" borderId="5" xfId="0" applyNumberFormat="1" applyFont="1" applyFill="1" applyBorder="1" applyAlignment="1" applyProtection="1">
      <alignment horizontal="right" vertical="center" wrapText="1"/>
    </xf>
    <xf numFmtId="164" fontId="16" fillId="2" borderId="6" xfId="0" applyNumberFormat="1" applyFont="1" applyFill="1" applyBorder="1" applyAlignment="1">
      <alignment horizontal="right" vertical="center" wrapText="1"/>
    </xf>
    <xf numFmtId="164" fontId="15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4" fontId="13" fillId="2" borderId="0" xfId="0" applyNumberFormat="1" applyFont="1" applyFill="1" applyAlignment="1">
      <alignment horizontal="center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BC497"/>
      <color rgb="FFCE2049"/>
      <color rgb="FF953735"/>
      <color rgb="FFF8A45E"/>
      <color rgb="FFF27A16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8444119694959952"/>
          <c:y val="0.13888616557570407"/>
          <c:w val="0.44104652797334065"/>
          <c:h val="0.84826527623317471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510E-4BD2-998F-CF110D2A637B}"/>
              </c:ext>
            </c:extLst>
          </c:dPt>
          <c:dPt>
            <c:idx val="1"/>
            <c:bubble3D val="0"/>
            <c:explosion val="4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510E-4BD2-998F-CF110D2A637B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510E-4BD2-998F-CF110D2A637B}"/>
              </c:ext>
            </c:extLst>
          </c:dPt>
          <c:dPt>
            <c:idx val="3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510E-4BD2-998F-CF110D2A637B}"/>
              </c:ext>
            </c:extLst>
          </c:dPt>
          <c:dPt>
            <c:idx val="4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510E-4BD2-998F-CF110D2A637B}"/>
              </c:ext>
            </c:extLst>
          </c:dPt>
          <c:dPt>
            <c:idx val="5"/>
            <c:bubble3D val="0"/>
            <c:explosion val="5"/>
            <c:spPr>
              <a:solidFill>
                <a:schemeClr val="accent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510E-4BD2-998F-CF110D2A637B}"/>
              </c:ext>
            </c:extLst>
          </c:dPt>
          <c:dLbls>
            <c:dLbl>
              <c:idx val="0"/>
              <c:layout>
                <c:manualLayout>
                  <c:x val="-2.0520837928854049E-2"/>
                  <c:y val="0.1216809442562679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>
                      <a:solidFill>
                        <a:schemeClr val="accent1">
                          <a:lumMod val="75000"/>
                        </a:schemeClr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510E-4BD2-998F-CF110D2A637B}"/>
                </c:ext>
              </c:extLst>
            </c:dLbl>
            <c:dLbl>
              <c:idx val="1"/>
              <c:layout>
                <c:manualLayout>
                  <c:x val="-6.4531646573943613E-2"/>
                  <c:y val="0.170151972905072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10E-4BD2-998F-CF110D2A637B}"/>
                </c:ext>
              </c:extLst>
            </c:dLbl>
            <c:dLbl>
              <c:idx val="2"/>
              <c:layout>
                <c:manualLayout>
                  <c:x val="-7.9323055444415116E-3"/>
                  <c:y val="3.68257137743609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510E-4BD2-998F-CF110D2A637B}"/>
                </c:ext>
              </c:extLst>
            </c:dLbl>
            <c:dLbl>
              <c:idx val="3"/>
              <c:layout>
                <c:manualLayout>
                  <c:x val="-8.5287313117634305E-3"/>
                  <c:y val="8.3489847244635849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510E-4BD2-998F-CF110D2A637B}"/>
                </c:ext>
              </c:extLst>
            </c:dLbl>
            <c:dLbl>
              <c:idx val="4"/>
              <c:layout>
                <c:manualLayout>
                  <c:x val="-1.1328553457966446E-2"/>
                  <c:y val="-3.315690495714743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510E-4BD2-998F-CF110D2A637B}"/>
                </c:ext>
              </c:extLst>
            </c:dLbl>
            <c:dLbl>
              <c:idx val="5"/>
              <c:layout>
                <c:manualLayout>
                  <c:x val="0.18678076508206271"/>
                  <c:y val="-0.10076824382200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510E-4BD2-998F-CF110D2A63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'8.11'!$A$6:$A$11</c:f>
              <c:strCache>
                <c:ptCount val="6"/>
                <c:pt idx="0">
                  <c:v>Homicide</c:v>
                </c:pt>
                <c:pt idx="1">
                  <c:v>Suicide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Drowning</c:v>
                </c:pt>
                <c:pt idx="5">
                  <c:v>Other death cases logged</c:v>
                </c:pt>
              </c:strCache>
            </c:strRef>
          </c:cat>
          <c:val>
            <c:numRef>
              <c:f>'8.11'!$H$6:$H$11</c:f>
              <c:numCache>
                <c:formatCode>#,##0</c:formatCode>
                <c:ptCount val="6"/>
                <c:pt idx="0">
                  <c:v>9</c:v>
                </c:pt>
                <c:pt idx="1">
                  <c:v>17</c:v>
                </c:pt>
                <c:pt idx="2">
                  <c:v>19</c:v>
                </c:pt>
                <c:pt idx="3">
                  <c:v>9</c:v>
                </c:pt>
                <c:pt idx="4">
                  <c:v>12</c:v>
                </c:pt>
                <c:pt idx="5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10E-4BD2-998F-CF110D2A6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200" b="1" i="0" baseline="0">
                <a:effectLst/>
              </a:rPr>
              <a:t>Figure 8.17: Percentage change of logged death cases  over previous year (2016) 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14977397500666667"/>
          <c:y val="3.48111974035889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492226411770394E-2"/>
          <c:y val="0.17620342735964248"/>
          <c:w val="0.93419615946335566"/>
          <c:h val="0.7330917971071070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'8.11'!$A$6:$A$11</c15:sqref>
                  </c15:fullRef>
                </c:ext>
              </c:extLst>
              <c:f>('8.11'!$A$6,'8.11'!$A$8:$A$9,'8.11'!$A$11)</c:f>
              <c:strCache>
                <c:ptCount val="4"/>
                <c:pt idx="0">
                  <c:v>Homicide</c:v>
                </c:pt>
                <c:pt idx="1">
                  <c:v>Diving/snorkeling  accidents</c:v>
                </c:pt>
                <c:pt idx="2">
                  <c:v>Traffic accidents</c:v>
                </c:pt>
                <c:pt idx="3">
                  <c:v>Other death cases logged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'8.11'!$I$6:$I$11</c15:sqref>
                  </c15:fullRef>
                </c:ext>
              </c:extLst>
              <c:f>('8.11'!$I$6,'8.11'!$I$8:$I$9,'8.11'!$I$11)</c:f>
              <c:numCache>
                <c:formatCode>#,##0</c:formatCode>
                <c:ptCount val="4"/>
                <c:pt idx="0">
                  <c:v>80</c:v>
                </c:pt>
                <c:pt idx="1">
                  <c:v>18.75</c:v>
                </c:pt>
                <c:pt idx="2">
                  <c:v>125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ED-45EE-80EA-8CF4D400F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996037168"/>
        <c:axId val="996033008"/>
      </c:barChart>
      <c:catAx>
        <c:axId val="996037168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033008"/>
        <c:crosses val="autoZero"/>
        <c:auto val="1"/>
        <c:lblAlgn val="ctr"/>
        <c:lblOffset val="100"/>
        <c:noMultiLvlLbl val="0"/>
      </c:catAx>
      <c:valAx>
        <c:axId val="99603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03716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'[9]8.9graphs'!$C$37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'[9]8.9graphs'!$D$37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'[9]8.9graphs'!$C$43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'[9]8.9graphs'!$D$43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'[9]8.9graphs'!$C$56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'[9]8.9graphs'!$D$56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'[9]8.9graphs'!$C$50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'[9]8.9graphs'!$D$50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942781</xdr:colOff>
      <xdr:row>14</xdr:row>
      <xdr:rowOff>193221</xdr:rowOff>
    </xdr:from>
    <xdr:to>
      <xdr:col>9</xdr:col>
      <xdr:colOff>1224643</xdr:colOff>
      <xdr:row>32</xdr:row>
      <xdr:rowOff>19439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168778</xdr:colOff>
      <xdr:row>15</xdr:row>
      <xdr:rowOff>38877</xdr:rowOff>
    </xdr:from>
    <xdr:to>
      <xdr:col>8</xdr:col>
      <xdr:colOff>785170</xdr:colOff>
      <xdr:row>16</xdr:row>
      <xdr:rowOff>174948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/>
      </xdr:nvSpPr>
      <xdr:spPr>
        <a:xfrm>
          <a:off x="2524285" y="3874620"/>
          <a:ext cx="4284804" cy="32914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>
                  <a:lumMod val="50000"/>
                </a:schemeClr>
              </a:solidFill>
              <a:latin typeface="+mj-lt"/>
              <a:cs typeface="Consolas" pitchFamily="49" charset="0"/>
            </a:rPr>
            <a:t>Figure 8.16: Percentage</a:t>
          </a:r>
          <a:r>
            <a:rPr lang="en-US" sz="1200" b="1" baseline="0">
              <a:solidFill>
                <a:schemeClr val="bg1">
                  <a:lumMod val="50000"/>
                </a:schemeClr>
              </a:solidFill>
              <a:latin typeface="+mj-lt"/>
              <a:cs typeface="Consolas" pitchFamily="49" charset="0"/>
            </a:rPr>
            <a:t> share of death cases logged, 2017</a:t>
          </a:r>
          <a:endParaRPr lang="en-US" sz="1200" b="1">
            <a:solidFill>
              <a:schemeClr val="bg1">
                <a:lumMod val="50000"/>
              </a:schemeClr>
            </a:solidFill>
            <a:latin typeface="+mj-lt"/>
            <a:cs typeface="Consolas" pitchFamily="49" charset="0"/>
          </a:endParaRPr>
        </a:p>
      </xdr:txBody>
    </xdr:sp>
    <xdr:clientData/>
  </xdr:twoCellAnchor>
  <xdr:twoCellAnchor>
    <xdr:from>
      <xdr:col>2</xdr:col>
      <xdr:colOff>218817</xdr:colOff>
      <xdr:row>16</xdr:row>
      <xdr:rowOff>109408</xdr:rowOff>
    </xdr:from>
    <xdr:to>
      <xdr:col>8</xdr:col>
      <xdr:colOff>701503</xdr:colOff>
      <xdr:row>16</xdr:row>
      <xdr:rowOff>122280</xdr:rowOff>
    </xdr:to>
    <xdr:sp macro="" textlink="">
      <xdr:nvSpPr>
        <xdr:cNvPr id="7" name="Line 4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>
          <a:spLocks noChangeShapeType="1"/>
        </xdr:cNvSpPr>
      </xdr:nvSpPr>
      <xdr:spPr bwMode="auto">
        <a:xfrm>
          <a:off x="2574324" y="4138226"/>
          <a:ext cx="4151098" cy="12872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927001</xdr:colOff>
      <xdr:row>33</xdr:row>
      <xdr:rowOff>176366</xdr:rowOff>
    </xdr:from>
    <xdr:to>
      <xdr:col>9</xdr:col>
      <xdr:colOff>1217901</xdr:colOff>
      <xdr:row>51</xdr:row>
      <xdr:rowOff>119872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358615</xdr:colOff>
      <xdr:row>35</xdr:row>
      <xdr:rowOff>155285</xdr:rowOff>
    </xdr:from>
    <xdr:to>
      <xdr:col>9</xdr:col>
      <xdr:colOff>368334</xdr:colOff>
      <xdr:row>35</xdr:row>
      <xdr:rowOff>155285</xdr:rowOff>
    </xdr:to>
    <xdr:sp macro="" textlink="">
      <xdr:nvSpPr>
        <xdr:cNvPr id="9" name="Line 4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>
          <a:spLocks noChangeShapeType="1"/>
        </xdr:cNvSpPr>
      </xdr:nvSpPr>
      <xdr:spPr bwMode="auto">
        <a:xfrm>
          <a:off x="2102423" y="7767958"/>
          <a:ext cx="557818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935306</xdr:colOff>
      <xdr:row>35</xdr:row>
      <xdr:rowOff>143848</xdr:rowOff>
    </xdr:from>
    <xdr:to>
      <xdr:col>0</xdr:col>
      <xdr:colOff>1721827</xdr:colOff>
      <xdr:row>36</xdr:row>
      <xdr:rowOff>134128</xdr:rowOff>
    </xdr:to>
    <xdr:sp macro="" textlink="">
      <xdr:nvSpPr>
        <xdr:cNvPr id="3" name="TextBox 2"/>
        <xdr:cNvSpPr txBox="1"/>
      </xdr:nvSpPr>
      <xdr:spPr>
        <a:xfrm>
          <a:off x="935306" y="7756521"/>
          <a:ext cx="786521" cy="18078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1">
              <a:solidFill>
                <a:schemeClr val="tx1">
                  <a:lumMod val="50000"/>
                  <a:lumOff val="50000"/>
                </a:schemeClr>
              </a:solidFill>
              <a:latin typeface="+mj-lt"/>
            </a:rPr>
            <a:t>Percentage</a:t>
          </a:r>
          <a:endParaRPr lang="en-US" sz="1100" b="1">
            <a:solidFill>
              <a:schemeClr val="tx1">
                <a:lumMod val="50000"/>
                <a:lumOff val="50000"/>
              </a:schemeClr>
            </a:solidFill>
            <a:latin typeface="+mj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MPS%20-%20final%20tab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LAW%20AND%20ORDER_%20PG%20%20with%20Translatio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AppData\Local\Microsoft\Windows\INetCache\Content.Outlook\JLAH1LI0\8%20%20LAW%20%20ORDER%20-%20DJA%20(2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%20ACC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_%20MC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1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3">
          <cell r="Z3" t="str">
            <v>&lt; 18 yrs</v>
          </cell>
          <cell r="AA3" t="str">
            <v>18 - 34 yrs</v>
          </cell>
          <cell r="AB3" t="str">
            <v>35 yrs  and above</v>
          </cell>
          <cell r="AC3" t="str">
            <v>N/A</v>
          </cell>
        </row>
        <row r="4">
          <cell r="Z4">
            <v>922</v>
          </cell>
          <cell r="AA4">
            <v>806</v>
          </cell>
          <cell r="AB4">
            <v>474</v>
          </cell>
          <cell r="AC4">
            <v>1759</v>
          </cell>
        </row>
        <row r="7">
          <cell r="Z7" t="str">
            <v>Male</v>
          </cell>
          <cell r="AA7">
            <v>1228</v>
          </cell>
        </row>
        <row r="8">
          <cell r="Z8" t="str">
            <v>Female</v>
          </cell>
          <cell r="AA8">
            <v>974</v>
          </cell>
        </row>
        <row r="9">
          <cell r="Z9" t="str">
            <v>N/A</v>
          </cell>
          <cell r="AA9">
            <v>1759</v>
          </cell>
        </row>
        <row r="12">
          <cell r="AA12" t="str">
            <v>Male</v>
          </cell>
          <cell r="AB12" t="str">
            <v>Female</v>
          </cell>
        </row>
        <row r="13">
          <cell r="Z13" t="str">
            <v>&lt; 18 yrs</v>
          </cell>
          <cell r="AA13">
            <v>417</v>
          </cell>
          <cell r="AB13">
            <v>505</v>
          </cell>
        </row>
        <row r="14">
          <cell r="Z14" t="str">
            <v>18 - 34 yrs</v>
          </cell>
          <cell r="AA14">
            <v>491</v>
          </cell>
          <cell r="AB14">
            <v>315</v>
          </cell>
        </row>
        <row r="15">
          <cell r="Z15" t="str">
            <v>35 yrs  and above</v>
          </cell>
          <cell r="AA15">
            <v>320</v>
          </cell>
          <cell r="AB15">
            <v>154</v>
          </cell>
        </row>
        <row r="16">
          <cell r="Z16" t="str">
            <v>N/A</v>
          </cell>
          <cell r="AA16">
            <v>2583</v>
          </cell>
          <cell r="AB16">
            <v>-824</v>
          </cell>
        </row>
      </sheetData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45.523385300668153</v>
          </cell>
          <cell r="AF241">
            <v>70.860927152317871</v>
          </cell>
          <cell r="AG241">
            <v>82.176047694196043</v>
          </cell>
        </row>
        <row r="242">
          <cell r="AD242" t="str">
            <v xml:space="preserve">Male' </v>
          </cell>
          <cell r="AE242">
            <v>46.537495514890566</v>
          </cell>
          <cell r="AF242">
            <v>71.522556390977442</v>
          </cell>
          <cell r="AG242">
            <v>82.48571428571428</v>
          </cell>
        </row>
        <row r="243">
          <cell r="AD243" t="str">
            <v xml:space="preserve">Atoll </v>
          </cell>
          <cell r="AE243">
            <v>43.86376981796829</v>
          </cell>
          <cell r="AF243">
            <v>69.814126394052039</v>
          </cell>
          <cell r="AG243">
            <v>82.038957753604862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4892</v>
          </cell>
          <cell r="AF247">
            <v>2024</v>
          </cell>
          <cell r="AG247">
            <v>2033</v>
          </cell>
        </row>
        <row r="248">
          <cell r="AD248" t="str">
            <v xml:space="preserve">Male' </v>
          </cell>
          <cell r="AE248">
            <v>2980</v>
          </cell>
          <cell r="AF248">
            <v>1212</v>
          </cell>
          <cell r="AG248">
            <v>613</v>
          </cell>
        </row>
        <row r="249">
          <cell r="AD249" t="str">
            <v xml:space="preserve">Atoll </v>
          </cell>
          <cell r="AE249">
            <v>1912</v>
          </cell>
          <cell r="AF249">
            <v>812</v>
          </cell>
          <cell r="AG249">
            <v>1420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4088</v>
          </cell>
          <cell r="AF255">
            <v>4922</v>
          </cell>
          <cell r="AG255">
            <v>9373</v>
          </cell>
        </row>
        <row r="256">
          <cell r="AD256" t="str">
            <v xml:space="preserve">Male' </v>
          </cell>
          <cell r="AE256">
            <v>2594</v>
          </cell>
          <cell r="AF256">
            <v>3044</v>
          </cell>
          <cell r="AG256">
            <v>2887</v>
          </cell>
        </row>
        <row r="257">
          <cell r="AD257" t="str">
            <v xml:space="preserve">Atoll </v>
          </cell>
          <cell r="AE257">
            <v>1494</v>
          </cell>
          <cell r="AF257">
            <v>1878</v>
          </cell>
          <cell r="AG257">
            <v>6486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6637</v>
          </cell>
          <cell r="AF261">
            <v>3686</v>
          </cell>
          <cell r="AG261">
            <v>2951</v>
          </cell>
        </row>
        <row r="262">
          <cell r="AD262" t="str">
            <v>new cases filed</v>
          </cell>
          <cell r="AE262">
            <v>20695</v>
          </cell>
          <cell r="AF262">
            <v>9644</v>
          </cell>
          <cell r="AG262">
            <v>11051</v>
          </cell>
        </row>
        <row r="263">
          <cell r="AD263" t="str">
            <v>concluded</v>
          </cell>
          <cell r="AE263">
            <v>18383</v>
          </cell>
          <cell r="AF263">
            <v>8525</v>
          </cell>
          <cell r="AG263">
            <v>9858</v>
          </cell>
        </row>
        <row r="264">
          <cell r="AD264" t="str">
            <v>ending balance</v>
          </cell>
          <cell r="AE264">
            <v>8949</v>
          </cell>
          <cell r="AF264">
            <v>4805</v>
          </cell>
          <cell r="AG264">
            <v>4144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341</v>
          </cell>
          <cell r="AF271">
            <v>215</v>
          </cell>
        </row>
        <row r="272">
          <cell r="AD272" t="str">
            <v>HDh</v>
          </cell>
          <cell r="AE272">
            <v>670</v>
          </cell>
          <cell r="AF272">
            <v>204</v>
          </cell>
        </row>
        <row r="273">
          <cell r="AD273" t="str">
            <v>Sh</v>
          </cell>
          <cell r="AE273">
            <v>397</v>
          </cell>
          <cell r="AF273">
            <v>117</v>
          </cell>
        </row>
        <row r="274">
          <cell r="AD274" t="str">
            <v>N</v>
          </cell>
          <cell r="AE274">
            <v>487</v>
          </cell>
          <cell r="AF274">
            <v>266</v>
          </cell>
        </row>
        <row r="275">
          <cell r="AD275" t="str">
            <v>R</v>
          </cell>
          <cell r="AE275">
            <v>668</v>
          </cell>
          <cell r="AF275">
            <v>141</v>
          </cell>
        </row>
        <row r="276">
          <cell r="AD276" t="str">
            <v>B</v>
          </cell>
          <cell r="AE276">
            <v>333</v>
          </cell>
          <cell r="AF276">
            <v>99</v>
          </cell>
        </row>
        <row r="277">
          <cell r="AD277" t="str">
            <v>Lh</v>
          </cell>
          <cell r="AE277">
            <v>430</v>
          </cell>
          <cell r="AF277">
            <v>332</v>
          </cell>
        </row>
        <row r="278">
          <cell r="AD278" t="str">
            <v>K</v>
          </cell>
          <cell r="AE278">
            <v>650</v>
          </cell>
          <cell r="AF278">
            <v>93</v>
          </cell>
        </row>
        <row r="279">
          <cell r="AD279" t="str">
            <v>AA</v>
          </cell>
          <cell r="AE279">
            <v>356</v>
          </cell>
          <cell r="AF279">
            <v>165</v>
          </cell>
        </row>
        <row r="280">
          <cell r="AD280" t="str">
            <v>ADh</v>
          </cell>
          <cell r="AE280">
            <v>395</v>
          </cell>
          <cell r="AF280">
            <v>135</v>
          </cell>
        </row>
        <row r="281">
          <cell r="AD281" t="str">
            <v>V</v>
          </cell>
          <cell r="AE281">
            <v>75</v>
          </cell>
          <cell r="AF281">
            <v>22</v>
          </cell>
        </row>
        <row r="282">
          <cell r="AD282" t="str">
            <v>M</v>
          </cell>
          <cell r="AE282">
            <v>148</v>
          </cell>
          <cell r="AF282">
            <v>47</v>
          </cell>
        </row>
        <row r="283">
          <cell r="AD283" t="str">
            <v>F</v>
          </cell>
          <cell r="AE283">
            <v>245</v>
          </cell>
          <cell r="AF283">
            <v>58</v>
          </cell>
        </row>
        <row r="284">
          <cell r="AD284" t="str">
            <v>Dh</v>
          </cell>
          <cell r="AE284">
            <v>208</v>
          </cell>
          <cell r="AF284">
            <v>58</v>
          </cell>
        </row>
        <row r="285">
          <cell r="AD285" t="str">
            <v>Th</v>
          </cell>
          <cell r="AE285">
            <v>428</v>
          </cell>
          <cell r="AF285">
            <v>227</v>
          </cell>
        </row>
        <row r="286">
          <cell r="AD286" t="str">
            <v>L</v>
          </cell>
          <cell r="AE286">
            <v>904</v>
          </cell>
          <cell r="AF286">
            <v>354</v>
          </cell>
        </row>
        <row r="287">
          <cell r="AD287" t="str">
            <v>GA</v>
          </cell>
          <cell r="AE287">
            <v>707</v>
          </cell>
          <cell r="AF287">
            <v>355</v>
          </cell>
        </row>
        <row r="288">
          <cell r="AD288" t="str">
            <v>GDh</v>
          </cell>
          <cell r="AE288">
            <v>599</v>
          </cell>
          <cell r="AF288">
            <v>491</v>
          </cell>
        </row>
        <row r="289">
          <cell r="AD289" t="str">
            <v>Gn</v>
          </cell>
          <cell r="AE289">
            <v>543</v>
          </cell>
          <cell r="AF289">
            <v>292</v>
          </cell>
        </row>
        <row r="290">
          <cell r="AD290" t="str">
            <v>S</v>
          </cell>
          <cell r="AE290">
            <v>1274</v>
          </cell>
          <cell r="AF290">
            <v>473</v>
          </cell>
        </row>
        <row r="295">
          <cell r="AE295" t="str">
            <v>HA</v>
          </cell>
          <cell r="AF295">
            <v>61.330935251798557</v>
          </cell>
        </row>
        <row r="296">
          <cell r="AE296" t="str">
            <v>HDh</v>
          </cell>
          <cell r="AF296">
            <v>76.659038901601832</v>
          </cell>
        </row>
        <row r="297">
          <cell r="AE297" t="str">
            <v>Sh</v>
          </cell>
          <cell r="AF297">
            <v>77.237354085603116</v>
          </cell>
        </row>
        <row r="298">
          <cell r="AE298" t="str">
            <v>N</v>
          </cell>
          <cell r="AF298">
            <v>64.674634794156702</v>
          </cell>
        </row>
        <row r="299">
          <cell r="AE299" t="str">
            <v>R</v>
          </cell>
          <cell r="AF299">
            <v>82.571075401730525</v>
          </cell>
        </row>
        <row r="300">
          <cell r="AE300" t="str">
            <v>B</v>
          </cell>
          <cell r="AF300">
            <v>77.083333333333343</v>
          </cell>
        </row>
        <row r="301">
          <cell r="AE301" t="str">
            <v>Lh</v>
          </cell>
          <cell r="AF301">
            <v>56.430446194225723</v>
          </cell>
        </row>
        <row r="302">
          <cell r="AE302" t="str">
            <v>K</v>
          </cell>
          <cell r="AF302">
            <v>87.48317631224765</v>
          </cell>
        </row>
        <row r="303">
          <cell r="AE303" t="str">
            <v>AA</v>
          </cell>
          <cell r="AF303">
            <v>68.330134357005761</v>
          </cell>
        </row>
        <row r="304">
          <cell r="AE304" t="str">
            <v>ADh</v>
          </cell>
          <cell r="AF304">
            <v>74.528301886792448</v>
          </cell>
        </row>
        <row r="305">
          <cell r="AE305" t="str">
            <v>V</v>
          </cell>
          <cell r="AF305">
            <v>77.319587628865989</v>
          </cell>
        </row>
        <row r="306">
          <cell r="AE306" t="str">
            <v>M</v>
          </cell>
          <cell r="AF306">
            <v>75.897435897435898</v>
          </cell>
        </row>
        <row r="307">
          <cell r="AE307" t="str">
            <v>F</v>
          </cell>
          <cell r="AF307">
            <v>80.858085808580853</v>
          </cell>
        </row>
        <row r="308">
          <cell r="AE308" t="str">
            <v>Dh</v>
          </cell>
          <cell r="AF308">
            <v>78.195488721804509</v>
          </cell>
        </row>
        <row r="309">
          <cell r="AE309" t="str">
            <v>Th</v>
          </cell>
          <cell r="AF309">
            <v>65.343511450381669</v>
          </cell>
        </row>
        <row r="310">
          <cell r="AE310" t="str">
            <v>L</v>
          </cell>
          <cell r="AF310">
            <v>71.860095389507151</v>
          </cell>
        </row>
        <row r="311">
          <cell r="AE311" t="str">
            <v>GA</v>
          </cell>
          <cell r="AF311">
            <v>66.572504708097924</v>
          </cell>
        </row>
        <row r="312">
          <cell r="AE312" t="str">
            <v>GDh</v>
          </cell>
          <cell r="AF312">
            <v>54.954128440366965</v>
          </cell>
        </row>
        <row r="313">
          <cell r="AE313" t="str">
            <v>Gn</v>
          </cell>
          <cell r="AF313">
            <v>65.029940119760482</v>
          </cell>
        </row>
        <row r="314">
          <cell r="AE314" t="str">
            <v>S</v>
          </cell>
          <cell r="AF314">
            <v>72.925014310246141</v>
          </cell>
        </row>
      </sheetData>
      <sheetData sheetId="3"/>
      <sheetData sheetId="4"/>
      <sheetData sheetId="5"/>
      <sheetData sheetId="6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  <row r="14">
          <cell r="Y14">
            <v>2010</v>
          </cell>
          <cell r="Z14">
            <v>2011</v>
          </cell>
          <cell r="AA14">
            <v>2012</v>
          </cell>
          <cell r="AB14">
            <v>2013</v>
          </cell>
          <cell r="AC14">
            <v>2014</v>
          </cell>
          <cell r="AD14">
            <v>2015</v>
          </cell>
          <cell r="AE14">
            <v>2016</v>
          </cell>
        </row>
        <row r="17">
          <cell r="Y17">
            <v>1.9801980198019802</v>
          </cell>
          <cell r="Z17">
            <v>2.5380710659898478</v>
          </cell>
          <cell r="AA17">
            <v>3.0487804878048781</v>
          </cell>
          <cell r="AB17">
            <v>4.8648648648648649</v>
          </cell>
          <cell r="AC17">
            <v>4.395604395604396</v>
          </cell>
          <cell r="AD17">
            <v>3.8251366120218582</v>
          </cell>
          <cell r="AE17">
            <v>2.8089887640449436</v>
          </cell>
        </row>
      </sheetData>
      <sheetData sheetId="7">
        <row r="4">
          <cell r="R4" t="str">
            <v xml:space="preserve">Male </v>
          </cell>
          <cell r="S4" t="str">
            <v>Female</v>
          </cell>
        </row>
        <row r="7">
          <cell r="R7">
            <v>0</v>
          </cell>
          <cell r="S7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4"/>
      <sheetName val="8.25"/>
      <sheetName val="8.26"/>
      <sheetName val="Cases by Type 2017"/>
    </sheetNames>
    <sheetDataSet>
      <sheetData sheetId="0"/>
      <sheetData sheetId="1"/>
      <sheetData sheetId="2">
        <row r="30">
          <cell r="T30">
            <v>2011</v>
          </cell>
          <cell r="U30">
            <v>2012</v>
          </cell>
          <cell r="V30">
            <v>2013</v>
          </cell>
          <cell r="W30">
            <v>2014</v>
          </cell>
          <cell r="X30">
            <v>2015</v>
          </cell>
          <cell r="Y30">
            <v>2016</v>
          </cell>
          <cell r="Z30">
            <v>2017</v>
          </cell>
        </row>
        <row r="31">
          <cell r="S31" t="str">
            <v>Completion rate</v>
          </cell>
          <cell r="T31">
            <v>86.812804453723032</v>
          </cell>
          <cell r="U31">
            <v>61.540749553837003</v>
          </cell>
          <cell r="V31">
            <v>70.99408617290905</v>
          </cell>
          <cell r="W31">
            <v>70.70082449941107</v>
          </cell>
          <cell r="X31">
            <v>70.769571967176759</v>
          </cell>
          <cell r="Y31">
            <v>96.101645971700833</v>
          </cell>
          <cell r="Z31">
            <v>98.131868131868131</v>
          </cell>
        </row>
        <row r="32">
          <cell r="S32" t="str">
            <v>Submission rate to courts</v>
          </cell>
          <cell r="T32">
            <v>64.370215727209469</v>
          </cell>
          <cell r="U32">
            <v>42.504461629982153</v>
          </cell>
          <cell r="V32">
            <v>51.281329203041395</v>
          </cell>
          <cell r="W32">
            <v>44.081272084805654</v>
          </cell>
          <cell r="X32">
            <v>40.607673541805276</v>
          </cell>
          <cell r="Y32">
            <v>97.458850707479058</v>
          </cell>
          <cell r="Z32">
            <v>118.05860805860806</v>
          </cell>
        </row>
        <row r="34">
          <cell r="T34">
            <v>2011</v>
          </cell>
          <cell r="U34">
            <v>2012</v>
          </cell>
          <cell r="V34">
            <v>2013</v>
          </cell>
          <cell r="W34">
            <v>2014</v>
          </cell>
          <cell r="X34">
            <v>2015</v>
          </cell>
          <cell r="Y34">
            <v>2016</v>
          </cell>
          <cell r="Z34">
            <v>2017</v>
          </cell>
        </row>
        <row r="35">
          <cell r="S35" t="str">
            <v xml:space="preserve">Completed </v>
          </cell>
          <cell r="T35">
            <v>2495</v>
          </cell>
          <cell r="U35">
            <v>2069</v>
          </cell>
          <cell r="V35">
            <v>2521</v>
          </cell>
          <cell r="W35">
            <v>2401</v>
          </cell>
          <cell r="X35">
            <v>3191</v>
          </cell>
          <cell r="Y35">
            <v>3328</v>
          </cell>
          <cell r="Z35">
            <v>2679</v>
          </cell>
        </row>
        <row r="36">
          <cell r="S36" t="str">
            <v>Submitted to court</v>
          </cell>
          <cell r="T36">
            <v>1850</v>
          </cell>
          <cell r="U36">
            <v>1429</v>
          </cell>
          <cell r="V36">
            <v>1821</v>
          </cell>
          <cell r="W36">
            <v>1497</v>
          </cell>
          <cell r="X36">
            <v>1831</v>
          </cell>
          <cell r="Y36">
            <v>3375</v>
          </cell>
          <cell r="Z36">
            <v>3223</v>
          </cell>
        </row>
        <row r="37">
          <cell r="S37" t="str">
            <v xml:space="preserve">Not sent to court </v>
          </cell>
          <cell r="T37">
            <v>379</v>
          </cell>
          <cell r="U37">
            <v>1293</v>
          </cell>
          <cell r="V37">
            <v>1030</v>
          </cell>
          <cell r="W37">
            <v>995</v>
          </cell>
          <cell r="X37">
            <v>1318</v>
          </cell>
          <cell r="Y37">
            <v>135</v>
          </cell>
          <cell r="Z37">
            <v>51</v>
          </cell>
        </row>
      </sheetData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  <row r="14">
          <cell r="Y14">
            <v>2010</v>
          </cell>
          <cell r="Z14">
            <v>2011</v>
          </cell>
          <cell r="AA14">
            <v>2012</v>
          </cell>
          <cell r="AB14">
            <v>2013</v>
          </cell>
          <cell r="AC14">
            <v>2014</v>
          </cell>
          <cell r="AD14">
            <v>2015</v>
          </cell>
          <cell r="AE14">
            <v>2016</v>
          </cell>
        </row>
        <row r="17">
          <cell r="Y17">
            <v>1.9801980198019802</v>
          </cell>
          <cell r="Z17">
            <v>2.5380710659898478</v>
          </cell>
          <cell r="AA17">
            <v>3.0487804878048781</v>
          </cell>
          <cell r="AB17">
            <v>4.8648648648648649</v>
          </cell>
          <cell r="AC17">
            <v>4.395604395604396</v>
          </cell>
          <cell r="AD17">
            <v>3.8251366120218582</v>
          </cell>
          <cell r="AE17">
            <v>2.8089887640449436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0"/>
      <sheetName val="8.31"/>
      <sheetName val="8.32"/>
      <sheetName val="8.33"/>
      <sheetName val="8.34"/>
      <sheetName val="8.35"/>
      <sheetName val="8.36"/>
    </sheetNames>
    <sheetDataSet>
      <sheetData sheetId="0"/>
      <sheetData sheetId="1">
        <row r="5">
          <cell r="B5">
            <v>2010</v>
          </cell>
          <cell r="C5">
            <v>2011</v>
          </cell>
          <cell r="D5">
            <v>2012</v>
          </cell>
          <cell r="E5">
            <v>2013</v>
          </cell>
          <cell r="F5">
            <v>2014</v>
          </cell>
          <cell r="G5">
            <v>2015</v>
          </cell>
          <cell r="H5">
            <v>2016</v>
          </cell>
        </row>
        <row r="7">
          <cell r="A7" t="str">
            <v>Male'</v>
          </cell>
          <cell r="B7">
            <v>437</v>
          </cell>
          <cell r="C7">
            <v>356</v>
          </cell>
          <cell r="D7">
            <v>512</v>
          </cell>
          <cell r="E7">
            <v>646</v>
          </cell>
          <cell r="F7">
            <v>520</v>
          </cell>
          <cell r="G7">
            <v>301</v>
          </cell>
          <cell r="H7">
            <v>357</v>
          </cell>
        </row>
        <row r="8">
          <cell r="A8" t="str">
            <v>Atolls</v>
          </cell>
          <cell r="B8">
            <v>495</v>
          </cell>
          <cell r="C8">
            <v>646</v>
          </cell>
          <cell r="D8">
            <v>782</v>
          </cell>
          <cell r="E8">
            <v>672</v>
          </cell>
          <cell r="F8">
            <v>412</v>
          </cell>
          <cell r="G8">
            <v>532</v>
          </cell>
          <cell r="H8">
            <v>601</v>
          </cell>
          <cell r="W8" t="str">
            <v>Male'</v>
          </cell>
          <cell r="X8">
            <v>37.265135699373694</v>
          </cell>
        </row>
        <row r="9">
          <cell r="W9" t="str">
            <v>Atolls</v>
          </cell>
          <cell r="X9">
            <v>62.734864300626306</v>
          </cell>
        </row>
      </sheetData>
      <sheetData sheetId="2"/>
      <sheetData sheetId="3"/>
      <sheetData sheetId="4">
        <row r="19">
          <cell r="J19" t="str">
            <v xml:space="preserve">މަޢުލޫމާތު ދެއްވި ފަރާތް: އެންޓި ކޮރަޕްޝަން ކޮމިޝަން </v>
          </cell>
        </row>
      </sheetData>
      <sheetData sheetId="5"/>
      <sheetData sheetId="6"/>
      <sheetData sheetId="7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829</v>
          </cell>
        </row>
        <row r="13">
          <cell r="A13">
            <v>2017</v>
          </cell>
          <cell r="B13">
            <v>1326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42"/>
      <sheetName val="8.43"/>
    </sheetNames>
    <sheetDataSet>
      <sheetData sheetId="0"/>
      <sheetData sheetId="1">
        <row r="6">
          <cell r="I6" t="str">
            <v>Male</v>
          </cell>
          <cell r="M6" t="str">
            <v>Female</v>
          </cell>
        </row>
        <row r="7">
          <cell r="L7">
            <v>1058</v>
          </cell>
        </row>
        <row r="8">
          <cell r="A8" t="str">
            <v>Under 15</v>
          </cell>
          <cell r="L8">
            <v>0</v>
          </cell>
          <cell r="M8">
            <v>0</v>
          </cell>
        </row>
        <row r="9">
          <cell r="A9" t="str">
            <v>15 - 19</v>
          </cell>
          <cell r="L9">
            <v>73</v>
          </cell>
          <cell r="M9">
            <v>4</v>
          </cell>
        </row>
        <row r="10">
          <cell r="A10" t="str">
            <v>20 - 24</v>
          </cell>
          <cell r="L10">
            <v>205</v>
          </cell>
          <cell r="M10">
            <v>16</v>
          </cell>
        </row>
        <row r="11">
          <cell r="A11" t="str">
            <v>25 - 29</v>
          </cell>
          <cell r="L11">
            <v>260</v>
          </cell>
          <cell r="M11">
            <v>19</v>
          </cell>
        </row>
        <row r="12">
          <cell r="A12" t="str">
            <v>30 - 34</v>
          </cell>
          <cell r="L12">
            <v>209</v>
          </cell>
          <cell r="M12">
            <v>5</v>
          </cell>
        </row>
        <row r="13">
          <cell r="A13" t="str">
            <v>35 - 39</v>
          </cell>
          <cell r="L13">
            <v>146</v>
          </cell>
          <cell r="M13">
            <v>13</v>
          </cell>
        </row>
        <row r="14">
          <cell r="A14" t="str">
            <v>40 - 49</v>
          </cell>
          <cell r="L14">
            <v>108</v>
          </cell>
          <cell r="M14">
            <v>4</v>
          </cell>
          <cell r="X14" t="str">
            <v>Both sexes</v>
          </cell>
          <cell r="Y14" t="str">
            <v>Male</v>
          </cell>
          <cell r="Z14" t="str">
            <v>Female</v>
          </cell>
        </row>
        <row r="15">
          <cell r="A15" t="str">
            <v>50 &amp; Over</v>
          </cell>
          <cell r="M15">
            <v>5</v>
          </cell>
          <cell r="W15">
            <v>2014</v>
          </cell>
          <cell r="X15">
            <v>401</v>
          </cell>
          <cell r="Y15">
            <v>342</v>
          </cell>
          <cell r="Z15">
            <v>59</v>
          </cell>
        </row>
        <row r="16">
          <cell r="W16">
            <v>2015</v>
          </cell>
          <cell r="X16">
            <v>358</v>
          </cell>
          <cell r="Y16">
            <v>302</v>
          </cell>
          <cell r="Z16">
            <v>56</v>
          </cell>
        </row>
        <row r="17">
          <cell r="W17">
            <v>2016</v>
          </cell>
          <cell r="X17">
            <v>828</v>
          </cell>
          <cell r="Y17">
            <v>752</v>
          </cell>
          <cell r="Z17">
            <v>76</v>
          </cell>
        </row>
        <row r="18">
          <cell r="W18">
            <v>2017</v>
          </cell>
          <cell r="X18">
            <v>1124</v>
          </cell>
          <cell r="Y18">
            <v>1058</v>
          </cell>
          <cell r="Z18">
            <v>66</v>
          </cell>
        </row>
      </sheetData>
      <sheetData sheetId="2">
        <row r="34">
          <cell r="AF34" t="str">
            <v>Jailed</v>
          </cell>
          <cell r="AG34" t="str">
            <v>Banished</v>
          </cell>
          <cell r="AH34" t="str">
            <v>House Arrest/Detention</v>
          </cell>
        </row>
        <row r="35">
          <cell r="AE35">
            <v>2014</v>
          </cell>
          <cell r="AF35">
            <v>278</v>
          </cell>
          <cell r="AG35">
            <v>24</v>
          </cell>
          <cell r="AH35">
            <v>99</v>
          </cell>
        </row>
        <row r="36">
          <cell r="AE36">
            <v>2015</v>
          </cell>
          <cell r="AF36">
            <v>257</v>
          </cell>
          <cell r="AG36">
            <v>8</v>
          </cell>
          <cell r="AH36">
            <v>93</v>
          </cell>
        </row>
        <row r="37">
          <cell r="AE37">
            <v>2016</v>
          </cell>
          <cell r="AF37">
            <v>742</v>
          </cell>
          <cell r="AG37">
            <v>5</v>
          </cell>
          <cell r="AH37">
            <v>81</v>
          </cell>
        </row>
        <row r="38">
          <cell r="AE38">
            <v>2017</v>
          </cell>
          <cell r="AF38">
            <v>893</v>
          </cell>
          <cell r="AG38">
            <v>2</v>
          </cell>
          <cell r="AH38">
            <v>229</v>
          </cell>
        </row>
        <row r="45">
          <cell r="AF45" t="str">
            <v>Male</v>
          </cell>
          <cell r="AG45" t="str">
            <v>Female</v>
          </cell>
        </row>
        <row r="46">
          <cell r="AF46">
            <v>52</v>
          </cell>
          <cell r="AG46">
            <v>27</v>
          </cell>
        </row>
        <row r="47">
          <cell r="AF47">
            <v>37</v>
          </cell>
          <cell r="AG47">
            <v>23</v>
          </cell>
        </row>
        <row r="48">
          <cell r="AF48">
            <v>144</v>
          </cell>
          <cell r="AG48">
            <v>18</v>
          </cell>
        </row>
        <row r="49">
          <cell r="AF49">
            <v>185</v>
          </cell>
          <cell r="AG49">
            <v>3</v>
          </cell>
        </row>
        <row r="50">
          <cell r="AF50">
            <v>98</v>
          </cell>
          <cell r="AG50">
            <v>2</v>
          </cell>
        </row>
        <row r="51">
          <cell r="AF51">
            <v>236</v>
          </cell>
          <cell r="AG51">
            <v>3</v>
          </cell>
        </row>
        <row r="59">
          <cell r="AF59">
            <v>2014</v>
          </cell>
          <cell r="AG59">
            <v>2015</v>
          </cell>
          <cell r="AH59">
            <v>2016</v>
          </cell>
          <cell r="AI59">
            <v>2017</v>
          </cell>
        </row>
        <row r="60">
          <cell r="AE60" t="str">
            <v>Less than 1 year</v>
          </cell>
          <cell r="AF60">
            <v>93</v>
          </cell>
          <cell r="AG60">
            <v>92</v>
          </cell>
          <cell r="AH60">
            <v>79</v>
          </cell>
          <cell r="AI60">
            <v>750</v>
          </cell>
        </row>
        <row r="61">
          <cell r="AE61" t="str">
            <v>1 - 2 years</v>
          </cell>
          <cell r="AF61">
            <v>98</v>
          </cell>
          <cell r="AG61">
            <v>51</v>
          </cell>
          <cell r="AH61">
            <v>60</v>
          </cell>
          <cell r="AI61">
            <v>117</v>
          </cell>
        </row>
        <row r="62">
          <cell r="AE62" t="str">
            <v>2 - 3 years</v>
          </cell>
          <cell r="AF62">
            <v>94</v>
          </cell>
          <cell r="AG62">
            <v>66</v>
          </cell>
          <cell r="AH62">
            <v>162</v>
          </cell>
          <cell r="AI62">
            <v>22</v>
          </cell>
        </row>
        <row r="63">
          <cell r="AE63" t="str">
            <v>3 - 4 years</v>
          </cell>
          <cell r="AF63">
            <v>25</v>
          </cell>
          <cell r="AG63">
            <v>87</v>
          </cell>
          <cell r="AH63">
            <v>188</v>
          </cell>
          <cell r="AI63">
            <v>150</v>
          </cell>
        </row>
        <row r="64">
          <cell r="AE64" t="str">
            <v>4 - 5 years</v>
          </cell>
          <cell r="AF64">
            <v>56</v>
          </cell>
          <cell r="AG64">
            <v>47</v>
          </cell>
          <cell r="AH64">
            <v>100</v>
          </cell>
          <cell r="AI64">
            <v>4</v>
          </cell>
        </row>
        <row r="65">
          <cell r="AE65" t="str">
            <v>5 years &amp; Over</v>
          </cell>
          <cell r="AF65">
            <v>34</v>
          </cell>
          <cell r="AG65">
            <v>15</v>
          </cell>
          <cell r="AH65">
            <v>239</v>
          </cell>
          <cell r="AI65">
            <v>81</v>
          </cell>
        </row>
        <row r="69">
          <cell r="AE69" t="str">
            <v>Less than 1 year</v>
          </cell>
          <cell r="AF69">
            <v>79</v>
          </cell>
        </row>
        <row r="70">
          <cell r="AE70" t="str">
            <v>1 - 2 years</v>
          </cell>
          <cell r="AF70">
            <v>60</v>
          </cell>
        </row>
        <row r="71">
          <cell r="AE71" t="str">
            <v>2 - 3 years</v>
          </cell>
          <cell r="AF71">
            <v>162</v>
          </cell>
        </row>
        <row r="72">
          <cell r="AE72" t="str">
            <v>3 - 4 years</v>
          </cell>
          <cell r="AF72">
            <v>188</v>
          </cell>
        </row>
        <row r="73">
          <cell r="AE73" t="str">
            <v>4 - 5 years</v>
          </cell>
          <cell r="AF73">
            <v>100</v>
          </cell>
        </row>
        <row r="74">
          <cell r="AE74" t="str">
            <v>5 years &amp; Over</v>
          </cell>
          <cell r="AF74">
            <v>239</v>
          </cell>
        </row>
        <row r="79">
          <cell r="AF79" t="str">
            <v>Jailed</v>
          </cell>
          <cell r="AG79" t="str">
            <v>Banished</v>
          </cell>
          <cell r="AH79" t="str">
            <v>House Arrest/Detention</v>
          </cell>
        </row>
        <row r="80">
          <cell r="AF80">
            <v>742</v>
          </cell>
          <cell r="AG80">
            <v>5</v>
          </cell>
          <cell r="AH80">
            <v>81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17"/>
  <sheetViews>
    <sheetView tabSelected="1" view="pageBreakPreview" zoomScale="130" zoomScaleNormal="98" zoomScaleSheetLayoutView="130" workbookViewId="0">
      <selection activeCell="K24" sqref="K24"/>
    </sheetView>
  </sheetViews>
  <sheetFormatPr defaultColWidth="9.140625" defaultRowHeight="15"/>
  <cols>
    <col min="1" max="1" width="26.140625" style="66" customWidth="1"/>
    <col min="2" max="8" width="9.140625" style="66"/>
    <col min="9" max="9" width="19.7109375" style="66" customWidth="1"/>
    <col min="10" max="17" width="24.85546875" style="66" customWidth="1"/>
    <col min="18" max="18" width="25.7109375" style="66" customWidth="1"/>
    <col min="19" max="16384" width="9.140625" style="66"/>
  </cols>
  <sheetData>
    <row r="1" spans="1:20" ht="21">
      <c r="A1" s="75" t="s">
        <v>82</v>
      </c>
      <c r="B1" s="75"/>
      <c r="C1" s="75"/>
      <c r="D1" s="75"/>
      <c r="E1" s="75"/>
      <c r="F1" s="75"/>
      <c r="G1" s="75"/>
      <c r="H1" s="75"/>
      <c r="I1" s="75"/>
      <c r="J1" s="75"/>
      <c r="K1" s="61"/>
      <c r="L1" s="61"/>
      <c r="M1" s="61"/>
      <c r="N1" s="61"/>
      <c r="O1" s="61"/>
      <c r="P1" s="61"/>
      <c r="Q1" s="61"/>
    </row>
    <row r="2" spans="1:20">
      <c r="A2" s="76" t="s">
        <v>83</v>
      </c>
      <c r="B2" s="76"/>
      <c r="C2" s="76"/>
      <c r="D2" s="76"/>
      <c r="E2" s="76"/>
      <c r="F2" s="76"/>
      <c r="G2" s="76"/>
      <c r="H2" s="76"/>
      <c r="I2" s="76"/>
      <c r="J2" s="76"/>
      <c r="K2" s="62"/>
      <c r="L2" s="62"/>
      <c r="M2" s="62"/>
      <c r="N2" s="62"/>
      <c r="O2" s="62"/>
      <c r="P2" s="62"/>
      <c r="Q2" s="62"/>
    </row>
    <row r="3" spans="1:20" ht="31.9" customHeight="1">
      <c r="A3" s="77" t="s">
        <v>45</v>
      </c>
      <c r="B3" s="79">
        <v>2011</v>
      </c>
      <c r="C3" s="79">
        <v>2012</v>
      </c>
      <c r="D3" s="79">
        <v>2013</v>
      </c>
      <c r="E3" s="79">
        <v>2014</v>
      </c>
      <c r="F3" s="79">
        <v>2015</v>
      </c>
      <c r="G3" s="79">
        <v>2016</v>
      </c>
      <c r="H3" s="79">
        <v>2017</v>
      </c>
      <c r="I3" s="43" t="s">
        <v>69</v>
      </c>
      <c r="J3" s="81" t="s">
        <v>68</v>
      </c>
      <c r="K3" s="63"/>
      <c r="L3" s="63"/>
      <c r="M3" s="63"/>
      <c r="N3" s="63"/>
      <c r="O3" s="63"/>
      <c r="P3" s="63"/>
      <c r="Q3" s="63"/>
    </row>
    <row r="4" spans="1:20" ht="12" customHeight="1">
      <c r="A4" s="78"/>
      <c r="B4" s="80"/>
      <c r="C4" s="80"/>
      <c r="D4" s="80"/>
      <c r="E4" s="80"/>
      <c r="F4" s="80"/>
      <c r="G4" s="80"/>
      <c r="H4" s="80"/>
      <c r="I4" s="44" t="s">
        <v>81</v>
      </c>
      <c r="J4" s="82"/>
      <c r="K4" s="64"/>
      <c r="L4" s="64"/>
      <c r="M4" s="64"/>
      <c r="N4" s="64"/>
      <c r="O4" s="64"/>
      <c r="P4" s="64"/>
      <c r="Q4" s="64"/>
    </row>
    <row r="5" spans="1:20" s="48" customFormat="1" ht="23.25" customHeight="1">
      <c r="A5" s="45" t="s">
        <v>0</v>
      </c>
      <c r="B5" s="46">
        <f>SUM(B6:B11)</f>
        <v>171</v>
      </c>
      <c r="C5" s="46">
        <f t="shared" ref="C5:F5" si="0">SUM(C6:C11)</f>
        <v>190</v>
      </c>
      <c r="D5" s="46">
        <f t="shared" si="0"/>
        <v>183</v>
      </c>
      <c r="E5" s="46">
        <f t="shared" si="0"/>
        <v>174</v>
      </c>
      <c r="F5" s="46">
        <f t="shared" si="0"/>
        <v>172</v>
      </c>
      <c r="G5" s="46">
        <f>SUM(G6:G11)</f>
        <v>154</v>
      </c>
      <c r="H5" s="46">
        <f>SUM(H6:H11)</f>
        <v>174</v>
      </c>
      <c r="I5" s="72">
        <f t="shared" ref="I5:I11" si="1">((H5-G5)/G5)*100</f>
        <v>12.987012987012985</v>
      </c>
      <c r="J5" s="47" t="s">
        <v>3</v>
      </c>
      <c r="K5" s="47"/>
      <c r="L5" s="47"/>
      <c r="M5" s="47"/>
      <c r="N5" s="47"/>
      <c r="O5" s="47"/>
      <c r="P5" s="47"/>
      <c r="Q5" s="47"/>
      <c r="S5" s="40"/>
    </row>
    <row r="6" spans="1:20" s="40" customFormat="1" ht="23.25" customHeight="1">
      <c r="A6" s="58" t="s">
        <v>70</v>
      </c>
      <c r="B6" s="50">
        <v>3</v>
      </c>
      <c r="C6" s="50">
        <v>10</v>
      </c>
      <c r="D6" s="49">
        <v>3</v>
      </c>
      <c r="E6" s="38">
        <v>3</v>
      </c>
      <c r="F6" s="38">
        <v>11</v>
      </c>
      <c r="G6" s="38">
        <v>5</v>
      </c>
      <c r="H6" s="38">
        <v>9</v>
      </c>
      <c r="I6" s="73">
        <f t="shared" si="1"/>
        <v>80</v>
      </c>
      <c r="J6" s="67" t="s">
        <v>71</v>
      </c>
      <c r="K6" s="52"/>
      <c r="L6" s="52"/>
      <c r="M6" s="52"/>
      <c r="N6" s="52"/>
      <c r="O6" s="52"/>
      <c r="P6" s="52"/>
      <c r="Q6" s="52"/>
      <c r="S6" s="58" t="s">
        <v>70</v>
      </c>
      <c r="T6" s="60">
        <f>(H6/$H$5)*100</f>
        <v>5.1724137931034484</v>
      </c>
    </row>
    <row r="7" spans="1:20" s="40" customFormat="1" ht="23.25" customHeight="1">
      <c r="A7" s="58" t="s">
        <v>72</v>
      </c>
      <c r="B7" s="50">
        <v>13</v>
      </c>
      <c r="C7" s="50">
        <v>8</v>
      </c>
      <c r="D7" s="49">
        <v>19</v>
      </c>
      <c r="E7" s="38">
        <v>12</v>
      </c>
      <c r="F7" s="38">
        <v>15</v>
      </c>
      <c r="G7" s="38">
        <v>17</v>
      </c>
      <c r="H7" s="38">
        <v>17</v>
      </c>
      <c r="I7" s="73">
        <f t="shared" si="1"/>
        <v>0</v>
      </c>
      <c r="J7" s="67" t="s">
        <v>73</v>
      </c>
      <c r="K7" s="52"/>
      <c r="L7" s="52"/>
      <c r="M7" s="52"/>
      <c r="N7" s="52"/>
      <c r="O7" s="52"/>
      <c r="P7" s="52"/>
      <c r="Q7" s="52"/>
      <c r="S7" s="58" t="s">
        <v>72</v>
      </c>
      <c r="T7" s="60">
        <f t="shared" ref="T7:T11" si="2">(H7/$H$5)*100</f>
        <v>9.7701149425287355</v>
      </c>
    </row>
    <row r="8" spans="1:20" s="40" customFormat="1" ht="23.25" customHeight="1">
      <c r="A8" s="58" t="s">
        <v>74</v>
      </c>
      <c r="B8" s="50">
        <v>13</v>
      </c>
      <c r="C8" s="50">
        <v>12</v>
      </c>
      <c r="D8" s="49">
        <v>15</v>
      </c>
      <c r="E8" s="38">
        <v>14</v>
      </c>
      <c r="F8" s="38">
        <v>11</v>
      </c>
      <c r="G8" s="38">
        <v>16</v>
      </c>
      <c r="H8" s="38">
        <v>19</v>
      </c>
      <c r="I8" s="73">
        <f t="shared" si="1"/>
        <v>18.75</v>
      </c>
      <c r="J8" s="67" t="s">
        <v>75</v>
      </c>
      <c r="K8" s="52"/>
      <c r="L8" s="52"/>
      <c r="M8" s="52"/>
      <c r="N8" s="52"/>
      <c r="O8" s="52"/>
      <c r="P8" s="52"/>
      <c r="Q8" s="52"/>
      <c r="S8" s="58" t="s">
        <v>74</v>
      </c>
      <c r="T8" s="60">
        <f t="shared" si="2"/>
        <v>10.919540229885058</v>
      </c>
    </row>
    <row r="9" spans="1:20" s="40" customFormat="1" ht="23.25" customHeight="1">
      <c r="A9" s="58" t="s">
        <v>44</v>
      </c>
      <c r="B9" s="50">
        <v>7</v>
      </c>
      <c r="C9" s="50">
        <v>5</v>
      </c>
      <c r="D9" s="49">
        <v>2</v>
      </c>
      <c r="E9" s="38">
        <v>10</v>
      </c>
      <c r="F9" s="38">
        <v>12</v>
      </c>
      <c r="G9" s="38">
        <v>4</v>
      </c>
      <c r="H9" s="38">
        <v>9</v>
      </c>
      <c r="I9" s="73">
        <f t="shared" si="1"/>
        <v>125</v>
      </c>
      <c r="J9" s="67" t="s">
        <v>76</v>
      </c>
      <c r="K9" s="52"/>
      <c r="L9" s="52"/>
      <c r="M9" s="52"/>
      <c r="N9" s="52"/>
      <c r="O9" s="52"/>
      <c r="P9" s="52"/>
      <c r="Q9" s="52"/>
      <c r="S9" s="58" t="s">
        <v>44</v>
      </c>
      <c r="T9" s="60">
        <f t="shared" si="2"/>
        <v>5.1724137931034484</v>
      </c>
    </row>
    <row r="10" spans="1:20" s="40" customFormat="1" ht="23.25" customHeight="1">
      <c r="A10" s="58" t="s">
        <v>77</v>
      </c>
      <c r="B10" s="50">
        <v>8</v>
      </c>
      <c r="C10" s="50">
        <v>30</v>
      </c>
      <c r="D10" s="49">
        <v>15</v>
      </c>
      <c r="E10" s="38">
        <v>13</v>
      </c>
      <c r="F10" s="38">
        <v>18</v>
      </c>
      <c r="G10" s="38">
        <v>12</v>
      </c>
      <c r="H10" s="38">
        <v>12</v>
      </c>
      <c r="I10" s="73">
        <f t="shared" si="1"/>
        <v>0</v>
      </c>
      <c r="J10" s="67" t="s">
        <v>78</v>
      </c>
      <c r="K10" s="52"/>
      <c r="L10" s="52"/>
      <c r="M10" s="52"/>
      <c r="N10" s="52"/>
      <c r="O10" s="52"/>
      <c r="P10" s="52"/>
      <c r="Q10" s="52"/>
      <c r="S10" s="58" t="s">
        <v>77</v>
      </c>
      <c r="T10" s="60">
        <f t="shared" si="2"/>
        <v>6.8965517241379306</v>
      </c>
    </row>
    <row r="11" spans="1:20" s="55" customFormat="1" ht="23.25" customHeight="1">
      <c r="A11" s="59" t="s">
        <v>79</v>
      </c>
      <c r="B11" s="53">
        <v>127</v>
      </c>
      <c r="C11" s="53">
        <v>125</v>
      </c>
      <c r="D11" s="54">
        <v>129</v>
      </c>
      <c r="E11" s="39">
        <v>122</v>
      </c>
      <c r="F11" s="39">
        <v>105</v>
      </c>
      <c r="G11" s="39">
        <v>100</v>
      </c>
      <c r="H11" s="39">
        <v>108</v>
      </c>
      <c r="I11" s="74">
        <f t="shared" si="1"/>
        <v>8</v>
      </c>
      <c r="J11" s="68" t="s">
        <v>80</v>
      </c>
      <c r="K11" s="52"/>
      <c r="L11" s="52"/>
      <c r="M11" s="52"/>
      <c r="N11" s="52"/>
      <c r="O11" s="52"/>
      <c r="P11" s="52"/>
      <c r="Q11" s="52"/>
      <c r="S11" s="59" t="s">
        <v>79</v>
      </c>
      <c r="T11" s="60">
        <f t="shared" si="2"/>
        <v>62.068965517241381</v>
      </c>
    </row>
    <row r="12" spans="1:20" s="55" customFormat="1" ht="15" customHeight="1">
      <c r="A12" s="69" t="s">
        <v>84</v>
      </c>
      <c r="C12" s="50"/>
      <c r="D12" s="71"/>
      <c r="E12" s="38"/>
      <c r="F12" s="38"/>
      <c r="G12" s="38"/>
      <c r="H12" s="38"/>
      <c r="I12" s="51"/>
      <c r="J12" s="70" t="s">
        <v>85</v>
      </c>
      <c r="K12" s="52"/>
      <c r="L12" s="52"/>
      <c r="M12" s="52"/>
      <c r="N12" s="52"/>
      <c r="O12" s="52"/>
      <c r="P12" s="52"/>
      <c r="Q12" s="52"/>
      <c r="S12" s="58"/>
      <c r="T12" s="60"/>
    </row>
    <row r="13" spans="1:20" ht="13.5" customHeight="1">
      <c r="A13" s="41" t="s">
        <v>2</v>
      </c>
      <c r="B13" s="42"/>
      <c r="C13" s="42"/>
      <c r="D13" s="42"/>
      <c r="E13" s="42"/>
      <c r="F13" s="42"/>
      <c r="G13" s="42"/>
      <c r="H13" s="42"/>
      <c r="I13" s="42"/>
      <c r="J13" s="56" t="s">
        <v>5</v>
      </c>
      <c r="K13" s="65"/>
      <c r="L13" s="65"/>
      <c r="M13" s="65"/>
      <c r="N13" s="65"/>
      <c r="O13" s="65"/>
      <c r="P13" s="65"/>
      <c r="Q13" s="65"/>
    </row>
    <row r="17" spans="2:2">
      <c r="B17" s="57"/>
    </row>
  </sheetData>
  <mergeCells count="11">
    <mergeCell ref="A1:J1"/>
    <mergeCell ref="A2:J2"/>
    <mergeCell ref="A3:A4"/>
    <mergeCell ref="B3:B4"/>
    <mergeCell ref="C3:C4"/>
    <mergeCell ref="J3:J4"/>
    <mergeCell ref="D3:D4"/>
    <mergeCell ref="E3:E4"/>
    <mergeCell ref="F3:F4"/>
    <mergeCell ref="G3:G4"/>
    <mergeCell ref="H3:H4"/>
  </mergeCells>
  <pageMargins left="0.3" right="0.17" top="0.75" bottom="0.75" header="0.3" footer="0.3"/>
  <pageSetup paperSize="9" scale="88" orientation="landscape" horizontalDpi="4294967295" verticalDpi="4294967295" r:id="rId1"/>
  <rowBreaks count="1" manualBreakCount="1">
    <brk id="33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86" t="s">
        <v>53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</row>
    <row r="2" spans="1:36">
      <c r="A2" s="83" t="s">
        <v>46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</row>
    <row r="3" spans="1:36" ht="15" customHeight="1">
      <c r="A3" s="84"/>
      <c r="B3" s="84"/>
      <c r="C3" s="87" t="s">
        <v>40</v>
      </c>
      <c r="D3" s="87"/>
      <c r="E3" s="87"/>
      <c r="F3" s="87"/>
      <c r="G3" s="87"/>
      <c r="H3" s="29"/>
      <c r="I3" s="29"/>
      <c r="J3" s="88" t="s">
        <v>6</v>
      </c>
      <c r="K3" s="88"/>
      <c r="L3" s="88"/>
      <c r="M3" s="88"/>
      <c r="N3" s="88"/>
      <c r="O3" s="24"/>
      <c r="P3" s="88" t="s">
        <v>7</v>
      </c>
      <c r="Q3" s="88"/>
      <c r="R3" s="88"/>
      <c r="S3" s="88"/>
      <c r="T3" s="88"/>
      <c r="U3" s="6"/>
      <c r="V3" s="6"/>
      <c r="W3" s="6"/>
      <c r="X3" s="89" t="s">
        <v>8</v>
      </c>
      <c r="Y3" s="89"/>
      <c r="Z3" s="89"/>
      <c r="AA3" s="89"/>
      <c r="AB3" s="89"/>
      <c r="AC3" s="25"/>
      <c r="AD3" s="25"/>
      <c r="AE3" s="89" t="s">
        <v>9</v>
      </c>
      <c r="AF3" s="89"/>
      <c r="AG3" s="89"/>
      <c r="AH3" s="89"/>
      <c r="AI3" s="89"/>
    </row>
    <row r="4" spans="1:36" ht="25.5">
      <c r="A4" s="85"/>
      <c r="B4" s="85"/>
      <c r="C4" s="30" t="s">
        <v>10</v>
      </c>
      <c r="D4" s="30" t="s">
        <v>11</v>
      </c>
      <c r="E4" s="30" t="s">
        <v>4</v>
      </c>
      <c r="F4" s="31" t="s">
        <v>12</v>
      </c>
      <c r="G4" s="30" t="s">
        <v>13</v>
      </c>
      <c r="H4" s="30" t="s">
        <v>48</v>
      </c>
      <c r="I4" s="30" t="s">
        <v>54</v>
      </c>
      <c r="J4" s="13" t="s">
        <v>10</v>
      </c>
      <c r="K4" s="13" t="s">
        <v>11</v>
      </c>
      <c r="L4" s="13" t="s">
        <v>4</v>
      </c>
      <c r="M4" s="14" t="s">
        <v>12</v>
      </c>
      <c r="N4" s="13" t="s">
        <v>13</v>
      </c>
      <c r="O4" s="30" t="s">
        <v>48</v>
      </c>
      <c r="P4" s="13" t="s">
        <v>10</v>
      </c>
      <c r="Q4" s="13" t="s">
        <v>11</v>
      </c>
      <c r="R4" s="13" t="s">
        <v>4</v>
      </c>
      <c r="S4" s="14" t="s">
        <v>12</v>
      </c>
      <c r="T4" s="13" t="s">
        <v>13</v>
      </c>
      <c r="U4" s="30" t="s">
        <v>48</v>
      </c>
      <c r="V4" s="30"/>
      <c r="W4" s="30"/>
      <c r="X4" s="13" t="s">
        <v>10</v>
      </c>
      <c r="Y4" s="13" t="s">
        <v>11</v>
      </c>
      <c r="Z4" s="13" t="s">
        <v>4</v>
      </c>
      <c r="AA4" s="14" t="s">
        <v>12</v>
      </c>
      <c r="AB4" s="13" t="s">
        <v>13</v>
      </c>
      <c r="AC4" s="30" t="s">
        <v>48</v>
      </c>
      <c r="AD4" s="30"/>
      <c r="AE4" s="13" t="s">
        <v>10</v>
      </c>
      <c r="AF4" s="13" t="s">
        <v>11</v>
      </c>
      <c r="AG4" s="13" t="s">
        <v>4</v>
      </c>
      <c r="AH4" s="14" t="s">
        <v>12</v>
      </c>
      <c r="AI4" s="13" t="s">
        <v>13</v>
      </c>
      <c r="AJ4" s="30" t="s">
        <v>48</v>
      </c>
    </row>
    <row r="5" spans="1:36" ht="14.25" customHeight="1">
      <c r="A5" s="23"/>
      <c r="B5" s="27" t="s">
        <v>50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50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50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51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51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51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52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52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52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20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21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22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23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24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25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26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27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28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29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30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31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32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33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34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35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36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37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38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39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14</v>
      </c>
      <c r="B28" s="9" t="s">
        <v>15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14</v>
      </c>
      <c r="B29" s="9" t="s">
        <v>16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14</v>
      </c>
      <c r="B30" s="9" t="s">
        <v>17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14</v>
      </c>
      <c r="B31" s="9" t="s">
        <v>18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14</v>
      </c>
      <c r="B32" s="16" t="s">
        <v>19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47</v>
      </c>
    </row>
    <row r="36" spans="1:35">
      <c r="A36" s="1"/>
      <c r="B36" s="26" t="s">
        <v>48</v>
      </c>
    </row>
    <row r="37" spans="1:35">
      <c r="B37" s="27" t="s">
        <v>40</v>
      </c>
      <c r="C37" s="27" t="s">
        <v>49</v>
      </c>
      <c r="D37" s="27" t="s">
        <v>41</v>
      </c>
      <c r="E37" s="27"/>
      <c r="F37" s="27"/>
    </row>
    <row r="38" spans="1:35">
      <c r="A38" s="27" t="s">
        <v>50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51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52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55</v>
      </c>
      <c r="C42" s="34"/>
      <c r="D42" s="34"/>
    </row>
    <row r="43" spans="1:35">
      <c r="B43" s="27" t="s">
        <v>40</v>
      </c>
      <c r="C43" s="27" t="s">
        <v>49</v>
      </c>
      <c r="D43" s="27" t="s">
        <v>41</v>
      </c>
    </row>
    <row r="44" spans="1:35">
      <c r="A44" s="27" t="s">
        <v>50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51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52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56</v>
      </c>
      <c r="C49" s="34"/>
      <c r="D49" s="34"/>
    </row>
    <row r="50" spans="1:5">
      <c r="B50" s="27" t="s">
        <v>40</v>
      </c>
      <c r="C50" s="27" t="s">
        <v>49</v>
      </c>
      <c r="D50" s="27" t="s">
        <v>41</v>
      </c>
    </row>
    <row r="51" spans="1:5">
      <c r="A51" s="27" t="s">
        <v>50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51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52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43</v>
      </c>
      <c r="C56" s="34" t="s">
        <v>14</v>
      </c>
      <c r="D56" s="34" t="s">
        <v>42</v>
      </c>
    </row>
    <row r="57" spans="1:5">
      <c r="A57" s="34" t="s">
        <v>57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58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56</v>
      </c>
      <c r="B59" s="35">
        <v>14232</v>
      </c>
      <c r="C59" s="35">
        <v>6099</v>
      </c>
      <c r="D59" s="35">
        <v>8133</v>
      </c>
    </row>
    <row r="60" spans="1:5">
      <c r="A60" s="34" t="s">
        <v>55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59</v>
      </c>
    </row>
    <row r="67" spans="1:11">
      <c r="B67" s="34"/>
      <c r="H67" s="34" t="s">
        <v>60</v>
      </c>
    </row>
    <row r="68" spans="1:11">
      <c r="A68" s="1"/>
      <c r="B68" s="34"/>
      <c r="C68" s="34" t="s">
        <v>61</v>
      </c>
      <c r="D68" s="34" t="s">
        <v>62</v>
      </c>
      <c r="E68" s="34" t="s">
        <v>63</v>
      </c>
      <c r="F68" s="34" t="s">
        <v>64</v>
      </c>
      <c r="G68" s="34"/>
      <c r="H68" s="36" t="s">
        <v>65</v>
      </c>
      <c r="I68" s="34" t="s">
        <v>66</v>
      </c>
      <c r="J68" s="34" t="s">
        <v>67</v>
      </c>
      <c r="K68" s="34"/>
    </row>
    <row r="69" spans="1:11">
      <c r="A69" s="1"/>
      <c r="B69" s="34" t="s">
        <v>20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21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22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23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24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25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26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27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28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29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30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31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32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33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34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35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36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37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38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39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8.11</vt:lpstr>
      <vt:lpstr>8.20 workings</vt:lpstr>
      <vt:lpstr>'8.11'!Print_Area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2018-05-29T08:41:51Z</cp:lastPrinted>
  <dcterms:created xsi:type="dcterms:W3CDTF">2013-04-04T04:05:16Z</dcterms:created>
  <dcterms:modified xsi:type="dcterms:W3CDTF">2018-05-29T08:42:02Z</dcterms:modified>
</cp:coreProperties>
</file>