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New folder\"/>
    </mc:Choice>
  </mc:AlternateContent>
  <bookViews>
    <workbookView xWindow="0" yWindow="0" windowWidth="28800" windowHeight="12330" tabRatio="725"/>
  </bookViews>
  <sheets>
    <sheet name="4.4" sheetId="22" r:id="rId1"/>
  </sheets>
  <definedNames>
    <definedName name="_xlnm.Print_Area" localSheetId="0">'4.4'!$A$1:$R$32</definedName>
  </definedNames>
  <calcPr calcId="162913"/>
</workbook>
</file>

<file path=xl/calcChain.xml><?xml version="1.0" encoding="utf-8"?>
<calcChain xmlns="http://schemas.openxmlformats.org/spreadsheetml/2006/main">
  <c r="BY29" i="22" l="1"/>
  <c r="BZ29" i="22"/>
  <c r="CA29" i="22"/>
  <c r="BX29" i="22"/>
  <c r="L7" i="22"/>
  <c r="M7" i="22"/>
  <c r="N7" i="22"/>
  <c r="O7" i="22"/>
  <c r="K7" i="22"/>
  <c r="CA28" i="22" l="1"/>
</calcChain>
</file>

<file path=xl/sharedStrings.xml><?xml version="1.0" encoding="utf-8"?>
<sst xmlns="http://schemas.openxmlformats.org/spreadsheetml/2006/main" count="45" uniqueCount="23">
  <si>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</si>
  <si>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</si>
  <si>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</si>
  <si>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</si>
  <si>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</si>
  <si>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</si>
  <si>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</si>
  <si>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</si>
  <si>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</si>
  <si>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</si>
  <si>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</si>
  <si>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</si>
  <si>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</si>
  <si>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</si>
  <si>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</si>
  <si>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</si>
  <si>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</si>
  <si>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</si>
  <si>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</si>
  <si>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</si>
  <si>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</si>
  <si>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 xml:space="preserve">2017 - 2010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</si>
  <si>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2010 - 2017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</si>
</sst>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_Randhoo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167" fontId="5" fillId="2" borderId="0" xfId="2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5" fontId="9" fillId="2" borderId="0" xfId="1" applyNumberFormat="1" applyFont="1" applyFill="1" applyAlignment="1">
      <alignment horizontal="center" vertical="center" wrapText="1"/>
    </xf>
    <xf numFmtId="0" fontId="7" fillId="2" borderId="0" xfId="0" applyFont="1" applyFill="1"/>
    <xf numFmtId="0" fontId="11" fillId="2" borderId="0" xfId="1" applyFont="1" applyFill="1" applyBorder="1" applyAlignment="1">
      <alignment horizontal="center"/>
    </xf>
    <xf numFmtId="0" fontId="12" fillId="2" borderId="0" xfId="1" applyFont="1" applyFill="1" applyBorder="1"/>
    <xf numFmtId="0" fontId="13" fillId="2" borderId="1" xfId="1" applyFont="1" applyFill="1" applyBorder="1" applyAlignment="1">
      <alignment horizontal="center"/>
    </xf>
    <xf numFmtId="0" fontId="13" fillId="2" borderId="0" xfId="1" applyFont="1" applyFill="1" applyBorder="1" applyAlignment="1">
      <alignment horizontal="center"/>
    </xf>
    <xf numFmtId="0" fontId="14" fillId="2" borderId="0" xfId="1" applyFont="1" applyFill="1" applyBorder="1"/>
    <xf numFmtId="0" fontId="15" fillId="2" borderId="2" xfId="1" applyFont="1" applyFill="1" applyBorder="1"/>
    <xf numFmtId="0" fontId="11" fillId="2" borderId="2" xfId="1" applyFont="1" applyFill="1" applyBorder="1"/>
    <xf numFmtId="0" fontId="16" fillId="2" borderId="2" xfId="1" applyFont="1" applyFill="1" applyBorder="1" applyAlignment="1">
      <alignment horizontal="right"/>
    </xf>
    <xf numFmtId="0" fontId="16" fillId="2" borderId="0" xfId="1" applyFont="1" applyFill="1" applyBorder="1" applyAlignment="1">
      <alignment horizontal="right"/>
    </xf>
    <xf numFmtId="0" fontId="17" fillId="2" borderId="0" xfId="1" applyFont="1" applyFill="1"/>
    <xf numFmtId="0" fontId="15" fillId="2" borderId="0" xfId="1" applyFont="1" applyFill="1"/>
    <xf numFmtId="0" fontId="18" fillId="2" borderId="0" xfId="1" applyFont="1" applyFill="1"/>
    <xf numFmtId="0" fontId="18" fillId="2" borderId="0" xfId="1" applyFont="1" applyFill="1" applyBorder="1"/>
    <xf numFmtId="0" fontId="16" fillId="2" borderId="0" xfId="0" applyFont="1" applyFill="1" applyBorder="1" applyAlignment="1">
      <alignment horizontal="right"/>
    </xf>
    <xf numFmtId="0" fontId="19" fillId="2" borderId="0" xfId="0" applyFont="1" applyFill="1" applyBorder="1" applyAlignment="1">
      <alignment horizontal="right"/>
    </xf>
    <xf numFmtId="1" fontId="18" fillId="2" borderId="0" xfId="1" applyNumberFormat="1" applyFont="1" applyFill="1"/>
    <xf numFmtId="3" fontId="12" fillId="2" borderId="3" xfId="0" applyNumberFormat="1" applyFont="1" applyFill="1" applyBorder="1"/>
    <xf numFmtId="3" fontId="12" fillId="2" borderId="3" xfId="0" applyNumberFormat="1" applyFont="1" applyFill="1" applyBorder="1" applyAlignment="1">
      <alignment vertical="center"/>
    </xf>
    <xf numFmtId="0" fontId="8" fillId="2" borderId="3" xfId="1" applyFont="1" applyFill="1" applyBorder="1" applyAlignment="1">
      <alignment horizontal="right" vertical="center"/>
    </xf>
    <xf numFmtId="0" fontId="8" fillId="2" borderId="0" xfId="1" applyFont="1" applyFill="1" applyBorder="1" applyAlignment="1">
      <alignment horizontal="right" vertical="center"/>
    </xf>
    <xf numFmtId="166" fontId="8" fillId="2" borderId="0" xfId="6" applyNumberFormat="1" applyFont="1" applyFill="1" applyBorder="1" applyAlignment="1" applyProtection="1">
      <alignment horizontal="right" vertical="center"/>
      <protection locked="0"/>
    </xf>
    <xf numFmtId="0" fontId="20" fillId="2" borderId="0" xfId="1" applyFont="1" applyFill="1" applyBorder="1" applyAlignment="1">
      <alignment horizontal="right"/>
    </xf>
    <xf numFmtId="3" fontId="18" fillId="2" borderId="0" xfId="1" applyNumberFormat="1" applyFont="1" applyFill="1"/>
    <xf numFmtId="3" fontId="12" fillId="2" borderId="3" xfId="1" applyNumberFormat="1" applyFont="1" applyFill="1" applyBorder="1"/>
    <xf numFmtId="166" fontId="12" fillId="2" borderId="3" xfId="4" applyNumberFormat="1" applyFont="1" applyFill="1" applyBorder="1" applyAlignment="1">
      <alignment vertical="center"/>
    </xf>
    <xf numFmtId="3" fontId="8" fillId="2" borderId="3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left" indent="1"/>
    </xf>
    <xf numFmtId="3" fontId="8" fillId="2" borderId="3" xfId="1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vertical="center"/>
    </xf>
    <xf numFmtId="166" fontId="8" fillId="2" borderId="0" xfId="6" applyNumberFormat="1" applyFont="1" applyFill="1" applyBorder="1" applyAlignment="1" applyProtection="1">
      <alignment vertical="center"/>
      <protection locked="0"/>
    </xf>
    <xf numFmtId="3" fontId="20" fillId="2" borderId="0" xfId="1" applyNumberFormat="1" applyFont="1" applyFill="1" applyBorder="1" applyAlignment="1">
      <alignment horizontal="right" indent="1"/>
    </xf>
    <xf numFmtId="0" fontId="2" fillId="2" borderId="3" xfId="0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3" fontId="12" fillId="2" borderId="3" xfId="4" applyNumberFormat="1" applyFont="1" applyFill="1" applyBorder="1"/>
    <xf numFmtId="0" fontId="20" fillId="2" borderId="0" xfId="1" applyFont="1" applyFill="1" applyBorder="1"/>
    <xf numFmtId="0" fontId="18" fillId="2" borderId="1" xfId="1" applyFont="1" applyFill="1" applyBorder="1" applyAlignment="1">
      <alignment horizontal="left" indent="1"/>
    </xf>
    <xf numFmtId="3" fontId="18" fillId="2" borderId="1" xfId="1" applyNumberFormat="1" applyFont="1" applyFill="1" applyBorder="1"/>
    <xf numFmtId="3" fontId="12" fillId="2" borderId="1" xfId="4" applyNumberFormat="1" applyFont="1" applyFill="1" applyBorder="1"/>
    <xf numFmtId="166" fontId="12" fillId="2" borderId="1" xfId="4" applyNumberFormat="1" applyFont="1" applyFill="1" applyBorder="1" applyAlignment="1">
      <alignment vertical="center"/>
    </xf>
    <xf numFmtId="3" fontId="8" fillId="2" borderId="1" xfId="1" applyNumberFormat="1" applyFont="1" applyFill="1" applyBorder="1" applyAlignment="1">
      <alignment vertical="center"/>
    </xf>
    <xf numFmtId="166" fontId="8" fillId="2" borderId="1" xfId="6" applyNumberFormat="1" applyFont="1" applyFill="1" applyBorder="1" applyAlignment="1" applyProtection="1">
      <alignment vertical="center"/>
      <protection locked="0"/>
    </xf>
    <xf numFmtId="3" fontId="20" fillId="2" borderId="1" xfId="1" applyNumberFormat="1" applyFont="1" applyFill="1" applyBorder="1" applyAlignment="1">
      <alignment horizontal="right" indent="1"/>
    </xf>
    <xf numFmtId="0" fontId="21" fillId="2" borderId="0" xfId="1" applyFont="1" applyFill="1" applyAlignment="1">
      <alignment horizontal="left"/>
    </xf>
    <xf numFmtId="0" fontId="17" fillId="2" borderId="0" xfId="1" applyFont="1" applyFill="1" applyBorder="1"/>
    <xf numFmtId="166" fontId="21" fillId="2" borderId="0" xfId="4" applyNumberFormat="1" applyFont="1" applyFill="1" applyBorder="1" applyAlignment="1">
      <alignment vertical="center"/>
    </xf>
    <xf numFmtId="3" fontId="18" fillId="2" borderId="0" xfId="1" applyNumberFormat="1" applyFont="1" applyFill="1" applyBorder="1"/>
    <xf numFmtId="3" fontId="12" fillId="2" borderId="0" xfId="4" applyNumberFormat="1" applyFont="1" applyFill="1" applyBorder="1"/>
    <xf numFmtId="3" fontId="12" fillId="2" borderId="0" xfId="1" applyNumberFormat="1" applyFont="1" applyFill="1" applyBorder="1" applyAlignment="1">
      <alignment vertical="center"/>
    </xf>
    <xf numFmtId="166" fontId="12" fillId="2" borderId="0" xfId="6" applyNumberFormat="1" applyFont="1" applyFill="1" applyBorder="1" applyAlignment="1" applyProtection="1">
      <alignment vertical="center"/>
      <protection locked="0"/>
    </xf>
    <xf numFmtId="166" fontId="12" fillId="2" borderId="0" xfId="6" applyNumberFormat="1" applyFont="1" applyFill="1" applyBorder="1" applyAlignment="1" applyProtection="1">
      <alignment horizontal="right" vertical="center"/>
      <protection locked="0"/>
    </xf>
    <xf numFmtId="0" fontId="22" fillId="2" borderId="0" xfId="1" applyFont="1" applyFill="1" applyAlignment="1">
      <alignment horizontal="left"/>
    </xf>
    <xf numFmtId="0" fontId="20" fillId="2" borderId="0" xfId="1" applyFont="1" applyFill="1" applyAlignment="1">
      <alignment horizontal="right"/>
    </xf>
    <xf numFmtId="3" fontId="17" fillId="2" borderId="0" xfId="1" applyNumberFormat="1" applyFont="1" applyFill="1"/>
    <xf numFmtId="3" fontId="14" fillId="2" borderId="0" xfId="1" applyNumberFormat="1" applyFont="1" applyFill="1"/>
    <xf numFmtId="0" fontId="23" fillId="2" borderId="0" xfId="5" applyFont="1" applyFill="1" applyAlignment="1" applyProtection="1"/>
    <xf numFmtId="0" fontId="24" fillId="2" borderId="0" xfId="1" applyFont="1" applyFill="1"/>
    <xf numFmtId="0" fontId="14" fillId="2" borderId="0" xfId="1" applyFont="1" applyFill="1"/>
    <xf numFmtId="0" fontId="26" fillId="2" borderId="0" xfId="0" applyFont="1" applyFill="1"/>
    <xf numFmtId="166" fontId="12" fillId="2" borderId="3" xfId="4" applyNumberFormat="1" applyFont="1" applyFill="1" applyBorder="1" applyAlignment="1"/>
    <xf numFmtId="3" fontId="12" fillId="2" borderId="3" xfId="1" applyNumberFormat="1" applyFont="1" applyFill="1" applyBorder="1" applyAlignment="1"/>
    <xf numFmtId="3" fontId="12" fillId="2" borderId="0" xfId="0" applyNumberFormat="1" applyFont="1" applyFill="1" applyBorder="1"/>
    <xf numFmtId="166" fontId="12" fillId="2" borderId="0" xfId="6" applyNumberFormat="1" applyFont="1" applyFill="1" applyBorder="1" applyProtection="1">
      <protection locked="0"/>
    </xf>
    <xf numFmtId="166" fontId="14" fillId="2" borderId="0" xfId="1" applyNumberFormat="1" applyFont="1" applyFill="1" applyAlignment="1">
      <alignment horizontal="right"/>
    </xf>
    <xf numFmtId="166" fontId="25" fillId="2" borderId="0" xfId="1" applyNumberFormat="1" applyFont="1" applyFill="1" applyAlignment="1">
      <alignment horizontal="right"/>
    </xf>
    <xf numFmtId="166" fontId="12" fillId="2" borderId="1" xfId="4" applyNumberFormat="1" applyFont="1" applyFill="1" applyBorder="1" applyAlignment="1"/>
    <xf numFmtId="3" fontId="12" fillId="2" borderId="1" xfId="1" applyNumberFormat="1" applyFont="1" applyFill="1" applyBorder="1" applyAlignment="1"/>
    <xf numFmtId="166" fontId="12" fillId="2" borderId="1" xfId="6" applyNumberFormat="1" applyFont="1" applyFill="1" applyBorder="1" applyAlignment="1" applyProtection="1">
      <protection locked="0"/>
    </xf>
    <xf numFmtId="166" fontId="14" fillId="2" borderId="1" xfId="1" applyNumberFormat="1" applyFont="1" applyFill="1" applyBorder="1" applyAlignment="1">
      <alignment horizontal="right"/>
    </xf>
    <xf numFmtId="166" fontId="25" fillId="2" borderId="1" xfId="1" applyNumberFormat="1" applyFont="1" applyFill="1" applyBorder="1" applyAlignment="1">
      <alignment horizontal="right"/>
    </xf>
    <xf numFmtId="0" fontId="7" fillId="3" borderId="0" xfId="0" applyFont="1" applyFill="1"/>
    <xf numFmtId="166" fontId="22" fillId="2" borderId="0" xfId="1" applyNumberFormat="1" applyFont="1" applyFill="1" applyAlignment="1">
      <alignment horizontal="left"/>
    </xf>
    <xf numFmtId="166" fontId="18" fillId="2" borderId="0" xfId="6" applyNumberFormat="1" applyFont="1" applyFill="1" applyBorder="1"/>
    <xf numFmtId="3" fontId="8" fillId="2" borderId="4" xfId="1" applyNumberFormat="1" applyFont="1" applyFill="1" applyBorder="1" applyAlignment="1">
      <alignment horizontal="right" vertical="center"/>
    </xf>
    <xf numFmtId="165" fontId="9" fillId="2" borderId="0" xfId="1" applyNumberFormat="1" applyFont="1" applyFill="1" applyAlignment="1">
      <alignment horizontal="center" vertical="center" wrapText="1"/>
    </xf>
    <xf numFmtId="165" fontId="9" fillId="2" borderId="0" xfId="1" applyNumberFormat="1" applyFont="1" applyFill="1" applyAlignment="1">
      <alignment horizontal="center" vertical="center" wrapText="1"/>
    </xf>
    <xf numFmtId="0" fontId="10" fillId="2" borderId="0" xfId="1" applyFont="1" applyFill="1" applyBorder="1" applyAlignment="1">
      <alignment horizontal="center"/>
    </xf>
  </cellXfs>
  <cellStyles count="11">
    <cellStyle name="Comma" xfId="6" builtinId="3"/>
    <cellStyle name="Comma 2" xfId="4"/>
    <cellStyle name="Comma 2 3" xfId="8"/>
    <cellStyle name="Comma 3" xfId="7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4.1 : Buildings authorized for construction and buildings completed by floor area, 2010 - 2017</a:t>
            </a:r>
          </a:p>
        </c:rich>
      </c:tx>
      <c:layout>
        <c:manualLayout>
          <c:xMode val="edge"/>
          <c:yMode val="edge"/>
          <c:x val="0.21866588253231828"/>
          <c:y val="1.83214374681844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650777720818308E-2"/>
          <c:y val="0.14622670493947451"/>
          <c:w val="0.88389160027534974"/>
          <c:h val="0.73122762664700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'4.4'!$BP$28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27F-4EB7-811C-AAFB76E6946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'4.4'!$BT$27:$CA$27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'4.4'!$BT$28:$CA$28</c:f>
              <c:numCache>
                <c:formatCode>_(* #,##0_);_(* \(#,##0\);_(* "-"??_);_(@_)</c:formatCode>
                <c:ptCount val="8"/>
                <c:pt idx="0">
                  <c:v>224560.28</c:v>
                </c:pt>
                <c:pt idx="1">
                  <c:v>236158.83000000002</c:v>
                </c:pt>
                <c:pt idx="2">
                  <c:v>422177</c:v>
                </c:pt>
                <c:pt idx="3">
                  <c:v>158327.85999999999</c:v>
                </c:pt>
                <c:pt idx="4">
                  <c:v>220621</c:v>
                </c:pt>
                <c:pt idx="5">
                  <c:v>283728</c:v>
                </c:pt>
                <c:pt idx="6">
                  <c:v>486382</c:v>
                </c:pt>
                <c:pt idx="7">
                  <c:v>413633.03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F-4EB7-811C-AAFB76E6946F}"/>
            </c:ext>
          </c:extLst>
        </c:ser>
        <c:ser>
          <c:idx val="1"/>
          <c:order val="1"/>
          <c:tx>
            <c:strRef>
              <c:f>'4.4'!$BP$29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'4.4'!$BT$27:$CA$27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'4.4'!$BT$29:$CA$29</c:f>
              <c:numCache>
                <c:formatCode>_(* #,##0_);_(* \(#,##0\);_(* "-"??_);_(@_)</c:formatCode>
                <c:ptCount val="8"/>
                <c:pt idx="0">
                  <c:v>51725.04</c:v>
                </c:pt>
                <c:pt idx="1">
                  <c:v>45122.18</c:v>
                </c:pt>
                <c:pt idx="2">
                  <c:v>28116</c:v>
                </c:pt>
                <c:pt idx="3">
                  <c:v>0</c:v>
                </c:pt>
                <c:pt idx="4">
                  <c:v>30194.61</c:v>
                </c:pt>
                <c:pt idx="5">
                  <c:v>84421.3</c:v>
                </c:pt>
                <c:pt idx="6">
                  <c:v>179036.45</c:v>
                </c:pt>
                <c:pt idx="7">
                  <c:v>122275.15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F-4EB7-811C-AAFB76E6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588352"/>
        <c:axId val="141589888"/>
      </c:barChart>
      <c:catAx>
        <c:axId val="14158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1589888"/>
        <c:crosses val="autoZero"/>
        <c:auto val="1"/>
        <c:lblAlgn val="ctr"/>
        <c:lblOffset val="100"/>
        <c:noMultiLvlLbl val="0"/>
      </c:catAx>
      <c:valAx>
        <c:axId val="1415898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n-US" sz="800" b="1"/>
                  <a:t>Floor Area (in sqm)</a:t>
                </a:r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415883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1189421753283777"/>
          <c:y val="0.18223490633134404"/>
          <c:w val="0.32974309304730987"/>
          <c:h val="7.671118139118443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17</xdr:row>
      <xdr:rowOff>66675</xdr:rowOff>
    </xdr:from>
    <xdr:to>
      <xdr:col>17</xdr:col>
      <xdr:colOff>304800</xdr:colOff>
      <xdr:row>31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18</xdr:row>
      <xdr:rowOff>114300</xdr:rowOff>
    </xdr:from>
    <xdr:to>
      <xdr:col>15</xdr:col>
      <xdr:colOff>1333500</xdr:colOff>
      <xdr:row>18</xdr:row>
      <xdr:rowOff>133351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085975" y="4010025"/>
          <a:ext cx="5886450" cy="1905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A35"/>
  <sheetViews>
    <sheetView tabSelected="1" zoomScaleNormal="100" workbookViewId="0">
      <selection activeCell="X12" sqref="X12"/>
    </sheetView>
  </sheetViews>
  <sheetFormatPr defaultRowHeight="15" x14ac:dyDescent="0.25"/>
  <cols>
    <col min="1" max="1" width="24.5703125" style="4" customWidth="1"/>
    <col min="2" max="4" width="9.140625" style="4" hidden="1" customWidth="1"/>
    <col min="5" max="5" width="9.28515625" style="4" hidden="1" customWidth="1"/>
    <col min="6" max="7" width="10.7109375" style="4" hidden="1" customWidth="1"/>
    <col min="8" max="9" width="10.7109375" style="4" customWidth="1"/>
    <col min="10" max="10" width="0.85546875" style="4" customWidth="1"/>
    <col min="11" max="11" width="9.85546875" style="4" customWidth="1"/>
    <col min="12" max="15" width="10.7109375" style="4" customWidth="1"/>
    <col min="16" max="16" width="33.5703125" style="4" customWidth="1"/>
    <col min="17" max="17" width="1.5703125" style="4" customWidth="1"/>
    <col min="18" max="16384" width="9.140625" style="4"/>
  </cols>
  <sheetData>
    <row r="1" spans="1:69" ht="18" x14ac:dyDescent="0.25">
      <c r="A1" s="83" t="s">
        <v>21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3"/>
      <c r="R1" s="3"/>
      <c r="S1" s="3"/>
      <c r="T1" s="3"/>
      <c r="U1" s="3"/>
      <c r="V1" s="3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3"/>
      <c r="BL1" s="3"/>
      <c r="BM1" s="3"/>
    </row>
    <row r="2" spans="1:69" x14ac:dyDescent="0.25">
      <c r="A2" s="84" t="s">
        <v>22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6"/>
      <c r="BO2" s="6"/>
      <c r="BP2" s="6"/>
      <c r="BQ2" s="6"/>
    </row>
    <row r="3" spans="1:69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9"/>
      <c r="BO3" s="9"/>
      <c r="BP3" s="9"/>
      <c r="BQ3" s="9"/>
    </row>
    <row r="4" spans="1:69" ht="17.25" x14ac:dyDescent="0.4">
      <c r="A4" s="10" t="s">
        <v>2</v>
      </c>
      <c r="B4" s="10">
        <v>2002</v>
      </c>
      <c r="C4" s="10">
        <v>2003</v>
      </c>
      <c r="D4" s="11">
        <v>2006</v>
      </c>
      <c r="E4" s="11">
        <v>2007</v>
      </c>
      <c r="F4" s="11">
        <v>2008</v>
      </c>
      <c r="G4" s="11">
        <v>2009</v>
      </c>
      <c r="H4" s="11">
        <v>2010</v>
      </c>
      <c r="I4" s="11">
        <v>2011</v>
      </c>
      <c r="J4" s="11">
        <v>2012</v>
      </c>
      <c r="K4" s="11">
        <v>2013</v>
      </c>
      <c r="L4" s="11">
        <v>2014</v>
      </c>
      <c r="M4" s="11">
        <v>2015</v>
      </c>
      <c r="N4" s="11">
        <v>2016</v>
      </c>
      <c r="O4" s="11">
        <v>2017</v>
      </c>
      <c r="P4" s="12" t="s">
        <v>3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4"/>
      <c r="BO4" s="14"/>
      <c r="BP4" s="14"/>
      <c r="BQ4" s="14"/>
    </row>
    <row r="5" spans="1:69" ht="17.25" x14ac:dyDescent="0.4">
      <c r="A5" s="15" t="s">
        <v>4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80">
        <v>220620.78</v>
      </c>
      <c r="M5" s="80">
        <v>285013.46000000002</v>
      </c>
      <c r="N5" s="80">
        <v>486383.45999999996</v>
      </c>
      <c r="O5" s="80">
        <v>401455.98</v>
      </c>
      <c r="P5" s="18" t="s">
        <v>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9"/>
      <c r="BO5" s="19"/>
      <c r="BP5" s="14"/>
      <c r="BQ5" s="14"/>
    </row>
    <row r="6" spans="1:69" ht="17.25" x14ac:dyDescent="0.4">
      <c r="A6" s="17" t="s">
        <v>6</v>
      </c>
      <c r="B6" s="16">
        <v>452</v>
      </c>
      <c r="C6" s="20">
        <v>619</v>
      </c>
      <c r="D6" s="21">
        <v>593</v>
      </c>
      <c r="E6" s="22">
        <v>506</v>
      </c>
      <c r="F6" s="23">
        <v>504</v>
      </c>
      <c r="G6" s="23">
        <v>485</v>
      </c>
      <c r="H6" s="23">
        <v>436</v>
      </c>
      <c r="I6" s="24">
        <v>322</v>
      </c>
      <c r="J6" s="25">
        <v>273</v>
      </c>
      <c r="K6" s="25">
        <v>239</v>
      </c>
      <c r="L6" s="25">
        <v>318</v>
      </c>
      <c r="M6" s="25">
        <v>330</v>
      </c>
      <c r="N6" s="25">
        <v>494</v>
      </c>
      <c r="O6" s="25">
        <v>476</v>
      </c>
      <c r="P6" s="26" t="s">
        <v>7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14"/>
      <c r="BO6" s="14"/>
      <c r="BP6" s="14"/>
      <c r="BQ6" s="14"/>
    </row>
    <row r="7" spans="1:69" ht="17.25" x14ac:dyDescent="0.4">
      <c r="A7" s="17" t="s">
        <v>8</v>
      </c>
      <c r="B7" s="27">
        <v>180738</v>
      </c>
      <c r="C7" s="27">
        <v>209615</v>
      </c>
      <c r="D7" s="28">
        <v>360446.79000000004</v>
      </c>
      <c r="E7" s="29">
        <v>320813.18</v>
      </c>
      <c r="F7" s="30">
        <v>408901.03999999992</v>
      </c>
      <c r="G7" s="30">
        <v>309647</v>
      </c>
      <c r="H7" s="30">
        <v>224560.28</v>
      </c>
      <c r="I7" s="31">
        <v>236158.83000000002</v>
      </c>
      <c r="J7" s="25">
        <v>422177</v>
      </c>
      <c r="K7" s="25">
        <f>SUM(K8:K9)</f>
        <v>158130</v>
      </c>
      <c r="L7" s="25">
        <f t="shared" ref="L7:O7" si="0">SUM(L8:L9)</f>
        <v>212028</v>
      </c>
      <c r="M7" s="25">
        <f t="shared" si="0"/>
        <v>282762.59700000001</v>
      </c>
      <c r="N7" s="25">
        <f t="shared" si="0"/>
        <v>470752</v>
      </c>
      <c r="O7" s="25">
        <f t="shared" si="0"/>
        <v>413633.03</v>
      </c>
      <c r="P7" s="26" t="s">
        <v>9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14"/>
      <c r="BO7" s="14"/>
      <c r="BP7" s="14"/>
      <c r="BQ7" s="14"/>
    </row>
    <row r="8" spans="1:69" ht="17.25" x14ac:dyDescent="0.4">
      <c r="A8" s="32" t="s">
        <v>10</v>
      </c>
      <c r="B8" s="27">
        <v>116200</v>
      </c>
      <c r="C8" s="27">
        <v>131252</v>
      </c>
      <c r="D8" s="28">
        <v>253944.94</v>
      </c>
      <c r="E8" s="29">
        <v>235433.41</v>
      </c>
      <c r="F8" s="33">
        <v>229276.41999999998</v>
      </c>
      <c r="G8" s="33">
        <v>235860</v>
      </c>
      <c r="H8" s="34">
        <v>176826.05</v>
      </c>
      <c r="I8" s="35">
        <v>191884.39</v>
      </c>
      <c r="J8" s="36">
        <v>151841</v>
      </c>
      <c r="K8" s="36">
        <v>108237</v>
      </c>
      <c r="L8" s="36">
        <v>164560</v>
      </c>
      <c r="M8" s="36">
        <v>216099.75700000001</v>
      </c>
      <c r="N8" s="36">
        <v>352672</v>
      </c>
      <c r="O8" s="36">
        <v>332759.19</v>
      </c>
      <c r="P8" s="37" t="s">
        <v>11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14"/>
      <c r="BO8" s="14"/>
      <c r="BP8" s="14"/>
      <c r="BQ8" s="14"/>
    </row>
    <row r="9" spans="1:69" ht="17.25" x14ac:dyDescent="0.4">
      <c r="A9" s="32" t="s">
        <v>12</v>
      </c>
      <c r="B9" s="27">
        <v>64538</v>
      </c>
      <c r="C9" s="27">
        <v>78363</v>
      </c>
      <c r="D9" s="28">
        <v>106501.85</v>
      </c>
      <c r="E9" s="29">
        <v>85379.77</v>
      </c>
      <c r="F9" s="33">
        <v>179624.61999999997</v>
      </c>
      <c r="G9" s="33">
        <v>73787</v>
      </c>
      <c r="H9" s="34">
        <v>47734.23</v>
      </c>
      <c r="I9" s="35">
        <v>44274.44</v>
      </c>
      <c r="J9" s="36">
        <v>270336</v>
      </c>
      <c r="K9" s="36">
        <v>49893</v>
      </c>
      <c r="L9" s="36">
        <v>47468</v>
      </c>
      <c r="M9" s="36">
        <v>66662.84</v>
      </c>
      <c r="N9" s="36">
        <v>118080</v>
      </c>
      <c r="O9" s="36">
        <v>80873.84</v>
      </c>
      <c r="P9" s="37" t="s">
        <v>13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14"/>
      <c r="BO9" s="14"/>
      <c r="BP9" s="14"/>
      <c r="BQ9" s="14"/>
    </row>
    <row r="10" spans="1:69" ht="17.25" x14ac:dyDescent="0.4">
      <c r="A10" s="15" t="s">
        <v>14</v>
      </c>
      <c r="B10" s="16"/>
      <c r="C10" s="16"/>
      <c r="D10" s="28"/>
      <c r="E10" s="29"/>
      <c r="F10" s="38"/>
      <c r="G10" s="38"/>
      <c r="H10" s="39"/>
      <c r="I10" s="40"/>
      <c r="J10" s="41"/>
      <c r="K10" s="41"/>
      <c r="L10" s="41"/>
      <c r="M10" s="41"/>
      <c r="N10" s="41"/>
      <c r="O10" s="41"/>
      <c r="P10" s="18" t="s">
        <v>15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9"/>
      <c r="BO10" s="19"/>
      <c r="BP10" s="14"/>
      <c r="BQ10" s="14"/>
    </row>
    <row r="11" spans="1:69" ht="17.25" x14ac:dyDescent="0.4">
      <c r="A11" s="17" t="s">
        <v>16</v>
      </c>
      <c r="B11" s="16">
        <v>264</v>
      </c>
      <c r="C11" s="16">
        <v>175</v>
      </c>
      <c r="D11" s="28">
        <v>153</v>
      </c>
      <c r="E11" s="29">
        <v>153</v>
      </c>
      <c r="F11" s="23">
        <v>167</v>
      </c>
      <c r="G11" s="23">
        <v>175</v>
      </c>
      <c r="H11" s="30">
        <v>176</v>
      </c>
      <c r="I11" s="31">
        <v>78</v>
      </c>
      <c r="J11" s="25">
        <v>46</v>
      </c>
      <c r="K11" s="30" t="s">
        <v>17</v>
      </c>
      <c r="L11" s="30">
        <v>49</v>
      </c>
      <c r="M11" s="30">
        <v>203</v>
      </c>
      <c r="N11" s="30">
        <v>406</v>
      </c>
      <c r="O11" s="30">
        <v>279</v>
      </c>
      <c r="P11" s="26" t="s">
        <v>18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14"/>
      <c r="BO11" s="14"/>
      <c r="BP11" s="14"/>
      <c r="BQ11" s="14"/>
    </row>
    <row r="12" spans="1:69" ht="17.25" x14ac:dyDescent="0.4">
      <c r="A12" s="17" t="s">
        <v>8</v>
      </c>
      <c r="B12" s="27">
        <v>52895</v>
      </c>
      <c r="C12" s="27">
        <v>56461</v>
      </c>
      <c r="D12" s="28">
        <v>58724.759999999995</v>
      </c>
      <c r="E12" s="29">
        <v>38212</v>
      </c>
      <c r="F12" s="30">
        <v>59939.090000000004</v>
      </c>
      <c r="G12" s="30">
        <v>51986</v>
      </c>
      <c r="H12" s="30">
        <v>51725.04</v>
      </c>
      <c r="I12" s="31">
        <v>45122.18</v>
      </c>
      <c r="J12" s="25">
        <v>28116</v>
      </c>
      <c r="K12" s="30" t="s">
        <v>17</v>
      </c>
      <c r="L12" s="30">
        <v>30194.61</v>
      </c>
      <c r="M12" s="30">
        <v>84421.3</v>
      </c>
      <c r="N12" s="30">
        <v>179036.45</v>
      </c>
      <c r="O12" s="30">
        <v>122275.15</v>
      </c>
      <c r="P12" s="26" t="s">
        <v>19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14"/>
      <c r="BO12" s="14"/>
      <c r="BP12" s="14"/>
      <c r="BQ12" s="14"/>
    </row>
    <row r="13" spans="1:69" ht="17.25" x14ac:dyDescent="0.4">
      <c r="A13" s="32" t="s">
        <v>10</v>
      </c>
      <c r="B13" s="27">
        <v>33635</v>
      </c>
      <c r="C13" s="27">
        <v>36662</v>
      </c>
      <c r="D13" s="42">
        <v>22525.759999999998</v>
      </c>
      <c r="E13" s="29">
        <v>16811</v>
      </c>
      <c r="F13" s="33">
        <v>21444.400000000001</v>
      </c>
      <c r="G13" s="33">
        <v>26411</v>
      </c>
      <c r="H13" s="34">
        <v>27026.71</v>
      </c>
      <c r="I13" s="35">
        <v>22251.040000000001</v>
      </c>
      <c r="J13" s="36">
        <v>12556</v>
      </c>
      <c r="K13" s="30" t="s">
        <v>17</v>
      </c>
      <c r="L13" s="34">
        <v>24786.400000000001</v>
      </c>
      <c r="M13" s="34">
        <v>60422.1</v>
      </c>
      <c r="N13" s="34">
        <v>117521.61</v>
      </c>
      <c r="O13" s="34">
        <v>88816.95</v>
      </c>
      <c r="P13" s="37" t="s">
        <v>11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43"/>
      <c r="BO13" s="14"/>
      <c r="BP13" s="14"/>
      <c r="BQ13" s="14"/>
    </row>
    <row r="14" spans="1:69" ht="17.25" x14ac:dyDescent="0.4">
      <c r="A14" s="44" t="s">
        <v>12</v>
      </c>
      <c r="B14" s="45">
        <v>19260</v>
      </c>
      <c r="C14" s="45">
        <v>19799</v>
      </c>
      <c r="D14" s="46">
        <v>36199</v>
      </c>
      <c r="E14" s="47">
        <v>21401</v>
      </c>
      <c r="F14" s="48">
        <v>38494.69</v>
      </c>
      <c r="G14" s="48">
        <v>25575</v>
      </c>
      <c r="H14" s="48">
        <v>24698.33</v>
      </c>
      <c r="I14" s="48">
        <v>22871.14</v>
      </c>
      <c r="J14" s="49">
        <v>15560</v>
      </c>
      <c r="K14" s="81" t="s">
        <v>17</v>
      </c>
      <c r="L14" s="48">
        <v>5408.21</v>
      </c>
      <c r="M14" s="48">
        <v>23999.200000000001</v>
      </c>
      <c r="N14" s="48">
        <v>61514.84</v>
      </c>
      <c r="O14" s="48">
        <v>33458.199999999997</v>
      </c>
      <c r="P14" s="50" t="s">
        <v>13</v>
      </c>
      <c r="Q14" s="37"/>
      <c r="R14" s="51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43"/>
      <c r="BO14" s="52"/>
      <c r="BP14" s="52"/>
      <c r="BQ14" s="52"/>
    </row>
    <row r="15" spans="1:69" ht="17.25" x14ac:dyDescent="0.4">
      <c r="A15" s="53" t="s">
        <v>20</v>
      </c>
      <c r="B15" s="54"/>
      <c r="C15" s="54"/>
      <c r="D15" s="55"/>
      <c r="E15" s="14"/>
      <c r="F15" s="56"/>
      <c r="G15" s="56"/>
      <c r="H15" s="56"/>
      <c r="I15" s="56"/>
      <c r="J15" s="57"/>
      <c r="K15" s="58"/>
      <c r="L15" s="58"/>
      <c r="M15" s="58"/>
      <c r="N15" s="58"/>
      <c r="O15" s="58"/>
      <c r="P15" s="1" t="s">
        <v>1</v>
      </c>
      <c r="Q15" s="37"/>
      <c r="R15" s="51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43"/>
      <c r="BO15" s="52"/>
      <c r="BP15" s="52"/>
      <c r="BQ15" s="52"/>
    </row>
    <row r="16" spans="1:69" ht="17.25" x14ac:dyDescent="0.4">
      <c r="A16" s="2" t="s">
        <v>0</v>
      </c>
      <c r="B16" s="59"/>
      <c r="C16" s="59"/>
      <c r="D16" s="59"/>
      <c r="E16" s="59"/>
      <c r="F16" s="59"/>
      <c r="G16" s="59"/>
      <c r="H16" s="59"/>
      <c r="I16" s="59"/>
      <c r="J16" s="59"/>
      <c r="K16" s="79"/>
      <c r="L16" s="79"/>
      <c r="M16" s="79"/>
      <c r="N16" s="79"/>
      <c r="O16" s="79"/>
      <c r="Q16" s="60"/>
      <c r="R16" s="51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52"/>
      <c r="BO16" s="14"/>
      <c r="BQ16" s="60"/>
    </row>
    <row r="17" spans="1:79" ht="17.25" x14ac:dyDescent="0.4">
      <c r="A17" s="14"/>
      <c r="B17" s="14"/>
      <c r="C17" s="14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0"/>
      <c r="Q17" s="60"/>
      <c r="R17" s="51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</row>
    <row r="18" spans="1:79" ht="17.25" x14ac:dyDescent="0.4"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Q18" s="60"/>
    </row>
    <row r="19" spans="1:79" ht="17.25" x14ac:dyDescent="0.4"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</row>
    <row r="20" spans="1:79" ht="17.25" x14ac:dyDescent="0.4"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Q20" s="60"/>
    </row>
    <row r="22" spans="1:79" ht="17.25" x14ac:dyDescent="0.4">
      <c r="BQ22" s="60"/>
    </row>
    <row r="24" spans="1:79" ht="17.25" x14ac:dyDescent="0.4">
      <c r="R24" s="65"/>
      <c r="BQ24" s="60"/>
    </row>
    <row r="27" spans="1:79" x14ac:dyDescent="0.25">
      <c r="BQ27" s="11">
        <v>2007</v>
      </c>
      <c r="BR27" s="11">
        <v>2008</v>
      </c>
      <c r="BS27" s="11">
        <v>2009</v>
      </c>
      <c r="BT27" s="11">
        <v>2010</v>
      </c>
      <c r="BU27" s="11">
        <v>2011</v>
      </c>
      <c r="BV27" s="11">
        <v>2012</v>
      </c>
      <c r="BW27" s="11">
        <v>2013</v>
      </c>
      <c r="BX27" s="11">
        <v>2014</v>
      </c>
      <c r="BY27" s="11">
        <v>2015</v>
      </c>
      <c r="BZ27" s="11">
        <v>2016</v>
      </c>
      <c r="CA27" s="11">
        <v>2017</v>
      </c>
    </row>
    <row r="28" spans="1:79" x14ac:dyDescent="0.25">
      <c r="BP28" s="16" t="s">
        <v>4</v>
      </c>
      <c r="BQ28" s="67">
        <v>320813.18</v>
      </c>
      <c r="BR28" s="67">
        <v>408901.03999999992</v>
      </c>
      <c r="BS28" s="67">
        <v>309647</v>
      </c>
      <c r="BT28" s="67">
        <v>224560.28</v>
      </c>
      <c r="BU28" s="67">
        <v>236158.83000000002</v>
      </c>
      <c r="BV28" s="67">
        <v>422177</v>
      </c>
      <c r="BW28" s="67">
        <v>158327.85999999999</v>
      </c>
      <c r="BX28" s="67">
        <v>220621</v>
      </c>
      <c r="BY28" s="67">
        <v>283728</v>
      </c>
      <c r="BZ28" s="67">
        <v>486382</v>
      </c>
      <c r="CA28" s="67">
        <f>O7</f>
        <v>413633.03</v>
      </c>
    </row>
    <row r="29" spans="1:79" x14ac:dyDescent="0.25">
      <c r="BP29" s="16" t="s">
        <v>14</v>
      </c>
      <c r="BQ29" s="67">
        <v>38212</v>
      </c>
      <c r="BR29" s="67">
        <v>59939.090000000004</v>
      </c>
      <c r="BS29" s="67">
        <v>51986</v>
      </c>
      <c r="BT29" s="67">
        <v>51725.04</v>
      </c>
      <c r="BU29" s="67">
        <v>45122.18</v>
      </c>
      <c r="BV29" s="67">
        <v>28116</v>
      </c>
      <c r="BW29" s="67" t="s">
        <v>17</v>
      </c>
      <c r="BX29" s="67">
        <f>L12</f>
        <v>30194.61</v>
      </c>
      <c r="BY29" s="67">
        <f t="shared" ref="BY29:CA29" si="1">M12</f>
        <v>84421.3</v>
      </c>
      <c r="BZ29" s="67">
        <f t="shared" si="1"/>
        <v>179036.45</v>
      </c>
      <c r="CA29" s="67">
        <f t="shared" si="1"/>
        <v>122275.15</v>
      </c>
    </row>
    <row r="30" spans="1:79" x14ac:dyDescent="0.25">
      <c r="BY30" s="66"/>
      <c r="BZ30" s="66"/>
    </row>
    <row r="31" spans="1:79" x14ac:dyDescent="0.25">
      <c r="BY31" s="66"/>
      <c r="BZ31" s="66"/>
    </row>
    <row r="32" spans="1:79" x14ac:dyDescent="0.25">
      <c r="BP32" s="15" t="s">
        <v>14</v>
      </c>
      <c r="BY32" s="66"/>
      <c r="BZ32" s="66"/>
    </row>
    <row r="33" spans="68:79" x14ac:dyDescent="0.25">
      <c r="BQ33" s="11">
        <v>2007</v>
      </c>
      <c r="BR33" s="11">
        <v>2008</v>
      </c>
      <c r="BS33" s="11">
        <v>2009</v>
      </c>
      <c r="BT33" s="11">
        <v>2010</v>
      </c>
      <c r="BU33" s="11">
        <v>2011</v>
      </c>
      <c r="BV33" s="11">
        <v>2012</v>
      </c>
      <c r="BW33" s="11">
        <v>2013</v>
      </c>
      <c r="BX33" s="11">
        <v>2014</v>
      </c>
      <c r="BY33" s="11">
        <v>2015</v>
      </c>
      <c r="BZ33" s="11">
        <v>2016</v>
      </c>
      <c r="CA33" s="11">
        <v>2017</v>
      </c>
    </row>
    <row r="34" spans="68:79" x14ac:dyDescent="0.25">
      <c r="BP34" s="32" t="s">
        <v>10</v>
      </c>
      <c r="BQ34" s="67">
        <v>16811</v>
      </c>
      <c r="BR34" s="68">
        <v>21444.400000000001</v>
      </c>
      <c r="BS34" s="68">
        <v>26411</v>
      </c>
      <c r="BT34" s="21">
        <v>27026.71</v>
      </c>
      <c r="BU34" s="69">
        <v>22251.040000000001</v>
      </c>
      <c r="BV34" s="70">
        <v>12556</v>
      </c>
      <c r="BW34" s="71" t="s">
        <v>17</v>
      </c>
      <c r="BX34" s="71" t="s">
        <v>17</v>
      </c>
      <c r="BY34" s="72" t="s">
        <v>17</v>
      </c>
      <c r="BZ34" s="72" t="s">
        <v>17</v>
      </c>
      <c r="CA34" s="78"/>
    </row>
    <row r="35" spans="68:79" x14ac:dyDescent="0.25">
      <c r="BP35" s="44" t="s">
        <v>12</v>
      </c>
      <c r="BQ35" s="73">
        <v>21401</v>
      </c>
      <c r="BR35" s="74">
        <v>38494.69</v>
      </c>
      <c r="BS35" s="74">
        <v>25575</v>
      </c>
      <c r="BT35" s="74">
        <v>24698.33</v>
      </c>
      <c r="BU35" s="74">
        <v>22871.14</v>
      </c>
      <c r="BV35" s="75">
        <v>15560</v>
      </c>
      <c r="BW35" s="76" t="s">
        <v>17</v>
      </c>
      <c r="BX35" s="76" t="s">
        <v>17</v>
      </c>
      <c r="BY35" s="77" t="s">
        <v>17</v>
      </c>
      <c r="BZ35" s="72" t="s">
        <v>17</v>
      </c>
      <c r="CA35" s="78"/>
    </row>
  </sheetData>
  <mergeCells count="2">
    <mergeCell ref="A1:P1"/>
    <mergeCell ref="A2:P2"/>
  </mergeCells>
  <pageMargins left="0.7" right="0.7" top="0.75" bottom="0.75" header="0.3" footer="0.3"/>
  <pageSetup paperSize="9" scale="90" orientation="landscape" horizontalDpi="4294967295" verticalDpi="4294967295" r:id="rId1"/>
  <ignoredErrors>
    <ignoredError sqref="K7:L7 M7:P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2018-12-05T04:51:23Z</cp:lastPrinted>
  <dcterms:created xsi:type="dcterms:W3CDTF">2014-03-04T07:02:54Z</dcterms:created>
  <dcterms:modified xsi:type="dcterms:W3CDTF">2018-12-05T04:52:06Z</dcterms:modified>
</cp:coreProperties>
</file>