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"/>
    </mc:Choice>
  </mc:AlternateContent>
  <bookViews>
    <workbookView xWindow="0" yWindow="0" windowWidth="28800" windowHeight="12330" tabRatio="787"/>
  </bookViews>
  <sheets>
    <sheet name="1.2" sheetId="2" r:id="rId1"/>
  </sheets>
  <definedNames>
    <definedName name="_xlnm.Print_Area" localSheetId="0">'1.2'!$A$1:$O$40</definedName>
  </definedNames>
  <calcPr calcId="162913"/>
</workbook>
</file>

<file path=xl/calcChain.xml><?xml version="1.0" encoding="utf-8"?>
<calcChain xmlns="http://schemas.openxmlformats.org/spreadsheetml/2006/main">
  <c r="B15" i="2" l="1"/>
  <c r="AK18" i="2" s="1"/>
  <c r="B16" i="2"/>
  <c r="AK19" i="2" s="1"/>
  <c r="B17" i="2"/>
  <c r="AK20" i="2" s="1"/>
  <c r="B18" i="2"/>
  <c r="AK21" i="2" s="1"/>
  <c r="B14" i="2"/>
  <c r="AK17" i="2" s="1"/>
  <c r="B9" i="2"/>
  <c r="AJ18" i="2" s="1"/>
  <c r="B10" i="2"/>
  <c r="AJ19" i="2" s="1"/>
  <c r="B11" i="2"/>
  <c r="AJ20" i="2" s="1"/>
  <c r="B12" i="2"/>
  <c r="AJ21" i="2" s="1"/>
  <c r="B8" i="2"/>
  <c r="AJ17" i="2" s="1"/>
</calcChain>
</file>

<file path=xl/sharedStrings.xml><?xml version="1.0" encoding="utf-8"?>
<sst xmlns="http://schemas.openxmlformats.org/spreadsheetml/2006/main" count="63" uniqueCount="48">
  <si>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</si>
  <si>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</si>
  <si>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</si>
  <si>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</si>
  <si>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</si>
  <si>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</si>
  <si>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</si>
  <si>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</si>
  <si>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</si>
  <si>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</si>
  <si>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</si>
  <si>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</si>
  <si>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</si>
  <si>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</si>
  <si>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</si>
  <si>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</si>
  <si>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</si>
  <si>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</si>
  <si>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</si>
  <si>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</si>
  <si>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</si>
  <si>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</si>
  <si>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</si>
  <si>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</si>
  <si>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</si>
  <si>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</si>
  <si>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</si>
  <si>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</si>
  <si>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</si>
  <si>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</si>
  <si>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</si>
  <si>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</si>
  <si>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</si>
  <si>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Source: Maldives Meteorological Service</t>
  </si>
  <si>
    <t xml:space="preserve"> csivrws clwkijoloroaiTIm cscviDclOm :ctWrwf ivcaed utWmUluAwm</t>
  </si>
  <si>
    <r>
      <t xml:space="preserve"> cjercvea eg</t>
    </r>
    <r>
      <rPr>
        <b/>
        <sz val="10"/>
        <rFont val="Faruma"/>
      </rPr>
      <t>އަހަރު</t>
    </r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</si>
  <si>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</si>
  <si>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</si>
  <si>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</si>
  <si>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</si>
  <si>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</si>
  <si>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</si>
  <si>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</si>
  <si>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</si>
  <si>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</si>
  <si>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</si>
  <si>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2017 ,urwvcnim Wviawfcsog cSwSwd idwa cSwCcawm emcnea cnimunUh uhwmcswmikea : 1.2 clwvWt</t>
  </si>
  <si>
    <t>Table 1.2 : AVERAGE OF DAILY MAXIMUM AND MINIMUM TEMPERATURE,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</si>
</sst>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1"/>
      <name val="A_Faseyha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A_Randhoo"/>
    </font>
    <font>
      <i/>
      <sz val="10"/>
      <name val="Arial"/>
      <family val="2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8" fillId="0" borderId="0"/>
  </cellStyleXfs>
  <cellXfs count="48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4" fillId="2" borderId="1" xfId="0" applyFont="1" applyFill="1" applyBorder="1" applyAlignment="1" applyProtection="1">
      <alignment horizontal="center"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2" xfId="0" applyNumberFormat="1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6" fontId="1" fillId="2" borderId="0" xfId="0" applyNumberFormat="1" applyFont="1" applyFill="1" applyBorder="1" applyAlignment="1" applyProtection="1">
      <alignment horizontal="right" vertical="center"/>
      <protection hidden="1"/>
    </xf>
    <xf numFmtId="166" fontId="7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166" fontId="8" fillId="2" borderId="0" xfId="0" applyNumberFormat="1" applyFont="1" applyFill="1" applyAlignment="1" applyProtection="1">
      <alignment horizontal="right" vertical="center"/>
      <protection locked="0"/>
    </xf>
    <xf numFmtId="166" fontId="8" fillId="2" borderId="1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166" fontId="8" fillId="2" borderId="0" xfId="0" applyNumberFormat="1" applyFont="1" applyFill="1" applyBorder="1" applyAlignment="1" applyProtection="1">
      <alignment horizontal="right" vertical="center"/>
      <protection locked="0"/>
    </xf>
    <xf numFmtId="166" fontId="0" fillId="2" borderId="1" xfId="0" applyNumberFormat="1" applyFont="1" applyFill="1" applyBorder="1" applyAlignment="1" applyProtection="1">
      <alignment horizontal="right" vertical="center"/>
      <protection locked="0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11" fillId="2" borderId="0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Border="1" applyAlignment="1" applyProtection="1">
      <alignment horizontal="center" vertical="top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>
      <alignment horizontal="right" vertical="center"/>
    </xf>
  </cellXfs>
  <cellStyles count="4">
    <cellStyle name="1" xfId="1"/>
    <cellStyle name="Normal" xfId="0" builtinId="0"/>
    <cellStyle name="Normal 11" xfId="3"/>
    <cellStyle name="Normal 5 2" xfId="2"/>
  </cellStyles>
  <dxfs count="0"/>
  <tableStyles count="0" defaultTableStyle="TableStyleMedium9" defaultPivotStyle="PivotStyleLight16"/>
  <colors>
    <mruColors>
      <color rgb="FFFF4F4F"/>
      <color rgb="FFFDEDDF"/>
      <color rgb="FFFFFFCC"/>
      <color rgb="FFFCF600"/>
      <color rgb="FFFFFF97"/>
      <color rgb="FFFFFF89"/>
      <color rgb="FFC45B58"/>
      <color rgb="FFFA0000"/>
      <color rgb="FFC37A37"/>
      <color rgb="FFCE8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1772161963E-2"/>
          <c:y val="0.18935069638067326"/>
          <c:w val="0.93375134410346861"/>
          <c:h val="0.69840647015515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'1.2'!$AJ$16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1.336948975908371E-3"/>
                  <c:y val="0.106415166450359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06C-4895-9426-25438BD4E2FA}"/>
                </c:ext>
              </c:extLst>
            </c:dLbl>
            <c:dLbl>
              <c:idx val="1"/>
              <c:layout>
                <c:manualLayout>
                  <c:x val="1.018995179951028E-3"/>
                  <c:y val="9.60936700906285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6C-4895-9426-25438BD4E2FA}"/>
                </c:ext>
              </c:extLst>
            </c:dLbl>
            <c:dLbl>
              <c:idx val="2"/>
              <c:layout>
                <c:manualLayout>
                  <c:x val="-1.4777507268946106E-3"/>
                  <c:y val="9.84112906831529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06C-4895-9426-25438BD4E2FA}"/>
                </c:ext>
              </c:extLst>
            </c:dLbl>
            <c:dLbl>
              <c:idx val="3"/>
              <c:layout>
                <c:manualLayout>
                  <c:x val="7.9510704271367762E-4"/>
                  <c:y val="9.5892470734221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06C-4895-9426-25438BD4E2FA}"/>
                </c:ext>
              </c:extLst>
            </c:dLbl>
            <c:dLbl>
              <c:idx val="4"/>
              <c:layout>
                <c:manualLayout>
                  <c:x val="2.9503085546485211E-3"/>
                  <c:y val="9.42914505891742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06C-4895-9426-25438BD4E2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'1.2'!$AJ$17:$AJ$21</c:f>
              <c:numCache>
                <c:formatCode>#,##0.0</c:formatCode>
                <c:ptCount val="5"/>
                <c:pt idx="0">
                  <c:v>31.125210573476704</c:v>
                </c:pt>
                <c:pt idx="1">
                  <c:v>31.581467613927298</c:v>
                </c:pt>
                <c:pt idx="2">
                  <c:v>31.711445852534563</c:v>
                </c:pt>
                <c:pt idx="3">
                  <c:v>30.958492703533022</c:v>
                </c:pt>
                <c:pt idx="4">
                  <c:v>31.120657322068613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6C-4895-9426-25438BD4E2FA}"/>
            </c:ext>
          </c:extLst>
        </c:ser>
        <c:ser>
          <c:idx val="1"/>
          <c:order val="1"/>
          <c:tx>
            <c:strRef>
              <c:f>'1.2'!$AK$16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'1.2'!$AH$17:$AI$21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'1.2'!$AK$17:$AK$21</c:f>
              <c:numCache>
                <c:formatCode>#,##0.0</c:formatCode>
                <c:ptCount val="5"/>
                <c:pt idx="0">
                  <c:v>26.602403353814648</c:v>
                </c:pt>
                <c:pt idx="1">
                  <c:v>25.114036098310294</c:v>
                </c:pt>
                <c:pt idx="2">
                  <c:v>25.901730030721968</c:v>
                </c:pt>
                <c:pt idx="3">
                  <c:v>25.319829749103935</c:v>
                </c:pt>
                <c:pt idx="4">
                  <c:v>25.472636328725041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C-4895-9426-25438BD4E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06550176"/>
        <c:axId val="-1706555072"/>
      </c:barChart>
      <c:catAx>
        <c:axId val="-170655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706555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70655507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9005020423508E-3"/>
              <c:y val="0.11507467994991326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70655017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75694911293825"/>
          <c:y val="0.19809866701226778"/>
          <c:w val="0.23027309970753679"/>
          <c:h val="5.7115968000115494E-2"/>
        </c:manualLayout>
      </c:layout>
      <c:overlay val="0"/>
      <c:spPr>
        <a:ln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799653</xdr:colOff>
      <xdr:row>20</xdr:row>
      <xdr:rowOff>76927</xdr:rowOff>
    </xdr:from>
    <xdr:to>
      <xdr:col>14</xdr:col>
      <xdr:colOff>266700</xdr:colOff>
      <xdr:row>39</xdr:row>
      <xdr:rowOff>40097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314324</xdr:colOff>
      <xdr:row>22</xdr:row>
      <xdr:rowOff>31975</xdr:rowOff>
    </xdr:from>
    <xdr:to>
      <xdr:col>13</xdr:col>
      <xdr:colOff>76199</xdr:colOff>
      <xdr:row>22</xdr:row>
      <xdr:rowOff>31975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114549" y="5480275"/>
          <a:ext cx="6257925" cy="0"/>
        </a:xfrm>
        <a:prstGeom prst="line">
          <a:avLst/>
        </a:prstGeom>
        <a:ln w="38100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0.14118</cdr:x>
      <cdr:y>0.03186</cdr:y>
    </cdr:from>
    <cdr:to>
      <cdr:x>0.90921</cdr:x>
      <cdr:y>0.10942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041" y="99790"/>
          <a:ext cx="5179176" cy="2429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1.2: Yearly Average of daily maximum and minimum temperature, </a:t>
          </a:r>
          <a:r>
            <a:rPr lang="en-US" sz="1200" b="1" i="0" strike="noStrike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2017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4"/>
  <sheetViews>
    <sheetView tabSelected="1" zoomScaleNormal="100" workbookViewId="0">
      <selection activeCell="AJ17" sqref="AJ17"/>
    </sheetView>
  </sheetViews>
  <sheetFormatPr defaultColWidth="8.85546875" defaultRowHeight="15" x14ac:dyDescent="0.25"/>
  <cols>
    <col min="1" max="1" width="18.140625" style="37" customWidth="1"/>
    <col min="2" max="14" width="8.85546875" style="37"/>
    <col min="15" max="15" width="19.5703125" style="37" customWidth="1"/>
    <col min="16" max="16384" width="8.85546875" style="37"/>
  </cols>
  <sheetData>
    <row r="1" spans="1:37" s="1" customFormat="1" ht="18" x14ac:dyDescent="0.25">
      <c r="A1" s="41" t="s">
        <v>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7" s="12" customFormat="1" ht="15.75" x14ac:dyDescent="0.25">
      <c r="A2" s="42" t="s">
        <v>47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37" s="12" customForma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37" s="1" customFormat="1" ht="15.75" customHeight="1" x14ac:dyDescent="0.25">
      <c r="A4" s="43" t="s">
        <v>0</v>
      </c>
      <c r="B4" s="14" t="s">
        <v>35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3" t="s">
        <v>9</v>
      </c>
      <c r="L4" s="2" t="s">
        <v>10</v>
      </c>
      <c r="M4" s="2" t="s">
        <v>11</v>
      </c>
      <c r="N4" s="2" t="s">
        <v>12</v>
      </c>
      <c r="O4" s="45" t="s">
        <v>13</v>
      </c>
    </row>
    <row r="5" spans="1:37" s="6" customFormat="1" ht="24.75" customHeight="1" x14ac:dyDescent="0.25">
      <c r="A5" s="44"/>
      <c r="B5" s="15" t="s">
        <v>36</v>
      </c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6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  <c r="N5" s="16" t="s">
        <v>25</v>
      </c>
      <c r="O5" s="46"/>
    </row>
    <row r="6" spans="1:37" s="6" customFormat="1" ht="15.75" x14ac:dyDescent="0.25">
      <c r="A6" s="4"/>
      <c r="B6" s="17"/>
      <c r="C6" s="5"/>
      <c r="D6" s="5"/>
      <c r="E6" s="5"/>
      <c r="F6" s="5"/>
      <c r="G6" s="5"/>
      <c r="H6" s="5"/>
      <c r="I6" s="5"/>
      <c r="J6" s="18"/>
      <c r="K6" s="18"/>
      <c r="L6" s="18"/>
      <c r="M6" s="18"/>
      <c r="N6" s="18"/>
      <c r="O6" s="40"/>
    </row>
    <row r="7" spans="1:37" s="6" customFormat="1" ht="19.5" customHeight="1" x14ac:dyDescent="0.25">
      <c r="A7" s="8" t="s">
        <v>37</v>
      </c>
      <c r="B7" s="19"/>
      <c r="C7" s="19"/>
      <c r="D7" s="19"/>
      <c r="E7" s="19"/>
      <c r="F7" s="19"/>
      <c r="G7" s="19"/>
      <c r="H7" s="19"/>
      <c r="I7" s="19"/>
      <c r="J7" s="47" t="s">
        <v>38</v>
      </c>
      <c r="K7" s="47"/>
      <c r="L7" s="47"/>
      <c r="M7" s="47"/>
      <c r="N7" s="47"/>
      <c r="O7" s="47"/>
    </row>
    <row r="8" spans="1:37" s="1" customFormat="1" ht="22.9" customHeight="1" x14ac:dyDescent="0.25">
      <c r="A8" s="7" t="s">
        <v>26</v>
      </c>
      <c r="B8" s="21">
        <f>AVERAGE(C8:N8)</f>
        <v>31.125210573476704</v>
      </c>
      <c r="C8" s="35">
        <v>30.396774193548389</v>
      </c>
      <c r="D8" s="35">
        <v>30.675000000000004</v>
      </c>
      <c r="E8" s="35">
        <v>31.20967741935484</v>
      </c>
      <c r="F8" s="35">
        <v>32.146666666666661</v>
      </c>
      <c r="G8" s="35">
        <v>31.36774193548387</v>
      </c>
      <c r="H8" s="35">
        <v>31.563333333333333</v>
      </c>
      <c r="I8" s="35">
        <v>31.348387096774189</v>
      </c>
      <c r="J8" s="35">
        <v>31.225806451612904</v>
      </c>
      <c r="K8" s="35">
        <v>30.706666666666667</v>
      </c>
      <c r="L8" s="35">
        <v>31.20645161290323</v>
      </c>
      <c r="M8" s="35">
        <v>30.436666666666671</v>
      </c>
      <c r="N8" s="35">
        <v>31.21935483870968</v>
      </c>
      <c r="O8" s="20" t="s">
        <v>27</v>
      </c>
    </row>
    <row r="9" spans="1:37" s="1" customFormat="1" ht="22.9" customHeight="1" x14ac:dyDescent="0.25">
      <c r="A9" s="7" t="s">
        <v>29</v>
      </c>
      <c r="B9" s="21">
        <f>AVERAGE(C9:N9)</f>
        <v>31.581467613927298</v>
      </c>
      <c r="C9" s="35">
        <v>31.187096774193552</v>
      </c>
      <c r="D9" s="35">
        <v>31.196428571428573</v>
      </c>
      <c r="E9" s="35">
        <v>31.661290322580644</v>
      </c>
      <c r="F9" s="35">
        <v>33.086666666666673</v>
      </c>
      <c r="G9" s="35">
        <v>32.0741935483871</v>
      </c>
      <c r="H9" s="35">
        <v>31.220000000000002</v>
      </c>
      <c r="I9" s="35">
        <v>32.009677419354844</v>
      </c>
      <c r="J9" s="35">
        <v>31.36774193548387</v>
      </c>
      <c r="K9" s="35">
        <v>31.08</v>
      </c>
      <c r="L9" s="35">
        <v>31.364516129032264</v>
      </c>
      <c r="M9" s="35">
        <v>31.530000000000005</v>
      </c>
      <c r="N9" s="35">
        <v>31.200000000000003</v>
      </c>
      <c r="O9" s="20" t="s">
        <v>30</v>
      </c>
    </row>
    <row r="10" spans="1:37" s="1" customFormat="1" ht="22.9" customHeight="1" x14ac:dyDescent="0.25">
      <c r="A10" s="7" t="s">
        <v>31</v>
      </c>
      <c r="B10" s="21">
        <f>AVERAGE(C10:N10)</f>
        <v>31.711445852534563</v>
      </c>
      <c r="C10" s="35">
        <v>30.71935483870968</v>
      </c>
      <c r="D10" s="35">
        <v>30.889285714285709</v>
      </c>
      <c r="E10" s="35">
        <v>32.129032258064512</v>
      </c>
      <c r="F10" s="35">
        <v>32.806666666666665</v>
      </c>
      <c r="G10" s="35">
        <v>32.103225806451611</v>
      </c>
      <c r="H10" s="35">
        <v>32.13666666666667</v>
      </c>
      <c r="I10" s="35">
        <v>32.464516129032248</v>
      </c>
      <c r="J10" s="35">
        <v>32.12580645161291</v>
      </c>
      <c r="K10" s="35">
        <v>31.533333333333335</v>
      </c>
      <c r="L10" s="35">
        <v>31.86451612903226</v>
      </c>
      <c r="M10" s="35">
        <v>31.11333333333333</v>
      </c>
      <c r="N10" s="35">
        <v>30.651612903225804</v>
      </c>
      <c r="O10" s="20" t="s">
        <v>39</v>
      </c>
    </row>
    <row r="11" spans="1:37" s="1" customFormat="1" ht="22.9" customHeight="1" x14ac:dyDescent="0.25">
      <c r="A11" s="7" t="s">
        <v>32</v>
      </c>
      <c r="B11" s="21">
        <f>AVERAGE(C11:N11)</f>
        <v>30.958492703533022</v>
      </c>
      <c r="C11" s="35">
        <v>30.245161290322574</v>
      </c>
      <c r="D11" s="35">
        <v>30.746428571428574</v>
      </c>
      <c r="E11" s="35">
        <v>31.345161290322583</v>
      </c>
      <c r="F11" s="35">
        <v>31.839999999999996</v>
      </c>
      <c r="G11" s="35">
        <v>31.119354838709672</v>
      </c>
      <c r="H11" s="35">
        <v>31.439999999999994</v>
      </c>
      <c r="I11" s="35">
        <v>31.4</v>
      </c>
      <c r="J11" s="35">
        <v>31.041935483870972</v>
      </c>
      <c r="K11" s="35">
        <v>30.654838709677421</v>
      </c>
      <c r="L11" s="35">
        <v>31.174193548387098</v>
      </c>
      <c r="M11" s="35">
        <v>30.34</v>
      </c>
      <c r="N11" s="35">
        <v>30.154838709677417</v>
      </c>
      <c r="O11" s="20" t="s">
        <v>40</v>
      </c>
    </row>
    <row r="12" spans="1:37" s="1" customFormat="1" ht="22.9" customHeight="1" x14ac:dyDescent="0.25">
      <c r="A12" s="7" t="s">
        <v>28</v>
      </c>
      <c r="B12" s="21">
        <f>AVERAGE(C12:N12)</f>
        <v>31.120657322068613</v>
      </c>
      <c r="C12" s="38">
        <v>30.780645161290323</v>
      </c>
      <c r="D12" s="35">
        <v>31.089285714285719</v>
      </c>
      <c r="E12" s="35">
        <v>31.741935483870968</v>
      </c>
      <c r="F12" s="35">
        <v>32.153333333333329</v>
      </c>
      <c r="G12" s="35">
        <v>31.267741935483876</v>
      </c>
      <c r="H12" s="35">
        <v>31.619999999999994</v>
      </c>
      <c r="I12" s="35">
        <v>31.074193548387093</v>
      </c>
      <c r="J12" s="35">
        <v>30.809677419354831</v>
      </c>
      <c r="K12" s="35">
        <v>30.300000000000008</v>
      </c>
      <c r="L12" s="35">
        <v>31.264516129032252</v>
      </c>
      <c r="M12" s="35">
        <v>30.543333333333333</v>
      </c>
      <c r="N12" s="35">
        <v>30.803225806451614</v>
      </c>
      <c r="O12" s="20" t="s">
        <v>41</v>
      </c>
    </row>
    <row r="13" spans="1:37" s="1" customFormat="1" ht="19.5" customHeight="1" x14ac:dyDescent="0.25">
      <c r="A13" s="8" t="s">
        <v>42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 t="s">
        <v>43</v>
      </c>
    </row>
    <row r="14" spans="1:37" s="1" customFormat="1" ht="22.9" customHeight="1" x14ac:dyDescent="0.25">
      <c r="A14" s="7" t="s">
        <v>26</v>
      </c>
      <c r="B14" s="21">
        <f>AVERAGE(C14:N14)</f>
        <v>26.602403353814648</v>
      </c>
      <c r="C14" s="35">
        <v>25.91612903225807</v>
      </c>
      <c r="D14" s="35">
        <v>26.403571428571421</v>
      </c>
      <c r="E14" s="35">
        <v>26.635483870967747</v>
      </c>
      <c r="F14" s="35">
        <v>27.943333333333335</v>
      </c>
      <c r="G14" s="35">
        <v>26.241935483870979</v>
      </c>
      <c r="H14" s="35">
        <v>27.31666666666667</v>
      </c>
      <c r="I14" s="35">
        <v>26.816129032258068</v>
      </c>
      <c r="J14" s="35">
        <v>26.700000000000006</v>
      </c>
      <c r="K14" s="35">
        <v>26.33</v>
      </c>
      <c r="L14" s="35">
        <v>26.958064516129035</v>
      </c>
      <c r="M14" s="35">
        <v>25.793333333333329</v>
      </c>
      <c r="N14" s="35">
        <v>26.174193548387091</v>
      </c>
      <c r="O14" s="20" t="s">
        <v>27</v>
      </c>
    </row>
    <row r="15" spans="1:37" s="1" customFormat="1" ht="22.9" customHeight="1" x14ac:dyDescent="0.25">
      <c r="A15" s="7" t="s">
        <v>29</v>
      </c>
      <c r="B15" s="21">
        <f>AVERAGE(C15:N15)</f>
        <v>25.114036098310294</v>
      </c>
      <c r="C15" s="35">
        <v>23.761290322580646</v>
      </c>
      <c r="D15" s="35">
        <v>24.30714285714286</v>
      </c>
      <c r="E15" s="35">
        <v>24.925806451612907</v>
      </c>
      <c r="F15" s="35">
        <v>27.580000000000002</v>
      </c>
      <c r="G15" s="35">
        <v>25.174193548387098</v>
      </c>
      <c r="H15" s="35">
        <v>25.349999999999998</v>
      </c>
      <c r="I15" s="35">
        <v>25.564516129032263</v>
      </c>
      <c r="J15" s="35">
        <v>25.370967741935484</v>
      </c>
      <c r="K15" s="35">
        <v>25.119999999999997</v>
      </c>
      <c r="L15" s="35">
        <v>24.819354838709682</v>
      </c>
      <c r="M15" s="35">
        <v>24.25</v>
      </c>
      <c r="N15" s="35">
        <v>25.145161290322584</v>
      </c>
      <c r="O15" s="20" t="s">
        <v>30</v>
      </c>
    </row>
    <row r="16" spans="1:37" s="1" customFormat="1" ht="22.9" customHeight="1" x14ac:dyDescent="0.2">
      <c r="A16" s="7" t="s">
        <v>31</v>
      </c>
      <c r="B16" s="21">
        <f>AVERAGE(C16:N16)</f>
        <v>25.901730030721968</v>
      </c>
      <c r="C16" s="35">
        <v>25.622580645161293</v>
      </c>
      <c r="D16" s="35">
        <v>25.767857142857149</v>
      </c>
      <c r="E16" s="35">
        <v>26.083870967741941</v>
      </c>
      <c r="F16" s="35">
        <v>27.803333333333335</v>
      </c>
      <c r="G16" s="35">
        <v>26.238709677419358</v>
      </c>
      <c r="H16" s="35">
        <v>26.133333333333333</v>
      </c>
      <c r="I16" s="35">
        <v>26.087096774193554</v>
      </c>
      <c r="J16" s="35">
        <v>25.687096774193545</v>
      </c>
      <c r="K16" s="35">
        <v>25.65666666666667</v>
      </c>
      <c r="L16" s="35">
        <v>26.129032258064512</v>
      </c>
      <c r="M16" s="35">
        <v>24.746666666666663</v>
      </c>
      <c r="N16" s="35">
        <v>24.864516129032253</v>
      </c>
      <c r="O16" s="20" t="s">
        <v>39</v>
      </c>
      <c r="AJ16" s="33" t="s">
        <v>44</v>
      </c>
      <c r="AK16" s="33" t="s">
        <v>45</v>
      </c>
    </row>
    <row r="17" spans="1:37" s="1" customFormat="1" ht="22.9" customHeight="1" x14ac:dyDescent="0.25">
      <c r="A17" s="7" t="s">
        <v>32</v>
      </c>
      <c r="B17" s="21">
        <f>AVERAGE(C17:N17)</f>
        <v>25.319829749103935</v>
      </c>
      <c r="C17" s="35">
        <v>25.506451612903227</v>
      </c>
      <c r="D17" s="35">
        <v>25.725806451612904</v>
      </c>
      <c r="E17" s="35">
        <v>25.006451612903223</v>
      </c>
      <c r="F17" s="35">
        <v>26.770000000000003</v>
      </c>
      <c r="G17" s="35">
        <v>25.416129032258066</v>
      </c>
      <c r="H17" s="35">
        <v>25.796666666666667</v>
      </c>
      <c r="I17" s="35">
        <v>25.470967741935489</v>
      </c>
      <c r="J17" s="35">
        <v>24.696774193548386</v>
      </c>
      <c r="K17" s="35">
        <v>24.877419354838711</v>
      </c>
      <c r="L17" s="35">
        <v>25.7</v>
      </c>
      <c r="M17" s="35">
        <v>24.61</v>
      </c>
      <c r="N17" s="35">
        <v>24.261290322580653</v>
      </c>
      <c r="O17" s="20" t="s">
        <v>40</v>
      </c>
      <c r="AH17" s="11" t="s">
        <v>26</v>
      </c>
      <c r="AJ17" s="21">
        <f>B8</f>
        <v>31.125210573476704</v>
      </c>
      <c r="AK17" s="21">
        <f>B14</f>
        <v>26.602403353814648</v>
      </c>
    </row>
    <row r="18" spans="1:37" s="1" customFormat="1" ht="22.9" customHeight="1" x14ac:dyDescent="0.25">
      <c r="A18" s="9" t="s">
        <v>28</v>
      </c>
      <c r="B18" s="34">
        <f>AVERAGE(C18:N18)</f>
        <v>25.472636328725041</v>
      </c>
      <c r="C18" s="36">
        <v>25.170967741935481</v>
      </c>
      <c r="D18" s="39">
        <v>25.653571428571436</v>
      </c>
      <c r="E18" s="36">
        <v>26.048387096774196</v>
      </c>
      <c r="F18" s="36">
        <v>26.47666666666667</v>
      </c>
      <c r="G18" s="36">
        <v>25.993548387096777</v>
      </c>
      <c r="H18" s="36">
        <v>25.753333333333334</v>
      </c>
      <c r="I18" s="36">
        <v>25.238709677419354</v>
      </c>
      <c r="J18" s="36">
        <v>24.838709677419356</v>
      </c>
      <c r="K18" s="36">
        <v>24.916666666666668</v>
      </c>
      <c r="L18" s="36">
        <v>25.719354838709673</v>
      </c>
      <c r="M18" s="36">
        <v>24.813333333333343</v>
      </c>
      <c r="N18" s="36">
        <v>25.048387096774189</v>
      </c>
      <c r="O18" s="24" t="s">
        <v>41</v>
      </c>
      <c r="AH18" s="11" t="s">
        <v>29</v>
      </c>
      <c r="AJ18" s="21">
        <f>B9</f>
        <v>31.581467613927298</v>
      </c>
      <c r="AK18" s="21">
        <f>B15</f>
        <v>25.114036098310294</v>
      </c>
    </row>
    <row r="19" spans="1:37" s="1" customFormat="1" ht="14.25" customHeight="1" x14ac:dyDescent="0.25">
      <c r="A19" s="10" t="s">
        <v>33</v>
      </c>
      <c r="B19" s="25"/>
      <c r="O19" s="26" t="s">
        <v>34</v>
      </c>
      <c r="AH19" s="11" t="s">
        <v>31</v>
      </c>
      <c r="AJ19" s="21">
        <f>B10</f>
        <v>31.711445852534563</v>
      </c>
      <c r="AK19" s="21">
        <f>B16</f>
        <v>25.901730030721968</v>
      </c>
    </row>
    <row r="20" spans="1:37" s="1" customFormat="1" ht="15.75" x14ac:dyDescent="0.25">
      <c r="A20" s="10"/>
      <c r="B20" s="25"/>
      <c r="O20" s="26"/>
      <c r="AH20" s="11" t="s">
        <v>32</v>
      </c>
      <c r="AJ20" s="21">
        <f>B11</f>
        <v>30.958492703533022</v>
      </c>
      <c r="AK20" s="21">
        <f>B17</f>
        <v>25.319829749103935</v>
      </c>
    </row>
    <row r="21" spans="1:37" x14ac:dyDescent="0.25">
      <c r="AH21" s="11" t="s">
        <v>28</v>
      </c>
      <c r="AI21" s="1"/>
      <c r="AJ21" s="21">
        <f>B12</f>
        <v>31.120657322068613</v>
      </c>
      <c r="AK21" s="21">
        <f>B18</f>
        <v>25.472636328725041</v>
      </c>
    </row>
    <row r="22" spans="1:37" x14ac:dyDescent="0.25">
      <c r="AH22" s="32"/>
      <c r="AI22" s="1"/>
      <c r="AJ22" s="1"/>
      <c r="AK22" s="1"/>
    </row>
    <row r="24" spans="1:37" s="1" customFormat="1" ht="15.75" x14ac:dyDescent="0.25">
      <c r="A24" s="10"/>
      <c r="B24" s="25"/>
      <c r="O24" s="26"/>
    </row>
    <row r="25" spans="1:37" s="1" customFormat="1" ht="12.75" x14ac:dyDescent="0.25"/>
    <row r="26" spans="1:37" s="1" customFormat="1" ht="12.75" x14ac:dyDescent="0.25">
      <c r="A26" s="27"/>
    </row>
    <row r="27" spans="1:37" s="1" customFormat="1" ht="12.75" x14ac:dyDescent="0.25">
      <c r="A27" s="27"/>
      <c r="B27" s="28"/>
    </row>
    <row r="28" spans="1:37" s="1" customFormat="1" ht="12.75" x14ac:dyDescent="0.25">
      <c r="A28" s="11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37" s="1" customFormat="1" ht="12.75" x14ac:dyDescent="0.25">
      <c r="A29" s="11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37" s="1" customFormat="1" ht="12.75" x14ac:dyDescent="0.25">
      <c r="A30" s="11"/>
      <c r="B30" s="28"/>
      <c r="C30" s="31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37" s="1" customFormat="1" ht="12.75" x14ac:dyDescent="0.25">
      <c r="A31" s="11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37" s="1" customFormat="1" ht="12.75" x14ac:dyDescent="0.2">
      <c r="A32" s="11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/>
    </row>
    <row r="33" spans="1:14" s="1" customFormat="1" ht="12.75" x14ac:dyDescent="0.25">
      <c r="A33" s="11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s="1" customFormat="1" ht="12.75" x14ac:dyDescent="0.25">
      <c r="A34" s="11"/>
    </row>
    <row r="35" spans="1:14" s="1" customFormat="1" ht="12.75" x14ac:dyDescent="0.25">
      <c r="A35" s="11"/>
      <c r="B35" s="28"/>
    </row>
    <row r="36" spans="1:14" s="1" customFormat="1" ht="12.75" x14ac:dyDescent="0.25">
      <c r="A36" s="11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s="1" customFormat="1" ht="12.75" x14ac:dyDescent="0.25">
      <c r="A37" s="11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s="1" customFormat="1" ht="12.75" x14ac:dyDescent="0.25">
      <c r="A38" s="11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s="1" customFormat="1" ht="12.75" x14ac:dyDescent="0.25">
      <c r="A39" s="11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spans="1:14" s="1" customFormat="1" ht="12.75" x14ac:dyDescent="0.25">
      <c r="A40" s="11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s="1" customFormat="1" ht="12.75" x14ac:dyDescent="0.25"/>
    <row r="42" spans="1:14" s="1" customFormat="1" ht="12.75" x14ac:dyDescent="0.25"/>
    <row r="43" spans="1:14" s="1" customFormat="1" ht="12.75" x14ac:dyDescent="0.25"/>
    <row r="44" spans="1:14" s="1" customFormat="1" ht="12.75" x14ac:dyDescent="0.25"/>
  </sheetData>
  <protectedRanges>
    <protectedRange sqref="C13:N13 M7:N7 C7:I7 K7" name="Range1_1"/>
    <protectedRange sqref="C8:N12" name="Range1_1_1_1_1"/>
    <protectedRange sqref="C14:N17" name="Range1_1_2_1_1"/>
  </protectedRanges>
  <mergeCells count="5">
    <mergeCell ref="A1:O1"/>
    <mergeCell ref="A2:O2"/>
    <mergeCell ref="A4:A5"/>
    <mergeCell ref="O4:O5"/>
    <mergeCell ref="J7:O7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U8:WWF18 C8:N18 JI8:JT18 TE8:TP18 ADA8:ADL18 AMW8:ANH18 AWS8:AXD18 BGO8:BGZ18 BQK8:BQV18 CAG8:CAR18 CKC8:CKN18 CTY8:CUJ18 DDU8:DEF18 DNQ8:DOB18 DXM8:DXX18 EHI8:EHT18 ERE8:ERP18 FBA8:FBL18 FKW8:FLH18 FUS8:FVD18 GEO8:GEZ18 GOK8:GOV18 GYG8:GYR18 HIC8:HIN18 HRY8:HSJ18 IBU8:ICF18 ILQ8:IMB18 IVM8:IVX18 JFI8:JFT18 JPE8:JPP18 JZA8:JZL18 KIW8:KJH18 KSS8:KTD18 LCO8:LCZ18 LMK8:LMV18 LWG8:LWR18 MGC8:MGN18 MPY8:MQJ18 MZU8:NAF18 NJQ8:NKB18 NTM8:NTX18 ODI8:ODT18 ONE8:ONP18 OXA8:OXL18 PGW8:PHH18 PQS8:PRD18 QAO8:QAZ18 QKK8:QKV18 QUG8:QUR18 REC8:REN18 RNY8:ROJ18 RXU8:RYF18 SHQ8:SIB18 SRM8:SRX18 TBI8:TBT18 TLE8:TLP18 TVA8:TVL18 UEW8:UFH18 UOS8:UPD18 UYO8:UYZ18 VIK8:VIV18 VSG8:VSR18 WCC8:WCN18 WLY8:WMJ18">
      <formula1>0</formula1>
      <formula2>1000</formula2>
    </dataValidation>
  </dataValidations>
  <pageMargins left="0.31" right="0.16" top="0.21" bottom="0.24" header="0.17" footer="0.3"/>
  <pageSetup paperSize="9" scale="85" orientation="landscape" horizontalDpi="4294967295" verticalDpi="4294967295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</vt:lpstr>
      <vt:lpstr>'1.2'!Print_Area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2018-03-20T05:40:30Z</cp:lastPrinted>
  <dcterms:created xsi:type="dcterms:W3CDTF">2014-04-06T04:34:47Z</dcterms:created>
  <dcterms:modified xsi:type="dcterms:W3CDTF">2018-03-20T05:40:36Z</dcterms:modified>
</cp:coreProperties>
</file>