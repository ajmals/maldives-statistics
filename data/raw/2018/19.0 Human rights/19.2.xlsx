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9  HUMAN RIGHTS\"/>
    </mc:Choice>
  </mc:AlternateContent>
  <bookViews>
    <workbookView xWindow="0" yWindow="0" windowWidth="28800" windowHeight="12330" tabRatio="633"/>
  </bookViews>
  <sheets>
    <sheet name="19.2" sheetId="2" r:id="rId1"/>
  </sheets>
  <calcPr calcId="162913"/>
</workbook>
</file>

<file path=xl/calcChain.xml><?xml version="1.0" encoding="utf-8"?>
<calcChain xmlns="http://schemas.openxmlformats.org/spreadsheetml/2006/main">
  <c r="J7" i="2" l="1"/>
  <c r="H7" i="2" l="1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<sst xmlns="http://schemas.openxmlformats.org/spreadsheetml/2006/main" count="17" uniqueCount="17">
  <si>
    <t>2008*</t>
  </si>
  <si>
    <t>Source: Human Rights Commission of the Maldives</t>
  </si>
  <si>
    <t>Details</t>
  </si>
  <si>
    <t>ތަފްޞީލު</t>
  </si>
  <si>
    <t xml:space="preserve">Total Number of Cases submitted </t>
  </si>
  <si>
    <t xml:space="preserve"> އަހަރުތެރޭގައި ހުށަހެޅުނު މައްސަލަތަކުގެ ޖުމްލަ 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</si>
  <si>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</si>
  <si>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އަހަރުތެރޭގައި ބަލާ ނިންމުނު މައްސަލަތައް</t>
  </si>
  <si>
    <r>
      <t xml:space="preserve">Cases incomplete </t>
    </r>
    <r>
      <rPr>
        <i/>
        <sz val="10"/>
        <color theme="1"/>
        <rFont val="Calibri"/>
        <family val="2"/>
        <scheme val="minor"/>
      </rPr>
      <t>(year end)</t>
    </r>
  </si>
  <si>
    <t xml:space="preserve"> އަހަރު ނިމުނުއިރު ނުނިމި ހުރި މައްސަލަތަކުގެ ޢަދަދު</t>
  </si>
  <si>
    <t>Note:  * Ratification of the New Constitution</t>
  </si>
  <si>
    <t>ނޯޓް: * އައު ޤާނޫނުއަސާސީ ތަޞްދީޤުކުރުން.</t>
  </si>
  <si>
    <t>Cases completed includes cases initiated and investigated by the HR Commission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</si>
  <si>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</si>
  <si>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t xml:space="preserve"> މަޢުލޫމާތު ދެއްވި ފަރާތް: ހިއުމަން ރައިޓްސް ކޮމިޝަން އޮފް ދި މޯލްޑިވްސް</t>
  </si>
  <si>
    <t xml:space="preserve">TABLE 19.2:  NUMBER OF HUMAN RIGHTS RELATED CASES REPORTED AND COMPLETED,  2007 - 2017
</t>
  </si>
  <si>
    <t>ތާވަލު 19.2: އިންސާނީ ޙައްޤުތަކާ ގުޅުންހުރި މައްސަލަތައް ހުށަހެޅުނު އަދި ބެލުނު މިންވަރު، 2007 - 2017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</si>
</sst>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sz val="12"/>
      <color theme="1"/>
      <name val="Faruma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scheme val="minor"/>
    </font>
    <font>
      <b/>
      <sz val="9"/>
      <color theme="1"/>
      <name val="Faruma"/>
    </font>
    <font>
      <sz val="9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0" applyFont="1" applyFill="1" applyBorder="1" applyAlignment="1">
      <alignment vertical="center"/>
    </xf>
    <xf numFmtId="0" fontId="0" fillId="2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right" vertical="center"/>
    </xf>
    <xf numFmtId="165" fontId="1" fillId="2" borderId="0" xfId="1" applyNumberFormat="1" applyFont="1" applyFill="1" applyBorder="1" applyAlignment="1">
      <alignment horizontal="right" vertical="center"/>
    </xf>
    <xf numFmtId="165" fontId="0" fillId="2" borderId="0" xfId="1" applyNumberFormat="1" applyFont="1" applyFill="1" applyBorder="1" applyAlignment="1">
      <alignment horizontal="right" vertical="center"/>
    </xf>
    <xf numFmtId="165" fontId="0" fillId="2" borderId="2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 readingOrder="2"/>
    </xf>
    <xf numFmtId="0" fontId="9" fillId="2" borderId="0" xfId="0" applyFont="1" applyFill="1" applyBorder="1" applyAlignment="1">
      <alignment horizontal="right" vertical="center" wrapText="1" indent="1" readingOrder="2"/>
    </xf>
    <xf numFmtId="0" fontId="11" fillId="2" borderId="0" xfId="0" applyFont="1" applyFill="1" applyBorder="1" applyAlignment="1">
      <alignment horizontal="left" vertical="center" wrapText="1" indent="1" readingOrder="2"/>
    </xf>
    <xf numFmtId="0" fontId="9" fillId="2" borderId="0" xfId="0" applyFont="1" applyFill="1" applyBorder="1" applyAlignment="1">
      <alignment horizontal="right" vertical="center" indent="1" readingOrder="2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E7FFFF"/>
      <color rgb="FF99E7E5"/>
      <color rgb="FF7DE1D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19.2: Number of Human Rights related cases reported and completed,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2011 - 2017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80019346944769"/>
          <c:y val="4.16666233552489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4316020716389052E-2"/>
          <c:y val="0.15524314668999853"/>
          <c:w val="0.92459719907273996"/>
          <c:h val="0.7442190518264424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'19.2'!$F$4:$L$4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'19.2'!$F$5:$L$5</c:f>
              <c:numCache>
                <c:formatCode>_(* #,##0_);_(* \(#,##0\);_(* "-"??_);_(@_)</c:formatCode>
                <c:ptCount val="7"/>
                <c:pt idx="0">
                  <c:v>625</c:v>
                </c:pt>
                <c:pt idx="1">
                  <c:v>732</c:v>
                </c:pt>
                <c:pt idx="2">
                  <c:v>719</c:v>
                </c:pt>
                <c:pt idx="3">
                  <c:v>529</c:v>
                </c:pt>
                <c:pt idx="4">
                  <c:v>592</c:v>
                </c:pt>
                <c:pt idx="5">
                  <c:v>538</c:v>
                </c:pt>
                <c:pt idx="6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C-4DD6-9317-57AD89A30F55}"/>
            </c:ext>
          </c:extLst>
        </c:ser>
        <c:ser>
          <c:idx val="2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'19.2'!$F$4:$L$4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'19.2'!$F$6:$L$6</c:f>
              <c:numCache>
                <c:formatCode>_(* #,##0_);_(* \(#,##0\);_(* "-"??_);_(@_)</c:formatCode>
                <c:ptCount val="7"/>
                <c:pt idx="0">
                  <c:v>252</c:v>
                </c:pt>
                <c:pt idx="1">
                  <c:v>221</c:v>
                </c:pt>
                <c:pt idx="2">
                  <c:v>352</c:v>
                </c:pt>
                <c:pt idx="3">
                  <c:v>244</c:v>
                </c:pt>
                <c:pt idx="4">
                  <c:v>775</c:v>
                </c:pt>
                <c:pt idx="5">
                  <c:v>1190</c:v>
                </c:pt>
                <c:pt idx="6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C-4DD6-9317-57AD89A30F55}"/>
            </c:ext>
          </c:extLst>
        </c:ser>
        <c:ser>
          <c:idx val="3"/>
          <c:order val="2"/>
          <c:tx>
            <c:strRef>
              <c:f>'19.2'!$A$7</c:f>
              <c:strCache>
                <c:ptCount val="1"/>
                <c:pt idx="0">
                  <c:v>Cases incomplete (year end)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'19.2'!$F$4:$L$4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'19.2'!$F$7:$L$7</c:f>
              <c:numCache>
                <c:formatCode>_(* #,##0_);_(* \(#,##0\);_(* "-"??_);_(@_)</c:formatCode>
                <c:ptCount val="7"/>
                <c:pt idx="0">
                  <c:v>373</c:v>
                </c:pt>
                <c:pt idx="1">
                  <c:v>511</c:v>
                </c:pt>
                <c:pt idx="2">
                  <c:v>367</c:v>
                </c:pt>
                <c:pt idx="3">
                  <c:v>285</c:v>
                </c:pt>
                <c:pt idx="4">
                  <c:v>194</c:v>
                </c:pt>
                <c:pt idx="5">
                  <c:v>477</c:v>
                </c:pt>
                <c:pt idx="6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7C-4DD6-9317-57AD89A30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overlap val="-2"/>
        <c:axId val="94693632"/>
        <c:axId val="94699520"/>
      </c:barChart>
      <c:catAx>
        <c:axId val="946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4699520"/>
        <c:crosses val="autoZero"/>
        <c:auto val="1"/>
        <c:lblAlgn val="ctr"/>
        <c:lblOffset val="100"/>
        <c:noMultiLvlLbl val="0"/>
      </c:catAx>
      <c:valAx>
        <c:axId val="946995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946936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6.6385899078892793E-2"/>
          <c:y val="0.188605978708107"/>
          <c:w val="0.81535099182313386"/>
          <c:h val="8.710459241727756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1571624</xdr:colOff>
      <xdr:row>10</xdr:row>
      <xdr:rowOff>190499</xdr:rowOff>
    </xdr:from>
    <xdr:to>
      <xdr:col>12</xdr:col>
      <xdr:colOff>1478280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342899</xdr:colOff>
      <xdr:row>12</xdr:row>
      <xdr:rowOff>133351</xdr:rowOff>
    </xdr:from>
    <xdr:to>
      <xdr:col>12</xdr:col>
      <xdr:colOff>781050</xdr:colOff>
      <xdr:row>12</xdr:row>
      <xdr:rowOff>142875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V="1">
          <a:off x="2705099" y="2981326"/>
          <a:ext cx="6724651" cy="9524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selection activeCell="A29" sqref="A29"/>
    </sheetView>
  </sheetViews>
  <sheetFormatPr defaultColWidth="9.140625" defaultRowHeight="15" x14ac:dyDescent="0.25"/>
  <cols>
    <col min="1" max="1" width="35.42578125" style="2" customWidth="1"/>
    <col min="2" max="12" width="8.5703125" style="2" customWidth="1"/>
    <col min="13" max="13" width="50.7109375" style="2" customWidth="1"/>
    <col min="14" max="14" width="5" style="2" customWidth="1"/>
    <col min="15" max="16384" width="9.140625" style="2"/>
  </cols>
  <sheetData>
    <row r="1" spans="1:14" ht="21.75" x14ac:dyDescent="0.55000000000000004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4" s="3" customFormat="1" ht="18.75" customHeight="1" x14ac:dyDescent="0.25">
      <c r="A2" s="32" t="s">
        <v>15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4" hidden="1" x14ac:dyDescent="0.25"/>
    <row r="4" spans="1:14" s="7" customFormat="1" ht="17.25" customHeight="1" x14ac:dyDescent="0.25">
      <c r="A4" s="4" t="s">
        <v>2</v>
      </c>
      <c r="B4" s="5">
        <v>2007</v>
      </c>
      <c r="C4" s="5" t="s">
        <v>0</v>
      </c>
      <c r="D4" s="5">
        <v>2009</v>
      </c>
      <c r="E4" s="5">
        <v>2010</v>
      </c>
      <c r="F4" s="5">
        <v>2011</v>
      </c>
      <c r="G4" s="5">
        <v>2012</v>
      </c>
      <c r="H4" s="5">
        <v>2013</v>
      </c>
      <c r="I4" s="5">
        <v>2014</v>
      </c>
      <c r="J4" s="5">
        <v>2015</v>
      </c>
      <c r="K4" s="5">
        <v>2016</v>
      </c>
      <c r="L4" s="5">
        <v>2017</v>
      </c>
      <c r="M4" s="6" t="s">
        <v>3</v>
      </c>
    </row>
    <row r="5" spans="1:14" s="10" customFormat="1" ht="26.25" customHeight="1" x14ac:dyDescent="0.25">
      <c r="A5" s="8" t="s">
        <v>4</v>
      </c>
      <c r="B5" s="22">
        <f>SUM(B6:B7)</f>
        <v>531</v>
      </c>
      <c r="C5" s="22">
        <f t="shared" ref="C5:E5" si="0">SUM(C6:C7)</f>
        <v>705</v>
      </c>
      <c r="D5" s="22">
        <f t="shared" si="0"/>
        <v>546</v>
      </c>
      <c r="E5" s="22">
        <f t="shared" si="0"/>
        <v>712</v>
      </c>
      <c r="F5" s="22">
        <f>SUM(F6:F7)</f>
        <v>625</v>
      </c>
      <c r="G5" s="22">
        <f t="shared" ref="G5" si="1">SUM(G6:G7)</f>
        <v>732</v>
      </c>
      <c r="H5" s="22">
        <v>719</v>
      </c>
      <c r="I5" s="22">
        <v>529</v>
      </c>
      <c r="J5" s="22">
        <v>592</v>
      </c>
      <c r="K5" s="22">
        <v>538</v>
      </c>
      <c r="L5" s="22">
        <v>365</v>
      </c>
      <c r="M5" s="9" t="s">
        <v>5</v>
      </c>
    </row>
    <row r="6" spans="1:14" s="25" customFormat="1" ht="26.25" customHeight="1" x14ac:dyDescent="0.25">
      <c r="A6" s="11" t="s">
        <v>6</v>
      </c>
      <c r="B6" s="23">
        <v>293</v>
      </c>
      <c r="C6" s="23">
        <v>421</v>
      </c>
      <c r="D6" s="23">
        <v>376</v>
      </c>
      <c r="E6" s="23">
        <v>120</v>
      </c>
      <c r="F6" s="23">
        <v>252</v>
      </c>
      <c r="G6" s="23">
        <v>221</v>
      </c>
      <c r="H6" s="23">
        <v>352</v>
      </c>
      <c r="I6" s="23">
        <v>244</v>
      </c>
      <c r="J6" s="23">
        <v>775</v>
      </c>
      <c r="K6" s="23">
        <v>1190</v>
      </c>
      <c r="L6" s="23">
        <v>576</v>
      </c>
      <c r="M6" s="12" t="s">
        <v>7</v>
      </c>
    </row>
    <row r="7" spans="1:14" s="26" customFormat="1" ht="26.25" customHeight="1" x14ac:dyDescent="0.25">
      <c r="A7" s="13" t="s">
        <v>8</v>
      </c>
      <c r="B7" s="24">
        <v>238</v>
      </c>
      <c r="C7" s="24">
        <v>284</v>
      </c>
      <c r="D7" s="24">
        <v>170</v>
      </c>
      <c r="E7" s="24">
        <v>592</v>
      </c>
      <c r="F7" s="24">
        <v>373</v>
      </c>
      <c r="G7" s="24">
        <v>511</v>
      </c>
      <c r="H7" s="24">
        <f>H5-H6</f>
        <v>367</v>
      </c>
      <c r="I7" s="24">
        <v>285</v>
      </c>
      <c r="J7" s="24">
        <f>194</f>
        <v>194</v>
      </c>
      <c r="K7" s="24">
        <v>477</v>
      </c>
      <c r="L7" s="24">
        <v>164</v>
      </c>
      <c r="M7" s="14" t="s">
        <v>9</v>
      </c>
    </row>
    <row r="8" spans="1:14" s="15" customFormat="1" ht="21" customHeight="1" x14ac:dyDescent="0.25">
      <c r="A8" s="1" t="s">
        <v>10</v>
      </c>
      <c r="B8" s="27"/>
      <c r="C8" s="27"/>
      <c r="M8" s="28" t="s">
        <v>11</v>
      </c>
    </row>
    <row r="9" spans="1:14" s="17" customFormat="1" ht="21" customHeight="1" x14ac:dyDescent="0.25">
      <c r="A9" s="16" t="s">
        <v>12</v>
      </c>
      <c r="B9" s="29"/>
      <c r="C9" s="29"/>
      <c r="M9" s="30" t="s">
        <v>13</v>
      </c>
    </row>
    <row r="10" spans="1:14" s="19" customFormat="1" ht="21" customHeight="1" x14ac:dyDescent="0.45">
      <c r="A10" s="18" t="s">
        <v>1</v>
      </c>
      <c r="G10" s="20"/>
      <c r="H10" s="20"/>
      <c r="I10" s="20"/>
      <c r="J10" s="20"/>
      <c r="K10" s="20"/>
      <c r="L10" s="20"/>
      <c r="M10" s="21" t="s">
        <v>14</v>
      </c>
      <c r="N10" s="20"/>
    </row>
    <row r="29" spans="1:10" ht="27.75" customHeight="1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</row>
  </sheetData>
  <mergeCells count="2">
    <mergeCell ref="A1:M1"/>
    <mergeCell ref="A2:M2"/>
  </mergeCells>
  <pageMargins left="0.19" right="0.28000000000000003" top="0.75" bottom="0.75" header="0.3" footer="0.3"/>
  <pageSetup paperSize="9" scale="77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2018-05-07T06:02:47Z</cp:lastPrinted>
  <dcterms:created xsi:type="dcterms:W3CDTF">2014-04-07T03:41:52Z</dcterms:created>
  <dcterms:modified xsi:type="dcterms:W3CDTF">2018-05-07T06:02:53Z</dcterms:modified>
</cp:coreProperties>
</file>