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5" sheetId="19" r:id="rId1"/>
  </sheets>
  <definedNames>
    <definedName name="_xlnm.Print_Area" localSheetId="0">'5.5'!$A$1:$N$47</definedName>
  </definedNames>
  <calcPr calcId="162913"/>
</workbook>
</file>

<file path=xl/calcChain.xml><?xml version="1.0" encoding="utf-8"?>
<calcChain xmlns="http://schemas.openxmlformats.org/spreadsheetml/2006/main">
  <c r="AB24" i="19" l="1"/>
  <c r="AB23" i="19"/>
  <c r="AB22" i="19"/>
  <c r="AB21" i="19"/>
  <c r="C10" i="19" l="1"/>
  <c r="D10" i="19"/>
  <c r="C11" i="19"/>
  <c r="D11" i="19"/>
  <c r="C12" i="19"/>
  <c r="D12" i="19"/>
  <c r="C13" i="19"/>
  <c r="D13" i="19"/>
  <c r="F13" i="19"/>
  <c r="F12" i="19"/>
  <c r="F11" i="19"/>
  <c r="F10" i="19"/>
  <c r="H9" i="19"/>
  <c r="G9" i="19"/>
  <c r="L9" i="19"/>
  <c r="K9" i="19"/>
  <c r="J10" i="19"/>
  <c r="J11" i="19"/>
  <c r="J12" i="19"/>
  <c r="J13" i="19"/>
  <c r="D9" i="19" l="1"/>
  <c r="B13" i="19"/>
  <c r="B12" i="19"/>
  <c r="B11" i="19"/>
  <c r="B10" i="19"/>
  <c r="F9" i="19"/>
  <c r="C9" i="19"/>
  <c r="J9" i="19"/>
  <c r="B9" i="19" l="1"/>
</calcChain>
</file>

<file path=xl/sharedStrings.xml><?xml version="1.0" encoding="utf-8"?>
<sst xmlns="http://schemas.openxmlformats.org/spreadsheetml/2006/main" count="44" uniqueCount="28">
  <si>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</si>
  <si>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</si>
  <si>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</si>
  <si>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</si>
  <si>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</si>
  <si>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</si>
  <si>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</si>
  <si>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</si>
  <si>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</si>
  <si>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</si>
  <si>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</si>
  <si>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</si>
  <si>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</si>
  <si>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</si>
  <si>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</si>
  <si>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</si>
  <si>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9,999 - 5,000</t>
  </si>
  <si>
    <t>14,999 - 10,000</t>
  </si>
  <si>
    <t>Less than 5,000</t>
  </si>
  <si>
    <t xml:space="preserve">5،000އަށް ވުރެ ދަށް  </t>
  </si>
  <si>
    <t>5,000 - 9,999</t>
  </si>
  <si>
    <t>10,000 - 14,999</t>
  </si>
  <si>
    <t>15,000 and above</t>
  </si>
  <si>
    <t xml:space="preserve">15،000އާއި އެއަށްވުރެ މަތި </t>
  </si>
  <si>
    <t>އަސާސީ މުސާރަ (ރުފިޔާއިން)</t>
  </si>
  <si>
    <t>Basic Salary Range (in MVR)</t>
  </si>
  <si>
    <t>ތާވަލު 5.5: ސިވިލް ސަރވަންޓުންގެ މަގާމުތައް އަސާސީ މުސާރަ އަދި ޖިންސްއިން ކްލެސިފައިކުރެވިފައިވާ ގޮތް ، 2017</t>
  </si>
  <si>
    <t>Table 5.5: CIVIL SERVANTS CLASSIFIED BY  BASIC SALARY, SEX AND LOCALITY, 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</si>
</sst>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52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8" fillId="2" borderId="0" xfId="0" applyFont="1" applyFill="1" applyBorder="1" applyAlignment="1">
      <alignment horizontal="right" vertical="center"/>
    </xf>
    <xf numFmtId="0" fontId="9" fillId="2" borderId="4" xfId="6" applyFont="1" applyFill="1" applyBorder="1"/>
    <xf numFmtId="0" fontId="6" fillId="2" borderId="1" xfId="2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readingOrder="2"/>
    </xf>
    <xf numFmtId="0" fontId="15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8" fillId="2" borderId="7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readingOrder="2"/>
    </xf>
    <xf numFmtId="0" fontId="6" fillId="2" borderId="9" xfId="2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3" fontId="14" fillId="2" borderId="0" xfId="0" applyNumberFormat="1" applyFont="1" applyFill="1" applyBorder="1" applyAlignment="1">
      <alignment horizontal="right"/>
    </xf>
    <xf numFmtId="0" fontId="14" fillId="2" borderId="0" xfId="0" applyFont="1" applyFill="1" applyBorder="1" applyAlignment="1">
      <alignment horizontal="right" indent="1"/>
    </xf>
    <xf numFmtId="3" fontId="14" fillId="2" borderId="3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right" indent="1"/>
    </xf>
    <xf numFmtId="164" fontId="0" fillId="2" borderId="0" xfId="0" applyNumberFormat="1" applyFill="1"/>
    <xf numFmtId="0" fontId="2" fillId="2" borderId="0" xfId="0" applyFont="1" applyFill="1" applyBorder="1"/>
    <xf numFmtId="0" fontId="0" fillId="2" borderId="0" xfId="0" applyFill="1"/>
    <xf numFmtId="3" fontId="0" fillId="2" borderId="0" xfId="0" applyNumberFormat="1" applyFont="1" applyFill="1" applyBorder="1" applyAlignment="1"/>
    <xf numFmtId="0" fontId="0" fillId="2" borderId="10" xfId="0" applyFont="1" applyFill="1" applyBorder="1" applyAlignment="1"/>
    <xf numFmtId="3" fontId="0" fillId="2" borderId="7" xfId="0" applyNumberFormat="1" applyFont="1" applyFill="1" applyBorder="1" applyAlignment="1"/>
    <xf numFmtId="0" fontId="0" fillId="2" borderId="0" xfId="0" applyFont="1" applyFill="1" applyBorder="1" applyAlignment="1"/>
    <xf numFmtId="0" fontId="0" fillId="2" borderId="7" xfId="0" applyFont="1" applyFill="1" applyBorder="1" applyAlignment="1"/>
    <xf numFmtId="0" fontId="0" fillId="2" borderId="12" xfId="0" applyFont="1" applyFill="1" applyBorder="1" applyAlignment="1"/>
    <xf numFmtId="0" fontId="0" fillId="2" borderId="3" xfId="0" applyFont="1" applyFill="1" applyBorder="1" applyAlignment="1"/>
    <xf numFmtId="0" fontId="0" fillId="2" borderId="5" xfId="0" applyFont="1" applyFill="1" applyBorder="1" applyAlignment="1"/>
    <xf numFmtId="3" fontId="2" fillId="2" borderId="0" xfId="0" applyNumberFormat="1" applyFont="1" applyFill="1" applyBorder="1" applyAlignment="1">
      <alignment horizontal="right" readingOrder="2"/>
    </xf>
    <xf numFmtId="3" fontId="2" fillId="2" borderId="10" xfId="0" applyNumberFormat="1" applyFont="1" applyFill="1" applyBorder="1" applyAlignment="1">
      <alignment horizontal="right" readingOrder="2"/>
    </xf>
    <xf numFmtId="3" fontId="10" fillId="2" borderId="0" xfId="0" applyNumberFormat="1" applyFont="1" applyFill="1" applyBorder="1" applyAlignment="1">
      <alignment horizontal="right" vertical="center" readingOrder="2"/>
    </xf>
    <xf numFmtId="3" fontId="0" fillId="2" borderId="0" xfId="0" applyNumberFormat="1" applyFont="1" applyFill="1" applyBorder="1" applyAlignment="1">
      <alignment horizontal="right" readingOrder="2"/>
    </xf>
    <xf numFmtId="3" fontId="2" fillId="2" borderId="3" xfId="0" applyNumberFormat="1" applyFont="1" applyFill="1" applyBorder="1" applyAlignment="1">
      <alignment horizontal="right" readingOrder="2"/>
    </xf>
    <xf numFmtId="3" fontId="0" fillId="2" borderId="3" xfId="0" applyNumberFormat="1" applyFont="1" applyFill="1" applyBorder="1" applyAlignment="1">
      <alignment horizontal="right" readingOrder="2"/>
    </xf>
    <xf numFmtId="3" fontId="10" fillId="2" borderId="3" xfId="0" applyNumberFormat="1" applyFont="1" applyFill="1" applyBorder="1" applyAlignment="1">
      <alignment horizontal="right" vertical="center" readingOrder="2"/>
    </xf>
    <xf numFmtId="3" fontId="2" fillId="2" borderId="6" xfId="0" applyNumberFormat="1" applyFont="1" applyFill="1" applyBorder="1" applyAlignment="1">
      <alignment horizontal="right" readingOrder="2"/>
    </xf>
    <xf numFmtId="3" fontId="0" fillId="2" borderId="3" xfId="0" applyNumberFormat="1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9" fontId="0" fillId="2" borderId="0" xfId="520" applyFont="1" applyFill="1"/>
    <xf numFmtId="0" fontId="18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top"/>
    </xf>
    <xf numFmtId="0" fontId="6" fillId="2" borderId="6" xfId="2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</cellXfs>
  <cellStyles count="521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" xfId="520" builtinId="5"/>
    <cellStyle name="Percent 3" xfId="5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'5.5'!$C$7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'5.5'!$C$10:$C$13</c:f>
              <c:numCache>
                <c:formatCode>#,##0</c:formatCode>
                <c:ptCount val="4"/>
                <c:pt idx="0">
                  <c:v>4630</c:v>
                </c:pt>
                <c:pt idx="1">
                  <c:v>3927</c:v>
                </c:pt>
                <c:pt idx="2">
                  <c:v>209</c:v>
                </c:pt>
                <c:pt idx="3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3-46C1-BEE8-063F7F8D591F}"/>
            </c:ext>
          </c:extLst>
        </c:ser>
        <c:ser>
          <c:idx val="1"/>
          <c:order val="1"/>
          <c:tx>
            <c:strRef>
              <c:f>'5.5'!$D$7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'5.5'!$D$10:$D$13</c:f>
              <c:numCache>
                <c:formatCode>#,##0</c:formatCode>
                <c:ptCount val="4"/>
                <c:pt idx="0">
                  <c:v>5813</c:v>
                </c:pt>
                <c:pt idx="1">
                  <c:v>7065</c:v>
                </c:pt>
                <c:pt idx="2">
                  <c:v>183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63-46C1-BEE8-063F7F8D5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988792"/>
        <c:axId val="210989184"/>
      </c:barChart>
      <c:catAx>
        <c:axId val="21098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210989184"/>
        <c:crosses val="autoZero"/>
        <c:auto val="1"/>
        <c:lblAlgn val="ctr"/>
        <c:lblOffset val="100"/>
        <c:noMultiLvlLbl val="0"/>
      </c:catAx>
      <c:valAx>
        <c:axId val="210989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0020569909269571E-2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2109887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2017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55493063367081E-2"/>
          <c:y val="0.15024290833760831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'5.5'!$AA$21:$AA$24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'5.5'!$AB$21:$AB$24</c:f>
              <c:numCache>
                <c:formatCode>0.0</c:formatCode>
                <c:ptCount val="4"/>
                <c:pt idx="0">
                  <c:v>47.291911964495966</c:v>
                </c:pt>
                <c:pt idx="1">
                  <c:v>49.778099809799834</c:v>
                </c:pt>
                <c:pt idx="2">
                  <c:v>1.7752015216013044</c:v>
                </c:pt>
                <c:pt idx="3">
                  <c:v>1.1547867041028892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5-4A5B-80E0-2164140C1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998879"/>
        <c:axId val="1855983903"/>
      </c:barChart>
      <c:catAx>
        <c:axId val="18559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83903"/>
        <c:crosses val="autoZero"/>
        <c:auto val="1"/>
        <c:lblAlgn val="ctr"/>
        <c:lblOffset val="100"/>
        <c:noMultiLvlLbl val="0"/>
      </c:catAx>
      <c:valAx>
        <c:axId val="1855983903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98879"/>
        <c:crosses val="autoZero"/>
        <c:crossBetween val="between"/>
        <c:majorUnit val="1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/>
        <xdr:cNvSpPr txBox="1"/>
      </xdr:nvSpPr>
      <xdr:spPr>
        <a:xfrm>
          <a:off x="2505074" y="370712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2017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466725</xdr:colOff>
      <xdr:row>17</xdr:row>
      <xdr:rowOff>142875</xdr:rowOff>
    </xdr:from>
    <xdr:to>
      <xdr:col>12</xdr:col>
      <xdr:colOff>630822</xdr:colOff>
      <xdr:row>17</xdr:row>
      <xdr:rowOff>142875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828925" y="4010025"/>
          <a:ext cx="4993272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295275</xdr:colOff>
      <xdr:row>34</xdr:row>
      <xdr:rowOff>171451</xdr:rowOff>
    </xdr:from>
    <xdr:to>
      <xdr:col>12</xdr:col>
      <xdr:colOff>1123950</xdr:colOff>
      <xdr:row>40</xdr:row>
      <xdr:rowOff>28575</xdr:rowOff>
    </xdr:to>
    <xdr:sp macro="" textlink="">
      <xdr:nvSpPr>
        <xdr:cNvPr id="9" name="Cloud 8"/>
        <xdr:cNvSpPr/>
      </xdr:nvSpPr>
      <xdr:spPr>
        <a:xfrm>
          <a:off x="5057775" y="7524751"/>
          <a:ext cx="3257550" cy="1000124"/>
        </a:xfrm>
        <a:prstGeom prst="cloud">
          <a:avLst/>
        </a:prstGeom>
        <a:noFill/>
        <a:ln w="31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561974</xdr:colOff>
      <xdr:row>34</xdr:row>
      <xdr:rowOff>123825</xdr:rowOff>
    </xdr:from>
    <xdr:to>
      <xdr:col>12</xdr:col>
      <xdr:colOff>923924</xdr:colOff>
      <xdr:row>40</xdr:row>
      <xdr:rowOff>152399</xdr:rowOff>
    </xdr:to>
    <xdr:sp macro="" textlink="">
      <xdr:nvSpPr>
        <xdr:cNvPr id="8" name="TextBox 7"/>
        <xdr:cNvSpPr txBox="1"/>
      </xdr:nvSpPr>
      <xdr:spPr>
        <a:xfrm>
          <a:off x="5324474" y="7477125"/>
          <a:ext cx="2790825" cy="1171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>
            <a:buFont typeface="Wingdings" panose="05000000000000000000" pitchFamily="2" charset="2"/>
            <a:buNone/>
          </a:pPr>
          <a:r>
            <a:rPr lang="en-US" sz="1400" b="1" i="1">
              <a:solidFill>
                <a:schemeClr val="accent1">
                  <a:lumMod val="50000"/>
                </a:schemeClr>
              </a:solidFill>
              <a:latin typeface="Corbel" panose="020B0503020204020204" pitchFamily="34" charset="0"/>
              <a:ea typeface="Microsoft JhengHei Light" panose="020B0304030504040204" pitchFamily="34" charset="-120"/>
            </a:rPr>
            <a:t>97.1 percent of the whole civil servant's salary is less than 10,000 mvr per month</a:t>
          </a:r>
          <a:r>
            <a:rPr lang="en-US" sz="1400" b="0" i="1">
              <a:solidFill>
                <a:schemeClr val="accent1">
                  <a:lumMod val="50000"/>
                </a:schemeClr>
              </a:solidFill>
              <a:latin typeface="Corbel" panose="020B0503020204020204" pitchFamily="34" charset="0"/>
              <a:ea typeface="Microsoft JhengHei Light" panose="020B0304030504040204" pitchFamily="34" charset="-120"/>
            </a:rPr>
            <a:t>.</a:t>
          </a:r>
          <a:endParaRPr lang="en-US" sz="1600" b="1" i="1" baseline="0">
            <a:solidFill>
              <a:schemeClr val="accent1">
                <a:lumMod val="50000"/>
              </a:schemeClr>
            </a:solidFill>
            <a:latin typeface="Candara" panose="020E0502030303020204" pitchFamily="34" charset="0"/>
          </a:endParaRPr>
        </a:p>
      </xdr:txBody>
    </xdr:sp>
    <xdr:clientData/>
  </xdr:twoCellAnchor>
  <xdr:twoCellAnchor>
    <xdr:from>
      <xdr:col>3</xdr:col>
      <xdr:colOff>152400</xdr:colOff>
      <xdr:row>31</xdr:row>
      <xdr:rowOff>152400</xdr:rowOff>
    </xdr:from>
    <xdr:to>
      <xdr:col>12</xdr:col>
      <xdr:colOff>57150</xdr:colOff>
      <xdr:row>31</xdr:row>
      <xdr:rowOff>171450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3105150" y="6762750"/>
          <a:ext cx="4143375" cy="190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48"/>
  <sheetViews>
    <sheetView tabSelected="1" topLeftCell="A7" zoomScaleNormal="100" workbookViewId="0">
      <selection activeCell="X16" sqref="X16"/>
    </sheetView>
  </sheetViews>
  <sheetFormatPr defaultRowHeight="15" x14ac:dyDescent="0.25"/>
  <cols>
    <col min="1" max="1" width="26.5703125" style="25" customWidth="1"/>
    <col min="2" max="4" width="8.85546875" style="25"/>
    <col min="5" max="5" width="0.5703125" style="25" customWidth="1"/>
    <col min="6" max="8" width="8.85546875" style="25"/>
    <col min="9" max="9" width="1" style="25" customWidth="1"/>
    <col min="10" max="12" width="8.85546875" style="25"/>
    <col min="13" max="13" width="29.28515625" style="25" customWidth="1"/>
    <col min="14" max="14" width="6.28515625" style="25" customWidth="1"/>
    <col min="15" max="17" width="9.140625" style="25"/>
    <col min="18" max="22" width="14.7109375" style="25" customWidth="1"/>
    <col min="23" max="16384" width="9.140625" style="25"/>
  </cols>
  <sheetData>
    <row r="2" spans="1:14" ht="21" x14ac:dyDescent="0.55000000000000004">
      <c r="A2" s="52" t="s">
        <v>26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x14ac:dyDescent="0.25">
      <c r="A3" s="53" t="s">
        <v>27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10"/>
    </row>
    <row r="4" spans="1:14" ht="7.5" customHeight="1" x14ac:dyDescent="0.25"/>
    <row r="5" spans="1:14" ht="18.75" customHeight="1" x14ac:dyDescent="0.25">
      <c r="A5" s="12"/>
      <c r="B5" s="54" t="s">
        <v>10</v>
      </c>
      <c r="C5" s="54"/>
      <c r="D5" s="54"/>
      <c r="E5" s="15"/>
      <c r="F5" s="54" t="s">
        <v>9</v>
      </c>
      <c r="G5" s="54"/>
      <c r="H5" s="55"/>
      <c r="I5" s="8"/>
      <c r="J5" s="54" t="s">
        <v>11</v>
      </c>
      <c r="K5" s="54"/>
      <c r="L5" s="54"/>
      <c r="M5" s="49" t="s">
        <v>24</v>
      </c>
    </row>
    <row r="6" spans="1:14" ht="15" customHeight="1" x14ac:dyDescent="0.25">
      <c r="A6" s="24" t="s">
        <v>25</v>
      </c>
      <c r="B6" s="56" t="s">
        <v>1</v>
      </c>
      <c r="C6" s="56"/>
      <c r="D6" s="56"/>
      <c r="E6" s="16"/>
      <c r="F6" s="57" t="s">
        <v>2</v>
      </c>
      <c r="G6" s="57"/>
      <c r="H6" s="58"/>
      <c r="I6" s="45"/>
      <c r="J6" s="57" t="s">
        <v>3</v>
      </c>
      <c r="K6" s="57"/>
      <c r="L6" s="57"/>
      <c r="M6" s="50"/>
    </row>
    <row r="7" spans="1:14" ht="15" customHeight="1" x14ac:dyDescent="0.25">
      <c r="A7" s="2"/>
      <c r="B7" s="6" t="s">
        <v>12</v>
      </c>
      <c r="C7" s="6" t="s">
        <v>7</v>
      </c>
      <c r="D7" s="6" t="s">
        <v>8</v>
      </c>
      <c r="E7" s="17"/>
      <c r="F7" s="6" t="s">
        <v>12</v>
      </c>
      <c r="G7" s="6" t="s">
        <v>7</v>
      </c>
      <c r="H7" s="13" t="s">
        <v>8</v>
      </c>
      <c r="I7" s="43"/>
      <c r="J7" s="6" t="s">
        <v>12</v>
      </c>
      <c r="K7" s="6" t="s">
        <v>7</v>
      </c>
      <c r="L7" s="6" t="s">
        <v>8</v>
      </c>
      <c r="M7" s="50"/>
    </row>
    <row r="8" spans="1:14" ht="18.75" customHeight="1" x14ac:dyDescent="0.5">
      <c r="A8" s="11"/>
      <c r="B8" s="9" t="s">
        <v>14</v>
      </c>
      <c r="C8" s="9" t="s">
        <v>5</v>
      </c>
      <c r="D8" s="9" t="s">
        <v>6</v>
      </c>
      <c r="E8" s="18"/>
      <c r="F8" s="9" t="s">
        <v>14</v>
      </c>
      <c r="G8" s="9" t="s">
        <v>5</v>
      </c>
      <c r="H8" s="14" t="s">
        <v>6</v>
      </c>
      <c r="I8" s="44"/>
      <c r="J8" s="9" t="s">
        <v>14</v>
      </c>
      <c r="K8" s="9" t="s">
        <v>5</v>
      </c>
      <c r="L8" s="9" t="s">
        <v>6</v>
      </c>
      <c r="M8" s="51"/>
    </row>
    <row r="9" spans="1:14" ht="21" x14ac:dyDescent="0.55000000000000004">
      <c r="A9" s="46" t="s">
        <v>0</v>
      </c>
      <c r="B9" s="34">
        <f>F9+J9</f>
        <v>22082</v>
      </c>
      <c r="C9" s="34">
        <f t="shared" ref="C9:D9" si="0">G9+K9</f>
        <v>8907</v>
      </c>
      <c r="D9" s="34">
        <f t="shared" si="0"/>
        <v>13175</v>
      </c>
      <c r="E9" s="35"/>
      <c r="F9" s="36">
        <f>G9+H9</f>
        <v>8977</v>
      </c>
      <c r="G9" s="34">
        <f>SUM(G10:G13)</f>
        <v>4008</v>
      </c>
      <c r="H9" s="41">
        <f>SUM(H10:H13)</f>
        <v>4969</v>
      </c>
      <c r="I9" s="34"/>
      <c r="J9" s="36">
        <f>K9+L9</f>
        <v>13105</v>
      </c>
      <c r="K9" s="34">
        <f>SUM(K10:K13)</f>
        <v>4899</v>
      </c>
      <c r="L9" s="34">
        <f>SUM(L10:L13)</f>
        <v>8206</v>
      </c>
      <c r="M9" s="22" t="s">
        <v>4</v>
      </c>
    </row>
    <row r="10" spans="1:14" ht="21" x14ac:dyDescent="0.55000000000000004">
      <c r="A10" s="2" t="s">
        <v>18</v>
      </c>
      <c r="B10" s="34">
        <f t="shared" ref="B10:B13" si="1">F10+J10</f>
        <v>10443</v>
      </c>
      <c r="C10" s="37">
        <f t="shared" ref="C10:C13" si="2">G10+K10</f>
        <v>4630</v>
      </c>
      <c r="D10" s="37">
        <f t="shared" ref="D10:D13" si="3">H10+L10</f>
        <v>5813</v>
      </c>
      <c r="E10" s="27"/>
      <c r="F10" s="36">
        <f t="shared" ref="F10:F13" si="4">G10+H10</f>
        <v>3783</v>
      </c>
      <c r="G10" s="26">
        <v>1981</v>
      </c>
      <c r="H10" s="28">
        <v>1802</v>
      </c>
      <c r="I10" s="26"/>
      <c r="J10" s="36">
        <f t="shared" ref="J10:J13" si="5">K10+L10</f>
        <v>6660</v>
      </c>
      <c r="K10" s="26">
        <v>2649</v>
      </c>
      <c r="L10" s="26">
        <v>4011</v>
      </c>
      <c r="M10" s="19" t="s">
        <v>19</v>
      </c>
    </row>
    <row r="11" spans="1:14" ht="21" x14ac:dyDescent="0.55000000000000004">
      <c r="A11" s="2" t="s">
        <v>20</v>
      </c>
      <c r="B11" s="34">
        <f t="shared" si="1"/>
        <v>10992</v>
      </c>
      <c r="C11" s="37">
        <f t="shared" si="2"/>
        <v>3927</v>
      </c>
      <c r="D11" s="37">
        <f t="shared" si="3"/>
        <v>7065</v>
      </c>
      <c r="E11" s="27"/>
      <c r="F11" s="36">
        <f t="shared" si="4"/>
        <v>4655</v>
      </c>
      <c r="G11" s="26">
        <v>1732</v>
      </c>
      <c r="H11" s="28">
        <v>2923</v>
      </c>
      <c r="I11" s="26"/>
      <c r="J11" s="36">
        <f t="shared" si="5"/>
        <v>6337</v>
      </c>
      <c r="K11" s="26">
        <v>2195</v>
      </c>
      <c r="L11" s="26">
        <v>4142</v>
      </c>
      <c r="M11" s="20" t="s">
        <v>16</v>
      </c>
    </row>
    <row r="12" spans="1:14" ht="21" x14ac:dyDescent="0.55000000000000004">
      <c r="A12" s="2" t="s">
        <v>21</v>
      </c>
      <c r="B12" s="34">
        <f t="shared" si="1"/>
        <v>392</v>
      </c>
      <c r="C12" s="37">
        <f t="shared" si="2"/>
        <v>209</v>
      </c>
      <c r="D12" s="37">
        <f t="shared" si="3"/>
        <v>183</v>
      </c>
      <c r="E12" s="27"/>
      <c r="F12" s="36">
        <f t="shared" si="4"/>
        <v>345</v>
      </c>
      <c r="G12" s="29">
        <v>194</v>
      </c>
      <c r="H12" s="30">
        <v>151</v>
      </c>
      <c r="I12" s="29"/>
      <c r="J12" s="36">
        <f t="shared" si="5"/>
        <v>47</v>
      </c>
      <c r="K12" s="26">
        <v>15</v>
      </c>
      <c r="L12" s="26">
        <v>32</v>
      </c>
      <c r="M12" s="20" t="s">
        <v>17</v>
      </c>
    </row>
    <row r="13" spans="1:14" ht="21" x14ac:dyDescent="0.55000000000000004">
      <c r="A13" s="11" t="s">
        <v>22</v>
      </c>
      <c r="B13" s="38">
        <f t="shared" si="1"/>
        <v>255</v>
      </c>
      <c r="C13" s="39">
        <f t="shared" si="2"/>
        <v>141</v>
      </c>
      <c r="D13" s="39">
        <f t="shared" si="3"/>
        <v>114</v>
      </c>
      <c r="E13" s="31"/>
      <c r="F13" s="40">
        <f t="shared" si="4"/>
        <v>194</v>
      </c>
      <c r="G13" s="32">
        <v>101</v>
      </c>
      <c r="H13" s="33">
        <v>93</v>
      </c>
      <c r="I13" s="32"/>
      <c r="J13" s="40">
        <f t="shared" si="5"/>
        <v>61</v>
      </c>
      <c r="K13" s="42">
        <v>40</v>
      </c>
      <c r="L13" s="42">
        <v>21</v>
      </c>
      <c r="M13" s="21" t="s">
        <v>23</v>
      </c>
    </row>
    <row r="14" spans="1:14" ht="17.25" x14ac:dyDescent="0.25">
      <c r="A14" s="7" t="s">
        <v>13</v>
      </c>
      <c r="B14" s="3"/>
      <c r="C14" s="4"/>
      <c r="D14" s="3"/>
      <c r="E14" s="3"/>
      <c r="F14" s="3"/>
      <c r="G14" s="4"/>
      <c r="J14" s="24"/>
      <c r="K14" s="2"/>
      <c r="M14" s="1" t="s">
        <v>15</v>
      </c>
    </row>
    <row r="15" spans="1:14" x14ac:dyDescent="0.25">
      <c r="F15" s="5"/>
    </row>
    <row r="21" spans="16:28" x14ac:dyDescent="0.25">
      <c r="AA21" s="2" t="s">
        <v>18</v>
      </c>
      <c r="AB21" s="23">
        <f>B10/B9*100</f>
        <v>47.291911964495966</v>
      </c>
    </row>
    <row r="22" spans="16:28" x14ac:dyDescent="0.25">
      <c r="AA22" s="2" t="s">
        <v>20</v>
      </c>
      <c r="AB22" s="23">
        <f>B11/B9*100</f>
        <v>49.778099809799834</v>
      </c>
    </row>
    <row r="23" spans="16:28" x14ac:dyDescent="0.25">
      <c r="U23" s="23"/>
      <c r="AA23" s="2" t="s">
        <v>21</v>
      </c>
      <c r="AB23" s="23">
        <f>B12/B9*100</f>
        <v>1.7752015216013044</v>
      </c>
    </row>
    <row r="24" spans="16:28" x14ac:dyDescent="0.25">
      <c r="AA24" s="11" t="s">
        <v>22</v>
      </c>
      <c r="AB24" s="23">
        <f>B13/B9*100</f>
        <v>1.1547867041028892</v>
      </c>
    </row>
    <row r="29" spans="16:28" ht="19.899999999999999" customHeight="1" x14ac:dyDescent="0.25"/>
    <row r="30" spans="16:28" ht="19.899999999999999" customHeight="1" x14ac:dyDescent="0.25"/>
    <row r="31" spans="16:28" ht="19.899999999999999" customHeight="1" x14ac:dyDescent="0.25">
      <c r="P31" s="47"/>
    </row>
    <row r="32" spans="16:28" ht="19.899999999999999" customHeight="1" x14ac:dyDescent="0.25">
      <c r="P32" s="47"/>
    </row>
    <row r="33" spans="7:16" ht="19.899999999999999" customHeight="1" x14ac:dyDescent="0.25">
      <c r="P33" s="47"/>
    </row>
    <row r="34" spans="7:16" ht="19.899999999999999" customHeight="1" x14ac:dyDescent="0.25">
      <c r="P34" s="47"/>
    </row>
    <row r="48" spans="7:16" x14ac:dyDescent="0.25">
      <c r="G48" s="48"/>
    </row>
  </sheetData>
  <mergeCells count="9">
    <mergeCell ref="M5:M8"/>
    <mergeCell ref="A2:M2"/>
    <mergeCell ref="A3:M3"/>
    <mergeCell ref="B5:D5"/>
    <mergeCell ref="F5:H5"/>
    <mergeCell ref="J5:L5"/>
    <mergeCell ref="B6:D6"/>
    <mergeCell ref="F6:H6"/>
    <mergeCell ref="J6:L6"/>
  </mergeCells>
  <pageMargins left="0.18" right="0.5" top="0.36" bottom="0.17" header="0.3" footer="0.3"/>
  <pageSetup paperSize="9" scale="74" orientation="landscape" horizontalDpi="4294967295" verticalDpi="4294967295" r:id="rId1"/>
  <rowBreaks count="1" manualBreakCount="1">
    <brk id="47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2018-05-07T04:02:19Z</cp:lastPrinted>
  <dcterms:created xsi:type="dcterms:W3CDTF">2013-03-26T05:45:33Z</dcterms:created>
  <dcterms:modified xsi:type="dcterms:W3CDTF">2018-07-18T03:39:09Z</dcterms:modified>
</cp:coreProperties>
</file>