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5. EMPLOYMENT\"/>
    </mc:Choice>
  </mc:AlternateContent>
  <bookViews>
    <workbookView xWindow="0" yWindow="0" windowWidth="28800" windowHeight="12330" tabRatio="834"/>
  </bookViews>
  <sheets>
    <sheet name="5.2" sheetId="10" r:id="rId1"/>
  </sheets>
  <definedNames>
    <definedName name="_xlnm.Print_Area" localSheetId="0">'5.2'!$A$1:$M$56</definedName>
  </definedNames>
  <calcPr calcId="162913"/>
</workbook>
</file>

<file path=xl/calcChain.xml><?xml version="1.0" encoding="utf-8"?>
<calcChain xmlns="http://schemas.openxmlformats.org/spreadsheetml/2006/main">
  <c r="G11" i="10" l="1"/>
  <c r="H10" i="10"/>
  <c r="AI28" i="10" s="1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D20" i="10"/>
  <c r="E20" i="10"/>
  <c r="D21" i="10"/>
  <c r="E21" i="10"/>
  <c r="I10" i="10"/>
  <c r="AJ28" i="10" s="1"/>
  <c r="G21" i="10"/>
  <c r="G20" i="10"/>
  <c r="G19" i="10"/>
  <c r="G18" i="10"/>
  <c r="G17" i="10"/>
  <c r="G16" i="10"/>
  <c r="G15" i="10"/>
  <c r="G14" i="10"/>
  <c r="G13" i="10"/>
  <c r="G12" i="10"/>
  <c r="K11" i="10"/>
  <c r="K12" i="10"/>
  <c r="K13" i="10"/>
  <c r="K14" i="10"/>
  <c r="K15" i="10"/>
  <c r="K16" i="10"/>
  <c r="K17" i="10"/>
  <c r="K18" i="10"/>
  <c r="K19" i="10"/>
  <c r="K20" i="10"/>
  <c r="K21" i="10"/>
  <c r="M10" i="10"/>
  <c r="AM28" i="10" s="1"/>
  <c r="L10" i="10"/>
  <c r="AL28" i="10" s="1"/>
  <c r="K10" i="10" l="1"/>
  <c r="AK28" i="10" s="1"/>
  <c r="C16" i="10"/>
  <c r="C12" i="10"/>
  <c r="C20" i="10"/>
  <c r="C15" i="10"/>
  <c r="C19" i="10"/>
  <c r="C13" i="10"/>
  <c r="C17" i="10"/>
  <c r="C21" i="10"/>
  <c r="C14" i="10"/>
  <c r="C18" i="10"/>
  <c r="C11" i="10"/>
  <c r="E10" i="10"/>
  <c r="AG28" i="10" s="1"/>
  <c r="D10" i="10"/>
  <c r="AF28" i="10" s="1"/>
  <c r="G10" i="10"/>
  <c r="AH28" i="10" s="1"/>
  <c r="C10" i="10" l="1"/>
  <c r="AE28" i="10" s="1"/>
</calcChain>
</file>

<file path=xl/sharedStrings.xml><?xml version="1.0" encoding="utf-8"?>
<sst xmlns="http://schemas.openxmlformats.org/spreadsheetml/2006/main" count="68" uniqueCount="30">
  <si>
    <t>Republic</t>
  </si>
  <si>
    <t>Male'</t>
  </si>
  <si>
    <t>Atolls</t>
  </si>
  <si>
    <t>ފިރިހެން</t>
  </si>
  <si>
    <t>އަންހެން</t>
  </si>
  <si>
    <t>Male</t>
  </si>
  <si>
    <t>Female</t>
  </si>
  <si>
    <t>މާލެ</t>
  </si>
  <si>
    <t xml:space="preserve"> މުޅިރާއްޖެ</t>
  </si>
  <si>
    <t>އަތޮޅުތައް</t>
  </si>
  <si>
    <t>Age groups</t>
  </si>
  <si>
    <t>Both sexes</t>
  </si>
  <si>
    <t xml:space="preserve">     Total</t>
  </si>
  <si>
    <t xml:space="preserve">     15-19</t>
  </si>
  <si>
    <t xml:space="preserve">     20-24</t>
  </si>
  <si>
    <t xml:space="preserve">     25-29</t>
  </si>
  <si>
    <t xml:space="preserve">     30-34</t>
  </si>
  <si>
    <t xml:space="preserve">     35-39</t>
  </si>
  <si>
    <t xml:space="preserve">     40-44</t>
  </si>
  <si>
    <t xml:space="preserve">     45-49</t>
  </si>
  <si>
    <t xml:space="preserve">     50-54</t>
  </si>
  <si>
    <t xml:space="preserve">     55-59</t>
  </si>
  <si>
    <t xml:space="preserve">     60-64</t>
  </si>
  <si>
    <t xml:space="preserve">     65+</t>
  </si>
  <si>
    <t>Source: Civil Service Commision</t>
  </si>
  <si>
    <t>ދެޖިންސް</t>
  </si>
  <si>
    <t>އުމުރުފުރާ</t>
  </si>
  <si>
    <t>މަޢުލޫމާތު ދެއްވި ފަރާތް: ސިވިލް ސަރވިސް ކޮމިޝަން</t>
  </si>
  <si>
    <t>ތާވަލް 5.2: ސިވިލް ސަރވަންޓުން ބެހިފައިވާ ގޮތް، ޖިންސް އަދި އުމުރުފުރާއިން، 2017</t>
  </si>
  <si>
    <t>Table 5.2 :  CIVIL SERVANTS CLASSIFIED BY AGE AND SEX,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</si>
</sst>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\ _ރ_._-;_-* #,##0\ _ރ_.\-;_-* &quot;-&quot;??\ _ރ_._-;_-@_-"/>
    <numFmt numFmtId="166" formatCode="_(* #,##0_);_(* \(#,##0\);_(* &quot;-&quot;??_);_(@_)"/>
    <numFmt numFmtId="167" formatCode="General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i/>
      <sz val="10"/>
      <name val="Calibri"/>
      <family val="2"/>
      <scheme val="minor"/>
    </font>
    <font>
      <sz val="9"/>
      <name val="Faruma"/>
    </font>
    <font>
      <b/>
      <sz val="10"/>
      <name val="Faruma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1"/>
      <color theme="1"/>
      <name val="Faruma"/>
    </font>
    <font>
      <b/>
      <sz val="10"/>
      <color theme="1"/>
      <name val="Faruma"/>
    </font>
    <font>
      <b/>
      <sz val="11"/>
      <name val="A_Reethi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theme="1" tint="4.9989318521683403E-2"/>
      </bottom>
      <diagonal/>
    </border>
  </borders>
  <cellStyleXfs count="5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6" fontId="5" fillId="0" borderId="0" applyFont="0" applyFill="0" applyBorder="0" applyAlignment="0" applyProtection="0"/>
    <xf numFmtId="0" fontId="3" fillId="0" borderId="0"/>
    <xf numFmtId="0" fontId="3" fillId="0" borderId="0"/>
    <xf numFmtId="9" fontId="5" fillId="0" borderId="0" applyFont="0" applyFill="0" applyBorder="0" applyAlignment="0" applyProtection="0"/>
    <xf numFmtId="0" fontId="12" fillId="0" borderId="0"/>
    <xf numFmtId="0" fontId="3" fillId="0" borderId="0"/>
    <xf numFmtId="0" fontId="17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50">
    <xf numFmtId="0" fontId="0" fillId="0" borderId="0" xfId="0"/>
    <xf numFmtId="3" fontId="7" fillId="2" borderId="0" xfId="2" applyNumberFormat="1" applyFont="1" applyFill="1" applyBorder="1" applyAlignment="1" applyProtection="1">
      <alignment horizontal="right" vertical="center"/>
    </xf>
    <xf numFmtId="0" fontId="0" fillId="2" borderId="0" xfId="0" applyFill="1" applyBorder="1"/>
    <xf numFmtId="3" fontId="9" fillId="2" borderId="0" xfId="0" applyNumberFormat="1" applyFont="1" applyFill="1"/>
    <xf numFmtId="0" fontId="9" fillId="2" borderId="0" xfId="0" applyFont="1" applyFill="1"/>
    <xf numFmtId="3" fontId="9" fillId="2" borderId="0" xfId="1" applyNumberFormat="1" applyFont="1" applyFill="1" applyBorder="1" applyAlignment="1">
      <alignment horizontal="right" vertical="center"/>
    </xf>
    <xf numFmtId="3" fontId="10" fillId="2" borderId="0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right" vertical="center"/>
    </xf>
    <xf numFmtId="0" fontId="9" fillId="2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 readingOrder="2"/>
    </xf>
    <xf numFmtId="0" fontId="8" fillId="2" borderId="1" xfId="2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/>
    </xf>
    <xf numFmtId="0" fontId="10" fillId="2" borderId="0" xfId="0" applyFont="1" applyFill="1" applyBorder="1"/>
    <xf numFmtId="3" fontId="9" fillId="2" borderId="0" xfId="0" applyNumberFormat="1" applyFont="1" applyFill="1" applyBorder="1" applyProtection="1">
      <protection locked="0"/>
    </xf>
    <xf numFmtId="3" fontId="9" fillId="2" borderId="3" xfId="0" applyNumberFormat="1" applyFont="1" applyFill="1" applyBorder="1" applyProtection="1">
      <protection locked="0"/>
    </xf>
    <xf numFmtId="167" fontId="4" fillId="2" borderId="1" xfId="7" applyNumberFormat="1" applyFont="1" applyFill="1" applyBorder="1" applyAlignment="1" applyProtection="1">
      <alignment horizontal="center" vertical="center"/>
    </xf>
    <xf numFmtId="0" fontId="15" fillId="2" borderId="3" xfId="0" applyFont="1" applyFill="1" applyBorder="1" applyAlignment="1">
      <alignment horizontal="center" readingOrder="2"/>
    </xf>
    <xf numFmtId="0" fontId="6" fillId="2" borderId="0" xfId="8" applyFont="1" applyFill="1" applyBorder="1"/>
    <xf numFmtId="3" fontId="0" fillId="2" borderId="0" xfId="0" applyNumberFormat="1" applyFill="1"/>
    <xf numFmtId="0" fontId="10" fillId="2" borderId="1" xfId="0" applyFont="1" applyFill="1" applyBorder="1"/>
    <xf numFmtId="0" fontId="11" fillId="2" borderId="4" xfId="8" applyFont="1" applyFill="1" applyBorder="1" applyAlignment="1">
      <alignment vertical="center"/>
    </xf>
    <xf numFmtId="1" fontId="0" fillId="2" borderId="0" xfId="0" applyNumberFormat="1" applyFill="1"/>
    <xf numFmtId="166" fontId="0" fillId="2" borderId="0" xfId="1" applyNumberFormat="1" applyFont="1" applyFill="1"/>
    <xf numFmtId="3" fontId="10" fillId="2" borderId="0" xfId="0" applyNumberFormat="1" applyFont="1" applyFill="1" applyBorder="1" applyAlignment="1">
      <alignment horizontal="right" vertical="center"/>
    </xf>
    <xf numFmtId="3" fontId="9" fillId="2" borderId="0" xfId="0" applyNumberFormat="1" applyFont="1" applyFill="1" applyBorder="1" applyAlignment="1" applyProtection="1">
      <alignment horizontal="right" vertical="center"/>
      <protection locked="0"/>
    </xf>
    <xf numFmtId="3" fontId="9" fillId="2" borderId="3" xfId="0" applyNumberFormat="1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0" fillId="2" borderId="0" xfId="0" applyFill="1"/>
    <xf numFmtId="3" fontId="9" fillId="2" borderId="0" xfId="0" applyNumberFormat="1" applyFont="1" applyFill="1" applyBorder="1" applyAlignment="1">
      <alignment horizontal="right" vertical="center"/>
    </xf>
    <xf numFmtId="3" fontId="9" fillId="2" borderId="3" xfId="0" applyNumberFormat="1" applyFont="1" applyFill="1" applyBorder="1" applyAlignment="1">
      <alignment horizontal="right" vertical="center"/>
    </xf>
    <xf numFmtId="3" fontId="10" fillId="2" borderId="3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7" fontId="13" fillId="2" borderId="0" xfId="7" applyNumberFormat="1" applyFont="1" applyFill="1" applyBorder="1" applyAlignment="1" applyProtection="1">
      <alignment horizontal="center" vertical="center"/>
    </xf>
    <xf numFmtId="164" fontId="10" fillId="2" borderId="5" xfId="1" applyNumberFormat="1" applyFont="1" applyFill="1" applyBorder="1" applyAlignment="1">
      <alignment horizontal="center" vertical="center"/>
    </xf>
    <xf numFmtId="0" fontId="16" fillId="2" borderId="0" xfId="5" applyFont="1" applyFill="1" applyBorder="1" applyAlignment="1">
      <alignment horizontal="center" vertical="center"/>
    </xf>
    <xf numFmtId="167" fontId="4" fillId="2" borderId="0" xfId="7" applyNumberFormat="1" applyFont="1" applyFill="1" applyBorder="1" applyAlignment="1" applyProtection="1">
      <alignment horizontal="center" vertical="center"/>
    </xf>
    <xf numFmtId="167" fontId="8" fillId="2" borderId="1" xfId="7" applyNumberFormat="1" applyFont="1" applyFill="1" applyBorder="1" applyAlignment="1" applyProtection="1">
      <alignment horizontal="center" vertical="center"/>
    </xf>
    <xf numFmtId="167" fontId="8" fillId="2" borderId="0" xfId="7" applyNumberFormat="1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</cellXfs>
  <cellStyles count="522">
    <cellStyle name="Comma" xfId="1" builtinId="3"/>
    <cellStyle name="Comma 3" xfId="3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Normal" xfId="0" builtinId="0"/>
    <cellStyle name="Normal 2" xfId="4"/>
    <cellStyle name="Normal 4" xfId="9"/>
    <cellStyle name="Normal_5 Employment_done" xfId="5"/>
    <cellStyle name="Normal_II-16(Populaion)" xfId="2"/>
    <cellStyle name="Normal_po" xfId="8"/>
    <cellStyle name="Normal_Population - II 2" xfId="7"/>
    <cellStyle name="Percent 3" xfId="6"/>
  </cellStyles>
  <dxfs count="0"/>
  <tableStyles count="0" defaultTableStyle="TableStyleMedium9" defaultPivotStyle="PivotStyleLight16"/>
  <colors>
    <mruColors>
      <color rgb="FFFABF8E"/>
      <color rgb="FFF79747"/>
      <color rgb="FFFBC497"/>
      <color rgb="FFFDEADA"/>
      <color rgb="FF953735"/>
      <color rgb="FFFCD3B2"/>
      <color rgb="FFFDDFC7"/>
      <color rgb="FFFF3399"/>
      <color rgb="FFFFD9EC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GB" sz="1050">
                <a:latin typeface="Consolas" pitchFamily="49" charset="0"/>
                <a:cs typeface="Consolas" pitchFamily="49" charset="0"/>
              </a:defRPr>
            </a:pPr>
            <a:r>
              <a:rPr lang="en-US" sz="105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Figure</a:t>
            </a:r>
            <a:r>
              <a:rPr lang="en-US" sz="1050" baseline="0">
                <a:solidFill>
                  <a:schemeClr val="tx1"/>
                </a:solidFill>
                <a:latin typeface="Consolas" pitchFamily="49" charset="0"/>
                <a:cs typeface="Consolas" pitchFamily="49" charset="0"/>
              </a:rPr>
              <a:t> 5.2: </a:t>
            </a:r>
            <a:r>
              <a:rPr lang="en-US" sz="1050" baseline="0">
                <a:latin typeface="Consolas" pitchFamily="49" charset="0"/>
                <a:cs typeface="Consolas" pitchFamily="49" charset="0"/>
              </a:rPr>
              <a:t>Number of civil servants by locaity &amp; sex, 2016 - 2017</a:t>
            </a:r>
            <a:endParaRPr lang="en-US" sz="1050">
              <a:latin typeface="Consolas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4992412746585734"/>
          <c:y val="2.41149988701743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04155265872494"/>
          <c:y val="0.14420086562027432"/>
          <c:w val="0.86275252937781122"/>
          <c:h val="0.6649114390502511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'5.2'!$AD$27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multiLvlStrRef>
              <c:f>'5.2'!$AE$20:$AM$21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'5.2'!$AE$27:$AM$27</c:f>
              <c:numCache>
                <c:formatCode>General</c:formatCode>
                <c:ptCount val="9"/>
                <c:pt idx="0">
                  <c:v>24501</c:v>
                </c:pt>
                <c:pt idx="1">
                  <c:v>10881</c:v>
                </c:pt>
                <c:pt idx="2">
                  <c:v>13620</c:v>
                </c:pt>
                <c:pt idx="3">
                  <c:v>9500</c:v>
                </c:pt>
                <c:pt idx="4">
                  <c:v>4500</c:v>
                </c:pt>
                <c:pt idx="5">
                  <c:v>5000</c:v>
                </c:pt>
                <c:pt idx="6">
                  <c:v>15001</c:v>
                </c:pt>
                <c:pt idx="7">
                  <c:v>6381</c:v>
                </c:pt>
                <c:pt idx="8">
                  <c:v>8620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1-4466-9A34-D8189C1E81FE}"/>
            </c:ext>
          </c:extLst>
        </c:ser>
        <c:ser>
          <c:idx val="3"/>
          <c:order val="1"/>
          <c:tx>
            <c:strRef>
              <c:f>'5.2'!$AD$28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multiLvlStrRef>
              <c:f>'5.2'!$AE$20:$AM$21</c:f>
              <c:multiLvlStrCache>
                <c:ptCount val="9"/>
                <c:lvl>
                  <c:pt idx="0">
                    <c:v>Both sexes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Both sexes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Both sexes</c:v>
                  </c:pt>
                  <c:pt idx="7">
                    <c:v>Male</c:v>
                  </c:pt>
                  <c:pt idx="8">
                    <c:v>Female</c:v>
                  </c:pt>
                </c:lvl>
                <c:lvl>
                  <c:pt idx="0">
                    <c:v>Republic</c:v>
                  </c:pt>
                  <c:pt idx="3">
                    <c:v>Male'</c:v>
                  </c:pt>
                  <c:pt idx="6">
                    <c:v>Atolls</c:v>
                  </c:pt>
                </c:lvl>
              </c:multiLvlStrCache>
            </c:multiLvlStrRef>
          </c:cat>
          <c:val>
            <c:numRef>
              <c:f>'5.2'!$AE$28:$AM$28</c:f>
              <c:numCache>
                <c:formatCode>#,##0</c:formatCode>
                <c:ptCount val="9"/>
                <c:pt idx="0">
                  <c:v>22082</c:v>
                </c:pt>
                <c:pt idx="1">
                  <c:v>8907</c:v>
                </c:pt>
                <c:pt idx="2">
                  <c:v>13175</c:v>
                </c:pt>
                <c:pt idx="3">
                  <c:v>8977</c:v>
                </c:pt>
                <c:pt idx="4">
                  <c:v>4008</c:v>
                </c:pt>
                <c:pt idx="5">
                  <c:v>4969</c:v>
                </c:pt>
                <c:pt idx="6">
                  <c:v>13105</c:v>
                </c:pt>
                <c:pt idx="7">
                  <c:v>4899</c:v>
                </c:pt>
                <c:pt idx="8">
                  <c:v>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1-4466-9A34-D8189C1E8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210016584"/>
        <c:axId val="210781792"/>
      </c:barChart>
      <c:catAx>
        <c:axId val="2100165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lang="en-GB" b="0"/>
            </a:pPr>
            <a:endParaRPr lang="en-US"/>
          </a:p>
        </c:txPr>
        <c:crossAx val="210781792"/>
        <c:crosses val="autoZero"/>
        <c:auto val="1"/>
        <c:lblAlgn val="ctr"/>
        <c:lblOffset val="100"/>
        <c:noMultiLvlLbl val="0"/>
      </c:catAx>
      <c:valAx>
        <c:axId val="210781792"/>
        <c:scaling>
          <c:orientation val="minMax"/>
          <c:max val="25000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lang="en-GB"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8.0712939928152226E-3"/>
              <c:y val="0.31101203728844368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lang="en-GB" sz="900"/>
            </a:pPr>
            <a:endParaRPr lang="en-US"/>
          </a:p>
        </c:txPr>
        <c:crossAx val="21001658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1938982054661063"/>
          <c:y val="0.17662964314891103"/>
          <c:w val="0.16238377873827228"/>
          <c:h val="7.1372303627609462E-2"/>
        </c:manualLayout>
      </c:layout>
      <c:overlay val="0"/>
      <c:txPr>
        <a:bodyPr/>
        <a:lstStyle/>
        <a:p>
          <a:pPr>
            <a:defRPr lang="en-GB" sz="1000" b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15805930481005"/>
          <c:y val="0.1558727102370504"/>
          <c:w val="0.87558990658188318"/>
          <c:h val="0.693288927454825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'5.2'!$D$7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'5.2'!$D$11:$D$21</c:f>
              <c:numCache>
                <c:formatCode>#,##0</c:formatCode>
                <c:ptCount val="11"/>
                <c:pt idx="0">
                  <c:v>13</c:v>
                </c:pt>
                <c:pt idx="1">
                  <c:v>462</c:v>
                </c:pt>
                <c:pt idx="2">
                  <c:v>1117</c:v>
                </c:pt>
                <c:pt idx="3">
                  <c:v>1549</c:v>
                </c:pt>
                <c:pt idx="4">
                  <c:v>1339</c:v>
                </c:pt>
                <c:pt idx="5">
                  <c:v>1140</c:v>
                </c:pt>
                <c:pt idx="6">
                  <c:v>1097</c:v>
                </c:pt>
                <c:pt idx="7">
                  <c:v>900</c:v>
                </c:pt>
                <c:pt idx="8">
                  <c:v>792</c:v>
                </c:pt>
                <c:pt idx="9">
                  <c:v>482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F-4A76-B83F-FF392F4DF83C}"/>
            </c:ext>
          </c:extLst>
        </c:ser>
        <c:ser>
          <c:idx val="1"/>
          <c:order val="1"/>
          <c:tx>
            <c:strRef>
              <c:f>'5.2'!$E$7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'5.2'!$A$11:$A$21</c:f>
              <c:strCache>
                <c:ptCount val="11"/>
                <c:pt idx="0">
                  <c:v>     15-19</c:v>
                </c:pt>
                <c:pt idx="1">
                  <c:v>     20-24</c:v>
                </c:pt>
                <c:pt idx="2">
                  <c:v>     25-29</c:v>
                </c:pt>
                <c:pt idx="3">
                  <c:v>     30-34</c:v>
                </c:pt>
                <c:pt idx="4">
                  <c:v>     35-39</c:v>
                </c:pt>
                <c:pt idx="5">
                  <c:v>     40-44</c:v>
                </c:pt>
                <c:pt idx="6">
                  <c:v>     45-49</c:v>
                </c:pt>
                <c:pt idx="7">
                  <c:v>     50-54</c:v>
                </c:pt>
                <c:pt idx="8">
                  <c:v>     55-59</c:v>
                </c:pt>
                <c:pt idx="9">
                  <c:v>     60-64</c:v>
                </c:pt>
                <c:pt idx="10">
                  <c:v>     65+</c:v>
                </c:pt>
              </c:strCache>
            </c:strRef>
          </c:cat>
          <c:val>
            <c:numRef>
              <c:f>'5.2'!$E$11:$E$21</c:f>
              <c:numCache>
                <c:formatCode>#,##0</c:formatCode>
                <c:ptCount val="11"/>
                <c:pt idx="0">
                  <c:v>37</c:v>
                </c:pt>
                <c:pt idx="1">
                  <c:v>1005</c:v>
                </c:pt>
                <c:pt idx="2">
                  <c:v>2743</c:v>
                </c:pt>
                <c:pt idx="3">
                  <c:v>2787</c:v>
                </c:pt>
                <c:pt idx="4">
                  <c:v>2042</c:v>
                </c:pt>
                <c:pt idx="5">
                  <c:v>1648</c:v>
                </c:pt>
                <c:pt idx="6">
                  <c:v>1273</c:v>
                </c:pt>
                <c:pt idx="7">
                  <c:v>912</c:v>
                </c:pt>
                <c:pt idx="8">
                  <c:v>486</c:v>
                </c:pt>
                <c:pt idx="9">
                  <c:v>234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F-4A76-B83F-FF392F4DF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10964128"/>
        <c:axId val="210964512"/>
      </c:barChart>
      <c:catAx>
        <c:axId val="2109641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10964512"/>
        <c:crosses val="autoZero"/>
        <c:auto val="1"/>
        <c:lblAlgn val="ctr"/>
        <c:lblOffset val="100"/>
        <c:noMultiLvlLbl val="0"/>
      </c:catAx>
      <c:valAx>
        <c:axId val="21096451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1"/>
        <c:majorTickMark val="none"/>
        <c:minorTickMark val="none"/>
        <c:tickLblPos val="nextTo"/>
        <c:crossAx val="2109641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7563943519470628"/>
          <c:y val="0.27267772673484786"/>
          <c:w val="0.25469989155547174"/>
          <c:h val="6.5582531350247872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23</xdr:row>
      <xdr:rowOff>114300</xdr:rowOff>
    </xdr:from>
    <xdr:to>
      <xdr:col>12</xdr:col>
      <xdr:colOff>523875</xdr:colOff>
      <xdr:row>38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257175</xdr:colOff>
      <xdr:row>25</xdr:row>
      <xdr:rowOff>28575</xdr:rowOff>
    </xdr:from>
    <xdr:to>
      <xdr:col>12</xdr:col>
      <xdr:colOff>145047</xdr:colOff>
      <xdr:row>25</xdr:row>
      <xdr:rowOff>28575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1066800" y="4657725"/>
          <a:ext cx="4993272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168449</xdr:colOff>
      <xdr:row>39</xdr:row>
      <xdr:rowOff>91466</xdr:rowOff>
    </xdr:from>
    <xdr:to>
      <xdr:col>12</xdr:col>
      <xdr:colOff>549449</xdr:colOff>
      <xdr:row>54</xdr:row>
      <xdr:rowOff>148616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311756</xdr:colOff>
      <xdr:row>41</xdr:row>
      <xdr:rowOff>5351</xdr:rowOff>
    </xdr:from>
    <xdr:to>
      <xdr:col>11</xdr:col>
      <xdr:colOff>599326</xdr:colOff>
      <xdr:row>41</xdr:row>
      <xdr:rowOff>5351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119776" y="7753778"/>
          <a:ext cx="4782513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  <xdr:twoCellAnchor>
    <xdr:from>
      <xdr:col>0</xdr:col>
      <xdr:colOff>187762</xdr:colOff>
      <xdr:row>44</xdr:row>
      <xdr:rowOff>185715</xdr:rowOff>
    </xdr:from>
    <xdr:to>
      <xdr:col>0</xdr:col>
      <xdr:colOff>395983</xdr:colOff>
      <xdr:row>48</xdr:row>
      <xdr:rowOff>114549</xdr:rowOff>
    </xdr:to>
    <xdr:sp macro="" textlink="">
      <xdr:nvSpPr>
        <xdr:cNvPr id="7" name="TextBox 6"/>
        <xdr:cNvSpPr txBox="1"/>
      </xdr:nvSpPr>
      <xdr:spPr>
        <a:xfrm rot="16200000">
          <a:off x="-57825" y="8757650"/>
          <a:ext cx="699396" cy="2082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Number</a:t>
          </a:r>
        </a:p>
      </xdr:txBody>
    </xdr:sp>
    <xdr:clientData/>
  </xdr:twoCellAnchor>
  <xdr:twoCellAnchor>
    <xdr:from>
      <xdr:col>6</xdr:col>
      <xdr:colOff>191826</xdr:colOff>
      <xdr:row>53</xdr:row>
      <xdr:rowOff>96027</xdr:rowOff>
    </xdr:from>
    <xdr:to>
      <xdr:col>7</xdr:col>
      <xdr:colOff>401444</xdr:colOff>
      <xdr:row>54</xdr:row>
      <xdr:rowOff>122122</xdr:rowOff>
    </xdr:to>
    <xdr:sp macro="" textlink="">
      <xdr:nvSpPr>
        <xdr:cNvPr id="8" name="TextBox 7"/>
        <xdr:cNvSpPr txBox="1"/>
      </xdr:nvSpPr>
      <xdr:spPr>
        <a:xfrm>
          <a:off x="2942304" y="10156139"/>
          <a:ext cx="819646" cy="218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/>
            <a:t>Age Group</a:t>
          </a:r>
        </a:p>
      </xdr:txBody>
    </xdr:sp>
    <xdr:clientData/>
  </xdr:twoCellAnchor>
  <xdr:twoCellAnchor>
    <xdr:from>
      <xdr:col>2</xdr:col>
      <xdr:colOff>294311</xdr:colOff>
      <xdr:row>39</xdr:row>
      <xdr:rowOff>160536</xdr:rowOff>
    </xdr:from>
    <xdr:to>
      <xdr:col>12</xdr:col>
      <xdr:colOff>133777</xdr:colOff>
      <xdr:row>41</xdr:row>
      <xdr:rowOff>1</xdr:rowOff>
    </xdr:to>
    <xdr:sp macro="" textlink="">
      <xdr:nvSpPr>
        <xdr:cNvPr id="9" name="TextBox 8"/>
        <xdr:cNvSpPr txBox="1"/>
      </xdr:nvSpPr>
      <xdr:spPr>
        <a:xfrm>
          <a:off x="1102331" y="7523682"/>
          <a:ext cx="4944438" cy="224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5.3: Number of civil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servants by sex and age group, 2017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N67"/>
  <sheetViews>
    <sheetView tabSelected="1" zoomScale="130" zoomScaleNormal="130" workbookViewId="0">
      <selection activeCell="T12" sqref="T12"/>
    </sheetView>
  </sheetViews>
  <sheetFormatPr defaultRowHeight="15" x14ac:dyDescent="0.25"/>
  <cols>
    <col min="1" max="1" width="10.28515625" style="31" customWidth="1"/>
    <col min="2" max="2" width="1.85546875" style="31" customWidth="1"/>
    <col min="3" max="5" width="9.140625" style="31"/>
    <col min="6" max="6" width="1.7109375" style="31" customWidth="1"/>
    <col min="7" max="9" width="9.140625" style="31"/>
    <col min="10" max="10" width="1.7109375" style="31" customWidth="1"/>
    <col min="11" max="13" width="9.140625" style="31"/>
    <col min="14" max="19" width="7.28515625" style="31" customWidth="1"/>
    <col min="20" max="16384" width="9.140625" style="31"/>
  </cols>
  <sheetData>
    <row r="2" spans="1:31" ht="21" x14ac:dyDescent="0.25">
      <c r="A2" s="43" t="s">
        <v>28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31" x14ac:dyDescent="0.25">
      <c r="A3" s="41" t="s">
        <v>29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31" ht="1.1499999999999999" customHeight="1" x14ac:dyDescent="0.25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38"/>
      <c r="P4" s="38"/>
      <c r="Q4" s="38"/>
      <c r="R4" s="38"/>
      <c r="S4" s="38"/>
    </row>
    <row r="5" spans="1:31" ht="13.5" customHeight="1" x14ac:dyDescent="0.25">
      <c r="A5" s="45" t="s">
        <v>26</v>
      </c>
      <c r="B5" s="18"/>
      <c r="C5" s="47" t="s">
        <v>8</v>
      </c>
      <c r="D5" s="47"/>
      <c r="E5" s="47"/>
      <c r="F5" s="13"/>
      <c r="G5" s="47" t="s">
        <v>7</v>
      </c>
      <c r="H5" s="47"/>
      <c r="I5" s="47"/>
      <c r="J5" s="13"/>
      <c r="K5" s="47" t="s">
        <v>9</v>
      </c>
      <c r="L5" s="47"/>
      <c r="M5" s="47"/>
    </row>
    <row r="6" spans="1:31" ht="12" customHeight="1" x14ac:dyDescent="0.25">
      <c r="A6" s="46"/>
      <c r="B6" s="8"/>
      <c r="C6" s="48" t="s">
        <v>0</v>
      </c>
      <c r="D6" s="48"/>
      <c r="E6" s="48"/>
      <c r="F6" s="8"/>
      <c r="G6" s="49" t="s">
        <v>1</v>
      </c>
      <c r="H6" s="49"/>
      <c r="I6" s="49"/>
      <c r="J6" s="8"/>
      <c r="K6" s="49" t="s">
        <v>2</v>
      </c>
      <c r="L6" s="49"/>
      <c r="M6" s="49"/>
    </row>
    <row r="7" spans="1:31" x14ac:dyDescent="0.25">
      <c r="A7" s="39" t="s">
        <v>10</v>
      </c>
      <c r="B7" s="8"/>
      <c r="C7" s="9" t="s">
        <v>11</v>
      </c>
      <c r="D7" s="9" t="s">
        <v>5</v>
      </c>
      <c r="E7" s="9" t="s">
        <v>6</v>
      </c>
      <c r="F7" s="36"/>
      <c r="G7" s="9" t="s">
        <v>11</v>
      </c>
      <c r="H7" s="9" t="s">
        <v>5</v>
      </c>
      <c r="I7" s="9" t="s">
        <v>6</v>
      </c>
      <c r="J7" s="36"/>
      <c r="K7" s="9" t="s">
        <v>11</v>
      </c>
      <c r="L7" s="9" t="s">
        <v>5</v>
      </c>
      <c r="M7" s="9" t="s">
        <v>6</v>
      </c>
    </row>
    <row r="8" spans="1:31" ht="18.75" x14ac:dyDescent="0.5">
      <c r="A8" s="40"/>
      <c r="B8" s="14"/>
      <c r="C8" s="19" t="s">
        <v>25</v>
      </c>
      <c r="D8" s="19" t="s">
        <v>3</v>
      </c>
      <c r="E8" s="19" t="s">
        <v>4</v>
      </c>
      <c r="F8" s="37"/>
      <c r="G8" s="19" t="s">
        <v>25</v>
      </c>
      <c r="H8" s="19" t="s">
        <v>3</v>
      </c>
      <c r="I8" s="19" t="s">
        <v>4</v>
      </c>
      <c r="J8" s="37"/>
      <c r="K8" s="19" t="s">
        <v>25</v>
      </c>
      <c r="L8" s="19" t="s">
        <v>3</v>
      </c>
      <c r="M8" s="19" t="s">
        <v>4</v>
      </c>
    </row>
    <row r="9" spans="1:31" s="2" customFormat="1" ht="9.6" customHeight="1" x14ac:dyDescent="0.55000000000000004">
      <c r="A9" s="36"/>
      <c r="B9" s="8"/>
      <c r="C9" s="12"/>
      <c r="D9" s="12"/>
      <c r="E9" s="12"/>
      <c r="F9" s="35"/>
      <c r="G9" s="12"/>
      <c r="H9" s="12"/>
      <c r="I9" s="12"/>
      <c r="J9" s="35"/>
      <c r="K9" s="12"/>
      <c r="L9" s="12"/>
      <c r="M9" s="12"/>
    </row>
    <row r="10" spans="1:31" x14ac:dyDescent="0.25">
      <c r="A10" s="7" t="s">
        <v>12</v>
      </c>
      <c r="B10" s="15"/>
      <c r="C10" s="26">
        <f>G10+K10</f>
        <v>22082</v>
      </c>
      <c r="D10" s="26">
        <f>H10+L10</f>
        <v>8907</v>
      </c>
      <c r="E10" s="26">
        <f t="shared" ref="E10" si="0">I10+M10</f>
        <v>13175</v>
      </c>
      <c r="F10" s="26"/>
      <c r="G10" s="26">
        <f>H10+I10</f>
        <v>8977</v>
      </c>
      <c r="H10" s="26">
        <f>SUM(H11:H21)</f>
        <v>4008</v>
      </c>
      <c r="I10" s="26">
        <f>SUM(I11:I21)</f>
        <v>4969</v>
      </c>
      <c r="J10" s="26"/>
      <c r="K10" s="26">
        <f>L10+M10</f>
        <v>13105</v>
      </c>
      <c r="L10" s="26">
        <f>SUM(L11:L21)</f>
        <v>4899</v>
      </c>
      <c r="M10" s="26">
        <f>SUM(M11:M21)</f>
        <v>8206</v>
      </c>
      <c r="N10" s="24"/>
      <c r="O10" s="24"/>
      <c r="P10" s="24"/>
      <c r="Q10" s="24"/>
      <c r="R10" s="24"/>
      <c r="S10" s="24"/>
      <c r="T10" s="24"/>
    </row>
    <row r="11" spans="1:31" x14ac:dyDescent="0.25">
      <c r="A11" s="29" t="s">
        <v>13</v>
      </c>
      <c r="B11" s="10"/>
      <c r="C11" s="26">
        <f t="shared" ref="C11:C21" si="1">G11+K11</f>
        <v>50</v>
      </c>
      <c r="D11" s="32">
        <f t="shared" ref="D11:D21" si="2">H11+L11</f>
        <v>13</v>
      </c>
      <c r="E11" s="32">
        <f t="shared" ref="E11:E21" si="3">I11+M11</f>
        <v>37</v>
      </c>
      <c r="F11" s="27"/>
      <c r="G11" s="26">
        <f>H11+I11</f>
        <v>26</v>
      </c>
      <c r="H11" s="27">
        <v>11</v>
      </c>
      <c r="I11" s="27">
        <v>15</v>
      </c>
      <c r="J11" s="27"/>
      <c r="K11" s="26">
        <f t="shared" ref="K11:K21" si="4">L11+M11</f>
        <v>24</v>
      </c>
      <c r="L11" s="27">
        <v>2</v>
      </c>
      <c r="M11" s="27">
        <v>22</v>
      </c>
      <c r="N11" s="24"/>
      <c r="O11" s="24"/>
      <c r="P11" s="24"/>
      <c r="Q11" s="24"/>
      <c r="R11" s="24"/>
      <c r="S11" s="24"/>
      <c r="T11" s="24"/>
    </row>
    <row r="12" spans="1:31" x14ac:dyDescent="0.25">
      <c r="A12" s="29" t="s">
        <v>14</v>
      </c>
      <c r="B12" s="10"/>
      <c r="C12" s="26">
        <f t="shared" si="1"/>
        <v>1467</v>
      </c>
      <c r="D12" s="32">
        <f t="shared" si="2"/>
        <v>462</v>
      </c>
      <c r="E12" s="32">
        <f t="shared" si="3"/>
        <v>1005</v>
      </c>
      <c r="F12" s="27"/>
      <c r="G12" s="26">
        <f t="shared" ref="G12:G21" si="5">H12+I12</f>
        <v>683</v>
      </c>
      <c r="H12" s="27">
        <v>260</v>
      </c>
      <c r="I12" s="27">
        <v>423</v>
      </c>
      <c r="J12" s="27"/>
      <c r="K12" s="26">
        <f t="shared" si="4"/>
        <v>784</v>
      </c>
      <c r="L12" s="27">
        <v>202</v>
      </c>
      <c r="M12" s="27">
        <v>582</v>
      </c>
      <c r="N12" s="24"/>
      <c r="O12" s="24"/>
      <c r="P12" s="24"/>
      <c r="Q12" s="24"/>
      <c r="R12" s="24"/>
      <c r="S12" s="24"/>
      <c r="T12" s="24"/>
    </row>
    <row r="13" spans="1:31" x14ac:dyDescent="0.25">
      <c r="A13" s="29" t="s">
        <v>15</v>
      </c>
      <c r="B13" s="10"/>
      <c r="C13" s="26">
        <f t="shared" si="1"/>
        <v>3860</v>
      </c>
      <c r="D13" s="32">
        <f t="shared" si="2"/>
        <v>1117</v>
      </c>
      <c r="E13" s="32">
        <f t="shared" si="3"/>
        <v>2743</v>
      </c>
      <c r="F13" s="27"/>
      <c r="G13" s="26">
        <f t="shared" si="5"/>
        <v>1397</v>
      </c>
      <c r="H13" s="27">
        <v>461</v>
      </c>
      <c r="I13" s="27">
        <v>936</v>
      </c>
      <c r="J13" s="27"/>
      <c r="K13" s="26">
        <f t="shared" si="4"/>
        <v>2463</v>
      </c>
      <c r="L13" s="27">
        <v>656</v>
      </c>
      <c r="M13" s="27">
        <v>1807</v>
      </c>
      <c r="N13" s="24"/>
      <c r="P13" s="5"/>
      <c r="Q13" s="6"/>
      <c r="R13" s="5"/>
      <c r="S13" s="5"/>
      <c r="T13" s="5"/>
      <c r="U13" s="6"/>
      <c r="V13" s="5"/>
      <c r="W13" s="5"/>
      <c r="X13" s="5"/>
      <c r="Y13" s="5"/>
      <c r="Z13" s="5"/>
      <c r="AA13" s="5"/>
      <c r="AB13" s="5"/>
      <c r="AC13" s="5"/>
      <c r="AD13" s="6"/>
      <c r="AE13" s="5"/>
    </row>
    <row r="14" spans="1:31" x14ac:dyDescent="0.25">
      <c r="A14" s="29" t="s">
        <v>16</v>
      </c>
      <c r="B14" s="10"/>
      <c r="C14" s="26">
        <f t="shared" si="1"/>
        <v>4336</v>
      </c>
      <c r="D14" s="32">
        <f t="shared" si="2"/>
        <v>1549</v>
      </c>
      <c r="E14" s="32">
        <f t="shared" si="3"/>
        <v>2787</v>
      </c>
      <c r="F14" s="27"/>
      <c r="G14" s="26">
        <f t="shared" si="5"/>
        <v>1524</v>
      </c>
      <c r="H14" s="27">
        <v>590</v>
      </c>
      <c r="I14" s="27">
        <v>934</v>
      </c>
      <c r="J14" s="27"/>
      <c r="K14" s="26">
        <f t="shared" si="4"/>
        <v>2812</v>
      </c>
      <c r="L14" s="27">
        <v>959</v>
      </c>
      <c r="M14" s="27">
        <v>1853</v>
      </c>
      <c r="N14" s="24"/>
      <c r="O14" s="24"/>
      <c r="P14" s="9"/>
      <c r="Q14" s="9"/>
      <c r="R14" s="24"/>
      <c r="S14" s="24"/>
      <c r="T14" s="24"/>
    </row>
    <row r="15" spans="1:31" x14ac:dyDescent="0.25">
      <c r="A15" s="29" t="s">
        <v>17</v>
      </c>
      <c r="B15" s="10"/>
      <c r="C15" s="26">
        <f t="shared" si="1"/>
        <v>3381</v>
      </c>
      <c r="D15" s="32">
        <f t="shared" si="2"/>
        <v>1339</v>
      </c>
      <c r="E15" s="32">
        <f t="shared" si="3"/>
        <v>2042</v>
      </c>
      <c r="F15" s="27"/>
      <c r="G15" s="26">
        <f t="shared" si="5"/>
        <v>1281</v>
      </c>
      <c r="H15" s="27">
        <v>551</v>
      </c>
      <c r="I15" s="27">
        <v>730</v>
      </c>
      <c r="J15" s="27"/>
      <c r="K15" s="26">
        <f t="shared" si="4"/>
        <v>2100</v>
      </c>
      <c r="L15" s="27">
        <v>788</v>
      </c>
      <c r="M15" s="27">
        <v>1312</v>
      </c>
      <c r="N15" s="24"/>
      <c r="O15" s="24"/>
      <c r="P15" s="26"/>
      <c r="Q15" s="26"/>
      <c r="R15" s="24"/>
      <c r="S15" s="24"/>
      <c r="T15" s="24"/>
    </row>
    <row r="16" spans="1:31" x14ac:dyDescent="0.25">
      <c r="A16" s="29" t="s">
        <v>18</v>
      </c>
      <c r="B16" s="10"/>
      <c r="C16" s="26">
        <f t="shared" si="1"/>
        <v>2788</v>
      </c>
      <c r="D16" s="32">
        <f t="shared" si="2"/>
        <v>1140</v>
      </c>
      <c r="E16" s="32">
        <f t="shared" si="3"/>
        <v>1648</v>
      </c>
      <c r="F16" s="27"/>
      <c r="G16" s="26">
        <f t="shared" si="5"/>
        <v>1132</v>
      </c>
      <c r="H16" s="27">
        <v>487</v>
      </c>
      <c r="I16" s="27">
        <v>645</v>
      </c>
      <c r="J16" s="27"/>
      <c r="K16" s="26">
        <f t="shared" si="4"/>
        <v>1656</v>
      </c>
      <c r="L16" s="27">
        <v>653</v>
      </c>
      <c r="M16" s="27">
        <v>1003</v>
      </c>
      <c r="N16" s="24"/>
      <c r="O16" s="24"/>
      <c r="P16" s="24"/>
      <c r="Q16" s="24"/>
      <c r="R16" s="24"/>
      <c r="S16" s="24"/>
      <c r="T16" s="24"/>
    </row>
    <row r="17" spans="1:40" x14ac:dyDescent="0.25">
      <c r="A17" s="29" t="s">
        <v>19</v>
      </c>
      <c r="B17" s="10"/>
      <c r="C17" s="26">
        <f t="shared" si="1"/>
        <v>2370</v>
      </c>
      <c r="D17" s="32">
        <f t="shared" si="2"/>
        <v>1097</v>
      </c>
      <c r="E17" s="32">
        <f t="shared" si="3"/>
        <v>1273</v>
      </c>
      <c r="F17" s="27"/>
      <c r="G17" s="26">
        <f t="shared" si="5"/>
        <v>1048</v>
      </c>
      <c r="H17" s="27">
        <v>518</v>
      </c>
      <c r="I17" s="27">
        <v>530</v>
      </c>
      <c r="J17" s="27"/>
      <c r="K17" s="26">
        <f t="shared" si="4"/>
        <v>1322</v>
      </c>
      <c r="L17" s="27">
        <v>579</v>
      </c>
      <c r="M17" s="27">
        <v>743</v>
      </c>
      <c r="N17" s="24"/>
      <c r="O17" s="24"/>
      <c r="P17" s="24"/>
      <c r="Q17" s="24"/>
      <c r="R17" s="24"/>
      <c r="S17" s="24"/>
      <c r="T17" s="24"/>
    </row>
    <row r="18" spans="1:40" x14ac:dyDescent="0.25">
      <c r="A18" s="29" t="s">
        <v>20</v>
      </c>
      <c r="B18" s="10"/>
      <c r="C18" s="26">
        <f t="shared" si="1"/>
        <v>1812</v>
      </c>
      <c r="D18" s="32">
        <f t="shared" si="2"/>
        <v>900</v>
      </c>
      <c r="E18" s="32">
        <f t="shared" si="3"/>
        <v>912</v>
      </c>
      <c r="F18" s="27"/>
      <c r="G18" s="26">
        <f t="shared" si="5"/>
        <v>820</v>
      </c>
      <c r="H18" s="27">
        <v>435</v>
      </c>
      <c r="I18" s="27">
        <v>385</v>
      </c>
      <c r="J18" s="27"/>
      <c r="K18" s="26">
        <f t="shared" si="4"/>
        <v>992</v>
      </c>
      <c r="L18" s="27">
        <v>465</v>
      </c>
      <c r="M18" s="27">
        <v>527</v>
      </c>
      <c r="N18" s="24"/>
      <c r="O18" s="24"/>
      <c r="P18" s="24"/>
      <c r="Q18" s="24"/>
      <c r="R18" s="24"/>
      <c r="S18" s="24"/>
      <c r="T18" s="24"/>
    </row>
    <row r="19" spans="1:40" x14ac:dyDescent="0.25">
      <c r="A19" s="29" t="s">
        <v>21</v>
      </c>
      <c r="B19" s="10"/>
      <c r="C19" s="26">
        <f t="shared" si="1"/>
        <v>1278</v>
      </c>
      <c r="D19" s="32">
        <f t="shared" si="2"/>
        <v>792</v>
      </c>
      <c r="E19" s="32">
        <f t="shared" si="3"/>
        <v>486</v>
      </c>
      <c r="F19" s="27"/>
      <c r="G19" s="26">
        <f t="shared" si="5"/>
        <v>660</v>
      </c>
      <c r="H19" s="27">
        <v>416</v>
      </c>
      <c r="I19" s="27">
        <v>244</v>
      </c>
      <c r="J19" s="27"/>
      <c r="K19" s="26">
        <f t="shared" si="4"/>
        <v>618</v>
      </c>
      <c r="L19" s="27">
        <v>376</v>
      </c>
      <c r="M19" s="27">
        <v>242</v>
      </c>
      <c r="N19" s="24"/>
      <c r="O19" s="24"/>
      <c r="P19" s="24"/>
      <c r="Q19" s="24"/>
      <c r="R19" s="24"/>
      <c r="S19" s="24"/>
      <c r="T19" s="24"/>
    </row>
    <row r="20" spans="1:40" x14ac:dyDescent="0.25">
      <c r="A20" s="29" t="s">
        <v>22</v>
      </c>
      <c r="B20" s="10"/>
      <c r="C20" s="26">
        <f t="shared" si="1"/>
        <v>716</v>
      </c>
      <c r="D20" s="32">
        <f t="shared" si="2"/>
        <v>482</v>
      </c>
      <c r="E20" s="32">
        <f t="shared" si="3"/>
        <v>234</v>
      </c>
      <c r="F20" s="27"/>
      <c r="G20" s="26">
        <f t="shared" si="5"/>
        <v>389</v>
      </c>
      <c r="H20" s="27">
        <v>267</v>
      </c>
      <c r="I20" s="27">
        <v>122</v>
      </c>
      <c r="J20" s="27"/>
      <c r="K20" s="26">
        <f t="shared" si="4"/>
        <v>327</v>
      </c>
      <c r="L20" s="27">
        <v>215</v>
      </c>
      <c r="M20" s="27">
        <v>112</v>
      </c>
      <c r="N20" s="24"/>
      <c r="O20" s="24"/>
      <c r="P20" s="24"/>
      <c r="Q20" s="24"/>
      <c r="R20" s="24"/>
      <c r="S20" s="24"/>
      <c r="T20" s="24"/>
      <c r="AE20" s="42" t="s">
        <v>0</v>
      </c>
      <c r="AF20" s="42"/>
      <c r="AG20" s="42"/>
      <c r="AH20" s="42" t="s">
        <v>1</v>
      </c>
      <c r="AI20" s="42"/>
      <c r="AJ20" s="42"/>
      <c r="AK20" s="42" t="s">
        <v>2</v>
      </c>
      <c r="AL20" s="42"/>
      <c r="AM20" s="42"/>
    </row>
    <row r="21" spans="1:40" x14ac:dyDescent="0.25">
      <c r="A21" s="30" t="s">
        <v>23</v>
      </c>
      <c r="B21" s="11"/>
      <c r="C21" s="34">
        <f t="shared" si="1"/>
        <v>24</v>
      </c>
      <c r="D21" s="33">
        <f t="shared" si="2"/>
        <v>16</v>
      </c>
      <c r="E21" s="33">
        <f t="shared" si="3"/>
        <v>8</v>
      </c>
      <c r="F21" s="28"/>
      <c r="G21" s="34">
        <f t="shared" si="5"/>
        <v>17</v>
      </c>
      <c r="H21" s="28">
        <v>12</v>
      </c>
      <c r="I21" s="28">
        <v>5</v>
      </c>
      <c r="J21" s="28"/>
      <c r="K21" s="34">
        <f t="shared" si="4"/>
        <v>7</v>
      </c>
      <c r="L21" s="28">
        <v>4</v>
      </c>
      <c r="M21" s="28">
        <v>3</v>
      </c>
      <c r="N21" s="24"/>
      <c r="O21" s="24"/>
      <c r="P21" s="24"/>
      <c r="Q21" s="24"/>
      <c r="R21" s="24"/>
      <c r="S21" s="24"/>
      <c r="T21" s="24"/>
      <c r="AD21" s="8"/>
      <c r="AE21" s="9" t="s">
        <v>11</v>
      </c>
      <c r="AF21" s="9" t="s">
        <v>5</v>
      </c>
      <c r="AG21" s="9" t="s">
        <v>6</v>
      </c>
      <c r="AH21" s="9" t="s">
        <v>11</v>
      </c>
      <c r="AI21" s="9" t="s">
        <v>5</v>
      </c>
      <c r="AJ21" s="9" t="s">
        <v>6</v>
      </c>
      <c r="AK21" s="9" t="s">
        <v>11</v>
      </c>
      <c r="AL21" s="9" t="s">
        <v>5</v>
      </c>
      <c r="AM21" s="9" t="s">
        <v>6</v>
      </c>
    </row>
    <row r="22" spans="1:40" s="4" customFormat="1" ht="17.25" x14ac:dyDescent="0.25">
      <c r="A22" s="23" t="s">
        <v>24</v>
      </c>
      <c r="B22" s="20"/>
      <c r="C22" s="3"/>
      <c r="D22" s="3"/>
      <c r="E22" s="3"/>
      <c r="F22" s="3"/>
      <c r="G22" s="3"/>
      <c r="H22" s="3"/>
      <c r="I22" s="3"/>
      <c r="M22" s="1" t="s">
        <v>27</v>
      </c>
      <c r="AD22" s="22"/>
      <c r="AE22" s="25"/>
      <c r="AF22" s="25"/>
      <c r="AG22" s="25"/>
      <c r="AH22" s="25"/>
      <c r="AI22" s="25"/>
      <c r="AJ22" s="25"/>
      <c r="AK22" s="25"/>
      <c r="AL22" s="25"/>
      <c r="AM22" s="25"/>
      <c r="AN22" s="31"/>
    </row>
    <row r="23" spans="1:40" ht="10.5" customHeight="1" x14ac:dyDescent="0.25">
      <c r="AD23" s="31">
        <v>2012</v>
      </c>
      <c r="AE23" s="25">
        <v>17657</v>
      </c>
      <c r="AF23" s="25">
        <v>8603</v>
      </c>
      <c r="AG23" s="25">
        <v>9054</v>
      </c>
      <c r="AH23" s="25">
        <v>7540</v>
      </c>
      <c r="AI23" s="25">
        <v>3549</v>
      </c>
      <c r="AJ23" s="25">
        <v>3991</v>
      </c>
      <c r="AK23" s="25">
        <v>10117</v>
      </c>
      <c r="AL23" s="25">
        <v>5054</v>
      </c>
      <c r="AM23" s="25">
        <v>5063</v>
      </c>
    </row>
    <row r="24" spans="1:40" x14ac:dyDescent="0.25">
      <c r="AD24" s="31">
        <v>2013</v>
      </c>
      <c r="AE24" s="31">
        <v>24207</v>
      </c>
      <c r="AF24" s="31">
        <v>11219</v>
      </c>
      <c r="AG24" s="31">
        <v>12988</v>
      </c>
      <c r="AH24" s="31">
        <v>8522</v>
      </c>
      <c r="AI24" s="31">
        <v>3837</v>
      </c>
      <c r="AJ24" s="31">
        <v>4685</v>
      </c>
      <c r="AK24" s="31">
        <v>15685</v>
      </c>
      <c r="AL24" s="31">
        <v>7382</v>
      </c>
      <c r="AM24" s="31">
        <v>8303</v>
      </c>
    </row>
    <row r="25" spans="1:40" x14ac:dyDescent="0.25">
      <c r="AD25" s="22">
        <v>2014</v>
      </c>
      <c r="AE25" s="21">
        <v>24883</v>
      </c>
      <c r="AF25" s="21">
        <v>11547</v>
      </c>
      <c r="AG25" s="21">
        <v>13336</v>
      </c>
      <c r="AH25" s="21">
        <v>8749</v>
      </c>
      <c r="AI25" s="21">
        <v>3839</v>
      </c>
      <c r="AJ25" s="21">
        <v>4910</v>
      </c>
      <c r="AK25" s="21">
        <v>16134</v>
      </c>
      <c r="AL25" s="21">
        <v>7708</v>
      </c>
      <c r="AM25" s="21">
        <v>8426</v>
      </c>
    </row>
    <row r="26" spans="1:40" x14ac:dyDescent="0.25">
      <c r="AD26" s="31">
        <v>2015</v>
      </c>
      <c r="AE26" s="21">
        <v>24696</v>
      </c>
      <c r="AF26" s="21">
        <v>11191</v>
      </c>
      <c r="AG26" s="21">
        <v>13505</v>
      </c>
      <c r="AH26" s="21">
        <v>8549</v>
      </c>
      <c r="AI26" s="21">
        <v>3692</v>
      </c>
      <c r="AJ26" s="21">
        <v>4857</v>
      </c>
      <c r="AK26" s="21">
        <v>16147</v>
      </c>
      <c r="AL26" s="21">
        <v>7499</v>
      </c>
      <c r="AM26" s="21">
        <v>8648</v>
      </c>
    </row>
    <row r="27" spans="1:40" x14ac:dyDescent="0.25">
      <c r="C27" s="8" t="s">
        <v>10</v>
      </c>
      <c r="D27" s="31" t="s">
        <v>5</v>
      </c>
      <c r="E27" s="31" t="s">
        <v>6</v>
      </c>
      <c r="AD27" s="31">
        <v>2016</v>
      </c>
      <c r="AE27" s="31">
        <v>24501</v>
      </c>
      <c r="AF27" s="31">
        <v>10881</v>
      </c>
      <c r="AG27" s="31">
        <v>13620</v>
      </c>
      <c r="AH27" s="31">
        <v>9500</v>
      </c>
      <c r="AI27" s="31">
        <v>4500</v>
      </c>
      <c r="AJ27" s="31">
        <v>5000</v>
      </c>
      <c r="AK27" s="31">
        <v>15001</v>
      </c>
      <c r="AL27" s="31">
        <v>6381</v>
      </c>
      <c r="AM27" s="31">
        <v>8620</v>
      </c>
    </row>
    <row r="28" spans="1:40" x14ac:dyDescent="0.25">
      <c r="C28" s="10" t="s">
        <v>13</v>
      </c>
      <c r="D28" s="16">
        <v>8</v>
      </c>
      <c r="E28" s="16">
        <v>12</v>
      </c>
      <c r="AD28" s="31">
        <v>2017</v>
      </c>
      <c r="AE28" s="21">
        <f>C10</f>
        <v>22082</v>
      </c>
      <c r="AF28" s="21">
        <f>D10</f>
        <v>8907</v>
      </c>
      <c r="AG28" s="21">
        <f>E10</f>
        <v>13175</v>
      </c>
      <c r="AH28" s="21">
        <f>G10</f>
        <v>8977</v>
      </c>
      <c r="AI28" s="21">
        <f>H10</f>
        <v>4008</v>
      </c>
      <c r="AJ28" s="21">
        <f>I10</f>
        <v>4969</v>
      </c>
      <c r="AK28" s="21">
        <f>K10</f>
        <v>13105</v>
      </c>
      <c r="AL28" s="21">
        <f>L10</f>
        <v>4899</v>
      </c>
      <c r="AM28" s="21">
        <f>M10</f>
        <v>8206</v>
      </c>
    </row>
    <row r="29" spans="1:40" x14ac:dyDescent="0.25">
      <c r="C29" s="10" t="s">
        <v>14</v>
      </c>
      <c r="D29" s="16">
        <v>554</v>
      </c>
      <c r="E29" s="16">
        <v>736</v>
      </c>
      <c r="AK29" s="21"/>
    </row>
    <row r="30" spans="1:40" x14ac:dyDescent="0.25">
      <c r="C30" s="10" t="s">
        <v>15</v>
      </c>
      <c r="D30" s="16">
        <v>1534</v>
      </c>
      <c r="E30" s="16">
        <v>2232</v>
      </c>
    </row>
    <row r="31" spans="1:40" x14ac:dyDescent="0.25">
      <c r="C31" s="10" t="s">
        <v>16</v>
      </c>
      <c r="D31" s="16">
        <v>1451</v>
      </c>
      <c r="E31" s="16">
        <v>1873</v>
      </c>
    </row>
    <row r="32" spans="1:40" x14ac:dyDescent="0.25">
      <c r="C32" s="10" t="s">
        <v>17</v>
      </c>
      <c r="D32" s="16">
        <v>1208</v>
      </c>
      <c r="E32" s="16">
        <v>1440</v>
      </c>
    </row>
    <row r="33" spans="3:5" x14ac:dyDescent="0.25">
      <c r="C33" s="10" t="s">
        <v>18</v>
      </c>
      <c r="D33" s="16">
        <v>1108</v>
      </c>
      <c r="E33" s="16">
        <v>1123</v>
      </c>
    </row>
    <row r="34" spans="3:5" x14ac:dyDescent="0.25">
      <c r="C34" s="10" t="s">
        <v>19</v>
      </c>
      <c r="D34" s="16">
        <v>954</v>
      </c>
      <c r="E34" s="16">
        <v>776</v>
      </c>
    </row>
    <row r="35" spans="3:5" x14ac:dyDescent="0.25">
      <c r="C35" s="10" t="s">
        <v>20</v>
      </c>
      <c r="D35" s="16">
        <v>781</v>
      </c>
      <c r="E35" s="16">
        <v>448</v>
      </c>
    </row>
    <row r="36" spans="3:5" x14ac:dyDescent="0.25">
      <c r="C36" s="10" t="s">
        <v>21</v>
      </c>
      <c r="D36" s="16">
        <v>611</v>
      </c>
      <c r="E36" s="16">
        <v>282</v>
      </c>
    </row>
    <row r="37" spans="3:5" x14ac:dyDescent="0.25">
      <c r="C37" s="10" t="s">
        <v>22</v>
      </c>
      <c r="D37" s="16">
        <v>327</v>
      </c>
      <c r="E37" s="16">
        <v>114</v>
      </c>
    </row>
    <row r="38" spans="3:5" x14ac:dyDescent="0.25">
      <c r="C38" s="11" t="s">
        <v>23</v>
      </c>
      <c r="D38" s="17">
        <v>67</v>
      </c>
      <c r="E38" s="17">
        <v>18</v>
      </c>
    </row>
    <row r="67" ht="15" customHeight="1" x14ac:dyDescent="0.25"/>
  </sheetData>
  <mergeCells count="14">
    <mergeCell ref="AK20:AM20"/>
    <mergeCell ref="A7:A8"/>
    <mergeCell ref="A2:M2"/>
    <mergeCell ref="A3:M3"/>
    <mergeCell ref="A4:N4"/>
    <mergeCell ref="A5:A6"/>
    <mergeCell ref="C5:E5"/>
    <mergeCell ref="G5:I5"/>
    <mergeCell ref="K5:M5"/>
    <mergeCell ref="C6:E6"/>
    <mergeCell ref="G6:I6"/>
    <mergeCell ref="K6:M6"/>
    <mergeCell ref="AE20:AG20"/>
    <mergeCell ref="AH20:AJ20"/>
  </mergeCells>
  <pageMargins left="0.28999999999999998" right="0.22" top="0.75" bottom="0.75" header="0.3" footer="0.3"/>
  <pageSetup paperSize="9" scale="9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5.2</vt:lpstr>
      <vt:lpstr>'5.2'!Print_Area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2018-05-07T03:58:48Z</cp:lastPrinted>
  <dcterms:created xsi:type="dcterms:W3CDTF">2013-03-26T05:45:33Z</dcterms:created>
  <dcterms:modified xsi:type="dcterms:W3CDTF">2018-05-07T03:58:58Z</dcterms:modified>
</cp:coreProperties>
</file>