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770" windowHeight="6795" tabRatio="834"/>
  </bookViews>
  <sheets>
    <sheet name="5.11" sheetId="30" r:id="rId1"/>
  </sheets>
  <externalReferences>
    <externalReference r:id="rId2"/>
  </externalReferences>
  <definedNames>
    <definedName name="_xlnm.Print_Area" localSheetId="0">'5.11'!$A$1:$Q$55</definedName>
  </definedNames>
  <calcPr calcId="162913"/>
</workbook>
</file>

<file path=xl/calcChain.xml><?xml version="1.0" encoding="utf-8"?>
<calcChain xmlns="http://schemas.openxmlformats.org/spreadsheetml/2006/main">
  <c r="K8" i="30" l="1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M7" i="30"/>
  <c r="K7" i="30" s="1"/>
  <c r="L7" i="30"/>
  <c r="N22" i="30"/>
  <c r="H22" i="30"/>
  <c r="E22" i="30"/>
  <c r="B22" i="30"/>
  <c r="N21" i="30"/>
  <c r="H21" i="30"/>
  <c r="E21" i="30"/>
  <c r="B21" i="30"/>
  <c r="N20" i="30"/>
  <c r="H20" i="30"/>
  <c r="E20" i="30"/>
  <c r="B20" i="30"/>
  <c r="N19" i="30"/>
  <c r="H19" i="30"/>
  <c r="E19" i="30"/>
  <c r="B19" i="30"/>
  <c r="N18" i="30"/>
  <c r="H18" i="30"/>
  <c r="E18" i="30"/>
  <c r="B18" i="30"/>
  <c r="N17" i="30"/>
  <c r="H17" i="30"/>
  <c r="E17" i="30"/>
  <c r="B17" i="30"/>
  <c r="N16" i="30"/>
  <c r="H16" i="30"/>
  <c r="E16" i="30"/>
  <c r="B16" i="30"/>
  <c r="N15" i="30"/>
  <c r="H15" i="30"/>
  <c r="E15" i="30"/>
  <c r="B15" i="30"/>
  <c r="N14" i="30"/>
  <c r="H14" i="30"/>
  <c r="E14" i="30"/>
  <c r="B14" i="30"/>
  <c r="N13" i="30"/>
  <c r="H13" i="30"/>
  <c r="E13" i="30"/>
  <c r="B13" i="30"/>
  <c r="N12" i="30"/>
  <c r="H12" i="30"/>
  <c r="E12" i="30"/>
  <c r="B12" i="30"/>
  <c r="N11" i="30"/>
  <c r="H11" i="30"/>
  <c r="E11" i="30"/>
  <c r="B11" i="30"/>
  <c r="N10" i="30"/>
  <c r="H10" i="30"/>
  <c r="E10" i="30"/>
  <c r="B10" i="30"/>
  <c r="N9" i="30"/>
  <c r="H9" i="30"/>
  <c r="E9" i="30"/>
  <c r="B9" i="30"/>
  <c r="N8" i="30"/>
  <c r="H8" i="30"/>
  <c r="E8" i="30"/>
  <c r="B8" i="30"/>
  <c r="P7" i="30"/>
  <c r="O7" i="30"/>
  <c r="J7" i="30"/>
  <c r="I7" i="30"/>
  <c r="H7" i="30" s="1"/>
  <c r="G7" i="30"/>
  <c r="F7" i="30"/>
  <c r="E7" i="30" s="1"/>
  <c r="D7" i="30"/>
  <c r="C7" i="30"/>
  <c r="N7" i="30" l="1"/>
  <c r="B7" i="30"/>
</calcChain>
</file>

<file path=xl/sharedStrings.xml><?xml version="1.0" encoding="utf-8"?>
<sst xmlns="http://schemas.openxmlformats.org/spreadsheetml/2006/main" count="50" uniqueCount="23">
  <si>
    <t>Total</t>
  </si>
  <si>
    <t>Male</t>
  </si>
  <si>
    <t>Female</t>
  </si>
  <si>
    <t>TOTAL</t>
  </si>
  <si>
    <t>Agriculture</t>
  </si>
  <si>
    <t>Construction</t>
  </si>
  <si>
    <t>Education</t>
  </si>
  <si>
    <t>Electricity, gas &amp; water supply</t>
  </si>
  <si>
    <t>Financial intermediation</t>
  </si>
  <si>
    <t>Fishery</t>
  </si>
  <si>
    <t>Health &amp; Social Work</t>
  </si>
  <si>
    <t>Hotels &amp; Restaurants</t>
  </si>
  <si>
    <t>Manufacturing</t>
  </si>
  <si>
    <t>Other Community, Social and Personal Services</t>
  </si>
  <si>
    <t>Real Estate, Renting &amp; Business Activities</t>
  </si>
  <si>
    <t>Recycling</t>
  </si>
  <si>
    <t>Tourism</t>
  </si>
  <si>
    <t>Transport, Storage &amp; Communication</t>
  </si>
  <si>
    <t>Whole sale &amp; retail trade; repair of motor vehicles, motor cycles &amp; personal household goods</t>
  </si>
  <si>
    <t>Source: Maldives Immigration</t>
  </si>
  <si>
    <t>ތާވަލު 5.11: މަސައްކަތްކުރާ ދާއިރާގެ ގޮތުންނާއި ޖިންސުގެ ގޮތުން ބިދޭސީ މަސައްކަތްތެރިން، 2013 - 2017</t>
  </si>
  <si>
    <t>Table 5.11: Expatriate Employment by Industry and Sex,  2013 - 2017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</si>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</sst>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(* #,##0_);_(* \(#,##0\);_(* &quot;-&quot;??_);_(@_)"/>
    <numFmt numFmtId="167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19">
    <xf numFmtId="0" fontId="0" fillId="0" borderId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5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12" fillId="2" borderId="0" xfId="0" applyFont="1" applyFill="1"/>
    <xf numFmtId="0" fontId="12" fillId="2" borderId="0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left" vertical="center" wrapText="1" indent="1"/>
    </xf>
    <xf numFmtId="166" fontId="6" fillId="2" borderId="0" xfId="1" applyNumberFormat="1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12" fillId="2" borderId="1" xfId="0" applyFont="1" applyFill="1" applyBorder="1" applyAlignment="1">
      <alignment horizontal="left" vertical="center" wrapText="1" indent="1"/>
    </xf>
    <xf numFmtId="166" fontId="6" fillId="2" borderId="1" xfId="1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indent="1"/>
    </xf>
    <xf numFmtId="0" fontId="6" fillId="2" borderId="0" xfId="0" applyFont="1" applyFill="1"/>
    <xf numFmtId="0" fontId="0" fillId="2" borderId="0" xfId="0" applyFill="1" applyBorder="1" applyAlignment="1">
      <alignment wrapText="1"/>
    </xf>
    <xf numFmtId="37" fontId="6" fillId="2" borderId="0" xfId="1" applyNumberFormat="1" applyFont="1" applyFill="1" applyBorder="1" applyAlignment="1">
      <alignment horizontal="right" vertical="center" wrapText="1"/>
    </xf>
    <xf numFmtId="37" fontId="12" fillId="2" borderId="0" xfId="1" applyNumberFormat="1" applyFont="1" applyFill="1" applyBorder="1" applyAlignment="1">
      <alignment horizontal="right" vertical="center" wrapText="1"/>
    </xf>
    <xf numFmtId="37" fontId="6" fillId="2" borderId="5" xfId="1" applyNumberFormat="1" applyFont="1" applyFill="1" applyBorder="1" applyAlignment="1">
      <alignment horizontal="right" vertical="center" wrapText="1"/>
    </xf>
    <xf numFmtId="37" fontId="12" fillId="2" borderId="4" xfId="1" applyNumberFormat="1" applyFont="1" applyFill="1" applyBorder="1" applyAlignment="1">
      <alignment horizontal="right" vertical="center" wrapText="1"/>
    </xf>
    <xf numFmtId="37" fontId="6" fillId="2" borderId="1" xfId="1" applyNumberFormat="1" applyFont="1" applyFill="1" applyBorder="1" applyAlignment="1">
      <alignment horizontal="right" vertical="center" wrapText="1"/>
    </xf>
    <xf numFmtId="37" fontId="12" fillId="2" borderId="1" xfId="1" applyNumberFormat="1" applyFont="1" applyFill="1" applyBorder="1" applyAlignment="1">
      <alignment horizontal="right" vertical="center" wrapText="1"/>
    </xf>
    <xf numFmtId="37" fontId="6" fillId="2" borderId="6" xfId="1" applyNumberFormat="1" applyFont="1" applyFill="1" applyBorder="1" applyAlignment="1">
      <alignment horizontal="right" vertical="center" wrapText="1"/>
    </xf>
    <xf numFmtId="37" fontId="12" fillId="2" borderId="3" xfId="1" applyNumberFormat="1" applyFont="1" applyFill="1" applyBorder="1" applyAlignment="1">
      <alignment horizontal="right" vertical="center" wrapText="1"/>
    </xf>
    <xf numFmtId="37" fontId="6" fillId="2" borderId="4" xfId="1" applyNumberFormat="1" applyFont="1" applyFill="1" applyBorder="1" applyAlignment="1">
      <alignment horizontal="right" vertical="center" wrapText="1"/>
    </xf>
    <xf numFmtId="167" fontId="11" fillId="2" borderId="0" xfId="5" applyNumberFormat="1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</cellXfs>
  <cellStyles count="519">
    <cellStyle name="Comma" xfId="1" builtinId="3"/>
    <cellStyle name="Comma 3" xfId="2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Normal" xfId="0" builtinId="0"/>
    <cellStyle name="Normal 2" xfId="3"/>
    <cellStyle name="Normal 4" xfId="6"/>
    <cellStyle name="Normal_Population - II 2" xfId="5"/>
    <cellStyle name="Percent 3" xfId="4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41891630763781E-2"/>
          <c:y val="0.12202204232667638"/>
          <c:w val="0.91430217396515268"/>
          <c:h val="0.42785373139832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'5.11'!$AE$27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'5.11'!$AB$28:$AB$42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'5.11'!$AE$28:$AE$42</c:f>
              <c:numCache>
                <c:formatCode>_(* #,##0_);_(* \(#,##0\);_(* "-"??_);_(@_)</c:formatCode>
                <c:ptCount val="15"/>
                <c:pt idx="0">
                  <c:v>1664</c:v>
                </c:pt>
                <c:pt idx="1">
                  <c:v>21224</c:v>
                </c:pt>
                <c:pt idx="2">
                  <c:v>1304</c:v>
                </c:pt>
                <c:pt idx="3">
                  <c:v>2026</c:v>
                </c:pt>
                <c:pt idx="4">
                  <c:v>1172</c:v>
                </c:pt>
                <c:pt idx="5">
                  <c:v>1339</c:v>
                </c:pt>
                <c:pt idx="6">
                  <c:v>1569</c:v>
                </c:pt>
                <c:pt idx="7">
                  <c:v>4726</c:v>
                </c:pt>
                <c:pt idx="8">
                  <c:v>4432</c:v>
                </c:pt>
                <c:pt idx="9">
                  <c:v>2735</c:v>
                </c:pt>
                <c:pt idx="10">
                  <c:v>1870</c:v>
                </c:pt>
                <c:pt idx="11">
                  <c:v>1244</c:v>
                </c:pt>
                <c:pt idx="12">
                  <c:v>7224</c:v>
                </c:pt>
                <c:pt idx="13">
                  <c:v>2021</c:v>
                </c:pt>
                <c:pt idx="14">
                  <c:v>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48D8-8D35-A0B404AA57C4}"/>
            </c:ext>
          </c:extLst>
        </c:ser>
        <c:ser>
          <c:idx val="1"/>
          <c:order val="1"/>
          <c:tx>
            <c:strRef>
              <c:f>'5.11'!$AF$27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'5.11'!$AB$28:$AB$42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'5.11'!$AF$28:$AF$42</c:f>
              <c:numCache>
                <c:formatCode>General</c:formatCode>
                <c:ptCount val="15"/>
                <c:pt idx="0">
                  <c:v>3158</c:v>
                </c:pt>
                <c:pt idx="1">
                  <c:v>22494</c:v>
                </c:pt>
                <c:pt idx="2">
                  <c:v>2779</c:v>
                </c:pt>
                <c:pt idx="3">
                  <c:v>3649</c:v>
                </c:pt>
                <c:pt idx="4">
                  <c:v>2680</c:v>
                </c:pt>
                <c:pt idx="5">
                  <c:v>3098</c:v>
                </c:pt>
                <c:pt idx="6">
                  <c:v>3387</c:v>
                </c:pt>
                <c:pt idx="7">
                  <c:v>6310</c:v>
                </c:pt>
                <c:pt idx="8">
                  <c:v>6042</c:v>
                </c:pt>
                <c:pt idx="9">
                  <c:v>4791</c:v>
                </c:pt>
                <c:pt idx="10">
                  <c:v>3543</c:v>
                </c:pt>
                <c:pt idx="11">
                  <c:v>2839</c:v>
                </c:pt>
                <c:pt idx="12">
                  <c:v>8711</c:v>
                </c:pt>
                <c:pt idx="13">
                  <c:v>3997</c:v>
                </c:pt>
                <c:pt idx="14">
                  <c:v>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9-48D8-8D35-A0B404AA57C4}"/>
            </c:ext>
          </c:extLst>
        </c:ser>
        <c:ser>
          <c:idx val="2"/>
          <c:order val="2"/>
          <c:tx>
            <c:strRef>
              <c:f>'5.11'!$AG$27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'5.11'!$AB$28:$AB$42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'5.11'!$AG$28:$AG$42</c:f>
              <c:numCache>
                <c:formatCode>General</c:formatCode>
                <c:ptCount val="15"/>
                <c:pt idx="0">
                  <c:v>2760</c:v>
                </c:pt>
                <c:pt idx="1">
                  <c:v>20670</c:v>
                </c:pt>
                <c:pt idx="2">
                  <c:v>2601</c:v>
                </c:pt>
                <c:pt idx="3">
                  <c:v>3259</c:v>
                </c:pt>
                <c:pt idx="4">
                  <c:v>2444</c:v>
                </c:pt>
                <c:pt idx="5">
                  <c:v>2714</c:v>
                </c:pt>
                <c:pt idx="6">
                  <c:v>3263</c:v>
                </c:pt>
                <c:pt idx="7">
                  <c:v>4597</c:v>
                </c:pt>
                <c:pt idx="8">
                  <c:v>4917</c:v>
                </c:pt>
                <c:pt idx="9">
                  <c:v>5139</c:v>
                </c:pt>
                <c:pt idx="10">
                  <c:v>3090</c:v>
                </c:pt>
                <c:pt idx="11">
                  <c:v>2625</c:v>
                </c:pt>
                <c:pt idx="12">
                  <c:v>9057</c:v>
                </c:pt>
                <c:pt idx="13">
                  <c:v>4500</c:v>
                </c:pt>
                <c:pt idx="14">
                  <c:v>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09-48D8-8D35-A0B404AA5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559936"/>
        <c:axId val="167561472"/>
      </c:barChart>
      <c:catAx>
        <c:axId val="167559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61472"/>
        <c:crosses val="autoZero"/>
        <c:auto val="1"/>
        <c:lblAlgn val="ctr"/>
        <c:lblOffset val="100"/>
        <c:noMultiLvlLbl val="0"/>
      </c:catAx>
      <c:valAx>
        <c:axId val="16756147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6755993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900506898548926"/>
          <c:y val="0.22068501188753481"/>
          <c:w val="0.21358265757379061"/>
          <c:h val="5.7500599310332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1441836279899"/>
          <c:y val="0.15230984727945276"/>
          <c:w val="0.36369905412766801"/>
          <c:h val="0.7990072484462758"/>
        </c:manualLayout>
      </c:layout>
      <c:doughnutChart>
        <c:varyColors val="1"/>
        <c:ser>
          <c:idx val="0"/>
          <c:order val="0"/>
          <c:spPr>
            <a:solidFill>
              <a:srgbClr val="F79747"/>
            </a:solidFill>
          </c:spPr>
          <c:explosion val="8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63B-4B7F-9A09-16378A25D6E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63B-4B7F-9A09-16378A25D6EC}"/>
              </c:ext>
            </c:extLst>
          </c:dPt>
          <c:dLbls>
            <c:dLbl>
              <c:idx val="0"/>
              <c:layout>
                <c:manualLayout>
                  <c:x val="-3.7079953650057937E-2"/>
                  <c:y val="1.70394036208732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63B-4B7F-9A09-16378A25D6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'5.11'!$O$6:$P$6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'5.11'!$O$7:$P$7</c:f>
              <c:numCache>
                <c:formatCode>#,##0_);\(#,##0\)</c:formatCode>
                <c:ptCount val="2"/>
                <c:pt idx="0">
                  <c:v>67101</c:v>
                </c:pt>
                <c:pt idx="1">
                  <c:v>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B-4B7F-9A09-16378A25D6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1847851</xdr:colOff>
      <xdr:row>23</xdr:row>
      <xdr:rowOff>66677</xdr:rowOff>
    </xdr:from>
    <xdr:to>
      <xdr:col>12</xdr:col>
      <xdr:colOff>438150</xdr:colOff>
      <xdr:row>38</xdr:row>
      <xdr:rowOff>238126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3238500</xdr:colOff>
      <xdr:row>25</xdr:row>
      <xdr:rowOff>76200</xdr:rowOff>
    </xdr:from>
    <xdr:to>
      <xdr:col>10</xdr:col>
      <xdr:colOff>171450</xdr:colOff>
      <xdr:row>25</xdr:row>
      <xdr:rowOff>76200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238500" y="5467350"/>
          <a:ext cx="54197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</xdr:col>
      <xdr:colOff>561975</xdr:colOff>
      <xdr:row>36</xdr:row>
      <xdr:rowOff>209550</xdr:rowOff>
    </xdr:from>
    <xdr:to>
      <xdr:col>5</xdr:col>
      <xdr:colOff>276225</xdr:colOff>
      <xdr:row>37</xdr:row>
      <xdr:rowOff>219075</xdr:rowOff>
    </xdr:to>
    <xdr:sp macro="" textlink="">
      <xdr:nvSpPr>
        <xdr:cNvPr id="4" name="TextBox 3"/>
        <xdr:cNvSpPr txBox="1"/>
      </xdr:nvSpPr>
      <xdr:spPr>
        <a:xfrm>
          <a:off x="4981575" y="8553450"/>
          <a:ext cx="8763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Industry</a:t>
          </a:r>
        </a:p>
      </xdr:txBody>
    </xdr:sp>
    <xdr:clientData/>
  </xdr:twoCellAnchor>
  <xdr:twoCellAnchor>
    <xdr:from>
      <xdr:col>0</xdr:col>
      <xdr:colOff>1990725</xdr:colOff>
      <xdr:row>41</xdr:row>
      <xdr:rowOff>66675</xdr:rowOff>
    </xdr:from>
    <xdr:to>
      <xdr:col>12</xdr:col>
      <xdr:colOff>561975</xdr:colOff>
      <xdr:row>52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412750</xdr:colOff>
      <xdr:row>41</xdr:row>
      <xdr:rowOff>120651</xdr:rowOff>
    </xdr:from>
    <xdr:to>
      <xdr:col>10</xdr:col>
      <xdr:colOff>327025</xdr:colOff>
      <xdr:row>42</xdr:row>
      <xdr:rowOff>161926</xdr:rowOff>
    </xdr:to>
    <xdr:sp macro="" textlink="">
      <xdr:nvSpPr>
        <xdr:cNvPr id="6" name="TextBox 5"/>
        <xdr:cNvSpPr txBox="1"/>
      </xdr:nvSpPr>
      <xdr:spPr>
        <a:xfrm>
          <a:off x="3667125" y="9772651"/>
          <a:ext cx="52006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5.13: Percentage of Expatriate Employment by sex,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434975</xdr:colOff>
      <xdr:row>42</xdr:row>
      <xdr:rowOff>82549</xdr:rowOff>
    </xdr:from>
    <xdr:to>
      <xdr:col>10</xdr:col>
      <xdr:colOff>104775</xdr:colOff>
      <xdr:row>42</xdr:row>
      <xdr:rowOff>82549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3689350" y="10004424"/>
          <a:ext cx="49561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0.16568</cdr:x>
      <cdr:y>0.02342</cdr:y>
    </cdr:from>
    <cdr:to>
      <cdr:x>0.89064</cdr:x>
      <cdr:y>0.09836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499" y="95250"/>
          <a:ext cx="5834902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onsolas" pitchFamily="49" charset="0"/>
              <a:cs typeface="Consolas" pitchFamily="49" charset="0"/>
            </a:rPr>
            <a:t>Figure 5.12: Number of Expatriate Employment by Industry,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201</a:t>
          </a:r>
          <a:r>
            <a:rPr lang="dv-MV" sz="1100" b="1">
              <a:latin typeface="Consolas" pitchFamily="49" charset="0"/>
              <a:cs typeface="Consolas" pitchFamily="49" charset="0"/>
            </a:rPr>
            <a:t>5</a:t>
          </a:r>
          <a:r>
            <a:rPr lang="en-US" sz="1100" b="1">
              <a:latin typeface="Consolas" pitchFamily="49" charset="0"/>
              <a:cs typeface="Consolas" pitchFamily="49" charset="0"/>
            </a:rPr>
            <a:t> - 201</a:t>
          </a:r>
          <a:r>
            <a:rPr lang="dv-MV" sz="1100" b="1">
              <a:latin typeface="Consolas" pitchFamily="49" charset="0"/>
              <a:cs typeface="Consolas" pitchFamily="49" charset="0"/>
            </a:rPr>
            <a:t>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Blank%20Tables/5.%20EMPLOYMENT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D7" t="str">
            <v>Male</v>
          </cell>
          <cell r="E7" t="str">
            <v>Female</v>
          </cell>
        </row>
        <row r="8">
          <cell r="D8">
            <v>500</v>
          </cell>
          <cell r="E8">
            <v>191</v>
          </cell>
        </row>
        <row r="127">
          <cell r="BE127" t="str">
            <v>Both sexes</v>
          </cell>
          <cell r="BF127" t="str">
            <v>Male</v>
          </cell>
          <cell r="BG127" t="str">
            <v>Female</v>
          </cell>
        </row>
        <row r="128">
          <cell r="BD128">
            <v>2011</v>
          </cell>
          <cell r="BE128">
            <v>544</v>
          </cell>
          <cell r="BF128">
            <v>390</v>
          </cell>
          <cell r="BG128">
            <v>154</v>
          </cell>
        </row>
        <row r="129">
          <cell r="BD129">
            <v>2012</v>
          </cell>
          <cell r="BE129">
            <v>446</v>
          </cell>
          <cell r="BF129">
            <v>301</v>
          </cell>
          <cell r="BG129">
            <v>145</v>
          </cell>
        </row>
        <row r="130">
          <cell r="BD130">
            <v>2013</v>
          </cell>
          <cell r="BE130">
            <v>473</v>
          </cell>
          <cell r="BF130">
            <v>342</v>
          </cell>
          <cell r="BG130">
            <v>131</v>
          </cell>
        </row>
        <row r="131">
          <cell r="BD131">
            <v>2014</v>
          </cell>
          <cell r="BE131">
            <v>526</v>
          </cell>
          <cell r="BF131">
            <v>367</v>
          </cell>
          <cell r="BG131">
            <v>159</v>
          </cell>
        </row>
        <row r="132">
          <cell r="BD132">
            <v>2015</v>
          </cell>
          <cell r="BE132">
            <v>667</v>
          </cell>
          <cell r="BF132">
            <v>497</v>
          </cell>
          <cell r="BG132">
            <v>170</v>
          </cell>
        </row>
        <row r="133">
          <cell r="BD133">
            <v>2016</v>
          </cell>
          <cell r="BE133">
            <v>691</v>
          </cell>
          <cell r="BF133">
            <v>500</v>
          </cell>
          <cell r="BG133">
            <v>191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166"/>
  <sheetViews>
    <sheetView tabSelected="1" zoomScaleNormal="100" workbookViewId="0">
      <selection activeCell="A3" sqref="A3:P3"/>
    </sheetView>
  </sheetViews>
  <sheetFormatPr defaultRowHeight="15" x14ac:dyDescent="0.25"/>
  <cols>
    <col min="1" max="1" width="48.85546875" style="2" customWidth="1"/>
    <col min="2" max="4" width="8.7109375" style="2" customWidth="1"/>
    <col min="5" max="5" width="8.7109375" style="17" customWidth="1"/>
    <col min="6" max="7" width="8.7109375" style="2" customWidth="1"/>
    <col min="8" max="8" width="8.7109375" style="17" customWidth="1"/>
    <col min="9" max="16" width="8.7109375" style="2" customWidth="1"/>
    <col min="17" max="17" width="2.42578125" style="2" customWidth="1"/>
    <col min="18" max="16384" width="9.140625" style="2"/>
  </cols>
  <sheetData>
    <row r="2" spans="1:32" ht="21" x14ac:dyDescent="0.25">
      <c r="A2" s="28" t="s">
        <v>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32" s="3" customFormat="1" ht="15.75" x14ac:dyDescent="0.25">
      <c r="A3" s="29" t="s">
        <v>21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32" ht="15.75" x14ac:dyDescent="0.25">
      <c r="A4" s="4"/>
      <c r="B4" s="5"/>
      <c r="C4" s="5"/>
      <c r="D4" s="5"/>
      <c r="E4" s="5"/>
      <c r="F4" s="5"/>
      <c r="G4" s="5"/>
      <c r="H4" s="4"/>
      <c r="I4" s="4"/>
      <c r="J4" s="4"/>
    </row>
    <row r="5" spans="1:32" ht="19.5" customHeight="1" x14ac:dyDescent="0.25">
      <c r="A5" s="30" t="s">
        <v>22</v>
      </c>
      <c r="B5" s="31">
        <v>2013</v>
      </c>
      <c r="C5" s="32"/>
      <c r="D5" s="33"/>
      <c r="E5" s="34">
        <v>2014</v>
      </c>
      <c r="F5" s="32"/>
      <c r="G5" s="33"/>
      <c r="H5" s="35">
        <v>2015</v>
      </c>
      <c r="I5" s="36"/>
      <c r="J5" s="37"/>
      <c r="K5" s="34">
        <v>2016</v>
      </c>
      <c r="L5" s="32"/>
      <c r="M5" s="33"/>
      <c r="N5" s="34">
        <v>2017</v>
      </c>
      <c r="O5" s="32"/>
      <c r="P5" s="38"/>
    </row>
    <row r="6" spans="1:32" ht="20.25" customHeight="1" x14ac:dyDescent="0.25">
      <c r="A6" s="30"/>
      <c r="B6" s="6" t="s">
        <v>0</v>
      </c>
      <c r="C6" s="6" t="s">
        <v>1</v>
      </c>
      <c r="D6" s="7" t="s">
        <v>2</v>
      </c>
      <c r="E6" s="8" t="s">
        <v>0</v>
      </c>
      <c r="F6" s="6" t="s">
        <v>1</v>
      </c>
      <c r="G6" s="7" t="s">
        <v>2</v>
      </c>
      <c r="H6" s="8" t="s">
        <v>0</v>
      </c>
      <c r="I6" s="6" t="s">
        <v>1</v>
      </c>
      <c r="J6" s="6" t="s">
        <v>2</v>
      </c>
      <c r="K6" s="8" t="s">
        <v>0</v>
      </c>
      <c r="L6" s="6" t="s">
        <v>1</v>
      </c>
      <c r="M6" s="7" t="s">
        <v>2</v>
      </c>
      <c r="N6" s="8" t="s">
        <v>0</v>
      </c>
      <c r="O6" s="6" t="s">
        <v>1</v>
      </c>
      <c r="P6" s="6" t="s">
        <v>2</v>
      </c>
    </row>
    <row r="7" spans="1:32" s="10" customFormat="1" ht="23.25" customHeight="1" x14ac:dyDescent="0.25">
      <c r="A7" s="9" t="s">
        <v>3</v>
      </c>
      <c r="B7" s="19">
        <f>SUM(C7:D7)</f>
        <v>57424</v>
      </c>
      <c r="C7" s="19">
        <f>SUM(C8:C22)</f>
        <v>52889</v>
      </c>
      <c r="D7" s="19">
        <f>SUM(D8:D22)</f>
        <v>4535</v>
      </c>
      <c r="E7" s="21">
        <f>SUM(F7:G7)</f>
        <v>45584</v>
      </c>
      <c r="F7" s="19">
        <f>SUM(F8:F22)</f>
        <v>41231</v>
      </c>
      <c r="G7" s="27">
        <f>SUM(G8:G22)</f>
        <v>4353</v>
      </c>
      <c r="H7" s="19">
        <f>SUM(I7:J7)</f>
        <v>58527</v>
      </c>
      <c r="I7" s="19">
        <f>SUM(I8:I22)</f>
        <v>53632</v>
      </c>
      <c r="J7" s="19">
        <f>SUM(J8:J22)</f>
        <v>4895</v>
      </c>
      <c r="K7" s="21">
        <f>SUM(L7:M7)</f>
        <v>83143</v>
      </c>
      <c r="L7" s="19">
        <f>SUM(L8:L22)</f>
        <v>73188</v>
      </c>
      <c r="M7" s="27">
        <f>SUM(M8:M22)</f>
        <v>9955</v>
      </c>
      <c r="N7" s="21">
        <f>SUM(O7:P7)</f>
        <v>76342</v>
      </c>
      <c r="O7" s="19">
        <f>SUM(O8:O22)</f>
        <v>67101</v>
      </c>
      <c r="P7" s="19">
        <f>SUM(P8:P22)</f>
        <v>9241</v>
      </c>
    </row>
    <row r="8" spans="1:32" s="13" customFormat="1" x14ac:dyDescent="0.25">
      <c r="A8" s="11" t="s">
        <v>4</v>
      </c>
      <c r="B8" s="19">
        <f>SUM(C8:D8)</f>
        <v>1722</v>
      </c>
      <c r="C8" s="20">
        <v>1608</v>
      </c>
      <c r="D8" s="20">
        <v>114</v>
      </c>
      <c r="E8" s="21">
        <f>SUM(F8:G8)</f>
        <v>1174</v>
      </c>
      <c r="F8" s="20">
        <v>1049</v>
      </c>
      <c r="G8" s="22">
        <v>125</v>
      </c>
      <c r="H8" s="19">
        <f>SUM(I8:J8)</f>
        <v>1664</v>
      </c>
      <c r="I8" s="20">
        <v>1500</v>
      </c>
      <c r="J8" s="20">
        <v>164</v>
      </c>
      <c r="K8" s="21">
        <f t="shared" ref="K8:K22" si="0">SUM(L8:M8)</f>
        <v>3158</v>
      </c>
      <c r="L8" s="20">
        <v>2642</v>
      </c>
      <c r="M8" s="22">
        <v>516</v>
      </c>
      <c r="N8" s="21">
        <f>SUM(O8:P8)</f>
        <v>2760</v>
      </c>
      <c r="O8" s="20">
        <v>2360</v>
      </c>
      <c r="P8" s="20">
        <v>400</v>
      </c>
      <c r="AB8" s="2"/>
      <c r="AC8" s="2"/>
      <c r="AD8" s="2"/>
      <c r="AE8" s="2"/>
      <c r="AF8" s="2"/>
    </row>
    <row r="9" spans="1:32" s="13" customFormat="1" x14ac:dyDescent="0.25">
      <c r="A9" s="11" t="s">
        <v>5</v>
      </c>
      <c r="B9" s="19">
        <f t="shared" ref="B9:B22" si="1">SUM(C9:D9)</f>
        <v>11801</v>
      </c>
      <c r="C9" s="20">
        <v>11719</v>
      </c>
      <c r="D9" s="20">
        <v>82</v>
      </c>
      <c r="E9" s="21">
        <f t="shared" ref="E9:E22" si="2">SUM(F9:G9)</f>
        <v>10891</v>
      </c>
      <c r="F9" s="20">
        <v>10818</v>
      </c>
      <c r="G9" s="22">
        <v>73</v>
      </c>
      <c r="H9" s="19">
        <f t="shared" ref="H9:H22" si="3">SUM(I9:J9)</f>
        <v>21224</v>
      </c>
      <c r="I9" s="20">
        <v>21141</v>
      </c>
      <c r="J9" s="20">
        <v>83</v>
      </c>
      <c r="K9" s="21">
        <f t="shared" si="0"/>
        <v>22494</v>
      </c>
      <c r="L9" s="20">
        <v>22262</v>
      </c>
      <c r="M9" s="22">
        <v>232</v>
      </c>
      <c r="N9" s="21">
        <f t="shared" ref="N9:N22" si="4">SUM(O9:P9)</f>
        <v>20670</v>
      </c>
      <c r="O9" s="20">
        <v>20469</v>
      </c>
      <c r="P9" s="20">
        <v>201</v>
      </c>
    </row>
    <row r="10" spans="1:32" s="13" customFormat="1" x14ac:dyDescent="0.25">
      <c r="A10" s="11" t="s">
        <v>6</v>
      </c>
      <c r="B10" s="19">
        <f t="shared" si="1"/>
        <v>1476</v>
      </c>
      <c r="C10" s="20">
        <v>1302</v>
      </c>
      <c r="D10" s="20">
        <v>174</v>
      </c>
      <c r="E10" s="21">
        <f t="shared" si="2"/>
        <v>1019</v>
      </c>
      <c r="F10" s="20">
        <v>841</v>
      </c>
      <c r="G10" s="22">
        <v>178</v>
      </c>
      <c r="H10" s="19">
        <f t="shared" si="3"/>
        <v>1304</v>
      </c>
      <c r="I10" s="20">
        <v>1075</v>
      </c>
      <c r="J10" s="20">
        <v>229</v>
      </c>
      <c r="K10" s="21">
        <f t="shared" si="0"/>
        <v>2779</v>
      </c>
      <c r="L10" s="20">
        <v>2220</v>
      </c>
      <c r="M10" s="22">
        <v>559</v>
      </c>
      <c r="N10" s="21">
        <f t="shared" si="4"/>
        <v>2601</v>
      </c>
      <c r="O10" s="20">
        <v>2138</v>
      </c>
      <c r="P10" s="20">
        <v>463</v>
      </c>
    </row>
    <row r="11" spans="1:32" s="13" customFormat="1" x14ac:dyDescent="0.25">
      <c r="A11" s="11" t="s">
        <v>7</v>
      </c>
      <c r="B11" s="19">
        <f t="shared" si="1"/>
        <v>2494</v>
      </c>
      <c r="C11" s="20">
        <v>2384</v>
      </c>
      <c r="D11" s="20">
        <v>110</v>
      </c>
      <c r="E11" s="21">
        <f t="shared" si="2"/>
        <v>1968</v>
      </c>
      <c r="F11" s="20">
        <v>1841</v>
      </c>
      <c r="G11" s="22">
        <v>127</v>
      </c>
      <c r="H11" s="19">
        <f t="shared" si="3"/>
        <v>2026</v>
      </c>
      <c r="I11" s="20">
        <v>1858</v>
      </c>
      <c r="J11" s="20">
        <v>168</v>
      </c>
      <c r="K11" s="21">
        <f t="shared" si="0"/>
        <v>3649</v>
      </c>
      <c r="L11" s="20">
        <v>3134</v>
      </c>
      <c r="M11" s="22">
        <v>515</v>
      </c>
      <c r="N11" s="21">
        <f t="shared" si="4"/>
        <v>3259</v>
      </c>
      <c r="O11" s="20">
        <v>2853</v>
      </c>
      <c r="P11" s="20">
        <v>406</v>
      </c>
    </row>
    <row r="12" spans="1:32" s="13" customFormat="1" x14ac:dyDescent="0.25">
      <c r="A12" s="11" t="s">
        <v>8</v>
      </c>
      <c r="B12" s="19">
        <f t="shared" si="1"/>
        <v>1361</v>
      </c>
      <c r="C12" s="20">
        <v>1251</v>
      </c>
      <c r="D12" s="20">
        <v>110</v>
      </c>
      <c r="E12" s="21">
        <f t="shared" si="2"/>
        <v>895</v>
      </c>
      <c r="F12" s="20">
        <v>773</v>
      </c>
      <c r="G12" s="22">
        <v>122</v>
      </c>
      <c r="H12" s="19">
        <f t="shared" si="3"/>
        <v>1172</v>
      </c>
      <c r="I12" s="20">
        <v>1008</v>
      </c>
      <c r="J12" s="20">
        <v>164</v>
      </c>
      <c r="K12" s="21">
        <f t="shared" si="0"/>
        <v>2680</v>
      </c>
      <c r="L12" s="20">
        <v>2169</v>
      </c>
      <c r="M12" s="22">
        <v>511</v>
      </c>
      <c r="N12" s="21">
        <f t="shared" si="4"/>
        <v>2444</v>
      </c>
      <c r="O12" s="20">
        <v>2052</v>
      </c>
      <c r="P12" s="20">
        <v>392</v>
      </c>
    </row>
    <row r="13" spans="1:32" s="13" customFormat="1" ht="20.25" customHeight="1" x14ac:dyDescent="0.25">
      <c r="A13" s="11" t="s">
        <v>9</v>
      </c>
      <c r="B13" s="19">
        <f t="shared" si="1"/>
        <v>1317</v>
      </c>
      <c r="C13" s="20">
        <v>1210</v>
      </c>
      <c r="D13" s="20">
        <v>107</v>
      </c>
      <c r="E13" s="21">
        <f t="shared" si="2"/>
        <v>1110</v>
      </c>
      <c r="F13" s="20">
        <v>989</v>
      </c>
      <c r="G13" s="22">
        <v>121</v>
      </c>
      <c r="H13" s="19">
        <f t="shared" si="3"/>
        <v>1339</v>
      </c>
      <c r="I13" s="20">
        <v>1178</v>
      </c>
      <c r="J13" s="20">
        <v>161</v>
      </c>
      <c r="K13" s="21">
        <f t="shared" si="0"/>
        <v>3098</v>
      </c>
      <c r="L13" s="20">
        <v>2592</v>
      </c>
      <c r="M13" s="22">
        <v>506</v>
      </c>
      <c r="N13" s="21">
        <f t="shared" si="4"/>
        <v>2714</v>
      </c>
      <c r="O13" s="20">
        <v>2317</v>
      </c>
      <c r="P13" s="20">
        <v>397</v>
      </c>
    </row>
    <row r="14" spans="1:32" s="13" customFormat="1" x14ac:dyDescent="0.25">
      <c r="A14" s="11" t="s">
        <v>10</v>
      </c>
      <c r="B14" s="19">
        <f t="shared" si="1"/>
        <v>1764</v>
      </c>
      <c r="C14" s="20">
        <v>1554</v>
      </c>
      <c r="D14" s="20">
        <v>210</v>
      </c>
      <c r="E14" s="21">
        <f t="shared" si="2"/>
        <v>1310</v>
      </c>
      <c r="F14" s="20">
        <v>1105</v>
      </c>
      <c r="G14" s="22">
        <v>205</v>
      </c>
      <c r="H14" s="19">
        <f t="shared" si="3"/>
        <v>1569</v>
      </c>
      <c r="I14" s="20">
        <v>1300</v>
      </c>
      <c r="J14" s="20">
        <v>269</v>
      </c>
      <c r="K14" s="21">
        <f t="shared" si="0"/>
        <v>3387</v>
      </c>
      <c r="L14" s="20">
        <v>2675</v>
      </c>
      <c r="M14" s="22">
        <v>712</v>
      </c>
      <c r="N14" s="21">
        <f t="shared" si="4"/>
        <v>3263</v>
      </c>
      <c r="O14" s="20">
        <v>2604</v>
      </c>
      <c r="P14" s="20">
        <v>659</v>
      </c>
    </row>
    <row r="15" spans="1:32" s="13" customFormat="1" x14ac:dyDescent="0.25">
      <c r="A15" s="11" t="s">
        <v>11</v>
      </c>
      <c r="B15" s="19">
        <f t="shared" si="1"/>
        <v>5136</v>
      </c>
      <c r="C15" s="20">
        <v>4923</v>
      </c>
      <c r="D15" s="20">
        <v>213</v>
      </c>
      <c r="E15" s="21">
        <f t="shared" si="2"/>
        <v>5036</v>
      </c>
      <c r="F15" s="20">
        <v>4789</v>
      </c>
      <c r="G15" s="22">
        <v>247</v>
      </c>
      <c r="H15" s="19">
        <f t="shared" si="3"/>
        <v>4726</v>
      </c>
      <c r="I15" s="20">
        <v>4397</v>
      </c>
      <c r="J15" s="20">
        <v>329</v>
      </c>
      <c r="K15" s="21">
        <f t="shared" si="0"/>
        <v>6310</v>
      </c>
      <c r="L15" s="20">
        <v>5638</v>
      </c>
      <c r="M15" s="22">
        <v>672</v>
      </c>
      <c r="N15" s="21">
        <f t="shared" si="4"/>
        <v>4597</v>
      </c>
      <c r="O15" s="20">
        <v>4024</v>
      </c>
      <c r="P15" s="20">
        <v>573</v>
      </c>
    </row>
    <row r="16" spans="1:32" s="13" customFormat="1" x14ac:dyDescent="0.25">
      <c r="A16" s="11" t="s">
        <v>12</v>
      </c>
      <c r="B16" s="19">
        <f t="shared" si="1"/>
        <v>4461</v>
      </c>
      <c r="C16" s="20">
        <v>4251</v>
      </c>
      <c r="D16" s="20">
        <v>210</v>
      </c>
      <c r="E16" s="21">
        <f t="shared" si="2"/>
        <v>3748</v>
      </c>
      <c r="F16" s="20">
        <v>3536</v>
      </c>
      <c r="G16" s="22">
        <v>212</v>
      </c>
      <c r="H16" s="19">
        <f t="shared" si="3"/>
        <v>4432</v>
      </c>
      <c r="I16" s="20">
        <v>4204</v>
      </c>
      <c r="J16" s="20">
        <v>228</v>
      </c>
      <c r="K16" s="21">
        <f t="shared" si="0"/>
        <v>6042</v>
      </c>
      <c r="L16" s="20">
        <v>5372</v>
      </c>
      <c r="M16" s="22">
        <v>670</v>
      </c>
      <c r="N16" s="21">
        <f t="shared" si="4"/>
        <v>4917</v>
      </c>
      <c r="O16" s="20">
        <v>4145</v>
      </c>
      <c r="P16" s="20">
        <v>772</v>
      </c>
    </row>
    <row r="17" spans="1:33" s="13" customFormat="1" x14ac:dyDescent="0.25">
      <c r="A17" s="11" t="s">
        <v>13</v>
      </c>
      <c r="B17" s="19">
        <f t="shared" si="1"/>
        <v>2957</v>
      </c>
      <c r="C17" s="20">
        <v>2475</v>
      </c>
      <c r="D17" s="20">
        <v>482</v>
      </c>
      <c r="E17" s="21">
        <f t="shared" si="2"/>
        <v>2474</v>
      </c>
      <c r="F17" s="20">
        <v>2031</v>
      </c>
      <c r="G17" s="22">
        <v>443</v>
      </c>
      <c r="H17" s="19">
        <f t="shared" si="3"/>
        <v>2735</v>
      </c>
      <c r="I17" s="20">
        <v>2230</v>
      </c>
      <c r="J17" s="20">
        <v>505</v>
      </c>
      <c r="K17" s="21">
        <f t="shared" si="0"/>
        <v>4791</v>
      </c>
      <c r="L17" s="20">
        <v>3925</v>
      </c>
      <c r="M17" s="22">
        <v>866</v>
      </c>
      <c r="N17" s="21">
        <f t="shared" si="4"/>
        <v>5139</v>
      </c>
      <c r="O17" s="20">
        <v>4352</v>
      </c>
      <c r="P17" s="20">
        <v>787</v>
      </c>
    </row>
    <row r="18" spans="1:33" s="13" customFormat="1" x14ac:dyDescent="0.25">
      <c r="A18" s="11" t="s">
        <v>14</v>
      </c>
      <c r="B18" s="19">
        <f t="shared" si="1"/>
        <v>2277</v>
      </c>
      <c r="C18" s="20">
        <v>2155</v>
      </c>
      <c r="D18" s="20">
        <v>122</v>
      </c>
      <c r="E18" s="21">
        <f t="shared" si="2"/>
        <v>1662</v>
      </c>
      <c r="F18" s="20">
        <v>1525</v>
      </c>
      <c r="G18" s="22">
        <v>137</v>
      </c>
      <c r="H18" s="19">
        <f t="shared" si="3"/>
        <v>1870</v>
      </c>
      <c r="I18" s="20">
        <v>1700</v>
      </c>
      <c r="J18" s="20">
        <v>170</v>
      </c>
      <c r="K18" s="21">
        <f t="shared" si="0"/>
        <v>3543</v>
      </c>
      <c r="L18" s="20">
        <v>3021</v>
      </c>
      <c r="M18" s="22">
        <v>522</v>
      </c>
      <c r="N18" s="21">
        <f t="shared" si="4"/>
        <v>3090</v>
      </c>
      <c r="O18" s="20">
        <v>2685</v>
      </c>
      <c r="P18" s="20">
        <v>405</v>
      </c>
    </row>
    <row r="19" spans="1:33" s="13" customFormat="1" x14ac:dyDescent="0.25">
      <c r="A19" s="11" t="s">
        <v>15</v>
      </c>
      <c r="B19" s="19">
        <f t="shared" si="1"/>
        <v>1503</v>
      </c>
      <c r="C19" s="20">
        <v>1396</v>
      </c>
      <c r="D19" s="20">
        <v>107</v>
      </c>
      <c r="E19" s="21">
        <f t="shared" si="2"/>
        <v>1057</v>
      </c>
      <c r="F19" s="20">
        <v>936</v>
      </c>
      <c r="G19" s="22">
        <v>121</v>
      </c>
      <c r="H19" s="19">
        <f t="shared" si="3"/>
        <v>1244</v>
      </c>
      <c r="I19" s="20">
        <v>1084</v>
      </c>
      <c r="J19" s="20">
        <v>160</v>
      </c>
      <c r="K19" s="21">
        <f t="shared" si="0"/>
        <v>2839</v>
      </c>
      <c r="L19" s="20">
        <v>2333</v>
      </c>
      <c r="M19" s="22">
        <v>506</v>
      </c>
      <c r="N19" s="21">
        <f t="shared" si="4"/>
        <v>2625</v>
      </c>
      <c r="O19" s="20">
        <v>2234</v>
      </c>
      <c r="P19" s="20">
        <v>391</v>
      </c>
    </row>
    <row r="20" spans="1:33" s="13" customFormat="1" x14ac:dyDescent="0.25">
      <c r="A20" s="11" t="s">
        <v>16</v>
      </c>
      <c r="B20" s="19">
        <f t="shared" si="1"/>
        <v>11680</v>
      </c>
      <c r="C20" s="20">
        <v>9584</v>
      </c>
      <c r="D20" s="20">
        <v>2096</v>
      </c>
      <c r="E20" s="21">
        <f t="shared" si="2"/>
        <v>7353</v>
      </c>
      <c r="F20" s="20">
        <v>5541</v>
      </c>
      <c r="G20" s="22">
        <v>1812</v>
      </c>
      <c r="H20" s="19">
        <f t="shared" si="3"/>
        <v>7224</v>
      </c>
      <c r="I20" s="20">
        <v>5480</v>
      </c>
      <c r="J20" s="20">
        <v>1744</v>
      </c>
      <c r="K20" s="21">
        <f t="shared" si="0"/>
        <v>8711</v>
      </c>
      <c r="L20" s="20">
        <v>6717</v>
      </c>
      <c r="M20" s="22">
        <v>1994</v>
      </c>
      <c r="N20" s="21">
        <f t="shared" si="4"/>
        <v>9057</v>
      </c>
      <c r="O20" s="20">
        <v>6616</v>
      </c>
      <c r="P20" s="20">
        <v>2441</v>
      </c>
    </row>
    <row r="21" spans="1:33" s="13" customFormat="1" x14ac:dyDescent="0.25">
      <c r="A21" s="11" t="s">
        <v>17</v>
      </c>
      <c r="B21" s="19">
        <f t="shared" si="1"/>
        <v>2647</v>
      </c>
      <c r="C21" s="20">
        <v>2407</v>
      </c>
      <c r="D21" s="20">
        <v>240</v>
      </c>
      <c r="E21" s="21">
        <f t="shared" si="2"/>
        <v>2280</v>
      </c>
      <c r="F21" s="20">
        <v>2034</v>
      </c>
      <c r="G21" s="22">
        <v>246</v>
      </c>
      <c r="H21" s="19">
        <f t="shared" si="3"/>
        <v>2021</v>
      </c>
      <c r="I21" s="20">
        <v>1769</v>
      </c>
      <c r="J21" s="20">
        <v>252</v>
      </c>
      <c r="K21" s="21">
        <f t="shared" si="0"/>
        <v>3997</v>
      </c>
      <c r="L21" s="20">
        <v>3421</v>
      </c>
      <c r="M21" s="22">
        <v>576</v>
      </c>
      <c r="N21" s="21">
        <f t="shared" si="4"/>
        <v>4500</v>
      </c>
      <c r="O21" s="20">
        <v>4040</v>
      </c>
      <c r="P21" s="20">
        <v>460</v>
      </c>
    </row>
    <row r="22" spans="1:33" s="13" customFormat="1" ht="30" x14ac:dyDescent="0.25">
      <c r="A22" s="14" t="s">
        <v>18</v>
      </c>
      <c r="B22" s="23">
        <f t="shared" si="1"/>
        <v>4828</v>
      </c>
      <c r="C22" s="24">
        <v>4670</v>
      </c>
      <c r="D22" s="24">
        <v>158</v>
      </c>
      <c r="E22" s="25">
        <f t="shared" si="2"/>
        <v>3607</v>
      </c>
      <c r="F22" s="24">
        <v>3423</v>
      </c>
      <c r="G22" s="26">
        <v>184</v>
      </c>
      <c r="H22" s="23">
        <f t="shared" si="3"/>
        <v>3977</v>
      </c>
      <c r="I22" s="24">
        <v>3708</v>
      </c>
      <c r="J22" s="24">
        <v>269</v>
      </c>
      <c r="K22" s="25">
        <f t="shared" si="0"/>
        <v>5665</v>
      </c>
      <c r="L22" s="24">
        <v>5067</v>
      </c>
      <c r="M22" s="26">
        <v>598</v>
      </c>
      <c r="N22" s="25">
        <f t="shared" si="4"/>
        <v>4706</v>
      </c>
      <c r="O22" s="24">
        <v>4212</v>
      </c>
      <c r="P22" s="24">
        <v>494</v>
      </c>
    </row>
    <row r="23" spans="1:33" ht="21" customHeight="1" x14ac:dyDescent="0.25">
      <c r="A23" s="16" t="s">
        <v>19</v>
      </c>
      <c r="B23" s="1"/>
      <c r="C23" s="1"/>
      <c r="D23" s="1"/>
    </row>
    <row r="24" spans="1:33" ht="12.75" customHeight="1" x14ac:dyDescent="0.25"/>
    <row r="25" spans="1:33" ht="15" customHeight="1" x14ac:dyDescent="0.25"/>
    <row r="26" spans="1:33" ht="15" customHeight="1" x14ac:dyDescent="0.25"/>
    <row r="27" spans="1:33" ht="21.75" customHeight="1" x14ac:dyDescent="0.25">
      <c r="AC27" s="2">
        <v>2013</v>
      </c>
      <c r="AD27" s="2">
        <v>2014</v>
      </c>
      <c r="AE27" s="2">
        <v>2015</v>
      </c>
      <c r="AF27" s="2">
        <v>2016</v>
      </c>
      <c r="AG27" s="2">
        <v>2017</v>
      </c>
    </row>
    <row r="28" spans="1:33" ht="21.75" customHeight="1" x14ac:dyDescent="0.25">
      <c r="M28" s="3"/>
      <c r="N28" s="3"/>
      <c r="O28" s="3"/>
      <c r="AB28" s="11" t="s">
        <v>4</v>
      </c>
      <c r="AC28" s="2">
        <v>1722</v>
      </c>
      <c r="AD28" s="2">
        <v>1174</v>
      </c>
      <c r="AE28" s="12">
        <v>1664</v>
      </c>
      <c r="AF28" s="2">
        <v>3158</v>
      </c>
      <c r="AG28" s="2">
        <v>2760</v>
      </c>
    </row>
    <row r="29" spans="1:33" ht="21.75" customHeight="1" x14ac:dyDescent="0.25">
      <c r="M29" s="18"/>
      <c r="N29" s="3"/>
      <c r="O29" s="3"/>
      <c r="AB29" s="11" t="s">
        <v>5</v>
      </c>
      <c r="AC29" s="2">
        <v>11801</v>
      </c>
      <c r="AD29" s="2">
        <v>10891</v>
      </c>
      <c r="AE29" s="12">
        <v>21224</v>
      </c>
      <c r="AF29" s="2">
        <v>22494</v>
      </c>
      <c r="AG29" s="2">
        <v>20670</v>
      </c>
    </row>
    <row r="30" spans="1:33" ht="21.75" customHeight="1" x14ac:dyDescent="0.25">
      <c r="M30" s="18"/>
      <c r="N30" s="3"/>
      <c r="O30" s="3"/>
      <c r="AB30" s="11" t="s">
        <v>6</v>
      </c>
      <c r="AC30" s="10">
        <v>1476</v>
      </c>
      <c r="AD30" s="10">
        <v>1019</v>
      </c>
      <c r="AE30" s="12">
        <v>1304</v>
      </c>
      <c r="AF30" s="10">
        <v>2779</v>
      </c>
      <c r="AG30" s="2">
        <v>2601</v>
      </c>
    </row>
    <row r="31" spans="1:33" ht="21.75" customHeight="1" x14ac:dyDescent="0.25">
      <c r="M31" s="18"/>
      <c r="N31" s="3"/>
      <c r="O31" s="3"/>
      <c r="AB31" s="11" t="s">
        <v>7</v>
      </c>
      <c r="AC31" s="13">
        <v>2494</v>
      </c>
      <c r="AD31" s="13">
        <v>1968</v>
      </c>
      <c r="AE31" s="12">
        <v>2026</v>
      </c>
      <c r="AF31" s="13">
        <v>3649</v>
      </c>
      <c r="AG31" s="2">
        <v>3259</v>
      </c>
    </row>
    <row r="32" spans="1:33" ht="21.75" customHeight="1" x14ac:dyDescent="0.25">
      <c r="M32" s="18"/>
      <c r="N32" s="3"/>
      <c r="O32" s="3"/>
      <c r="AB32" s="11" t="s">
        <v>8</v>
      </c>
      <c r="AC32" s="13">
        <v>1361</v>
      </c>
      <c r="AD32" s="13">
        <v>895</v>
      </c>
      <c r="AE32" s="12">
        <v>1172</v>
      </c>
      <c r="AF32" s="13">
        <v>2680</v>
      </c>
      <c r="AG32" s="2">
        <v>2444</v>
      </c>
    </row>
    <row r="33" spans="13:33" ht="21.75" customHeight="1" x14ac:dyDescent="0.25">
      <c r="M33" s="18"/>
      <c r="N33" s="3"/>
      <c r="O33" s="3"/>
      <c r="AB33" s="11" t="s">
        <v>9</v>
      </c>
      <c r="AC33" s="13">
        <v>1317</v>
      </c>
      <c r="AD33" s="13">
        <v>1110</v>
      </c>
      <c r="AE33" s="12">
        <v>1339</v>
      </c>
      <c r="AF33" s="13">
        <v>3098</v>
      </c>
      <c r="AG33" s="2">
        <v>2714</v>
      </c>
    </row>
    <row r="34" spans="13:33" ht="21.75" customHeight="1" x14ac:dyDescent="0.25">
      <c r="M34" s="18"/>
      <c r="N34" s="3"/>
      <c r="O34" s="3"/>
      <c r="AB34" s="11" t="s">
        <v>10</v>
      </c>
      <c r="AC34" s="13">
        <v>1764</v>
      </c>
      <c r="AD34" s="13">
        <v>1310</v>
      </c>
      <c r="AE34" s="12">
        <v>1569</v>
      </c>
      <c r="AF34" s="13">
        <v>3387</v>
      </c>
      <c r="AG34" s="2">
        <v>3263</v>
      </c>
    </row>
    <row r="35" spans="13:33" ht="21.75" customHeight="1" x14ac:dyDescent="0.25">
      <c r="M35" s="18"/>
      <c r="N35" s="3"/>
      <c r="O35" s="3"/>
      <c r="AB35" s="11" t="s">
        <v>11</v>
      </c>
      <c r="AC35" s="13">
        <v>5136</v>
      </c>
      <c r="AD35" s="13">
        <v>5036</v>
      </c>
      <c r="AE35" s="12">
        <v>4726</v>
      </c>
      <c r="AF35" s="13">
        <v>6310</v>
      </c>
      <c r="AG35" s="2">
        <v>4597</v>
      </c>
    </row>
    <row r="36" spans="13:33" ht="21.75" customHeight="1" x14ac:dyDescent="0.25">
      <c r="M36" s="18"/>
      <c r="N36" s="3"/>
      <c r="O36" s="3"/>
      <c r="AB36" s="11" t="s">
        <v>12</v>
      </c>
      <c r="AC36" s="13">
        <v>4461</v>
      </c>
      <c r="AD36" s="13">
        <v>3748</v>
      </c>
      <c r="AE36" s="12">
        <v>4432</v>
      </c>
      <c r="AF36" s="13">
        <v>6042</v>
      </c>
      <c r="AG36" s="2">
        <v>4917</v>
      </c>
    </row>
    <row r="37" spans="13:33" ht="21.75" customHeight="1" x14ac:dyDescent="0.25">
      <c r="M37" s="18"/>
      <c r="N37" s="3"/>
      <c r="O37" s="3"/>
      <c r="AB37" s="11" t="s">
        <v>13</v>
      </c>
      <c r="AC37" s="13">
        <v>2957</v>
      </c>
      <c r="AD37" s="13">
        <v>2474</v>
      </c>
      <c r="AE37" s="12">
        <v>2735</v>
      </c>
      <c r="AF37" s="13">
        <v>4791</v>
      </c>
      <c r="AG37" s="2">
        <v>5139</v>
      </c>
    </row>
    <row r="38" spans="13:33" ht="21.75" customHeight="1" x14ac:dyDescent="0.25">
      <c r="M38" s="18"/>
      <c r="N38" s="3"/>
      <c r="O38" s="3"/>
      <c r="AB38" s="11" t="s">
        <v>14</v>
      </c>
      <c r="AC38" s="13">
        <v>2277</v>
      </c>
      <c r="AD38" s="13">
        <v>1662</v>
      </c>
      <c r="AE38" s="12">
        <v>1870</v>
      </c>
      <c r="AF38" s="13">
        <v>3543</v>
      </c>
      <c r="AG38" s="2">
        <v>3090</v>
      </c>
    </row>
    <row r="39" spans="13:33" ht="21.75" customHeight="1" x14ac:dyDescent="0.25">
      <c r="M39" s="18"/>
      <c r="N39" s="3"/>
      <c r="O39" s="3"/>
      <c r="AB39" s="11" t="s">
        <v>15</v>
      </c>
      <c r="AC39" s="13">
        <v>1503</v>
      </c>
      <c r="AD39" s="13">
        <v>1057</v>
      </c>
      <c r="AE39" s="12">
        <v>1244</v>
      </c>
      <c r="AF39" s="13">
        <v>2839</v>
      </c>
      <c r="AG39" s="2">
        <v>2625</v>
      </c>
    </row>
    <row r="40" spans="13:33" ht="21.75" customHeight="1" x14ac:dyDescent="0.25">
      <c r="M40" s="18"/>
      <c r="N40" s="3"/>
      <c r="O40" s="3"/>
      <c r="AB40" s="11" t="s">
        <v>16</v>
      </c>
      <c r="AC40" s="13">
        <v>11680</v>
      </c>
      <c r="AD40" s="13">
        <v>7353</v>
      </c>
      <c r="AE40" s="12">
        <v>7224</v>
      </c>
      <c r="AF40" s="13">
        <v>8711</v>
      </c>
      <c r="AG40" s="2">
        <v>9057</v>
      </c>
    </row>
    <row r="41" spans="13:33" ht="21.75" customHeight="1" x14ac:dyDescent="0.25">
      <c r="M41" s="18"/>
      <c r="N41" s="3"/>
      <c r="O41" s="3"/>
      <c r="AB41" s="11" t="s">
        <v>17</v>
      </c>
      <c r="AC41" s="13">
        <v>2647</v>
      </c>
      <c r="AD41" s="13">
        <v>2280</v>
      </c>
      <c r="AE41" s="12">
        <v>2021</v>
      </c>
      <c r="AF41" s="13">
        <v>3997</v>
      </c>
      <c r="AG41" s="2">
        <v>4500</v>
      </c>
    </row>
    <row r="42" spans="13:33" ht="21.75" customHeight="1" x14ac:dyDescent="0.25">
      <c r="M42" s="18"/>
      <c r="N42" s="3"/>
      <c r="O42" s="3"/>
      <c r="AB42" s="14" t="s">
        <v>18</v>
      </c>
      <c r="AC42" s="13">
        <v>4828</v>
      </c>
      <c r="AD42" s="13">
        <v>3607</v>
      </c>
      <c r="AE42" s="15">
        <v>3977</v>
      </c>
      <c r="AF42" s="13">
        <v>5665</v>
      </c>
      <c r="AG42" s="2">
        <v>4706</v>
      </c>
    </row>
    <row r="43" spans="13:33" ht="21.75" customHeight="1" x14ac:dyDescent="0.25">
      <c r="M43" s="18"/>
      <c r="N43" s="3"/>
      <c r="O43" s="3"/>
      <c r="AB43" s="13"/>
      <c r="AC43" s="13"/>
      <c r="AD43" s="13"/>
      <c r="AE43" s="13"/>
      <c r="AF43" s="13"/>
    </row>
    <row r="44" spans="13:33" ht="21.75" customHeight="1" x14ac:dyDescent="0.25">
      <c r="M44" s="18"/>
      <c r="N44" s="3"/>
      <c r="O44" s="3"/>
    </row>
    <row r="45" spans="13:33" ht="21.75" customHeight="1" x14ac:dyDescent="0.25">
      <c r="M45" s="18"/>
      <c r="N45" s="3"/>
      <c r="O45" s="3"/>
    </row>
    <row r="46" spans="13:33" ht="21.75" customHeight="1" x14ac:dyDescent="0.25">
      <c r="M46" s="18"/>
      <c r="N46" s="3"/>
      <c r="O46" s="3"/>
    </row>
    <row r="47" spans="13:33" ht="21.75" customHeight="1" x14ac:dyDescent="0.25">
      <c r="M47" s="18"/>
      <c r="N47" s="3"/>
      <c r="O47" s="3"/>
    </row>
    <row r="48" spans="13:33" ht="21.75" customHeight="1" x14ac:dyDescent="0.25">
      <c r="M48" s="18"/>
      <c r="N48" s="3"/>
      <c r="O48" s="3"/>
    </row>
    <row r="49" spans="13:19" ht="21.75" customHeight="1" x14ac:dyDescent="0.25">
      <c r="M49" s="18"/>
      <c r="N49" s="3"/>
      <c r="O49" s="3"/>
    </row>
    <row r="50" spans="13:19" ht="21.75" customHeight="1" x14ac:dyDescent="0.25">
      <c r="M50" s="18"/>
      <c r="N50" s="3"/>
      <c r="O50" s="3"/>
    </row>
    <row r="51" spans="13:19" ht="21.75" customHeight="1" x14ac:dyDescent="0.25">
      <c r="P51" s="18"/>
      <c r="Q51" s="18"/>
      <c r="R51" s="18"/>
      <c r="S51" s="18"/>
    </row>
    <row r="52" spans="13:19" ht="21.75" customHeight="1" x14ac:dyDescent="0.25"/>
    <row r="53" spans="13:19" ht="21.75" customHeight="1" x14ac:dyDescent="0.25"/>
    <row r="54" spans="13:19" ht="21.75" customHeight="1" x14ac:dyDescent="0.25"/>
    <row r="55" spans="13:19" ht="21.75" customHeight="1" x14ac:dyDescent="0.25"/>
    <row r="56" spans="13:19" ht="21.75" customHeight="1" x14ac:dyDescent="0.25"/>
    <row r="57" spans="13:19" ht="21.75" customHeight="1" x14ac:dyDescent="0.25"/>
    <row r="58" spans="13:19" ht="21.75" customHeight="1" x14ac:dyDescent="0.25"/>
    <row r="59" spans="13:19" ht="21.75" customHeight="1" x14ac:dyDescent="0.25"/>
    <row r="60" spans="13:19" ht="21.75" customHeight="1" x14ac:dyDescent="0.25"/>
    <row r="61" spans="13:19" ht="21.75" customHeight="1" x14ac:dyDescent="0.25"/>
    <row r="62" spans="13:19" ht="21.75" customHeight="1" x14ac:dyDescent="0.25"/>
    <row r="63" spans="13:19" ht="21.75" customHeight="1" x14ac:dyDescent="0.25"/>
    <row r="64" spans="13:19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</sheetData>
  <mergeCells count="8">
    <mergeCell ref="A2:P2"/>
    <mergeCell ref="A3:P3"/>
    <mergeCell ref="A5:A6"/>
    <mergeCell ref="B5:D5"/>
    <mergeCell ref="E5:G5"/>
    <mergeCell ref="H5:J5"/>
    <mergeCell ref="K5:M5"/>
    <mergeCell ref="N5:P5"/>
  </mergeCells>
  <pageMargins left="0.7" right="0.7" top="0.75" bottom="0.75" header="0.3" footer="0.3"/>
  <pageSetup paperSize="9" scale="67" orientation="landscape" horizontalDpi="4294967295" verticalDpi="4294967295" r:id="rId1"/>
  <rowBreaks count="1" manualBreakCount="1">
    <brk id="40" max="16" man="1"/>
  </rowBreaks>
  <ignoredErrors>
    <ignoredError sqref="E7:P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2018-08-02T08:07:14Z</cp:lastPrinted>
  <dcterms:created xsi:type="dcterms:W3CDTF">2013-03-26T05:45:33Z</dcterms:created>
  <dcterms:modified xsi:type="dcterms:W3CDTF">2018-08-02T08:07:22Z</dcterms:modified>
</cp:coreProperties>
</file>