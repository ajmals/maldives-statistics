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5. EMPLOYMENT\"/>
    </mc:Choice>
  </mc:AlternateContent>
  <bookViews>
    <workbookView xWindow="0" yWindow="0" windowWidth="28800" windowHeight="12330" tabRatio="834"/>
  </bookViews>
  <sheets>
    <sheet name="5.1" sheetId="9" r:id="rId1"/>
  </sheets>
  <definedNames>
    <definedName name="_xlnm._FilterDatabase" localSheetId="0" hidden="1">'5.1'!#REF!</definedName>
    <definedName name="_xlnm.Print_Area" localSheetId="0">'5.1'!$A$1:$N$118</definedName>
    <definedName name="_xlnm.Print_Titles" localSheetId="0">'5.1'!$4:$7</definedName>
  </definedNames>
  <calcPr calcId="162913"/>
</workbook>
</file>

<file path=xl/calcChain.xml><?xml version="1.0" encoding="utf-8"?>
<calcChain xmlns="http://schemas.openxmlformats.org/spreadsheetml/2006/main">
  <c r="M9" i="9" l="1"/>
  <c r="K9" i="9" s="1"/>
  <c r="L9" i="9"/>
  <c r="I9" i="9"/>
  <c r="H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G42" i="9" l="1"/>
  <c r="C42" i="9" s="1"/>
  <c r="G39" i="9"/>
  <c r="C39" i="9" s="1"/>
  <c r="D42" i="9"/>
  <c r="E42" i="9"/>
  <c r="D39" i="9"/>
  <c r="E39" i="9"/>
  <c r="D27" i="9"/>
  <c r="E27" i="9"/>
  <c r="G27" i="9"/>
  <c r="C27" i="9" l="1"/>
  <c r="D10" i="9" l="1"/>
  <c r="E10" i="9" l="1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40" i="9"/>
  <c r="E40" i="9"/>
  <c r="D41" i="9"/>
  <c r="E41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6" i="9"/>
  <c r="E86" i="9"/>
  <c r="D87" i="9"/>
  <c r="E87" i="9"/>
  <c r="D88" i="9"/>
  <c r="E88" i="9"/>
  <c r="D89" i="9"/>
  <c r="E89" i="9"/>
  <c r="D90" i="9"/>
  <c r="E90" i="9"/>
  <c r="D91" i="9"/>
  <c r="E91" i="9"/>
  <c r="D92" i="9"/>
  <c r="E92" i="9"/>
  <c r="D93" i="9"/>
  <c r="E93" i="9"/>
  <c r="D94" i="9"/>
  <c r="E94" i="9"/>
  <c r="D95" i="9"/>
  <c r="E95" i="9"/>
  <c r="D96" i="9"/>
  <c r="E96" i="9"/>
  <c r="D97" i="9"/>
  <c r="E97" i="9"/>
  <c r="D98" i="9"/>
  <c r="E98" i="9"/>
  <c r="D99" i="9"/>
  <c r="E99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8" i="9"/>
  <c r="G29" i="9"/>
  <c r="G30" i="9"/>
  <c r="G31" i="9"/>
  <c r="G32" i="9"/>
  <c r="G33" i="9"/>
  <c r="G34" i="9"/>
  <c r="G35" i="9"/>
  <c r="G36" i="9"/>
  <c r="G37" i="9"/>
  <c r="G38" i="9"/>
  <c r="G40" i="9"/>
  <c r="G41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" i="9"/>
  <c r="G9" i="9" l="1"/>
  <c r="C95" i="9"/>
  <c r="C91" i="9"/>
  <c r="C87" i="9"/>
  <c r="C83" i="9"/>
  <c r="C79" i="9"/>
  <c r="C75" i="9"/>
  <c r="C71" i="9"/>
  <c r="C67" i="9"/>
  <c r="C63" i="9"/>
  <c r="C59" i="9"/>
  <c r="C55" i="9"/>
  <c r="C51" i="9"/>
  <c r="C47" i="9"/>
  <c r="C43" i="9"/>
  <c r="C37" i="9"/>
  <c r="C33" i="9"/>
  <c r="C29" i="9"/>
  <c r="C24" i="9"/>
  <c r="C16" i="9"/>
  <c r="C99" i="9"/>
  <c r="C12" i="9"/>
  <c r="C90" i="9"/>
  <c r="C58" i="9"/>
  <c r="C32" i="9"/>
  <c r="C23" i="9"/>
  <c r="C15" i="9"/>
  <c r="C98" i="9"/>
  <c r="C82" i="9"/>
  <c r="C74" i="9"/>
  <c r="C66" i="9"/>
  <c r="C50" i="9"/>
  <c r="C41" i="9"/>
  <c r="C20" i="9"/>
  <c r="C78" i="9"/>
  <c r="C54" i="9"/>
  <c r="C28" i="9"/>
  <c r="C94" i="9"/>
  <c r="C70" i="9"/>
  <c r="C62" i="9"/>
  <c r="C36" i="9"/>
  <c r="C11" i="9"/>
  <c r="C86" i="9"/>
  <c r="C46" i="9"/>
  <c r="C19" i="9"/>
  <c r="C10" i="9"/>
  <c r="C96" i="9"/>
  <c r="C92" i="9"/>
  <c r="C88" i="9"/>
  <c r="C84" i="9"/>
  <c r="C80" i="9"/>
  <c r="C76" i="9"/>
  <c r="C72" i="9"/>
  <c r="C68" i="9"/>
  <c r="C64" i="9"/>
  <c r="C60" i="9"/>
  <c r="C56" i="9"/>
  <c r="C52" i="9"/>
  <c r="C48" i="9"/>
  <c r="C44" i="9"/>
  <c r="C38" i="9"/>
  <c r="C34" i="9"/>
  <c r="C30" i="9"/>
  <c r="C25" i="9"/>
  <c r="C21" i="9"/>
  <c r="C17" i="9"/>
  <c r="C13" i="9"/>
  <c r="E9" i="9"/>
  <c r="C97" i="9"/>
  <c r="C93" i="9"/>
  <c r="C89" i="9"/>
  <c r="C85" i="9"/>
  <c r="C81" i="9"/>
  <c r="C77" i="9"/>
  <c r="C73" i="9"/>
  <c r="C69" i="9"/>
  <c r="C65" i="9"/>
  <c r="C61" i="9"/>
  <c r="C57" i="9"/>
  <c r="C53" i="9"/>
  <c r="C49" i="9"/>
  <c r="C45" i="9"/>
  <c r="C40" i="9"/>
  <c r="C35" i="9"/>
  <c r="C31" i="9"/>
  <c r="C26" i="9"/>
  <c r="C22" i="9"/>
  <c r="C18" i="9"/>
  <c r="C14" i="9"/>
  <c r="D9" i="9"/>
  <c r="C9" i="9" l="1"/>
</calcChain>
</file>

<file path=xl/sharedStrings.xml><?xml version="1.0" encoding="utf-8"?>
<sst xmlns="http://schemas.openxmlformats.org/spreadsheetml/2006/main" count="130" uniqueCount="108">
  <si>
    <t>Total</t>
  </si>
  <si>
    <t>Republic</t>
  </si>
  <si>
    <t>Male'</t>
  </si>
  <si>
    <t>ފިރިހެން</t>
  </si>
  <si>
    <t>އަންހެން</t>
  </si>
  <si>
    <t>Male</t>
  </si>
  <si>
    <t>Female</t>
  </si>
  <si>
    <t>Rank</t>
  </si>
  <si>
    <t>Both Sexes</t>
  </si>
  <si>
    <t>Source: Civil Service Commision</t>
  </si>
  <si>
    <t>ދެޖިންސް</t>
  </si>
  <si>
    <t>މުވައްޒަފުންގެ އަދަދު</t>
  </si>
  <si>
    <t>No. of Employees</t>
  </si>
  <si>
    <t>ރޭންކް</t>
  </si>
  <si>
    <t>މަޢުލޫމާތު ދެއްވި ފަރާތް: ސިވިލް ސަރވިސް ކޮމިޝަން</t>
  </si>
  <si>
    <t xml:space="preserve">Atolls </t>
  </si>
  <si>
    <t>CIVIL SERVICE 10-1</t>
  </si>
  <si>
    <t>CIVIL SERVICE 10-2</t>
  </si>
  <si>
    <t>CIVIL SERVICE 10-3</t>
  </si>
  <si>
    <t>CIVIL SERVICE 10-5</t>
  </si>
  <si>
    <t>CIVIL SERVICE 11-2</t>
  </si>
  <si>
    <t>CIVIL SERVICE 11-3</t>
  </si>
  <si>
    <t>CIVIL SERVICE 11-4</t>
  </si>
  <si>
    <t>CIVIL SERVICE 11-5</t>
  </si>
  <si>
    <t>CIVIL SERVICE 12-1</t>
  </si>
  <si>
    <t>CIVIL SERVICE 12-2</t>
  </si>
  <si>
    <t>CIVIL SERVICE 12-3</t>
  </si>
  <si>
    <t>CIVIL SERVICE 12-5</t>
  </si>
  <si>
    <t>CIVIL SERVICE 13-1</t>
  </si>
  <si>
    <t>CIVIL SERVICE 13-2</t>
  </si>
  <si>
    <t>CIVIL SERVICE 13-3</t>
  </si>
  <si>
    <t>CIVIL SERVICE 13-4</t>
  </si>
  <si>
    <t>CIVIL SERVICE 13-5</t>
  </si>
  <si>
    <t>CIVIL SERVICE 14-1</t>
  </si>
  <si>
    <t>CIVIL SERVICE 14-2</t>
  </si>
  <si>
    <t>CIVIL SERVICE 14-3</t>
  </si>
  <si>
    <t>CIVIL SERVICE 14-4</t>
  </si>
  <si>
    <t>CIVIL SERVICE 15</t>
  </si>
  <si>
    <t>CIVIL SERVICE 15-1</t>
  </si>
  <si>
    <t>CIVIL SERVICE 15-2</t>
  </si>
  <si>
    <t>CIVIL SERVICE 15-3</t>
  </si>
  <si>
    <t>CIVIL SERVICE 15-4</t>
  </si>
  <si>
    <t>CIVIL SERVICE 15-5</t>
  </si>
  <si>
    <t>CIVIL SERVICE 16</t>
  </si>
  <si>
    <t>CIVIL SERVICE 16-3</t>
  </si>
  <si>
    <t>CIVIL SERVICE 16-4</t>
  </si>
  <si>
    <t>CIVIL SERVICE 17-2</t>
  </si>
  <si>
    <t>CIVIL SERVICE 17-3</t>
  </si>
  <si>
    <t>CIVIL SERVICE 17-6</t>
  </si>
  <si>
    <t>CIVIL SERVICE 18</t>
  </si>
  <si>
    <t>CIVIL SERVICE 18-1</t>
  </si>
  <si>
    <t>CIVIL SERVICE 18-2</t>
  </si>
  <si>
    <t>CIVIL SERVICE 18-3</t>
  </si>
  <si>
    <t>CIVIL SERVICE 2</t>
  </si>
  <si>
    <t>CIVIL SERVICE 3-1</t>
  </si>
  <si>
    <t>CIVIL SERVICE 3-2</t>
  </si>
  <si>
    <t>CIVIL SERVICE 3-3</t>
  </si>
  <si>
    <t>CIVIL SERVICE 3-4</t>
  </si>
  <si>
    <t>CIVIL SERVICE 3-5</t>
  </si>
  <si>
    <t>CIVIL SERVICE 4-2</t>
  </si>
  <si>
    <t>CIVIL SERVICE 4-3</t>
  </si>
  <si>
    <t>CIVIL SERVICE 4-4</t>
  </si>
  <si>
    <t>CIVIL SERVICE 4-5</t>
  </si>
  <si>
    <t>CIVIL SERVICE 5-1</t>
  </si>
  <si>
    <t>CIVIL SERVICE 5-2</t>
  </si>
  <si>
    <t>CIVIL SERVICE 5-3</t>
  </si>
  <si>
    <t>CIVIL SERVICE 6-1</t>
  </si>
  <si>
    <t>CIVIL SERVICE 6-2</t>
  </si>
  <si>
    <t>CIVIL SERVICE 6-3</t>
  </si>
  <si>
    <t>CIVIL SERVICE 6-4</t>
  </si>
  <si>
    <t>CIVIL SERVICE 6-5</t>
  </si>
  <si>
    <t>CIVIL SERVICE 7-1</t>
  </si>
  <si>
    <t>CIVIL SERVICE 7-2</t>
  </si>
  <si>
    <t>CIVIL SERVICE 7-3</t>
  </si>
  <si>
    <t>CIVIL SERVICE 7-4</t>
  </si>
  <si>
    <t>CIVIL SERVICE 8-1</t>
  </si>
  <si>
    <t>CIVIL SERVICE 8-2</t>
  </si>
  <si>
    <t>CIVIL SERVICE 8-3</t>
  </si>
  <si>
    <t>CIVIL SERVICE 9-1</t>
  </si>
  <si>
    <t>CIVIL SERVICE 9-2</t>
  </si>
  <si>
    <t>CIVIL SERVICE 9-3</t>
  </si>
  <si>
    <t>CIVIL SERVICE 9-4</t>
  </si>
  <si>
    <t>CIVIL SERVICE 9-5</t>
  </si>
  <si>
    <t>EXECUTIVE 1</t>
  </si>
  <si>
    <t>EXECUTIVE 2</t>
  </si>
  <si>
    <t>EXECUTIVE 3</t>
  </si>
  <si>
    <t>EXECUTIVE 4</t>
  </si>
  <si>
    <t>EXECUTIVE 5</t>
  </si>
  <si>
    <t>EXECUTIVE 6</t>
  </si>
  <si>
    <t>EXECUTIVE 7</t>
  </si>
  <si>
    <t>GENERAL SERVICE 1</t>
  </si>
  <si>
    <t>GENERAL SERVICE 2</t>
  </si>
  <si>
    <t>GENERAL SERVICE 3</t>
  </si>
  <si>
    <t>GENERAL SERVICE 4</t>
  </si>
  <si>
    <t>MANAGERIAL SERVICE 1</t>
  </si>
  <si>
    <t>MANAGERIAL SERVICE 2</t>
  </si>
  <si>
    <t>MANAGERIAL SERVICE 3</t>
  </si>
  <si>
    <t>MANAGERIAL SERVICE 4</t>
  </si>
  <si>
    <t>SUPPORT SERVICE 1</t>
  </si>
  <si>
    <t>SUPPORT SERVICE 2</t>
  </si>
  <si>
    <t>SUPPORT SERVICE 3</t>
  </si>
  <si>
    <t>SUPPORT SERVICE 4</t>
  </si>
  <si>
    <t>ZIMMAADHAARU VERIYAA 7</t>
  </si>
  <si>
    <t>ތާވަލް 5.1: ސިވިލް ސަރވިސްގައި ވަޒީފާއަދާކުރާ މުވައްޒަފުން ރޭންކު 2017</t>
  </si>
  <si>
    <t>Table 5.1 :  CIVIL SERVANTS CLASSIFIED BY JOB RANK AND SEX, 2017</t>
  </si>
  <si>
    <t>CIVIL SERVICE 14</t>
  </si>
  <si>
    <t>CIVIL SERVICE 16-2</t>
  </si>
  <si>
    <t>CIVIL SERVICE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</si>
</sst>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\ _ރ_._-;_-* #,##0\ _ރ_.\-;_-* &quot;-&quot;??\ _ރ_._-;_-@_-"/>
    <numFmt numFmtId="166" formatCode="_(* #,##0_);_(* \(#,##0\);_(* &quot;-&quot;??_);_(@_)"/>
    <numFmt numFmtId="167" formatCode="General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Faruma"/>
    </font>
    <font>
      <b/>
      <sz val="11"/>
      <name val="A_Reethi"/>
    </font>
    <font>
      <b/>
      <sz val="12"/>
      <name val="Calibri"/>
      <family val="2"/>
      <scheme val="minor"/>
    </font>
    <font>
      <sz val="10"/>
      <name val="MS Sans Serif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Faruma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</borders>
  <cellStyleXfs count="52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0" fontId="10" fillId="0" borderId="0"/>
    <xf numFmtId="0" fontId="3" fillId="0" borderId="0"/>
    <xf numFmtId="0" fontId="15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79">
    <xf numFmtId="0" fontId="0" fillId="0" borderId="0" xfId="0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6" fillId="2" borderId="0" xfId="0" applyFont="1" applyFill="1"/>
    <xf numFmtId="3" fontId="6" fillId="2" borderId="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 readingOrder="2"/>
    </xf>
    <xf numFmtId="0" fontId="7" fillId="2" borderId="0" xfId="0" applyFont="1" applyFill="1" applyBorder="1" applyAlignment="1">
      <alignment horizontal="right" vertical="center"/>
    </xf>
    <xf numFmtId="3" fontId="0" fillId="2" borderId="0" xfId="0" applyNumberFormat="1" applyFont="1" applyFill="1"/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64" fontId="1" fillId="2" borderId="0" xfId="1" applyNumberFormat="1" applyFont="1" applyFill="1" applyBorder="1" applyAlignment="1">
      <alignment vertical="center"/>
    </xf>
    <xf numFmtId="166" fontId="0" fillId="2" borderId="0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3" fillId="2" borderId="0" xfId="5" applyFont="1" applyFill="1" applyBorder="1" applyAlignment="1"/>
    <xf numFmtId="167" fontId="14" fillId="2" borderId="0" xfId="7" applyNumberFormat="1" applyFont="1" applyFill="1" applyBorder="1" applyAlignment="1" applyProtection="1">
      <alignment vertical="center"/>
    </xf>
    <xf numFmtId="0" fontId="2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indent="2"/>
    </xf>
    <xf numFmtId="0" fontId="6" fillId="2" borderId="2" xfId="0" applyFont="1" applyFill="1" applyBorder="1" applyAlignment="1">
      <alignment horizontal="left" vertical="center" indent="2"/>
    </xf>
    <xf numFmtId="164" fontId="9" fillId="2" borderId="0" xfId="1" applyNumberFormat="1" applyFont="1" applyFill="1" applyBorder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3" fontId="7" fillId="2" borderId="0" xfId="1" applyNumberFormat="1" applyFont="1" applyFill="1" applyAlignment="1">
      <alignment horizontal="right" vertical="center"/>
    </xf>
    <xf numFmtId="3" fontId="6" fillId="2" borderId="0" xfId="1" applyNumberFormat="1" applyFont="1" applyFill="1" applyAlignment="1">
      <alignment horizontal="right" vertical="center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166" fontId="0" fillId="2" borderId="0" xfId="1" applyNumberFormat="1" applyFont="1" applyFill="1" applyBorder="1"/>
    <xf numFmtId="166" fontId="0" fillId="2" borderId="0" xfId="0" applyNumberFormat="1" applyFill="1" applyBorder="1"/>
    <xf numFmtId="0" fontId="8" fillId="2" borderId="4" xfId="8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164" fontId="7" fillId="2" borderId="2" xfId="1" applyNumberFormat="1" applyFont="1" applyFill="1" applyBorder="1" applyAlignment="1">
      <alignment horizontal="right" vertical="center"/>
    </xf>
    <xf numFmtId="164" fontId="7" fillId="2" borderId="0" xfId="1" applyNumberFormat="1" applyFont="1" applyFill="1" applyBorder="1" applyAlignment="1">
      <alignment horizontal="center" vertical="center"/>
    </xf>
    <xf numFmtId="3" fontId="7" fillId="2" borderId="2" xfId="1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166" fontId="2" fillId="2" borderId="0" xfId="1" applyNumberFormat="1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vertical="center"/>
    </xf>
    <xf numFmtId="0" fontId="16" fillId="2" borderId="0" xfId="0" applyFont="1" applyFill="1" applyBorder="1" applyAlignment="1">
      <alignment vertical="center"/>
    </xf>
    <xf numFmtId="0" fontId="12" fillId="2" borderId="9" xfId="0" applyFont="1" applyFill="1" applyBorder="1" applyAlignment="1">
      <alignment horizontal="right" vertical="center" readingOrder="2"/>
    </xf>
    <xf numFmtId="0" fontId="12" fillId="2" borderId="10" xfId="0" applyFont="1" applyFill="1" applyBorder="1" applyAlignment="1">
      <alignment horizontal="right" vertical="center" readingOrder="2"/>
    </xf>
    <xf numFmtId="164" fontId="7" fillId="2" borderId="11" xfId="1" applyNumberFormat="1" applyFont="1" applyFill="1" applyBorder="1" applyAlignment="1">
      <alignment horizontal="right" vertical="center"/>
    </xf>
    <xf numFmtId="164" fontId="7" fillId="2" borderId="12" xfId="1" applyNumberFormat="1" applyFont="1" applyFill="1" applyBorder="1" applyAlignment="1">
      <alignment horizontal="right" vertical="center"/>
    </xf>
    <xf numFmtId="164" fontId="7" fillId="2" borderId="9" xfId="1" applyNumberFormat="1" applyFont="1" applyFill="1" applyBorder="1" applyAlignment="1">
      <alignment horizontal="center" vertical="center"/>
    </xf>
    <xf numFmtId="164" fontId="7" fillId="2" borderId="10" xfId="1" applyNumberFormat="1" applyFont="1" applyFill="1" applyBorder="1" applyAlignment="1">
      <alignment horizontal="center" vertical="center"/>
    </xf>
    <xf numFmtId="3" fontId="7" fillId="2" borderId="9" xfId="1" applyNumberFormat="1" applyFont="1" applyFill="1" applyBorder="1" applyAlignment="1">
      <alignment horizontal="right" vertical="center"/>
    </xf>
    <xf numFmtId="3" fontId="6" fillId="2" borderId="10" xfId="1" applyNumberFormat="1" applyFont="1" applyFill="1" applyBorder="1" applyAlignment="1">
      <alignment horizontal="right" vertical="center"/>
    </xf>
    <xf numFmtId="3" fontId="7" fillId="2" borderId="11" xfId="1" applyNumberFormat="1" applyFont="1" applyFill="1" applyBorder="1" applyAlignment="1">
      <alignment horizontal="right" vertical="center"/>
    </xf>
    <xf numFmtId="3" fontId="6" fillId="2" borderId="12" xfId="1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0" fontId="0" fillId="2" borderId="0" xfId="0" applyFont="1" applyFill="1"/>
    <xf numFmtId="0" fontId="0" fillId="2" borderId="0" xfId="0" applyFill="1"/>
    <xf numFmtId="0" fontId="6" fillId="2" borderId="0" xfId="0" applyFont="1" applyFill="1" applyBorder="1" applyAlignment="1">
      <alignment vertical="center"/>
    </xf>
    <xf numFmtId="3" fontId="7" fillId="2" borderId="8" xfId="1" applyNumberFormat="1" applyFont="1" applyFill="1" applyBorder="1" applyAlignment="1">
      <alignment horizontal="right" vertical="center"/>
    </xf>
    <xf numFmtId="3" fontId="7" fillId="2" borderId="7" xfId="1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readingOrder="2"/>
    </xf>
    <xf numFmtId="0" fontId="12" fillId="2" borderId="0" xfId="0" applyFont="1" applyFill="1" applyBorder="1" applyAlignment="1">
      <alignment horizontal="center" vertical="center" readingOrder="2"/>
    </xf>
    <xf numFmtId="164" fontId="7" fillId="2" borderId="13" xfId="1" applyNumberFormat="1" applyFont="1" applyFill="1" applyBorder="1" applyAlignment="1">
      <alignment horizontal="center" vertical="center"/>
    </xf>
    <xf numFmtId="0" fontId="13" fillId="2" borderId="0" xfId="5" applyFont="1" applyFill="1" applyBorder="1" applyAlignment="1">
      <alignment horizontal="right" vertical="center"/>
    </xf>
    <xf numFmtId="167" fontId="14" fillId="2" borderId="0" xfId="7" applyNumberFormat="1" applyFont="1" applyFill="1" applyBorder="1" applyAlignment="1" applyProtection="1">
      <alignment horizontal="right" vertical="center"/>
    </xf>
    <xf numFmtId="0" fontId="0" fillId="2" borderId="0" xfId="0" applyFill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6" fontId="0" fillId="2" borderId="0" xfId="1" applyNumberFormat="1" applyFont="1" applyFill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3" fillId="2" borderId="0" xfId="5" applyFont="1" applyFill="1" applyBorder="1" applyAlignment="1">
      <alignment horizontal="center"/>
    </xf>
    <xf numFmtId="167" fontId="11" fillId="2" borderId="0" xfId="7" applyNumberFormat="1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readingOrder="2"/>
    </xf>
    <xf numFmtId="0" fontId="12" fillId="2" borderId="0" xfId="0" applyFont="1" applyFill="1" applyBorder="1" applyAlignment="1">
      <alignment horizontal="center" vertical="center" readingOrder="2"/>
    </xf>
    <xf numFmtId="0" fontId="7" fillId="2" borderId="5" xfId="0" applyFont="1" applyFill="1" applyBorder="1" applyAlignment="1">
      <alignment horizontal="right" vertical="center"/>
    </xf>
    <xf numFmtId="0" fontId="17" fillId="2" borderId="5" xfId="0" applyFont="1" applyFill="1" applyBorder="1" applyAlignment="1">
      <alignment horizontal="left" vertical="center" readingOrder="2"/>
    </xf>
    <xf numFmtId="164" fontId="7" fillId="2" borderId="6" xfId="1" applyNumberFormat="1" applyFont="1" applyFill="1" applyBorder="1" applyAlignment="1">
      <alignment horizontal="center" vertical="center"/>
    </xf>
    <xf numFmtId="164" fontId="7" fillId="2" borderId="14" xfId="1" applyNumberFormat="1" applyFont="1" applyFill="1" applyBorder="1" applyAlignment="1">
      <alignment horizontal="center" vertical="center"/>
    </xf>
    <xf numFmtId="164" fontId="7" fillId="2" borderId="13" xfId="1" applyNumberFormat="1" applyFont="1" applyFill="1" applyBorder="1" applyAlignment="1">
      <alignment horizontal="center" vertical="center"/>
    </xf>
    <xf numFmtId="164" fontId="7" fillId="2" borderId="15" xfId="1" applyNumberFormat="1" applyFont="1" applyFill="1" applyBorder="1" applyAlignment="1">
      <alignment horizontal="center" vertical="center"/>
    </xf>
  </cellXfs>
  <cellStyles count="522">
    <cellStyle name="Comma" xfId="1" builtinId="3"/>
    <cellStyle name="Comma 3" xfId="3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092350320681176E-2"/>
          <c:y val="0.14734040134746937"/>
          <c:w val="0.89577254082341506"/>
          <c:h val="0.711480907406259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'5.1'!$X$114:$X$123</c:f>
              <c:strCache>
                <c:ptCount val="10"/>
                <c:pt idx="0">
                  <c:v>SUPPORT SERVICE 1</c:v>
                </c:pt>
                <c:pt idx="1">
                  <c:v>GENERAL SERVICE 3</c:v>
                </c:pt>
                <c:pt idx="2">
                  <c:v>GENERAL SERVICE 4</c:v>
                </c:pt>
                <c:pt idx="3">
                  <c:v>SUPPORT SERVICE 2</c:v>
                </c:pt>
                <c:pt idx="4">
                  <c:v>MANAGERIAL SERVICE 1</c:v>
                </c:pt>
                <c:pt idx="5">
                  <c:v>CIVIL SERVICE 11-2</c:v>
                </c:pt>
                <c:pt idx="6">
                  <c:v>CIVIL SERVICE 13-2</c:v>
                </c:pt>
                <c:pt idx="7">
                  <c:v>MANAGERIAL SERVICE 2</c:v>
                </c:pt>
                <c:pt idx="8">
                  <c:v>GENERAL SERVICE 2</c:v>
                </c:pt>
                <c:pt idx="9">
                  <c:v>MANAGERIAL SERVICE 3</c:v>
                </c:pt>
              </c:strCache>
            </c:strRef>
          </c:cat>
          <c:val>
            <c:numRef>
              <c:f>'5.1'!$Y$114:$Y$123</c:f>
              <c:numCache>
                <c:formatCode>_(* #,##0_);_(* \(#,##0\);_(* "-"??_);_(@_)</c:formatCode>
                <c:ptCount val="10"/>
                <c:pt idx="0">
                  <c:v>3588</c:v>
                </c:pt>
                <c:pt idx="1">
                  <c:v>3479</c:v>
                </c:pt>
                <c:pt idx="2">
                  <c:v>1851</c:v>
                </c:pt>
                <c:pt idx="3">
                  <c:v>1784</c:v>
                </c:pt>
                <c:pt idx="4">
                  <c:v>1711</c:v>
                </c:pt>
                <c:pt idx="5">
                  <c:v>1390</c:v>
                </c:pt>
                <c:pt idx="6">
                  <c:v>1273</c:v>
                </c:pt>
                <c:pt idx="7">
                  <c:v>942</c:v>
                </c:pt>
                <c:pt idx="8">
                  <c:v>814</c:v>
                </c:pt>
                <c:pt idx="9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3-4978-A17D-BEB50506A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210621856"/>
        <c:axId val="210674672"/>
      </c:barChart>
      <c:catAx>
        <c:axId val="210621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anchor="ctr" anchorCtr="0"/>
          <a:lstStyle/>
          <a:p>
            <a:pPr>
              <a:defRPr sz="900"/>
            </a:pPr>
            <a:endParaRPr lang="en-US"/>
          </a:p>
        </c:txPr>
        <c:crossAx val="210674672"/>
        <c:crosses val="autoZero"/>
        <c:auto val="1"/>
        <c:lblAlgn val="ctr"/>
        <c:lblOffset val="100"/>
        <c:noMultiLvlLbl val="0"/>
      </c:catAx>
      <c:valAx>
        <c:axId val="21067467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21062185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73505</xdr:colOff>
      <xdr:row>102</xdr:row>
      <xdr:rowOff>113221</xdr:rowOff>
    </xdr:from>
    <xdr:to>
      <xdr:col>12</xdr:col>
      <xdr:colOff>597381</xdr:colOff>
      <xdr:row>117</xdr:row>
      <xdr:rowOff>81411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94712</xdr:colOff>
      <xdr:row>105</xdr:row>
      <xdr:rowOff>72965</xdr:rowOff>
    </xdr:from>
    <xdr:to>
      <xdr:col>0</xdr:col>
      <xdr:colOff>370937</xdr:colOff>
      <xdr:row>113</xdr:row>
      <xdr:rowOff>28213</xdr:rowOff>
    </xdr:to>
    <xdr:sp macro="" textlink="">
      <xdr:nvSpPr>
        <xdr:cNvPr id="7" name="TextBox 6"/>
        <xdr:cNvSpPr txBox="1"/>
      </xdr:nvSpPr>
      <xdr:spPr>
        <a:xfrm rot="16200000">
          <a:off x="-571498" y="21793019"/>
          <a:ext cx="160864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 sz="1050" b="1">
            <a:effectLst/>
          </a:endParaRPr>
        </a:p>
        <a:p>
          <a:endParaRPr lang="en-US" sz="1050" b="1"/>
        </a:p>
      </xdr:txBody>
    </xdr:sp>
    <xdr:clientData/>
  </xdr:twoCellAnchor>
  <xdr:twoCellAnchor>
    <xdr:from>
      <xdr:col>0</xdr:col>
      <xdr:colOff>1235554</xdr:colOff>
      <xdr:row>104</xdr:row>
      <xdr:rowOff>55173</xdr:rowOff>
    </xdr:from>
    <xdr:to>
      <xdr:col>12</xdr:col>
      <xdr:colOff>206854</xdr:colOff>
      <xdr:row>104</xdr:row>
      <xdr:rowOff>55173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235554" y="20902343"/>
          <a:ext cx="6097078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0.15297</cdr:x>
      <cdr:y>0.03675</cdr:y>
    </cdr:from>
    <cdr:to>
      <cdr:x>0.9646</cdr:x>
      <cdr:y>0.11286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52525" y="133351"/>
          <a:ext cx="611505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5.1: Number of civil servants selected by highest job ranks,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3"/>
  <sheetViews>
    <sheetView tabSelected="1" zoomScale="106" zoomScaleNormal="106" zoomScaleSheetLayoutView="100" workbookViewId="0">
      <selection activeCell="U12" sqref="U12"/>
    </sheetView>
  </sheetViews>
  <sheetFormatPr defaultRowHeight="15" x14ac:dyDescent="0.25"/>
  <cols>
    <col min="1" max="1" width="25.28515625" style="11" customWidth="1"/>
    <col min="2" max="2" width="7.5703125" style="10" hidden="1" customWidth="1"/>
    <col min="3" max="3" width="10.7109375" style="38" customWidth="1"/>
    <col min="4" max="5" width="9.140625" style="13" customWidth="1"/>
    <col min="6" max="6" width="2.140625" style="13" customWidth="1"/>
    <col min="7" max="7" width="11.28515625" style="13" customWidth="1"/>
    <col min="8" max="8" width="9.28515625" style="13" customWidth="1"/>
    <col min="9" max="9" width="9.140625" style="13" customWidth="1"/>
    <col min="10" max="10" width="2.140625" style="13" customWidth="1"/>
    <col min="11" max="13" width="9.140625" style="13" customWidth="1"/>
    <col min="14" max="14" width="1.42578125" style="10" customWidth="1"/>
    <col min="15" max="23" width="9.140625" style="10"/>
    <col min="24" max="24" width="26.28515625" style="10" bestFit="1" customWidth="1"/>
    <col min="25" max="25" width="9.85546875" style="50" bestFit="1" customWidth="1"/>
    <col min="26" max="16384" width="9.140625" style="10"/>
  </cols>
  <sheetData>
    <row r="1" spans="1:46" ht="21" x14ac:dyDescent="0.55000000000000004">
      <c r="A1" s="68" t="s">
        <v>103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60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52"/>
    </row>
    <row r="2" spans="1:46" ht="15.75" x14ac:dyDescent="0.25">
      <c r="A2" s="69" t="s">
        <v>104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61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</row>
    <row r="3" spans="1:46" ht="4.5" customHeight="1" x14ac:dyDescent="0.2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6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</row>
    <row r="4" spans="1:46" s="3" customFormat="1" ht="18.600000000000001" customHeight="1" x14ac:dyDescent="0.2">
      <c r="A4" s="71" t="s">
        <v>13</v>
      </c>
      <c r="B4" s="57"/>
      <c r="C4" s="73" t="s">
        <v>12</v>
      </c>
      <c r="D4" s="73"/>
      <c r="E4" s="73"/>
      <c r="F4" s="73"/>
      <c r="G4" s="73"/>
      <c r="H4" s="74" t="s">
        <v>11</v>
      </c>
      <c r="I4" s="74"/>
      <c r="J4" s="74"/>
      <c r="K4" s="74"/>
      <c r="L4" s="74"/>
      <c r="M4" s="7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s="53" customFormat="1" ht="15" customHeight="1" x14ac:dyDescent="0.25">
      <c r="A5" s="72"/>
      <c r="B5" s="58"/>
      <c r="C5" s="75" t="s">
        <v>1</v>
      </c>
      <c r="D5" s="75"/>
      <c r="E5" s="75"/>
      <c r="F5" s="59"/>
      <c r="G5" s="76" t="s">
        <v>2</v>
      </c>
      <c r="H5" s="77"/>
      <c r="I5" s="78"/>
      <c r="J5" s="59"/>
      <c r="K5" s="75" t="s">
        <v>15</v>
      </c>
      <c r="L5" s="75"/>
      <c r="M5" s="75"/>
      <c r="Y5" s="63"/>
    </row>
    <row r="6" spans="1:46" s="53" customFormat="1" ht="18.75" x14ac:dyDescent="0.25">
      <c r="A6" s="66" t="s">
        <v>7</v>
      </c>
      <c r="B6" s="8"/>
      <c r="C6" s="7" t="s">
        <v>10</v>
      </c>
      <c r="D6" s="7" t="s">
        <v>3</v>
      </c>
      <c r="E6" s="7" t="s">
        <v>4</v>
      </c>
      <c r="F6" s="7"/>
      <c r="G6" s="40" t="s">
        <v>10</v>
      </c>
      <c r="H6" s="7" t="s">
        <v>3</v>
      </c>
      <c r="I6" s="41" t="s">
        <v>4</v>
      </c>
      <c r="J6" s="7"/>
      <c r="K6" s="7" t="s">
        <v>10</v>
      </c>
      <c r="L6" s="7" t="s">
        <v>3</v>
      </c>
      <c r="M6" s="7" t="s">
        <v>4</v>
      </c>
      <c r="X6" s="10"/>
      <c r="Y6" s="50"/>
    </row>
    <row r="7" spans="1:46" s="12" customFormat="1" x14ac:dyDescent="0.25">
      <c r="A7" s="67"/>
      <c r="B7" s="32"/>
      <c r="C7" s="33" t="s">
        <v>8</v>
      </c>
      <c r="D7" s="33" t="s">
        <v>5</v>
      </c>
      <c r="E7" s="33" t="s">
        <v>6</v>
      </c>
      <c r="F7" s="33"/>
      <c r="G7" s="42" t="s">
        <v>8</v>
      </c>
      <c r="H7" s="33" t="s">
        <v>5</v>
      </c>
      <c r="I7" s="43" t="s">
        <v>6</v>
      </c>
      <c r="J7" s="33"/>
      <c r="K7" s="33" t="s">
        <v>8</v>
      </c>
      <c r="L7" s="33" t="s">
        <v>5</v>
      </c>
      <c r="M7" s="33" t="s">
        <v>6</v>
      </c>
      <c r="X7" s="10"/>
      <c r="Y7" s="50"/>
    </row>
    <row r="8" spans="1:46" s="12" customFormat="1" ht="12" customHeight="1" x14ac:dyDescent="0.25">
      <c r="A8" s="56"/>
      <c r="B8" s="8"/>
      <c r="C8" s="34"/>
      <c r="D8" s="34"/>
      <c r="E8" s="34"/>
      <c r="F8" s="34"/>
      <c r="G8" s="44"/>
      <c r="H8" s="34"/>
      <c r="I8" s="45"/>
      <c r="J8" s="34"/>
      <c r="K8" s="34"/>
      <c r="L8" s="34"/>
      <c r="M8" s="34"/>
      <c r="X8" s="10"/>
      <c r="Y8" s="50"/>
    </row>
    <row r="9" spans="1:46" s="20" customFormat="1" ht="16.899999999999999" customHeight="1" x14ac:dyDescent="0.25">
      <c r="A9" s="56" t="s">
        <v>0</v>
      </c>
      <c r="B9" s="25"/>
      <c r="C9" s="25">
        <f>G9+K9</f>
        <v>22082</v>
      </c>
      <c r="D9" s="25">
        <f t="shared" ref="D9:E9" si="0">H9+L9</f>
        <v>8907</v>
      </c>
      <c r="E9" s="25">
        <f t="shared" si="0"/>
        <v>13175</v>
      </c>
      <c r="F9" s="25"/>
      <c r="G9" s="54">
        <f>SUM(H9:I9)</f>
        <v>8977</v>
      </c>
      <c r="H9" s="6">
        <f>SUM(H10:H99)</f>
        <v>4008</v>
      </c>
      <c r="I9" s="55">
        <f>SUM(I10:I99)</f>
        <v>4969</v>
      </c>
      <c r="J9" s="25"/>
      <c r="K9" s="25">
        <f>SUM(L9:M9)</f>
        <v>13105</v>
      </c>
      <c r="L9" s="25">
        <f>SUM(L10:L99)</f>
        <v>4899</v>
      </c>
      <c r="M9" s="25">
        <f>SUM(M10:M99)</f>
        <v>8206</v>
      </c>
      <c r="X9" s="10"/>
      <c r="Y9" s="50"/>
    </row>
    <row r="10" spans="1:46" ht="16.899999999999999" customHeight="1" x14ac:dyDescent="0.25">
      <c r="A10" s="21" t="s">
        <v>16</v>
      </c>
      <c r="B10" s="26"/>
      <c r="C10" s="25">
        <f t="shared" ref="C10:C76" si="1">G10+K10</f>
        <v>8</v>
      </c>
      <c r="D10" s="26">
        <f>H10+L10</f>
        <v>3</v>
      </c>
      <c r="E10" s="26">
        <f t="shared" ref="E10:E76" si="2">I10+M10</f>
        <v>5</v>
      </c>
      <c r="F10" s="26"/>
      <c r="G10" s="46">
        <f>H10+I10</f>
        <v>8</v>
      </c>
      <c r="H10" s="5">
        <v>3</v>
      </c>
      <c r="I10" s="47">
        <v>5</v>
      </c>
      <c r="J10" s="26"/>
      <c r="K10" s="25">
        <f t="shared" ref="K10:K73" si="3">SUM(L10:M10)</f>
        <v>0</v>
      </c>
      <c r="L10" s="26">
        <v>0</v>
      </c>
      <c r="M10" s="26">
        <v>0</v>
      </c>
      <c r="N10" s="52"/>
      <c r="O10" s="27"/>
      <c r="P10" s="28"/>
      <c r="Q10" s="52"/>
      <c r="R10" s="52"/>
      <c r="S10" s="52"/>
      <c r="T10" s="52"/>
      <c r="U10" s="52"/>
      <c r="V10" s="52"/>
      <c r="W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</row>
    <row r="11" spans="1:46" ht="16.899999999999999" customHeight="1" x14ac:dyDescent="0.25">
      <c r="A11" s="21" t="s">
        <v>17</v>
      </c>
      <c r="B11" s="26"/>
      <c r="C11" s="25">
        <f t="shared" si="1"/>
        <v>7</v>
      </c>
      <c r="D11" s="26">
        <f t="shared" ref="D11:D76" si="4">H11+L11</f>
        <v>7</v>
      </c>
      <c r="E11" s="26">
        <f t="shared" si="2"/>
        <v>0</v>
      </c>
      <c r="F11" s="26"/>
      <c r="G11" s="46">
        <f t="shared" ref="G11:G77" si="5">H11+I11</f>
        <v>7</v>
      </c>
      <c r="H11" s="5">
        <v>7</v>
      </c>
      <c r="I11" s="47">
        <v>0</v>
      </c>
      <c r="J11" s="26"/>
      <c r="K11" s="25">
        <f t="shared" si="3"/>
        <v>0</v>
      </c>
      <c r="L11" s="26">
        <v>0</v>
      </c>
      <c r="M11" s="26">
        <v>0</v>
      </c>
      <c r="N11" s="52"/>
      <c r="O11" s="52"/>
      <c r="P11" s="28"/>
      <c r="Q11" s="52"/>
      <c r="R11" s="52"/>
      <c r="S11" s="52"/>
      <c r="T11" s="52"/>
      <c r="U11" s="52"/>
      <c r="V11" s="52"/>
      <c r="W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</row>
    <row r="12" spans="1:46" ht="16.899999999999999" customHeight="1" x14ac:dyDescent="0.25">
      <c r="A12" s="21" t="s">
        <v>18</v>
      </c>
      <c r="B12" s="26"/>
      <c r="C12" s="25">
        <f t="shared" si="1"/>
        <v>7</v>
      </c>
      <c r="D12" s="26">
        <f t="shared" si="4"/>
        <v>5</v>
      </c>
      <c r="E12" s="26">
        <f t="shared" si="2"/>
        <v>2</v>
      </c>
      <c r="F12" s="26"/>
      <c r="G12" s="46">
        <f t="shared" si="5"/>
        <v>7</v>
      </c>
      <c r="H12" s="5">
        <v>5</v>
      </c>
      <c r="I12" s="47">
        <v>2</v>
      </c>
      <c r="J12" s="26"/>
      <c r="K12" s="25">
        <f t="shared" si="3"/>
        <v>0</v>
      </c>
      <c r="L12" s="26">
        <v>0</v>
      </c>
      <c r="M12" s="26">
        <v>0</v>
      </c>
      <c r="N12" s="52"/>
      <c r="O12" s="52"/>
      <c r="P12" s="28"/>
      <c r="Q12" s="52"/>
      <c r="R12" s="52"/>
      <c r="S12" s="52"/>
      <c r="T12" s="52"/>
      <c r="U12" s="52"/>
      <c r="V12" s="52"/>
      <c r="W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</row>
    <row r="13" spans="1:46" ht="16.899999999999999" customHeight="1" x14ac:dyDescent="0.25">
      <c r="A13" s="21" t="s">
        <v>19</v>
      </c>
      <c r="B13" s="26"/>
      <c r="C13" s="25">
        <f t="shared" si="1"/>
        <v>5</v>
      </c>
      <c r="D13" s="26">
        <f t="shared" si="4"/>
        <v>3</v>
      </c>
      <c r="E13" s="26">
        <f t="shared" si="2"/>
        <v>2</v>
      </c>
      <c r="F13" s="26"/>
      <c r="G13" s="46">
        <f t="shared" si="5"/>
        <v>5</v>
      </c>
      <c r="H13" s="5">
        <v>3</v>
      </c>
      <c r="I13" s="47">
        <v>2</v>
      </c>
      <c r="J13" s="26"/>
      <c r="K13" s="25">
        <f t="shared" si="3"/>
        <v>0</v>
      </c>
      <c r="L13" s="26">
        <v>0</v>
      </c>
      <c r="M13" s="26">
        <v>0</v>
      </c>
      <c r="N13" s="52"/>
      <c r="O13" s="52"/>
      <c r="P13" s="28"/>
      <c r="Q13" s="52"/>
      <c r="R13" s="52"/>
      <c r="S13" s="52"/>
      <c r="T13" s="52"/>
      <c r="U13" s="52"/>
      <c r="V13" s="52"/>
      <c r="W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</row>
    <row r="14" spans="1:46" ht="16.899999999999999" customHeight="1" x14ac:dyDescent="0.25">
      <c r="A14" s="21" t="s">
        <v>20</v>
      </c>
      <c r="B14" s="26"/>
      <c r="C14" s="25">
        <f t="shared" si="1"/>
        <v>1390</v>
      </c>
      <c r="D14" s="26">
        <f t="shared" si="4"/>
        <v>390</v>
      </c>
      <c r="E14" s="26">
        <f t="shared" si="2"/>
        <v>1000</v>
      </c>
      <c r="F14" s="26"/>
      <c r="G14" s="46">
        <f t="shared" si="5"/>
        <v>190</v>
      </c>
      <c r="H14" s="5">
        <v>19</v>
      </c>
      <c r="I14" s="47">
        <v>171</v>
      </c>
      <c r="J14" s="26"/>
      <c r="K14" s="25">
        <f t="shared" si="3"/>
        <v>1200</v>
      </c>
      <c r="L14" s="26">
        <v>371</v>
      </c>
      <c r="M14" s="26">
        <v>829</v>
      </c>
      <c r="N14" s="52"/>
      <c r="O14" s="27"/>
      <c r="P14" s="28"/>
      <c r="Q14" s="52"/>
      <c r="R14" s="52"/>
      <c r="S14" s="52"/>
      <c r="T14" s="52"/>
      <c r="U14" s="52"/>
      <c r="V14" s="52"/>
      <c r="W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</row>
    <row r="15" spans="1:46" ht="16.899999999999999" customHeight="1" x14ac:dyDescent="0.25">
      <c r="A15" s="21" t="s">
        <v>21</v>
      </c>
      <c r="B15" s="26"/>
      <c r="C15" s="25">
        <f t="shared" si="1"/>
        <v>602</v>
      </c>
      <c r="D15" s="26">
        <f t="shared" si="4"/>
        <v>146</v>
      </c>
      <c r="E15" s="26">
        <f t="shared" si="2"/>
        <v>456</v>
      </c>
      <c r="F15" s="26"/>
      <c r="G15" s="46">
        <f t="shared" si="5"/>
        <v>75</v>
      </c>
      <c r="H15" s="5">
        <v>5</v>
      </c>
      <c r="I15" s="47">
        <v>70</v>
      </c>
      <c r="J15" s="26"/>
      <c r="K15" s="25">
        <f t="shared" si="3"/>
        <v>527</v>
      </c>
      <c r="L15" s="26">
        <v>141</v>
      </c>
      <c r="M15" s="26">
        <v>386</v>
      </c>
      <c r="N15" s="52"/>
      <c r="O15" s="52"/>
      <c r="P15" s="28"/>
      <c r="Q15" s="52"/>
      <c r="R15" s="52"/>
      <c r="S15" s="52"/>
      <c r="T15" s="52"/>
      <c r="U15" s="52"/>
      <c r="V15" s="52"/>
      <c r="W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</row>
    <row r="16" spans="1:46" ht="16.899999999999999" customHeight="1" x14ac:dyDescent="0.25">
      <c r="A16" s="21" t="s">
        <v>22</v>
      </c>
      <c r="B16" s="26"/>
      <c r="C16" s="25">
        <f t="shared" si="1"/>
        <v>145</v>
      </c>
      <c r="D16" s="26">
        <f t="shared" si="4"/>
        <v>33</v>
      </c>
      <c r="E16" s="26">
        <f t="shared" si="2"/>
        <v>112</v>
      </c>
      <c r="F16" s="26"/>
      <c r="G16" s="46">
        <f t="shared" si="5"/>
        <v>15</v>
      </c>
      <c r="H16" s="5">
        <v>1</v>
      </c>
      <c r="I16" s="47">
        <v>14</v>
      </c>
      <c r="J16" s="26"/>
      <c r="K16" s="25">
        <f t="shared" si="3"/>
        <v>130</v>
      </c>
      <c r="L16" s="26">
        <v>32</v>
      </c>
      <c r="M16" s="26">
        <v>98</v>
      </c>
      <c r="N16" s="52"/>
      <c r="O16" s="52"/>
      <c r="P16" s="28"/>
      <c r="Q16" s="52"/>
      <c r="R16" s="52"/>
      <c r="S16" s="52"/>
      <c r="T16" s="52"/>
      <c r="U16" s="52"/>
      <c r="V16" s="52"/>
      <c r="W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</row>
    <row r="17" spans="1:25" ht="16.899999999999999" customHeight="1" x14ac:dyDescent="0.25">
      <c r="A17" s="21" t="s">
        <v>23</v>
      </c>
      <c r="B17" s="26"/>
      <c r="C17" s="25">
        <f t="shared" si="1"/>
        <v>83</v>
      </c>
      <c r="D17" s="26">
        <f t="shared" si="4"/>
        <v>36</v>
      </c>
      <c r="E17" s="26">
        <f t="shared" si="2"/>
        <v>47</v>
      </c>
      <c r="F17" s="26"/>
      <c r="G17" s="46">
        <f t="shared" si="5"/>
        <v>10</v>
      </c>
      <c r="H17" s="5">
        <v>2</v>
      </c>
      <c r="I17" s="47">
        <v>8</v>
      </c>
      <c r="J17" s="26"/>
      <c r="K17" s="25">
        <f t="shared" si="3"/>
        <v>73</v>
      </c>
      <c r="L17" s="26">
        <v>34</v>
      </c>
      <c r="M17" s="26">
        <v>39</v>
      </c>
      <c r="N17" s="52"/>
      <c r="O17" s="52"/>
      <c r="P17" s="28"/>
    </row>
    <row r="18" spans="1:25" ht="16.899999999999999" customHeight="1" x14ac:dyDescent="0.25">
      <c r="A18" s="21" t="s">
        <v>24</v>
      </c>
      <c r="B18" s="26"/>
      <c r="C18" s="25">
        <f t="shared" si="1"/>
        <v>117</v>
      </c>
      <c r="D18" s="26">
        <f t="shared" si="4"/>
        <v>60</v>
      </c>
      <c r="E18" s="26">
        <f t="shared" si="2"/>
        <v>57</v>
      </c>
      <c r="F18" s="26"/>
      <c r="G18" s="46">
        <f t="shared" si="5"/>
        <v>60</v>
      </c>
      <c r="H18" s="5">
        <v>22</v>
      </c>
      <c r="I18" s="47">
        <v>38</v>
      </c>
      <c r="J18" s="26"/>
      <c r="K18" s="25">
        <f t="shared" si="3"/>
        <v>57</v>
      </c>
      <c r="L18" s="26">
        <v>38</v>
      </c>
      <c r="M18" s="26">
        <v>19</v>
      </c>
      <c r="N18" s="52"/>
      <c r="O18" s="52"/>
      <c r="P18" s="28"/>
    </row>
    <row r="19" spans="1:25" ht="16.899999999999999" customHeight="1" x14ac:dyDescent="0.25">
      <c r="A19" s="21" t="s">
        <v>25</v>
      </c>
      <c r="B19" s="26"/>
      <c r="C19" s="25">
        <f t="shared" si="1"/>
        <v>3</v>
      </c>
      <c r="D19" s="26">
        <f t="shared" si="4"/>
        <v>1</v>
      </c>
      <c r="E19" s="26">
        <f t="shared" si="2"/>
        <v>2</v>
      </c>
      <c r="F19" s="26"/>
      <c r="G19" s="46">
        <f t="shared" si="5"/>
        <v>3</v>
      </c>
      <c r="H19" s="5">
        <v>1</v>
      </c>
      <c r="I19" s="47">
        <v>2</v>
      </c>
      <c r="J19" s="26"/>
      <c r="K19" s="25">
        <f t="shared" si="3"/>
        <v>0</v>
      </c>
      <c r="L19" s="26">
        <v>0</v>
      </c>
      <c r="M19" s="26">
        <v>0</v>
      </c>
      <c r="N19" s="52"/>
      <c r="O19" s="52"/>
      <c r="P19" s="28"/>
    </row>
    <row r="20" spans="1:25" ht="16.899999999999999" customHeight="1" x14ac:dyDescent="0.25">
      <c r="A20" s="21" t="s">
        <v>26</v>
      </c>
      <c r="B20" s="26"/>
      <c r="C20" s="25">
        <f t="shared" si="1"/>
        <v>6</v>
      </c>
      <c r="D20" s="26">
        <f t="shared" si="4"/>
        <v>6</v>
      </c>
      <c r="E20" s="26">
        <f t="shared" si="2"/>
        <v>0</v>
      </c>
      <c r="F20" s="26"/>
      <c r="G20" s="46">
        <f t="shared" si="5"/>
        <v>6</v>
      </c>
      <c r="H20" s="5">
        <v>6</v>
      </c>
      <c r="I20" s="47">
        <v>0</v>
      </c>
      <c r="J20" s="26"/>
      <c r="K20" s="25">
        <f t="shared" si="3"/>
        <v>0</v>
      </c>
      <c r="L20" s="26">
        <v>0</v>
      </c>
      <c r="M20" s="26">
        <v>0</v>
      </c>
      <c r="N20" s="52"/>
      <c r="O20" s="52"/>
      <c r="P20" s="28"/>
    </row>
    <row r="21" spans="1:25" ht="16.899999999999999" customHeight="1" x14ac:dyDescent="0.25">
      <c r="A21" s="21" t="s">
        <v>27</v>
      </c>
      <c r="B21" s="26"/>
      <c r="C21" s="25">
        <f t="shared" si="1"/>
        <v>3</v>
      </c>
      <c r="D21" s="26">
        <f t="shared" si="4"/>
        <v>3</v>
      </c>
      <c r="E21" s="26">
        <f t="shared" si="2"/>
        <v>0</v>
      </c>
      <c r="F21" s="26"/>
      <c r="G21" s="46">
        <f t="shared" si="5"/>
        <v>3</v>
      </c>
      <c r="H21" s="5">
        <v>3</v>
      </c>
      <c r="I21" s="47">
        <v>0</v>
      </c>
      <c r="J21" s="26"/>
      <c r="K21" s="25">
        <f t="shared" si="3"/>
        <v>0</v>
      </c>
      <c r="L21" s="26">
        <v>0</v>
      </c>
      <c r="M21" s="26">
        <v>0</v>
      </c>
      <c r="N21" s="52"/>
      <c r="O21" s="52"/>
      <c r="P21" s="28"/>
    </row>
    <row r="22" spans="1:25" ht="16.899999999999999" customHeight="1" x14ac:dyDescent="0.25">
      <c r="A22" s="21" t="s">
        <v>28</v>
      </c>
      <c r="B22" s="26"/>
      <c r="C22" s="25">
        <f t="shared" si="1"/>
        <v>5</v>
      </c>
      <c r="D22" s="26">
        <f t="shared" si="4"/>
        <v>2</v>
      </c>
      <c r="E22" s="26">
        <f t="shared" si="2"/>
        <v>3</v>
      </c>
      <c r="F22" s="26"/>
      <c r="G22" s="46">
        <f t="shared" si="5"/>
        <v>5</v>
      </c>
      <c r="H22" s="5">
        <v>2</v>
      </c>
      <c r="I22" s="47">
        <v>3</v>
      </c>
      <c r="J22" s="26"/>
      <c r="K22" s="25">
        <f t="shared" si="3"/>
        <v>0</v>
      </c>
      <c r="L22" s="26">
        <v>0</v>
      </c>
      <c r="M22" s="26">
        <v>0</v>
      </c>
      <c r="N22" s="52"/>
      <c r="O22" s="27"/>
      <c r="P22" s="28"/>
    </row>
    <row r="23" spans="1:25" ht="16.899999999999999" customHeight="1" x14ac:dyDescent="0.25">
      <c r="A23" s="21" t="s">
        <v>29</v>
      </c>
      <c r="B23" s="26"/>
      <c r="C23" s="25">
        <f t="shared" si="1"/>
        <v>1273</v>
      </c>
      <c r="D23" s="26">
        <f t="shared" si="4"/>
        <v>321</v>
      </c>
      <c r="E23" s="26">
        <f t="shared" si="2"/>
        <v>952</v>
      </c>
      <c r="F23" s="26"/>
      <c r="G23" s="46">
        <f t="shared" si="5"/>
        <v>432</v>
      </c>
      <c r="H23" s="5">
        <v>82</v>
      </c>
      <c r="I23" s="47">
        <v>350</v>
      </c>
      <c r="J23" s="26"/>
      <c r="K23" s="25">
        <f t="shared" si="3"/>
        <v>841</v>
      </c>
      <c r="L23" s="26">
        <v>239</v>
      </c>
      <c r="M23" s="26">
        <v>602</v>
      </c>
      <c r="N23" s="52"/>
      <c r="O23" s="52"/>
      <c r="P23" s="28"/>
      <c r="X23" s="52"/>
      <c r="Y23" s="62"/>
    </row>
    <row r="24" spans="1:25" ht="16.899999999999999" customHeight="1" x14ac:dyDescent="0.25">
      <c r="A24" s="21" t="s">
        <v>30</v>
      </c>
      <c r="B24" s="26"/>
      <c r="C24" s="25">
        <f t="shared" si="1"/>
        <v>367</v>
      </c>
      <c r="D24" s="26">
        <f t="shared" si="4"/>
        <v>108</v>
      </c>
      <c r="E24" s="26">
        <f t="shared" si="2"/>
        <v>259</v>
      </c>
      <c r="F24" s="26"/>
      <c r="G24" s="46">
        <f t="shared" si="5"/>
        <v>107</v>
      </c>
      <c r="H24" s="5">
        <v>12</v>
      </c>
      <c r="I24" s="47">
        <v>95</v>
      </c>
      <c r="J24" s="26"/>
      <c r="K24" s="25">
        <f t="shared" si="3"/>
        <v>260</v>
      </c>
      <c r="L24" s="26">
        <v>96</v>
      </c>
      <c r="M24" s="26">
        <v>164</v>
      </c>
      <c r="N24" s="52"/>
      <c r="O24" s="52"/>
      <c r="P24" s="28"/>
    </row>
    <row r="25" spans="1:25" ht="16.899999999999999" customHeight="1" x14ac:dyDescent="0.25">
      <c r="A25" s="21" t="s">
        <v>31</v>
      </c>
      <c r="B25" s="26"/>
      <c r="C25" s="25">
        <f t="shared" si="1"/>
        <v>188</v>
      </c>
      <c r="D25" s="26">
        <f t="shared" si="4"/>
        <v>69</v>
      </c>
      <c r="E25" s="26">
        <f t="shared" si="2"/>
        <v>119</v>
      </c>
      <c r="F25" s="26"/>
      <c r="G25" s="46">
        <f t="shared" si="5"/>
        <v>77</v>
      </c>
      <c r="H25" s="5">
        <v>21</v>
      </c>
      <c r="I25" s="47">
        <v>56</v>
      </c>
      <c r="J25" s="26"/>
      <c r="K25" s="25">
        <f t="shared" si="3"/>
        <v>111</v>
      </c>
      <c r="L25" s="26">
        <v>48</v>
      </c>
      <c r="M25" s="26">
        <v>63</v>
      </c>
      <c r="N25" s="52"/>
      <c r="O25" s="52"/>
      <c r="P25" s="28"/>
    </row>
    <row r="26" spans="1:25" ht="16.899999999999999" customHeight="1" x14ac:dyDescent="0.25">
      <c r="A26" s="21" t="s">
        <v>32</v>
      </c>
      <c r="B26" s="26"/>
      <c r="C26" s="25">
        <f t="shared" si="1"/>
        <v>42</v>
      </c>
      <c r="D26" s="26">
        <f t="shared" si="4"/>
        <v>19</v>
      </c>
      <c r="E26" s="26">
        <f t="shared" si="2"/>
        <v>23</v>
      </c>
      <c r="F26" s="26"/>
      <c r="G26" s="46">
        <f t="shared" si="5"/>
        <v>25</v>
      </c>
      <c r="H26" s="5">
        <v>12</v>
      </c>
      <c r="I26" s="47">
        <v>13</v>
      </c>
      <c r="J26" s="26"/>
      <c r="K26" s="25">
        <f t="shared" si="3"/>
        <v>17</v>
      </c>
      <c r="L26" s="26">
        <v>7</v>
      </c>
      <c r="M26" s="26">
        <v>10</v>
      </c>
      <c r="N26" s="52"/>
      <c r="O26" s="52"/>
      <c r="P26" s="28"/>
    </row>
    <row r="27" spans="1:25" ht="16.899999999999999" customHeight="1" x14ac:dyDescent="0.25">
      <c r="A27" s="21" t="s">
        <v>105</v>
      </c>
      <c r="B27" s="26"/>
      <c r="C27" s="25">
        <f t="shared" ref="C27" si="6">G27+K27</f>
        <v>2</v>
      </c>
      <c r="D27" s="26">
        <f t="shared" ref="D27" si="7">H27+L27</f>
        <v>2</v>
      </c>
      <c r="E27" s="26">
        <f t="shared" ref="E27" si="8">I27+M27</f>
        <v>0</v>
      </c>
      <c r="F27" s="26"/>
      <c r="G27" s="46">
        <f t="shared" si="5"/>
        <v>2</v>
      </c>
      <c r="H27" s="5">
        <v>2</v>
      </c>
      <c r="I27" s="47">
        <v>0</v>
      </c>
      <c r="J27" s="26"/>
      <c r="K27" s="25">
        <f t="shared" si="3"/>
        <v>0</v>
      </c>
      <c r="L27" s="26">
        <v>0</v>
      </c>
      <c r="M27" s="26">
        <v>0</v>
      </c>
      <c r="N27" s="52"/>
      <c r="O27" s="52"/>
      <c r="P27" s="28"/>
    </row>
    <row r="28" spans="1:25" ht="16.899999999999999" customHeight="1" x14ac:dyDescent="0.25">
      <c r="A28" s="21" t="s">
        <v>33</v>
      </c>
      <c r="B28" s="26"/>
      <c r="C28" s="25">
        <f t="shared" si="1"/>
        <v>2</v>
      </c>
      <c r="D28" s="26">
        <f t="shared" si="4"/>
        <v>2</v>
      </c>
      <c r="E28" s="26">
        <f t="shared" si="2"/>
        <v>0</v>
      </c>
      <c r="F28" s="26"/>
      <c r="G28" s="46">
        <f t="shared" si="5"/>
        <v>2</v>
      </c>
      <c r="H28" s="5">
        <v>2</v>
      </c>
      <c r="I28" s="47">
        <v>0</v>
      </c>
      <c r="J28" s="26"/>
      <c r="K28" s="25">
        <f t="shared" si="3"/>
        <v>0</v>
      </c>
      <c r="L28" s="26">
        <v>0</v>
      </c>
      <c r="M28" s="26">
        <v>0</v>
      </c>
      <c r="N28" s="52"/>
      <c r="O28" s="52"/>
      <c r="P28" s="28"/>
    </row>
    <row r="29" spans="1:25" ht="16.899999999999999" customHeight="1" x14ac:dyDescent="0.25">
      <c r="A29" s="21" t="s">
        <v>34</v>
      </c>
      <c r="B29" s="26"/>
      <c r="C29" s="25">
        <f t="shared" si="1"/>
        <v>11</v>
      </c>
      <c r="D29" s="26">
        <f t="shared" si="4"/>
        <v>6</v>
      </c>
      <c r="E29" s="26">
        <f t="shared" si="2"/>
        <v>5</v>
      </c>
      <c r="F29" s="26"/>
      <c r="G29" s="46">
        <f t="shared" si="5"/>
        <v>9</v>
      </c>
      <c r="H29" s="5">
        <v>4</v>
      </c>
      <c r="I29" s="47">
        <v>5</v>
      </c>
      <c r="J29" s="26"/>
      <c r="K29" s="25">
        <f t="shared" si="3"/>
        <v>2</v>
      </c>
      <c r="L29" s="26">
        <v>2</v>
      </c>
      <c r="M29" s="26">
        <v>0</v>
      </c>
      <c r="N29" s="52"/>
      <c r="O29" s="52"/>
      <c r="P29" s="28"/>
      <c r="X29" s="20"/>
      <c r="Y29" s="64"/>
    </row>
    <row r="30" spans="1:25" ht="16.899999999999999" customHeight="1" x14ac:dyDescent="0.25">
      <c r="A30" s="21" t="s">
        <v>35</v>
      </c>
      <c r="B30" s="26"/>
      <c r="C30" s="25">
        <f t="shared" si="1"/>
        <v>4</v>
      </c>
      <c r="D30" s="26">
        <f t="shared" si="4"/>
        <v>4</v>
      </c>
      <c r="E30" s="26">
        <f t="shared" si="2"/>
        <v>0</v>
      </c>
      <c r="F30" s="26"/>
      <c r="G30" s="46">
        <f t="shared" si="5"/>
        <v>4</v>
      </c>
      <c r="H30" s="5">
        <v>4</v>
      </c>
      <c r="I30" s="47">
        <v>0</v>
      </c>
      <c r="J30" s="26"/>
      <c r="K30" s="25">
        <f t="shared" si="3"/>
        <v>0</v>
      </c>
      <c r="L30" s="26">
        <v>0</v>
      </c>
      <c r="M30" s="26">
        <v>0</v>
      </c>
      <c r="N30" s="52"/>
      <c r="O30" s="52"/>
      <c r="P30" s="28"/>
    </row>
    <row r="31" spans="1:25" ht="16.899999999999999" customHeight="1" x14ac:dyDescent="0.25">
      <c r="A31" s="21" t="s">
        <v>36</v>
      </c>
      <c r="B31" s="26"/>
      <c r="C31" s="25">
        <f t="shared" si="1"/>
        <v>1</v>
      </c>
      <c r="D31" s="26">
        <f t="shared" si="4"/>
        <v>1</v>
      </c>
      <c r="E31" s="26">
        <f t="shared" si="2"/>
        <v>0</v>
      </c>
      <c r="F31" s="26"/>
      <c r="G31" s="46">
        <f t="shared" si="5"/>
        <v>1</v>
      </c>
      <c r="H31" s="5">
        <v>1</v>
      </c>
      <c r="I31" s="47">
        <v>0</v>
      </c>
      <c r="J31" s="26"/>
      <c r="K31" s="25">
        <f t="shared" si="3"/>
        <v>0</v>
      </c>
      <c r="L31" s="26">
        <v>0</v>
      </c>
      <c r="M31" s="26">
        <v>0</v>
      </c>
      <c r="N31" s="52"/>
      <c r="O31" s="52"/>
      <c r="P31" s="28"/>
    </row>
    <row r="32" spans="1:25" ht="16.899999999999999" customHeight="1" x14ac:dyDescent="0.25">
      <c r="A32" s="21" t="s">
        <v>37</v>
      </c>
      <c r="B32" s="26"/>
      <c r="C32" s="25">
        <f t="shared" si="1"/>
        <v>1</v>
      </c>
      <c r="D32" s="26">
        <f t="shared" si="4"/>
        <v>1</v>
      </c>
      <c r="E32" s="26">
        <f t="shared" si="2"/>
        <v>0</v>
      </c>
      <c r="F32" s="26"/>
      <c r="G32" s="46">
        <f t="shared" si="5"/>
        <v>1</v>
      </c>
      <c r="H32" s="5">
        <v>1</v>
      </c>
      <c r="I32" s="47">
        <v>0</v>
      </c>
      <c r="J32" s="26"/>
      <c r="K32" s="25">
        <f t="shared" si="3"/>
        <v>0</v>
      </c>
      <c r="L32" s="26">
        <v>0</v>
      </c>
      <c r="M32" s="26">
        <v>0</v>
      </c>
      <c r="N32" s="52"/>
      <c r="O32" s="52"/>
      <c r="P32" s="28"/>
    </row>
    <row r="33" spans="1:25" ht="16.899999999999999" customHeight="1" x14ac:dyDescent="0.25">
      <c r="A33" s="21" t="s">
        <v>38</v>
      </c>
      <c r="B33" s="26"/>
      <c r="C33" s="25">
        <f t="shared" si="1"/>
        <v>26</v>
      </c>
      <c r="D33" s="26">
        <f t="shared" si="4"/>
        <v>7</v>
      </c>
      <c r="E33" s="26">
        <f t="shared" si="2"/>
        <v>19</v>
      </c>
      <c r="F33" s="26"/>
      <c r="G33" s="46">
        <f t="shared" si="5"/>
        <v>25</v>
      </c>
      <c r="H33" s="5">
        <v>7</v>
      </c>
      <c r="I33" s="47">
        <v>18</v>
      </c>
      <c r="J33" s="26"/>
      <c r="K33" s="25">
        <f t="shared" si="3"/>
        <v>1</v>
      </c>
      <c r="L33" s="26">
        <v>0</v>
      </c>
      <c r="M33" s="26">
        <v>1</v>
      </c>
      <c r="N33" s="52"/>
      <c r="O33" s="52"/>
      <c r="P33" s="28"/>
      <c r="X33" s="52"/>
      <c r="Y33" s="62"/>
    </row>
    <row r="34" spans="1:25" ht="16.899999999999999" customHeight="1" x14ac:dyDescent="0.25">
      <c r="A34" s="21" t="s">
        <v>39</v>
      </c>
      <c r="B34" s="26"/>
      <c r="C34" s="25">
        <f t="shared" si="1"/>
        <v>266</v>
      </c>
      <c r="D34" s="26">
        <f t="shared" si="4"/>
        <v>57</v>
      </c>
      <c r="E34" s="26">
        <f t="shared" si="2"/>
        <v>209</v>
      </c>
      <c r="F34" s="26"/>
      <c r="G34" s="46">
        <f t="shared" si="5"/>
        <v>169</v>
      </c>
      <c r="H34" s="5">
        <v>25</v>
      </c>
      <c r="I34" s="47">
        <v>144</v>
      </c>
      <c r="J34" s="26"/>
      <c r="K34" s="25">
        <f t="shared" si="3"/>
        <v>97</v>
      </c>
      <c r="L34" s="26">
        <v>32</v>
      </c>
      <c r="M34" s="26">
        <v>65</v>
      </c>
      <c r="N34" s="52"/>
      <c r="O34" s="52"/>
      <c r="P34" s="28"/>
    </row>
    <row r="35" spans="1:25" ht="16.899999999999999" customHeight="1" x14ac:dyDescent="0.25">
      <c r="A35" s="21" t="s">
        <v>40</v>
      </c>
      <c r="B35" s="26"/>
      <c r="C35" s="25">
        <f t="shared" si="1"/>
        <v>62</v>
      </c>
      <c r="D35" s="26">
        <f t="shared" si="4"/>
        <v>10</v>
      </c>
      <c r="E35" s="26">
        <f t="shared" si="2"/>
        <v>52</v>
      </c>
      <c r="F35" s="26"/>
      <c r="G35" s="46">
        <f t="shared" si="5"/>
        <v>33</v>
      </c>
      <c r="H35" s="5">
        <v>9</v>
      </c>
      <c r="I35" s="47">
        <v>24</v>
      </c>
      <c r="J35" s="26"/>
      <c r="K35" s="25">
        <f t="shared" si="3"/>
        <v>29</v>
      </c>
      <c r="L35" s="26">
        <v>1</v>
      </c>
      <c r="M35" s="26">
        <v>28</v>
      </c>
      <c r="N35" s="52"/>
      <c r="O35" s="52"/>
      <c r="P35" s="28"/>
      <c r="X35" s="12"/>
      <c r="Y35" s="63"/>
    </row>
    <row r="36" spans="1:25" ht="16.899999999999999" customHeight="1" x14ac:dyDescent="0.25">
      <c r="A36" s="21" t="s">
        <v>41</v>
      </c>
      <c r="B36" s="26"/>
      <c r="C36" s="25">
        <f t="shared" si="1"/>
        <v>20</v>
      </c>
      <c r="D36" s="26">
        <f t="shared" si="4"/>
        <v>9</v>
      </c>
      <c r="E36" s="26">
        <f t="shared" si="2"/>
        <v>11</v>
      </c>
      <c r="F36" s="26"/>
      <c r="G36" s="46">
        <f t="shared" si="5"/>
        <v>17</v>
      </c>
      <c r="H36" s="5">
        <v>7</v>
      </c>
      <c r="I36" s="47">
        <v>10</v>
      </c>
      <c r="J36" s="26"/>
      <c r="K36" s="25">
        <f t="shared" si="3"/>
        <v>3</v>
      </c>
      <c r="L36" s="26">
        <v>2</v>
      </c>
      <c r="M36" s="26">
        <v>1</v>
      </c>
      <c r="N36" s="52"/>
      <c r="O36" s="52"/>
      <c r="P36" s="28"/>
      <c r="X36" s="12"/>
      <c r="Y36" s="63"/>
    </row>
    <row r="37" spans="1:25" ht="16.899999999999999" customHeight="1" x14ac:dyDescent="0.25">
      <c r="A37" s="21" t="s">
        <v>42</v>
      </c>
      <c r="B37" s="26"/>
      <c r="C37" s="25">
        <f t="shared" si="1"/>
        <v>4</v>
      </c>
      <c r="D37" s="26">
        <f t="shared" si="4"/>
        <v>1</v>
      </c>
      <c r="E37" s="26">
        <f t="shared" si="2"/>
        <v>3</v>
      </c>
      <c r="F37" s="26"/>
      <c r="G37" s="46">
        <f t="shared" si="5"/>
        <v>3</v>
      </c>
      <c r="H37" s="5">
        <v>1</v>
      </c>
      <c r="I37" s="47">
        <v>2</v>
      </c>
      <c r="J37" s="26"/>
      <c r="K37" s="25">
        <f t="shared" si="3"/>
        <v>1</v>
      </c>
      <c r="L37" s="26">
        <v>0</v>
      </c>
      <c r="M37" s="26">
        <v>1</v>
      </c>
      <c r="N37" s="52"/>
      <c r="O37" s="52"/>
      <c r="P37" s="28"/>
      <c r="X37" s="53"/>
      <c r="Y37" s="63"/>
    </row>
    <row r="38" spans="1:25" ht="16.899999999999999" customHeight="1" x14ac:dyDescent="0.25">
      <c r="A38" s="21" t="s">
        <v>43</v>
      </c>
      <c r="B38" s="26"/>
      <c r="C38" s="25">
        <f t="shared" si="1"/>
        <v>1</v>
      </c>
      <c r="D38" s="26">
        <f t="shared" si="4"/>
        <v>1</v>
      </c>
      <c r="E38" s="26">
        <f t="shared" si="2"/>
        <v>0</v>
      </c>
      <c r="F38" s="26"/>
      <c r="G38" s="46">
        <f t="shared" si="5"/>
        <v>1</v>
      </c>
      <c r="H38" s="5">
        <v>1</v>
      </c>
      <c r="I38" s="47">
        <v>0</v>
      </c>
      <c r="J38" s="26"/>
      <c r="K38" s="25">
        <f t="shared" si="3"/>
        <v>0</v>
      </c>
      <c r="L38" s="26">
        <v>0</v>
      </c>
      <c r="M38" s="26">
        <v>0</v>
      </c>
      <c r="N38" s="52"/>
      <c r="O38" s="52"/>
      <c r="P38" s="28"/>
      <c r="X38" s="52"/>
      <c r="Y38" s="62"/>
    </row>
    <row r="39" spans="1:25" ht="16.899999999999999" customHeight="1" x14ac:dyDescent="0.25">
      <c r="A39" s="21" t="s">
        <v>106</v>
      </c>
      <c r="B39" s="26"/>
      <c r="C39" s="25">
        <f t="shared" ref="C39" si="9">G39+K39</f>
        <v>1</v>
      </c>
      <c r="D39" s="26">
        <f t="shared" ref="D39" si="10">H39+L39</f>
        <v>1</v>
      </c>
      <c r="E39" s="26">
        <f t="shared" ref="E39" si="11">I39+M39</f>
        <v>0</v>
      </c>
      <c r="F39" s="26"/>
      <c r="G39" s="46">
        <f t="shared" si="5"/>
        <v>1</v>
      </c>
      <c r="H39" s="5">
        <v>1</v>
      </c>
      <c r="I39" s="47">
        <v>0</v>
      </c>
      <c r="J39" s="26"/>
      <c r="K39" s="25">
        <f t="shared" si="3"/>
        <v>0</v>
      </c>
      <c r="L39" s="26">
        <v>0</v>
      </c>
      <c r="M39" s="26">
        <v>0</v>
      </c>
      <c r="N39" s="52"/>
      <c r="O39" s="52"/>
      <c r="P39" s="28"/>
    </row>
    <row r="40" spans="1:25" ht="16.899999999999999" customHeight="1" x14ac:dyDescent="0.25">
      <c r="A40" s="21" t="s">
        <v>44</v>
      </c>
      <c r="B40" s="26"/>
      <c r="C40" s="25">
        <f t="shared" si="1"/>
        <v>2</v>
      </c>
      <c r="D40" s="26">
        <f t="shared" si="4"/>
        <v>2</v>
      </c>
      <c r="E40" s="26">
        <f t="shared" si="2"/>
        <v>0</v>
      </c>
      <c r="F40" s="26"/>
      <c r="G40" s="46">
        <f t="shared" si="5"/>
        <v>2</v>
      </c>
      <c r="H40" s="5">
        <v>2</v>
      </c>
      <c r="I40" s="47">
        <v>0</v>
      </c>
      <c r="J40" s="26"/>
      <c r="K40" s="25">
        <f t="shared" si="3"/>
        <v>0</v>
      </c>
      <c r="L40" s="26">
        <v>0</v>
      </c>
      <c r="M40" s="26">
        <v>0</v>
      </c>
      <c r="N40" s="52"/>
      <c r="O40" s="52"/>
      <c r="P40" s="28"/>
    </row>
    <row r="41" spans="1:25" ht="16.899999999999999" customHeight="1" x14ac:dyDescent="0.25">
      <c r="A41" s="21" t="s">
        <v>45</v>
      </c>
      <c r="B41" s="26"/>
      <c r="C41" s="25">
        <f t="shared" si="1"/>
        <v>1</v>
      </c>
      <c r="D41" s="26">
        <f t="shared" si="4"/>
        <v>1</v>
      </c>
      <c r="E41" s="26">
        <f t="shared" si="2"/>
        <v>0</v>
      </c>
      <c r="F41" s="26"/>
      <c r="G41" s="46">
        <f t="shared" si="5"/>
        <v>1</v>
      </c>
      <c r="H41" s="5">
        <v>1</v>
      </c>
      <c r="I41" s="47">
        <v>0</v>
      </c>
      <c r="J41" s="26"/>
      <c r="K41" s="25">
        <f t="shared" si="3"/>
        <v>0</v>
      </c>
      <c r="L41" s="26">
        <v>0</v>
      </c>
      <c r="M41" s="26">
        <v>0</v>
      </c>
      <c r="N41" s="52"/>
      <c r="O41" s="52"/>
      <c r="P41" s="28"/>
    </row>
    <row r="42" spans="1:25" ht="16.899999999999999" customHeight="1" x14ac:dyDescent="0.25">
      <c r="A42" s="21" t="s">
        <v>107</v>
      </c>
      <c r="B42" s="26"/>
      <c r="C42" s="25">
        <f t="shared" ref="C42" si="12">G42+K42</f>
        <v>2</v>
      </c>
      <c r="D42" s="26">
        <f t="shared" ref="D42" si="13">H42+L42</f>
        <v>0</v>
      </c>
      <c r="E42" s="26">
        <f t="shared" ref="E42" si="14">I42+M42</f>
        <v>2</v>
      </c>
      <c r="F42" s="26"/>
      <c r="G42" s="46">
        <f t="shared" si="5"/>
        <v>2</v>
      </c>
      <c r="H42" s="5">
        <v>0</v>
      </c>
      <c r="I42" s="47">
        <v>2</v>
      </c>
      <c r="J42" s="26"/>
      <c r="K42" s="25">
        <f t="shared" si="3"/>
        <v>0</v>
      </c>
      <c r="L42" s="26">
        <v>0</v>
      </c>
      <c r="M42" s="26">
        <v>0</v>
      </c>
      <c r="N42" s="52"/>
      <c r="O42" s="52"/>
      <c r="P42" s="28"/>
    </row>
    <row r="43" spans="1:25" ht="16.899999999999999" customHeight="1" x14ac:dyDescent="0.25">
      <c r="A43" s="21" t="s">
        <v>46</v>
      </c>
      <c r="B43" s="26"/>
      <c r="C43" s="25">
        <f t="shared" si="1"/>
        <v>5</v>
      </c>
      <c r="D43" s="26">
        <f t="shared" si="4"/>
        <v>3</v>
      </c>
      <c r="E43" s="26">
        <f t="shared" si="2"/>
        <v>2</v>
      </c>
      <c r="F43" s="26"/>
      <c r="G43" s="46">
        <f t="shared" si="5"/>
        <v>5</v>
      </c>
      <c r="H43" s="5">
        <v>3</v>
      </c>
      <c r="I43" s="47">
        <v>2</v>
      </c>
      <c r="J43" s="26"/>
      <c r="K43" s="25">
        <f t="shared" si="3"/>
        <v>0</v>
      </c>
      <c r="L43" s="26">
        <v>0</v>
      </c>
      <c r="M43" s="26">
        <v>0</v>
      </c>
      <c r="N43" s="52"/>
      <c r="O43" s="52"/>
      <c r="P43" s="28"/>
    </row>
    <row r="44" spans="1:25" ht="16.899999999999999" customHeight="1" x14ac:dyDescent="0.25">
      <c r="A44" s="21" t="s">
        <v>47</v>
      </c>
      <c r="B44" s="26"/>
      <c r="C44" s="25">
        <f t="shared" si="1"/>
        <v>2</v>
      </c>
      <c r="D44" s="26">
        <f t="shared" si="4"/>
        <v>1</v>
      </c>
      <c r="E44" s="26">
        <f t="shared" si="2"/>
        <v>1</v>
      </c>
      <c r="F44" s="26"/>
      <c r="G44" s="46">
        <f t="shared" si="5"/>
        <v>2</v>
      </c>
      <c r="H44" s="5">
        <v>1</v>
      </c>
      <c r="I44" s="47">
        <v>1</v>
      </c>
      <c r="J44" s="26"/>
      <c r="K44" s="25">
        <f t="shared" si="3"/>
        <v>0</v>
      </c>
      <c r="L44" s="26">
        <v>0</v>
      </c>
      <c r="M44" s="26">
        <v>0</v>
      </c>
      <c r="N44" s="52"/>
      <c r="O44" s="52"/>
      <c r="P44" s="28"/>
    </row>
    <row r="45" spans="1:25" ht="16.899999999999999" customHeight="1" x14ac:dyDescent="0.25">
      <c r="A45" s="21" t="s">
        <v>48</v>
      </c>
      <c r="B45" s="26"/>
      <c r="C45" s="25">
        <f t="shared" si="1"/>
        <v>1</v>
      </c>
      <c r="D45" s="26">
        <f t="shared" si="4"/>
        <v>0</v>
      </c>
      <c r="E45" s="26">
        <f t="shared" si="2"/>
        <v>1</v>
      </c>
      <c r="F45" s="26"/>
      <c r="G45" s="46">
        <f t="shared" si="5"/>
        <v>1</v>
      </c>
      <c r="H45" s="5">
        <v>0</v>
      </c>
      <c r="I45" s="47">
        <v>1</v>
      </c>
      <c r="J45" s="26"/>
      <c r="K45" s="25">
        <f t="shared" si="3"/>
        <v>0</v>
      </c>
      <c r="L45" s="26">
        <v>0</v>
      </c>
      <c r="M45" s="26">
        <v>0</v>
      </c>
      <c r="N45" s="52"/>
      <c r="O45" s="52"/>
      <c r="P45" s="28"/>
    </row>
    <row r="46" spans="1:25" ht="16.899999999999999" customHeight="1" x14ac:dyDescent="0.25">
      <c r="A46" s="21" t="s">
        <v>49</v>
      </c>
      <c r="B46" s="26"/>
      <c r="C46" s="25">
        <f t="shared" si="1"/>
        <v>2</v>
      </c>
      <c r="D46" s="26">
        <f t="shared" si="4"/>
        <v>0</v>
      </c>
      <c r="E46" s="26">
        <f t="shared" si="2"/>
        <v>2</v>
      </c>
      <c r="F46" s="26"/>
      <c r="G46" s="46">
        <f t="shared" si="5"/>
        <v>2</v>
      </c>
      <c r="H46" s="5">
        <v>0</v>
      </c>
      <c r="I46" s="47">
        <v>2</v>
      </c>
      <c r="J46" s="26"/>
      <c r="K46" s="25">
        <f t="shared" si="3"/>
        <v>0</v>
      </c>
      <c r="L46" s="26">
        <v>0</v>
      </c>
      <c r="M46" s="26">
        <v>0</v>
      </c>
      <c r="N46" s="52"/>
      <c r="O46" s="52"/>
      <c r="P46" s="28"/>
    </row>
    <row r="47" spans="1:25" ht="16.899999999999999" customHeight="1" x14ac:dyDescent="0.25">
      <c r="A47" s="21" t="s">
        <v>50</v>
      </c>
      <c r="B47" s="26"/>
      <c r="C47" s="25">
        <f t="shared" si="1"/>
        <v>1</v>
      </c>
      <c r="D47" s="26">
        <f t="shared" si="4"/>
        <v>1</v>
      </c>
      <c r="E47" s="26">
        <f t="shared" si="2"/>
        <v>0</v>
      </c>
      <c r="F47" s="26"/>
      <c r="G47" s="46">
        <f t="shared" si="5"/>
        <v>1</v>
      </c>
      <c r="H47" s="5">
        <v>1</v>
      </c>
      <c r="I47" s="47">
        <v>0</v>
      </c>
      <c r="J47" s="26"/>
      <c r="K47" s="25">
        <f t="shared" si="3"/>
        <v>0</v>
      </c>
      <c r="L47" s="26">
        <v>0</v>
      </c>
      <c r="M47" s="26">
        <v>0</v>
      </c>
      <c r="N47" s="52"/>
      <c r="O47" s="52"/>
      <c r="P47" s="28"/>
    </row>
    <row r="48" spans="1:25" ht="16.899999999999999" customHeight="1" x14ac:dyDescent="0.25">
      <c r="A48" s="21" t="s">
        <v>51</v>
      </c>
      <c r="B48" s="26"/>
      <c r="C48" s="25">
        <f t="shared" si="1"/>
        <v>1</v>
      </c>
      <c r="D48" s="26">
        <f t="shared" si="4"/>
        <v>1</v>
      </c>
      <c r="E48" s="26">
        <f t="shared" si="2"/>
        <v>0</v>
      </c>
      <c r="F48" s="26"/>
      <c r="G48" s="46">
        <f t="shared" si="5"/>
        <v>1</v>
      </c>
      <c r="H48" s="5">
        <v>1</v>
      </c>
      <c r="I48" s="47">
        <v>0</v>
      </c>
      <c r="J48" s="26"/>
      <c r="K48" s="25">
        <f t="shared" si="3"/>
        <v>0</v>
      </c>
      <c r="L48" s="26">
        <v>0</v>
      </c>
      <c r="M48" s="26">
        <v>0</v>
      </c>
      <c r="N48" s="52"/>
      <c r="O48" s="52"/>
      <c r="P48" s="28"/>
    </row>
    <row r="49" spans="1:25" ht="16.899999999999999" customHeight="1" x14ac:dyDescent="0.25">
      <c r="A49" s="21" t="s">
        <v>52</v>
      </c>
      <c r="B49" s="26"/>
      <c r="C49" s="25">
        <f t="shared" si="1"/>
        <v>1</v>
      </c>
      <c r="D49" s="26">
        <f t="shared" si="4"/>
        <v>1</v>
      </c>
      <c r="E49" s="26">
        <f t="shared" si="2"/>
        <v>0</v>
      </c>
      <c r="F49" s="26"/>
      <c r="G49" s="46">
        <f t="shared" si="5"/>
        <v>1</v>
      </c>
      <c r="H49" s="5">
        <v>1</v>
      </c>
      <c r="I49" s="47">
        <v>0</v>
      </c>
      <c r="J49" s="26"/>
      <c r="K49" s="25">
        <f t="shared" si="3"/>
        <v>0</v>
      </c>
      <c r="L49" s="26">
        <v>0</v>
      </c>
      <c r="M49" s="26">
        <v>0</v>
      </c>
      <c r="N49" s="52"/>
      <c r="O49" s="52"/>
      <c r="P49" s="28"/>
      <c r="X49" s="52"/>
      <c r="Y49" s="62"/>
    </row>
    <row r="50" spans="1:25" ht="16.899999999999999" customHeight="1" x14ac:dyDescent="0.25">
      <c r="A50" s="21" t="s">
        <v>53</v>
      </c>
      <c r="B50" s="26"/>
      <c r="C50" s="25">
        <f t="shared" si="1"/>
        <v>11</v>
      </c>
      <c r="D50" s="26">
        <f t="shared" si="4"/>
        <v>7</v>
      </c>
      <c r="E50" s="26">
        <f t="shared" si="2"/>
        <v>4</v>
      </c>
      <c r="F50" s="26"/>
      <c r="G50" s="46">
        <f t="shared" si="5"/>
        <v>11</v>
      </c>
      <c r="H50" s="5">
        <v>7</v>
      </c>
      <c r="I50" s="47">
        <v>4</v>
      </c>
      <c r="J50" s="26"/>
      <c r="K50" s="25">
        <f t="shared" si="3"/>
        <v>0</v>
      </c>
      <c r="L50" s="26">
        <v>0</v>
      </c>
      <c r="M50" s="26">
        <v>0</v>
      </c>
      <c r="N50" s="52"/>
      <c r="O50" s="52"/>
      <c r="P50" s="28"/>
    </row>
    <row r="51" spans="1:25" ht="16.899999999999999" customHeight="1" x14ac:dyDescent="0.25">
      <c r="A51" s="21" t="s">
        <v>54</v>
      </c>
      <c r="B51" s="26"/>
      <c r="C51" s="25">
        <f t="shared" si="1"/>
        <v>72</v>
      </c>
      <c r="D51" s="26">
        <f t="shared" si="4"/>
        <v>48</v>
      </c>
      <c r="E51" s="26">
        <f t="shared" si="2"/>
        <v>24</v>
      </c>
      <c r="F51" s="26"/>
      <c r="G51" s="46">
        <f t="shared" si="5"/>
        <v>72</v>
      </c>
      <c r="H51" s="5">
        <v>48</v>
      </c>
      <c r="I51" s="47">
        <v>24</v>
      </c>
      <c r="J51" s="26"/>
      <c r="K51" s="25">
        <f t="shared" si="3"/>
        <v>0</v>
      </c>
      <c r="L51" s="26">
        <v>0</v>
      </c>
      <c r="M51" s="26">
        <v>0</v>
      </c>
      <c r="N51" s="52"/>
      <c r="O51" s="27"/>
      <c r="P51" s="28"/>
    </row>
    <row r="52" spans="1:25" ht="16.899999999999999" customHeight="1" x14ac:dyDescent="0.25">
      <c r="A52" s="21" t="s">
        <v>55</v>
      </c>
      <c r="B52" s="26"/>
      <c r="C52" s="25">
        <f t="shared" si="1"/>
        <v>88</v>
      </c>
      <c r="D52" s="26">
        <f t="shared" si="4"/>
        <v>64</v>
      </c>
      <c r="E52" s="26">
        <f t="shared" si="2"/>
        <v>24</v>
      </c>
      <c r="F52" s="26"/>
      <c r="G52" s="46">
        <f t="shared" si="5"/>
        <v>88</v>
      </c>
      <c r="H52" s="5">
        <v>64</v>
      </c>
      <c r="I52" s="47">
        <v>24</v>
      </c>
      <c r="J52" s="26"/>
      <c r="K52" s="25">
        <f t="shared" si="3"/>
        <v>0</v>
      </c>
      <c r="L52" s="26">
        <v>0</v>
      </c>
      <c r="M52" s="26">
        <v>0</v>
      </c>
      <c r="N52" s="52"/>
      <c r="O52" s="27"/>
      <c r="P52" s="28"/>
    </row>
    <row r="53" spans="1:25" ht="16.899999999999999" customHeight="1" x14ac:dyDescent="0.25">
      <c r="A53" s="21" t="s">
        <v>56</v>
      </c>
      <c r="B53" s="26"/>
      <c r="C53" s="25">
        <f t="shared" si="1"/>
        <v>99</v>
      </c>
      <c r="D53" s="26">
        <f t="shared" si="4"/>
        <v>66</v>
      </c>
      <c r="E53" s="26">
        <f t="shared" si="2"/>
        <v>33</v>
      </c>
      <c r="F53" s="26"/>
      <c r="G53" s="46">
        <f t="shared" si="5"/>
        <v>99</v>
      </c>
      <c r="H53" s="5">
        <v>66</v>
      </c>
      <c r="I53" s="47">
        <v>33</v>
      </c>
      <c r="J53" s="26"/>
      <c r="K53" s="25">
        <f t="shared" si="3"/>
        <v>0</v>
      </c>
      <c r="L53" s="26">
        <v>0</v>
      </c>
      <c r="M53" s="26">
        <v>0</v>
      </c>
      <c r="N53" s="52"/>
      <c r="O53" s="52"/>
      <c r="P53" s="28"/>
    </row>
    <row r="54" spans="1:25" ht="16.899999999999999" customHeight="1" x14ac:dyDescent="0.25">
      <c r="A54" s="21" t="s">
        <v>57</v>
      </c>
      <c r="B54" s="26"/>
      <c r="C54" s="25">
        <f t="shared" si="1"/>
        <v>41</v>
      </c>
      <c r="D54" s="26">
        <f t="shared" si="4"/>
        <v>26</v>
      </c>
      <c r="E54" s="26">
        <f t="shared" si="2"/>
        <v>15</v>
      </c>
      <c r="F54" s="26"/>
      <c r="G54" s="46">
        <f t="shared" si="5"/>
        <v>41</v>
      </c>
      <c r="H54" s="5">
        <v>26</v>
      </c>
      <c r="I54" s="47">
        <v>15</v>
      </c>
      <c r="J54" s="26"/>
      <c r="K54" s="25">
        <f t="shared" si="3"/>
        <v>0</v>
      </c>
      <c r="L54" s="26">
        <v>0</v>
      </c>
      <c r="M54" s="26">
        <v>0</v>
      </c>
      <c r="N54" s="52"/>
      <c r="O54" s="27"/>
      <c r="P54" s="28"/>
    </row>
    <row r="55" spans="1:25" ht="16.899999999999999" customHeight="1" x14ac:dyDescent="0.25">
      <c r="A55" s="21" t="s">
        <v>58</v>
      </c>
      <c r="B55" s="26"/>
      <c r="C55" s="25">
        <f t="shared" si="1"/>
        <v>41</v>
      </c>
      <c r="D55" s="26">
        <f t="shared" si="4"/>
        <v>38</v>
      </c>
      <c r="E55" s="26">
        <f t="shared" si="2"/>
        <v>3</v>
      </c>
      <c r="F55" s="26"/>
      <c r="G55" s="46">
        <f t="shared" si="5"/>
        <v>41</v>
      </c>
      <c r="H55" s="5">
        <v>38</v>
      </c>
      <c r="I55" s="47">
        <v>3</v>
      </c>
      <c r="J55" s="26"/>
      <c r="K55" s="25">
        <f t="shared" si="3"/>
        <v>0</v>
      </c>
      <c r="L55" s="26">
        <v>0</v>
      </c>
      <c r="M55" s="26">
        <v>0</v>
      </c>
      <c r="N55" s="52"/>
      <c r="O55" s="27"/>
      <c r="P55" s="28"/>
    </row>
    <row r="56" spans="1:25" ht="16.899999999999999" customHeight="1" x14ac:dyDescent="0.25">
      <c r="A56" s="21" t="s">
        <v>59</v>
      </c>
      <c r="B56" s="26"/>
      <c r="C56" s="25">
        <f t="shared" si="1"/>
        <v>10</v>
      </c>
      <c r="D56" s="26">
        <f t="shared" si="4"/>
        <v>10</v>
      </c>
      <c r="E56" s="26">
        <f t="shared" si="2"/>
        <v>0</v>
      </c>
      <c r="F56" s="26"/>
      <c r="G56" s="46">
        <f t="shared" si="5"/>
        <v>10</v>
      </c>
      <c r="H56" s="5">
        <v>10</v>
      </c>
      <c r="I56" s="47">
        <v>0</v>
      </c>
      <c r="J56" s="26"/>
      <c r="K56" s="25">
        <f t="shared" si="3"/>
        <v>0</v>
      </c>
      <c r="L56" s="26">
        <v>0</v>
      </c>
      <c r="M56" s="26">
        <v>0</v>
      </c>
      <c r="N56" s="52"/>
      <c r="O56" s="27"/>
      <c r="P56" s="28"/>
    </row>
    <row r="57" spans="1:25" ht="16.899999999999999" customHeight="1" x14ac:dyDescent="0.25">
      <c r="A57" s="21" t="s">
        <v>60</v>
      </c>
      <c r="B57" s="26"/>
      <c r="C57" s="25">
        <f t="shared" si="1"/>
        <v>3</v>
      </c>
      <c r="D57" s="26">
        <f t="shared" si="4"/>
        <v>2</v>
      </c>
      <c r="E57" s="26">
        <f t="shared" si="2"/>
        <v>1</v>
      </c>
      <c r="F57" s="26"/>
      <c r="G57" s="46">
        <f t="shared" si="5"/>
        <v>3</v>
      </c>
      <c r="H57" s="5">
        <v>2</v>
      </c>
      <c r="I57" s="47">
        <v>1</v>
      </c>
      <c r="J57" s="26"/>
      <c r="K57" s="25">
        <f t="shared" si="3"/>
        <v>0</v>
      </c>
      <c r="L57" s="26">
        <v>0</v>
      </c>
      <c r="M57" s="26">
        <v>0</v>
      </c>
      <c r="N57" s="52"/>
      <c r="O57" s="52"/>
      <c r="P57" s="28"/>
      <c r="X57" s="52"/>
      <c r="Y57" s="62"/>
    </row>
    <row r="58" spans="1:25" ht="16.899999999999999" customHeight="1" x14ac:dyDescent="0.25">
      <c r="A58" s="21" t="s">
        <v>61</v>
      </c>
      <c r="B58" s="26"/>
      <c r="C58" s="25">
        <f t="shared" si="1"/>
        <v>1</v>
      </c>
      <c r="D58" s="26">
        <f t="shared" si="4"/>
        <v>0</v>
      </c>
      <c r="E58" s="26">
        <f t="shared" si="2"/>
        <v>1</v>
      </c>
      <c r="F58" s="26"/>
      <c r="G58" s="46">
        <f t="shared" si="5"/>
        <v>1</v>
      </c>
      <c r="H58" s="5">
        <v>0</v>
      </c>
      <c r="I58" s="47">
        <v>1</v>
      </c>
      <c r="J58" s="26"/>
      <c r="K58" s="25">
        <f t="shared" si="3"/>
        <v>0</v>
      </c>
      <c r="L58" s="26">
        <v>0</v>
      </c>
      <c r="M58" s="26">
        <v>0</v>
      </c>
      <c r="N58" s="52"/>
      <c r="O58" s="52"/>
      <c r="P58" s="28"/>
    </row>
    <row r="59" spans="1:25" ht="16.899999999999999" customHeight="1" x14ac:dyDescent="0.25">
      <c r="A59" s="21" t="s">
        <v>62</v>
      </c>
      <c r="B59" s="26"/>
      <c r="C59" s="25">
        <f t="shared" si="1"/>
        <v>12</v>
      </c>
      <c r="D59" s="26">
        <f t="shared" si="4"/>
        <v>8</v>
      </c>
      <c r="E59" s="26">
        <f t="shared" si="2"/>
        <v>4</v>
      </c>
      <c r="F59" s="26"/>
      <c r="G59" s="46">
        <f t="shared" si="5"/>
        <v>12</v>
      </c>
      <c r="H59" s="5">
        <v>8</v>
      </c>
      <c r="I59" s="47">
        <v>4</v>
      </c>
      <c r="J59" s="26"/>
      <c r="K59" s="25">
        <f t="shared" si="3"/>
        <v>0</v>
      </c>
      <c r="L59" s="26">
        <v>0</v>
      </c>
      <c r="M59" s="26">
        <v>0</v>
      </c>
      <c r="N59" s="52"/>
      <c r="O59" s="27"/>
      <c r="P59" s="28"/>
    </row>
    <row r="60" spans="1:25" ht="16.899999999999999" customHeight="1" x14ac:dyDescent="0.25">
      <c r="A60" s="21" t="s">
        <v>63</v>
      </c>
      <c r="B60" s="26"/>
      <c r="C60" s="25">
        <f t="shared" si="1"/>
        <v>59</v>
      </c>
      <c r="D60" s="26">
        <f t="shared" si="4"/>
        <v>54</v>
      </c>
      <c r="E60" s="26">
        <f t="shared" si="2"/>
        <v>5</v>
      </c>
      <c r="F60" s="26"/>
      <c r="G60" s="46">
        <f t="shared" si="5"/>
        <v>59</v>
      </c>
      <c r="H60" s="5">
        <v>54</v>
      </c>
      <c r="I60" s="47">
        <v>5</v>
      </c>
      <c r="J60" s="26"/>
      <c r="K60" s="25">
        <f t="shared" si="3"/>
        <v>0</v>
      </c>
      <c r="L60" s="26">
        <v>0</v>
      </c>
      <c r="M60" s="26">
        <v>0</v>
      </c>
      <c r="N60" s="52"/>
      <c r="O60" s="27"/>
      <c r="P60" s="28"/>
    </row>
    <row r="61" spans="1:25" ht="16.899999999999999" customHeight="1" x14ac:dyDescent="0.25">
      <c r="A61" s="21" t="s">
        <v>64</v>
      </c>
      <c r="B61" s="26"/>
      <c r="C61" s="25">
        <f t="shared" si="1"/>
        <v>61</v>
      </c>
      <c r="D61" s="26">
        <f t="shared" si="4"/>
        <v>48</v>
      </c>
      <c r="E61" s="26">
        <f t="shared" si="2"/>
        <v>13</v>
      </c>
      <c r="F61" s="26"/>
      <c r="G61" s="46">
        <f t="shared" si="5"/>
        <v>61</v>
      </c>
      <c r="H61" s="5">
        <v>48</v>
      </c>
      <c r="I61" s="47">
        <v>13</v>
      </c>
      <c r="J61" s="26"/>
      <c r="K61" s="25">
        <f t="shared" si="3"/>
        <v>0</v>
      </c>
      <c r="L61" s="26">
        <v>0</v>
      </c>
      <c r="M61" s="26">
        <v>0</v>
      </c>
      <c r="N61" s="52"/>
      <c r="O61" s="27"/>
      <c r="P61" s="28"/>
    </row>
    <row r="62" spans="1:25" ht="16.899999999999999" customHeight="1" x14ac:dyDescent="0.25">
      <c r="A62" s="21" t="s">
        <v>65</v>
      </c>
      <c r="B62" s="26"/>
      <c r="C62" s="25">
        <f t="shared" si="1"/>
        <v>71</v>
      </c>
      <c r="D62" s="26">
        <f t="shared" si="4"/>
        <v>51</v>
      </c>
      <c r="E62" s="26">
        <f t="shared" si="2"/>
        <v>20</v>
      </c>
      <c r="F62" s="26"/>
      <c r="G62" s="46">
        <f t="shared" si="5"/>
        <v>71</v>
      </c>
      <c r="H62" s="5">
        <v>51</v>
      </c>
      <c r="I62" s="47">
        <v>20</v>
      </c>
      <c r="J62" s="26"/>
      <c r="K62" s="25">
        <f t="shared" si="3"/>
        <v>0</v>
      </c>
      <c r="L62" s="26">
        <v>0</v>
      </c>
      <c r="M62" s="26">
        <v>0</v>
      </c>
      <c r="N62" s="52"/>
      <c r="O62" s="27"/>
      <c r="P62" s="28"/>
    </row>
    <row r="63" spans="1:25" ht="16.899999999999999" customHeight="1" x14ac:dyDescent="0.25">
      <c r="A63" s="21" t="s">
        <v>66</v>
      </c>
      <c r="B63" s="26"/>
      <c r="C63" s="25">
        <f t="shared" si="1"/>
        <v>51</v>
      </c>
      <c r="D63" s="26">
        <f t="shared" si="4"/>
        <v>38</v>
      </c>
      <c r="E63" s="26">
        <f t="shared" si="2"/>
        <v>13</v>
      </c>
      <c r="F63" s="26"/>
      <c r="G63" s="46">
        <f t="shared" si="5"/>
        <v>51</v>
      </c>
      <c r="H63" s="5">
        <v>38</v>
      </c>
      <c r="I63" s="47">
        <v>13</v>
      </c>
      <c r="J63" s="26"/>
      <c r="K63" s="25">
        <f t="shared" si="3"/>
        <v>0</v>
      </c>
      <c r="L63" s="26">
        <v>0</v>
      </c>
      <c r="M63" s="26">
        <v>0</v>
      </c>
      <c r="N63" s="52"/>
      <c r="O63" s="27"/>
      <c r="P63" s="28"/>
    </row>
    <row r="64" spans="1:25" ht="16.899999999999999" customHeight="1" x14ac:dyDescent="0.25">
      <c r="A64" s="21" t="s">
        <v>67</v>
      </c>
      <c r="B64" s="26"/>
      <c r="C64" s="25">
        <f t="shared" si="1"/>
        <v>24</v>
      </c>
      <c r="D64" s="26">
        <f t="shared" si="4"/>
        <v>15</v>
      </c>
      <c r="E64" s="26">
        <f t="shared" si="2"/>
        <v>9</v>
      </c>
      <c r="F64" s="26"/>
      <c r="G64" s="46">
        <f t="shared" si="5"/>
        <v>24</v>
      </c>
      <c r="H64" s="5">
        <v>15</v>
      </c>
      <c r="I64" s="47">
        <v>9</v>
      </c>
      <c r="J64" s="26"/>
      <c r="K64" s="25">
        <f t="shared" si="3"/>
        <v>0</v>
      </c>
      <c r="L64" s="26">
        <v>0</v>
      </c>
      <c r="M64" s="26">
        <v>0</v>
      </c>
      <c r="N64" s="52"/>
      <c r="O64" s="27"/>
      <c r="P64" s="28"/>
    </row>
    <row r="65" spans="1:49" ht="16.899999999999999" customHeight="1" x14ac:dyDescent="0.25">
      <c r="A65" s="21" t="s">
        <v>68</v>
      </c>
      <c r="B65" s="26"/>
      <c r="C65" s="25">
        <f t="shared" si="1"/>
        <v>21</v>
      </c>
      <c r="D65" s="26">
        <f t="shared" si="4"/>
        <v>17</v>
      </c>
      <c r="E65" s="26">
        <f t="shared" si="2"/>
        <v>4</v>
      </c>
      <c r="F65" s="26"/>
      <c r="G65" s="46">
        <f t="shared" si="5"/>
        <v>21</v>
      </c>
      <c r="H65" s="5">
        <v>17</v>
      </c>
      <c r="I65" s="47">
        <v>4</v>
      </c>
      <c r="J65" s="26"/>
      <c r="K65" s="25">
        <f t="shared" si="3"/>
        <v>0</v>
      </c>
      <c r="L65" s="26">
        <v>0</v>
      </c>
      <c r="M65" s="26">
        <v>0</v>
      </c>
      <c r="N65" s="52"/>
      <c r="O65" s="27"/>
      <c r="P65" s="28"/>
    </row>
    <row r="66" spans="1:49" ht="16.899999999999999" customHeight="1" x14ac:dyDescent="0.25">
      <c r="A66" s="21" t="s">
        <v>69</v>
      </c>
      <c r="B66" s="26"/>
      <c r="C66" s="25">
        <f t="shared" si="1"/>
        <v>6</v>
      </c>
      <c r="D66" s="26">
        <f t="shared" si="4"/>
        <v>2</v>
      </c>
      <c r="E66" s="26">
        <f t="shared" si="2"/>
        <v>4</v>
      </c>
      <c r="F66" s="26"/>
      <c r="G66" s="46">
        <f t="shared" si="5"/>
        <v>6</v>
      </c>
      <c r="H66" s="5">
        <v>2</v>
      </c>
      <c r="I66" s="47">
        <v>4</v>
      </c>
      <c r="J66" s="26"/>
      <c r="K66" s="25">
        <f t="shared" si="3"/>
        <v>0</v>
      </c>
      <c r="L66" s="26">
        <v>0</v>
      </c>
      <c r="M66" s="26">
        <v>0</v>
      </c>
      <c r="N66" s="52"/>
      <c r="O66" s="27"/>
      <c r="P66" s="28"/>
    </row>
    <row r="67" spans="1:49" ht="16.899999999999999" customHeight="1" x14ac:dyDescent="0.25">
      <c r="A67" s="21" t="s">
        <v>70</v>
      </c>
      <c r="B67" s="26"/>
      <c r="C67" s="25">
        <f t="shared" si="1"/>
        <v>26</v>
      </c>
      <c r="D67" s="26">
        <f t="shared" si="4"/>
        <v>18</v>
      </c>
      <c r="E67" s="26">
        <f t="shared" si="2"/>
        <v>8</v>
      </c>
      <c r="F67" s="26"/>
      <c r="G67" s="46">
        <f t="shared" si="5"/>
        <v>26</v>
      </c>
      <c r="H67" s="5">
        <v>18</v>
      </c>
      <c r="I67" s="47">
        <v>8</v>
      </c>
      <c r="J67" s="26"/>
      <c r="K67" s="25">
        <f t="shared" si="3"/>
        <v>0</v>
      </c>
      <c r="L67" s="26">
        <v>0</v>
      </c>
      <c r="M67" s="26">
        <v>0</v>
      </c>
      <c r="N67" s="52"/>
      <c r="O67" s="27"/>
      <c r="P67" s="28"/>
    </row>
    <row r="68" spans="1:49" ht="16.899999999999999" customHeight="1" x14ac:dyDescent="0.25">
      <c r="A68" s="21" t="s">
        <v>71</v>
      </c>
      <c r="B68" s="26"/>
      <c r="C68" s="25">
        <f t="shared" si="1"/>
        <v>18</v>
      </c>
      <c r="D68" s="26">
        <f t="shared" si="4"/>
        <v>9</v>
      </c>
      <c r="E68" s="26">
        <f t="shared" si="2"/>
        <v>9</v>
      </c>
      <c r="F68" s="26"/>
      <c r="G68" s="46">
        <f t="shared" si="5"/>
        <v>17</v>
      </c>
      <c r="H68" s="5">
        <v>8</v>
      </c>
      <c r="I68" s="47">
        <v>9</v>
      </c>
      <c r="J68" s="26"/>
      <c r="K68" s="25">
        <f t="shared" si="3"/>
        <v>1</v>
      </c>
      <c r="L68" s="26">
        <v>1</v>
      </c>
      <c r="M68" s="26">
        <v>0</v>
      </c>
      <c r="N68" s="52"/>
      <c r="O68" s="27"/>
      <c r="P68" s="28"/>
    </row>
    <row r="69" spans="1:49" ht="16.899999999999999" customHeight="1" x14ac:dyDescent="0.25">
      <c r="A69" s="21" t="s">
        <v>72</v>
      </c>
      <c r="B69" s="26"/>
      <c r="C69" s="25">
        <f t="shared" si="1"/>
        <v>13</v>
      </c>
      <c r="D69" s="26">
        <f t="shared" si="4"/>
        <v>7</v>
      </c>
      <c r="E69" s="26">
        <f t="shared" si="2"/>
        <v>6</v>
      </c>
      <c r="F69" s="26"/>
      <c r="G69" s="46">
        <f t="shared" si="5"/>
        <v>13</v>
      </c>
      <c r="H69" s="5">
        <v>7</v>
      </c>
      <c r="I69" s="47">
        <v>6</v>
      </c>
      <c r="J69" s="26"/>
      <c r="K69" s="25">
        <f t="shared" si="3"/>
        <v>0</v>
      </c>
      <c r="L69" s="26">
        <v>0</v>
      </c>
      <c r="M69" s="26">
        <v>0</v>
      </c>
      <c r="N69" s="52"/>
      <c r="O69" s="27"/>
      <c r="P69" s="28"/>
    </row>
    <row r="70" spans="1:49" ht="16.899999999999999" customHeight="1" x14ac:dyDescent="0.25">
      <c r="A70" s="21" t="s">
        <v>73</v>
      </c>
      <c r="B70" s="26"/>
      <c r="C70" s="25">
        <f t="shared" si="1"/>
        <v>5</v>
      </c>
      <c r="D70" s="26">
        <f t="shared" si="4"/>
        <v>3</v>
      </c>
      <c r="E70" s="26">
        <f t="shared" si="2"/>
        <v>2</v>
      </c>
      <c r="F70" s="26"/>
      <c r="G70" s="46">
        <f t="shared" si="5"/>
        <v>5</v>
      </c>
      <c r="H70" s="5">
        <v>3</v>
      </c>
      <c r="I70" s="47">
        <v>2</v>
      </c>
      <c r="J70" s="26"/>
      <c r="K70" s="25">
        <f t="shared" si="3"/>
        <v>0</v>
      </c>
      <c r="L70" s="26">
        <v>0</v>
      </c>
      <c r="M70" s="26">
        <v>0</v>
      </c>
      <c r="N70" s="52"/>
      <c r="O70" s="27"/>
      <c r="P70" s="28"/>
    </row>
    <row r="71" spans="1:49" ht="16.899999999999999" customHeight="1" x14ac:dyDescent="0.25">
      <c r="A71" s="21" t="s">
        <v>74</v>
      </c>
      <c r="B71" s="26"/>
      <c r="C71" s="25">
        <f t="shared" si="1"/>
        <v>4</v>
      </c>
      <c r="D71" s="26">
        <f t="shared" si="4"/>
        <v>2</v>
      </c>
      <c r="E71" s="26">
        <f t="shared" si="2"/>
        <v>2</v>
      </c>
      <c r="F71" s="26"/>
      <c r="G71" s="46">
        <f t="shared" si="5"/>
        <v>4</v>
      </c>
      <c r="H71" s="5">
        <v>2</v>
      </c>
      <c r="I71" s="47">
        <v>2</v>
      </c>
      <c r="J71" s="26"/>
      <c r="K71" s="25">
        <f t="shared" si="3"/>
        <v>0</v>
      </c>
      <c r="L71" s="26">
        <v>0</v>
      </c>
      <c r="M71" s="26">
        <v>0</v>
      </c>
      <c r="N71" s="52"/>
      <c r="O71" s="27"/>
      <c r="P71" s="28"/>
    </row>
    <row r="72" spans="1:49" ht="16.899999999999999" customHeight="1" x14ac:dyDescent="0.25">
      <c r="A72" s="21" t="s">
        <v>75</v>
      </c>
      <c r="B72" s="26"/>
      <c r="C72" s="25">
        <f t="shared" si="1"/>
        <v>12</v>
      </c>
      <c r="D72" s="26">
        <f t="shared" si="4"/>
        <v>9</v>
      </c>
      <c r="E72" s="26">
        <f t="shared" si="2"/>
        <v>3</v>
      </c>
      <c r="F72" s="26"/>
      <c r="G72" s="46">
        <f t="shared" si="5"/>
        <v>12</v>
      </c>
      <c r="H72" s="5">
        <v>9</v>
      </c>
      <c r="I72" s="47">
        <v>3</v>
      </c>
      <c r="J72" s="26"/>
      <c r="K72" s="25">
        <f t="shared" si="3"/>
        <v>0</v>
      </c>
      <c r="L72" s="26">
        <v>0</v>
      </c>
      <c r="M72" s="26">
        <v>0</v>
      </c>
      <c r="N72" s="52"/>
      <c r="O72" s="27"/>
      <c r="P72" s="28"/>
      <c r="AU72" s="13"/>
      <c r="AV72" s="17"/>
      <c r="AW72" s="16"/>
    </row>
    <row r="73" spans="1:49" ht="16.899999999999999" customHeight="1" x14ac:dyDescent="0.25">
      <c r="A73" s="21" t="s">
        <v>76</v>
      </c>
      <c r="B73" s="26"/>
      <c r="C73" s="25">
        <f t="shared" si="1"/>
        <v>12</v>
      </c>
      <c r="D73" s="26">
        <f t="shared" si="4"/>
        <v>7</v>
      </c>
      <c r="E73" s="26">
        <f t="shared" si="2"/>
        <v>5</v>
      </c>
      <c r="F73" s="26"/>
      <c r="G73" s="46">
        <f t="shared" si="5"/>
        <v>12</v>
      </c>
      <c r="H73" s="5">
        <v>7</v>
      </c>
      <c r="I73" s="47">
        <v>5</v>
      </c>
      <c r="J73" s="26"/>
      <c r="K73" s="25">
        <f t="shared" si="3"/>
        <v>0</v>
      </c>
      <c r="L73" s="26">
        <v>0</v>
      </c>
      <c r="M73" s="26">
        <v>0</v>
      </c>
      <c r="N73" s="52"/>
      <c r="O73" s="27"/>
      <c r="P73" s="28"/>
      <c r="X73" s="52"/>
      <c r="Y73" s="62"/>
      <c r="AU73" s="13"/>
    </row>
    <row r="74" spans="1:49" ht="16.899999999999999" customHeight="1" x14ac:dyDescent="0.25">
      <c r="A74" s="21" t="s">
        <v>77</v>
      </c>
      <c r="B74" s="26"/>
      <c r="C74" s="25">
        <f t="shared" si="1"/>
        <v>13</v>
      </c>
      <c r="D74" s="26">
        <f t="shared" si="4"/>
        <v>11</v>
      </c>
      <c r="E74" s="26">
        <f t="shared" si="2"/>
        <v>2</v>
      </c>
      <c r="F74" s="26"/>
      <c r="G74" s="46">
        <f t="shared" si="5"/>
        <v>13</v>
      </c>
      <c r="H74" s="5">
        <v>11</v>
      </c>
      <c r="I74" s="47">
        <v>2</v>
      </c>
      <c r="J74" s="26"/>
      <c r="K74" s="25">
        <f t="shared" ref="K74:K99" si="15">SUM(L74:M74)</f>
        <v>0</v>
      </c>
      <c r="L74" s="26">
        <v>0</v>
      </c>
      <c r="M74" s="26">
        <v>0</v>
      </c>
      <c r="N74" s="52"/>
      <c r="O74" s="27"/>
      <c r="P74" s="28"/>
      <c r="AU74" s="13"/>
    </row>
    <row r="75" spans="1:49" ht="16.899999999999999" customHeight="1" x14ac:dyDescent="0.25">
      <c r="A75" s="21" t="s">
        <v>78</v>
      </c>
      <c r="B75" s="26"/>
      <c r="C75" s="25">
        <f t="shared" si="1"/>
        <v>10</v>
      </c>
      <c r="D75" s="26">
        <f t="shared" si="4"/>
        <v>5</v>
      </c>
      <c r="E75" s="26">
        <f t="shared" si="2"/>
        <v>5</v>
      </c>
      <c r="F75" s="26"/>
      <c r="G75" s="46">
        <f t="shared" si="5"/>
        <v>10</v>
      </c>
      <c r="H75" s="5">
        <v>5</v>
      </c>
      <c r="I75" s="47">
        <v>5</v>
      </c>
      <c r="J75" s="26"/>
      <c r="K75" s="25">
        <f t="shared" si="15"/>
        <v>0</v>
      </c>
      <c r="L75" s="26">
        <v>0</v>
      </c>
      <c r="M75" s="26">
        <v>0</v>
      </c>
      <c r="N75" s="52"/>
      <c r="O75" s="27"/>
      <c r="P75" s="28"/>
      <c r="AU75" s="13"/>
    </row>
    <row r="76" spans="1:49" ht="16.899999999999999" customHeight="1" x14ac:dyDescent="0.25">
      <c r="A76" s="21" t="s">
        <v>79</v>
      </c>
      <c r="B76" s="26"/>
      <c r="C76" s="25">
        <f t="shared" si="1"/>
        <v>58</v>
      </c>
      <c r="D76" s="26">
        <f t="shared" si="4"/>
        <v>23</v>
      </c>
      <c r="E76" s="26">
        <f t="shared" si="2"/>
        <v>35</v>
      </c>
      <c r="F76" s="26"/>
      <c r="G76" s="46">
        <f t="shared" si="5"/>
        <v>45</v>
      </c>
      <c r="H76" s="5">
        <v>19</v>
      </c>
      <c r="I76" s="47">
        <v>26</v>
      </c>
      <c r="J76" s="26"/>
      <c r="K76" s="25">
        <f t="shared" si="15"/>
        <v>13</v>
      </c>
      <c r="L76" s="26">
        <v>4</v>
      </c>
      <c r="M76" s="26">
        <v>9</v>
      </c>
      <c r="N76" s="52"/>
      <c r="O76" s="27"/>
      <c r="P76" s="28"/>
      <c r="X76" s="52"/>
      <c r="Y76" s="62"/>
      <c r="AU76" s="13"/>
    </row>
    <row r="77" spans="1:49" ht="16.899999999999999" customHeight="1" x14ac:dyDescent="0.25">
      <c r="A77" s="21" t="s">
        <v>80</v>
      </c>
      <c r="B77" s="26"/>
      <c r="C77" s="25">
        <f t="shared" ref="C77:C99" si="16">G77+K77</f>
        <v>63</v>
      </c>
      <c r="D77" s="26">
        <f t="shared" ref="D77:D99" si="17">H77+L77</f>
        <v>12</v>
      </c>
      <c r="E77" s="26">
        <f t="shared" ref="E77:E99" si="18">I77+M77</f>
        <v>51</v>
      </c>
      <c r="F77" s="26"/>
      <c r="G77" s="46">
        <f t="shared" si="5"/>
        <v>4</v>
      </c>
      <c r="H77" s="5">
        <v>2</v>
      </c>
      <c r="I77" s="47">
        <v>2</v>
      </c>
      <c r="J77" s="26"/>
      <c r="K77" s="25">
        <f t="shared" si="15"/>
        <v>59</v>
      </c>
      <c r="L77" s="26">
        <v>10</v>
      </c>
      <c r="M77" s="26">
        <v>49</v>
      </c>
      <c r="N77" s="52"/>
      <c r="O77" s="27"/>
      <c r="P77" s="28"/>
      <c r="X77" s="52"/>
      <c r="Y77" s="62"/>
      <c r="AU77" s="13"/>
    </row>
    <row r="78" spans="1:49" ht="16.899999999999999" customHeight="1" x14ac:dyDescent="0.25">
      <c r="A78" s="21" t="s">
        <v>81</v>
      </c>
      <c r="B78" s="26"/>
      <c r="C78" s="25">
        <f t="shared" si="16"/>
        <v>22</v>
      </c>
      <c r="D78" s="26">
        <f t="shared" si="17"/>
        <v>9</v>
      </c>
      <c r="E78" s="26">
        <f t="shared" si="18"/>
        <v>13</v>
      </c>
      <c r="F78" s="26"/>
      <c r="G78" s="46">
        <f t="shared" ref="G78:G99" si="19">H78+I78</f>
        <v>1</v>
      </c>
      <c r="H78" s="5">
        <v>1</v>
      </c>
      <c r="I78" s="47">
        <v>0</v>
      </c>
      <c r="J78" s="26"/>
      <c r="K78" s="25">
        <f t="shared" si="15"/>
        <v>21</v>
      </c>
      <c r="L78" s="26">
        <v>8</v>
      </c>
      <c r="M78" s="26">
        <v>13</v>
      </c>
      <c r="N78" s="52"/>
      <c r="O78" s="27"/>
      <c r="P78" s="28"/>
      <c r="X78" s="52"/>
      <c r="Y78" s="62"/>
      <c r="AU78" s="13"/>
    </row>
    <row r="79" spans="1:49" s="52" customFormat="1" x14ac:dyDescent="0.25">
      <c r="A79" s="21" t="s">
        <v>82</v>
      </c>
      <c r="B79" s="26"/>
      <c r="C79" s="25">
        <f t="shared" si="16"/>
        <v>40</v>
      </c>
      <c r="D79" s="26">
        <f t="shared" si="17"/>
        <v>17</v>
      </c>
      <c r="E79" s="26">
        <f t="shared" si="18"/>
        <v>23</v>
      </c>
      <c r="F79" s="26"/>
      <c r="G79" s="46">
        <f t="shared" si="19"/>
        <v>11</v>
      </c>
      <c r="H79" s="5">
        <v>4</v>
      </c>
      <c r="I79" s="47">
        <v>7</v>
      </c>
      <c r="J79" s="26"/>
      <c r="K79" s="25">
        <f t="shared" si="15"/>
        <v>29</v>
      </c>
      <c r="L79" s="26">
        <v>13</v>
      </c>
      <c r="M79" s="26">
        <v>16</v>
      </c>
      <c r="O79" s="27"/>
      <c r="P79" s="28"/>
      <c r="X79" s="10"/>
      <c r="Y79" s="50"/>
      <c r="AU79" s="13"/>
      <c r="AV79" s="10"/>
      <c r="AW79" s="10"/>
    </row>
    <row r="80" spans="1:49" x14ac:dyDescent="0.25">
      <c r="A80" s="21" t="s">
        <v>83</v>
      </c>
      <c r="B80" s="26"/>
      <c r="C80" s="25">
        <f t="shared" si="16"/>
        <v>365</v>
      </c>
      <c r="D80" s="26">
        <f t="shared" si="17"/>
        <v>210</v>
      </c>
      <c r="E80" s="26">
        <f t="shared" si="18"/>
        <v>155</v>
      </c>
      <c r="F80" s="26"/>
      <c r="G80" s="46">
        <f t="shared" si="19"/>
        <v>228</v>
      </c>
      <c r="H80" s="5">
        <v>91</v>
      </c>
      <c r="I80" s="47">
        <v>137</v>
      </c>
      <c r="J80" s="26"/>
      <c r="K80" s="25">
        <f t="shared" si="15"/>
        <v>137</v>
      </c>
      <c r="L80" s="26">
        <v>119</v>
      </c>
      <c r="M80" s="26">
        <v>18</v>
      </c>
      <c r="N80" s="52"/>
      <c r="O80" s="27"/>
      <c r="P80" s="28"/>
    </row>
    <row r="81" spans="1:50" x14ac:dyDescent="0.25">
      <c r="A81" s="21" t="s">
        <v>84</v>
      </c>
      <c r="B81" s="26"/>
      <c r="C81" s="25">
        <f t="shared" si="16"/>
        <v>30</v>
      </c>
      <c r="D81" s="26">
        <f t="shared" si="17"/>
        <v>21</v>
      </c>
      <c r="E81" s="26">
        <f t="shared" si="18"/>
        <v>9</v>
      </c>
      <c r="F81" s="26"/>
      <c r="G81" s="46">
        <f t="shared" si="19"/>
        <v>16</v>
      </c>
      <c r="H81" s="5">
        <v>11</v>
      </c>
      <c r="I81" s="47">
        <v>5</v>
      </c>
      <c r="J81" s="26"/>
      <c r="K81" s="25">
        <f t="shared" si="15"/>
        <v>14</v>
      </c>
      <c r="L81" s="26">
        <v>10</v>
      </c>
      <c r="M81" s="26">
        <v>4</v>
      </c>
      <c r="N81" s="52"/>
      <c r="O81" s="27"/>
      <c r="P81" s="28"/>
      <c r="X81" s="52"/>
      <c r="Y81" s="62"/>
      <c r="AU81" s="23"/>
    </row>
    <row r="82" spans="1:50" x14ac:dyDescent="0.25">
      <c r="A82" s="21" t="s">
        <v>85</v>
      </c>
      <c r="B82" s="26"/>
      <c r="C82" s="25">
        <f t="shared" si="16"/>
        <v>44</v>
      </c>
      <c r="D82" s="26">
        <f t="shared" si="17"/>
        <v>24</v>
      </c>
      <c r="E82" s="26">
        <f t="shared" si="18"/>
        <v>20</v>
      </c>
      <c r="F82" s="26"/>
      <c r="G82" s="46">
        <f t="shared" si="19"/>
        <v>42</v>
      </c>
      <c r="H82" s="5">
        <v>23</v>
      </c>
      <c r="I82" s="47">
        <v>19</v>
      </c>
      <c r="J82" s="26"/>
      <c r="K82" s="25">
        <f t="shared" si="15"/>
        <v>2</v>
      </c>
      <c r="L82" s="26">
        <v>1</v>
      </c>
      <c r="M82" s="26">
        <v>1</v>
      </c>
      <c r="N82" s="52"/>
      <c r="O82" s="27"/>
      <c r="P82" s="28"/>
      <c r="AU82" s="13"/>
    </row>
    <row r="83" spans="1:50" x14ac:dyDescent="0.25">
      <c r="A83" s="21" t="s">
        <v>86</v>
      </c>
      <c r="B83" s="26"/>
      <c r="C83" s="25">
        <f t="shared" si="16"/>
        <v>8</v>
      </c>
      <c r="D83" s="26">
        <f t="shared" si="17"/>
        <v>6</v>
      </c>
      <c r="E83" s="26">
        <f t="shared" si="18"/>
        <v>2</v>
      </c>
      <c r="F83" s="26"/>
      <c r="G83" s="46">
        <f t="shared" si="19"/>
        <v>8</v>
      </c>
      <c r="H83" s="5">
        <v>6</v>
      </c>
      <c r="I83" s="47">
        <v>2</v>
      </c>
      <c r="J83" s="26"/>
      <c r="K83" s="25">
        <f t="shared" si="15"/>
        <v>0</v>
      </c>
      <c r="L83" s="26">
        <v>0</v>
      </c>
      <c r="M83" s="26">
        <v>0</v>
      </c>
      <c r="N83" s="52"/>
      <c r="O83" s="27"/>
      <c r="P83" s="28"/>
      <c r="AT83" s="2"/>
      <c r="AU83" s="24"/>
      <c r="AV83" s="13"/>
      <c r="AW83" s="13"/>
    </row>
    <row r="84" spans="1:50" x14ac:dyDescent="0.25">
      <c r="A84" s="21" t="s">
        <v>87</v>
      </c>
      <c r="B84" s="26"/>
      <c r="C84" s="25">
        <f t="shared" si="16"/>
        <v>64</v>
      </c>
      <c r="D84" s="26">
        <f t="shared" si="17"/>
        <v>43</v>
      </c>
      <c r="E84" s="26">
        <f t="shared" si="18"/>
        <v>21</v>
      </c>
      <c r="F84" s="26"/>
      <c r="G84" s="46">
        <f t="shared" si="19"/>
        <v>53</v>
      </c>
      <c r="H84" s="5">
        <v>33</v>
      </c>
      <c r="I84" s="47">
        <v>20</v>
      </c>
      <c r="J84" s="26"/>
      <c r="K84" s="25">
        <f t="shared" si="15"/>
        <v>11</v>
      </c>
      <c r="L84" s="26">
        <v>10</v>
      </c>
      <c r="M84" s="26">
        <v>1</v>
      </c>
      <c r="N84" s="52"/>
      <c r="O84" s="27"/>
      <c r="P84" s="28"/>
      <c r="Q84" s="52"/>
      <c r="R84" s="52"/>
      <c r="S84" s="52"/>
      <c r="T84" s="52"/>
      <c r="U84" s="52"/>
      <c r="V84" s="52"/>
      <c r="W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</row>
    <row r="85" spans="1:50" x14ac:dyDescent="0.25">
      <c r="A85" s="21" t="s">
        <v>88</v>
      </c>
      <c r="B85" s="26"/>
      <c r="C85" s="25">
        <f t="shared" si="16"/>
        <v>8</v>
      </c>
      <c r="D85" s="26">
        <f t="shared" si="17"/>
        <v>7</v>
      </c>
      <c r="E85" s="26">
        <f t="shared" si="18"/>
        <v>1</v>
      </c>
      <c r="F85" s="26"/>
      <c r="G85" s="46">
        <f t="shared" si="19"/>
        <v>8</v>
      </c>
      <c r="H85" s="5">
        <v>7</v>
      </c>
      <c r="I85" s="47">
        <v>1</v>
      </c>
      <c r="J85" s="26"/>
      <c r="K85" s="25">
        <f t="shared" si="15"/>
        <v>0</v>
      </c>
      <c r="L85" s="26">
        <v>0</v>
      </c>
      <c r="M85" s="26">
        <v>0</v>
      </c>
      <c r="N85" s="52"/>
      <c r="O85" s="27"/>
      <c r="P85" s="28"/>
      <c r="Q85" s="52"/>
      <c r="R85" s="52"/>
      <c r="S85" s="52"/>
      <c r="T85" s="52"/>
      <c r="U85" s="52"/>
      <c r="V85" s="52"/>
      <c r="W85" s="52"/>
      <c r="X85" s="52"/>
      <c r="Y85" s="6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</row>
    <row r="86" spans="1:50" x14ac:dyDescent="0.25">
      <c r="A86" s="21" t="s">
        <v>89</v>
      </c>
      <c r="B86" s="26"/>
      <c r="C86" s="25">
        <f t="shared" si="16"/>
        <v>1</v>
      </c>
      <c r="D86" s="26">
        <f t="shared" si="17"/>
        <v>1</v>
      </c>
      <c r="E86" s="26">
        <f t="shared" si="18"/>
        <v>0</v>
      </c>
      <c r="F86" s="26"/>
      <c r="G86" s="46">
        <f t="shared" si="19"/>
        <v>1</v>
      </c>
      <c r="H86" s="5">
        <v>1</v>
      </c>
      <c r="I86" s="47">
        <v>0</v>
      </c>
      <c r="J86" s="26"/>
      <c r="K86" s="25">
        <f t="shared" si="15"/>
        <v>0</v>
      </c>
      <c r="L86" s="26">
        <v>0</v>
      </c>
      <c r="M86" s="26">
        <v>0</v>
      </c>
      <c r="N86" s="52"/>
      <c r="O86" s="52"/>
      <c r="P86" s="28"/>
      <c r="Q86" s="52"/>
      <c r="R86" s="52"/>
      <c r="S86" s="52"/>
      <c r="T86" s="52"/>
      <c r="U86" s="52"/>
      <c r="V86" s="52"/>
      <c r="W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</row>
    <row r="87" spans="1:50" x14ac:dyDescent="0.25">
      <c r="A87" s="21" t="s">
        <v>90</v>
      </c>
      <c r="B87" s="26"/>
      <c r="C87" s="25">
        <f t="shared" si="16"/>
        <v>411</v>
      </c>
      <c r="D87" s="26">
        <f t="shared" si="17"/>
        <v>165</v>
      </c>
      <c r="E87" s="26">
        <f t="shared" si="18"/>
        <v>246</v>
      </c>
      <c r="F87" s="26"/>
      <c r="G87" s="46">
        <f t="shared" si="19"/>
        <v>178</v>
      </c>
      <c r="H87" s="5">
        <v>91</v>
      </c>
      <c r="I87" s="47">
        <v>87</v>
      </c>
      <c r="J87" s="26"/>
      <c r="K87" s="25">
        <f t="shared" si="15"/>
        <v>233</v>
      </c>
      <c r="L87" s="26">
        <v>74</v>
      </c>
      <c r="M87" s="26">
        <v>159</v>
      </c>
      <c r="N87" s="52"/>
      <c r="O87" s="52"/>
      <c r="P87" s="28"/>
      <c r="Q87" s="52"/>
      <c r="R87" s="52"/>
      <c r="S87" s="52"/>
      <c r="T87" s="52"/>
      <c r="U87" s="52"/>
      <c r="V87" s="52"/>
      <c r="W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25"/>
    </row>
    <row r="88" spans="1:50" x14ac:dyDescent="0.25">
      <c r="A88" s="21" t="s">
        <v>91</v>
      </c>
      <c r="B88" s="26"/>
      <c r="C88" s="25">
        <f t="shared" si="16"/>
        <v>814</v>
      </c>
      <c r="D88" s="26">
        <f t="shared" si="17"/>
        <v>261</v>
      </c>
      <c r="E88" s="26">
        <f t="shared" si="18"/>
        <v>553</v>
      </c>
      <c r="F88" s="26"/>
      <c r="G88" s="46">
        <f t="shared" si="19"/>
        <v>227</v>
      </c>
      <c r="H88" s="5">
        <v>68</v>
      </c>
      <c r="I88" s="47">
        <v>159</v>
      </c>
      <c r="J88" s="26"/>
      <c r="K88" s="25">
        <f t="shared" si="15"/>
        <v>587</v>
      </c>
      <c r="L88" s="26">
        <v>193</v>
      </c>
      <c r="M88" s="26">
        <v>394</v>
      </c>
      <c r="N88" s="52"/>
      <c r="O88" s="52"/>
      <c r="P88" s="28"/>
      <c r="Q88" s="52"/>
      <c r="R88" s="52"/>
      <c r="S88" s="52"/>
      <c r="T88" s="52"/>
      <c r="U88" s="52"/>
      <c r="V88" s="52"/>
      <c r="W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25"/>
    </row>
    <row r="89" spans="1:50" x14ac:dyDescent="0.25">
      <c r="A89" s="21" t="s">
        <v>92</v>
      </c>
      <c r="B89" s="26"/>
      <c r="C89" s="25">
        <f t="shared" si="16"/>
        <v>3479</v>
      </c>
      <c r="D89" s="26">
        <f t="shared" si="17"/>
        <v>1320</v>
      </c>
      <c r="E89" s="26">
        <f t="shared" si="18"/>
        <v>2159</v>
      </c>
      <c r="F89" s="26"/>
      <c r="G89" s="46">
        <f t="shared" si="19"/>
        <v>1253</v>
      </c>
      <c r="H89" s="5">
        <v>518</v>
      </c>
      <c r="I89" s="47">
        <v>735</v>
      </c>
      <c r="J89" s="26"/>
      <c r="K89" s="25">
        <f t="shared" si="15"/>
        <v>2226</v>
      </c>
      <c r="L89" s="26">
        <v>802</v>
      </c>
      <c r="M89" s="26">
        <v>1424</v>
      </c>
      <c r="N89" s="52"/>
      <c r="O89" s="52"/>
      <c r="P89" s="28"/>
      <c r="Q89" s="52"/>
      <c r="R89" s="52"/>
      <c r="S89" s="52"/>
      <c r="T89" s="52"/>
      <c r="U89" s="52"/>
      <c r="V89" s="52"/>
      <c r="W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25"/>
    </row>
    <row r="90" spans="1:50" x14ac:dyDescent="0.25">
      <c r="A90" s="21" t="s">
        <v>93</v>
      </c>
      <c r="B90" s="26"/>
      <c r="C90" s="25">
        <f t="shared" si="16"/>
        <v>1851</v>
      </c>
      <c r="D90" s="26">
        <f t="shared" si="17"/>
        <v>504</v>
      </c>
      <c r="E90" s="26">
        <f t="shared" si="18"/>
        <v>1347</v>
      </c>
      <c r="F90" s="26"/>
      <c r="G90" s="46">
        <f t="shared" si="19"/>
        <v>681</v>
      </c>
      <c r="H90" s="5">
        <v>257</v>
      </c>
      <c r="I90" s="47">
        <v>424</v>
      </c>
      <c r="J90" s="26"/>
      <c r="K90" s="25">
        <f t="shared" si="15"/>
        <v>1170</v>
      </c>
      <c r="L90" s="26">
        <v>247</v>
      </c>
      <c r="M90" s="26">
        <v>923</v>
      </c>
      <c r="N90" s="52"/>
      <c r="O90" s="27"/>
      <c r="P90" s="28"/>
      <c r="Q90" s="52"/>
      <c r="R90" s="52"/>
      <c r="S90" s="52"/>
      <c r="T90" s="52"/>
      <c r="U90" s="52"/>
      <c r="V90" s="52"/>
      <c r="W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25"/>
    </row>
    <row r="91" spans="1:50" x14ac:dyDescent="0.25">
      <c r="A91" s="21" t="s">
        <v>94</v>
      </c>
      <c r="B91" s="26"/>
      <c r="C91" s="25">
        <f t="shared" si="16"/>
        <v>1711</v>
      </c>
      <c r="D91" s="26">
        <f t="shared" si="17"/>
        <v>540</v>
      </c>
      <c r="E91" s="26">
        <f t="shared" si="18"/>
        <v>1171</v>
      </c>
      <c r="F91" s="26"/>
      <c r="G91" s="46">
        <f t="shared" si="19"/>
        <v>828</v>
      </c>
      <c r="H91" s="5">
        <v>284</v>
      </c>
      <c r="I91" s="47">
        <v>544</v>
      </c>
      <c r="J91" s="26"/>
      <c r="K91" s="25">
        <f t="shared" si="15"/>
        <v>883</v>
      </c>
      <c r="L91" s="26">
        <v>256</v>
      </c>
      <c r="M91" s="26">
        <v>627</v>
      </c>
      <c r="N91" s="52"/>
      <c r="O91" s="27"/>
      <c r="P91" s="28"/>
      <c r="Q91" s="52"/>
      <c r="R91" s="52"/>
      <c r="S91" s="52"/>
      <c r="T91" s="52"/>
      <c r="U91" s="52"/>
      <c r="V91" s="52"/>
      <c r="W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25"/>
    </row>
    <row r="92" spans="1:50" s="16" customFormat="1" ht="18.600000000000001" customHeight="1" x14ac:dyDescent="0.25">
      <c r="A92" s="21" t="s">
        <v>95</v>
      </c>
      <c r="B92" s="26"/>
      <c r="C92" s="25">
        <f t="shared" si="16"/>
        <v>942</v>
      </c>
      <c r="D92" s="26">
        <f t="shared" si="17"/>
        <v>382</v>
      </c>
      <c r="E92" s="26">
        <f t="shared" si="18"/>
        <v>560</v>
      </c>
      <c r="F92" s="26"/>
      <c r="G92" s="46">
        <f t="shared" si="19"/>
        <v>600</v>
      </c>
      <c r="H92" s="5">
        <v>186</v>
      </c>
      <c r="I92" s="47">
        <v>414</v>
      </c>
      <c r="J92" s="26"/>
      <c r="K92" s="25">
        <f t="shared" si="15"/>
        <v>342</v>
      </c>
      <c r="L92" s="26">
        <v>196</v>
      </c>
      <c r="M92" s="26">
        <v>146</v>
      </c>
      <c r="N92" s="52"/>
      <c r="O92" s="27"/>
      <c r="P92" s="28"/>
      <c r="Q92" s="52"/>
      <c r="R92" s="52"/>
      <c r="S92" s="52"/>
      <c r="T92" s="52"/>
      <c r="U92" s="52"/>
      <c r="V92" s="52"/>
      <c r="W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25"/>
    </row>
    <row r="93" spans="1:50" ht="15" customHeight="1" x14ac:dyDescent="0.25">
      <c r="A93" s="21" t="s">
        <v>96</v>
      </c>
      <c r="B93" s="26"/>
      <c r="C93" s="25">
        <f t="shared" si="16"/>
        <v>811</v>
      </c>
      <c r="D93" s="26">
        <f t="shared" si="17"/>
        <v>484</v>
      </c>
      <c r="E93" s="26">
        <f t="shared" si="18"/>
        <v>327</v>
      </c>
      <c r="F93" s="26"/>
      <c r="G93" s="46">
        <f t="shared" si="19"/>
        <v>457</v>
      </c>
      <c r="H93" s="5">
        <v>205</v>
      </c>
      <c r="I93" s="47">
        <v>252</v>
      </c>
      <c r="J93" s="26"/>
      <c r="K93" s="25">
        <f t="shared" si="15"/>
        <v>354</v>
      </c>
      <c r="L93" s="26">
        <v>279</v>
      </c>
      <c r="M93" s="26">
        <v>75</v>
      </c>
      <c r="N93" s="52"/>
      <c r="O93" s="27"/>
      <c r="P93" s="28"/>
      <c r="Q93" s="52"/>
      <c r="R93" s="52"/>
      <c r="S93" s="52"/>
      <c r="T93" s="52"/>
      <c r="U93" s="52"/>
      <c r="V93" s="52"/>
      <c r="W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25"/>
    </row>
    <row r="94" spans="1:50" x14ac:dyDescent="0.25">
      <c r="A94" s="21" t="s">
        <v>97</v>
      </c>
      <c r="B94" s="26"/>
      <c r="C94" s="25">
        <f t="shared" si="16"/>
        <v>151</v>
      </c>
      <c r="D94" s="26">
        <f t="shared" si="17"/>
        <v>93</v>
      </c>
      <c r="E94" s="26">
        <f t="shared" si="18"/>
        <v>58</v>
      </c>
      <c r="F94" s="26"/>
      <c r="G94" s="46">
        <f t="shared" si="19"/>
        <v>92</v>
      </c>
      <c r="H94" s="5">
        <v>40</v>
      </c>
      <c r="I94" s="47">
        <v>52</v>
      </c>
      <c r="J94" s="26"/>
      <c r="K94" s="25">
        <f t="shared" si="15"/>
        <v>59</v>
      </c>
      <c r="L94" s="26">
        <v>53</v>
      </c>
      <c r="M94" s="26">
        <v>6</v>
      </c>
      <c r="N94" s="52"/>
      <c r="O94" s="27"/>
      <c r="P94" s="28"/>
      <c r="Q94" s="52"/>
      <c r="R94" s="52"/>
      <c r="S94" s="52"/>
      <c r="T94" s="52"/>
      <c r="U94" s="52"/>
      <c r="V94" s="52"/>
      <c r="W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25"/>
    </row>
    <row r="95" spans="1:50" x14ac:dyDescent="0.25">
      <c r="A95" s="21" t="s">
        <v>98</v>
      </c>
      <c r="B95" s="26"/>
      <c r="C95" s="25">
        <f t="shared" si="16"/>
        <v>3588</v>
      </c>
      <c r="D95" s="26">
        <f t="shared" si="17"/>
        <v>1701</v>
      </c>
      <c r="E95" s="26">
        <f t="shared" si="18"/>
        <v>1887</v>
      </c>
      <c r="F95" s="26"/>
      <c r="G95" s="46">
        <f t="shared" si="19"/>
        <v>1435</v>
      </c>
      <c r="H95" s="5">
        <v>871</v>
      </c>
      <c r="I95" s="47">
        <v>564</v>
      </c>
      <c r="J95" s="26"/>
      <c r="K95" s="25">
        <f t="shared" si="15"/>
        <v>2153</v>
      </c>
      <c r="L95" s="26">
        <v>830</v>
      </c>
      <c r="M95" s="26">
        <v>1323</v>
      </c>
      <c r="N95" s="52"/>
      <c r="O95" s="27"/>
      <c r="P95" s="28"/>
      <c r="Q95" s="52"/>
      <c r="R95" s="52"/>
      <c r="S95" s="52"/>
      <c r="T95" s="52"/>
      <c r="U95" s="52"/>
      <c r="V95" s="52"/>
      <c r="W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25"/>
    </row>
    <row r="96" spans="1:50" x14ac:dyDescent="0.25">
      <c r="A96" s="21" t="s">
        <v>99</v>
      </c>
      <c r="B96" s="26"/>
      <c r="C96" s="25">
        <f t="shared" si="16"/>
        <v>1784</v>
      </c>
      <c r="D96" s="26">
        <f t="shared" si="17"/>
        <v>1004</v>
      </c>
      <c r="E96" s="26">
        <f t="shared" si="18"/>
        <v>780</v>
      </c>
      <c r="F96" s="26"/>
      <c r="G96" s="46">
        <f t="shared" si="19"/>
        <v>581</v>
      </c>
      <c r="H96" s="5">
        <v>359</v>
      </c>
      <c r="I96" s="47">
        <v>222</v>
      </c>
      <c r="J96" s="26"/>
      <c r="K96" s="25">
        <f t="shared" si="15"/>
        <v>1203</v>
      </c>
      <c r="L96" s="26">
        <v>645</v>
      </c>
      <c r="M96" s="26">
        <v>558</v>
      </c>
      <c r="N96" s="52"/>
      <c r="O96" s="27"/>
      <c r="P96" s="28"/>
      <c r="Q96" s="52"/>
      <c r="R96" s="52"/>
      <c r="S96" s="52"/>
      <c r="T96" s="52"/>
      <c r="U96" s="52"/>
      <c r="V96" s="52"/>
      <c r="W96" s="52"/>
      <c r="X96" s="52"/>
      <c r="Y96" s="6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25"/>
    </row>
    <row r="97" spans="1:53" x14ac:dyDescent="0.25">
      <c r="A97" s="21" t="s">
        <v>100</v>
      </c>
      <c r="B97" s="26"/>
      <c r="C97" s="25">
        <f t="shared" si="16"/>
        <v>341</v>
      </c>
      <c r="D97" s="26">
        <f t="shared" si="17"/>
        <v>157</v>
      </c>
      <c r="E97" s="26">
        <f t="shared" si="18"/>
        <v>184</v>
      </c>
      <c r="F97" s="26"/>
      <c r="G97" s="46">
        <f t="shared" si="19"/>
        <v>89</v>
      </c>
      <c r="H97" s="5">
        <v>56</v>
      </c>
      <c r="I97" s="47">
        <v>33</v>
      </c>
      <c r="J97" s="26"/>
      <c r="K97" s="25">
        <f t="shared" si="15"/>
        <v>252</v>
      </c>
      <c r="L97" s="26">
        <v>101</v>
      </c>
      <c r="M97" s="26">
        <v>151</v>
      </c>
      <c r="N97" s="52"/>
      <c r="O97" s="27"/>
      <c r="P97" s="28"/>
      <c r="Q97" s="52"/>
      <c r="R97" s="52"/>
      <c r="S97" s="52"/>
      <c r="T97" s="52"/>
      <c r="U97" s="52"/>
      <c r="V97" s="52"/>
      <c r="W97" s="52"/>
      <c r="X97" s="52"/>
      <c r="Y97" s="6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13"/>
      <c r="AV97" s="17"/>
      <c r="AW97" s="16"/>
      <c r="AX97" s="25"/>
      <c r="AZ97" s="21"/>
      <c r="BA97" s="25"/>
    </row>
    <row r="98" spans="1:53" x14ac:dyDescent="0.25">
      <c r="A98" s="21" t="s">
        <v>101</v>
      </c>
      <c r="B98" s="26"/>
      <c r="C98" s="25">
        <f t="shared" si="16"/>
        <v>26</v>
      </c>
      <c r="D98" s="26">
        <f t="shared" si="17"/>
        <v>22</v>
      </c>
      <c r="E98" s="26">
        <f t="shared" si="18"/>
        <v>4</v>
      </c>
      <c r="F98" s="26"/>
      <c r="G98" s="46">
        <f t="shared" si="19"/>
        <v>19</v>
      </c>
      <c r="H98" s="5">
        <v>18</v>
      </c>
      <c r="I98" s="47">
        <v>1</v>
      </c>
      <c r="J98" s="26"/>
      <c r="K98" s="25">
        <f t="shared" si="15"/>
        <v>7</v>
      </c>
      <c r="L98" s="26">
        <v>4</v>
      </c>
      <c r="M98" s="26">
        <v>3</v>
      </c>
      <c r="N98" s="52"/>
      <c r="O98" s="27"/>
      <c r="P98" s="28"/>
      <c r="Q98" s="52"/>
      <c r="R98" s="52"/>
      <c r="S98" s="52"/>
      <c r="T98" s="52"/>
      <c r="U98" s="52"/>
      <c r="V98" s="52"/>
      <c r="W98" s="52"/>
      <c r="X98" s="52"/>
      <c r="Y98" s="6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13"/>
      <c r="AX98" s="25"/>
      <c r="AZ98" s="21"/>
      <c r="BA98" s="25"/>
    </row>
    <row r="99" spans="1:53" x14ac:dyDescent="0.25">
      <c r="A99" s="22" t="s">
        <v>102</v>
      </c>
      <c r="B99" s="4"/>
      <c r="C99" s="35">
        <f t="shared" si="16"/>
        <v>16</v>
      </c>
      <c r="D99" s="4">
        <f t="shared" si="17"/>
        <v>12</v>
      </c>
      <c r="E99" s="4">
        <f t="shared" si="18"/>
        <v>4</v>
      </c>
      <c r="F99" s="4"/>
      <c r="G99" s="48">
        <f t="shared" si="19"/>
        <v>16</v>
      </c>
      <c r="H99" s="4">
        <v>12</v>
      </c>
      <c r="I99" s="49">
        <v>4</v>
      </c>
      <c r="J99" s="4"/>
      <c r="K99" s="35">
        <f t="shared" si="15"/>
        <v>0</v>
      </c>
      <c r="L99" s="4">
        <v>0</v>
      </c>
      <c r="M99" s="4">
        <v>0</v>
      </c>
      <c r="N99" s="52"/>
      <c r="O99" s="27"/>
      <c r="P99" s="28"/>
      <c r="Q99" s="52"/>
      <c r="R99" s="52"/>
      <c r="S99" s="52"/>
      <c r="T99" s="52"/>
      <c r="U99" s="52"/>
      <c r="V99" s="52"/>
      <c r="W99" s="52"/>
      <c r="X99" s="52"/>
      <c r="Y99" s="6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13"/>
      <c r="AZ99" s="21"/>
      <c r="BA99" s="25"/>
    </row>
    <row r="100" spans="1:53" s="53" customFormat="1" ht="17.25" x14ac:dyDescent="0.25">
      <c r="A100" s="31" t="s">
        <v>9</v>
      </c>
      <c r="B100" s="9"/>
      <c r="C100" s="36"/>
      <c r="D100" s="9"/>
      <c r="E100" s="9"/>
      <c r="F100" s="9"/>
      <c r="G100" s="9"/>
      <c r="H100" s="9"/>
      <c r="I100" s="51"/>
      <c r="J100" s="51"/>
      <c r="K100" s="51"/>
      <c r="L100" s="52"/>
      <c r="M100" s="1" t="s">
        <v>14</v>
      </c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6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13"/>
      <c r="AV100" s="10"/>
      <c r="AW100" s="10"/>
      <c r="AX100" s="52"/>
      <c r="AZ100" s="21"/>
      <c r="BA100" s="25"/>
    </row>
    <row r="101" spans="1:53" s="12" customFormat="1" x14ac:dyDescent="0.25">
      <c r="A101" s="52"/>
      <c r="B101" s="14"/>
      <c r="C101" s="37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6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10"/>
      <c r="AW101" s="10"/>
      <c r="AX101" s="52"/>
      <c r="AZ101" s="21"/>
      <c r="BA101" s="25"/>
    </row>
    <row r="102" spans="1:53" s="12" customFormat="1" ht="6.6" customHeight="1" x14ac:dyDescent="0.25">
      <c r="A102" s="52"/>
      <c r="B102" s="14"/>
      <c r="C102" s="37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6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23"/>
      <c r="AV102" s="10"/>
      <c r="AW102" s="10"/>
      <c r="AX102" s="52"/>
      <c r="AZ102" s="21"/>
      <c r="BA102" s="25"/>
    </row>
    <row r="103" spans="1:53" s="20" customFormat="1" ht="16.899999999999999" customHeight="1" x14ac:dyDescent="0.25">
      <c r="A103" s="52"/>
      <c r="B103" s="52"/>
      <c r="C103" s="52"/>
      <c r="D103" s="10"/>
      <c r="E103" s="24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6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13"/>
      <c r="AV103" s="13"/>
      <c r="AW103" s="13"/>
      <c r="AX103" s="52"/>
    </row>
    <row r="104" spans="1:53" ht="16.899999999999999" customHeight="1" x14ac:dyDescent="0.25">
      <c r="A104" s="52"/>
      <c r="B104" s="52"/>
      <c r="C104" s="52"/>
      <c r="D104" s="52"/>
      <c r="E104" s="52"/>
      <c r="F104" s="23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6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2"/>
      <c r="AU104" s="24"/>
      <c r="AX104" s="52"/>
    </row>
    <row r="105" spans="1:53" ht="16.899999999999999" customHeight="1" x14ac:dyDescent="0.25">
      <c r="A105" s="52"/>
      <c r="B105" s="52"/>
      <c r="C105" s="52"/>
      <c r="D105" s="52"/>
      <c r="E105" s="52"/>
      <c r="F105" s="23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Y105" s="10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2"/>
      <c r="AU105" s="52"/>
      <c r="AV105" s="52"/>
      <c r="AW105" s="52"/>
      <c r="AX105" s="52"/>
    </row>
    <row r="106" spans="1:53" ht="16.899999999999999" customHeight="1" x14ac:dyDescent="0.25">
      <c r="A106" s="52"/>
      <c r="B106" s="52"/>
      <c r="C106" s="52"/>
      <c r="D106" s="52"/>
      <c r="E106" s="52"/>
      <c r="F106" s="23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Y106" s="10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2"/>
      <c r="AU106" s="29"/>
      <c r="AV106" s="29"/>
      <c r="AW106" s="52"/>
      <c r="AX106" s="52"/>
    </row>
    <row r="107" spans="1:53" ht="16.899999999999999" customHeight="1" x14ac:dyDescent="0.25">
      <c r="A107" s="52"/>
      <c r="B107" s="52"/>
      <c r="C107" s="52"/>
      <c r="D107" s="52"/>
      <c r="E107" s="52"/>
      <c r="F107" s="23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Y107" s="10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2"/>
      <c r="AU107" s="29"/>
      <c r="AV107" s="29"/>
      <c r="AW107" s="52"/>
      <c r="AX107" s="52"/>
    </row>
    <row r="108" spans="1:53" ht="16.899999999999999" customHeight="1" x14ac:dyDescent="0.25">
      <c r="A108" s="52"/>
      <c r="B108" s="52"/>
      <c r="C108" s="52"/>
      <c r="D108" s="52"/>
      <c r="E108" s="52"/>
      <c r="F108" s="23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Y108" s="10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2"/>
      <c r="AU108" s="29"/>
      <c r="AV108" s="52"/>
    </row>
    <row r="109" spans="1:53" ht="16.899999999999999" customHeight="1" x14ac:dyDescent="0.25">
      <c r="A109" s="52"/>
      <c r="B109" s="52"/>
      <c r="C109" s="52"/>
      <c r="D109" s="52"/>
      <c r="E109" s="52"/>
      <c r="F109" s="23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Y109" s="10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2"/>
      <c r="AU109" s="30"/>
      <c r="AV109" s="52"/>
    </row>
    <row r="110" spans="1:53" ht="16.899999999999999" customHeight="1" x14ac:dyDescent="0.25">
      <c r="A110" s="52"/>
      <c r="B110" s="52"/>
      <c r="C110" s="52"/>
      <c r="D110" s="52"/>
      <c r="E110" s="52"/>
      <c r="F110" s="23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Y110" s="10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</row>
    <row r="111" spans="1:53" ht="16.899999999999999" customHeight="1" x14ac:dyDescent="0.25">
      <c r="A111" s="52"/>
      <c r="B111" s="52"/>
      <c r="C111" s="52"/>
      <c r="D111" s="52"/>
      <c r="E111" s="52"/>
      <c r="F111" s="23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Y111" s="10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</row>
    <row r="112" spans="1:53" ht="16.899999999999999" customHeight="1" x14ac:dyDescent="0.25">
      <c r="A112" s="52"/>
      <c r="B112" s="52"/>
      <c r="C112" s="52"/>
      <c r="D112" s="52"/>
      <c r="E112" s="52"/>
      <c r="F112" s="23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Y112" s="10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</row>
    <row r="113" spans="1:50" ht="16.899999999999999" customHeight="1" x14ac:dyDescent="0.25">
      <c r="A113" s="17"/>
      <c r="B113" s="16"/>
      <c r="C113" s="39"/>
      <c r="D113" s="16"/>
      <c r="E113" s="16"/>
      <c r="F113" s="23"/>
      <c r="G113" s="23"/>
      <c r="H113" s="23"/>
      <c r="I113" s="23"/>
      <c r="J113" s="23"/>
      <c r="K113" s="23"/>
      <c r="L113" s="23"/>
      <c r="M113" s="23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Y113" s="10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</row>
    <row r="114" spans="1:50" ht="16.899999999999999" customHeight="1" x14ac:dyDescent="0.2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 t="s">
        <v>98</v>
      </c>
      <c r="Y114" s="65">
        <v>3588</v>
      </c>
      <c r="Z114" s="52">
        <v>1</v>
      </c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</row>
    <row r="115" spans="1:50" ht="16.899999999999999" customHeight="1" x14ac:dyDescent="0.2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 t="s">
        <v>92</v>
      </c>
      <c r="Y115" s="65">
        <v>3479</v>
      </c>
      <c r="Z115" s="52">
        <v>2</v>
      </c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</row>
    <row r="116" spans="1:50" ht="16.899999999999999" customHeight="1" x14ac:dyDescent="0.2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 t="s">
        <v>93</v>
      </c>
      <c r="Y116" s="65">
        <v>1851</v>
      </c>
      <c r="Z116" s="52">
        <v>3</v>
      </c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</row>
    <row r="117" spans="1:50" ht="16.899999999999999" customHeight="1" x14ac:dyDescent="0.2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 t="s">
        <v>99</v>
      </c>
      <c r="Y117" s="65">
        <v>1784</v>
      </c>
      <c r="Z117" s="52">
        <v>4</v>
      </c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</row>
    <row r="118" spans="1:50" ht="16.899999999999999" customHeight="1" x14ac:dyDescent="0.25">
      <c r="A118" s="52"/>
      <c r="B118" s="14"/>
      <c r="C118" s="37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 t="s">
        <v>94</v>
      </c>
      <c r="Y118" s="65">
        <v>1711</v>
      </c>
      <c r="Z118" s="52">
        <v>5</v>
      </c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21"/>
      <c r="AX118" s="25"/>
    </row>
    <row r="119" spans="1:50" x14ac:dyDescent="0.25">
      <c r="X119" s="52" t="s">
        <v>20</v>
      </c>
      <c r="Y119" s="65">
        <v>1390</v>
      </c>
      <c r="Z119" s="52">
        <v>6</v>
      </c>
    </row>
    <row r="120" spans="1:50" x14ac:dyDescent="0.25">
      <c r="X120" s="10" t="s">
        <v>29</v>
      </c>
      <c r="Y120" s="14">
        <v>1273</v>
      </c>
      <c r="Z120" s="52">
        <v>7</v>
      </c>
    </row>
    <row r="121" spans="1:50" x14ac:dyDescent="0.25">
      <c r="X121" s="52" t="s">
        <v>95</v>
      </c>
      <c r="Y121" s="65">
        <v>942</v>
      </c>
      <c r="Z121" s="52">
        <v>8</v>
      </c>
    </row>
    <row r="122" spans="1:50" x14ac:dyDescent="0.25">
      <c r="X122" s="52" t="s">
        <v>91</v>
      </c>
      <c r="Y122" s="65">
        <v>814</v>
      </c>
      <c r="Z122" s="52">
        <v>9</v>
      </c>
    </row>
    <row r="123" spans="1:50" x14ac:dyDescent="0.25">
      <c r="X123" s="52" t="s">
        <v>96</v>
      </c>
      <c r="Y123" s="65">
        <v>811</v>
      </c>
      <c r="Z123" s="52">
        <v>10</v>
      </c>
    </row>
  </sheetData>
  <sortState ref="X6:Y95">
    <sortCondition ref="Y6:Y95"/>
  </sortState>
  <mergeCells count="10">
    <mergeCell ref="A6:A7"/>
    <mergeCell ref="A1:M1"/>
    <mergeCell ref="A2:M2"/>
    <mergeCell ref="A3:L3"/>
    <mergeCell ref="A4:A5"/>
    <mergeCell ref="C4:G4"/>
    <mergeCell ref="H4:M4"/>
    <mergeCell ref="C5:E5"/>
    <mergeCell ref="G5:I5"/>
    <mergeCell ref="K5:M5"/>
  </mergeCells>
  <pageMargins left="0.62" right="0.59" top="0.26" bottom="0.19" header="0.13" footer="0.14000000000000001"/>
  <pageSetup paperSize="9" scale="76" orientation="portrait" horizontalDpi="4294967295" verticalDpi="4294967295" r:id="rId1"/>
  <rowBreaks count="1" manualBreakCount="1">
    <brk id="66" max="13" man="1"/>
  </rowBreaks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</vt:lpstr>
      <vt:lpstr>'5.1'!Print_Area</vt:lpstr>
      <vt:lpstr>'5.1'!Print_Titles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2018-05-07T03:57:14Z</cp:lastPrinted>
  <dcterms:created xsi:type="dcterms:W3CDTF">2013-03-26T05:45:33Z</dcterms:created>
  <dcterms:modified xsi:type="dcterms:W3CDTF">2018-05-07T03:57:27Z</dcterms:modified>
</cp:coreProperties>
</file>