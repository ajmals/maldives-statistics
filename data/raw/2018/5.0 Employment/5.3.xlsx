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5. EMPLOYMENT\"/>
    </mc:Choice>
  </mc:AlternateContent>
  <bookViews>
    <workbookView xWindow="0" yWindow="0" windowWidth="28800" windowHeight="12330" tabRatio="834"/>
  </bookViews>
  <sheets>
    <sheet name="5.3" sheetId="11" r:id="rId1"/>
  </sheets>
  <definedNames>
    <definedName name="_xlnm._FilterDatabase" localSheetId="0" hidden="1">'5.3'!$A$5:$C$5</definedName>
    <definedName name="_xlnm.Print_Area" localSheetId="0">'5.3'!$A$1:$E$65</definedName>
  </definedNames>
  <calcPr calcId="162913"/>
</workbook>
</file>

<file path=xl/calcChain.xml><?xml version="1.0" encoding="utf-8"?>
<calcChain xmlns="http://schemas.openxmlformats.org/spreadsheetml/2006/main">
  <c r="AK45" i="11" l="1"/>
  <c r="AK9" i="11"/>
  <c r="B7" i="11" l="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D8" i="11"/>
  <c r="D6" i="11" s="1"/>
  <c r="C8" i="11"/>
  <c r="C6" i="11" s="1"/>
  <c r="B6" i="11" l="1"/>
  <c r="B8" i="11"/>
  <c r="AK10" i="11" l="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L45" i="11"/>
  <c r="AL46" i="11"/>
  <c r="AL47" i="11"/>
  <c r="AL48" i="11"/>
  <c r="AL49" i="11"/>
  <c r="AL50" i="11"/>
  <c r="AL51" i="11"/>
  <c r="AL52" i="11"/>
  <c r="AL53" i="11"/>
  <c r="AL54" i="11"/>
  <c r="AL55" i="11"/>
  <c r="AL56" i="11"/>
  <c r="AL57" i="11"/>
  <c r="AL58" i="11"/>
  <c r="AL59" i="11"/>
  <c r="AL60" i="11"/>
  <c r="AL61" i="11"/>
  <c r="AL62" i="11"/>
  <c r="AL63" i="11"/>
  <c r="AL64" i="11"/>
  <c r="AK46" i="11"/>
  <c r="AK47" i="11"/>
  <c r="AK48" i="11"/>
  <c r="AK49" i="11"/>
  <c r="AK50" i="11"/>
  <c r="AK51" i="11"/>
  <c r="AK52" i="11"/>
  <c r="AK53" i="11"/>
  <c r="AK54" i="11"/>
  <c r="AK55" i="11"/>
  <c r="AK56" i="11"/>
  <c r="AK57" i="11"/>
  <c r="AK58" i="11"/>
  <c r="AK59" i="11"/>
  <c r="AK60" i="11"/>
  <c r="AK61" i="11"/>
  <c r="AK62" i="11"/>
  <c r="AK63" i="11"/>
  <c r="AK64" i="11"/>
</calcChain>
</file>

<file path=xl/sharedStrings.xml><?xml version="1.0" encoding="utf-8"?>
<sst xmlns="http://schemas.openxmlformats.org/spreadsheetml/2006/main" count="100" uniqueCount="78">
  <si>
    <t>ފިރިހެން</t>
  </si>
  <si>
    <t>އަންހެން</t>
  </si>
  <si>
    <t>Male</t>
  </si>
  <si>
    <t>Female</t>
  </si>
  <si>
    <t>މާލެ</t>
  </si>
  <si>
    <t>އަތޮޅުތައް</t>
  </si>
  <si>
    <t>Both sexes</t>
  </si>
  <si>
    <t>Source: Civil Service Commision</t>
  </si>
  <si>
    <t>ދެޖިންސް</t>
  </si>
  <si>
    <t>މަޢުލޫމާތު ދެއްވި ފަރާތް: ސިވިލް ސަރވިސް ކޮމިޝަން</t>
  </si>
  <si>
    <t>MALE'</t>
  </si>
  <si>
    <t>Locality</t>
  </si>
  <si>
    <t>ތަން</t>
  </si>
  <si>
    <t>REPUBLIC</t>
  </si>
  <si>
    <t>މުޅި ރާއްޖެ</t>
  </si>
  <si>
    <t xml:space="preserve"> North Thiladhunmathi (HA)</t>
  </si>
  <si>
    <t xml:space="preserve">       (ah)  iruburutua Itwmcnudwlit</t>
  </si>
  <si>
    <t xml:space="preserve"> South Thiladhunmathi (HDh)</t>
  </si>
  <si>
    <t>(dh) irubunuked Itwmcnudwlit</t>
  </si>
  <si>
    <t xml:space="preserve"> North Miladhunmadulu (Sh)</t>
  </si>
  <si>
    <t>(S) iruburutua uluDwmcnudwlim</t>
  </si>
  <si>
    <t xml:space="preserve"> South Miladhunmadulu (N)</t>
  </si>
  <si>
    <t>(n) irubunuked uluDwmcnudwlim</t>
  </si>
  <si>
    <t xml:space="preserve"> North Maalhosmadulu (R)</t>
  </si>
  <si>
    <t>(r) iruburutuauluDwmcsoLWm</t>
  </si>
  <si>
    <t xml:space="preserve"> South Maalhosmadulu (B)</t>
  </si>
  <si>
    <t>(b) irubunukeduluDwcsoLWm</t>
  </si>
  <si>
    <t xml:space="preserve"> Faadhippolhu (Lh)</t>
  </si>
  <si>
    <t>(L) uLopcaidWf</t>
  </si>
  <si>
    <t xml:space="preserve"> Male' Atoll (K)</t>
  </si>
  <si>
    <t>(k) uLotwa elWm</t>
  </si>
  <si>
    <t xml:space="preserve"> North Ari Atoll (AA)</t>
  </si>
  <si>
    <t>(aa) iruburutuauLotwairwa</t>
  </si>
  <si>
    <t xml:space="preserve"> South Ari Atoll (ADh)</t>
  </si>
  <si>
    <t>(da) iruburutuauLotwairwa</t>
  </si>
  <si>
    <t xml:space="preserve"> Felidhu Atoll (V)</t>
  </si>
  <si>
    <t>(v) uLotwa udilef</t>
  </si>
  <si>
    <t xml:space="preserve"> Mulakatholhu (M)</t>
  </si>
  <si>
    <t>(m) uLotwkwlum</t>
  </si>
  <si>
    <t xml:space="preserve"> North Nilandhe Atoll (F)</t>
  </si>
  <si>
    <t>(f) iruburutua uLotwaedcnwlin</t>
  </si>
  <si>
    <t xml:space="preserve"> South Nilandhe Atoll (D)</t>
  </si>
  <si>
    <t>(d) irubunuked uLotwaedcnwlin</t>
  </si>
  <si>
    <t xml:space="preserve"> Kolhumadulu (Th)</t>
  </si>
  <si>
    <t>(t) uluDwmuLok</t>
  </si>
  <si>
    <t xml:space="preserve"> Hadhdhunmathi (L)</t>
  </si>
  <si>
    <t>(l) itwmcnudcawh</t>
  </si>
  <si>
    <t xml:space="preserve"> North Huvadhu Atoll (GA)</t>
  </si>
  <si>
    <t>(ag) iruburutua uLotwaudwvuh</t>
  </si>
  <si>
    <t xml:space="preserve"> South Huvadhu Atoll (GDh)</t>
  </si>
  <si>
    <t xml:space="preserve"> (dg) irubunuked uLotwaudwvuh</t>
  </si>
  <si>
    <t xml:space="preserve"> Fuvahmulah (Gn)</t>
  </si>
  <si>
    <t>(N)cawlumcawvuf</t>
  </si>
  <si>
    <t xml:space="preserve"> Addu Atoll (S)</t>
  </si>
  <si>
    <t>(s) uLotwauDcawa</t>
  </si>
  <si>
    <t>HA</t>
  </si>
  <si>
    <t>HDh</t>
  </si>
  <si>
    <t>Sh</t>
  </si>
  <si>
    <t>N</t>
  </si>
  <si>
    <t>S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</si>
  <si>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</si>
  <si>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</si>
  <si>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</si>
  <si>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</si>
  <si>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</si>
  <si>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</si>
  <si>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</si>
  <si>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</si>
  <si>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</si>
  <si>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</si>
  <si>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</si>
  <si>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</si>
  <si>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</si>
  <si>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</si>
  <si>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</si>
  <si>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All ATOLLS</t>
  </si>
  <si>
    <t>Table 5.3: CIVIL SERVANTS BY ATOLL AND SEX, 2017</t>
  </si>
  <si>
    <t>ތާވަލް 5.3: މާލެ އާއި އަތޮޅުތަކުގައި މަސައްކަތްކުރާ ސިވިލް ސަރވަންޓުންގެ އަދަދު އަދި ޖިންސް،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</si>
</sst>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9"/>
      <name val="Faruma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color theme="1"/>
      <name val="Faruma"/>
    </font>
    <font>
      <b/>
      <sz val="10"/>
      <color theme="1"/>
      <name val="Faruma"/>
    </font>
    <font>
      <b/>
      <sz val="11"/>
      <name val="A_Reethi"/>
    </font>
    <font>
      <sz val="10"/>
      <name val="MS Sans Serif"/>
      <family val="2"/>
    </font>
    <font>
      <sz val="11"/>
      <color rgb="FFFF0000"/>
      <name val="Calibri"/>
      <family val="2"/>
      <scheme val="minor"/>
    </font>
    <font>
      <b/>
      <sz val="10"/>
      <color theme="1" tint="0.14999847407452621"/>
      <name val="Faruma"/>
    </font>
    <font>
      <sz val="10"/>
      <color theme="1" tint="0.14999847407452621"/>
      <name val="A_Randhoo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/>
      <diagonal/>
    </border>
  </borders>
  <cellStyleXfs count="5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4" fillId="0" borderId="0" applyFont="0" applyFill="0" applyBorder="0" applyAlignment="0" applyProtection="0"/>
    <xf numFmtId="0" fontId="3" fillId="0" borderId="0"/>
    <xf numFmtId="0" fontId="3" fillId="0" borderId="0"/>
    <xf numFmtId="9" fontId="4" fillId="0" borderId="0" applyFont="0" applyFill="0" applyBorder="0" applyAlignment="0" applyProtection="0"/>
    <xf numFmtId="0" fontId="3" fillId="0" borderId="0"/>
    <xf numFmtId="0" fontId="12" fillId="0" borderId="0"/>
    <xf numFmtId="0" fontId="3" fillId="0" borderId="0"/>
    <xf numFmtId="0" fontId="3" fillId="0" borderId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40">
    <xf numFmtId="0" fontId="0" fillId="0" borderId="0" xfId="0"/>
    <xf numFmtId="3" fontId="0" fillId="2" borderId="0" xfId="0" applyNumberFormat="1" applyFill="1" applyBorder="1"/>
    <xf numFmtId="3" fontId="6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0" fontId="2" fillId="2" borderId="0" xfId="0" applyFont="1" applyFill="1"/>
    <xf numFmtId="0" fontId="10" fillId="2" borderId="0" xfId="0" applyFont="1" applyFill="1" applyBorder="1" applyAlignment="1">
      <alignment horizontal="right" vertical="center" readingOrder="2"/>
    </xf>
    <xf numFmtId="0" fontId="7" fillId="2" borderId="0" xfId="0" applyFont="1" applyFill="1" applyBorder="1" applyAlignment="1">
      <alignment horizontal="right" vertical="center"/>
    </xf>
    <xf numFmtId="0" fontId="8" fillId="2" borderId="4" xfId="7" applyFont="1" applyFill="1" applyBorder="1"/>
    <xf numFmtId="0" fontId="11" fillId="2" borderId="0" xfId="5" applyFont="1" applyFill="1" applyBorder="1" applyAlignment="1"/>
    <xf numFmtId="0" fontId="2" fillId="2" borderId="0" xfId="0" applyFont="1" applyFill="1" applyBorder="1" applyAlignment="1">
      <alignment vertical="center"/>
    </xf>
    <xf numFmtId="3" fontId="0" fillId="2" borderId="0" xfId="0" applyNumberFormat="1" applyFill="1"/>
    <xf numFmtId="0" fontId="13" fillId="2" borderId="0" xfId="0" applyFont="1" applyFill="1"/>
    <xf numFmtId="0" fontId="7" fillId="2" borderId="3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 readingOrder="2"/>
    </xf>
    <xf numFmtId="3" fontId="7" fillId="2" borderId="0" xfId="0" applyNumberFormat="1" applyFont="1" applyFill="1" applyBorder="1" applyAlignment="1">
      <alignment horizontal="right" vertical="center"/>
    </xf>
    <xf numFmtId="3" fontId="14" fillId="2" borderId="0" xfId="9" applyNumberFormat="1" applyFont="1" applyFill="1" applyBorder="1" applyAlignment="1" applyProtection="1">
      <alignment horizontal="right" vertical="center"/>
    </xf>
    <xf numFmtId="3" fontId="0" fillId="2" borderId="0" xfId="1" applyNumberFormat="1" applyFont="1" applyFill="1"/>
    <xf numFmtId="0" fontId="5" fillId="2" borderId="5" xfId="10" applyFont="1" applyFill="1" applyBorder="1" applyAlignment="1" applyProtection="1">
      <alignment horizontal="left" vertical="center" indent="2"/>
    </xf>
    <xf numFmtId="3" fontId="15" fillId="2" borderId="0" xfId="9" applyNumberFormat="1" applyFont="1" applyFill="1" applyBorder="1" applyAlignment="1" applyProtection="1">
      <alignment horizontal="right" vertical="center" indent="2"/>
    </xf>
    <xf numFmtId="3" fontId="2" fillId="2" borderId="0" xfId="1" applyNumberFormat="1" applyFont="1" applyFill="1" applyBorder="1" applyAlignment="1">
      <alignment vertical="center"/>
    </xf>
    <xf numFmtId="0" fontId="5" fillId="2" borderId="0" xfId="10" applyFont="1" applyFill="1" applyBorder="1" applyAlignment="1" applyProtection="1">
      <alignment horizontal="left" vertical="center" indent="2"/>
    </xf>
    <xf numFmtId="3" fontId="0" fillId="2" borderId="0" xfId="1" applyNumberFormat="1" applyFont="1" applyFill="1" applyBorder="1"/>
    <xf numFmtId="3" fontId="2" fillId="2" borderId="3" xfId="1" applyNumberFormat="1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right" vertical="center"/>
    </xf>
    <xf numFmtId="3" fontId="10" fillId="2" borderId="0" xfId="9" applyNumberFormat="1" applyFont="1" applyFill="1" applyBorder="1" applyAlignment="1" applyProtection="1">
      <alignment horizontal="right" vertical="center"/>
    </xf>
    <xf numFmtId="0" fontId="0" fillId="2" borderId="0" xfId="0" applyFill="1"/>
    <xf numFmtId="0" fontId="2" fillId="2" borderId="0" xfId="0" applyFont="1" applyFill="1" applyBorder="1" applyAlignment="1">
      <alignment horizontal="left" vertical="center"/>
    </xf>
    <xf numFmtId="0" fontId="5" fillId="2" borderId="3" xfId="10" applyFont="1" applyFill="1" applyBorder="1" applyAlignment="1" applyProtection="1">
      <alignment horizontal="left" vertical="center" indent="2"/>
    </xf>
    <xf numFmtId="3" fontId="15" fillId="2" borderId="3" xfId="9" applyNumberFormat="1" applyFont="1" applyFill="1" applyBorder="1" applyAlignment="1" applyProtection="1">
      <alignment horizontal="right" vertical="center" indent="2"/>
    </xf>
    <xf numFmtId="3" fontId="0" fillId="2" borderId="3" xfId="1" applyNumberFormat="1" applyFont="1" applyFill="1" applyBorder="1"/>
    <xf numFmtId="3" fontId="2" fillId="2" borderId="0" xfId="0" applyNumberFormat="1" applyFont="1" applyFill="1" applyBorder="1" applyAlignment="1">
      <alignment horizontal="right" vertical="center"/>
    </xf>
    <xf numFmtId="0" fontId="8" fillId="2" borderId="0" xfId="7" applyFont="1" applyFill="1" applyBorder="1"/>
    <xf numFmtId="0" fontId="2" fillId="2" borderId="0" xfId="0" applyFont="1" applyFill="1" applyBorder="1" applyAlignment="1"/>
    <xf numFmtId="0" fontId="9" fillId="2" borderId="0" xfId="0" applyFont="1" applyFill="1" applyBorder="1" applyAlignment="1">
      <alignment vertical="center"/>
    </xf>
    <xf numFmtId="0" fontId="11" fillId="2" borderId="0" xfId="5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 vertical="center" indent="2"/>
    </xf>
    <xf numFmtId="0" fontId="2" fillId="2" borderId="3" xfId="0" applyFont="1" applyFill="1" applyBorder="1" applyAlignment="1">
      <alignment horizontal="left" vertical="center" indent="2"/>
    </xf>
    <xf numFmtId="0" fontId="9" fillId="2" borderId="1" xfId="0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</cellXfs>
  <cellStyles count="523">
    <cellStyle name="Comma" xfId="1" builtinId="3"/>
    <cellStyle name="Comma 3" xfId="3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Normal" xfId="0" builtinId="0"/>
    <cellStyle name="Normal 2" xfId="4"/>
    <cellStyle name="Normal 4" xfId="8"/>
    <cellStyle name="Normal_5 Employment_done" xfId="5"/>
    <cellStyle name="Normal_II-15(Population) 2" xfId="9"/>
    <cellStyle name="Normal_II-16(Populaion)" xfId="2"/>
    <cellStyle name="Normal_immunization" xfId="10"/>
    <cellStyle name="Normal_po" xfId="7"/>
    <cellStyle name="Percent 3" xfId="6"/>
  </cellStyles>
  <dxfs count="1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ABF8E"/>
      <color rgb="FFF79747"/>
      <color rgb="FFFBC497"/>
      <color rgb="FFFDEADA"/>
      <color rgb="FF953735"/>
      <color rgb="FFFCD3B2"/>
      <color rgb="FFFDDFC7"/>
      <color rgb="FFFF3399"/>
      <color rgb="FFFFD9E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37673624391435"/>
          <c:y val="0.1486227763196267"/>
          <c:w val="0.85059538350561081"/>
          <c:h val="0.7010028433945757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'5.3'!$AJ$9:$AJ$28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'5.3'!$AK$9:$AK$28</c:f>
              <c:numCache>
                <c:formatCode>#,##0</c:formatCode>
                <c:ptCount val="20"/>
                <c:pt idx="0">
                  <c:v>823</c:v>
                </c:pt>
                <c:pt idx="1">
                  <c:v>1116</c:v>
                </c:pt>
                <c:pt idx="2">
                  <c:v>827</c:v>
                </c:pt>
                <c:pt idx="3">
                  <c:v>686</c:v>
                </c:pt>
                <c:pt idx="4">
                  <c:v>1049</c:v>
                </c:pt>
                <c:pt idx="5">
                  <c:v>705</c:v>
                </c:pt>
                <c:pt idx="6">
                  <c:v>431</c:v>
                </c:pt>
                <c:pt idx="7">
                  <c:v>977</c:v>
                </c:pt>
                <c:pt idx="8">
                  <c:v>406</c:v>
                </c:pt>
                <c:pt idx="9">
                  <c:v>529</c:v>
                </c:pt>
                <c:pt idx="10">
                  <c:v>160</c:v>
                </c:pt>
                <c:pt idx="11">
                  <c:v>413</c:v>
                </c:pt>
                <c:pt idx="12">
                  <c:v>415</c:v>
                </c:pt>
                <c:pt idx="13">
                  <c:v>438</c:v>
                </c:pt>
                <c:pt idx="14">
                  <c:v>781</c:v>
                </c:pt>
                <c:pt idx="15">
                  <c:v>800</c:v>
                </c:pt>
                <c:pt idx="16">
                  <c:v>578</c:v>
                </c:pt>
                <c:pt idx="17">
                  <c:v>725</c:v>
                </c:pt>
                <c:pt idx="18">
                  <c:v>388</c:v>
                </c:pt>
                <c:pt idx="19">
                  <c:v>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E-45C4-BFD2-419780EC9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axId val="212961512"/>
        <c:axId val="212961896"/>
      </c:barChart>
      <c:catAx>
        <c:axId val="2129615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2961896"/>
        <c:crosses val="autoZero"/>
        <c:auto val="1"/>
        <c:lblAlgn val="ctr"/>
        <c:lblOffset val="100"/>
        <c:noMultiLvlLbl val="0"/>
      </c:catAx>
      <c:valAx>
        <c:axId val="212961896"/>
        <c:scaling>
          <c:orientation val="minMax"/>
          <c:max val="1200"/>
        </c:scaling>
        <c:delete val="0"/>
        <c:axPos val="l"/>
        <c:majorGridlines>
          <c:spPr>
            <a:ln w="3175">
              <a:noFill/>
            </a:ln>
          </c:spPr>
        </c:majorGridlines>
        <c:numFmt formatCode="#,##0" sourceLinked="1"/>
        <c:majorTickMark val="none"/>
        <c:minorTickMark val="none"/>
        <c:tickLblPos val="nextTo"/>
        <c:crossAx val="212961512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25599718537385"/>
          <c:y val="0.1355881578632458"/>
          <c:w val="0.8628426402646806"/>
          <c:h val="0.7329727401096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'5.3'!$AK$44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'5.3'!$AJ$45:$AJ$64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'5.3'!$AK$45:$AK$64</c:f>
              <c:numCache>
                <c:formatCode>#,##0</c:formatCode>
                <c:ptCount val="20"/>
                <c:pt idx="0">
                  <c:v>329</c:v>
                </c:pt>
                <c:pt idx="1">
                  <c:v>426</c:v>
                </c:pt>
                <c:pt idx="2">
                  <c:v>419</c:v>
                </c:pt>
                <c:pt idx="3">
                  <c:v>281</c:v>
                </c:pt>
                <c:pt idx="4">
                  <c:v>449</c:v>
                </c:pt>
                <c:pt idx="5">
                  <c:v>263</c:v>
                </c:pt>
                <c:pt idx="6">
                  <c:v>158</c:v>
                </c:pt>
                <c:pt idx="7">
                  <c:v>336</c:v>
                </c:pt>
                <c:pt idx="8">
                  <c:v>152</c:v>
                </c:pt>
                <c:pt idx="9">
                  <c:v>166</c:v>
                </c:pt>
                <c:pt idx="10">
                  <c:v>62</c:v>
                </c:pt>
                <c:pt idx="11">
                  <c:v>182</c:v>
                </c:pt>
                <c:pt idx="12">
                  <c:v>161</c:v>
                </c:pt>
                <c:pt idx="13">
                  <c:v>157</c:v>
                </c:pt>
                <c:pt idx="14">
                  <c:v>333</c:v>
                </c:pt>
                <c:pt idx="15">
                  <c:v>322</c:v>
                </c:pt>
                <c:pt idx="16">
                  <c:v>177</c:v>
                </c:pt>
                <c:pt idx="17">
                  <c:v>265</c:v>
                </c:pt>
                <c:pt idx="18">
                  <c:v>91</c:v>
                </c:pt>
                <c:pt idx="19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7-414A-B3C3-334EC47DBB02}"/>
            </c:ext>
          </c:extLst>
        </c:ser>
        <c:ser>
          <c:idx val="1"/>
          <c:order val="1"/>
          <c:tx>
            <c:strRef>
              <c:f>'5.3'!$AL$44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'5.3'!$AJ$45:$AJ$64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'5.3'!$AL$45:$AL$64</c:f>
              <c:numCache>
                <c:formatCode>#,##0</c:formatCode>
                <c:ptCount val="20"/>
                <c:pt idx="0">
                  <c:v>494</c:v>
                </c:pt>
                <c:pt idx="1">
                  <c:v>690</c:v>
                </c:pt>
                <c:pt idx="2">
                  <c:v>408</c:v>
                </c:pt>
                <c:pt idx="3">
                  <c:v>405</c:v>
                </c:pt>
                <c:pt idx="4">
                  <c:v>600</c:v>
                </c:pt>
                <c:pt idx="5">
                  <c:v>442</c:v>
                </c:pt>
                <c:pt idx="6">
                  <c:v>273</c:v>
                </c:pt>
                <c:pt idx="7">
                  <c:v>641</c:v>
                </c:pt>
                <c:pt idx="8">
                  <c:v>254</c:v>
                </c:pt>
                <c:pt idx="9">
                  <c:v>363</c:v>
                </c:pt>
                <c:pt idx="10">
                  <c:v>98</c:v>
                </c:pt>
                <c:pt idx="11">
                  <c:v>231</c:v>
                </c:pt>
                <c:pt idx="12">
                  <c:v>254</c:v>
                </c:pt>
                <c:pt idx="13">
                  <c:v>281</c:v>
                </c:pt>
                <c:pt idx="14">
                  <c:v>448</c:v>
                </c:pt>
                <c:pt idx="15">
                  <c:v>478</c:v>
                </c:pt>
                <c:pt idx="16">
                  <c:v>401</c:v>
                </c:pt>
                <c:pt idx="17">
                  <c:v>460</c:v>
                </c:pt>
                <c:pt idx="18">
                  <c:v>297</c:v>
                </c:pt>
                <c:pt idx="19">
                  <c:v>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77-414A-B3C3-334EC47DB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210756280"/>
        <c:axId val="210066344"/>
      </c:barChart>
      <c:catAx>
        <c:axId val="210756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0066344"/>
        <c:crosses val="autoZero"/>
        <c:auto val="1"/>
        <c:lblAlgn val="ctr"/>
        <c:lblOffset val="100"/>
        <c:noMultiLvlLbl val="0"/>
      </c:catAx>
      <c:valAx>
        <c:axId val="210066344"/>
        <c:scaling>
          <c:orientation val="minMax"/>
          <c:max val="700"/>
        </c:scaling>
        <c:delete val="0"/>
        <c:axPos val="l"/>
        <c:majorGridlines>
          <c:spPr>
            <a:ln w="3175">
              <a:noFill/>
            </a:ln>
          </c:spPr>
        </c:majorGridlines>
        <c:numFmt formatCode="#,##0" sourceLinked="1"/>
        <c:majorTickMark val="out"/>
        <c:minorTickMark val="none"/>
        <c:tickLblPos val="nextTo"/>
        <c:crossAx val="210756280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4926999664224829"/>
          <c:y val="0.19726012971782783"/>
          <c:w val="0.26309879622377047"/>
          <c:h val="7.9471420239136795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29</xdr:row>
      <xdr:rowOff>167640</xdr:rowOff>
    </xdr:from>
    <xdr:to>
      <xdr:col>4</xdr:col>
      <xdr:colOff>1935480</xdr:colOff>
      <xdr:row>44</xdr:row>
      <xdr:rowOff>167640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1066800</xdr:colOff>
      <xdr:row>30</xdr:row>
      <xdr:rowOff>28574</xdr:rowOff>
    </xdr:from>
    <xdr:to>
      <xdr:col>4</xdr:col>
      <xdr:colOff>1438275</xdr:colOff>
      <xdr:row>31</xdr:row>
      <xdr:rowOff>76199</xdr:rowOff>
    </xdr:to>
    <xdr:sp macro="" textlink="">
      <xdr:nvSpPr>
        <xdr:cNvPr id="5" name="TextBox 4"/>
        <xdr:cNvSpPr txBox="1"/>
      </xdr:nvSpPr>
      <xdr:spPr>
        <a:xfrm>
          <a:off x="1066800" y="6419849"/>
          <a:ext cx="46196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>
              <a:latin typeface="Consolas" pitchFamily="49" charset="0"/>
              <a:cs typeface="Consolas" pitchFamily="49" charset="0"/>
            </a:rPr>
            <a:t>   Figure 5.4: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</a:t>
          </a:r>
          <a:r>
            <a:rPr lang="en-US" sz="1100" b="1">
              <a:latin typeface="Consolas" pitchFamily="49" charset="0"/>
              <a:cs typeface="Consolas" pitchFamily="49" charset="0"/>
            </a:rPr>
            <a:t>Number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of civil servants by Atoll, 2017</a:t>
          </a:r>
          <a:endParaRPr lang="en-US" sz="110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66675</xdr:colOff>
      <xdr:row>46</xdr:row>
      <xdr:rowOff>38099</xdr:rowOff>
    </xdr:from>
    <xdr:to>
      <xdr:col>4</xdr:col>
      <xdr:colOff>1872615</xdr:colOff>
      <xdr:row>62</xdr:row>
      <xdr:rowOff>123824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963929</xdr:colOff>
      <xdr:row>46</xdr:row>
      <xdr:rowOff>80010</xdr:rowOff>
    </xdr:from>
    <xdr:to>
      <xdr:col>4</xdr:col>
      <xdr:colOff>1495424</xdr:colOff>
      <xdr:row>47</xdr:row>
      <xdr:rowOff>123825</xdr:rowOff>
    </xdr:to>
    <xdr:sp macro="" textlink="">
      <xdr:nvSpPr>
        <xdr:cNvPr id="9" name="TextBox 8"/>
        <xdr:cNvSpPr txBox="1"/>
      </xdr:nvSpPr>
      <xdr:spPr>
        <a:xfrm>
          <a:off x="963929" y="9519285"/>
          <a:ext cx="4779645" cy="234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5.5: Number</a:t>
          </a:r>
          <a:r>
            <a:rPr lang="en-US" sz="1100" b="1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of civil servants by atoll and sex, 2017</a:t>
          </a:r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138114</xdr:colOff>
      <xdr:row>33</xdr:row>
      <xdr:rowOff>76200</xdr:rowOff>
    </xdr:from>
    <xdr:to>
      <xdr:col>0</xdr:col>
      <xdr:colOff>409578</xdr:colOff>
      <xdr:row>41</xdr:row>
      <xdr:rowOff>185738</xdr:rowOff>
    </xdr:to>
    <xdr:sp macro="" textlink="">
      <xdr:nvSpPr>
        <xdr:cNvPr id="2" name="TextBox 1"/>
        <xdr:cNvSpPr txBox="1"/>
      </xdr:nvSpPr>
      <xdr:spPr>
        <a:xfrm rot="16200000">
          <a:off x="-542923" y="8148637"/>
          <a:ext cx="1633538" cy="2714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Number of civil servants</a:t>
          </a:r>
        </a:p>
      </xdr:txBody>
    </xdr:sp>
    <xdr:clientData/>
  </xdr:twoCellAnchor>
  <xdr:twoCellAnchor>
    <xdr:from>
      <xdr:col>0</xdr:col>
      <xdr:colOff>123826</xdr:colOff>
      <xdr:row>49</xdr:row>
      <xdr:rowOff>161924</xdr:rowOff>
    </xdr:from>
    <xdr:to>
      <xdr:col>0</xdr:col>
      <xdr:colOff>428626</xdr:colOff>
      <xdr:row>59</xdr:row>
      <xdr:rowOff>9524</xdr:rowOff>
    </xdr:to>
    <xdr:sp macro="" textlink="">
      <xdr:nvSpPr>
        <xdr:cNvPr id="3" name="TextBox 2"/>
        <xdr:cNvSpPr txBox="1"/>
      </xdr:nvSpPr>
      <xdr:spPr>
        <a:xfrm rot="16200000">
          <a:off x="-600074" y="11325224"/>
          <a:ext cx="175260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civil servants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1247775</xdr:colOff>
      <xdr:row>31</xdr:row>
      <xdr:rowOff>66674</xdr:rowOff>
    </xdr:from>
    <xdr:to>
      <xdr:col>4</xdr:col>
      <xdr:colOff>1266825</xdr:colOff>
      <xdr:row>31</xdr:row>
      <xdr:rowOff>66674</xdr:rowOff>
    </xdr:to>
    <xdr:sp macro="" textlink="">
      <xdr:nvSpPr>
        <xdr:cNvPr id="11" name="Line 4"/>
        <xdr:cNvSpPr>
          <a:spLocks noChangeShapeType="1"/>
        </xdr:cNvSpPr>
      </xdr:nvSpPr>
      <xdr:spPr bwMode="auto">
        <a:xfrm>
          <a:off x="1247775" y="6648449"/>
          <a:ext cx="426720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0</xdr:col>
      <xdr:colOff>1000125</xdr:colOff>
      <xdr:row>47</xdr:row>
      <xdr:rowOff>114300</xdr:rowOff>
    </xdr:from>
    <xdr:to>
      <xdr:col>4</xdr:col>
      <xdr:colOff>1438275</xdr:colOff>
      <xdr:row>47</xdr:row>
      <xdr:rowOff>114300</xdr:rowOff>
    </xdr:to>
    <xdr:sp macro="" textlink="">
      <xdr:nvSpPr>
        <xdr:cNvPr id="13" name="Line 4"/>
        <xdr:cNvSpPr>
          <a:spLocks noChangeShapeType="1"/>
        </xdr:cNvSpPr>
      </xdr:nvSpPr>
      <xdr:spPr bwMode="auto">
        <a:xfrm flipV="1">
          <a:off x="1000125" y="9744075"/>
          <a:ext cx="468630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8"/>
  <sheetViews>
    <sheetView tabSelected="1" zoomScaleNormal="100" zoomScaleSheetLayoutView="96" workbookViewId="0">
      <selection activeCell="I8" sqref="I8"/>
    </sheetView>
  </sheetViews>
  <sheetFormatPr defaultRowHeight="15" x14ac:dyDescent="0.25"/>
  <cols>
    <col min="1" max="1" width="32.85546875" style="25" customWidth="1"/>
    <col min="2" max="4" width="10.28515625" style="25" customWidth="1"/>
    <col min="5" max="5" width="30.42578125" style="25" customWidth="1"/>
    <col min="6" max="16384" width="9.140625" style="25"/>
  </cols>
  <sheetData>
    <row r="1" spans="1:37" ht="21" x14ac:dyDescent="0.55000000000000004">
      <c r="A1" s="34" t="s">
        <v>77</v>
      </c>
      <c r="B1" s="34"/>
      <c r="C1" s="34"/>
      <c r="D1" s="34"/>
      <c r="E1" s="34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 spans="1:37" x14ac:dyDescent="0.25">
      <c r="A2" s="35" t="s">
        <v>76</v>
      </c>
      <c r="B2" s="35"/>
      <c r="C2" s="35"/>
      <c r="D2" s="35"/>
      <c r="E2" s="35"/>
    </row>
    <row r="3" spans="1:37" ht="11.45" customHeight="1" x14ac:dyDescent="0.25"/>
    <row r="4" spans="1:37" ht="18.75" customHeight="1" x14ac:dyDescent="0.25">
      <c r="A4" s="36" t="s">
        <v>11</v>
      </c>
      <c r="B4" s="13" t="s">
        <v>8</v>
      </c>
      <c r="C4" s="13" t="s">
        <v>0</v>
      </c>
      <c r="D4" s="13" t="s">
        <v>1</v>
      </c>
      <c r="E4" s="38" t="s">
        <v>12</v>
      </c>
      <c r="G4" s="11"/>
    </row>
    <row r="5" spans="1:37" ht="15" customHeight="1" x14ac:dyDescent="0.25">
      <c r="A5" s="37"/>
      <c r="B5" s="12" t="s">
        <v>6</v>
      </c>
      <c r="C5" s="12" t="s">
        <v>2</v>
      </c>
      <c r="D5" s="12" t="s">
        <v>3</v>
      </c>
      <c r="E5" s="39"/>
    </row>
    <row r="6" spans="1:37" ht="18.75" x14ac:dyDescent="0.25">
      <c r="A6" s="26" t="s">
        <v>13</v>
      </c>
      <c r="B6" s="23">
        <f>B7+B8</f>
        <v>22082</v>
      </c>
      <c r="C6" s="23">
        <f>C7+C8</f>
        <v>8907</v>
      </c>
      <c r="D6" s="23">
        <f>D7+D8</f>
        <v>13175</v>
      </c>
      <c r="E6" s="15" t="s">
        <v>14</v>
      </c>
    </row>
    <row r="7" spans="1:37" s="4" customFormat="1" ht="18.75" x14ac:dyDescent="0.25">
      <c r="A7" s="26" t="s">
        <v>10</v>
      </c>
      <c r="B7" s="19">
        <f>SUM(C7:D7)</f>
        <v>8977</v>
      </c>
      <c r="C7" s="19">
        <v>4008</v>
      </c>
      <c r="D7" s="19">
        <v>4969</v>
      </c>
      <c r="E7" s="15" t="s">
        <v>4</v>
      </c>
    </row>
    <row r="8" spans="1:37" s="4" customFormat="1" ht="18.75" x14ac:dyDescent="0.25">
      <c r="A8" s="26" t="s">
        <v>75</v>
      </c>
      <c r="B8" s="19">
        <f>C8+D8</f>
        <v>13105</v>
      </c>
      <c r="C8" s="19">
        <f>SUM(C9:C28)</f>
        <v>4899</v>
      </c>
      <c r="D8" s="19">
        <f>SUM(D9:D28)</f>
        <v>8206</v>
      </c>
      <c r="E8" s="24" t="s">
        <v>5</v>
      </c>
      <c r="AJ8" s="25"/>
      <c r="AK8" s="25"/>
    </row>
    <row r="9" spans="1:37" ht="15.75" x14ac:dyDescent="0.25">
      <c r="A9" s="20" t="s">
        <v>15</v>
      </c>
      <c r="B9" s="19">
        <f t="shared" ref="B9:B27" si="0">C9+D9</f>
        <v>823</v>
      </c>
      <c r="C9" s="21">
        <v>329</v>
      </c>
      <c r="D9" s="21">
        <v>494</v>
      </c>
      <c r="E9" s="18" t="s">
        <v>16</v>
      </c>
      <c r="AJ9" s="17" t="s">
        <v>55</v>
      </c>
      <c r="AK9" s="16">
        <f>B9</f>
        <v>823</v>
      </c>
    </row>
    <row r="10" spans="1:37" ht="15.75" x14ac:dyDescent="0.25">
      <c r="A10" s="20" t="s">
        <v>17</v>
      </c>
      <c r="B10" s="19">
        <f t="shared" si="0"/>
        <v>1116</v>
      </c>
      <c r="C10" s="21">
        <v>426</v>
      </c>
      <c r="D10" s="21">
        <v>690</v>
      </c>
      <c r="E10" s="18" t="s">
        <v>18</v>
      </c>
      <c r="AJ10" s="17" t="s">
        <v>56</v>
      </c>
      <c r="AK10" s="16">
        <f t="shared" ref="AK10:AK28" si="1">B10</f>
        <v>1116</v>
      </c>
    </row>
    <row r="11" spans="1:37" ht="15.75" x14ac:dyDescent="0.25">
      <c r="A11" s="20" t="s">
        <v>19</v>
      </c>
      <c r="B11" s="19">
        <f t="shared" si="0"/>
        <v>827</v>
      </c>
      <c r="C11" s="21">
        <v>419</v>
      </c>
      <c r="D11" s="21">
        <v>408</v>
      </c>
      <c r="E11" s="18" t="s">
        <v>20</v>
      </c>
      <c r="AJ11" s="17" t="s">
        <v>57</v>
      </c>
      <c r="AK11" s="16">
        <f t="shared" si="1"/>
        <v>827</v>
      </c>
    </row>
    <row r="12" spans="1:37" ht="15.75" x14ac:dyDescent="0.25">
      <c r="A12" s="20" t="s">
        <v>21</v>
      </c>
      <c r="B12" s="19">
        <f t="shared" si="0"/>
        <v>686</v>
      </c>
      <c r="C12" s="21">
        <v>281</v>
      </c>
      <c r="D12" s="21">
        <v>405</v>
      </c>
      <c r="E12" s="18" t="s">
        <v>22</v>
      </c>
      <c r="AJ12" s="17" t="s">
        <v>58</v>
      </c>
      <c r="AK12" s="16">
        <f t="shared" si="1"/>
        <v>686</v>
      </c>
    </row>
    <row r="13" spans="1:37" ht="15.75" x14ac:dyDescent="0.25">
      <c r="A13" s="20" t="s">
        <v>23</v>
      </c>
      <c r="B13" s="19">
        <f t="shared" si="0"/>
        <v>1049</v>
      </c>
      <c r="C13" s="21">
        <v>449</v>
      </c>
      <c r="D13" s="21">
        <v>600</v>
      </c>
      <c r="E13" s="18" t="s">
        <v>24</v>
      </c>
      <c r="AJ13" s="17" t="s">
        <v>60</v>
      </c>
      <c r="AK13" s="16">
        <f t="shared" si="1"/>
        <v>1049</v>
      </c>
    </row>
    <row r="14" spans="1:37" ht="15.75" x14ac:dyDescent="0.25">
      <c r="A14" s="20" t="s">
        <v>25</v>
      </c>
      <c r="B14" s="19">
        <f t="shared" si="0"/>
        <v>705</v>
      </c>
      <c r="C14" s="21">
        <v>263</v>
      </c>
      <c r="D14" s="21">
        <v>442</v>
      </c>
      <c r="E14" s="18" t="s">
        <v>26</v>
      </c>
      <c r="AJ14" s="17" t="s">
        <v>61</v>
      </c>
      <c r="AK14" s="16">
        <f t="shared" si="1"/>
        <v>705</v>
      </c>
    </row>
    <row r="15" spans="1:37" ht="15.75" x14ac:dyDescent="0.25">
      <c r="A15" s="20" t="s">
        <v>27</v>
      </c>
      <c r="B15" s="19">
        <f t="shared" si="0"/>
        <v>431</v>
      </c>
      <c r="C15" s="21">
        <v>158</v>
      </c>
      <c r="D15" s="21">
        <v>273</v>
      </c>
      <c r="E15" s="18" t="s">
        <v>28</v>
      </c>
      <c r="AJ15" s="17" t="s">
        <v>62</v>
      </c>
      <c r="AK15" s="16">
        <f t="shared" si="1"/>
        <v>431</v>
      </c>
    </row>
    <row r="16" spans="1:37" ht="15.75" x14ac:dyDescent="0.25">
      <c r="A16" s="20" t="s">
        <v>29</v>
      </c>
      <c r="B16" s="19">
        <f t="shared" si="0"/>
        <v>977</v>
      </c>
      <c r="C16" s="21">
        <v>336</v>
      </c>
      <c r="D16" s="21">
        <v>641</v>
      </c>
      <c r="E16" s="18" t="s">
        <v>30</v>
      </c>
      <c r="AJ16" s="17" t="s">
        <v>63</v>
      </c>
      <c r="AK16" s="16">
        <f t="shared" si="1"/>
        <v>977</v>
      </c>
    </row>
    <row r="17" spans="1:38" ht="15.75" x14ac:dyDescent="0.25">
      <c r="A17" s="20" t="s">
        <v>31</v>
      </c>
      <c r="B17" s="19">
        <f t="shared" si="0"/>
        <v>406</v>
      </c>
      <c r="C17" s="21">
        <v>152</v>
      </c>
      <c r="D17" s="21">
        <v>254</v>
      </c>
      <c r="E17" s="18" t="s">
        <v>32</v>
      </c>
      <c r="AJ17" s="17" t="s">
        <v>64</v>
      </c>
      <c r="AK17" s="16">
        <f t="shared" si="1"/>
        <v>406</v>
      </c>
    </row>
    <row r="18" spans="1:38" ht="15.75" x14ac:dyDescent="0.25">
      <c r="A18" s="20" t="s">
        <v>33</v>
      </c>
      <c r="B18" s="19">
        <f t="shared" si="0"/>
        <v>529</v>
      </c>
      <c r="C18" s="21">
        <v>166</v>
      </c>
      <c r="D18" s="21">
        <v>363</v>
      </c>
      <c r="E18" s="18" t="s">
        <v>34</v>
      </c>
      <c r="AJ18" s="17" t="s">
        <v>65</v>
      </c>
      <c r="AK18" s="16">
        <f t="shared" si="1"/>
        <v>529</v>
      </c>
    </row>
    <row r="19" spans="1:38" ht="15.75" x14ac:dyDescent="0.25">
      <c r="A19" s="20" t="s">
        <v>35</v>
      </c>
      <c r="B19" s="19">
        <f t="shared" si="0"/>
        <v>160</v>
      </c>
      <c r="C19" s="21">
        <v>62</v>
      </c>
      <c r="D19" s="21">
        <v>98</v>
      </c>
      <c r="E19" s="18" t="s">
        <v>36</v>
      </c>
      <c r="AJ19" s="17" t="s">
        <v>66</v>
      </c>
      <c r="AK19" s="16">
        <f t="shared" si="1"/>
        <v>160</v>
      </c>
    </row>
    <row r="20" spans="1:38" ht="15.75" x14ac:dyDescent="0.25">
      <c r="A20" s="20" t="s">
        <v>37</v>
      </c>
      <c r="B20" s="19">
        <f t="shared" si="0"/>
        <v>413</v>
      </c>
      <c r="C20" s="21">
        <v>182</v>
      </c>
      <c r="D20" s="21">
        <v>231</v>
      </c>
      <c r="E20" s="18" t="s">
        <v>38</v>
      </c>
      <c r="AJ20" s="17" t="s">
        <v>67</v>
      </c>
      <c r="AK20" s="16">
        <f t="shared" si="1"/>
        <v>413</v>
      </c>
    </row>
    <row r="21" spans="1:38" ht="15.75" x14ac:dyDescent="0.25">
      <c r="A21" s="20" t="s">
        <v>39</v>
      </c>
      <c r="B21" s="19">
        <f t="shared" si="0"/>
        <v>415</v>
      </c>
      <c r="C21" s="21">
        <v>161</v>
      </c>
      <c r="D21" s="21">
        <v>254</v>
      </c>
      <c r="E21" s="18" t="s">
        <v>40</v>
      </c>
      <c r="AJ21" s="17" t="s">
        <v>68</v>
      </c>
      <c r="AK21" s="16">
        <f t="shared" si="1"/>
        <v>415</v>
      </c>
      <c r="AL21" s="14"/>
    </row>
    <row r="22" spans="1:38" ht="15.75" x14ac:dyDescent="0.25">
      <c r="A22" s="20" t="s">
        <v>41</v>
      </c>
      <c r="B22" s="19">
        <f t="shared" si="0"/>
        <v>438</v>
      </c>
      <c r="C22" s="21">
        <v>157</v>
      </c>
      <c r="D22" s="21">
        <v>281</v>
      </c>
      <c r="E22" s="18" t="s">
        <v>42</v>
      </c>
      <c r="AJ22" s="17" t="s">
        <v>69</v>
      </c>
      <c r="AK22" s="16">
        <f t="shared" si="1"/>
        <v>438</v>
      </c>
      <c r="AL22" s="19"/>
    </row>
    <row r="23" spans="1:38" ht="15.75" x14ac:dyDescent="0.25">
      <c r="A23" s="20" t="s">
        <v>43</v>
      </c>
      <c r="B23" s="19">
        <f t="shared" si="0"/>
        <v>781</v>
      </c>
      <c r="C23" s="21">
        <v>333</v>
      </c>
      <c r="D23" s="21">
        <v>448</v>
      </c>
      <c r="E23" s="18" t="s">
        <v>44</v>
      </c>
      <c r="AJ23" s="17" t="s">
        <v>70</v>
      </c>
      <c r="AK23" s="16">
        <f t="shared" si="1"/>
        <v>781</v>
      </c>
      <c r="AL23" s="19"/>
    </row>
    <row r="24" spans="1:38" ht="15.75" x14ac:dyDescent="0.25">
      <c r="A24" s="20" t="s">
        <v>45</v>
      </c>
      <c r="B24" s="19">
        <f t="shared" si="0"/>
        <v>800</v>
      </c>
      <c r="C24" s="21">
        <v>322</v>
      </c>
      <c r="D24" s="21">
        <v>478</v>
      </c>
      <c r="E24" s="18" t="s">
        <v>46</v>
      </c>
      <c r="AJ24" s="17" t="s">
        <v>71</v>
      </c>
      <c r="AK24" s="16">
        <f t="shared" si="1"/>
        <v>800</v>
      </c>
      <c r="AL24" s="14"/>
    </row>
    <row r="25" spans="1:38" ht="15.75" x14ac:dyDescent="0.25">
      <c r="A25" s="20" t="s">
        <v>47</v>
      </c>
      <c r="B25" s="19">
        <f t="shared" si="0"/>
        <v>578</v>
      </c>
      <c r="C25" s="21">
        <v>177</v>
      </c>
      <c r="D25" s="21">
        <v>401</v>
      </c>
      <c r="E25" s="18" t="s">
        <v>48</v>
      </c>
      <c r="AJ25" s="17" t="s">
        <v>72</v>
      </c>
      <c r="AK25" s="16">
        <f t="shared" si="1"/>
        <v>578</v>
      </c>
      <c r="AL25" s="19"/>
    </row>
    <row r="26" spans="1:38" ht="15.75" x14ac:dyDescent="0.25">
      <c r="A26" s="20" t="s">
        <v>49</v>
      </c>
      <c r="B26" s="19">
        <f t="shared" si="0"/>
        <v>725</v>
      </c>
      <c r="C26" s="21">
        <v>265</v>
      </c>
      <c r="D26" s="21">
        <v>460</v>
      </c>
      <c r="E26" s="18" t="s">
        <v>50</v>
      </c>
      <c r="AJ26" s="17" t="s">
        <v>73</v>
      </c>
      <c r="AK26" s="16">
        <f t="shared" si="1"/>
        <v>725</v>
      </c>
      <c r="AL26" s="19"/>
    </row>
    <row r="27" spans="1:38" ht="15.75" x14ac:dyDescent="0.25">
      <c r="A27" s="20" t="s">
        <v>51</v>
      </c>
      <c r="B27" s="19">
        <f t="shared" si="0"/>
        <v>388</v>
      </c>
      <c r="C27" s="21">
        <v>91</v>
      </c>
      <c r="D27" s="21">
        <v>297</v>
      </c>
      <c r="E27" s="18" t="s">
        <v>52</v>
      </c>
      <c r="AJ27" s="17" t="s">
        <v>74</v>
      </c>
      <c r="AK27" s="16">
        <f t="shared" si="1"/>
        <v>388</v>
      </c>
      <c r="AL27" s="14"/>
    </row>
    <row r="28" spans="1:38" ht="15.75" x14ac:dyDescent="0.25">
      <c r="A28" s="27" t="s">
        <v>53</v>
      </c>
      <c r="B28" s="22">
        <f>C28+D28</f>
        <v>858</v>
      </c>
      <c r="C28" s="29">
        <v>170</v>
      </c>
      <c r="D28" s="29">
        <v>688</v>
      </c>
      <c r="E28" s="28" t="s">
        <v>54</v>
      </c>
      <c r="AJ28" s="17" t="s">
        <v>59</v>
      </c>
      <c r="AK28" s="16">
        <f t="shared" si="1"/>
        <v>858</v>
      </c>
      <c r="AL28" s="14"/>
    </row>
    <row r="29" spans="1:38" ht="17.25" x14ac:dyDescent="0.25">
      <c r="A29" s="7" t="s">
        <v>7</v>
      </c>
      <c r="B29" s="10"/>
      <c r="C29" s="10"/>
      <c r="E29" s="2" t="s">
        <v>9</v>
      </c>
      <c r="AL29" s="14"/>
    </row>
    <row r="30" spans="1:38" x14ac:dyDescent="0.25">
      <c r="AL30" s="19"/>
    </row>
    <row r="31" spans="1:38" x14ac:dyDescent="0.25">
      <c r="AL31" s="19"/>
    </row>
    <row r="32" spans="1:38" x14ac:dyDescent="0.25">
      <c r="AL32" s="14"/>
    </row>
    <row r="33" spans="36:38" x14ac:dyDescent="0.25">
      <c r="AL33" s="19"/>
    </row>
    <row r="34" spans="36:38" x14ac:dyDescent="0.25">
      <c r="AL34" s="19"/>
    </row>
    <row r="35" spans="36:38" x14ac:dyDescent="0.25">
      <c r="AL35" s="14"/>
    </row>
    <row r="36" spans="36:38" x14ac:dyDescent="0.25">
      <c r="AL36" s="19"/>
    </row>
    <row r="37" spans="36:38" x14ac:dyDescent="0.25">
      <c r="AL37" s="19"/>
    </row>
    <row r="38" spans="36:38" x14ac:dyDescent="0.25">
      <c r="AL38" s="14"/>
    </row>
    <row r="39" spans="36:38" x14ac:dyDescent="0.25">
      <c r="AL39" s="19"/>
    </row>
    <row r="44" spans="36:38" x14ac:dyDescent="0.25">
      <c r="AK44" s="12" t="s">
        <v>2</v>
      </c>
      <c r="AL44" s="12" t="s">
        <v>3</v>
      </c>
    </row>
    <row r="45" spans="36:38" x14ac:dyDescent="0.25">
      <c r="AJ45" s="17" t="s">
        <v>55</v>
      </c>
      <c r="AK45" s="16">
        <f t="shared" ref="AK45:AK64" si="2">C9</f>
        <v>329</v>
      </c>
      <c r="AL45" s="16">
        <f t="shared" ref="AL45:AL64" si="3">D9</f>
        <v>494</v>
      </c>
    </row>
    <row r="46" spans="36:38" x14ac:dyDescent="0.25">
      <c r="AJ46" s="17" t="s">
        <v>56</v>
      </c>
      <c r="AK46" s="16">
        <f t="shared" si="2"/>
        <v>426</v>
      </c>
      <c r="AL46" s="16">
        <f t="shared" si="3"/>
        <v>690</v>
      </c>
    </row>
    <row r="47" spans="36:38" x14ac:dyDescent="0.25">
      <c r="AJ47" s="17" t="s">
        <v>57</v>
      </c>
      <c r="AK47" s="16">
        <f t="shared" si="2"/>
        <v>419</v>
      </c>
      <c r="AL47" s="16">
        <f t="shared" si="3"/>
        <v>408</v>
      </c>
    </row>
    <row r="48" spans="36:38" x14ac:dyDescent="0.25">
      <c r="AJ48" s="17" t="s">
        <v>58</v>
      </c>
      <c r="AK48" s="16">
        <f t="shared" si="2"/>
        <v>281</v>
      </c>
      <c r="AL48" s="16">
        <f t="shared" si="3"/>
        <v>405</v>
      </c>
    </row>
    <row r="49" spans="1:38" x14ac:dyDescent="0.25">
      <c r="AJ49" s="17" t="s">
        <v>60</v>
      </c>
      <c r="AK49" s="16">
        <f t="shared" si="2"/>
        <v>449</v>
      </c>
      <c r="AL49" s="16">
        <f t="shared" si="3"/>
        <v>600</v>
      </c>
    </row>
    <row r="50" spans="1:38" x14ac:dyDescent="0.25">
      <c r="AJ50" s="17" t="s">
        <v>61</v>
      </c>
      <c r="AK50" s="16">
        <f t="shared" si="2"/>
        <v>263</v>
      </c>
      <c r="AL50" s="16">
        <f t="shared" si="3"/>
        <v>442</v>
      </c>
    </row>
    <row r="51" spans="1:38" x14ac:dyDescent="0.25">
      <c r="A51" s="10"/>
      <c r="B51" s="10"/>
      <c r="AJ51" s="17" t="s">
        <v>62</v>
      </c>
      <c r="AK51" s="16">
        <f t="shared" si="2"/>
        <v>158</v>
      </c>
      <c r="AL51" s="16">
        <f t="shared" si="3"/>
        <v>273</v>
      </c>
    </row>
    <row r="52" spans="1:38" x14ac:dyDescent="0.25">
      <c r="AJ52" s="17" t="s">
        <v>63</v>
      </c>
      <c r="AK52" s="16">
        <f t="shared" si="2"/>
        <v>336</v>
      </c>
      <c r="AL52" s="16">
        <f t="shared" si="3"/>
        <v>641</v>
      </c>
    </row>
    <row r="53" spans="1:38" x14ac:dyDescent="0.25">
      <c r="AJ53" s="17" t="s">
        <v>64</v>
      </c>
      <c r="AK53" s="16">
        <f t="shared" si="2"/>
        <v>152</v>
      </c>
      <c r="AL53" s="16">
        <f t="shared" si="3"/>
        <v>254</v>
      </c>
    </row>
    <row r="54" spans="1:38" x14ac:dyDescent="0.25">
      <c r="AJ54" s="17" t="s">
        <v>65</v>
      </c>
      <c r="AK54" s="16">
        <f t="shared" si="2"/>
        <v>166</v>
      </c>
      <c r="AL54" s="16">
        <f t="shared" si="3"/>
        <v>363</v>
      </c>
    </row>
    <row r="55" spans="1:38" x14ac:dyDescent="0.25">
      <c r="A55" s="10"/>
      <c r="B55" s="10"/>
      <c r="AJ55" s="17" t="s">
        <v>66</v>
      </c>
      <c r="AK55" s="16">
        <f t="shared" si="2"/>
        <v>62</v>
      </c>
      <c r="AL55" s="16">
        <f t="shared" si="3"/>
        <v>98</v>
      </c>
    </row>
    <row r="56" spans="1:38" x14ac:dyDescent="0.25">
      <c r="AJ56" s="17" t="s">
        <v>67</v>
      </c>
      <c r="AK56" s="16">
        <f t="shared" si="2"/>
        <v>182</v>
      </c>
      <c r="AL56" s="16">
        <f t="shared" si="3"/>
        <v>231</v>
      </c>
    </row>
    <row r="57" spans="1:38" x14ac:dyDescent="0.25">
      <c r="AJ57" s="17" t="s">
        <v>68</v>
      </c>
      <c r="AK57" s="16">
        <f t="shared" si="2"/>
        <v>161</v>
      </c>
      <c r="AL57" s="16">
        <f t="shared" si="3"/>
        <v>254</v>
      </c>
    </row>
    <row r="58" spans="1:38" x14ac:dyDescent="0.25">
      <c r="AJ58" s="17" t="s">
        <v>69</v>
      </c>
      <c r="AK58" s="16">
        <f t="shared" si="2"/>
        <v>157</v>
      </c>
      <c r="AL58" s="16">
        <f t="shared" si="3"/>
        <v>281</v>
      </c>
    </row>
    <row r="59" spans="1:38" x14ac:dyDescent="0.25">
      <c r="AJ59" s="17" t="s">
        <v>70</v>
      </c>
      <c r="AK59" s="16">
        <f t="shared" si="2"/>
        <v>333</v>
      </c>
      <c r="AL59" s="16">
        <f t="shared" si="3"/>
        <v>448</v>
      </c>
    </row>
    <row r="60" spans="1:38" x14ac:dyDescent="0.25">
      <c r="AJ60" s="17" t="s">
        <v>71</v>
      </c>
      <c r="AK60" s="16">
        <f t="shared" si="2"/>
        <v>322</v>
      </c>
      <c r="AL60" s="16">
        <f t="shared" si="3"/>
        <v>478</v>
      </c>
    </row>
    <row r="61" spans="1:38" x14ac:dyDescent="0.25">
      <c r="AJ61" s="17" t="s">
        <v>72</v>
      </c>
      <c r="AK61" s="16">
        <f t="shared" si="2"/>
        <v>177</v>
      </c>
      <c r="AL61" s="16">
        <f t="shared" si="3"/>
        <v>401</v>
      </c>
    </row>
    <row r="62" spans="1:38" x14ac:dyDescent="0.25">
      <c r="AJ62" s="17" t="s">
        <v>73</v>
      </c>
      <c r="AK62" s="16">
        <f t="shared" si="2"/>
        <v>265</v>
      </c>
      <c r="AL62" s="16">
        <f t="shared" si="3"/>
        <v>460</v>
      </c>
    </row>
    <row r="63" spans="1:38" x14ac:dyDescent="0.25">
      <c r="AJ63" s="17" t="s">
        <v>74</v>
      </c>
      <c r="AK63" s="16">
        <f t="shared" si="2"/>
        <v>91</v>
      </c>
      <c r="AL63" s="16">
        <f t="shared" si="3"/>
        <v>297</v>
      </c>
    </row>
    <row r="64" spans="1:38" x14ac:dyDescent="0.25">
      <c r="AJ64" s="17" t="s">
        <v>59</v>
      </c>
      <c r="AK64" s="16">
        <f t="shared" si="2"/>
        <v>170</v>
      </c>
      <c r="AL64" s="16">
        <f t="shared" si="3"/>
        <v>688</v>
      </c>
    </row>
    <row r="68" spans="1:6" x14ac:dyDescent="0.25">
      <c r="A68" s="3"/>
      <c r="B68" s="3"/>
      <c r="C68" s="3"/>
      <c r="D68" s="3"/>
      <c r="E68" s="3"/>
      <c r="F68" s="3"/>
    </row>
    <row r="69" spans="1:6" ht="21" x14ac:dyDescent="0.55000000000000004">
      <c r="A69" s="8"/>
      <c r="B69" s="8"/>
      <c r="C69" s="8"/>
      <c r="D69" s="8"/>
      <c r="E69" s="8"/>
      <c r="F69" s="3"/>
    </row>
    <row r="70" spans="1:6" x14ac:dyDescent="0.25">
      <c r="A70" s="32"/>
      <c r="B70" s="32"/>
      <c r="C70" s="32"/>
      <c r="D70" s="32"/>
      <c r="E70" s="32"/>
      <c r="F70" s="3"/>
    </row>
    <row r="71" spans="1:6" x14ac:dyDescent="0.25">
      <c r="A71" s="3"/>
      <c r="B71" s="3"/>
      <c r="C71" s="3"/>
      <c r="D71" s="3"/>
      <c r="E71" s="3"/>
      <c r="F71" s="3"/>
    </row>
    <row r="72" spans="1:6" ht="18.75" customHeight="1" x14ac:dyDescent="0.25">
      <c r="A72" s="9"/>
      <c r="B72" s="5"/>
      <c r="C72" s="5"/>
      <c r="D72" s="5"/>
      <c r="E72" s="33"/>
      <c r="F72" s="3"/>
    </row>
    <row r="73" spans="1:6" ht="15" customHeight="1" x14ac:dyDescent="0.25">
      <c r="A73" s="9"/>
      <c r="B73" s="6"/>
      <c r="C73" s="6"/>
      <c r="D73" s="6"/>
      <c r="E73" s="33"/>
      <c r="F73" s="3"/>
    </row>
    <row r="74" spans="1:6" ht="18.75" x14ac:dyDescent="0.25">
      <c r="A74" s="26"/>
      <c r="B74" s="30"/>
      <c r="C74" s="30"/>
      <c r="D74" s="30"/>
      <c r="E74" s="15"/>
      <c r="F74" s="3"/>
    </row>
    <row r="75" spans="1:6" ht="18.75" x14ac:dyDescent="0.25">
      <c r="A75" s="26"/>
      <c r="B75" s="19"/>
      <c r="C75" s="19"/>
      <c r="D75" s="19"/>
      <c r="E75" s="15"/>
      <c r="F75" s="3"/>
    </row>
    <row r="76" spans="1:6" ht="18.75" x14ac:dyDescent="0.25">
      <c r="A76" s="26"/>
      <c r="B76" s="19"/>
      <c r="C76" s="19"/>
      <c r="D76" s="19"/>
      <c r="E76" s="24"/>
      <c r="F76" s="3"/>
    </row>
    <row r="77" spans="1:6" ht="15.75" x14ac:dyDescent="0.25">
      <c r="A77" s="20"/>
      <c r="B77" s="19"/>
      <c r="C77" s="21"/>
      <c r="D77" s="21"/>
      <c r="E77" s="18"/>
      <c r="F77" s="3"/>
    </row>
    <row r="78" spans="1:6" ht="15.75" x14ac:dyDescent="0.25">
      <c r="A78" s="20"/>
      <c r="B78" s="19"/>
      <c r="C78" s="21"/>
      <c r="D78" s="21"/>
      <c r="E78" s="18"/>
      <c r="F78" s="3"/>
    </row>
    <row r="79" spans="1:6" ht="15.75" x14ac:dyDescent="0.25">
      <c r="A79" s="20"/>
      <c r="B79" s="19"/>
      <c r="C79" s="21"/>
      <c r="D79" s="21"/>
      <c r="E79" s="18"/>
      <c r="F79" s="3"/>
    </row>
    <row r="80" spans="1:6" ht="15.75" x14ac:dyDescent="0.25">
      <c r="A80" s="20"/>
      <c r="B80" s="19"/>
      <c r="C80" s="21"/>
      <c r="D80" s="21"/>
      <c r="E80" s="18"/>
      <c r="F80" s="3"/>
    </row>
    <row r="81" spans="1:6" ht="15.75" x14ac:dyDescent="0.25">
      <c r="A81" s="20"/>
      <c r="B81" s="19"/>
      <c r="C81" s="21"/>
      <c r="D81" s="21"/>
      <c r="E81" s="18"/>
      <c r="F81" s="3"/>
    </row>
    <row r="82" spans="1:6" ht="15.75" x14ac:dyDescent="0.25">
      <c r="A82" s="20"/>
      <c r="B82" s="19"/>
      <c r="C82" s="21"/>
      <c r="D82" s="21"/>
      <c r="E82" s="18"/>
      <c r="F82" s="3"/>
    </row>
    <row r="83" spans="1:6" ht="15.75" x14ac:dyDescent="0.25">
      <c r="A83" s="20"/>
      <c r="B83" s="19"/>
      <c r="C83" s="21"/>
      <c r="D83" s="21"/>
      <c r="E83" s="18"/>
      <c r="F83" s="3"/>
    </row>
    <row r="84" spans="1:6" ht="15.75" x14ac:dyDescent="0.25">
      <c r="A84" s="20"/>
      <c r="B84" s="19"/>
      <c r="C84" s="21"/>
      <c r="D84" s="21"/>
      <c r="E84" s="18"/>
      <c r="F84" s="3"/>
    </row>
    <row r="85" spans="1:6" ht="15.75" x14ac:dyDescent="0.25">
      <c r="A85" s="20"/>
      <c r="B85" s="19"/>
      <c r="C85" s="21"/>
      <c r="D85" s="21"/>
      <c r="E85" s="18"/>
      <c r="F85" s="3"/>
    </row>
    <row r="86" spans="1:6" ht="15.75" x14ac:dyDescent="0.25">
      <c r="A86" s="20"/>
      <c r="B86" s="19"/>
      <c r="C86" s="21"/>
      <c r="D86" s="21"/>
      <c r="E86" s="18"/>
      <c r="F86" s="3"/>
    </row>
    <row r="87" spans="1:6" ht="15.75" x14ac:dyDescent="0.25">
      <c r="A87" s="20"/>
      <c r="B87" s="19"/>
      <c r="C87" s="21"/>
      <c r="D87" s="21"/>
      <c r="E87" s="18"/>
      <c r="F87" s="3"/>
    </row>
    <row r="88" spans="1:6" ht="15.75" x14ac:dyDescent="0.25">
      <c r="A88" s="20"/>
      <c r="B88" s="19"/>
      <c r="C88" s="21"/>
      <c r="D88" s="21"/>
      <c r="E88" s="18"/>
      <c r="F88" s="3"/>
    </row>
    <row r="89" spans="1:6" ht="15.75" x14ac:dyDescent="0.25">
      <c r="A89" s="20"/>
      <c r="B89" s="19"/>
      <c r="C89" s="21"/>
      <c r="D89" s="21"/>
      <c r="E89" s="18"/>
      <c r="F89" s="3"/>
    </row>
    <row r="90" spans="1:6" ht="15.75" x14ac:dyDescent="0.25">
      <c r="A90" s="20"/>
      <c r="B90" s="19"/>
      <c r="C90" s="21"/>
      <c r="D90" s="21"/>
      <c r="E90" s="18"/>
      <c r="F90" s="3"/>
    </row>
    <row r="91" spans="1:6" ht="15.75" x14ac:dyDescent="0.25">
      <c r="A91" s="20"/>
      <c r="B91" s="19"/>
      <c r="C91" s="21"/>
      <c r="D91" s="21"/>
      <c r="E91" s="18"/>
      <c r="F91" s="3"/>
    </row>
    <row r="92" spans="1:6" ht="15.75" x14ac:dyDescent="0.25">
      <c r="A92" s="20"/>
      <c r="B92" s="19"/>
      <c r="C92" s="21"/>
      <c r="D92" s="21"/>
      <c r="E92" s="18"/>
      <c r="F92" s="3"/>
    </row>
    <row r="93" spans="1:6" ht="15.75" x14ac:dyDescent="0.25">
      <c r="A93" s="20"/>
      <c r="B93" s="19"/>
      <c r="C93" s="21"/>
      <c r="D93" s="21"/>
      <c r="E93" s="18"/>
      <c r="F93" s="3"/>
    </row>
    <row r="94" spans="1:6" ht="15.75" x14ac:dyDescent="0.25">
      <c r="A94" s="20"/>
      <c r="B94" s="19"/>
      <c r="C94" s="21"/>
      <c r="D94" s="21"/>
      <c r="E94" s="18"/>
      <c r="F94" s="3"/>
    </row>
    <row r="95" spans="1:6" ht="15.75" x14ac:dyDescent="0.25">
      <c r="A95" s="20"/>
      <c r="B95" s="19"/>
      <c r="C95" s="21"/>
      <c r="D95" s="21"/>
      <c r="E95" s="18"/>
      <c r="F95" s="3"/>
    </row>
    <row r="96" spans="1:6" ht="15.75" x14ac:dyDescent="0.25">
      <c r="A96" s="20"/>
      <c r="B96" s="19"/>
      <c r="C96" s="21"/>
      <c r="D96" s="21"/>
      <c r="E96" s="18"/>
      <c r="F96" s="3"/>
    </row>
    <row r="97" spans="1:6" ht="18.75" x14ac:dyDescent="0.25">
      <c r="A97" s="26"/>
      <c r="B97" s="9"/>
      <c r="C97" s="19"/>
      <c r="D97" s="19"/>
      <c r="E97" s="24"/>
      <c r="F97" s="3"/>
    </row>
    <row r="98" spans="1:6" ht="17.25" x14ac:dyDescent="0.25">
      <c r="A98" s="31"/>
      <c r="B98" s="1"/>
      <c r="C98" s="1"/>
      <c r="D98" s="3"/>
      <c r="E98" s="2"/>
      <c r="F98" s="3"/>
    </row>
    <row r="99" spans="1:6" x14ac:dyDescent="0.25">
      <c r="A99" s="3"/>
      <c r="B99" s="3"/>
      <c r="C99" s="3"/>
      <c r="D99" s="3"/>
      <c r="E99" s="3"/>
      <c r="F99" s="3"/>
    </row>
    <row r="100" spans="1:6" x14ac:dyDescent="0.25">
      <c r="A100" s="3"/>
      <c r="B100" s="3"/>
      <c r="C100" s="3"/>
      <c r="D100" s="3"/>
      <c r="E100" s="3"/>
      <c r="F100" s="3"/>
    </row>
    <row r="101" spans="1:6" x14ac:dyDescent="0.25">
      <c r="A101" s="3"/>
      <c r="B101" s="3"/>
      <c r="C101" s="3"/>
      <c r="D101" s="3"/>
      <c r="E101" s="3"/>
      <c r="F101" s="3"/>
    </row>
    <row r="102" spans="1:6" x14ac:dyDescent="0.25">
      <c r="A102" s="3"/>
      <c r="B102" s="3"/>
      <c r="C102" s="3"/>
      <c r="D102" s="3"/>
      <c r="E102" s="3"/>
      <c r="F102" s="3"/>
    </row>
    <row r="103" spans="1:6" x14ac:dyDescent="0.25">
      <c r="A103" s="3"/>
      <c r="B103" s="3"/>
      <c r="C103" s="3"/>
      <c r="D103" s="3"/>
      <c r="E103" s="3"/>
      <c r="F103" s="3"/>
    </row>
    <row r="104" spans="1:6" x14ac:dyDescent="0.25">
      <c r="A104" s="3"/>
      <c r="B104" s="3"/>
      <c r="C104" s="3"/>
      <c r="D104" s="3"/>
      <c r="E104" s="3"/>
      <c r="F104" s="3"/>
    </row>
    <row r="105" spans="1:6" x14ac:dyDescent="0.25">
      <c r="A105" s="3"/>
      <c r="B105" s="3"/>
      <c r="C105" s="3"/>
      <c r="D105" s="3"/>
      <c r="E105" s="3"/>
      <c r="F105" s="3"/>
    </row>
    <row r="106" spans="1:6" x14ac:dyDescent="0.25">
      <c r="A106" s="3"/>
      <c r="B106" s="3"/>
      <c r="C106" s="3"/>
      <c r="D106" s="3"/>
      <c r="E106" s="3"/>
      <c r="F106" s="3"/>
    </row>
    <row r="107" spans="1:6" x14ac:dyDescent="0.25">
      <c r="A107" s="3"/>
      <c r="B107" s="3"/>
      <c r="C107" s="3"/>
      <c r="D107" s="3"/>
      <c r="E107" s="3"/>
      <c r="F107" s="3"/>
    </row>
    <row r="108" spans="1:6" x14ac:dyDescent="0.25">
      <c r="A108" s="3"/>
      <c r="B108" s="3"/>
      <c r="C108" s="3"/>
      <c r="D108" s="3"/>
      <c r="E108" s="3"/>
      <c r="F108" s="3"/>
    </row>
  </sheetData>
  <sortState ref="AJ9:AK27">
    <sortCondition descending="1" ref="AK20"/>
  </sortState>
  <mergeCells count="4">
    <mergeCell ref="A1:E1"/>
    <mergeCell ref="A2:E2"/>
    <mergeCell ref="A4:A5"/>
    <mergeCell ref="E4:E5"/>
  </mergeCells>
  <conditionalFormatting sqref="B32">
    <cfRule type="duplicateValues" dxfId="12" priority="64"/>
  </conditionalFormatting>
  <conditionalFormatting sqref="B34">
    <cfRule type="duplicateValues" dxfId="11" priority="62"/>
  </conditionalFormatting>
  <conditionalFormatting sqref="B41">
    <cfRule type="duplicateValues" dxfId="10" priority="61"/>
  </conditionalFormatting>
  <conditionalFormatting sqref="B43">
    <cfRule type="duplicateValues" dxfId="9" priority="60"/>
  </conditionalFormatting>
  <conditionalFormatting sqref="B45:B48">
    <cfRule type="duplicateValues" dxfId="8" priority="59"/>
  </conditionalFormatting>
  <conditionalFormatting sqref="B50">
    <cfRule type="duplicateValues" dxfId="7" priority="58"/>
  </conditionalFormatting>
  <conditionalFormatting sqref="B67">
    <cfRule type="duplicateValues" dxfId="6" priority="49"/>
  </conditionalFormatting>
  <conditionalFormatting sqref="AK9:AK28">
    <cfRule type="duplicateValues" dxfId="5" priority="192"/>
  </conditionalFormatting>
  <conditionalFormatting sqref="B1 C8:D8 B4:B68 B99:B1048576 C6:D6">
    <cfRule type="duplicateValues" dxfId="4" priority="203"/>
  </conditionalFormatting>
  <conditionalFormatting sqref="B33 B35:B40 B42 B44 B49 B51:B66 B1 B68 C8:D8 B4:B31 B99:B1048576 C6:D6">
    <cfRule type="duplicateValues" dxfId="3" priority="210"/>
  </conditionalFormatting>
  <conditionalFormatting sqref="B69 C76:D76 B98 B72:B96 C74:D74">
    <cfRule type="duplicateValues" dxfId="2" priority="1"/>
  </conditionalFormatting>
  <conditionalFormatting sqref="B69">
    <cfRule type="duplicateValues" dxfId="1" priority="2"/>
  </conditionalFormatting>
  <conditionalFormatting sqref="AL21:AL39">
    <cfRule type="duplicateValues" dxfId="0" priority="211"/>
  </conditionalFormatting>
  <pageMargins left="0.7" right="0.7" top="0.22" bottom="0.27" header="0.17" footer="0.17"/>
  <pageSetup paperSize="9" orientation="landscape" horizontalDpi="4294967295" verticalDpi="4294967295" r:id="rId1"/>
  <rowBreaks count="1" manualBreakCount="1">
    <brk id="29" max="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5.3</vt:lpstr>
      <vt:lpstr>'5.3'!Print_Area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2018-05-07T03:59:38Z</cp:lastPrinted>
  <dcterms:created xsi:type="dcterms:W3CDTF">2013-03-26T05:45:33Z</dcterms:created>
  <dcterms:modified xsi:type="dcterms:W3CDTF">2018-05-07T03:59:52Z</dcterms:modified>
</cp:coreProperties>
</file>