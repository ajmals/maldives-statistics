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770" windowHeight="8310" tabRatio="807"/>
  </bookViews>
  <sheets>
    <sheet name="20.1" sheetId="18" r:id="rId1"/>
  </sheets>
  <definedNames>
    <definedName name="_xlnm.Print_Area" localSheetId="0">'20.1'!$A$1:$S$43</definedName>
  </definedNames>
  <calcPr calcId="162913"/>
</workbook>
</file>

<file path=xl/calcChain.xml><?xml version="1.0" encoding="utf-8"?>
<calcChain xmlns="http://schemas.openxmlformats.org/spreadsheetml/2006/main">
  <c r="AF29" i="18" l="1"/>
  <c r="AG29" i="18"/>
  <c r="AE29" i="18"/>
  <c r="H23" i="18" l="1"/>
  <c r="Q23" i="18" l="1"/>
  <c r="G23" i="18"/>
  <c r="I23" i="18"/>
  <c r="J23" i="18"/>
  <c r="AG28" i="18" s="1"/>
  <c r="AF28" i="18" l="1"/>
  <c r="P23" i="18"/>
  <c r="O23" i="18" l="1"/>
  <c r="N23" i="18"/>
  <c r="M23" i="18"/>
  <c r="L23" i="18"/>
  <c r="K23" i="18"/>
  <c r="AE28" i="18"/>
  <c r="AD29" i="18"/>
  <c r="AD28" i="18" s="1"/>
  <c r="F23" i="18"/>
  <c r="AC29" i="18" s="1"/>
  <c r="AC28" i="18" s="1"/>
  <c r="E23" i="18"/>
  <c r="AB29" i="18" s="1"/>
  <c r="AB28" i="18" s="1"/>
  <c r="D23" i="18"/>
  <c r="AA29" i="18" s="1"/>
  <c r="AA28" i="18" s="1"/>
</calcChain>
</file>

<file path=xl/sharedStrings.xml><?xml version="1.0" encoding="utf-8"?>
<sst xmlns="http://schemas.openxmlformats.org/spreadsheetml/2006/main" count="133" uniqueCount="80">
  <si>
    <t>Source: Elections Commission</t>
  </si>
  <si>
    <t xml:space="preserve">މަޢުލޫމާތު ދެއްވި ފަރާތް: އިލެކްޝަންސް ކޮމިޝަން </t>
  </si>
  <si>
    <t>-</t>
  </si>
  <si>
    <t xml:space="preserve">Political parties </t>
  </si>
  <si>
    <t>Year of registration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</si>
  <si>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</si>
  <si>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</si>
  <si>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 ސިޔާސީ ޕާޓީތައް 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</si>
  <si>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</si>
  <si>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</si>
  <si>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</si>
  <si>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>Maldivian Democratic Party</t>
  </si>
  <si>
    <t>26th June 2005</t>
  </si>
  <si>
    <t>ދިވެހިރައްޔިތުންގެ ޑިމޮކްރެޓިކް ޕާޓީ</t>
  </si>
  <si>
    <t>Dhivehi Rayyithunge Party</t>
  </si>
  <si>
    <t>21st July 2005</t>
  </si>
  <si>
    <t xml:space="preserve">ދިވެހިރައްޔިތުންގެ ޕާޓީ </t>
  </si>
  <si>
    <t>Adhaalathu Party</t>
  </si>
  <si>
    <t>18th August 2005</t>
  </si>
  <si>
    <t xml:space="preserve">ޢަދާލަތު ޕާޓީ </t>
  </si>
  <si>
    <t>Islamic Democratic Party</t>
  </si>
  <si>
    <t>12th December 2005</t>
  </si>
  <si>
    <t xml:space="preserve">އިސްލާމިކް ޑިމޮކްރެޓިކް ޕާޓީ </t>
  </si>
  <si>
    <t>Maldivian Social Democratic Party</t>
  </si>
  <si>
    <t>25th December 2006</t>
  </si>
  <si>
    <t xml:space="preserve">ދިވެހިރައްޔިތުންގެ ސޯޝަލް ޑިމޮކްރެޓިކް ޕާޓީ </t>
  </si>
  <si>
    <t>Peoples Party</t>
  </si>
  <si>
    <t>26th December 2007</t>
  </si>
  <si>
    <t xml:space="preserve">ޕީޕަލްސް ޕާޓީ </t>
  </si>
  <si>
    <t>Maldivian National Congress</t>
  </si>
  <si>
    <t xml:space="preserve">މޯލްޑިވިއަން ނެޝަނަލް ކޮންގްރެސް </t>
  </si>
  <si>
    <t>Social Liberal Party</t>
  </si>
  <si>
    <t>2nd December 2007</t>
  </si>
  <si>
    <t>ސޯޝަލް ލިބަރަލް ޕާޓީ</t>
  </si>
  <si>
    <t>Jumhooree Party</t>
  </si>
  <si>
    <t>3rd August 2008</t>
  </si>
  <si>
    <t xml:space="preserve">ޖުމްހޫރީ ޕާޓީ </t>
  </si>
  <si>
    <t>Peoples Alliance</t>
  </si>
  <si>
    <t xml:space="preserve">ޕީޕަލްސް އެލަޔަންސް </t>
  </si>
  <si>
    <t>Maldivian Labour Party</t>
  </si>
  <si>
    <t>4th September 2008</t>
  </si>
  <si>
    <t>މޯލްޑިވިއަން ލޭބަރ ޕާޓީ</t>
  </si>
  <si>
    <t>Gaumee Ihthihaadh</t>
  </si>
  <si>
    <t>ޤައުމީ އިއްތިޚާދު</t>
  </si>
  <si>
    <t>Dhivehi Qaumee Party</t>
  </si>
  <si>
    <t>27th January 2009</t>
  </si>
  <si>
    <t>ދިވެހި ޤައުމީ ޕާޓީ</t>
  </si>
  <si>
    <t>Maldives Reform Movement</t>
  </si>
  <si>
    <t>22nd March 2011</t>
  </si>
  <si>
    <t>މޯލްޑިވްސް ރިފޯމް މޫވްމަންޓް</t>
  </si>
  <si>
    <t>Progressive Party Of Maldives</t>
  </si>
  <si>
    <t>27th October 2011</t>
  </si>
  <si>
    <t>ޕްރޮގްރެސިވް ޕާޓީ އޮފް މޯލްޑިވްސް</t>
  </si>
  <si>
    <t>Maldives Development Alliance</t>
  </si>
  <si>
    <t>20th December 2012</t>
  </si>
  <si>
    <t>މޯލްޑިވްސް ޑިވެލޮޕްމަންޓް އެލަޔަންސް</t>
  </si>
  <si>
    <t xml:space="preserve">          Total</t>
  </si>
  <si>
    <t xml:space="preserve">      ޖުމްލަ</t>
  </si>
  <si>
    <t xml:space="preserve">Note: Due to some reasons money was not given to some of the parties. </t>
  </si>
  <si>
    <t xml:space="preserve">ނޯޓް: އެކި ސަބަބުތަކާހުރެ ބައެއް ސިޔާސީ ޕާޓީތަކަށް ފައިސާދޫކުރެވިފައެއް ނުވެއެވެ. </t>
  </si>
  <si>
    <t>% share</t>
  </si>
  <si>
    <t>Persons registered in political parties</t>
  </si>
  <si>
    <t>Population 18+ (DNP projected)</t>
  </si>
  <si>
    <t>MDP</t>
  </si>
  <si>
    <t>PPM</t>
  </si>
  <si>
    <t>DRP</t>
  </si>
  <si>
    <t>JP</t>
  </si>
  <si>
    <t>AP</t>
  </si>
  <si>
    <t>MDA</t>
  </si>
  <si>
    <t>IDP</t>
  </si>
  <si>
    <t>DQP</t>
  </si>
  <si>
    <t>PA</t>
  </si>
  <si>
    <t>MSDP</t>
  </si>
  <si>
    <t>PP</t>
  </si>
  <si>
    <t>MNC</t>
  </si>
  <si>
    <t>MLP</t>
  </si>
  <si>
    <t>SLP</t>
  </si>
  <si>
    <t>TABLE: 20.1:  POLITICAL PARTIES REGISTERED At THE END OF 2017, BY MEMBERSHIP AND BUDGET EXPENDITURE</t>
  </si>
  <si>
    <t>2006 census projections</t>
  </si>
  <si>
    <t>ތާވަލު 20.1: 2017 ގެ ނިޔަލަށް ރަޖިސްޓްރީކުރެވިފައިވާ ސިޔާސީ ޕާޓީތަކުގެ ޢަދަދާއި، މެމްބަރުން އަދި ބަޖެޓުން ކުރެވުނެ ހޭދަ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</si>
</sst>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</font>
    <font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2" borderId="0" xfId="0" applyFont="1" applyFill="1"/>
    <xf numFmtId="0" fontId="8" fillId="2" borderId="0" xfId="0" applyFont="1" applyFill="1" applyAlignment="1">
      <alignment horizontal="left" vertical="top"/>
    </xf>
    <xf numFmtId="0" fontId="9" fillId="2" borderId="0" xfId="0" applyFont="1" applyFill="1" applyAlignment="1">
      <alignment vertical="center"/>
    </xf>
    <xf numFmtId="0" fontId="0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165" fontId="0" fillId="2" borderId="0" xfId="1" applyNumberFormat="1" applyFont="1" applyFill="1" applyBorder="1" applyAlignment="1">
      <alignment horizontal="right" vertical="center"/>
    </xf>
    <xf numFmtId="165" fontId="0" fillId="2" borderId="2" xfId="1" applyNumberFormat="1" applyFont="1" applyFill="1" applyBorder="1" applyAlignment="1">
      <alignment horizontal="right" vertical="center"/>
    </xf>
    <xf numFmtId="0" fontId="4" fillId="2" borderId="0" xfId="9" applyFont="1" applyFill="1" applyAlignment="1" applyProtection="1">
      <alignment vertical="center" wrapText="1"/>
    </xf>
    <xf numFmtId="165" fontId="2" fillId="2" borderId="1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0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164" fontId="0" fillId="2" borderId="0" xfId="0" applyNumberFormat="1" applyFont="1" applyFill="1"/>
    <xf numFmtId="165" fontId="0" fillId="2" borderId="0" xfId="0" applyNumberFormat="1" applyFont="1" applyFill="1"/>
    <xf numFmtId="1" fontId="0" fillId="2" borderId="0" xfId="0" applyNumberFormat="1" applyFont="1" applyFill="1"/>
    <xf numFmtId="165" fontId="0" fillId="2" borderId="11" xfId="1" applyNumberFormat="1" applyFont="1" applyFill="1" applyBorder="1" applyAlignment="1">
      <alignment horizontal="right" vertical="center"/>
    </xf>
    <xf numFmtId="165" fontId="0" fillId="2" borderId="12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165" fontId="0" fillId="2" borderId="6" xfId="1" applyNumberFormat="1" applyFont="1" applyFill="1" applyBorder="1" applyAlignment="1">
      <alignment horizontal="right" vertical="center"/>
    </xf>
    <xf numFmtId="165" fontId="2" fillId="2" borderId="7" xfId="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vertical="center"/>
    </xf>
    <xf numFmtId="0" fontId="13" fillId="2" borderId="0" xfId="0" applyFont="1" applyFill="1"/>
    <xf numFmtId="0" fontId="2" fillId="2" borderId="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9" applyFont="1" applyFill="1" applyBorder="1" applyAlignment="1" applyProtection="1">
      <alignment horizontal="righ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2"/>
    <cellStyle name="Comma 3" xfId="3"/>
    <cellStyle name="Hyperlink" xfId="9" builtinId="8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09437634175975E-2"/>
          <c:y val="0.24031079590279328"/>
          <c:w val="0.90600044201205565"/>
          <c:h val="0.6594647153533510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'20.1'!$Z$28</c:f>
              <c:strCache>
                <c:ptCount val="1"/>
                <c:pt idx="0">
                  <c:v>% share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94F5-4937-88EB-D78B905AB0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'20.1'!$AA$27:$AG$27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'20.1'!$AA$28:$AG$28</c:f>
              <c:numCache>
                <c:formatCode>0.0</c:formatCode>
                <c:ptCount val="7"/>
                <c:pt idx="0">
                  <c:v>56.910165528503562</c:v>
                </c:pt>
                <c:pt idx="1">
                  <c:v>59.042267748350639</c:v>
                </c:pt>
                <c:pt idx="2">
                  <c:v>59.533782953088497</c:v>
                </c:pt>
                <c:pt idx="3">
                  <c:v>59.016505777450377</c:v>
                </c:pt>
                <c:pt idx="4">
                  <c:v>54.889578023578458</c:v>
                </c:pt>
                <c:pt idx="5">
                  <c:v>41.739654084700909</c:v>
                </c:pt>
                <c:pt idx="6">
                  <c:v>43.096419531001622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F5-4937-88EB-D78B905AB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7"/>
        <c:overlap val="3"/>
        <c:axId val="97589504"/>
        <c:axId val="97591296"/>
      </c:barChart>
      <c:catAx>
        <c:axId val="9758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591296"/>
        <c:crosses val="autoZero"/>
        <c:auto val="1"/>
        <c:lblAlgn val="ctr"/>
        <c:lblOffset val="100"/>
        <c:noMultiLvlLbl val="0"/>
      </c:catAx>
      <c:valAx>
        <c:axId val="97591296"/>
        <c:scaling>
          <c:orientation val="minMax"/>
          <c:max val="7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persons</a:t>
                </a:r>
              </a:p>
            </c:rich>
          </c:tx>
          <c:layout>
            <c:manualLayout>
              <c:xMode val="edge"/>
              <c:yMode val="edge"/>
              <c:x val="1.2318602167237494E-2"/>
              <c:y val="0.3330507525325498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758950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475035462933646"/>
          <c:y val="0.18205468786161566"/>
          <c:w val="0.81216506292562984"/>
          <c:h val="0.616552657854540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AB9-403F-BEFE-E2FB24A51CE7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AB9-403F-BEFE-E2FB24A51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97605120"/>
        <c:axId val="97607040"/>
      </c:barChart>
      <c:catAx>
        <c:axId val="9760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Political Parties</a:t>
                </a:r>
              </a:p>
            </c:rich>
          </c:tx>
          <c:layout>
            <c:manualLayout>
              <c:xMode val="edge"/>
              <c:yMode val="edge"/>
              <c:x val="0.48013911914717067"/>
              <c:y val="0.91368825641638751"/>
            </c:manualLayout>
          </c:layout>
          <c:overlay val="0"/>
        </c:title>
        <c:numFmt formatCode="#,##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97607040"/>
        <c:crosses val="autoZero"/>
        <c:auto val="1"/>
        <c:lblAlgn val="ctr"/>
        <c:lblOffset val="100"/>
        <c:tickLblSkip val="1"/>
        <c:noMultiLvlLbl val="0"/>
      </c:catAx>
      <c:valAx>
        <c:axId val="97607040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members</a:t>
                </a:r>
              </a:p>
            </c:rich>
          </c:tx>
          <c:layout>
            <c:manualLayout>
              <c:xMode val="edge"/>
              <c:yMode val="edge"/>
              <c:x val="1.8183846862563764E-2"/>
              <c:y val="0.252936645448666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760512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631249</xdr:colOff>
      <xdr:row>25</xdr:row>
      <xdr:rowOff>167986</xdr:rowOff>
    </xdr:from>
    <xdr:to>
      <xdr:col>13</xdr:col>
      <xdr:colOff>742951</xdr:colOff>
      <xdr:row>42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470361</xdr:colOff>
      <xdr:row>78</xdr:row>
      <xdr:rowOff>27709</xdr:rowOff>
    </xdr:from>
    <xdr:to>
      <xdr:col>10</xdr:col>
      <xdr:colOff>90055</xdr:colOff>
      <xdr:row>92</xdr:row>
      <xdr:rowOff>90054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400051</xdr:colOff>
      <xdr:row>26</xdr:row>
      <xdr:rowOff>39831</xdr:rowOff>
    </xdr:from>
    <xdr:to>
      <xdr:col>13</xdr:col>
      <xdr:colOff>771526</xdr:colOff>
      <xdr:row>28</xdr:row>
      <xdr:rowOff>77932</xdr:rowOff>
    </xdr:to>
    <xdr:sp macro="" textlink="">
      <xdr:nvSpPr>
        <xdr:cNvPr id="4" name="TextBox 3"/>
        <xdr:cNvSpPr txBox="1"/>
      </xdr:nvSpPr>
      <xdr:spPr>
        <a:xfrm>
          <a:off x="4810126" y="6583506"/>
          <a:ext cx="6705600" cy="419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 fontAlgn="base"/>
          <a:r>
            <a:rPr lang="en-US" sz="10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20.1: Percentage share of persons aged 18 years and above, who are members of a political party, 2011 - 2017</a:t>
          </a:r>
        </a:p>
      </xdr:txBody>
    </xdr:sp>
    <xdr:clientData/>
  </xdr:twoCellAnchor>
  <xdr:twoCellAnchor>
    <xdr:from>
      <xdr:col>5</xdr:col>
      <xdr:colOff>19050</xdr:colOff>
      <xdr:row>28</xdr:row>
      <xdr:rowOff>104775</xdr:rowOff>
    </xdr:from>
    <xdr:to>
      <xdr:col>13</xdr:col>
      <xdr:colOff>523875</xdr:colOff>
      <xdr:row>28</xdr:row>
      <xdr:rowOff>104775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5086350" y="7029450"/>
          <a:ext cx="61817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I75"/>
  <sheetViews>
    <sheetView tabSelected="1" view="pageBreakPreview" topLeftCell="A4" zoomScaleNormal="100" zoomScaleSheetLayoutView="100" workbookViewId="0">
      <selection activeCell="O34" sqref="O34"/>
    </sheetView>
  </sheetViews>
  <sheetFormatPr defaultColWidth="9.140625" defaultRowHeight="15" x14ac:dyDescent="0.25"/>
  <cols>
    <col min="1" max="1" width="4" style="13" customWidth="1"/>
    <col min="2" max="2" width="31.85546875" style="4" customWidth="1"/>
    <col min="3" max="3" width="20.42578125" style="4" customWidth="1"/>
    <col min="4" max="9" width="9.85546875" style="4" customWidth="1"/>
    <col min="10" max="10" width="9.28515625" style="4" customWidth="1"/>
    <col min="11" max="14" width="12.140625" style="4" customWidth="1"/>
    <col min="15" max="17" width="11.42578125" style="4" customWidth="1"/>
    <col min="18" max="18" width="31.28515625" style="4" customWidth="1"/>
    <col min="19" max="19" width="6" style="14" customWidth="1"/>
    <col min="20" max="20" width="3.7109375" style="4" customWidth="1"/>
    <col min="21" max="25" width="9.140625" style="4"/>
    <col min="26" max="26" width="29.28515625" style="4" customWidth="1"/>
    <col min="27" max="28" width="15.42578125" style="4" customWidth="1"/>
    <col min="29" max="29" width="12" style="4" customWidth="1"/>
    <col min="30" max="16384" width="9.140625" style="4"/>
  </cols>
  <sheetData>
    <row r="2" spans="1:19" ht="21" x14ac:dyDescent="0.55000000000000004">
      <c r="A2" s="35" t="s">
        <v>79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19" x14ac:dyDescent="0.25">
      <c r="A3" s="36" t="s">
        <v>77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s="7" customFormat="1" ht="15" customHeight="1" x14ac:dyDescent="0.25">
      <c r="A4" s="37"/>
      <c r="B4" s="40" t="s">
        <v>3</v>
      </c>
      <c r="C4" s="6" t="s">
        <v>4</v>
      </c>
      <c r="D4" s="49" t="s">
        <v>5</v>
      </c>
      <c r="E4" s="49"/>
      <c r="F4" s="49"/>
      <c r="G4" s="49"/>
      <c r="H4" s="49"/>
      <c r="I4" s="49"/>
      <c r="J4" s="32"/>
      <c r="K4" s="55" t="s">
        <v>6</v>
      </c>
      <c r="L4" s="37"/>
      <c r="M4" s="37"/>
      <c r="N4" s="37"/>
      <c r="O4" s="37"/>
      <c r="P4" s="37"/>
      <c r="Q4" s="37"/>
      <c r="R4" s="43" t="s">
        <v>7</v>
      </c>
      <c r="S4" s="46"/>
    </row>
    <row r="5" spans="1:19" s="7" customFormat="1" ht="42" customHeight="1" x14ac:dyDescent="0.25">
      <c r="A5" s="38"/>
      <c r="B5" s="41"/>
      <c r="C5" s="8" t="s">
        <v>8</v>
      </c>
      <c r="D5" s="50" t="s">
        <v>9</v>
      </c>
      <c r="E5" s="50"/>
      <c r="F5" s="50"/>
      <c r="G5" s="50"/>
      <c r="H5" s="50"/>
      <c r="I5" s="50"/>
      <c r="J5" s="33"/>
      <c r="K5" s="53" t="s">
        <v>10</v>
      </c>
      <c r="L5" s="54"/>
      <c r="M5" s="54"/>
      <c r="N5" s="54"/>
      <c r="O5" s="54"/>
      <c r="P5" s="54"/>
      <c r="Q5" s="54"/>
      <c r="R5" s="44"/>
      <c r="S5" s="47"/>
    </row>
    <row r="6" spans="1:19" s="7" customFormat="1" x14ac:dyDescent="0.25">
      <c r="A6" s="39"/>
      <c r="B6" s="42"/>
      <c r="C6" s="9"/>
      <c r="D6" s="5">
        <v>2011</v>
      </c>
      <c r="E6" s="5">
        <v>2012</v>
      </c>
      <c r="F6" s="10">
        <v>2013</v>
      </c>
      <c r="G6" s="10">
        <v>2014</v>
      </c>
      <c r="H6" s="10">
        <v>2015</v>
      </c>
      <c r="I6" s="10">
        <v>2016</v>
      </c>
      <c r="J6" s="11">
        <v>2017</v>
      </c>
      <c r="K6" s="12">
        <v>2011</v>
      </c>
      <c r="L6" s="5">
        <v>2012</v>
      </c>
      <c r="M6" s="5">
        <v>2013</v>
      </c>
      <c r="N6" s="5">
        <v>2014</v>
      </c>
      <c r="O6" s="5">
        <v>2015</v>
      </c>
      <c r="P6" s="5">
        <v>2016</v>
      </c>
      <c r="Q6" s="5">
        <v>2017</v>
      </c>
      <c r="R6" s="45"/>
      <c r="S6" s="48"/>
    </row>
    <row r="7" spans="1:19" s="14" customFormat="1" ht="21" x14ac:dyDescent="0.25">
      <c r="A7" s="13">
        <v>1</v>
      </c>
      <c r="B7" s="14" t="s">
        <v>11</v>
      </c>
      <c r="C7" s="14" t="s">
        <v>12</v>
      </c>
      <c r="D7" s="15">
        <v>47365</v>
      </c>
      <c r="E7" s="15">
        <v>46349</v>
      </c>
      <c r="F7" s="16">
        <v>42304</v>
      </c>
      <c r="G7" s="16">
        <v>46608</v>
      </c>
      <c r="H7" s="16">
        <v>45191</v>
      </c>
      <c r="I7" s="16">
        <v>29407</v>
      </c>
      <c r="J7" s="16">
        <v>29759</v>
      </c>
      <c r="K7" s="28">
        <v>3575294.74</v>
      </c>
      <c r="L7" s="15">
        <v>3753399.17</v>
      </c>
      <c r="M7" s="15">
        <v>3632254.22</v>
      </c>
      <c r="N7" s="16">
        <v>5076735.7462999998</v>
      </c>
      <c r="O7" s="15">
        <v>6958791.4100000001</v>
      </c>
      <c r="P7" s="15">
        <v>7334064</v>
      </c>
      <c r="Q7" s="15">
        <v>7493544.8899999997</v>
      </c>
      <c r="R7" s="17" t="s">
        <v>13</v>
      </c>
      <c r="S7" s="7">
        <v>1</v>
      </c>
    </row>
    <row r="8" spans="1:19" s="14" customFormat="1" ht="21" x14ac:dyDescent="0.25">
      <c r="A8" s="13">
        <v>2</v>
      </c>
      <c r="B8" s="14" t="s">
        <v>14</v>
      </c>
      <c r="C8" s="14" t="s">
        <v>15</v>
      </c>
      <c r="D8" s="15">
        <v>29459</v>
      </c>
      <c r="E8" s="15">
        <v>22575</v>
      </c>
      <c r="F8" s="15">
        <v>17864</v>
      </c>
      <c r="G8" s="15">
        <v>14750</v>
      </c>
      <c r="H8" s="15">
        <v>14059</v>
      </c>
      <c r="I8" s="15">
        <v>3806</v>
      </c>
      <c r="J8" s="15">
        <v>3569</v>
      </c>
      <c r="K8" s="28">
        <v>3153514.66</v>
      </c>
      <c r="L8" s="15">
        <v>2480924.23</v>
      </c>
      <c r="M8" s="15">
        <v>1965343.24</v>
      </c>
      <c r="N8" s="15">
        <v>2140899.38</v>
      </c>
      <c r="O8" s="15">
        <v>1179504.8</v>
      </c>
      <c r="P8" s="15">
        <v>0</v>
      </c>
      <c r="Q8" s="15">
        <v>0</v>
      </c>
      <c r="R8" s="17" t="s">
        <v>16</v>
      </c>
      <c r="S8" s="7">
        <v>2</v>
      </c>
    </row>
    <row r="9" spans="1:19" s="14" customFormat="1" ht="21" x14ac:dyDescent="0.25">
      <c r="A9" s="13">
        <v>3</v>
      </c>
      <c r="B9" s="14" t="s">
        <v>17</v>
      </c>
      <c r="C9" s="14" t="s">
        <v>18</v>
      </c>
      <c r="D9" s="15">
        <v>6117</v>
      </c>
      <c r="E9" s="15">
        <v>5881</v>
      </c>
      <c r="F9" s="15">
        <v>10194</v>
      </c>
      <c r="G9" s="15">
        <v>9009</v>
      </c>
      <c r="H9" s="15">
        <v>10290</v>
      </c>
      <c r="I9" s="15">
        <v>7418</v>
      </c>
      <c r="J9" s="15">
        <v>7134</v>
      </c>
      <c r="K9" s="28">
        <v>842441.62</v>
      </c>
      <c r="L9" s="15">
        <v>822144.49</v>
      </c>
      <c r="M9" s="15">
        <v>794845.56</v>
      </c>
      <c r="N9" s="15">
        <v>1219546.4778</v>
      </c>
      <c r="O9" s="15">
        <v>1262414.95</v>
      </c>
      <c r="P9" s="15">
        <v>0</v>
      </c>
      <c r="Q9" s="15">
        <v>0</v>
      </c>
      <c r="R9" s="17" t="s">
        <v>19</v>
      </c>
      <c r="S9" s="7">
        <v>3</v>
      </c>
    </row>
    <row r="10" spans="1:19" s="14" customFormat="1" ht="21" x14ac:dyDescent="0.25">
      <c r="A10" s="13">
        <v>4</v>
      </c>
      <c r="B10" s="14" t="s">
        <v>20</v>
      </c>
      <c r="C10" s="14" t="s">
        <v>21</v>
      </c>
      <c r="D10" s="15">
        <v>3609</v>
      </c>
      <c r="E10" s="15">
        <v>3113</v>
      </c>
      <c r="F10" s="15">
        <v>2378</v>
      </c>
      <c r="G10" s="15">
        <v>2148</v>
      </c>
      <c r="H10" s="15" t="s">
        <v>2</v>
      </c>
      <c r="I10" s="15" t="s">
        <v>2</v>
      </c>
      <c r="J10" s="15" t="s">
        <v>2</v>
      </c>
      <c r="K10" s="28">
        <v>669757.49</v>
      </c>
      <c r="L10" s="15">
        <v>463915.56</v>
      </c>
      <c r="M10" s="15">
        <v>600767.6</v>
      </c>
      <c r="N10" s="15">
        <v>0</v>
      </c>
      <c r="O10" s="15">
        <v>275315.05</v>
      </c>
      <c r="P10" s="15">
        <v>0</v>
      </c>
      <c r="Q10" s="15">
        <v>0</v>
      </c>
      <c r="R10" s="17" t="s">
        <v>22</v>
      </c>
      <c r="S10" s="7">
        <v>4</v>
      </c>
    </row>
    <row r="11" spans="1:19" s="14" customFormat="1" ht="21" x14ac:dyDescent="0.25">
      <c r="A11" s="13">
        <v>5</v>
      </c>
      <c r="B11" s="14" t="s">
        <v>23</v>
      </c>
      <c r="C11" s="14" t="s">
        <v>24</v>
      </c>
      <c r="D11" s="15">
        <v>1982</v>
      </c>
      <c r="E11" s="15">
        <v>1797</v>
      </c>
      <c r="F11" s="15">
        <v>1418</v>
      </c>
      <c r="G11" s="15">
        <v>1236</v>
      </c>
      <c r="H11" s="15" t="s">
        <v>2</v>
      </c>
      <c r="I11" s="15" t="s">
        <v>2</v>
      </c>
      <c r="J11" s="15" t="s">
        <v>2</v>
      </c>
      <c r="K11" s="28">
        <v>535473.88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7" t="s">
        <v>25</v>
      </c>
      <c r="S11" s="7">
        <v>5</v>
      </c>
    </row>
    <row r="12" spans="1:19" s="14" customFormat="1" ht="21" x14ac:dyDescent="0.25">
      <c r="A12" s="13">
        <v>6</v>
      </c>
      <c r="B12" s="14" t="s">
        <v>26</v>
      </c>
      <c r="C12" s="14" t="s">
        <v>27</v>
      </c>
      <c r="D12" s="15">
        <v>1814</v>
      </c>
      <c r="E12" s="15">
        <v>1613</v>
      </c>
      <c r="F12" s="15">
        <v>1357</v>
      </c>
      <c r="G12" s="15">
        <v>1211</v>
      </c>
      <c r="H12" s="15" t="s">
        <v>2</v>
      </c>
      <c r="I12" s="15" t="s">
        <v>2</v>
      </c>
      <c r="J12" s="15" t="s">
        <v>2</v>
      </c>
      <c r="K12" s="28">
        <v>574230.19999999995</v>
      </c>
      <c r="L12" s="15">
        <v>516355.39</v>
      </c>
      <c r="M12" s="15">
        <v>445595.29</v>
      </c>
      <c r="N12" s="15">
        <v>0</v>
      </c>
      <c r="O12" s="15">
        <v>0</v>
      </c>
      <c r="P12" s="15">
        <v>0</v>
      </c>
      <c r="Q12" s="15">
        <v>0</v>
      </c>
      <c r="R12" s="17" t="s">
        <v>28</v>
      </c>
      <c r="S12" s="7">
        <v>6</v>
      </c>
    </row>
    <row r="13" spans="1:19" s="14" customFormat="1" ht="21" x14ac:dyDescent="0.25">
      <c r="A13" s="13">
        <v>7</v>
      </c>
      <c r="B13" s="14" t="s">
        <v>29</v>
      </c>
      <c r="C13" s="14" t="s">
        <v>27</v>
      </c>
      <c r="D13" s="15">
        <v>1542</v>
      </c>
      <c r="E13" s="15">
        <v>1373</v>
      </c>
      <c r="F13" s="15">
        <v>1146</v>
      </c>
      <c r="G13" s="15">
        <v>1045</v>
      </c>
      <c r="H13" s="15" t="s">
        <v>2</v>
      </c>
      <c r="I13" s="15" t="s">
        <v>2</v>
      </c>
      <c r="J13" s="15" t="s">
        <v>2</v>
      </c>
      <c r="K13" s="28">
        <v>497259.61</v>
      </c>
      <c r="L13" s="15">
        <v>467025.93</v>
      </c>
      <c r="M13" s="15">
        <v>478767.72</v>
      </c>
      <c r="N13" s="15">
        <v>0</v>
      </c>
      <c r="O13" s="15">
        <v>0</v>
      </c>
      <c r="P13" s="15">
        <v>0</v>
      </c>
      <c r="Q13" s="15">
        <v>0</v>
      </c>
      <c r="R13" s="17" t="s">
        <v>30</v>
      </c>
      <c r="S13" s="7">
        <v>7</v>
      </c>
    </row>
    <row r="14" spans="1:19" s="14" customFormat="1" ht="21" x14ac:dyDescent="0.25">
      <c r="A14" s="13">
        <v>8</v>
      </c>
      <c r="B14" s="14" t="s">
        <v>31</v>
      </c>
      <c r="C14" s="14" t="s">
        <v>32</v>
      </c>
      <c r="D14" s="15">
        <v>685</v>
      </c>
      <c r="E14" s="15">
        <v>598</v>
      </c>
      <c r="F14" s="15">
        <v>523</v>
      </c>
      <c r="G14" s="15">
        <v>462</v>
      </c>
      <c r="H14" s="15" t="s">
        <v>2</v>
      </c>
      <c r="I14" s="15" t="s">
        <v>2</v>
      </c>
      <c r="J14" s="15" t="s">
        <v>2</v>
      </c>
      <c r="K14" s="28">
        <v>0</v>
      </c>
      <c r="L14" s="15">
        <v>336123.94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7" t="s">
        <v>33</v>
      </c>
      <c r="S14" s="7">
        <v>8</v>
      </c>
    </row>
    <row r="15" spans="1:19" s="14" customFormat="1" ht="21" x14ac:dyDescent="0.25">
      <c r="A15" s="13">
        <v>9</v>
      </c>
      <c r="B15" s="14" t="s">
        <v>34</v>
      </c>
      <c r="C15" s="14" t="s">
        <v>35</v>
      </c>
      <c r="D15" s="15">
        <v>5090</v>
      </c>
      <c r="E15" s="15">
        <v>11154</v>
      </c>
      <c r="F15" s="15">
        <v>14723</v>
      </c>
      <c r="G15" s="15">
        <v>13990</v>
      </c>
      <c r="H15" s="15">
        <v>13858</v>
      </c>
      <c r="I15" s="15">
        <v>10587</v>
      </c>
      <c r="J15" s="15">
        <v>10225</v>
      </c>
      <c r="K15" s="28">
        <v>816538.47</v>
      </c>
      <c r="L15" s="15">
        <v>749161.59</v>
      </c>
      <c r="M15" s="15">
        <v>1164561.29</v>
      </c>
      <c r="N15" s="15">
        <v>1756589.15</v>
      </c>
      <c r="O15" s="15">
        <v>2061788.44</v>
      </c>
      <c r="P15" s="15">
        <v>2947947</v>
      </c>
      <c r="Q15" s="15">
        <v>2714527.06</v>
      </c>
      <c r="R15" s="17" t="s">
        <v>36</v>
      </c>
      <c r="S15" s="7">
        <v>9</v>
      </c>
    </row>
    <row r="16" spans="1:19" s="14" customFormat="1" ht="21" x14ac:dyDescent="0.25">
      <c r="A16" s="13">
        <v>10</v>
      </c>
      <c r="B16" s="14" t="s">
        <v>37</v>
      </c>
      <c r="C16" s="14" t="s">
        <v>35</v>
      </c>
      <c r="D16" s="15">
        <v>2625</v>
      </c>
      <c r="E16" s="15">
        <v>2101</v>
      </c>
      <c r="F16" s="15">
        <v>1633</v>
      </c>
      <c r="G16" s="15">
        <v>1361</v>
      </c>
      <c r="H16" s="15" t="s">
        <v>2</v>
      </c>
      <c r="I16" s="15" t="s">
        <v>2</v>
      </c>
      <c r="J16" s="15" t="s">
        <v>2</v>
      </c>
      <c r="K16" s="28">
        <v>622691.85</v>
      </c>
      <c r="L16" s="15">
        <v>573988.42000000004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7" t="s">
        <v>38</v>
      </c>
      <c r="S16" s="7">
        <v>10</v>
      </c>
    </row>
    <row r="17" spans="1:35" s="14" customFormat="1" ht="19.5" customHeight="1" x14ac:dyDescent="0.25">
      <c r="A17" s="13">
        <v>11</v>
      </c>
      <c r="B17" s="14" t="s">
        <v>39</v>
      </c>
      <c r="C17" s="14" t="s">
        <v>40</v>
      </c>
      <c r="D17" s="15">
        <v>944</v>
      </c>
      <c r="E17" s="15">
        <v>838</v>
      </c>
      <c r="F17" s="15">
        <v>720</v>
      </c>
      <c r="G17" s="15">
        <v>666</v>
      </c>
      <c r="H17" s="15" t="s">
        <v>2</v>
      </c>
      <c r="I17" s="15" t="s">
        <v>2</v>
      </c>
      <c r="J17" s="15" t="s">
        <v>2</v>
      </c>
      <c r="K17" s="28">
        <v>500363.53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7" t="s">
        <v>41</v>
      </c>
      <c r="S17" s="7">
        <v>11</v>
      </c>
    </row>
    <row r="18" spans="1:35" s="14" customFormat="1" ht="19.5" customHeight="1" x14ac:dyDescent="0.25">
      <c r="A18" s="13">
        <v>12</v>
      </c>
      <c r="B18" s="14" t="s">
        <v>42</v>
      </c>
      <c r="C18" s="14" t="s">
        <v>40</v>
      </c>
      <c r="D18" s="15">
        <v>2640</v>
      </c>
      <c r="E18" s="15">
        <v>3219</v>
      </c>
      <c r="F18" s="15">
        <v>5657</v>
      </c>
      <c r="G18" s="15" t="s">
        <v>2</v>
      </c>
      <c r="H18" s="15" t="s">
        <v>2</v>
      </c>
      <c r="I18" s="15" t="s">
        <v>2</v>
      </c>
      <c r="J18" s="15" t="s">
        <v>2</v>
      </c>
      <c r="K18" s="28">
        <v>643471.30000000005</v>
      </c>
      <c r="L18" s="15">
        <v>575054.39</v>
      </c>
      <c r="M18" s="15">
        <v>608199.77</v>
      </c>
      <c r="N18" s="15">
        <v>0</v>
      </c>
      <c r="O18" s="15">
        <v>0</v>
      </c>
      <c r="P18" s="15">
        <v>0</v>
      </c>
      <c r="Q18" s="15">
        <v>0</v>
      </c>
      <c r="R18" s="17" t="s">
        <v>43</v>
      </c>
      <c r="S18" s="7">
        <v>12</v>
      </c>
    </row>
    <row r="19" spans="1:35" s="14" customFormat="1" ht="19.5" customHeight="1" x14ac:dyDescent="0.25">
      <c r="A19" s="13">
        <v>13</v>
      </c>
      <c r="B19" s="14" t="s">
        <v>44</v>
      </c>
      <c r="C19" s="14" t="s">
        <v>45</v>
      </c>
      <c r="D19" s="15">
        <v>2312</v>
      </c>
      <c r="E19" s="15">
        <v>2099</v>
      </c>
      <c r="F19" s="15">
        <v>1753</v>
      </c>
      <c r="G19" s="15">
        <v>1416</v>
      </c>
      <c r="H19" s="15" t="s">
        <v>2</v>
      </c>
      <c r="I19" s="15" t="s">
        <v>2</v>
      </c>
      <c r="J19" s="15" t="s">
        <v>2</v>
      </c>
      <c r="K19" s="28">
        <v>618279.78</v>
      </c>
      <c r="L19" s="15">
        <v>551745.34</v>
      </c>
      <c r="M19" s="15">
        <v>529671.12</v>
      </c>
      <c r="N19" s="15">
        <v>0</v>
      </c>
      <c r="O19" s="15">
        <v>0</v>
      </c>
      <c r="P19" s="15">
        <v>0</v>
      </c>
      <c r="Q19" s="15">
        <v>0</v>
      </c>
      <c r="R19" s="17" t="s">
        <v>46</v>
      </c>
      <c r="S19" s="7">
        <v>13</v>
      </c>
    </row>
    <row r="20" spans="1:35" s="14" customFormat="1" ht="19.5" customHeight="1" x14ac:dyDescent="0.25">
      <c r="A20" s="13">
        <v>14</v>
      </c>
      <c r="B20" s="14" t="s">
        <v>47</v>
      </c>
      <c r="C20" s="14" t="s">
        <v>48</v>
      </c>
      <c r="D20" s="15">
        <v>2628</v>
      </c>
      <c r="E20" s="15">
        <v>1969</v>
      </c>
      <c r="F20" s="15">
        <v>1532</v>
      </c>
      <c r="G20" s="15" t="s">
        <v>2</v>
      </c>
      <c r="H20" s="15" t="s">
        <v>2</v>
      </c>
      <c r="I20" s="15" t="s">
        <v>2</v>
      </c>
      <c r="J20" s="15" t="s">
        <v>2</v>
      </c>
      <c r="K20" s="28">
        <v>0</v>
      </c>
      <c r="L20" s="15">
        <v>574201.62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7" t="s">
        <v>49</v>
      </c>
      <c r="S20" s="7">
        <v>14</v>
      </c>
    </row>
    <row r="21" spans="1:35" s="14" customFormat="1" ht="19.5" customHeight="1" x14ac:dyDescent="0.25">
      <c r="A21" s="13">
        <v>15</v>
      </c>
      <c r="B21" s="14" t="s">
        <v>50</v>
      </c>
      <c r="C21" s="14" t="s">
        <v>51</v>
      </c>
      <c r="D21" s="15">
        <v>13859</v>
      </c>
      <c r="E21" s="15">
        <v>22803</v>
      </c>
      <c r="F21" s="15">
        <v>24970</v>
      </c>
      <c r="G21" s="15">
        <v>36232</v>
      </c>
      <c r="H21" s="15">
        <v>37100</v>
      </c>
      <c r="I21" s="15">
        <v>40032</v>
      </c>
      <c r="J21" s="15">
        <v>45865</v>
      </c>
      <c r="K21" s="28">
        <v>0</v>
      </c>
      <c r="L21" s="15">
        <v>1372323.25</v>
      </c>
      <c r="M21" s="15">
        <v>1981329.43</v>
      </c>
      <c r="N21" s="15">
        <v>2994502.2122</v>
      </c>
      <c r="O21" s="15">
        <v>5480344.0300000003</v>
      </c>
      <c r="P21" s="15">
        <v>10095557</v>
      </c>
      <c r="Q21" s="15">
        <v>10085519.939999999</v>
      </c>
      <c r="R21" s="17" t="s">
        <v>52</v>
      </c>
      <c r="S21" s="7">
        <v>15</v>
      </c>
    </row>
    <row r="22" spans="1:35" s="14" customFormat="1" ht="19.5" customHeight="1" x14ac:dyDescent="0.25">
      <c r="A22" s="13">
        <v>16</v>
      </c>
      <c r="B22" s="14" t="s">
        <v>53</v>
      </c>
      <c r="C22" s="14" t="s">
        <v>54</v>
      </c>
      <c r="D22" s="15" t="s">
        <v>2</v>
      </c>
      <c r="E22" s="15">
        <v>3446</v>
      </c>
      <c r="F22" s="15">
        <v>7415</v>
      </c>
      <c r="G22" s="15">
        <v>7666</v>
      </c>
      <c r="H22" s="15">
        <v>10659</v>
      </c>
      <c r="I22" s="15">
        <v>10639</v>
      </c>
      <c r="J22" s="15">
        <v>10537</v>
      </c>
      <c r="K22" s="28">
        <v>0</v>
      </c>
      <c r="L22" s="15">
        <v>0</v>
      </c>
      <c r="M22" s="15">
        <v>624115.85</v>
      </c>
      <c r="N22" s="15">
        <v>890721.22160000005</v>
      </c>
      <c r="O22" s="15">
        <v>1161017.31</v>
      </c>
      <c r="P22" s="15">
        <v>2839300</v>
      </c>
      <c r="Q22" s="15">
        <v>2713761.11</v>
      </c>
      <c r="R22" s="17" t="s">
        <v>55</v>
      </c>
      <c r="S22" s="7">
        <v>16</v>
      </c>
    </row>
    <row r="23" spans="1:35" s="19" customFormat="1" ht="19.5" customHeight="1" x14ac:dyDescent="0.25">
      <c r="A23" s="51" t="s">
        <v>56</v>
      </c>
      <c r="B23" s="51"/>
      <c r="C23" s="51"/>
      <c r="D23" s="18">
        <f t="shared" ref="D23" si="0">SUM(D7:D21)</f>
        <v>122671</v>
      </c>
      <c r="E23" s="18">
        <f>SUM(E7:E22)</f>
        <v>130928</v>
      </c>
      <c r="F23" s="18">
        <f>SUM(F7:F22)</f>
        <v>135587</v>
      </c>
      <c r="G23" s="18">
        <f t="shared" ref="G23:J23" si="1">SUM(G7:G22)</f>
        <v>137800</v>
      </c>
      <c r="H23" s="18">
        <f t="shared" ref="H23" si="2">SUM(H7:H22)</f>
        <v>131157</v>
      </c>
      <c r="I23" s="18">
        <f t="shared" si="1"/>
        <v>101889</v>
      </c>
      <c r="J23" s="18">
        <f t="shared" si="1"/>
        <v>107089</v>
      </c>
      <c r="K23" s="29">
        <f>SUM(K7:K21)</f>
        <v>13049317.129999999</v>
      </c>
      <c r="L23" s="18">
        <f>SUM(L7:L21)</f>
        <v>13236363.319999998</v>
      </c>
      <c r="M23" s="18">
        <f>SUM(M7:M22)</f>
        <v>12825451.089999996</v>
      </c>
      <c r="N23" s="18">
        <f>SUM(N7:N22)</f>
        <v>14078994.187899999</v>
      </c>
      <c r="O23" s="18">
        <f>SUM(O7:O22)</f>
        <v>18379175.989999998</v>
      </c>
      <c r="P23" s="18">
        <f>SUM(P7:P22)</f>
        <v>23216868</v>
      </c>
      <c r="Q23" s="18">
        <f>SUM(Q7:Q22)</f>
        <v>23007353</v>
      </c>
      <c r="R23" s="52" t="s">
        <v>57</v>
      </c>
      <c r="S23" s="52"/>
    </row>
    <row r="24" spans="1:35" ht="17.25" x14ac:dyDescent="0.25">
      <c r="A24" s="34" t="s">
        <v>58</v>
      </c>
      <c r="B24" s="34"/>
      <c r="C24" s="34"/>
      <c r="D24" s="34"/>
      <c r="S24" s="3" t="s">
        <v>59</v>
      </c>
    </row>
    <row r="25" spans="1:35" s="31" customFormat="1" ht="13.5" customHeight="1" x14ac:dyDescent="0.25">
      <c r="A25" s="2" t="s">
        <v>0</v>
      </c>
      <c r="B25" s="30"/>
      <c r="C25" s="30"/>
      <c r="D25" s="30"/>
      <c r="R25" s="4"/>
      <c r="S25" s="3" t="s">
        <v>1</v>
      </c>
    </row>
    <row r="26" spans="1:35" s="21" customFormat="1" x14ac:dyDescent="0.25">
      <c r="B26" s="20"/>
    </row>
    <row r="27" spans="1:35" x14ac:dyDescent="0.25">
      <c r="Z27" s="1"/>
      <c r="AA27" s="1">
        <v>2011</v>
      </c>
      <c r="AB27" s="1">
        <v>2012</v>
      </c>
      <c r="AC27" s="1">
        <v>2013</v>
      </c>
      <c r="AD27" s="1">
        <v>2014</v>
      </c>
      <c r="AE27" s="1">
        <v>2015</v>
      </c>
      <c r="AF27" s="1">
        <v>2016</v>
      </c>
      <c r="AG27" s="1">
        <v>2017</v>
      </c>
    </row>
    <row r="28" spans="1:35" x14ac:dyDescent="0.25">
      <c r="Z28" s="4" t="s">
        <v>60</v>
      </c>
      <c r="AA28" s="22">
        <f t="shared" ref="AA28:AG28" si="3">AA29/AA30*100</f>
        <v>56.910165528503562</v>
      </c>
      <c r="AB28" s="22">
        <f t="shared" si="3"/>
        <v>59.042267748350639</v>
      </c>
      <c r="AC28" s="22">
        <f t="shared" si="3"/>
        <v>59.533782953088497</v>
      </c>
      <c r="AD28" s="22">
        <f t="shared" si="3"/>
        <v>59.016505777450377</v>
      </c>
      <c r="AE28" s="22">
        <f t="shared" si="3"/>
        <v>54.889578023578458</v>
      </c>
      <c r="AF28" s="22">
        <f t="shared" si="3"/>
        <v>41.739654084700909</v>
      </c>
      <c r="AG28" s="22">
        <f t="shared" si="3"/>
        <v>43.096419531001622</v>
      </c>
    </row>
    <row r="29" spans="1:35" x14ac:dyDescent="0.25">
      <c r="Z29" s="4" t="s">
        <v>61</v>
      </c>
      <c r="AA29" s="23">
        <f t="shared" ref="AA29:AD29" si="4">D23</f>
        <v>122671</v>
      </c>
      <c r="AB29" s="23">
        <f t="shared" si="4"/>
        <v>130928</v>
      </c>
      <c r="AC29" s="24">
        <f t="shared" si="4"/>
        <v>135587</v>
      </c>
      <c r="AD29" s="24">
        <f t="shared" si="4"/>
        <v>137800</v>
      </c>
      <c r="AE29" s="24">
        <f>H23</f>
        <v>131157</v>
      </c>
      <c r="AF29" s="24">
        <f t="shared" ref="AF29:AG29" si="5">I23</f>
        <v>101889</v>
      </c>
      <c r="AG29" s="24">
        <f t="shared" si="5"/>
        <v>107089</v>
      </c>
      <c r="AI29" s="4" t="s">
        <v>78</v>
      </c>
    </row>
    <row r="30" spans="1:35" ht="15" customHeight="1" x14ac:dyDescent="0.25">
      <c r="Z30" s="4" t="s">
        <v>62</v>
      </c>
      <c r="AA30" s="4">
        <v>215552</v>
      </c>
      <c r="AB30" s="4">
        <v>221753</v>
      </c>
      <c r="AC30" s="4">
        <v>227748</v>
      </c>
      <c r="AD30" s="4">
        <v>233494</v>
      </c>
      <c r="AE30" s="4">
        <v>238947</v>
      </c>
      <c r="AF30" s="4">
        <v>244106</v>
      </c>
      <c r="AG30" s="4">
        <v>248487</v>
      </c>
    </row>
    <row r="44" spans="1:11" ht="80.25" customHeight="1" x14ac:dyDescent="0.25">
      <c r="A44" s="4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 x14ac:dyDescent="0.25">
      <c r="A45" s="4"/>
      <c r="B45" s="13"/>
    </row>
    <row r="46" spans="1:11" x14ac:dyDescent="0.25">
      <c r="A46" s="4"/>
      <c r="B46" s="13"/>
    </row>
    <row r="47" spans="1:11" x14ac:dyDescent="0.25">
      <c r="A47" s="4"/>
      <c r="B47" s="13"/>
    </row>
    <row r="48" spans="1:11" x14ac:dyDescent="0.25">
      <c r="A48" s="4"/>
      <c r="B48" s="13"/>
    </row>
    <row r="49" spans="1:4" x14ac:dyDescent="0.25">
      <c r="A49" s="4"/>
      <c r="B49" s="13"/>
    </row>
    <row r="50" spans="1:4" x14ac:dyDescent="0.25">
      <c r="A50" s="4"/>
      <c r="B50" s="13"/>
    </row>
    <row r="51" spans="1:4" x14ac:dyDescent="0.25">
      <c r="A51" s="4"/>
      <c r="B51" s="13"/>
    </row>
    <row r="52" spans="1:4" x14ac:dyDescent="0.25">
      <c r="A52" s="4"/>
      <c r="B52" s="13"/>
    </row>
    <row r="60" spans="1:4" x14ac:dyDescent="0.25">
      <c r="A60" s="4"/>
      <c r="B60" s="14" t="s">
        <v>42</v>
      </c>
      <c r="D60" s="25" t="s">
        <v>2</v>
      </c>
    </row>
    <row r="61" spans="1:4" x14ac:dyDescent="0.25">
      <c r="A61" s="4"/>
      <c r="B61" s="14" t="s">
        <v>47</v>
      </c>
      <c r="D61" s="26" t="s">
        <v>2</v>
      </c>
    </row>
    <row r="62" spans="1:4" x14ac:dyDescent="0.25">
      <c r="A62" s="4"/>
      <c r="B62" s="14" t="s">
        <v>11</v>
      </c>
      <c r="C62" s="4" t="s">
        <v>63</v>
      </c>
      <c r="D62" s="26">
        <v>46608</v>
      </c>
    </row>
    <row r="63" spans="1:4" x14ac:dyDescent="0.25">
      <c r="A63" s="4"/>
      <c r="B63" s="14" t="s">
        <v>50</v>
      </c>
      <c r="C63" s="4" t="s">
        <v>64</v>
      </c>
      <c r="D63" s="26">
        <v>36232</v>
      </c>
    </row>
    <row r="64" spans="1:4" x14ac:dyDescent="0.25">
      <c r="A64" s="4"/>
      <c r="B64" s="14" t="s">
        <v>14</v>
      </c>
      <c r="C64" s="4" t="s">
        <v>65</v>
      </c>
      <c r="D64" s="26">
        <v>14750</v>
      </c>
    </row>
    <row r="65" spans="1:4" x14ac:dyDescent="0.25">
      <c r="A65" s="4"/>
      <c r="B65" s="14" t="s">
        <v>34</v>
      </c>
      <c r="C65" s="4" t="s">
        <v>66</v>
      </c>
      <c r="D65" s="26">
        <v>13990</v>
      </c>
    </row>
    <row r="66" spans="1:4" x14ac:dyDescent="0.25">
      <c r="A66" s="4"/>
      <c r="B66" s="14" t="s">
        <v>17</v>
      </c>
      <c r="C66" s="4" t="s">
        <v>67</v>
      </c>
      <c r="D66" s="26">
        <v>9009</v>
      </c>
    </row>
    <row r="67" spans="1:4" x14ac:dyDescent="0.25">
      <c r="A67" s="4"/>
      <c r="B67" s="14" t="s">
        <v>53</v>
      </c>
      <c r="C67" s="4" t="s">
        <v>68</v>
      </c>
      <c r="D67" s="26">
        <v>7666</v>
      </c>
    </row>
    <row r="68" spans="1:4" x14ac:dyDescent="0.25">
      <c r="A68" s="4"/>
      <c r="B68" s="14" t="s">
        <v>20</v>
      </c>
      <c r="C68" s="4" t="s">
        <v>69</v>
      </c>
      <c r="D68" s="26">
        <v>2148</v>
      </c>
    </row>
    <row r="69" spans="1:4" x14ac:dyDescent="0.25">
      <c r="A69" s="4"/>
      <c r="B69" s="14" t="s">
        <v>44</v>
      </c>
      <c r="C69" s="4" t="s">
        <v>70</v>
      </c>
      <c r="D69" s="26">
        <v>1416</v>
      </c>
    </row>
    <row r="70" spans="1:4" x14ac:dyDescent="0.25">
      <c r="A70" s="4"/>
      <c r="B70" s="14" t="s">
        <v>37</v>
      </c>
      <c r="C70" s="4" t="s">
        <v>71</v>
      </c>
      <c r="D70" s="26">
        <v>1361</v>
      </c>
    </row>
    <row r="71" spans="1:4" x14ac:dyDescent="0.25">
      <c r="A71" s="4"/>
      <c r="B71" s="14" t="s">
        <v>23</v>
      </c>
      <c r="C71" s="4" t="s">
        <v>72</v>
      </c>
      <c r="D71" s="26">
        <v>1236</v>
      </c>
    </row>
    <row r="72" spans="1:4" x14ac:dyDescent="0.25">
      <c r="A72" s="4"/>
      <c r="B72" s="14" t="s">
        <v>26</v>
      </c>
      <c r="C72" s="4" t="s">
        <v>73</v>
      </c>
      <c r="D72" s="26">
        <v>1211</v>
      </c>
    </row>
    <row r="73" spans="1:4" x14ac:dyDescent="0.25">
      <c r="A73" s="4"/>
      <c r="B73" s="14" t="s">
        <v>29</v>
      </c>
      <c r="C73" s="4" t="s">
        <v>74</v>
      </c>
      <c r="D73" s="26">
        <v>1045</v>
      </c>
    </row>
    <row r="74" spans="1:4" x14ac:dyDescent="0.25">
      <c r="A74" s="4"/>
      <c r="B74" s="14" t="s">
        <v>39</v>
      </c>
      <c r="C74" s="4" t="s">
        <v>75</v>
      </c>
      <c r="D74" s="26">
        <v>666</v>
      </c>
    </row>
    <row r="75" spans="1:4" x14ac:dyDescent="0.25">
      <c r="A75" s="4"/>
      <c r="B75" s="14" t="s">
        <v>31</v>
      </c>
      <c r="C75" s="4" t="s">
        <v>76</v>
      </c>
      <c r="D75" s="26">
        <v>462</v>
      </c>
    </row>
  </sheetData>
  <mergeCells count="13">
    <mergeCell ref="A24:D24"/>
    <mergeCell ref="A2:S2"/>
    <mergeCell ref="A3:S3"/>
    <mergeCell ref="A4:A6"/>
    <mergeCell ref="B4:B6"/>
    <mergeCell ref="R4:R6"/>
    <mergeCell ref="S4:S6"/>
    <mergeCell ref="D4:I4"/>
    <mergeCell ref="D5:I5"/>
    <mergeCell ref="A23:C23"/>
    <mergeCell ref="R23:S23"/>
    <mergeCell ref="K5:Q5"/>
    <mergeCell ref="K4:Q4"/>
  </mergeCells>
  <pageMargins left="0.26" right="0.2" top="0.38" bottom="0.21" header="0.3" footer="0.17"/>
  <pageSetup paperSize="9" scale="57" orientation="landscape" horizontalDpi="4294967295" verticalDpi="4294967295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</vt:lpstr>
      <vt:lpstr>'20.1'!Print_Area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2018-05-07T06:18:36Z</cp:lastPrinted>
  <dcterms:created xsi:type="dcterms:W3CDTF">2013-02-14T16:19:10Z</dcterms:created>
  <dcterms:modified xsi:type="dcterms:W3CDTF">2018-05-07T06:18:40Z</dcterms:modified>
</cp:coreProperties>
</file>