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20.  POLITICAL PARTIES AND ELECTIONS\"/>
    </mc:Choice>
  </mc:AlternateContent>
  <bookViews>
    <workbookView xWindow="0" yWindow="0" windowWidth="28800" windowHeight="12330" tabRatio="807"/>
  </bookViews>
  <sheets>
    <sheet name="20.8" sheetId="23" r:id="rId1"/>
  </sheets>
  <definedNames>
    <definedName name="_xlnm.Print_Area" localSheetId="0">'20.8'!$A$1:$M$25</definedName>
  </definedNames>
  <calcPr calcId="162913"/>
</workbook>
</file>

<file path=xl/calcChain.xml><?xml version="1.0" encoding="utf-8"?>
<calcChain xmlns="http://schemas.openxmlformats.org/spreadsheetml/2006/main">
  <c r="C8" i="23" l="1"/>
  <c r="AH18" i="23"/>
  <c r="D8" i="23"/>
  <c r="AI18" i="23" s="1"/>
  <c r="C9" i="23"/>
  <c r="AH19" i="23" s="1"/>
  <c r="D9" i="23"/>
  <c r="AI19" i="23" s="1"/>
  <c r="C10" i="23"/>
  <c r="AH20" i="23" s="1"/>
  <c r="D10" i="23"/>
  <c r="H10" i="23" l="1"/>
  <c r="H9" i="23"/>
  <c r="H8" i="23"/>
  <c r="E8" i="23"/>
  <c r="E9" i="23"/>
  <c r="E10" i="23"/>
  <c r="B8" i="23" l="1"/>
  <c r="B9" i="23"/>
  <c r="B10" i="23"/>
  <c r="AI20" i="23"/>
  <c r="J7" i="23"/>
  <c r="D7" i="23" s="1"/>
  <c r="AI17" i="23" s="1"/>
  <c r="I7" i="23"/>
  <c r="C7" i="23" s="1"/>
  <c r="AH17" i="23" s="1"/>
  <c r="H7" i="23" l="1"/>
  <c r="E7" i="23"/>
  <c r="B7" i="23" l="1"/>
</calcChain>
</file>

<file path=xl/sharedStrings.xml><?xml version="1.0" encoding="utf-8"?>
<sst xmlns="http://schemas.openxmlformats.org/spreadsheetml/2006/main" count="34" uniqueCount="23">
  <si>
    <t>Republic</t>
  </si>
  <si>
    <t>Source: Elections Commission</t>
  </si>
  <si>
    <t xml:space="preserve">މަޢުލޫމާތު ދެއްވި ފަރާތް: އިލެކްޝަންސް ކޮމިޝަން </t>
  </si>
  <si>
    <t>Total</t>
  </si>
  <si>
    <t>Male</t>
  </si>
  <si>
    <t>Female</t>
  </si>
  <si>
    <t xml:space="preserve"> Councils</t>
  </si>
  <si>
    <r>
      <t xml:space="preserve">Republic                      </t>
    </r>
    <r>
      <rPr>
        <b/>
        <sz val="11"/>
        <color theme="1"/>
        <rFont val="Faruma"/>
      </rPr>
      <t xml:space="preserve">މުޅިރާއްޖެ </t>
    </r>
  </si>
  <si>
    <r>
      <t xml:space="preserve">Male'                          </t>
    </r>
    <r>
      <rPr>
        <b/>
        <sz val="11"/>
        <color theme="1"/>
        <rFont val="Faruma"/>
      </rPr>
      <t xml:space="preserve"> މާލެ</t>
    </r>
  </si>
  <si>
    <r>
      <t xml:space="preserve">Atolls                  </t>
    </r>
    <r>
      <rPr>
        <b/>
        <sz val="11"/>
        <color theme="1"/>
        <rFont val="Faruma"/>
      </rPr>
      <t xml:space="preserve"> އަތޮޅުތައް</t>
    </r>
  </si>
  <si>
    <t>ކައުންސިލްތައް</t>
  </si>
  <si>
    <t>Local Councils</t>
  </si>
  <si>
    <t>ލޯކަލް ކައުންސިލްތައް</t>
  </si>
  <si>
    <t>Atoll councils</t>
  </si>
  <si>
    <t>އަތޮޅު ކައުންސިލް</t>
  </si>
  <si>
    <t>Island councils</t>
  </si>
  <si>
    <t>ރަށު ކައުންސިލް</t>
  </si>
  <si>
    <t>City councils</t>
  </si>
  <si>
    <t>ސިޓީ ކައުންސިލް</t>
  </si>
  <si>
    <t xml:space="preserve"> Local Councils</t>
  </si>
  <si>
    <t>ތާވަލު 20.8: ލޯކަލް ކައުންސިލް މެމްބަރުންގެ އަދަދު އަދި ޖިންސް، 2017</t>
  </si>
  <si>
    <t>TABLE 20.8: LOCAL COUNCIL MEMBERS BY SEX, 2017</t>
  </si>
  <si>
    <t>Note: Local Council election was last held in Maly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</si>
</sst>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2"/>
      <color theme="1"/>
      <name val="Faruma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1" fillId="0" borderId="0"/>
    <xf numFmtId="0" fontId="1" fillId="0" borderId="0"/>
  </cellStyleXfs>
  <cellXfs count="42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2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/>
    <xf numFmtId="0" fontId="8" fillId="2" borderId="0" xfId="0" applyFont="1" applyFill="1"/>
    <xf numFmtId="0" fontId="0" fillId="2" borderId="0" xfId="0" applyFont="1" applyFill="1" applyBorder="1"/>
    <xf numFmtId="0" fontId="0" fillId="2" borderId="0" xfId="0" applyFont="1" applyFill="1"/>
    <xf numFmtId="0" fontId="0" fillId="2" borderId="1" xfId="0" applyFont="1" applyFill="1" applyBorder="1"/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37" fontId="0" fillId="2" borderId="0" xfId="0" applyNumberFormat="1" applyFont="1" applyFill="1" applyAlignment="1">
      <alignment horizontal="center"/>
    </xf>
    <xf numFmtId="37" fontId="0" fillId="2" borderId="0" xfId="0" applyNumberFormat="1" applyFont="1" applyFill="1"/>
    <xf numFmtId="37" fontId="2" fillId="2" borderId="0" xfId="1" applyNumberFormat="1" applyFont="1" applyFill="1" applyBorder="1" applyAlignment="1">
      <alignment horizontal="right" vertical="center"/>
    </xf>
    <xf numFmtId="37" fontId="2" fillId="2" borderId="8" xfId="1" applyNumberFormat="1" applyFon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 vertical="center"/>
    </xf>
    <xf numFmtId="37" fontId="0" fillId="2" borderId="9" xfId="1" applyNumberFormat="1" applyFont="1" applyFill="1" applyBorder="1" applyAlignment="1">
      <alignment horizontal="right" vertical="center"/>
    </xf>
    <xf numFmtId="37" fontId="0" fillId="2" borderId="1" xfId="1" applyNumberFormat="1" applyFont="1" applyFill="1" applyBorder="1" applyAlignment="1">
      <alignment horizontal="right" vertical="center"/>
    </xf>
    <xf numFmtId="37" fontId="0" fillId="2" borderId="6" xfId="1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left" vertical="center"/>
    </xf>
    <xf numFmtId="37" fontId="1" fillId="2" borderId="0" xfId="1" applyNumberFormat="1" applyFont="1" applyFill="1" applyBorder="1" applyAlignment="1">
      <alignment horizontal="right" vertical="center"/>
    </xf>
    <xf numFmtId="37" fontId="1" fillId="2" borderId="1" xfId="1" applyNumberFormat="1" applyFont="1" applyFill="1" applyBorder="1" applyAlignment="1">
      <alignment horizontal="right" vertical="center"/>
    </xf>
    <xf numFmtId="37" fontId="2" fillId="2" borderId="1" xfId="1" applyNumberFormat="1" applyFont="1" applyFill="1" applyBorder="1" applyAlignment="1">
      <alignment horizontal="right" vertical="center"/>
    </xf>
    <xf numFmtId="37" fontId="2" fillId="2" borderId="10" xfId="1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37" fontId="2" fillId="2" borderId="7" xfId="1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9">
    <cellStyle name="Comma" xfId="1" builtinId="3"/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andara" panose="020E0502030303020204" pitchFamily="34" charset="0"/>
                <a:cs typeface="Consolas" pitchFamily="49" charset="0"/>
              </a:defRPr>
            </a:pPr>
            <a:r>
              <a:rPr lang="en-US" sz="1100">
                <a:latin typeface="Candara" panose="020E0502030303020204" pitchFamily="34" charset="0"/>
                <a:cs typeface="Consolas" pitchFamily="49" charset="0"/>
              </a:rPr>
              <a:t>Figure</a:t>
            </a:r>
            <a:r>
              <a:rPr lang="en-US" sz="1100" baseline="0">
                <a:latin typeface="Candara" panose="020E0502030303020204" pitchFamily="34" charset="0"/>
                <a:cs typeface="Consolas" pitchFamily="49" charset="0"/>
              </a:rPr>
              <a:t>  20.5: </a:t>
            </a:r>
            <a:r>
              <a:rPr lang="en-US" sz="1100">
                <a:latin typeface="Candara" panose="020E0502030303020204" pitchFamily="34" charset="0"/>
                <a:cs typeface="Consolas" pitchFamily="49" charset="0"/>
              </a:rPr>
              <a:t>Number of local council members by sex, 2017</a:t>
            </a:r>
          </a:p>
        </c:rich>
      </c:tx>
      <c:layout>
        <c:manualLayout>
          <c:xMode val="edge"/>
          <c:yMode val="edge"/>
          <c:x val="0.26693366351467901"/>
          <c:y val="3.66158602352983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16536132421977"/>
          <c:y val="0.179121978961468"/>
          <c:w val="0.86935468199437371"/>
          <c:h val="0.679592474319184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'20.8'!$AH$16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'20.8'!$AG$18:$AG$20</c:f>
              <c:strCache>
                <c:ptCount val="3"/>
                <c:pt idx="0">
                  <c:v>Atoll councils</c:v>
                </c:pt>
                <c:pt idx="1">
                  <c:v>Island councils</c:v>
                </c:pt>
                <c:pt idx="2">
                  <c:v>City councils</c:v>
                </c:pt>
              </c:strCache>
            </c:strRef>
          </c:cat>
          <c:val>
            <c:numRef>
              <c:f>'20.8'!$AH$18:$AH$20</c:f>
              <c:numCache>
                <c:formatCode>#,##0_);\(#,##0\)</c:formatCode>
                <c:ptCount val="3"/>
                <c:pt idx="0">
                  <c:v>66</c:v>
                </c:pt>
                <c:pt idx="1">
                  <c:v>528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3-4B1A-9D75-7B7E67FAC5D4}"/>
            </c:ext>
          </c:extLst>
        </c:ser>
        <c:ser>
          <c:idx val="1"/>
          <c:order val="1"/>
          <c:tx>
            <c:strRef>
              <c:f>'20.8'!$AI$16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'20.8'!$AG$18:$AG$20</c:f>
              <c:strCache>
                <c:ptCount val="3"/>
                <c:pt idx="0">
                  <c:v>Atoll councils</c:v>
                </c:pt>
                <c:pt idx="1">
                  <c:v>Island councils</c:v>
                </c:pt>
                <c:pt idx="2">
                  <c:v>City councils</c:v>
                </c:pt>
              </c:strCache>
            </c:strRef>
          </c:cat>
          <c:val>
            <c:numRef>
              <c:f>'20.8'!$AI$18:$AI$20</c:f>
              <c:numCache>
                <c:formatCode>#,##0_);\(#,##0\)</c:formatCode>
                <c:ptCount val="3"/>
                <c:pt idx="0">
                  <c:v>1</c:v>
                </c:pt>
                <c:pt idx="1">
                  <c:v>35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3-4B1A-9D75-7B7E67FAC5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9657984"/>
        <c:axId val="99672064"/>
      </c:barChart>
      <c:catAx>
        <c:axId val="99657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72064"/>
        <c:crosses val="autoZero"/>
        <c:auto val="1"/>
        <c:lblAlgn val="ctr"/>
        <c:lblOffset val="100"/>
        <c:noMultiLvlLbl val="0"/>
      </c:catAx>
      <c:valAx>
        <c:axId val="996720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en-US" sz="1050"/>
                  <a:t>No.</a:t>
                </a:r>
                <a:r>
                  <a:rPr lang="en-US" sz="1050" baseline="0"/>
                  <a:t> of persons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1.5168436987476074E-2"/>
              <c:y val="0.35349284110534296"/>
            </c:manualLayout>
          </c:layout>
          <c:overlay val="0"/>
        </c:title>
        <c:numFmt formatCode="#,##0_);\(#,##0\)" sourceLinked="1"/>
        <c:majorTickMark val="out"/>
        <c:minorTickMark val="none"/>
        <c:tickLblPos val="nextTo"/>
        <c:crossAx val="99657984"/>
        <c:crosses val="autoZero"/>
        <c:crossBetween val="between"/>
        <c:majorUnit val="200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16665463030216612"/>
          <c:y val="0.22749929476877989"/>
          <c:w val="0.21579249374644505"/>
          <c:h val="7.681552279236655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1125791</xdr:colOff>
      <xdr:row>12</xdr:row>
      <xdr:rowOff>247651</xdr:rowOff>
    </xdr:from>
    <xdr:to>
      <xdr:col>10</xdr:col>
      <xdr:colOff>590550</xdr:colOff>
      <xdr:row>24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304801</xdr:colOff>
      <xdr:row>14</xdr:row>
      <xdr:rowOff>76199</xdr:rowOff>
    </xdr:from>
    <xdr:to>
      <xdr:col>9</xdr:col>
      <xdr:colOff>57150</xdr:colOff>
      <xdr:row>14</xdr:row>
      <xdr:rowOff>76199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800351" y="3514724"/>
          <a:ext cx="3638549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J21"/>
  <sheetViews>
    <sheetView tabSelected="1" zoomScaleNormal="100" workbookViewId="0">
      <selection activeCell="P10" sqref="P10"/>
    </sheetView>
  </sheetViews>
  <sheetFormatPr defaultColWidth="9.140625" defaultRowHeight="21" x14ac:dyDescent="0.55000000000000004"/>
  <cols>
    <col min="1" max="1" width="18" style="8" customWidth="1"/>
    <col min="2" max="10" width="9.7109375" style="8" customWidth="1"/>
    <col min="11" max="11" width="20.140625" style="2" customWidth="1"/>
    <col min="12" max="12" width="2.42578125" style="8" customWidth="1"/>
    <col min="13" max="32" width="9.140625" style="8"/>
    <col min="33" max="33" width="18.28515625" style="8" customWidth="1"/>
    <col min="34" max="34" width="15" style="8" customWidth="1"/>
    <col min="35" max="16384" width="9.140625" style="8"/>
  </cols>
  <sheetData>
    <row r="2" spans="1:36" s="1" customFormat="1" ht="21.75" x14ac:dyDescent="0.55000000000000004">
      <c r="A2" s="37" t="s">
        <v>20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36" s="1" customFormat="1" ht="15.75" x14ac:dyDescent="0.25">
      <c r="A3" s="38" t="s">
        <v>21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36" ht="11.25" customHeight="1" x14ac:dyDescent="0.55000000000000004"/>
    <row r="5" spans="1:36" s="11" customFormat="1" x14ac:dyDescent="0.25">
      <c r="A5" s="34" t="s">
        <v>6</v>
      </c>
      <c r="B5" s="39" t="s">
        <v>7</v>
      </c>
      <c r="C5" s="39"/>
      <c r="D5" s="39"/>
      <c r="E5" s="40" t="s">
        <v>8</v>
      </c>
      <c r="F5" s="39"/>
      <c r="G5" s="41"/>
      <c r="H5" s="39" t="s">
        <v>9</v>
      </c>
      <c r="I5" s="39"/>
      <c r="J5" s="39"/>
      <c r="K5" s="35" t="s">
        <v>10</v>
      </c>
    </row>
    <row r="6" spans="1:36" s="7" customFormat="1" ht="15" x14ac:dyDescent="0.25">
      <c r="A6" s="33"/>
      <c r="B6" s="3" t="s">
        <v>3</v>
      </c>
      <c r="C6" s="3" t="s">
        <v>4</v>
      </c>
      <c r="D6" s="3" t="s">
        <v>5</v>
      </c>
      <c r="E6" s="13" t="s">
        <v>3</v>
      </c>
      <c r="F6" s="3" t="s">
        <v>4</v>
      </c>
      <c r="G6" s="12" t="s">
        <v>5</v>
      </c>
      <c r="H6" s="3" t="s">
        <v>3</v>
      </c>
      <c r="I6" s="3" t="s">
        <v>4</v>
      </c>
      <c r="J6" s="3" t="s">
        <v>5</v>
      </c>
      <c r="K6" s="36"/>
    </row>
    <row r="7" spans="1:36" s="7" customFormat="1" x14ac:dyDescent="0.25">
      <c r="A7" s="31" t="s">
        <v>11</v>
      </c>
      <c r="B7" s="20">
        <f>E7+H7</f>
        <v>653</v>
      </c>
      <c r="C7" s="20">
        <f>F7+I7</f>
        <v>613</v>
      </c>
      <c r="D7" s="20">
        <f>G7+J7</f>
        <v>40</v>
      </c>
      <c r="E7" s="30">
        <f>SUM(F7:G7)</f>
        <v>13</v>
      </c>
      <c r="F7" s="20">
        <v>10</v>
      </c>
      <c r="G7" s="21">
        <v>3</v>
      </c>
      <c r="H7" s="20">
        <f>SUM(I7:J7)</f>
        <v>640</v>
      </c>
      <c r="I7" s="20">
        <f t="shared" ref="I7:J7" si="0">SUM(I8:I10)</f>
        <v>603</v>
      </c>
      <c r="J7" s="20">
        <f t="shared" si="0"/>
        <v>37</v>
      </c>
      <c r="K7" s="14" t="s">
        <v>12</v>
      </c>
    </row>
    <row r="8" spans="1:36" s="7" customFormat="1" x14ac:dyDescent="0.25">
      <c r="A8" s="10" t="s">
        <v>13</v>
      </c>
      <c r="B8" s="20">
        <f>E8+H8</f>
        <v>67</v>
      </c>
      <c r="C8" s="27">
        <f>F8+I8</f>
        <v>66</v>
      </c>
      <c r="D8" s="27">
        <f t="shared" ref="D8:D10" si="1">G8+J8</f>
        <v>1</v>
      </c>
      <c r="E8" s="30">
        <f t="shared" ref="E8:E10" si="2">SUM(F8:G8)</f>
        <v>0</v>
      </c>
      <c r="F8" s="22">
        <v>0</v>
      </c>
      <c r="G8" s="23">
        <v>0</v>
      </c>
      <c r="H8" s="20">
        <f t="shared" ref="H8:H10" si="3">SUM(I8:J8)</f>
        <v>67</v>
      </c>
      <c r="I8" s="22">
        <v>66</v>
      </c>
      <c r="J8" s="22">
        <v>1</v>
      </c>
      <c r="K8" s="15" t="s">
        <v>14</v>
      </c>
    </row>
    <row r="9" spans="1:36" s="7" customFormat="1" x14ac:dyDescent="0.25">
      <c r="A9" s="10" t="s">
        <v>15</v>
      </c>
      <c r="B9" s="20">
        <f t="shared" ref="B9:B10" si="4">E9+H9</f>
        <v>563</v>
      </c>
      <c r="C9" s="27">
        <f t="shared" ref="C9:C10" si="5">F9+I9</f>
        <v>528</v>
      </c>
      <c r="D9" s="27">
        <f t="shared" si="1"/>
        <v>35</v>
      </c>
      <c r="E9" s="30">
        <f t="shared" si="2"/>
        <v>0</v>
      </c>
      <c r="F9" s="22">
        <v>0</v>
      </c>
      <c r="G9" s="23">
        <v>0</v>
      </c>
      <c r="H9" s="20">
        <f t="shared" si="3"/>
        <v>563</v>
      </c>
      <c r="I9" s="22">
        <v>528</v>
      </c>
      <c r="J9" s="22">
        <v>35</v>
      </c>
      <c r="K9" s="15" t="s">
        <v>16</v>
      </c>
    </row>
    <row r="10" spans="1:36" s="7" customFormat="1" x14ac:dyDescent="0.25">
      <c r="A10" s="16" t="s">
        <v>17</v>
      </c>
      <c r="B10" s="29">
        <f t="shared" si="4"/>
        <v>23</v>
      </c>
      <c r="C10" s="28">
        <f t="shared" si="5"/>
        <v>19</v>
      </c>
      <c r="D10" s="28">
        <f t="shared" si="1"/>
        <v>4</v>
      </c>
      <c r="E10" s="32">
        <f t="shared" si="2"/>
        <v>13</v>
      </c>
      <c r="F10" s="24">
        <v>10</v>
      </c>
      <c r="G10" s="25">
        <v>3</v>
      </c>
      <c r="H10" s="29">
        <f t="shared" si="3"/>
        <v>10</v>
      </c>
      <c r="I10" s="24">
        <v>9</v>
      </c>
      <c r="J10" s="24">
        <v>1</v>
      </c>
      <c r="K10" s="17" t="s">
        <v>18</v>
      </c>
    </row>
    <row r="11" spans="1:36" s="7" customFormat="1" x14ac:dyDescent="0.25">
      <c r="A11" s="26" t="s">
        <v>22</v>
      </c>
      <c r="B11" s="22"/>
      <c r="C11" s="22"/>
      <c r="D11" s="22"/>
      <c r="E11" s="22"/>
      <c r="F11" s="22"/>
      <c r="G11" s="22"/>
      <c r="H11" s="22"/>
      <c r="I11" s="22"/>
      <c r="J11" s="22"/>
      <c r="K11" s="15"/>
    </row>
    <row r="12" spans="1:36" s="7" customFormat="1" ht="18" x14ac:dyDescent="0.45">
      <c r="A12" s="4" t="s">
        <v>1</v>
      </c>
      <c r="B12" s="6"/>
      <c r="C12" s="6"/>
      <c r="D12" s="6"/>
      <c r="E12" s="6"/>
      <c r="F12" s="6"/>
      <c r="G12" s="6"/>
      <c r="H12" s="6"/>
      <c r="I12" s="6"/>
      <c r="J12" s="6"/>
      <c r="K12" s="5" t="s">
        <v>2</v>
      </c>
    </row>
    <row r="15" spans="1:36" x14ac:dyDescent="0.55000000000000004">
      <c r="AH15" s="8" t="s">
        <v>0</v>
      </c>
    </row>
    <row r="16" spans="1:36" x14ac:dyDescent="0.55000000000000004">
      <c r="AH16" s="11" t="s">
        <v>4</v>
      </c>
      <c r="AI16" s="11" t="s">
        <v>5</v>
      </c>
      <c r="AJ16" s="11"/>
    </row>
    <row r="17" spans="5:36" x14ac:dyDescent="0.55000000000000004">
      <c r="E17" s="11"/>
      <c r="F17" s="11"/>
      <c r="G17" s="11"/>
      <c r="AG17" s="8" t="s">
        <v>19</v>
      </c>
      <c r="AH17" s="18">
        <f t="shared" ref="AH17:AI20" si="6">C7</f>
        <v>613</v>
      </c>
      <c r="AI17" s="18">
        <f t="shared" si="6"/>
        <v>40</v>
      </c>
      <c r="AJ17" s="19"/>
    </row>
    <row r="18" spans="5:36" x14ac:dyDescent="0.55000000000000004">
      <c r="E18" s="19"/>
      <c r="F18" s="19"/>
      <c r="G18" s="19"/>
      <c r="AG18" s="9" t="s">
        <v>13</v>
      </c>
      <c r="AH18" s="18">
        <f t="shared" si="6"/>
        <v>66</v>
      </c>
      <c r="AI18" s="18">
        <f t="shared" si="6"/>
        <v>1</v>
      </c>
      <c r="AJ18" s="19"/>
    </row>
    <row r="19" spans="5:36" x14ac:dyDescent="0.55000000000000004">
      <c r="E19" s="19"/>
      <c r="F19" s="19"/>
      <c r="G19" s="19"/>
      <c r="AG19" s="8" t="s">
        <v>15</v>
      </c>
      <c r="AH19" s="18">
        <f t="shared" si="6"/>
        <v>528</v>
      </c>
      <c r="AI19" s="18">
        <f t="shared" si="6"/>
        <v>35</v>
      </c>
      <c r="AJ19" s="19"/>
    </row>
    <row r="20" spans="5:36" x14ac:dyDescent="0.55000000000000004">
      <c r="E20" s="19"/>
      <c r="F20" s="19"/>
      <c r="G20" s="19"/>
      <c r="AG20" s="9" t="s">
        <v>17</v>
      </c>
      <c r="AH20" s="18">
        <f t="shared" si="6"/>
        <v>19</v>
      </c>
      <c r="AI20" s="18">
        <f t="shared" si="6"/>
        <v>4</v>
      </c>
      <c r="AJ20" s="19"/>
    </row>
    <row r="21" spans="5:36" x14ac:dyDescent="0.55000000000000004">
      <c r="E21" s="19"/>
      <c r="F21" s="19"/>
      <c r="G21" s="19"/>
    </row>
  </sheetData>
  <mergeCells count="7">
    <mergeCell ref="A2:K2"/>
    <mergeCell ref="A3:K3"/>
    <mergeCell ref="A5:A6"/>
    <mergeCell ref="B5:D5"/>
    <mergeCell ref="E5:G5"/>
    <mergeCell ref="H5:J5"/>
    <mergeCell ref="K5:K6"/>
  </mergeCells>
  <pageMargins left="0.44" right="0.45" top="0.75" bottom="0.75" header="0.3" footer="0.3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20.8</vt:lpstr>
      <vt:lpstr>'20.8'!Print_Area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2018-05-07T06:24:22Z</cp:lastPrinted>
  <dcterms:created xsi:type="dcterms:W3CDTF">2013-02-14T16:19:10Z</dcterms:created>
  <dcterms:modified xsi:type="dcterms:W3CDTF">2018-05-07T06:24:26Z</dcterms:modified>
</cp:coreProperties>
</file>