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9" sheetId="25" r:id="rId1"/>
  </sheets>
  <definedNames>
    <definedName name="_xlnm.Print_Area" localSheetId="0">'20.9'!$A$1:$N$53</definedName>
  </definedNames>
  <calcPr calcId="162913"/>
</workbook>
</file>

<file path=xl/calcChain.xml><?xml version="1.0" encoding="utf-8"?>
<calcChain xmlns="http://schemas.openxmlformats.org/spreadsheetml/2006/main">
  <c r="M30" i="25" l="1"/>
  <c r="L30" i="25"/>
  <c r="K30" i="25"/>
  <c r="J30" i="25"/>
  <c r="M29" i="25"/>
  <c r="L29" i="25"/>
  <c r="K29" i="25"/>
  <c r="J29" i="25"/>
  <c r="M28" i="25"/>
  <c r="L28" i="25"/>
  <c r="K28" i="25"/>
  <c r="J28" i="25"/>
  <c r="M27" i="25"/>
  <c r="L27" i="25"/>
  <c r="K27" i="25"/>
  <c r="J27" i="25"/>
  <c r="M26" i="25"/>
  <c r="L26" i="25"/>
  <c r="K26" i="25"/>
  <c r="J26" i="25"/>
  <c r="M25" i="25"/>
  <c r="L25" i="25"/>
  <c r="K25" i="25"/>
  <c r="J25" i="25"/>
  <c r="M24" i="25"/>
  <c r="L24" i="25"/>
  <c r="K24" i="25"/>
  <c r="J24" i="25"/>
  <c r="M23" i="25"/>
  <c r="L23" i="25"/>
  <c r="K23" i="25"/>
  <c r="J23" i="25"/>
  <c r="M22" i="25"/>
  <c r="L22" i="25"/>
  <c r="K22" i="25"/>
  <c r="J22" i="25"/>
  <c r="M21" i="25"/>
  <c r="L21" i="25"/>
  <c r="K21" i="25"/>
  <c r="J21" i="25"/>
  <c r="M20" i="25"/>
  <c r="L20" i="25"/>
  <c r="K20" i="25"/>
  <c r="J20" i="25"/>
  <c r="M19" i="25"/>
  <c r="L19" i="25"/>
  <c r="K19" i="25"/>
  <c r="J19" i="25"/>
  <c r="M18" i="25"/>
  <c r="L18" i="25"/>
  <c r="K18" i="25"/>
  <c r="J18" i="25"/>
  <c r="M17" i="25"/>
  <c r="L17" i="25"/>
  <c r="K17" i="25"/>
  <c r="J17" i="25"/>
  <c r="M16" i="25"/>
  <c r="L16" i="25"/>
  <c r="K16" i="25"/>
  <c r="J16" i="25"/>
  <c r="M15" i="25"/>
  <c r="L15" i="25"/>
  <c r="K15" i="25"/>
  <c r="J15" i="25"/>
  <c r="M14" i="25"/>
  <c r="L14" i="25"/>
  <c r="K14" i="25"/>
  <c r="J14" i="25"/>
  <c r="M13" i="25"/>
  <c r="L13" i="25"/>
  <c r="K13" i="25"/>
  <c r="J13" i="25"/>
  <c r="M12" i="25"/>
  <c r="L12" i="25"/>
  <c r="K12" i="25"/>
  <c r="J12" i="25"/>
  <c r="M11" i="25"/>
  <c r="L11" i="25"/>
  <c r="K11" i="25"/>
  <c r="J11" i="25"/>
  <c r="M10" i="25"/>
  <c r="L10" i="25"/>
  <c r="K10" i="25"/>
  <c r="J10" i="25"/>
  <c r="I9" i="25"/>
  <c r="H9" i="25"/>
  <c r="G9" i="25"/>
  <c r="F9" i="25"/>
  <c r="E9" i="25"/>
  <c r="D9" i="25"/>
  <c r="C9" i="25"/>
  <c r="B9" i="25"/>
  <c r="M9" i="25" l="1"/>
  <c r="K9" i="25"/>
  <c r="L9" i="25"/>
  <c r="J9" i="25"/>
</calcChain>
</file>

<file path=xl/sharedStrings.xml><?xml version="1.0" encoding="utf-8"?>
<sst xmlns="http://schemas.openxmlformats.org/spreadsheetml/2006/main" count="57" uniqueCount="57">
  <si>
    <t>HA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</si>
  <si>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</si>
  <si>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</si>
  <si>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</si>
  <si>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</si>
  <si>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</si>
  <si>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</si>
  <si>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</si>
  <si>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</si>
  <si>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</si>
  <si>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</si>
  <si>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</si>
  <si>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</si>
  <si>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</si>
  <si>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</si>
  <si>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</si>
  <si>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</si>
  <si>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</si>
  <si>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</si>
  <si>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</si>
  <si>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</si>
  <si>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</si>
  <si>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</si>
  <si>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</si>
  <si>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</si>
  <si>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</si>
  <si>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</si>
  <si>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</si>
  <si>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</si>
  <si>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</si>
  <si>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Gn</t>
  </si>
  <si>
    <t>GDh</t>
  </si>
  <si>
    <t>Dh</t>
  </si>
  <si>
    <t>Th</t>
  </si>
  <si>
    <t>ADh</t>
  </si>
  <si>
    <t>Lh</t>
  </si>
  <si>
    <t>Sh</t>
  </si>
  <si>
    <t>HDh</t>
  </si>
  <si>
    <t>Total</t>
  </si>
  <si>
    <t>ޖުމްލަ</t>
  </si>
  <si>
    <t>City / Atoll</t>
  </si>
  <si>
    <t>ސިޓީ / އަތޮޅު</t>
  </si>
  <si>
    <t>Total council budget</t>
  </si>
  <si>
    <t>Salary &amp; allowances of council members &amp; staff</t>
  </si>
  <si>
    <t>ކައުންސިލް މެމްބަރުންނާއި މުވައްޒަފުންގެ މުސާރައާއި އެލަވަންސް</t>
  </si>
  <si>
    <t>ކައުންސިލްތަކުގެ ޖުމްލަ ބަޖެޓް</t>
  </si>
  <si>
    <t>Male' City</t>
  </si>
  <si>
    <t>މާލޭ ސިޓީ</t>
  </si>
  <si>
    <t>Addu City</t>
  </si>
  <si>
    <t>އައްޑޫ ސިޓީ</t>
  </si>
  <si>
    <t>Source:  Ministry of Finance and Treasury</t>
  </si>
  <si>
    <t>ތާވަލު 20.9: ލޯކަލް ކައުންސިލްތަކާއި މެމްބަރުންގެ ޢަދަދު އަދި ކައުންސިލްތަކަށް ހިނގި ޚަރަދު، 2014 - 2017</t>
  </si>
  <si>
    <t>TABLE 20.9: ELECTED LOCAL COUNCIL MEMBERS BY ATOLL AND FINANCIAL RESOURCES, 2014  - 2017</t>
  </si>
  <si>
    <r>
      <t>Budget Expenditure  (MVR)        (</t>
    </r>
    <r>
      <rPr>
        <b/>
        <sz val="10.5"/>
        <color theme="1"/>
        <rFont val="Faruma"/>
      </rPr>
      <t xml:space="preserve">ބަޖެޓް ޚަރަދު (ރުފިޔާ </t>
    </r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</si>
  <si>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</si>
  <si>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</si>
  <si>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t>މަޢުލޫމާތު ދެއްވި ފަރާތް:  މިނިސްޓްރީ އޮފް ފިނޭންސް އެންޑް ޓްރެޜަރީ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</si>
</sst>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Faruma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theme="1"/>
      <name val="Faruma"/>
    </font>
    <font>
      <sz val="10"/>
      <color theme="1" tint="0.14999847407452621"/>
      <name val="Faruma"/>
    </font>
    <font>
      <sz val="10"/>
      <name val="Faruma"/>
    </font>
    <font>
      <b/>
      <sz val="10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dotted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1">
    <xf numFmtId="0" fontId="0" fillId="0" borderId="0"/>
    <xf numFmtId="0" fontId="4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4" fillId="0" borderId="0"/>
  </cellStyleXfs>
  <cellXfs count="60">
    <xf numFmtId="0" fontId="0" fillId="0" borderId="0" xfId="0"/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0" fillId="2" borderId="0" xfId="0" applyFont="1" applyFill="1" applyBorder="1"/>
    <xf numFmtId="0" fontId="6" fillId="2" borderId="0" xfId="0" applyFont="1" applyFill="1" applyBorder="1"/>
    <xf numFmtId="0" fontId="3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right" vertical="center" wrapText="1"/>
    </xf>
    <xf numFmtId="0" fontId="8" fillId="2" borderId="0" xfId="0" applyFont="1" applyFill="1" applyAlignment="1"/>
    <xf numFmtId="165" fontId="0" fillId="2" borderId="0" xfId="2" applyNumberFormat="1" applyFont="1" applyFill="1" applyBorder="1"/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right" vertical="center" wrapText="1"/>
    </xf>
    <xf numFmtId="166" fontId="2" fillId="2" borderId="6" xfId="0" applyNumberFormat="1" applyFont="1" applyFill="1" applyBorder="1" applyAlignment="1">
      <alignment vertical="center" wrapText="1"/>
    </xf>
    <xf numFmtId="166" fontId="2" fillId="2" borderId="0" xfId="0" applyNumberFormat="1" applyFont="1" applyFill="1" applyBorder="1" applyAlignment="1">
      <alignment vertical="center" wrapText="1"/>
    </xf>
    <xf numFmtId="0" fontId="10" fillId="2" borderId="0" xfId="10" applyFont="1" applyFill="1" applyBorder="1" applyAlignment="1">
      <alignment horizontal="left" vertical="top" wrapText="1" indent="2"/>
    </xf>
    <xf numFmtId="166" fontId="1" fillId="2" borderId="6" xfId="2" applyNumberFormat="1" applyFont="1" applyFill="1" applyBorder="1" applyAlignment="1">
      <alignment vertical="center"/>
    </xf>
    <xf numFmtId="166" fontId="1" fillId="2" borderId="0" xfId="2" applyNumberFormat="1" applyFont="1" applyFill="1" applyBorder="1" applyAlignment="1">
      <alignment vertical="center" wrapText="1"/>
    </xf>
    <xf numFmtId="166" fontId="1" fillId="2" borderId="0" xfId="2" applyNumberFormat="1" applyFont="1" applyFill="1" applyBorder="1" applyAlignment="1">
      <alignment vertical="center"/>
    </xf>
    <xf numFmtId="166" fontId="1" fillId="2" borderId="6" xfId="0" applyNumberFormat="1" applyFont="1" applyFill="1" applyBorder="1" applyAlignment="1">
      <alignment vertical="center" wrapText="1"/>
    </xf>
    <xf numFmtId="166" fontId="1" fillId="2" borderId="0" xfId="0" applyNumberFormat="1" applyFont="1" applyFill="1" applyBorder="1" applyAlignment="1">
      <alignment vertical="center" wrapText="1"/>
    </xf>
    <xf numFmtId="43" fontId="0" fillId="2" borderId="0" xfId="2" applyFont="1" applyFill="1" applyBorder="1"/>
    <xf numFmtId="0" fontId="10" fillId="2" borderId="1" xfId="10" applyFont="1" applyFill="1" applyBorder="1" applyAlignment="1">
      <alignment horizontal="left" vertical="top" wrapText="1" indent="2"/>
    </xf>
    <xf numFmtId="166" fontId="1" fillId="2" borderId="7" xfId="2" applyNumberFormat="1" applyFont="1" applyFill="1" applyBorder="1" applyAlignment="1">
      <alignment vertical="center"/>
    </xf>
    <xf numFmtId="166" fontId="1" fillId="2" borderId="1" xfId="2" applyNumberFormat="1" applyFont="1" applyFill="1" applyBorder="1" applyAlignment="1">
      <alignment vertical="center" wrapText="1"/>
    </xf>
    <xf numFmtId="166" fontId="1" fillId="2" borderId="1" xfId="2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wrapText="1"/>
    </xf>
    <xf numFmtId="165" fontId="6" fillId="2" borderId="0" xfId="2" applyNumberFormat="1" applyFont="1" applyFill="1" applyBorder="1"/>
    <xf numFmtId="0" fontId="0" fillId="2" borderId="0" xfId="0" applyFont="1" applyFill="1" applyBorder="1" applyAlignment="1">
      <alignment wrapText="1"/>
    </xf>
    <xf numFmtId="0" fontId="11" fillId="2" borderId="6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166" fontId="1" fillId="2" borderId="6" xfId="2" applyNumberFormat="1" applyFont="1" applyFill="1" applyBorder="1" applyAlignment="1">
      <alignment vertical="center" wrapText="1"/>
    </xf>
    <xf numFmtId="166" fontId="1" fillId="2" borderId="7" xfId="2" applyNumberFormat="1" applyFont="1" applyFill="1" applyBorder="1" applyAlignment="1">
      <alignment vertical="center" wrapText="1"/>
    </xf>
    <xf numFmtId="3" fontId="13" fillId="2" borderId="0" xfId="1" applyNumberFormat="1" applyFont="1" applyFill="1" applyBorder="1" applyAlignment="1" applyProtection="1">
      <alignment horizontal="right" vertical="center" indent="2"/>
    </xf>
    <xf numFmtId="3" fontId="14" fillId="2" borderId="0" xfId="1" applyNumberFormat="1" applyFont="1" applyFill="1" applyBorder="1" applyAlignment="1" applyProtection="1">
      <alignment horizontal="right" vertical="center" indent="2"/>
    </xf>
    <xf numFmtId="3" fontId="15" fillId="2" borderId="0" xfId="1" applyNumberFormat="1" applyFont="1" applyFill="1" applyBorder="1" applyAlignment="1" applyProtection="1">
      <alignment horizontal="right" vertical="center" indent="2"/>
    </xf>
    <xf numFmtId="3" fontId="13" fillId="2" borderId="1" xfId="1" applyNumberFormat="1" applyFont="1" applyFill="1" applyBorder="1" applyAlignment="1" applyProtection="1">
      <alignment horizontal="right" vertical="center" indent="2"/>
    </xf>
    <xf numFmtId="11" fontId="0" fillId="2" borderId="0" xfId="2" applyNumberFormat="1" applyFont="1" applyFill="1" applyBorder="1"/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1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19.8" xfId="10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93476811789627E-2"/>
          <c:y val="0.14425392254864164"/>
          <c:w val="0.89284232107309081"/>
          <c:h val="0.755802414537923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'20.9'!$M$10:$M$30</c:f>
              <c:numCache>
                <c:formatCode>_(* #,##0.0_);_(* \(#,##0.0\);_(* "-"??_);_(@_)</c:formatCode>
                <c:ptCount val="21"/>
                <c:pt idx="0">
                  <c:v>63.360769618243516</c:v>
                </c:pt>
                <c:pt idx="1">
                  <c:v>61.796153831587063</c:v>
                </c:pt>
                <c:pt idx="2">
                  <c:v>62.176961017550795</c:v>
                </c:pt>
                <c:pt idx="3">
                  <c:v>64.154793880942535</c:v>
                </c:pt>
                <c:pt idx="4">
                  <c:v>59.903286735325423</c:v>
                </c:pt>
                <c:pt idx="5">
                  <c:v>64.704180974178342</c:v>
                </c:pt>
                <c:pt idx="6">
                  <c:v>64.768092452394171</c:v>
                </c:pt>
                <c:pt idx="7">
                  <c:v>64.953574297332466</c:v>
                </c:pt>
                <c:pt idx="8">
                  <c:v>62.757031609155298</c:v>
                </c:pt>
                <c:pt idx="9">
                  <c:v>67.576279788717045</c:v>
                </c:pt>
                <c:pt idx="10">
                  <c:v>65.943837692491684</c:v>
                </c:pt>
                <c:pt idx="11">
                  <c:v>62.256630534223731</c:v>
                </c:pt>
                <c:pt idx="12">
                  <c:v>67.260879647293407</c:v>
                </c:pt>
                <c:pt idx="13">
                  <c:v>64.430467895772054</c:v>
                </c:pt>
                <c:pt idx="14">
                  <c:v>60.391390339434579</c:v>
                </c:pt>
                <c:pt idx="15">
                  <c:v>67.772870180393014</c:v>
                </c:pt>
                <c:pt idx="16">
                  <c:v>68.002336467102623</c:v>
                </c:pt>
                <c:pt idx="17">
                  <c:v>69.948342217149204</c:v>
                </c:pt>
                <c:pt idx="18">
                  <c:v>63.993758553807808</c:v>
                </c:pt>
                <c:pt idx="19">
                  <c:v>74.548540094001922</c:v>
                </c:pt>
                <c:pt idx="20">
                  <c:v>65.589410212094151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D-434E-BD2C-F544849DD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955344"/>
        <c:axId val="303954560"/>
      </c:barChart>
      <c:catAx>
        <c:axId val="303955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303954560"/>
        <c:crosses val="autoZero"/>
        <c:auto val="1"/>
        <c:lblAlgn val="ctr"/>
        <c:lblOffset val="100"/>
        <c:noMultiLvlLbl val="0"/>
      </c:catAx>
      <c:valAx>
        <c:axId val="303954560"/>
        <c:scaling>
          <c:orientation val="minMax"/>
          <c:max val="9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3078192943249675E-2"/>
              <c:y val="0.3577050338789825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30395534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32</xdr:row>
      <xdr:rowOff>149255</xdr:rowOff>
    </xdr:from>
    <xdr:to>
      <xdr:col>13</xdr:col>
      <xdr:colOff>619125</xdr:colOff>
      <xdr:row>52</xdr:row>
      <xdr:rowOff>47625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628650</xdr:colOff>
      <xdr:row>34</xdr:row>
      <xdr:rowOff>104775</xdr:rowOff>
    </xdr:from>
    <xdr:to>
      <xdr:col>13</xdr:col>
      <xdr:colOff>161925</xdr:colOff>
      <xdr:row>34</xdr:row>
      <xdr:rowOff>104775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076450" y="8382000"/>
          <a:ext cx="62484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>
            <a:ln>
              <a:solidFill>
                <a:schemeClr val="accent1">
                  <a:lumMod val="75000"/>
                </a:schemeClr>
              </a:solidFill>
            </a:ln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0.08549</cdr:x>
      <cdr:y>0.03315</cdr:y>
    </cdr:from>
    <cdr:to>
      <cdr:x>0.99064</cdr:x>
      <cdr:y>0.1236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2675" y="97175"/>
          <a:ext cx="6380822" cy="2651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latin typeface="Consolas" pitchFamily="49" charset="0"/>
              <a:ea typeface="+mn-ea"/>
              <a:cs typeface="Consolas" pitchFamily="49" charset="0"/>
            </a:rPr>
            <a:t>Figure 20.7: Share of salary &amp; allowances  as  a percentage  of council budget, 2017</a:t>
          </a:r>
          <a:endParaRPr lang="en-US" sz="1050" b="1" i="0" baseline="0"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23"/>
  <sheetViews>
    <sheetView tabSelected="1" zoomScaleNormal="100" workbookViewId="0">
      <selection activeCell="S7" sqref="S7"/>
    </sheetView>
  </sheetViews>
  <sheetFormatPr defaultColWidth="9.140625" defaultRowHeight="15" x14ac:dyDescent="0.25"/>
  <cols>
    <col min="1" max="1" width="13" style="3" customWidth="1"/>
    <col min="2" max="2" width="8.7109375" style="28" customWidth="1"/>
    <col min="3" max="4" width="10" style="28" customWidth="1"/>
    <col min="5" max="5" width="8.7109375" style="28" customWidth="1"/>
    <col min="6" max="6" width="8.5703125" style="3" customWidth="1"/>
    <col min="7" max="8" width="8.85546875" style="3" customWidth="1"/>
    <col min="9" max="9" width="9.140625" style="3" customWidth="1"/>
    <col min="10" max="10" width="9.140625" style="3"/>
    <col min="11" max="13" width="9.140625" style="3" customWidth="1"/>
    <col min="14" max="14" width="14.42578125" style="3" customWidth="1"/>
    <col min="15" max="17" width="9.140625" style="3"/>
    <col min="18" max="18" width="10.5703125" style="3" bestFit="1" customWidth="1"/>
    <col min="19" max="16384" width="9.140625" style="3"/>
  </cols>
  <sheetData>
    <row r="1" spans="1:20" ht="21.75" x14ac:dyDescent="0.55000000000000004">
      <c r="A1" s="45" t="s">
        <v>51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8"/>
      <c r="P1" s="8"/>
      <c r="Q1" s="9"/>
      <c r="R1" s="9"/>
    </row>
    <row r="2" spans="1:20" x14ac:dyDescent="0.25">
      <c r="A2" s="46" t="s">
        <v>52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Q2" s="9"/>
      <c r="R2" s="9"/>
    </row>
    <row r="3" spans="1:20" x14ac:dyDescent="0.25">
      <c r="B3" s="11"/>
      <c r="C3" s="11"/>
      <c r="D3" s="11"/>
      <c r="E3" s="11"/>
      <c r="F3" s="10"/>
      <c r="G3" s="10"/>
      <c r="H3" s="10"/>
      <c r="I3" s="10"/>
      <c r="J3" s="10"/>
      <c r="K3" s="10"/>
      <c r="L3" s="10"/>
      <c r="M3" s="10"/>
      <c r="Q3" s="9"/>
      <c r="R3" s="9"/>
    </row>
    <row r="4" spans="1:20" ht="19.5" customHeight="1" x14ac:dyDescent="0.25">
      <c r="A4" s="43" t="s">
        <v>40</v>
      </c>
      <c r="B4" s="55" t="s">
        <v>53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 t="s">
        <v>41</v>
      </c>
      <c r="Q4" s="9"/>
      <c r="R4" s="9"/>
    </row>
    <row r="5" spans="1:20" ht="16.5" customHeight="1" x14ac:dyDescent="0.25">
      <c r="A5" s="44"/>
      <c r="B5" s="49" t="s">
        <v>42</v>
      </c>
      <c r="C5" s="50"/>
      <c r="D5" s="50"/>
      <c r="E5" s="51"/>
      <c r="F5" s="49" t="s">
        <v>43</v>
      </c>
      <c r="G5" s="50"/>
      <c r="H5" s="50"/>
      <c r="I5" s="50"/>
      <c r="J5" s="50"/>
      <c r="K5" s="50"/>
      <c r="L5" s="50"/>
      <c r="M5" s="50"/>
      <c r="N5" s="40"/>
      <c r="Q5" s="9"/>
      <c r="R5" s="9"/>
    </row>
    <row r="6" spans="1:20" ht="18" customHeight="1" x14ac:dyDescent="0.25">
      <c r="A6" s="44"/>
      <c r="B6" s="29"/>
      <c r="C6" s="30"/>
      <c r="D6" s="30"/>
      <c r="E6" s="31"/>
      <c r="F6" s="58" t="s">
        <v>44</v>
      </c>
      <c r="G6" s="59"/>
      <c r="H6" s="59"/>
      <c r="I6" s="59"/>
      <c r="J6" s="59"/>
      <c r="K6" s="59"/>
      <c r="L6" s="59"/>
      <c r="M6" s="59"/>
      <c r="N6" s="40"/>
      <c r="Q6" s="9"/>
      <c r="R6" s="9"/>
    </row>
    <row r="7" spans="1:20" ht="30" customHeight="1" x14ac:dyDescent="0.25">
      <c r="A7" s="44"/>
      <c r="B7" s="52" t="s">
        <v>45</v>
      </c>
      <c r="C7" s="53"/>
      <c r="D7" s="53"/>
      <c r="E7" s="54"/>
      <c r="F7" s="47" t="s">
        <v>54</v>
      </c>
      <c r="G7" s="48"/>
      <c r="H7" s="48"/>
      <c r="I7" s="57"/>
      <c r="J7" s="47" t="s">
        <v>55</v>
      </c>
      <c r="K7" s="48"/>
      <c r="L7" s="48"/>
      <c r="M7" s="48"/>
      <c r="N7" s="40"/>
      <c r="Q7" s="9"/>
      <c r="R7" s="9"/>
    </row>
    <row r="8" spans="1:20" ht="20.25" customHeight="1" x14ac:dyDescent="0.25">
      <c r="A8" s="42"/>
      <c r="B8" s="12">
        <v>2014</v>
      </c>
      <c r="C8" s="7">
        <v>2015</v>
      </c>
      <c r="D8" s="7">
        <v>2016</v>
      </c>
      <c r="E8" s="7">
        <v>2017</v>
      </c>
      <c r="F8" s="12">
        <v>2014</v>
      </c>
      <c r="G8" s="7">
        <v>2015</v>
      </c>
      <c r="H8" s="7">
        <v>2016</v>
      </c>
      <c r="I8" s="7">
        <v>2017</v>
      </c>
      <c r="J8" s="12">
        <v>2014</v>
      </c>
      <c r="K8" s="7">
        <v>2015</v>
      </c>
      <c r="L8" s="7">
        <v>2016</v>
      </c>
      <c r="M8" s="7">
        <v>2017</v>
      </c>
      <c r="N8" s="41"/>
      <c r="Q8" s="9"/>
      <c r="R8" s="9"/>
    </row>
    <row r="9" spans="1:20" ht="19.5" customHeight="1" x14ac:dyDescent="0.25">
      <c r="A9" s="6" t="s">
        <v>38</v>
      </c>
      <c r="B9" s="13">
        <f t="shared" ref="B9" si="0">SUM(B10:B30)</f>
        <v>978.71340600000008</v>
      </c>
      <c r="C9" s="14">
        <f>SUM(C10:C30)</f>
        <v>1119.6708269999999</v>
      </c>
      <c r="D9" s="14">
        <f>SUM(D10:D30)</f>
        <v>729.76754624999967</v>
      </c>
      <c r="E9" s="14">
        <f t="shared" ref="E9" si="1">SUM(E10:E30)</f>
        <v>583.05965823499969</v>
      </c>
      <c r="F9" s="13">
        <f t="shared" ref="F9:I9" si="2">SUM(F10:F30)</f>
        <v>589.38817600000004</v>
      </c>
      <c r="G9" s="14">
        <f t="shared" si="2"/>
        <v>671.71199799999988</v>
      </c>
      <c r="H9" s="14">
        <f t="shared" si="2"/>
        <v>418.03275817999975</v>
      </c>
      <c r="I9" s="14">
        <f t="shared" si="2"/>
        <v>378.1530319849997</v>
      </c>
      <c r="J9" s="13">
        <f>F9/B9*100</f>
        <v>60.220711434701649</v>
      </c>
      <c r="K9" s="14">
        <f>G9/C9*100</f>
        <v>59.991917428067453</v>
      </c>
      <c r="L9" s="14">
        <f>H9/D9*100</f>
        <v>57.283002009079809</v>
      </c>
      <c r="M9" s="14">
        <f>I9/E9*100</f>
        <v>64.856662031758461</v>
      </c>
      <c r="N9" s="5" t="s">
        <v>39</v>
      </c>
      <c r="Q9" s="9"/>
      <c r="R9" s="9"/>
    </row>
    <row r="10" spans="1:20" ht="19.5" customHeight="1" x14ac:dyDescent="0.25">
      <c r="A10" s="15" t="s">
        <v>46</v>
      </c>
      <c r="B10" s="32">
        <v>214.02913000000001</v>
      </c>
      <c r="C10" s="17">
        <v>145.91413299999999</v>
      </c>
      <c r="D10" s="17">
        <v>21.49789041</v>
      </c>
      <c r="E10" s="18">
        <v>16.227210965000001</v>
      </c>
      <c r="F10" s="16">
        <v>79.983987999999997</v>
      </c>
      <c r="G10" s="17">
        <v>38.370424</v>
      </c>
      <c r="H10" s="17">
        <v>12.89921627</v>
      </c>
      <c r="I10" s="17">
        <v>10.281685755000002</v>
      </c>
      <c r="J10" s="16">
        <f>F10/B10*100</f>
        <v>37.370608384008285</v>
      </c>
      <c r="K10" s="18">
        <f>G10/C10*100</f>
        <v>26.29657813887021</v>
      </c>
      <c r="L10" s="18">
        <f>H10/D10*100</f>
        <v>60.002242192097953</v>
      </c>
      <c r="M10" s="18">
        <f>I10/E10*100</f>
        <v>63.360769618243516</v>
      </c>
      <c r="N10" s="34" t="s">
        <v>47</v>
      </c>
      <c r="P10" s="21"/>
      <c r="Q10" s="9"/>
      <c r="R10" s="9"/>
      <c r="S10" s="21"/>
      <c r="T10" s="21"/>
    </row>
    <row r="11" spans="1:20" ht="19.5" customHeight="1" x14ac:dyDescent="0.25">
      <c r="A11" s="15" t="s">
        <v>0</v>
      </c>
      <c r="B11" s="32">
        <v>54.525649999999999</v>
      </c>
      <c r="C11" s="17">
        <v>72.721290999999994</v>
      </c>
      <c r="D11" s="17">
        <v>52.025372539999964</v>
      </c>
      <c r="E11" s="18">
        <v>42.731731519999961</v>
      </c>
      <c r="F11" s="16">
        <v>38.333622999999996</v>
      </c>
      <c r="G11" s="17">
        <v>48.973019000000001</v>
      </c>
      <c r="H11" s="17">
        <v>28.363732329999984</v>
      </c>
      <c r="I11" s="17">
        <v>26.406566544999954</v>
      </c>
      <c r="J11" s="16">
        <f>F11/B11*100</f>
        <v>70.303834984085469</v>
      </c>
      <c r="K11" s="18">
        <f>G11/C11*100</f>
        <v>67.343440038763887</v>
      </c>
      <c r="L11" s="18">
        <f>H11/D11*100</f>
        <v>54.519037433499186</v>
      </c>
      <c r="M11" s="18">
        <f>I11/E11*100</f>
        <v>61.796153831587063</v>
      </c>
      <c r="N11" s="34" t="s">
        <v>11</v>
      </c>
      <c r="P11" s="21"/>
      <c r="Q11" s="9"/>
      <c r="R11" s="9"/>
      <c r="S11" s="21"/>
      <c r="T11" s="21"/>
    </row>
    <row r="12" spans="1:20" ht="19.5" customHeight="1" x14ac:dyDescent="0.25">
      <c r="A12" s="15" t="s">
        <v>37</v>
      </c>
      <c r="B12" s="32">
        <v>51.579220999999997</v>
      </c>
      <c r="C12" s="17">
        <v>62.912728999999999</v>
      </c>
      <c r="D12" s="17">
        <v>52.868822129999991</v>
      </c>
      <c r="E12" s="18">
        <v>40.341857199999978</v>
      </c>
      <c r="F12" s="16">
        <v>37.05736499999999</v>
      </c>
      <c r="G12" s="17">
        <v>43.527625999999998</v>
      </c>
      <c r="H12" s="17">
        <v>27.762921599999995</v>
      </c>
      <c r="I12" s="17">
        <v>25.083340824999993</v>
      </c>
      <c r="J12" s="16">
        <f>F12/B12*100</f>
        <v>71.845530586822932</v>
      </c>
      <c r="K12" s="18">
        <f>G12/C12*100</f>
        <v>69.1873118395484</v>
      </c>
      <c r="L12" s="18">
        <f>H12/D12*100</f>
        <v>52.512843073623436</v>
      </c>
      <c r="M12" s="18">
        <f>I12/E12*100</f>
        <v>62.176961017550795</v>
      </c>
      <c r="N12" s="34" t="s">
        <v>12</v>
      </c>
      <c r="P12" s="21"/>
      <c r="Q12" s="9"/>
      <c r="R12" s="9"/>
      <c r="S12" s="21"/>
      <c r="T12" s="21"/>
    </row>
    <row r="13" spans="1:20" ht="19.5" customHeight="1" x14ac:dyDescent="0.25">
      <c r="A13" s="15" t="s">
        <v>36</v>
      </c>
      <c r="B13" s="32">
        <v>47.947021999999997</v>
      </c>
      <c r="C13" s="17">
        <v>65.142270999999994</v>
      </c>
      <c r="D13" s="17">
        <v>48.118387069999947</v>
      </c>
      <c r="E13" s="18">
        <v>39.189915279999987</v>
      </c>
      <c r="F13" s="16">
        <v>33.549444999999999</v>
      </c>
      <c r="G13" s="17">
        <v>42.718687000000003</v>
      </c>
      <c r="H13" s="17">
        <v>27.479001199999953</v>
      </c>
      <c r="I13" s="17">
        <v>25.142209369999996</v>
      </c>
      <c r="J13" s="16">
        <f>F13/B13*100</f>
        <v>69.971905658708067</v>
      </c>
      <c r="K13" s="18">
        <f>G13/C13*100</f>
        <v>65.577521852131937</v>
      </c>
      <c r="L13" s="18">
        <f>H13/D13*100</f>
        <v>57.10707044279151</v>
      </c>
      <c r="M13" s="18">
        <f>I13/E13*100</f>
        <v>64.154793880942535</v>
      </c>
      <c r="N13" s="34" t="s">
        <v>13</v>
      </c>
      <c r="P13" s="21"/>
      <c r="Q13" s="9"/>
      <c r="R13" s="9"/>
      <c r="S13" s="21"/>
      <c r="T13" s="21"/>
    </row>
    <row r="14" spans="1:20" ht="19.5" customHeight="1" x14ac:dyDescent="0.25">
      <c r="A14" s="15" t="s">
        <v>8</v>
      </c>
      <c r="B14" s="32">
        <v>44.962316999999999</v>
      </c>
      <c r="C14" s="17">
        <v>54.707442999999998</v>
      </c>
      <c r="D14" s="17">
        <v>41.224796179999991</v>
      </c>
      <c r="E14" s="18">
        <v>34.329292999999993</v>
      </c>
      <c r="F14" s="16">
        <v>29.729382000000001</v>
      </c>
      <c r="G14" s="17">
        <v>35.627417999999999</v>
      </c>
      <c r="H14" s="17">
        <v>23.318912809999997</v>
      </c>
      <c r="I14" s="17">
        <v>20.564374819999994</v>
      </c>
      <c r="J14" s="16">
        <f>F14/B14*100</f>
        <v>66.120662776342243</v>
      </c>
      <c r="K14" s="18">
        <f>G14/C14*100</f>
        <v>65.123529900675493</v>
      </c>
      <c r="L14" s="18">
        <f>H14/D14*100</f>
        <v>56.565259190567097</v>
      </c>
      <c r="M14" s="18">
        <f>I14/E14*100</f>
        <v>59.903286735325423</v>
      </c>
      <c r="N14" s="35" t="s">
        <v>14</v>
      </c>
      <c r="P14" s="21"/>
      <c r="Q14" s="9"/>
      <c r="R14" s="9"/>
      <c r="S14" s="21"/>
      <c r="T14" s="21"/>
    </row>
    <row r="15" spans="1:20" ht="19.5" customHeight="1" x14ac:dyDescent="0.25">
      <c r="A15" s="15" t="s">
        <v>9</v>
      </c>
      <c r="B15" s="32">
        <v>59.843497999999997</v>
      </c>
      <c r="C15" s="17">
        <v>72.660437999999999</v>
      </c>
      <c r="D15" s="17">
        <v>54.065771869999999</v>
      </c>
      <c r="E15" s="18">
        <v>42.006087219999984</v>
      </c>
      <c r="F15" s="16">
        <v>36.508099000000001</v>
      </c>
      <c r="G15" s="17">
        <v>45.764249999999997</v>
      </c>
      <c r="H15" s="17">
        <v>29.541790209999995</v>
      </c>
      <c r="I15" s="17">
        <v>27.179694694999988</v>
      </c>
      <c r="J15" s="16">
        <f>F15/B15*100</f>
        <v>61.005957572867821</v>
      </c>
      <c r="K15" s="18">
        <f>G15/C15*100</f>
        <v>62.983724375567341</v>
      </c>
      <c r="L15" s="18">
        <f>H15/D15*100</f>
        <v>54.640466950203916</v>
      </c>
      <c r="M15" s="18">
        <f>I15/E15*100</f>
        <v>64.704180974178342</v>
      </c>
      <c r="N15" s="34" t="s">
        <v>15</v>
      </c>
      <c r="P15" s="21"/>
      <c r="Q15" s="9"/>
      <c r="R15" s="9"/>
      <c r="S15" s="21"/>
      <c r="T15" s="21"/>
    </row>
    <row r="16" spans="1:20" ht="19.5" customHeight="1" x14ac:dyDescent="0.25">
      <c r="A16" s="15" t="s">
        <v>2</v>
      </c>
      <c r="B16" s="32">
        <v>42.158138999999998</v>
      </c>
      <c r="C16" s="17">
        <v>51.776730000000001</v>
      </c>
      <c r="D16" s="17">
        <v>40.832283359999998</v>
      </c>
      <c r="E16" s="18">
        <v>32.927048639999988</v>
      </c>
      <c r="F16" s="16">
        <v>28.38166</v>
      </c>
      <c r="G16" s="17">
        <v>34.751924000000002</v>
      </c>
      <c r="H16" s="17">
        <v>23.691793469999997</v>
      </c>
      <c r="I16" s="17">
        <v>21.32622130499999</v>
      </c>
      <c r="J16" s="16">
        <f>F16/B16*100</f>
        <v>67.321899574362149</v>
      </c>
      <c r="K16" s="18">
        <f>G16/C16*100</f>
        <v>67.118808005063286</v>
      </c>
      <c r="L16" s="18">
        <f>H16/D16*100</f>
        <v>58.022210663851538</v>
      </c>
      <c r="M16" s="18">
        <f>I16/E16*100</f>
        <v>64.768092452394171</v>
      </c>
      <c r="N16" s="34" t="s">
        <v>16</v>
      </c>
      <c r="P16" s="21"/>
      <c r="Q16" s="9"/>
      <c r="R16" s="9"/>
      <c r="S16" s="21"/>
      <c r="T16" s="21"/>
    </row>
    <row r="17" spans="1:20" ht="19.5" customHeight="1" x14ac:dyDescent="0.25">
      <c r="A17" s="15" t="s">
        <v>35</v>
      </c>
      <c r="B17" s="32">
        <v>21.565169999999998</v>
      </c>
      <c r="C17" s="17">
        <v>24.164908</v>
      </c>
      <c r="D17" s="17">
        <v>19.710422739999998</v>
      </c>
      <c r="E17" s="18">
        <v>17.812698084999976</v>
      </c>
      <c r="F17" s="16">
        <v>14.776317000000001</v>
      </c>
      <c r="G17" s="17">
        <v>18.247432</v>
      </c>
      <c r="H17" s="17">
        <v>12.287683369999998</v>
      </c>
      <c r="I17" s="17">
        <v>11.569984084999978</v>
      </c>
      <c r="J17" s="16">
        <f>F17/B17*100</f>
        <v>68.519362471986085</v>
      </c>
      <c r="K17" s="18">
        <f>G17/C17*100</f>
        <v>75.512110370956094</v>
      </c>
      <c r="L17" s="18">
        <f>H17/D17*100</f>
        <v>62.341044289545252</v>
      </c>
      <c r="M17" s="18">
        <f>I17/E17*100</f>
        <v>64.953574297332466</v>
      </c>
      <c r="N17" s="34" t="s">
        <v>17</v>
      </c>
      <c r="P17" s="21"/>
      <c r="Q17" s="9"/>
      <c r="R17" s="9"/>
      <c r="S17" s="21"/>
      <c r="T17" s="21"/>
    </row>
    <row r="18" spans="1:20" ht="19.5" customHeight="1" x14ac:dyDescent="0.25">
      <c r="A18" s="15" t="s">
        <v>5</v>
      </c>
      <c r="B18" s="32">
        <v>38.038155000000003</v>
      </c>
      <c r="C18" s="17">
        <v>46.86056</v>
      </c>
      <c r="D18" s="17">
        <v>34.157578769999979</v>
      </c>
      <c r="E18" s="18">
        <v>28.251868364999972</v>
      </c>
      <c r="F18" s="16">
        <v>22.711827</v>
      </c>
      <c r="G18" s="17">
        <v>27.740846000000001</v>
      </c>
      <c r="H18" s="17">
        <v>19.357025169999986</v>
      </c>
      <c r="I18" s="17">
        <v>17.730033959999979</v>
      </c>
      <c r="J18" s="16">
        <f>F18/B18*100</f>
        <v>59.708014229396767</v>
      </c>
      <c r="K18" s="18">
        <f>G18/C18*100</f>
        <v>59.198707825941476</v>
      </c>
      <c r="L18" s="18">
        <f>H18/D18*100</f>
        <v>56.669781252179774</v>
      </c>
      <c r="M18" s="18">
        <f>I18/E18*100</f>
        <v>62.757031609155298</v>
      </c>
      <c r="N18" s="34" t="s">
        <v>18</v>
      </c>
      <c r="P18" s="21"/>
      <c r="Q18" s="9"/>
      <c r="R18" s="9"/>
      <c r="S18" s="21"/>
      <c r="T18" s="21"/>
    </row>
    <row r="19" spans="1:20" ht="19.5" customHeight="1" x14ac:dyDescent="0.25">
      <c r="A19" s="15" t="s">
        <v>1</v>
      </c>
      <c r="B19" s="32">
        <v>29.251445</v>
      </c>
      <c r="C19" s="17">
        <v>36.074925</v>
      </c>
      <c r="D19" s="17">
        <v>31.529178669999975</v>
      </c>
      <c r="E19" s="18">
        <v>22.454127479999997</v>
      </c>
      <c r="F19" s="16">
        <v>18.282449999999997</v>
      </c>
      <c r="G19" s="17">
        <v>22.594581999999999</v>
      </c>
      <c r="H19" s="17">
        <v>15.808007009999976</v>
      </c>
      <c r="I19" s="17">
        <v>15.173664009999998</v>
      </c>
      <c r="J19" s="16">
        <f>F19/B19*100</f>
        <v>62.501014907126795</v>
      </c>
      <c r="K19" s="18">
        <f>G19/C19*100</f>
        <v>62.632374149080007</v>
      </c>
      <c r="L19" s="18">
        <f>H19/D19*100</f>
        <v>50.137706330553101</v>
      </c>
      <c r="M19" s="18">
        <f>I19/E19*100</f>
        <v>67.576279788717045</v>
      </c>
      <c r="N19" s="34" t="s">
        <v>19</v>
      </c>
      <c r="P19" s="21"/>
      <c r="Q19" s="9"/>
      <c r="R19" s="9"/>
      <c r="S19" s="21"/>
      <c r="T19" s="21"/>
    </row>
    <row r="20" spans="1:20" ht="19.5" customHeight="1" x14ac:dyDescent="0.25">
      <c r="A20" s="15" t="s">
        <v>34</v>
      </c>
      <c r="B20" s="32">
        <v>34.048212999999997</v>
      </c>
      <c r="C20" s="17">
        <v>41.250642999999997</v>
      </c>
      <c r="D20" s="17">
        <v>32.136891949999971</v>
      </c>
      <c r="E20" s="18">
        <v>27.000101264999984</v>
      </c>
      <c r="F20" s="16">
        <v>24.413026999999996</v>
      </c>
      <c r="G20" s="17">
        <v>29.586442000000002</v>
      </c>
      <c r="H20" s="17">
        <v>19.664945149999962</v>
      </c>
      <c r="I20" s="17">
        <v>17.804902954999982</v>
      </c>
      <c r="J20" s="16">
        <f>F20/B20*100</f>
        <v>71.701345970785596</v>
      </c>
      <c r="K20" s="18">
        <f>G20/C20*100</f>
        <v>71.723589860162917</v>
      </c>
      <c r="L20" s="18">
        <f>H20/D20*100</f>
        <v>61.19118544691743</v>
      </c>
      <c r="M20" s="18">
        <f>I20/E20*100</f>
        <v>65.943837692491684</v>
      </c>
      <c r="N20" s="34" t="s">
        <v>20</v>
      </c>
      <c r="P20" s="21"/>
      <c r="Q20" s="9"/>
      <c r="R20" s="9"/>
      <c r="S20" s="21"/>
      <c r="T20" s="21"/>
    </row>
    <row r="21" spans="1:20" ht="18.75" x14ac:dyDescent="0.25">
      <c r="A21" s="15" t="s">
        <v>10</v>
      </c>
      <c r="B21" s="19">
        <v>14.940059</v>
      </c>
      <c r="C21" s="20">
        <v>15.596354</v>
      </c>
      <c r="D21" s="20">
        <v>13.630588539999986</v>
      </c>
      <c r="E21" s="18">
        <v>13.488705544999997</v>
      </c>
      <c r="F21" s="16">
        <v>10.927686000000001</v>
      </c>
      <c r="G21" s="20">
        <v>11.686133999999999</v>
      </c>
      <c r="H21" s="20">
        <v>9.4675064399999869</v>
      </c>
      <c r="I21" s="20">
        <v>8.3976135749999976</v>
      </c>
      <c r="J21" s="16">
        <f>F21/B21*100</f>
        <v>73.143526407760518</v>
      </c>
      <c r="K21" s="18">
        <f>G21/C21*100</f>
        <v>74.928627549746565</v>
      </c>
      <c r="L21" s="18">
        <f>H21/D21*100</f>
        <v>69.457796427622171</v>
      </c>
      <c r="M21" s="18">
        <f>I21/E21*100</f>
        <v>62.256630534223731</v>
      </c>
      <c r="N21" s="34" t="s">
        <v>21</v>
      </c>
      <c r="P21" s="21"/>
      <c r="Q21" s="9"/>
      <c r="R21" s="9"/>
      <c r="S21" s="21"/>
      <c r="T21" s="21"/>
    </row>
    <row r="22" spans="1:20" ht="24.75" customHeight="1" x14ac:dyDescent="0.25">
      <c r="A22" s="15" t="s">
        <v>7</v>
      </c>
      <c r="B22" s="32">
        <v>25.754996999999999</v>
      </c>
      <c r="C22" s="17">
        <v>32.032594000000003</v>
      </c>
      <c r="D22" s="17">
        <v>22.342402939999985</v>
      </c>
      <c r="E22" s="18">
        <v>20.532175719999991</v>
      </c>
      <c r="F22" s="16">
        <v>18.950017999999996</v>
      </c>
      <c r="G22" s="17">
        <v>22.765788000000001</v>
      </c>
      <c r="H22" s="17">
        <v>15.418515429999989</v>
      </c>
      <c r="I22" s="17">
        <v>13.810121999999991</v>
      </c>
      <c r="J22" s="16">
        <f>F22/B22*100</f>
        <v>73.578024489771821</v>
      </c>
      <c r="K22" s="18">
        <f>G22/C22*100</f>
        <v>71.070697552624054</v>
      </c>
      <c r="L22" s="18">
        <f>H22/D22*100</f>
        <v>69.010103664346488</v>
      </c>
      <c r="M22" s="18">
        <f>I22/E22*100</f>
        <v>67.260879647293407</v>
      </c>
      <c r="N22" s="34" t="s">
        <v>22</v>
      </c>
      <c r="P22" s="21"/>
      <c r="Q22" s="9"/>
      <c r="R22" s="9"/>
      <c r="S22" s="21"/>
      <c r="T22" s="21"/>
    </row>
    <row r="23" spans="1:20" ht="19.5" customHeight="1" x14ac:dyDescent="0.25">
      <c r="A23" s="15" t="s">
        <v>3</v>
      </c>
      <c r="B23" s="32">
        <v>25.233995</v>
      </c>
      <c r="C23" s="17">
        <v>35.821603000000003</v>
      </c>
      <c r="D23" s="17">
        <v>25.264658669999996</v>
      </c>
      <c r="E23" s="18">
        <v>19.502428734999995</v>
      </c>
      <c r="F23" s="16">
        <v>16.259402999999999</v>
      </c>
      <c r="G23" s="17">
        <v>20.812657000000002</v>
      </c>
      <c r="H23" s="17">
        <v>14.325706509999998</v>
      </c>
      <c r="I23" s="17">
        <v>12.565506084999994</v>
      </c>
      <c r="J23" s="16">
        <f>F23/B23*100</f>
        <v>64.434517800292809</v>
      </c>
      <c r="K23" s="18">
        <f>G23/C23*100</f>
        <v>58.100853275605779</v>
      </c>
      <c r="L23" s="18">
        <f>H23/D23*100</f>
        <v>56.70255314793058</v>
      </c>
      <c r="M23" s="18">
        <f>I23/E23*100</f>
        <v>64.430467895772054</v>
      </c>
      <c r="N23" s="34" t="s">
        <v>23</v>
      </c>
      <c r="P23" s="21"/>
      <c r="Q23" s="9"/>
      <c r="R23" s="9"/>
      <c r="S23" s="21"/>
      <c r="T23" s="21"/>
    </row>
    <row r="24" spans="1:20" ht="19.5" customHeight="1" x14ac:dyDescent="0.25">
      <c r="A24" s="15" t="s">
        <v>32</v>
      </c>
      <c r="B24" s="32">
        <v>30.764785</v>
      </c>
      <c r="C24" s="17">
        <v>38.954777999999997</v>
      </c>
      <c r="D24" s="17">
        <v>25.508338089999985</v>
      </c>
      <c r="E24" s="18">
        <v>20.068353529999996</v>
      </c>
      <c r="F24" s="16">
        <v>17.058373</v>
      </c>
      <c r="G24" s="17">
        <v>23.110019000000001</v>
      </c>
      <c r="H24" s="17">
        <v>13.243837319999985</v>
      </c>
      <c r="I24" s="17">
        <v>12.119557714999997</v>
      </c>
      <c r="J24" s="16">
        <f>F24/B24*100</f>
        <v>55.447723752985759</v>
      </c>
      <c r="K24" s="18">
        <f>G24/C24*100</f>
        <v>59.325248882178208</v>
      </c>
      <c r="L24" s="18">
        <f>H24/D24*100</f>
        <v>51.919640053665262</v>
      </c>
      <c r="M24" s="18">
        <f>I24/E24*100</f>
        <v>60.391390339434579</v>
      </c>
      <c r="N24" s="34" t="s">
        <v>24</v>
      </c>
      <c r="P24" s="21"/>
      <c r="Q24" s="9"/>
      <c r="R24" s="9"/>
      <c r="S24" s="21"/>
      <c r="T24" s="21"/>
    </row>
    <row r="25" spans="1:20" ht="19.5" customHeight="1" x14ac:dyDescent="0.25">
      <c r="A25" s="15" t="s">
        <v>33</v>
      </c>
      <c r="B25" s="32">
        <v>42.602657999999998</v>
      </c>
      <c r="C25" s="17">
        <v>57.786558999999997</v>
      </c>
      <c r="D25" s="17">
        <v>39.239460029999961</v>
      </c>
      <c r="E25" s="18">
        <v>35.63462540499998</v>
      </c>
      <c r="F25" s="16">
        <v>30.996426999999997</v>
      </c>
      <c r="G25" s="17">
        <v>38.572598999999997</v>
      </c>
      <c r="H25" s="17">
        <v>25.570837819999966</v>
      </c>
      <c r="I25" s="17">
        <v>24.150608414999986</v>
      </c>
      <c r="J25" s="16">
        <f>F25/B25*100</f>
        <v>72.757026099169678</v>
      </c>
      <c r="K25" s="18">
        <f>G25/C25*100</f>
        <v>66.750122636649806</v>
      </c>
      <c r="L25" s="18">
        <f>H25/D25*100</f>
        <v>65.166130727716819</v>
      </c>
      <c r="M25" s="18">
        <f>I25/E25*100</f>
        <v>67.772870180393014</v>
      </c>
      <c r="N25" s="34" t="s">
        <v>25</v>
      </c>
      <c r="P25" s="21"/>
      <c r="Q25" s="9"/>
      <c r="R25" s="9"/>
      <c r="S25" s="21"/>
      <c r="T25" s="21"/>
    </row>
    <row r="26" spans="1:20" ht="19.5" customHeight="1" x14ac:dyDescent="0.25">
      <c r="A26" s="15" t="s">
        <v>6</v>
      </c>
      <c r="B26" s="32">
        <v>44.071486999999998</v>
      </c>
      <c r="C26" s="17">
        <v>50.481853000000001</v>
      </c>
      <c r="D26" s="17">
        <v>46.525413799999981</v>
      </c>
      <c r="E26" s="18">
        <v>35.50855045499997</v>
      </c>
      <c r="F26" s="16">
        <v>31.360390999999996</v>
      </c>
      <c r="G26" s="17">
        <v>36.633343000000004</v>
      </c>
      <c r="H26" s="17">
        <v>25.815098499999987</v>
      </c>
      <c r="I26" s="17">
        <v>24.146643954999977</v>
      </c>
      <c r="J26" s="16">
        <f>F26/B26*100</f>
        <v>71.158005174638191</v>
      </c>
      <c r="K26" s="18">
        <f>G26/C26*100</f>
        <v>72.567350093111685</v>
      </c>
      <c r="L26" s="18">
        <f>H26/D26*100</f>
        <v>55.486015902990204</v>
      </c>
      <c r="M26" s="18">
        <f>I26/E26*100</f>
        <v>68.002336467102623</v>
      </c>
      <c r="N26" s="34" t="s">
        <v>26</v>
      </c>
      <c r="P26" s="21"/>
      <c r="Q26" s="9"/>
      <c r="R26" s="9"/>
      <c r="S26" s="21"/>
      <c r="T26" s="21"/>
    </row>
    <row r="27" spans="1:20" ht="19.5" customHeight="1" x14ac:dyDescent="0.25">
      <c r="A27" s="15" t="s">
        <v>4</v>
      </c>
      <c r="B27" s="32">
        <v>43.548999999999999</v>
      </c>
      <c r="C27" s="17">
        <v>50.395400000000002</v>
      </c>
      <c r="D27" s="17">
        <v>38.128400589999949</v>
      </c>
      <c r="E27" s="18">
        <v>27.58589550999999</v>
      </c>
      <c r="F27" s="16">
        <v>24.314753</v>
      </c>
      <c r="G27" s="17">
        <v>30.053234</v>
      </c>
      <c r="H27" s="17">
        <v>21.708523679999956</v>
      </c>
      <c r="I27" s="17">
        <v>19.295876594999989</v>
      </c>
      <c r="J27" s="16">
        <f>F27/B27*100</f>
        <v>55.833091460194261</v>
      </c>
      <c r="K27" s="18">
        <f>G27/C27*100</f>
        <v>59.634875405294927</v>
      </c>
      <c r="L27" s="18">
        <f>H27/D27*100</f>
        <v>56.935311589475688</v>
      </c>
      <c r="M27" s="18">
        <f>I27/E27*100</f>
        <v>69.948342217149204</v>
      </c>
      <c r="N27" s="36" t="s">
        <v>27</v>
      </c>
      <c r="P27" s="21"/>
      <c r="Q27" s="9"/>
      <c r="R27" s="9"/>
      <c r="S27" s="38"/>
      <c r="T27" s="21"/>
    </row>
    <row r="28" spans="1:20" ht="19.5" customHeight="1" x14ac:dyDescent="0.25">
      <c r="A28" s="15" t="s">
        <v>31</v>
      </c>
      <c r="B28" s="32">
        <v>38.125162000000003</v>
      </c>
      <c r="C28" s="17">
        <v>56.951048</v>
      </c>
      <c r="D28" s="17">
        <v>38.578633059999987</v>
      </c>
      <c r="E28" s="18">
        <v>31.02492179499998</v>
      </c>
      <c r="F28" s="16">
        <v>27.408446000000005</v>
      </c>
      <c r="G28" s="17">
        <v>34.681564000000002</v>
      </c>
      <c r="H28" s="17">
        <v>21.897160639999981</v>
      </c>
      <c r="I28" s="17">
        <v>19.854013544999983</v>
      </c>
      <c r="J28" s="16">
        <f>F28/B28*100</f>
        <v>71.890700425089349</v>
      </c>
      <c r="K28" s="18">
        <f>G28/C28*100</f>
        <v>60.897148020875761</v>
      </c>
      <c r="L28" s="18">
        <f>H28/D28*100</f>
        <v>56.759814703502066</v>
      </c>
      <c r="M28" s="18">
        <f>I28/E28*100</f>
        <v>63.993758553807808</v>
      </c>
      <c r="N28" s="34" t="s">
        <v>28</v>
      </c>
      <c r="P28" s="21"/>
      <c r="Q28" s="9"/>
      <c r="R28" s="9"/>
      <c r="S28" s="21"/>
      <c r="T28" s="21"/>
    </row>
    <row r="29" spans="1:20" ht="19.5" customHeight="1" x14ac:dyDescent="0.25">
      <c r="A29" s="15" t="s">
        <v>30</v>
      </c>
      <c r="B29" s="32">
        <v>25.784237000000001</v>
      </c>
      <c r="C29" s="17">
        <v>46.070352999999997</v>
      </c>
      <c r="D29" s="17">
        <v>31.730553609999983</v>
      </c>
      <c r="E29" s="18">
        <v>18.39774532499996</v>
      </c>
      <c r="F29" s="16">
        <v>22.467120000000001</v>
      </c>
      <c r="G29" s="17">
        <v>31.715696999999999</v>
      </c>
      <c r="H29" s="17">
        <v>18.849157399999989</v>
      </c>
      <c r="I29" s="17">
        <v>13.71525054999996</v>
      </c>
      <c r="J29" s="16">
        <f>F29/B29*100</f>
        <v>87.135097307707809</v>
      </c>
      <c r="K29" s="18">
        <f>G29/C29*100</f>
        <v>68.841879722519167</v>
      </c>
      <c r="L29" s="18">
        <f>H29/D29*100</f>
        <v>59.403808807356008</v>
      </c>
      <c r="M29" s="18">
        <f>I29/E29*100</f>
        <v>74.548540094001922</v>
      </c>
      <c r="N29" s="34" t="s">
        <v>29</v>
      </c>
      <c r="P29" s="21"/>
      <c r="Q29" s="9"/>
      <c r="R29" s="9"/>
      <c r="S29" s="21"/>
      <c r="T29" s="21"/>
    </row>
    <row r="30" spans="1:20" ht="19.5" customHeight="1" x14ac:dyDescent="0.25">
      <c r="A30" s="22" t="s">
        <v>48</v>
      </c>
      <c r="B30" s="33">
        <v>49.939065999999997</v>
      </c>
      <c r="C30" s="24">
        <v>61.394213999999998</v>
      </c>
      <c r="D30" s="24">
        <v>20.651701229999997</v>
      </c>
      <c r="E30" s="25">
        <v>18.044317194999966</v>
      </c>
      <c r="F30" s="23">
        <v>25.918375999999999</v>
      </c>
      <c r="G30" s="24">
        <v>33.778312999999997</v>
      </c>
      <c r="H30" s="24">
        <v>11.561385849999999</v>
      </c>
      <c r="I30" s="24">
        <v>11.835161224999968</v>
      </c>
      <c r="J30" s="23">
        <f>F30/B30*100</f>
        <v>51.90000149382049</v>
      </c>
      <c r="K30" s="25">
        <f>G30/C30*100</f>
        <v>55.018723751394546</v>
      </c>
      <c r="L30" s="25">
        <f>H30/D30*100</f>
        <v>55.982728595769061</v>
      </c>
      <c r="M30" s="25">
        <f>I30/E30*100</f>
        <v>65.589410212094151</v>
      </c>
      <c r="N30" s="37" t="s">
        <v>49</v>
      </c>
      <c r="P30" s="21"/>
      <c r="Q30" s="9"/>
      <c r="R30" s="9"/>
      <c r="S30" s="21"/>
      <c r="T30" s="21"/>
    </row>
    <row r="31" spans="1:20" s="4" customFormat="1" ht="17.25" x14ac:dyDescent="0.2">
      <c r="A31" s="1" t="s">
        <v>50</v>
      </c>
      <c r="B31" s="26"/>
      <c r="C31" s="26"/>
      <c r="D31" s="26"/>
      <c r="E31" s="26"/>
      <c r="N31" s="2" t="s">
        <v>56</v>
      </c>
      <c r="Q31" s="27"/>
      <c r="R31" s="27"/>
    </row>
    <row r="34" spans="2:5" x14ac:dyDescent="0.25">
      <c r="B34" s="3"/>
      <c r="C34" s="3"/>
      <c r="D34" s="3"/>
      <c r="E34" s="3"/>
    </row>
    <row r="59" spans="2:9" x14ac:dyDescent="0.25">
      <c r="B59" s="3"/>
      <c r="C59" s="3"/>
      <c r="D59" s="3"/>
      <c r="E59" s="3"/>
      <c r="G59" s="9"/>
      <c r="H59" s="9"/>
      <c r="I59" s="9"/>
    </row>
    <row r="60" spans="2:9" x14ac:dyDescent="0.25">
      <c r="B60" s="3"/>
      <c r="C60" s="3"/>
      <c r="D60" s="3"/>
      <c r="E60" s="3"/>
      <c r="G60" s="9"/>
      <c r="H60" s="9"/>
      <c r="I60" s="9"/>
    </row>
    <row r="61" spans="2:9" x14ac:dyDescent="0.25">
      <c r="B61" s="3"/>
      <c r="C61" s="3"/>
      <c r="D61" s="3"/>
      <c r="E61" s="3"/>
      <c r="G61" s="9"/>
      <c r="H61" s="9"/>
      <c r="I61" s="9"/>
    </row>
    <row r="65" spans="1:9" x14ac:dyDescent="0.25">
      <c r="G65" s="9"/>
      <c r="H65" s="9"/>
      <c r="I65" s="9"/>
    </row>
    <row r="66" spans="1:9" x14ac:dyDescent="0.25">
      <c r="G66" s="9"/>
      <c r="H66" s="9"/>
      <c r="I66" s="9"/>
    </row>
    <row r="68" spans="1:9" x14ac:dyDescent="0.25">
      <c r="A68" s="15"/>
      <c r="G68" s="9"/>
      <c r="H68" s="9"/>
      <c r="I68" s="9"/>
    </row>
    <row r="69" spans="1:9" x14ac:dyDescent="0.25">
      <c r="A69" s="15"/>
      <c r="G69" s="9"/>
      <c r="H69" s="9"/>
      <c r="I69" s="9"/>
    </row>
    <row r="70" spans="1:9" x14ac:dyDescent="0.25">
      <c r="A70" s="15"/>
      <c r="G70" s="9"/>
      <c r="H70" s="9"/>
      <c r="I70" s="9"/>
    </row>
    <row r="71" spans="1:9" x14ac:dyDescent="0.25">
      <c r="A71" s="15"/>
      <c r="G71" s="9"/>
      <c r="H71" s="9"/>
      <c r="I71" s="9"/>
    </row>
    <row r="72" spans="1:9" x14ac:dyDescent="0.25">
      <c r="A72" s="15"/>
      <c r="G72" s="9"/>
      <c r="H72" s="9"/>
      <c r="I72" s="9"/>
    </row>
    <row r="73" spans="1:9" x14ac:dyDescent="0.25">
      <c r="A73" s="15"/>
      <c r="G73" s="9"/>
      <c r="H73" s="9"/>
      <c r="I73" s="9"/>
    </row>
    <row r="74" spans="1:9" x14ac:dyDescent="0.25">
      <c r="A74" s="15"/>
      <c r="G74" s="9"/>
      <c r="H74" s="9"/>
      <c r="I74" s="9"/>
    </row>
    <row r="75" spans="1:9" x14ac:dyDescent="0.25">
      <c r="A75" s="15"/>
      <c r="G75" s="9"/>
      <c r="H75" s="9"/>
      <c r="I75" s="9"/>
    </row>
    <row r="76" spans="1:9" x14ac:dyDescent="0.25">
      <c r="A76" s="15"/>
      <c r="G76" s="9"/>
      <c r="H76" s="9"/>
      <c r="I76" s="9"/>
    </row>
    <row r="77" spans="1:9" x14ac:dyDescent="0.25">
      <c r="A77" s="15"/>
      <c r="G77" s="9"/>
      <c r="H77" s="9"/>
      <c r="I77" s="9"/>
    </row>
    <row r="78" spans="1:9" x14ac:dyDescent="0.25">
      <c r="A78" s="15"/>
      <c r="G78" s="9"/>
      <c r="H78" s="9"/>
      <c r="I78" s="9"/>
    </row>
    <row r="79" spans="1:9" x14ac:dyDescent="0.25">
      <c r="A79" s="15"/>
      <c r="G79" s="9"/>
      <c r="H79" s="9"/>
      <c r="I79" s="9"/>
    </row>
    <row r="80" spans="1:9" x14ac:dyDescent="0.25">
      <c r="A80" s="15"/>
      <c r="G80" s="9"/>
      <c r="H80" s="9"/>
      <c r="I80" s="9"/>
    </row>
    <row r="81" spans="1:9" x14ac:dyDescent="0.25">
      <c r="A81" s="15"/>
      <c r="G81" s="9"/>
      <c r="H81" s="9"/>
      <c r="I81" s="9"/>
    </row>
    <row r="82" spans="1:9" x14ac:dyDescent="0.25">
      <c r="A82" s="15"/>
      <c r="G82" s="9"/>
      <c r="H82" s="9"/>
      <c r="I82" s="9"/>
    </row>
    <row r="83" spans="1:9" x14ac:dyDescent="0.25">
      <c r="A83" s="15"/>
      <c r="G83" s="9"/>
      <c r="H83" s="9"/>
      <c r="I83" s="9"/>
    </row>
    <row r="84" spans="1:9" x14ac:dyDescent="0.25">
      <c r="A84" s="15"/>
      <c r="G84" s="9"/>
      <c r="H84" s="9"/>
      <c r="I84" s="9"/>
    </row>
    <row r="85" spans="1:9" x14ac:dyDescent="0.25">
      <c r="A85" s="15"/>
      <c r="G85" s="9"/>
      <c r="H85" s="9"/>
      <c r="I85" s="9"/>
    </row>
    <row r="86" spans="1:9" x14ac:dyDescent="0.25">
      <c r="A86" s="15"/>
      <c r="G86" s="9"/>
      <c r="H86" s="9"/>
      <c r="I86" s="9"/>
    </row>
    <row r="87" spans="1:9" x14ac:dyDescent="0.25">
      <c r="A87" s="15"/>
      <c r="G87" s="9"/>
      <c r="H87" s="9"/>
      <c r="I87" s="9"/>
    </row>
    <row r="88" spans="1:9" x14ac:dyDescent="0.25">
      <c r="A88" s="15"/>
      <c r="G88" s="9"/>
      <c r="H88" s="9"/>
      <c r="I88" s="9"/>
    </row>
    <row r="89" spans="1:9" x14ac:dyDescent="0.25">
      <c r="A89" s="6"/>
      <c r="G89" s="9"/>
      <c r="H89" s="9"/>
      <c r="I89" s="9"/>
    </row>
    <row r="90" spans="1:9" x14ac:dyDescent="0.25">
      <c r="G90" s="9"/>
      <c r="H90" s="9"/>
      <c r="I90" s="9"/>
    </row>
    <row r="91" spans="1:9" x14ac:dyDescent="0.25">
      <c r="G91" s="9"/>
      <c r="H91" s="9"/>
      <c r="I91" s="9"/>
    </row>
    <row r="92" spans="1:9" x14ac:dyDescent="0.25">
      <c r="G92" s="9"/>
      <c r="H92" s="9"/>
      <c r="I92" s="9"/>
    </row>
    <row r="93" spans="1:9" x14ac:dyDescent="0.25">
      <c r="G93" s="9"/>
      <c r="H93" s="9"/>
      <c r="I93" s="9"/>
    </row>
    <row r="94" spans="1:9" x14ac:dyDescent="0.25">
      <c r="G94" s="9"/>
      <c r="H94" s="9"/>
      <c r="I94" s="9"/>
    </row>
    <row r="95" spans="1:9" x14ac:dyDescent="0.25">
      <c r="G95" s="9"/>
      <c r="H95" s="9"/>
      <c r="I95" s="9"/>
    </row>
    <row r="96" spans="1:9" x14ac:dyDescent="0.25">
      <c r="G96" s="9"/>
      <c r="H96" s="9"/>
      <c r="I96" s="9"/>
    </row>
    <row r="97" spans="2:9" x14ac:dyDescent="0.25">
      <c r="B97" s="3"/>
      <c r="C97" s="3"/>
      <c r="D97" s="3"/>
      <c r="E97" s="3"/>
      <c r="G97" s="9"/>
      <c r="H97" s="9"/>
      <c r="I97" s="9"/>
    </row>
    <row r="98" spans="2:9" x14ac:dyDescent="0.25">
      <c r="B98" s="3"/>
      <c r="C98" s="3"/>
      <c r="D98" s="3"/>
      <c r="E98" s="3"/>
      <c r="G98" s="9"/>
      <c r="H98" s="9"/>
      <c r="I98" s="9"/>
    </row>
    <row r="99" spans="2:9" x14ac:dyDescent="0.25">
      <c r="B99" s="3"/>
      <c r="C99" s="3"/>
      <c r="D99" s="3"/>
      <c r="E99" s="3"/>
      <c r="G99" s="9"/>
      <c r="H99" s="9"/>
      <c r="I99" s="9"/>
    </row>
    <row r="100" spans="2:9" x14ac:dyDescent="0.25">
      <c r="B100" s="3"/>
      <c r="C100" s="3"/>
      <c r="D100" s="3"/>
      <c r="E100" s="3"/>
      <c r="G100" s="9"/>
      <c r="H100" s="9"/>
      <c r="I100" s="9"/>
    </row>
    <row r="101" spans="2:9" x14ac:dyDescent="0.25">
      <c r="B101" s="3"/>
      <c r="C101" s="3"/>
      <c r="D101" s="3"/>
      <c r="E101" s="3"/>
      <c r="G101" s="9"/>
      <c r="H101" s="9"/>
      <c r="I101" s="9"/>
    </row>
    <row r="102" spans="2:9" x14ac:dyDescent="0.25">
      <c r="B102" s="3"/>
      <c r="C102" s="3"/>
      <c r="D102" s="3"/>
      <c r="E102" s="3"/>
      <c r="G102" s="9"/>
      <c r="H102" s="9"/>
      <c r="I102" s="9"/>
    </row>
    <row r="103" spans="2:9" x14ac:dyDescent="0.25">
      <c r="B103" s="3"/>
      <c r="C103" s="3"/>
      <c r="D103" s="3"/>
      <c r="E103" s="3"/>
      <c r="G103" s="9"/>
      <c r="H103" s="9"/>
      <c r="I103" s="9"/>
    </row>
    <row r="104" spans="2:9" x14ac:dyDescent="0.25">
      <c r="B104" s="3"/>
      <c r="C104" s="3"/>
      <c r="D104" s="3"/>
      <c r="E104" s="3"/>
      <c r="G104" s="9"/>
      <c r="H104" s="9"/>
      <c r="I104" s="9"/>
    </row>
    <row r="105" spans="2:9" x14ac:dyDescent="0.25">
      <c r="B105" s="3"/>
      <c r="C105" s="3"/>
      <c r="D105" s="3"/>
      <c r="E105" s="3"/>
      <c r="G105" s="9"/>
      <c r="H105" s="9"/>
      <c r="I105" s="9"/>
    </row>
    <row r="106" spans="2:9" x14ac:dyDescent="0.25">
      <c r="B106" s="3"/>
      <c r="C106" s="3"/>
      <c r="D106" s="3"/>
      <c r="E106" s="3"/>
      <c r="G106" s="9"/>
      <c r="H106" s="9"/>
      <c r="I106" s="9"/>
    </row>
    <row r="107" spans="2:9" x14ac:dyDescent="0.25">
      <c r="B107" s="3"/>
      <c r="C107" s="3"/>
      <c r="D107" s="3"/>
      <c r="E107" s="3"/>
      <c r="G107" s="9"/>
      <c r="H107" s="9"/>
      <c r="I107" s="9"/>
    </row>
    <row r="108" spans="2:9" x14ac:dyDescent="0.25">
      <c r="B108" s="3"/>
      <c r="C108" s="3"/>
      <c r="D108" s="3"/>
      <c r="E108" s="3"/>
      <c r="G108" s="9"/>
      <c r="H108" s="9"/>
      <c r="I108" s="9"/>
    </row>
    <row r="109" spans="2:9" x14ac:dyDescent="0.25">
      <c r="B109" s="3"/>
      <c r="C109" s="3"/>
      <c r="D109" s="3"/>
      <c r="E109" s="3"/>
      <c r="G109" s="9"/>
      <c r="H109" s="9"/>
      <c r="I109" s="9"/>
    </row>
    <row r="110" spans="2:9" x14ac:dyDescent="0.25">
      <c r="B110" s="3"/>
      <c r="C110" s="3"/>
      <c r="D110" s="3"/>
      <c r="E110" s="3"/>
      <c r="G110" s="9"/>
      <c r="H110" s="9"/>
      <c r="I110" s="9"/>
    </row>
    <row r="111" spans="2:9" x14ac:dyDescent="0.25">
      <c r="B111" s="3"/>
      <c r="C111" s="3"/>
      <c r="D111" s="3"/>
      <c r="E111" s="3"/>
      <c r="G111" s="9"/>
      <c r="H111" s="9"/>
      <c r="I111" s="9"/>
    </row>
    <row r="112" spans="2:9" x14ac:dyDescent="0.25">
      <c r="B112" s="3"/>
      <c r="C112" s="3"/>
      <c r="D112" s="3"/>
      <c r="E112" s="3"/>
      <c r="G112" s="9"/>
      <c r="H112" s="9"/>
      <c r="I112" s="9"/>
    </row>
    <row r="113" spans="2:9" x14ac:dyDescent="0.25">
      <c r="B113" s="3"/>
      <c r="C113" s="3"/>
      <c r="D113" s="3"/>
      <c r="E113" s="3"/>
      <c r="G113" s="9"/>
      <c r="H113" s="9"/>
      <c r="I113" s="9"/>
    </row>
    <row r="114" spans="2:9" x14ac:dyDescent="0.25">
      <c r="B114" s="3"/>
      <c r="C114" s="3"/>
      <c r="D114" s="3"/>
      <c r="E114" s="3"/>
      <c r="G114" s="9"/>
      <c r="H114" s="9"/>
      <c r="I114" s="9"/>
    </row>
    <row r="115" spans="2:9" x14ac:dyDescent="0.25">
      <c r="B115" s="3"/>
      <c r="C115" s="3"/>
      <c r="D115" s="3"/>
      <c r="E115" s="3"/>
      <c r="G115" s="9"/>
      <c r="H115" s="9"/>
      <c r="I115" s="9"/>
    </row>
    <row r="116" spans="2:9" x14ac:dyDescent="0.25">
      <c r="B116" s="3"/>
      <c r="C116" s="3"/>
      <c r="D116" s="3"/>
      <c r="E116" s="3"/>
      <c r="G116" s="9"/>
      <c r="H116" s="9"/>
      <c r="I116" s="9"/>
    </row>
    <row r="117" spans="2:9" x14ac:dyDescent="0.25">
      <c r="B117" s="3"/>
      <c r="C117" s="3"/>
      <c r="D117" s="3"/>
      <c r="E117" s="3"/>
      <c r="G117" s="9"/>
      <c r="H117" s="9"/>
      <c r="I117" s="9"/>
    </row>
    <row r="118" spans="2:9" x14ac:dyDescent="0.25">
      <c r="B118" s="3"/>
      <c r="C118" s="3"/>
      <c r="D118" s="3"/>
      <c r="E118" s="3"/>
      <c r="G118" s="9"/>
      <c r="H118" s="9"/>
      <c r="I118" s="9"/>
    </row>
    <row r="119" spans="2:9" x14ac:dyDescent="0.25">
      <c r="B119" s="3"/>
      <c r="C119" s="3"/>
      <c r="D119" s="3"/>
      <c r="E119" s="3"/>
      <c r="G119" s="9"/>
      <c r="H119" s="9"/>
      <c r="I119" s="9"/>
    </row>
    <row r="120" spans="2:9" x14ac:dyDescent="0.25">
      <c r="B120" s="3"/>
      <c r="C120" s="3"/>
      <c r="D120" s="3"/>
      <c r="E120" s="3"/>
      <c r="G120" s="9"/>
      <c r="H120" s="9"/>
      <c r="I120" s="9"/>
    </row>
    <row r="121" spans="2:9" x14ac:dyDescent="0.25">
      <c r="B121" s="3"/>
      <c r="C121" s="3"/>
      <c r="D121" s="3"/>
      <c r="E121" s="3"/>
      <c r="G121" s="9"/>
      <c r="H121" s="9"/>
      <c r="I121" s="9"/>
    </row>
    <row r="122" spans="2:9" x14ac:dyDescent="0.25">
      <c r="B122" s="3"/>
      <c r="C122" s="3"/>
      <c r="D122" s="3"/>
      <c r="E122" s="3"/>
      <c r="G122" s="9"/>
      <c r="H122" s="9"/>
      <c r="I122" s="9"/>
    </row>
    <row r="123" spans="2:9" x14ac:dyDescent="0.25">
      <c r="B123" s="3"/>
      <c r="C123" s="3"/>
      <c r="D123" s="3"/>
      <c r="E123" s="3"/>
      <c r="G123" s="9"/>
      <c r="H123" s="9"/>
      <c r="I123" s="9"/>
    </row>
  </sheetData>
  <mergeCells count="11">
    <mergeCell ref="A1:N1"/>
    <mergeCell ref="A2:N2"/>
    <mergeCell ref="A4:A8"/>
    <mergeCell ref="N4:N8"/>
    <mergeCell ref="J7:M7"/>
    <mergeCell ref="B5:E5"/>
    <mergeCell ref="B7:E7"/>
    <mergeCell ref="B4:M4"/>
    <mergeCell ref="F7:I7"/>
    <mergeCell ref="F5:M5"/>
    <mergeCell ref="F6:M6"/>
  </mergeCells>
  <pageMargins left="0.7" right="0.7" top="0.75" bottom="0.75" header="0.3" footer="0.3"/>
  <pageSetup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2018-05-07T06:43:29Z</cp:lastPrinted>
  <dcterms:created xsi:type="dcterms:W3CDTF">2013-02-14T16:19:10Z</dcterms:created>
  <dcterms:modified xsi:type="dcterms:W3CDTF">2018-05-07T06:43:34Z</dcterms:modified>
</cp:coreProperties>
</file>