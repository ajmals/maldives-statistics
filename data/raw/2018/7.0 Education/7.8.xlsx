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8" sheetId="10" r:id="rId1"/>
  </sheets>
  <definedNames>
    <definedName name="_xlnm.Print_Area" localSheetId="0">'7.8'!$A$1:$K$33</definedName>
  </definedNames>
  <calcPr calcId="162913"/>
</workbook>
</file>

<file path=xl/calcChain.xml><?xml version="1.0" encoding="utf-8"?>
<calcChain xmlns="http://schemas.openxmlformats.org/spreadsheetml/2006/main">
  <c r="I10" i="10" l="1"/>
  <c r="H10" i="10"/>
  <c r="D10" i="10" l="1"/>
  <c r="C10" i="10"/>
  <c r="F10" i="10" l="1"/>
  <c r="G10" i="10"/>
  <c r="D8" i="10" l="1"/>
  <c r="F8" i="10"/>
  <c r="G8" i="10"/>
  <c r="I8" i="10"/>
  <c r="H8" i="10"/>
  <c r="C8" i="10"/>
  <c r="B8" i="10" l="1"/>
  <c r="J8" i="10" s="1"/>
  <c r="B11" i="10" l="1"/>
  <c r="J11" i="10" s="1"/>
  <c r="B30" i="10" l="1"/>
  <c r="J30" i="10" s="1"/>
  <c r="B29" i="10"/>
  <c r="J29" i="10" s="1"/>
  <c r="B28" i="10"/>
  <c r="J28" i="10" s="1"/>
  <c r="B27" i="10"/>
  <c r="J27" i="10" s="1"/>
  <c r="B26" i="10"/>
  <c r="J26" i="10" s="1"/>
  <c r="B25" i="10"/>
  <c r="J25" i="10" s="1"/>
  <c r="B24" i="10"/>
  <c r="J24" i="10" s="1"/>
  <c r="B23" i="10"/>
  <c r="J23" i="10" s="1"/>
  <c r="B22" i="10"/>
  <c r="J22" i="10" s="1"/>
  <c r="B21" i="10"/>
  <c r="J21" i="10" s="1"/>
  <c r="B20" i="10"/>
  <c r="J20" i="10" s="1"/>
  <c r="B19" i="10"/>
  <c r="J19" i="10" s="1"/>
  <c r="B18" i="10"/>
  <c r="J18" i="10" s="1"/>
  <c r="B17" i="10"/>
  <c r="J17" i="10" s="1"/>
  <c r="B16" i="10"/>
  <c r="J16" i="10" s="1"/>
  <c r="B15" i="10"/>
  <c r="J15" i="10" s="1"/>
  <c r="B14" i="10"/>
  <c r="J14" i="10" s="1"/>
  <c r="B13" i="10"/>
  <c r="J13" i="10" s="1"/>
  <c r="B12" i="10"/>
  <c r="J12" i="10" s="1"/>
  <c r="B10" i="10"/>
  <c r="J10" i="10" s="1"/>
  <c r="B9" i="10"/>
  <c r="J9" i="10" s="1"/>
</calcChain>
</file>

<file path=xl/sharedStrings.xml><?xml version="1.0" encoding="utf-8"?>
<sst xmlns="http://schemas.openxmlformats.org/spreadsheetml/2006/main" count="80" uniqueCount="72">
  <si>
    <t>Total</t>
  </si>
  <si>
    <t xml:space="preserve">  Locality</t>
  </si>
  <si>
    <t>Republic</t>
  </si>
  <si>
    <t>ejcaWriLum</t>
  </si>
  <si>
    <t>Male'</t>
  </si>
  <si>
    <t>elWm</t>
  </si>
  <si>
    <t>Atolls</t>
  </si>
  <si>
    <t>cawtuLotwa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</si>
  <si>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</si>
  <si>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</si>
  <si>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</si>
  <si>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</si>
  <si>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</si>
  <si>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</si>
  <si>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</si>
  <si>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</si>
  <si>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</si>
  <si>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</si>
  <si>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</si>
  <si>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</si>
  <si>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</si>
  <si>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</si>
  <si>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</si>
  <si>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</si>
  <si>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</si>
  <si>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</si>
  <si>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</si>
  <si>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</si>
  <si>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</si>
  <si>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</si>
  <si>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</si>
  <si>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</si>
  <si>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</si>
  <si>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</si>
  <si>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</si>
  <si>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</si>
  <si>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</si>
  <si>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</si>
  <si>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</si>
  <si>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</si>
  <si>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Source: Ministry of Education</t>
  </si>
  <si>
    <t>cnwxEkuaiDea cfoa IrcTcsinim :ctWrwf ivcaed utWmUluAwm</t>
  </si>
  <si>
    <t>Teachers</t>
  </si>
  <si>
    <t>Trained</t>
  </si>
  <si>
    <t>cnIsEdib</t>
  </si>
  <si>
    <t>cnusircawdum</t>
  </si>
  <si>
    <t>Untrained</t>
  </si>
  <si>
    <t>Expatriate</t>
  </si>
  <si>
    <t>ތަމްރިން ލިބިފައިވާ</t>
  </si>
  <si>
    <t>WvuniawfibilcnIrcmwt</t>
  </si>
  <si>
    <t>IsEdib wlcmuj</t>
  </si>
  <si>
    <t>ihevid wlcmuj</t>
  </si>
  <si>
    <t>ޖުމްލަ</t>
  </si>
  <si>
    <t>އިންސަތްތައިން</t>
  </si>
  <si>
    <t>ImiaWd</t>
  </si>
  <si>
    <t>Itugwv</t>
  </si>
  <si>
    <t>Total expatriate</t>
  </si>
  <si>
    <t xml:space="preserve">Total Local </t>
  </si>
  <si>
    <t>ތަން</t>
  </si>
  <si>
    <t>Permanant</t>
  </si>
  <si>
    <t>Temporary</t>
  </si>
  <si>
    <t xml:space="preserve"> Teachers</t>
  </si>
  <si>
    <t>as a % of total</t>
  </si>
  <si>
    <t>Adh</t>
  </si>
  <si>
    <t>ބިދޭސީ ޓީޗަރުންގެ ތެރޭގައި ތަމްރީނު ލިބިފައިނުވާ ޓީޗަރުންނެއް ނެތް</t>
  </si>
  <si>
    <t>HA</t>
  </si>
  <si>
    <t>HDh</t>
  </si>
  <si>
    <t>Sh</t>
  </si>
  <si>
    <t>R</t>
  </si>
  <si>
    <t>Note: No untrained expatriate teachers</t>
  </si>
  <si>
    <t>2017 ,cnusircawdum IsEdib idwa ihevid WviretctWkwrwH iawgukwtWswrudwm egukwtuLotwa iaWaelWm : 7.8 ulwvWt</t>
  </si>
  <si>
    <t>TABLE 7.8: LOCAL AND EXPATRIATE TEACHERS SERVING IN SCHOOLS OF MALE' AND ATOLLS BY LOCALITY,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</si>
</sst>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A_Waheed"/>
    </font>
    <font>
      <i/>
      <sz val="9"/>
      <name val="Calibri"/>
      <family val="2"/>
      <scheme val="minor"/>
    </font>
    <font>
      <sz val="9"/>
      <name val="A_Waheed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_Utheem"/>
    </font>
    <font>
      <sz val="9"/>
      <name val="Faruma"/>
    </font>
    <font>
      <sz val="12"/>
      <name val="A_Utheem"/>
    </font>
    <font>
      <sz val="10"/>
      <color rgb="FFFF0000"/>
      <name val="Calibri"/>
      <family val="2"/>
      <scheme val="minor"/>
    </font>
    <font>
      <i/>
      <sz val="9"/>
      <color indexed="8"/>
      <name val="Calibri"/>
      <family val="2"/>
      <scheme val="minor"/>
    </font>
    <font>
      <sz val="10"/>
      <name val="MS Sans Serif"/>
      <family val="2"/>
    </font>
    <font>
      <b/>
      <sz val="10"/>
      <color rgb="FFFF0000"/>
      <name val="Arial"/>
      <family val="2"/>
    </font>
    <font>
      <b/>
      <sz val="9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Times New Roman"/>
      <family val="1"/>
    </font>
    <font>
      <b/>
      <i/>
      <sz val="16"/>
      <name val="Helv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</borders>
  <cellStyleXfs count="162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24" fillId="0" borderId="0" applyFont="0" applyFill="0" applyBorder="0" applyAlignment="0" applyProtection="0"/>
    <xf numFmtId="164" fontId="2" fillId="0" borderId="0"/>
    <xf numFmtId="0" fontId="2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8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28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30" fillId="0" borderId="0"/>
    <xf numFmtId="171" fontId="2" fillId="0" borderId="0"/>
    <xf numFmtId="0" fontId="24" fillId="0" borderId="0"/>
    <xf numFmtId="0" fontId="24" fillId="0" borderId="0"/>
    <xf numFmtId="171" fontId="2" fillId="0" borderId="0"/>
    <xf numFmtId="0" fontId="24" fillId="0" borderId="0"/>
    <xf numFmtId="0" fontId="24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24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</cellStyleXfs>
  <cellXfs count="63">
    <xf numFmtId="0" fontId="0" fillId="0" borderId="0" xfId="0"/>
    <xf numFmtId="165" fontId="14" fillId="2" borderId="0" xfId="0" applyNumberFormat="1" applyFont="1" applyFill="1" applyBorder="1" applyAlignment="1">
      <alignment horizontal="right" vertical="center"/>
    </xf>
    <xf numFmtId="165" fontId="16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Border="1" applyAlignment="1">
      <alignment horizontal="right" vertical="center"/>
    </xf>
    <xf numFmtId="165" fontId="5" fillId="2" borderId="2" xfId="0" applyNumberFormat="1" applyFont="1" applyFill="1" applyBorder="1" applyAlignment="1">
      <alignment horizontal="right" vertical="center"/>
    </xf>
    <xf numFmtId="165" fontId="7" fillId="2" borderId="0" xfId="4" applyNumberFormat="1" applyFont="1" applyFill="1" applyAlignment="1">
      <alignment horizontal="center" vertical="center"/>
    </xf>
    <xf numFmtId="165" fontId="7" fillId="2" borderId="0" xfId="4" applyNumberFormat="1" applyFont="1" applyFill="1" applyAlignment="1">
      <alignment horizontal="center" vertical="top"/>
    </xf>
    <xf numFmtId="165" fontId="3" fillId="2" borderId="1" xfId="4" applyNumberFormat="1" applyFont="1" applyFill="1" applyBorder="1" applyAlignment="1">
      <alignment horizontal="center" vertical="top"/>
    </xf>
    <xf numFmtId="165" fontId="4" fillId="2" borderId="0" xfId="4" applyNumberFormat="1" applyFont="1" applyFill="1" applyBorder="1" applyAlignment="1">
      <alignment horizontal="center" vertical="center"/>
    </xf>
    <xf numFmtId="165" fontId="21" fillId="2" borderId="0" xfId="4" applyNumberFormat="1" applyFont="1" applyFill="1" applyAlignment="1">
      <alignment horizontal="right" vertical="center"/>
    </xf>
    <xf numFmtId="165" fontId="11" fillId="2" borderId="0" xfId="4" applyNumberFormat="1" applyFont="1" applyFill="1" applyBorder="1" applyAlignment="1" applyProtection="1">
      <alignment horizontal="left" vertical="center"/>
    </xf>
    <xf numFmtId="165" fontId="6" fillId="2" borderId="0" xfId="0" applyNumberFormat="1" applyFont="1" applyFill="1" applyBorder="1" applyAlignment="1">
      <alignment horizontal="right" vertical="center"/>
    </xf>
    <xf numFmtId="165" fontId="7" fillId="2" borderId="0" xfId="4" applyNumberFormat="1" applyFont="1" applyFill="1" applyAlignment="1">
      <alignment horizontal="right" vertical="center"/>
    </xf>
    <xf numFmtId="165" fontId="10" fillId="2" borderId="0" xfId="4" applyNumberFormat="1" applyFont="1" applyFill="1" applyBorder="1" applyAlignment="1" applyProtection="1">
      <alignment horizontal="left" vertical="center"/>
    </xf>
    <xf numFmtId="165" fontId="3" fillId="2" borderId="0" xfId="4" applyNumberFormat="1" applyFont="1" applyFill="1" applyBorder="1" applyAlignment="1">
      <alignment horizontal="right" vertical="center"/>
    </xf>
    <xf numFmtId="165" fontId="4" fillId="2" borderId="0" xfId="4" applyNumberFormat="1" applyFont="1" applyFill="1" applyBorder="1" applyAlignment="1">
      <alignment horizontal="right" vertical="center"/>
    </xf>
    <xf numFmtId="165" fontId="10" fillId="2" borderId="0" xfId="4" applyNumberFormat="1" applyFont="1" applyFill="1" applyBorder="1" applyAlignment="1">
      <alignment horizontal="left" vertical="center"/>
    </xf>
    <xf numFmtId="165" fontId="7" fillId="2" borderId="0" xfId="0" applyNumberFormat="1" applyFont="1" applyFill="1" applyBorder="1" applyAlignment="1">
      <alignment horizontal="right" vertical="center"/>
    </xf>
    <xf numFmtId="165" fontId="11" fillId="2" borderId="2" xfId="4" applyNumberFormat="1" applyFont="1" applyFill="1" applyBorder="1" applyAlignment="1" applyProtection="1">
      <alignment horizontal="left" vertical="center"/>
    </xf>
    <xf numFmtId="165" fontId="12" fillId="2" borderId="0" xfId="4" applyNumberFormat="1" applyFont="1" applyFill="1" applyBorder="1" applyAlignment="1" applyProtection="1">
      <alignment horizontal="left" vertical="center"/>
    </xf>
    <xf numFmtId="165" fontId="12" fillId="2" borderId="1" xfId="4" applyNumberFormat="1" applyFont="1" applyFill="1" applyBorder="1" applyAlignment="1" applyProtection="1">
      <alignment horizontal="left" vertical="center"/>
    </xf>
    <xf numFmtId="165" fontId="16" fillId="2" borderId="1" xfId="0" applyNumberFormat="1" applyFont="1" applyFill="1" applyBorder="1" applyAlignment="1">
      <alignment horizontal="right" vertical="center"/>
    </xf>
    <xf numFmtId="165" fontId="23" fillId="2" borderId="0" xfId="4" applyNumberFormat="1" applyFont="1" applyFill="1" applyAlignment="1">
      <alignment horizontal="left" vertical="center"/>
    </xf>
    <xf numFmtId="165" fontId="20" fillId="2" borderId="0" xfId="4" applyNumberFormat="1" applyFont="1" applyFill="1" applyAlignment="1">
      <alignment horizontal="right"/>
    </xf>
    <xf numFmtId="165" fontId="15" fillId="2" borderId="0" xfId="4" applyNumberFormat="1" applyFont="1" applyFill="1" applyAlignment="1">
      <alignment horizontal="left" vertical="center"/>
    </xf>
    <xf numFmtId="165" fontId="7" fillId="2" borderId="0" xfId="4" applyNumberFormat="1" applyFont="1" applyFill="1" applyAlignment="1">
      <alignment horizontal="left" vertical="center"/>
    </xf>
    <xf numFmtId="3" fontId="18" fillId="2" borderId="2" xfId="4" applyNumberFormat="1" applyFont="1" applyFill="1" applyBorder="1" applyAlignment="1">
      <alignment vertical="center"/>
    </xf>
    <xf numFmtId="3" fontId="18" fillId="2" borderId="2" xfId="4" applyNumberFormat="1" applyFont="1" applyFill="1" applyBorder="1" applyAlignment="1">
      <alignment horizontal="right" vertical="center"/>
    </xf>
    <xf numFmtId="3" fontId="3" fillId="2" borderId="0" xfId="4" applyNumberFormat="1" applyFont="1" applyFill="1" applyBorder="1" applyAlignment="1">
      <alignment vertical="center"/>
    </xf>
    <xf numFmtId="3" fontId="18" fillId="2" borderId="0" xfId="4" applyNumberFormat="1" applyFont="1" applyFill="1" applyBorder="1" applyAlignment="1">
      <alignment vertical="center"/>
    </xf>
    <xf numFmtId="3" fontId="3" fillId="2" borderId="1" xfId="4" applyNumberFormat="1" applyFont="1" applyFill="1" applyBorder="1" applyAlignment="1">
      <alignment vertical="center"/>
    </xf>
    <xf numFmtId="165" fontId="25" fillId="2" borderId="0" xfId="4" applyNumberFormat="1" applyFont="1" applyFill="1" applyAlignment="1">
      <alignment horizontal="center" vertical="center"/>
    </xf>
    <xf numFmtId="165" fontId="7" fillId="2" borderId="0" xfId="4" applyNumberFormat="1" applyFont="1" applyFill="1" applyBorder="1" applyAlignment="1">
      <alignment horizontal="center" vertical="center"/>
    </xf>
    <xf numFmtId="165" fontId="13" fillId="2" borderId="0" xfId="0" applyNumberFormat="1" applyFont="1" applyFill="1" applyBorder="1" applyAlignment="1">
      <alignment horizontal="right" vertical="center"/>
    </xf>
    <xf numFmtId="165" fontId="7" fillId="2" borderId="0" xfId="4" applyNumberFormat="1" applyFont="1" applyFill="1" applyBorder="1" applyAlignment="1">
      <alignment horizontal="center" vertical="top"/>
    </xf>
    <xf numFmtId="165" fontId="6" fillId="2" borderId="0" xfId="0" applyNumberFormat="1" applyFont="1" applyFill="1" applyBorder="1" applyAlignment="1">
      <alignment horizontal="center" vertical="center"/>
    </xf>
    <xf numFmtId="3" fontId="31" fillId="2" borderId="0" xfId="161" applyNumberFormat="1" applyFont="1" applyFill="1" applyBorder="1" applyAlignment="1">
      <alignment horizontal="right" vertical="center"/>
    </xf>
    <xf numFmtId="165" fontId="29" fillId="2" borderId="0" xfId="161" applyFont="1" applyFill="1" applyBorder="1" applyAlignment="1" applyProtection="1">
      <alignment horizontal="left" vertical="center"/>
    </xf>
    <xf numFmtId="165" fontId="26" fillId="2" borderId="0" xfId="161" applyFont="1" applyFill="1" applyBorder="1" applyAlignment="1">
      <alignment horizontal="center" vertical="center"/>
    </xf>
    <xf numFmtId="3" fontId="29" fillId="2" borderId="0" xfId="161" applyNumberFormat="1" applyFont="1" applyFill="1" applyBorder="1" applyAlignment="1">
      <alignment horizontal="right" vertical="center"/>
    </xf>
    <xf numFmtId="3" fontId="17" fillId="2" borderId="0" xfId="4" applyNumberFormat="1" applyFont="1" applyFill="1" applyBorder="1" applyAlignment="1">
      <alignment horizontal="right" vertical="center"/>
    </xf>
    <xf numFmtId="3" fontId="17" fillId="2" borderId="4" xfId="4" applyNumberFormat="1" applyFont="1" applyFill="1" applyBorder="1" applyAlignment="1">
      <alignment horizontal="right" vertical="center"/>
    </xf>
    <xf numFmtId="3" fontId="18" fillId="2" borderId="0" xfId="4" applyNumberFormat="1" applyFont="1" applyFill="1" applyBorder="1" applyAlignment="1">
      <alignment horizontal="center" vertical="center"/>
    </xf>
    <xf numFmtId="3" fontId="17" fillId="2" borderId="0" xfId="4" applyNumberFormat="1" applyFont="1" applyFill="1" applyBorder="1" applyAlignment="1">
      <alignment horizontal="center" vertical="center"/>
    </xf>
    <xf numFmtId="3" fontId="17" fillId="2" borderId="4" xfId="4" applyNumberFormat="1" applyFont="1" applyFill="1" applyBorder="1" applyAlignment="1">
      <alignment horizontal="center" vertical="center"/>
    </xf>
    <xf numFmtId="165" fontId="3" fillId="2" borderId="0" xfId="4" applyNumberFormat="1" applyFont="1" applyFill="1" applyBorder="1" applyAlignment="1">
      <alignment horizontal="center" vertical="center"/>
    </xf>
    <xf numFmtId="165" fontId="3" fillId="2" borderId="4" xfId="4" applyNumberFormat="1" applyFont="1" applyFill="1" applyBorder="1" applyAlignment="1">
      <alignment horizontal="center" vertical="center"/>
    </xf>
    <xf numFmtId="3" fontId="22" fillId="2" borderId="0" xfId="4" applyNumberFormat="1" applyFont="1" applyFill="1" applyBorder="1" applyAlignment="1">
      <alignment horizontal="center" vertical="center"/>
    </xf>
    <xf numFmtId="3" fontId="22" fillId="2" borderId="4" xfId="4" applyNumberFormat="1" applyFont="1" applyFill="1" applyBorder="1" applyAlignment="1">
      <alignment horizontal="center" vertical="center"/>
    </xf>
    <xf numFmtId="41" fontId="26" fillId="2" borderId="0" xfId="0" applyNumberFormat="1" applyFont="1" applyFill="1" applyBorder="1" applyAlignment="1" applyProtection="1">
      <alignment horizontal="center" vertical="center"/>
    </xf>
    <xf numFmtId="41" fontId="29" fillId="2" borderId="0" xfId="0" applyNumberFormat="1" applyFont="1" applyFill="1" applyBorder="1" applyAlignment="1" applyProtection="1">
      <alignment horizontal="center" vertical="center"/>
    </xf>
    <xf numFmtId="41" fontId="31" fillId="2" borderId="0" xfId="0" applyNumberFormat="1" applyFont="1" applyFill="1" applyBorder="1" applyAlignment="1" applyProtection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top"/>
    </xf>
    <xf numFmtId="165" fontId="6" fillId="2" borderId="0" xfId="0" applyNumberFormat="1" applyFont="1" applyFill="1" applyBorder="1" applyAlignment="1">
      <alignment horizontal="center" vertical="center"/>
    </xf>
    <xf numFmtId="165" fontId="19" fillId="2" borderId="0" xfId="0" applyNumberFormat="1" applyFont="1" applyFill="1" applyBorder="1" applyAlignment="1">
      <alignment horizontal="center" vertical="center"/>
    </xf>
    <xf numFmtId="165" fontId="3" fillId="2" borderId="3" xfId="4" applyNumberFormat="1" applyFont="1" applyFill="1" applyBorder="1" applyAlignment="1">
      <alignment horizontal="center" vertical="center"/>
    </xf>
    <xf numFmtId="41" fontId="26" fillId="2" borderId="0" xfId="0" applyNumberFormat="1" applyFont="1" applyFill="1" applyBorder="1" applyAlignment="1" applyProtection="1">
      <alignment horizontal="center" vertical="center"/>
    </xf>
    <xf numFmtId="0" fontId="26" fillId="2" borderId="0" xfId="0" applyFont="1" applyFill="1" applyBorder="1" applyAlignment="1" applyProtection="1">
      <alignment horizontal="center" vertical="center"/>
    </xf>
    <xf numFmtId="165" fontId="26" fillId="2" borderId="0" xfId="161" applyFont="1" applyFill="1" applyBorder="1" applyAlignment="1" applyProtection="1">
      <alignment horizontal="center" vertical="center"/>
    </xf>
    <xf numFmtId="165" fontId="26" fillId="2" borderId="0" xfId="161" applyFont="1" applyFill="1" applyBorder="1" applyAlignment="1">
      <alignment horizontal="center" vertical="center"/>
    </xf>
    <xf numFmtId="165" fontId="29" fillId="2" borderId="0" xfId="161" applyFont="1" applyFill="1" applyBorder="1" applyAlignment="1">
      <alignment horizontal="center" vertical="center"/>
    </xf>
  </cellXfs>
  <cellStyles count="162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Normal_education" xfId="161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68"/>
  <sheetViews>
    <sheetView tabSelected="1" zoomScaleNormal="100" zoomScaleSheetLayoutView="100" workbookViewId="0">
      <selection activeCell="F38" sqref="F37:F38"/>
    </sheetView>
  </sheetViews>
  <sheetFormatPr defaultColWidth="9.140625" defaultRowHeight="12.75" x14ac:dyDescent="0.25"/>
  <cols>
    <col min="1" max="1" width="11.42578125" style="26" customWidth="1"/>
    <col min="2" max="2" width="11.5703125" style="6" customWidth="1"/>
    <col min="3" max="4" width="13" style="6" customWidth="1"/>
    <col min="5" max="5" width="2.140625" style="6" customWidth="1"/>
    <col min="6" max="7" width="13.7109375" style="6" customWidth="1"/>
    <col min="8" max="9" width="14.5703125" style="6" customWidth="1"/>
    <col min="10" max="10" width="15.5703125" style="6" customWidth="1"/>
    <col min="11" max="11" width="16.85546875" style="6" customWidth="1"/>
    <col min="12" max="16384" width="9.140625" style="6"/>
  </cols>
  <sheetData>
    <row r="1" spans="1:19" ht="20.25" customHeight="1" x14ac:dyDescent="0.25">
      <c r="A1" s="53" t="s">
        <v>70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32"/>
    </row>
    <row r="2" spans="1:19" s="7" customFormat="1" ht="16.5" customHeight="1" x14ac:dyDescent="0.25">
      <c r="A2" s="54" t="s">
        <v>71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9" s="7" customFormat="1" ht="5.2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M3" s="35"/>
      <c r="P3" s="35"/>
      <c r="Q3" s="35"/>
    </row>
    <row r="4" spans="1:19" ht="18.75" x14ac:dyDescent="0.25">
      <c r="A4" s="9"/>
      <c r="B4" s="9"/>
      <c r="C4" s="55" t="s">
        <v>48</v>
      </c>
      <c r="D4" s="55"/>
      <c r="E4" s="9"/>
      <c r="F4" s="56" t="s">
        <v>49</v>
      </c>
      <c r="G4" s="56"/>
      <c r="H4" s="4" t="s">
        <v>50</v>
      </c>
      <c r="I4" s="4" t="s">
        <v>51</v>
      </c>
      <c r="J4" s="3" t="s">
        <v>44</v>
      </c>
      <c r="K4" s="10"/>
      <c r="M4" s="33"/>
      <c r="P4" s="33"/>
      <c r="Q4" s="33"/>
    </row>
    <row r="5" spans="1:19" ht="17.25" customHeight="1" x14ac:dyDescent="0.25">
      <c r="A5" s="11" t="s">
        <v>1</v>
      </c>
      <c r="B5" s="12" t="s">
        <v>52</v>
      </c>
      <c r="C5" s="57" t="s">
        <v>43</v>
      </c>
      <c r="D5" s="57"/>
      <c r="E5" s="9"/>
      <c r="F5" s="57" t="s">
        <v>46</v>
      </c>
      <c r="G5" s="57"/>
      <c r="H5" s="4" t="s">
        <v>45</v>
      </c>
      <c r="I5" s="4" t="s">
        <v>45</v>
      </c>
      <c r="J5" s="36" t="s">
        <v>53</v>
      </c>
      <c r="K5" s="13"/>
      <c r="M5" s="33"/>
      <c r="N5" s="33"/>
      <c r="O5" s="33"/>
      <c r="P5" s="33"/>
      <c r="Q5" s="33"/>
    </row>
    <row r="6" spans="1:19" ht="18.75" x14ac:dyDescent="0.25">
      <c r="A6" s="14"/>
      <c r="B6" s="15" t="s">
        <v>0</v>
      </c>
      <c r="C6" s="4" t="s">
        <v>54</v>
      </c>
      <c r="D6" s="4" t="s">
        <v>55</v>
      </c>
      <c r="E6" s="16"/>
      <c r="F6" s="4" t="s">
        <v>54</v>
      </c>
      <c r="G6" s="4" t="s">
        <v>55</v>
      </c>
      <c r="H6" s="15" t="s">
        <v>56</v>
      </c>
      <c r="I6" s="15" t="s">
        <v>57</v>
      </c>
      <c r="J6" s="46" t="s">
        <v>47</v>
      </c>
      <c r="K6" s="12" t="s">
        <v>58</v>
      </c>
      <c r="M6" s="33"/>
      <c r="N6" s="33"/>
      <c r="O6" s="33"/>
      <c r="P6" s="33"/>
      <c r="Q6" s="33"/>
      <c r="R6" s="33"/>
      <c r="S6" s="33"/>
    </row>
    <row r="7" spans="1:19" ht="12.75" customHeight="1" x14ac:dyDescent="0.25">
      <c r="A7" s="17"/>
      <c r="B7" s="16"/>
      <c r="C7" s="15" t="s">
        <v>59</v>
      </c>
      <c r="D7" s="15" t="s">
        <v>60</v>
      </c>
      <c r="E7" s="16"/>
      <c r="F7" s="15" t="s">
        <v>59</v>
      </c>
      <c r="G7" s="15" t="s">
        <v>60</v>
      </c>
      <c r="H7" s="15" t="s">
        <v>61</v>
      </c>
      <c r="I7" s="15" t="s">
        <v>42</v>
      </c>
      <c r="J7" s="47" t="s">
        <v>62</v>
      </c>
      <c r="K7" s="18"/>
      <c r="M7" s="15"/>
      <c r="N7" s="15"/>
      <c r="O7" s="33"/>
      <c r="P7" s="33"/>
      <c r="Q7" s="33"/>
      <c r="R7" s="33"/>
      <c r="S7" s="33"/>
    </row>
    <row r="8" spans="1:19" ht="15" x14ac:dyDescent="0.25">
      <c r="A8" s="19" t="s">
        <v>2</v>
      </c>
      <c r="B8" s="27">
        <f>SUM(C8:G8)</f>
        <v>9242</v>
      </c>
      <c r="C8" s="28">
        <f>SUM(C9:C10)</f>
        <v>7336</v>
      </c>
      <c r="D8" s="28">
        <f>SUM(D9:D10)</f>
        <v>1173</v>
      </c>
      <c r="E8" s="28"/>
      <c r="F8" s="28">
        <f>SUM(F9:F10)</f>
        <v>277</v>
      </c>
      <c r="G8" s="28">
        <f>SUM(G9:G10)</f>
        <v>456</v>
      </c>
      <c r="H8" s="28">
        <f>SUM(H9:H10)</f>
        <v>2167</v>
      </c>
      <c r="I8" s="28">
        <f>SUM(I9:I10)</f>
        <v>7075</v>
      </c>
      <c r="J8" s="43">
        <f>H8/B8*100</f>
        <v>23.447305777970136</v>
      </c>
      <c r="K8" s="5" t="s">
        <v>3</v>
      </c>
      <c r="M8" s="60"/>
      <c r="N8" s="61"/>
      <c r="O8" s="61"/>
      <c r="P8" s="62"/>
      <c r="Q8" s="62"/>
      <c r="R8" s="62"/>
      <c r="S8" s="33"/>
    </row>
    <row r="9" spans="1:19" ht="14.25" x14ac:dyDescent="0.25">
      <c r="A9" s="11" t="s">
        <v>4</v>
      </c>
      <c r="B9" s="29">
        <f t="shared" ref="B9:B30" si="0">SUM(C9:G9)</f>
        <v>2553</v>
      </c>
      <c r="C9" s="41">
        <v>2413</v>
      </c>
      <c r="D9" s="41">
        <v>95</v>
      </c>
      <c r="E9" s="48"/>
      <c r="F9" s="41">
        <v>10</v>
      </c>
      <c r="G9" s="41">
        <v>35</v>
      </c>
      <c r="H9" s="41">
        <v>402</v>
      </c>
      <c r="I9" s="41">
        <v>2151</v>
      </c>
      <c r="J9" s="44">
        <f>H9/B9*100</f>
        <v>15.746180963572268</v>
      </c>
      <c r="K9" s="1" t="s">
        <v>5</v>
      </c>
      <c r="M9" s="60"/>
      <c r="N9" s="39"/>
      <c r="O9" s="39"/>
      <c r="P9" s="39"/>
      <c r="Q9" s="39"/>
      <c r="R9" s="39"/>
      <c r="S9" s="33"/>
    </row>
    <row r="10" spans="1:19" ht="14.25" x14ac:dyDescent="0.25">
      <c r="A10" s="11" t="s">
        <v>6</v>
      </c>
      <c r="B10" s="30">
        <f t="shared" si="0"/>
        <v>6689</v>
      </c>
      <c r="C10" s="30">
        <f>SUM(C11:C30)</f>
        <v>4923</v>
      </c>
      <c r="D10" s="30">
        <f>SUM(D11:D30)</f>
        <v>1078</v>
      </c>
      <c r="E10" s="30"/>
      <c r="F10" s="30">
        <f>SUM(F11:F30)</f>
        <v>267</v>
      </c>
      <c r="G10" s="30">
        <f>SUM(G11:G30)</f>
        <v>421</v>
      </c>
      <c r="H10" s="30">
        <f>SUM(H11:H30)</f>
        <v>1765</v>
      </c>
      <c r="I10" s="30">
        <f>SUM(I11:I30)</f>
        <v>4924</v>
      </c>
      <c r="J10" s="43">
        <f>H10/B10*100</f>
        <v>26.386604873673196</v>
      </c>
      <c r="K10" s="1" t="s">
        <v>7</v>
      </c>
      <c r="M10" s="60"/>
      <c r="N10" s="39"/>
      <c r="O10" s="39"/>
      <c r="P10" s="39"/>
      <c r="Q10" s="39"/>
      <c r="R10" s="39"/>
      <c r="S10" s="33"/>
    </row>
    <row r="11" spans="1:19" ht="14.25" x14ac:dyDescent="0.25">
      <c r="A11" s="20" t="s">
        <v>65</v>
      </c>
      <c r="B11" s="29">
        <f t="shared" si="0"/>
        <v>475</v>
      </c>
      <c r="C11" s="41">
        <v>302</v>
      </c>
      <c r="D11" s="41">
        <v>108</v>
      </c>
      <c r="E11" s="48"/>
      <c r="F11" s="41">
        <v>34</v>
      </c>
      <c r="G11" s="41">
        <v>31</v>
      </c>
      <c r="H11" s="41">
        <v>132</v>
      </c>
      <c r="I11" s="41">
        <v>343</v>
      </c>
      <c r="J11" s="44">
        <f>H11/B11*100</f>
        <v>27.789473684210524</v>
      </c>
      <c r="K11" s="2" t="s">
        <v>8</v>
      </c>
      <c r="M11" s="38"/>
      <c r="N11" s="40"/>
      <c r="O11" s="40"/>
      <c r="P11" s="40"/>
      <c r="Q11" s="40"/>
      <c r="R11" s="40"/>
      <c r="S11" s="33"/>
    </row>
    <row r="12" spans="1:19" ht="14.25" x14ac:dyDescent="0.25">
      <c r="A12" s="20" t="s">
        <v>66</v>
      </c>
      <c r="B12" s="29">
        <f t="shared" si="0"/>
        <v>606</v>
      </c>
      <c r="C12" s="41">
        <v>388</v>
      </c>
      <c r="D12" s="41">
        <v>138</v>
      </c>
      <c r="E12" s="48"/>
      <c r="F12" s="41">
        <v>19</v>
      </c>
      <c r="G12" s="41">
        <v>61</v>
      </c>
      <c r="H12" s="41">
        <v>143</v>
      </c>
      <c r="I12" s="41">
        <v>463</v>
      </c>
      <c r="J12" s="44">
        <f t="shared" ref="J12:J30" si="1">H12/B12*100</f>
        <v>23.597359735973598</v>
      </c>
      <c r="K12" s="2" t="s">
        <v>9</v>
      </c>
      <c r="M12" s="38"/>
      <c r="N12" s="40"/>
      <c r="O12" s="40"/>
      <c r="P12" s="40"/>
      <c r="Q12" s="40"/>
      <c r="R12" s="40"/>
      <c r="S12" s="33"/>
    </row>
    <row r="13" spans="1:19" ht="14.25" x14ac:dyDescent="0.25">
      <c r="A13" s="20" t="s">
        <v>67</v>
      </c>
      <c r="B13" s="29">
        <f t="shared" si="0"/>
        <v>422</v>
      </c>
      <c r="C13" s="41">
        <v>299</v>
      </c>
      <c r="D13" s="41">
        <v>68</v>
      </c>
      <c r="E13" s="48"/>
      <c r="F13" s="41">
        <v>21</v>
      </c>
      <c r="G13" s="41">
        <v>34</v>
      </c>
      <c r="H13" s="41">
        <v>146</v>
      </c>
      <c r="I13" s="41">
        <v>276</v>
      </c>
      <c r="J13" s="44">
        <f t="shared" si="1"/>
        <v>34.597156398104268</v>
      </c>
      <c r="K13" s="2" t="s">
        <v>10</v>
      </c>
      <c r="M13" s="38"/>
      <c r="N13" s="40"/>
      <c r="O13" s="40"/>
      <c r="P13" s="40"/>
      <c r="Q13" s="40"/>
      <c r="R13" s="40"/>
      <c r="S13" s="33"/>
    </row>
    <row r="14" spans="1:19" ht="14.25" x14ac:dyDescent="0.25">
      <c r="A14" s="20" t="s">
        <v>38</v>
      </c>
      <c r="B14" s="29">
        <f t="shared" si="0"/>
        <v>393</v>
      </c>
      <c r="C14" s="41">
        <v>285</v>
      </c>
      <c r="D14" s="41">
        <v>77</v>
      </c>
      <c r="E14" s="48"/>
      <c r="F14" s="41">
        <v>12</v>
      </c>
      <c r="G14" s="41">
        <v>19</v>
      </c>
      <c r="H14" s="41">
        <v>106</v>
      </c>
      <c r="I14" s="41">
        <v>287</v>
      </c>
      <c r="J14" s="44">
        <f t="shared" si="1"/>
        <v>26.972010178117049</v>
      </c>
      <c r="K14" s="2" t="s">
        <v>11</v>
      </c>
      <c r="M14" s="38"/>
      <c r="N14" s="37"/>
      <c r="O14" s="37"/>
      <c r="P14" s="37"/>
      <c r="Q14" s="37"/>
      <c r="R14" s="37"/>
      <c r="S14" s="33"/>
    </row>
    <row r="15" spans="1:19" ht="14.25" x14ac:dyDescent="0.25">
      <c r="A15" s="20" t="s">
        <v>68</v>
      </c>
      <c r="B15" s="29">
        <f t="shared" si="0"/>
        <v>625</v>
      </c>
      <c r="C15" s="41">
        <v>403</v>
      </c>
      <c r="D15" s="41">
        <v>160</v>
      </c>
      <c r="E15" s="48"/>
      <c r="F15" s="41">
        <v>32</v>
      </c>
      <c r="G15" s="41">
        <v>30</v>
      </c>
      <c r="H15" s="41">
        <v>181</v>
      </c>
      <c r="I15" s="41">
        <v>444</v>
      </c>
      <c r="J15" s="44">
        <f t="shared" si="1"/>
        <v>28.96</v>
      </c>
      <c r="K15" s="2" t="s">
        <v>12</v>
      </c>
      <c r="M15" s="38"/>
      <c r="N15" s="37"/>
      <c r="O15" s="37"/>
      <c r="P15" s="37"/>
      <c r="Q15" s="37"/>
      <c r="R15" s="37"/>
      <c r="S15" s="33"/>
    </row>
    <row r="16" spans="1:19" ht="14.25" x14ac:dyDescent="0.25">
      <c r="A16" s="20" t="s">
        <v>13</v>
      </c>
      <c r="B16" s="29">
        <f t="shared" si="0"/>
        <v>352</v>
      </c>
      <c r="C16" s="41">
        <v>226</v>
      </c>
      <c r="D16" s="41">
        <v>85</v>
      </c>
      <c r="E16" s="48"/>
      <c r="F16" s="41">
        <v>7</v>
      </c>
      <c r="G16" s="41">
        <v>34</v>
      </c>
      <c r="H16" s="41">
        <v>100</v>
      </c>
      <c r="I16" s="41">
        <v>252</v>
      </c>
      <c r="J16" s="44">
        <f t="shared" si="1"/>
        <v>28.40909090909091</v>
      </c>
      <c r="K16" s="2" t="s">
        <v>14</v>
      </c>
      <c r="M16" s="38"/>
      <c r="N16" s="37"/>
      <c r="O16" s="37"/>
      <c r="P16" s="37"/>
      <c r="Q16" s="37"/>
      <c r="R16" s="37"/>
      <c r="S16" s="33"/>
    </row>
    <row r="17" spans="1:19" ht="14.25" x14ac:dyDescent="0.25">
      <c r="A17" s="20" t="s">
        <v>15</v>
      </c>
      <c r="B17" s="29">
        <f t="shared" si="0"/>
        <v>196</v>
      </c>
      <c r="C17" s="41">
        <v>157</v>
      </c>
      <c r="D17" s="41">
        <v>13</v>
      </c>
      <c r="E17" s="48"/>
      <c r="F17" s="41">
        <v>8</v>
      </c>
      <c r="G17" s="41">
        <v>18</v>
      </c>
      <c r="H17" s="41">
        <v>41</v>
      </c>
      <c r="I17" s="41">
        <v>155</v>
      </c>
      <c r="J17" s="44">
        <f t="shared" si="1"/>
        <v>20.918367346938776</v>
      </c>
      <c r="K17" s="2" t="s">
        <v>16</v>
      </c>
      <c r="M17" s="38"/>
      <c r="N17" s="37"/>
      <c r="O17" s="37"/>
      <c r="P17" s="37"/>
      <c r="Q17" s="37"/>
      <c r="R17" s="37"/>
      <c r="S17" s="33"/>
    </row>
    <row r="18" spans="1:19" ht="14.25" x14ac:dyDescent="0.25">
      <c r="A18" s="20" t="s">
        <v>17</v>
      </c>
      <c r="B18" s="29">
        <f t="shared" si="0"/>
        <v>308</v>
      </c>
      <c r="C18" s="41">
        <v>248</v>
      </c>
      <c r="D18" s="41">
        <v>46</v>
      </c>
      <c r="E18" s="48"/>
      <c r="F18" s="41">
        <v>1</v>
      </c>
      <c r="G18" s="41">
        <v>13</v>
      </c>
      <c r="H18" s="41">
        <v>85</v>
      </c>
      <c r="I18" s="41">
        <v>223</v>
      </c>
      <c r="J18" s="44">
        <f t="shared" si="1"/>
        <v>27.597402597402599</v>
      </c>
      <c r="K18" s="2" t="s">
        <v>18</v>
      </c>
      <c r="M18" s="38"/>
      <c r="N18" s="37"/>
      <c r="O18" s="37"/>
      <c r="P18" s="37"/>
      <c r="Q18" s="37"/>
      <c r="R18" s="37"/>
      <c r="S18" s="33"/>
    </row>
    <row r="19" spans="1:19" ht="14.25" x14ac:dyDescent="0.25">
      <c r="A19" s="20" t="s">
        <v>19</v>
      </c>
      <c r="B19" s="29">
        <f t="shared" si="0"/>
        <v>216</v>
      </c>
      <c r="C19" s="41">
        <v>152</v>
      </c>
      <c r="D19" s="41">
        <v>49</v>
      </c>
      <c r="E19" s="48"/>
      <c r="F19" s="41">
        <v>2</v>
      </c>
      <c r="G19" s="41">
        <v>13</v>
      </c>
      <c r="H19" s="41">
        <v>57</v>
      </c>
      <c r="I19" s="41">
        <v>159</v>
      </c>
      <c r="J19" s="44">
        <f t="shared" si="1"/>
        <v>26.388888888888889</v>
      </c>
      <c r="K19" s="2" t="s">
        <v>20</v>
      </c>
      <c r="M19" s="38"/>
      <c r="N19" s="37"/>
      <c r="O19" s="37"/>
      <c r="P19" s="37"/>
      <c r="Q19" s="37"/>
      <c r="R19" s="37"/>
      <c r="S19" s="33"/>
    </row>
    <row r="20" spans="1:19" ht="14.25" x14ac:dyDescent="0.25">
      <c r="A20" s="20" t="s">
        <v>63</v>
      </c>
      <c r="B20" s="29">
        <f t="shared" si="0"/>
        <v>284</v>
      </c>
      <c r="C20" s="41">
        <v>205</v>
      </c>
      <c r="D20" s="41">
        <v>52</v>
      </c>
      <c r="E20" s="48"/>
      <c r="F20" s="41">
        <v>3</v>
      </c>
      <c r="G20" s="41">
        <v>24</v>
      </c>
      <c r="H20" s="41">
        <v>86</v>
      </c>
      <c r="I20" s="41">
        <v>198</v>
      </c>
      <c r="J20" s="44">
        <f t="shared" si="1"/>
        <v>30.281690140845068</v>
      </c>
      <c r="K20" s="2" t="s">
        <v>21</v>
      </c>
      <c r="M20" s="38"/>
      <c r="N20" s="37"/>
      <c r="O20" s="37"/>
      <c r="P20" s="37"/>
      <c r="Q20" s="37"/>
      <c r="R20" s="37"/>
      <c r="S20" s="33"/>
    </row>
    <row r="21" spans="1:19" ht="14.25" x14ac:dyDescent="0.25">
      <c r="A21" s="20" t="s">
        <v>22</v>
      </c>
      <c r="B21" s="29">
        <f t="shared" si="0"/>
        <v>72</v>
      </c>
      <c r="C21" s="41">
        <v>60</v>
      </c>
      <c r="D21" s="41">
        <v>8</v>
      </c>
      <c r="E21" s="48"/>
      <c r="F21" s="41">
        <v>1</v>
      </c>
      <c r="G21" s="41">
        <v>3</v>
      </c>
      <c r="H21" s="41">
        <v>22</v>
      </c>
      <c r="I21" s="41">
        <v>50</v>
      </c>
      <c r="J21" s="44">
        <f t="shared" si="1"/>
        <v>30.555555555555557</v>
      </c>
      <c r="K21" s="2" t="s">
        <v>23</v>
      </c>
      <c r="M21" s="38"/>
      <c r="N21" s="37"/>
      <c r="O21" s="37"/>
      <c r="P21" s="37"/>
      <c r="Q21" s="37"/>
      <c r="R21" s="37"/>
      <c r="S21" s="33"/>
    </row>
    <row r="22" spans="1:19" ht="14.25" x14ac:dyDescent="0.25">
      <c r="A22" s="20" t="s">
        <v>24</v>
      </c>
      <c r="B22" s="29">
        <f t="shared" si="0"/>
        <v>178</v>
      </c>
      <c r="C22" s="41">
        <v>151</v>
      </c>
      <c r="D22" s="41">
        <v>20</v>
      </c>
      <c r="E22" s="48"/>
      <c r="F22" s="41">
        <v>2</v>
      </c>
      <c r="G22" s="41">
        <v>5</v>
      </c>
      <c r="H22" s="41">
        <v>53</v>
      </c>
      <c r="I22" s="41">
        <v>125</v>
      </c>
      <c r="J22" s="44">
        <f t="shared" si="1"/>
        <v>29.775280898876407</v>
      </c>
      <c r="K22" s="2" t="s">
        <v>25</v>
      </c>
      <c r="M22" s="38"/>
      <c r="N22" s="37"/>
      <c r="O22" s="37"/>
      <c r="P22" s="37"/>
      <c r="Q22" s="37"/>
      <c r="R22" s="37"/>
      <c r="S22" s="33"/>
    </row>
    <row r="23" spans="1:19" ht="14.25" x14ac:dyDescent="0.25">
      <c r="A23" s="20" t="s">
        <v>26</v>
      </c>
      <c r="B23" s="29">
        <f t="shared" si="0"/>
        <v>161</v>
      </c>
      <c r="C23" s="41">
        <v>134</v>
      </c>
      <c r="D23" s="41">
        <v>18</v>
      </c>
      <c r="E23" s="48"/>
      <c r="F23" s="41">
        <v>5</v>
      </c>
      <c r="G23" s="41">
        <v>4</v>
      </c>
      <c r="H23" s="41">
        <v>32</v>
      </c>
      <c r="I23" s="41">
        <v>129</v>
      </c>
      <c r="J23" s="44">
        <f t="shared" si="1"/>
        <v>19.875776397515526</v>
      </c>
      <c r="K23" s="2" t="s">
        <v>27</v>
      </c>
      <c r="M23" s="38"/>
      <c r="N23" s="37"/>
      <c r="O23" s="37"/>
      <c r="P23" s="37"/>
      <c r="Q23" s="37"/>
      <c r="R23" s="37"/>
      <c r="S23" s="33"/>
    </row>
    <row r="24" spans="1:19" ht="14.25" x14ac:dyDescent="0.25">
      <c r="A24" s="20" t="s">
        <v>28</v>
      </c>
      <c r="B24" s="29">
        <f t="shared" si="0"/>
        <v>207</v>
      </c>
      <c r="C24" s="41">
        <v>156</v>
      </c>
      <c r="D24" s="41">
        <v>40</v>
      </c>
      <c r="E24" s="48"/>
      <c r="F24" s="41">
        <v>1</v>
      </c>
      <c r="G24" s="41">
        <v>10</v>
      </c>
      <c r="H24" s="41">
        <v>49</v>
      </c>
      <c r="I24" s="41">
        <v>158</v>
      </c>
      <c r="J24" s="44">
        <f t="shared" si="1"/>
        <v>23.671497584541061</v>
      </c>
      <c r="K24" s="2" t="s">
        <v>29</v>
      </c>
      <c r="M24" s="38"/>
      <c r="N24" s="37"/>
      <c r="O24" s="37"/>
      <c r="P24" s="37"/>
      <c r="Q24" s="37"/>
      <c r="R24" s="37"/>
      <c r="S24" s="33"/>
    </row>
    <row r="25" spans="1:19" ht="14.25" x14ac:dyDescent="0.25">
      <c r="A25" s="20" t="s">
        <v>30</v>
      </c>
      <c r="B25" s="29">
        <f t="shared" si="0"/>
        <v>340</v>
      </c>
      <c r="C25" s="41">
        <v>263</v>
      </c>
      <c r="D25" s="41">
        <v>42</v>
      </c>
      <c r="E25" s="48"/>
      <c r="F25" s="41">
        <v>3</v>
      </c>
      <c r="G25" s="41">
        <v>32</v>
      </c>
      <c r="H25" s="41">
        <v>105</v>
      </c>
      <c r="I25" s="41">
        <v>235</v>
      </c>
      <c r="J25" s="44">
        <f t="shared" si="1"/>
        <v>30.882352941176471</v>
      </c>
      <c r="K25" s="2" t="s">
        <v>31</v>
      </c>
      <c r="M25" s="38"/>
      <c r="N25" s="37"/>
      <c r="O25" s="37"/>
      <c r="P25" s="37"/>
      <c r="Q25" s="37"/>
      <c r="R25" s="37"/>
      <c r="S25" s="33"/>
    </row>
    <row r="26" spans="1:19" ht="14.25" x14ac:dyDescent="0.25">
      <c r="A26" s="20" t="s">
        <v>16</v>
      </c>
      <c r="B26" s="29">
        <f t="shared" si="0"/>
        <v>385</v>
      </c>
      <c r="C26" s="41">
        <v>322</v>
      </c>
      <c r="D26" s="41">
        <v>41</v>
      </c>
      <c r="E26" s="48"/>
      <c r="F26" s="41">
        <v>2</v>
      </c>
      <c r="G26" s="41">
        <v>20</v>
      </c>
      <c r="H26" s="41">
        <v>114</v>
      </c>
      <c r="I26" s="41">
        <v>271</v>
      </c>
      <c r="J26" s="44">
        <f t="shared" si="1"/>
        <v>29.61038961038961</v>
      </c>
      <c r="K26" s="2" t="s">
        <v>32</v>
      </c>
      <c r="M26" s="38"/>
      <c r="N26" s="37"/>
      <c r="O26" s="37"/>
      <c r="P26" s="37"/>
      <c r="Q26" s="37"/>
      <c r="R26" s="37"/>
      <c r="S26" s="33"/>
    </row>
    <row r="27" spans="1:19" ht="14.25" x14ac:dyDescent="0.25">
      <c r="A27" s="20" t="s">
        <v>33</v>
      </c>
      <c r="B27" s="29">
        <f t="shared" si="0"/>
        <v>289</v>
      </c>
      <c r="C27" s="41">
        <v>217</v>
      </c>
      <c r="D27" s="41">
        <v>21</v>
      </c>
      <c r="E27" s="48"/>
      <c r="F27" s="41">
        <v>31</v>
      </c>
      <c r="G27" s="41">
        <v>20</v>
      </c>
      <c r="H27" s="41">
        <v>82</v>
      </c>
      <c r="I27" s="41">
        <v>207</v>
      </c>
      <c r="J27" s="44">
        <f t="shared" si="1"/>
        <v>28.373702422145332</v>
      </c>
      <c r="K27" s="2" t="s">
        <v>34</v>
      </c>
      <c r="M27" s="38"/>
      <c r="N27" s="37"/>
      <c r="O27" s="37"/>
      <c r="P27" s="37"/>
      <c r="Q27" s="37"/>
      <c r="R27" s="37"/>
      <c r="S27" s="33"/>
    </row>
    <row r="28" spans="1:19" ht="14.25" x14ac:dyDescent="0.25">
      <c r="A28" s="20" t="s">
        <v>35</v>
      </c>
      <c r="B28" s="29">
        <f t="shared" si="0"/>
        <v>378</v>
      </c>
      <c r="C28" s="41">
        <v>305</v>
      </c>
      <c r="D28" s="41">
        <v>25</v>
      </c>
      <c r="E28" s="48"/>
      <c r="F28" s="41">
        <v>34</v>
      </c>
      <c r="G28" s="41">
        <v>14</v>
      </c>
      <c r="H28" s="41">
        <v>100</v>
      </c>
      <c r="I28" s="41">
        <v>278</v>
      </c>
      <c r="J28" s="44">
        <f t="shared" si="1"/>
        <v>26.455026455026452</v>
      </c>
      <c r="K28" s="2" t="s">
        <v>36</v>
      </c>
      <c r="M28" s="38"/>
      <c r="N28" s="37"/>
      <c r="O28" s="37"/>
      <c r="P28" s="37"/>
      <c r="Q28" s="37"/>
      <c r="R28" s="37"/>
      <c r="S28" s="33"/>
    </row>
    <row r="29" spans="1:19" ht="14.25" x14ac:dyDescent="0.25">
      <c r="A29" s="20" t="s">
        <v>37</v>
      </c>
      <c r="B29" s="29">
        <f t="shared" si="0"/>
        <v>224</v>
      </c>
      <c r="C29" s="41">
        <v>134</v>
      </c>
      <c r="D29" s="41">
        <v>42</v>
      </c>
      <c r="E29" s="48"/>
      <c r="F29" s="41">
        <v>28</v>
      </c>
      <c r="G29" s="41">
        <v>20</v>
      </c>
      <c r="H29" s="41">
        <v>14</v>
      </c>
      <c r="I29" s="41">
        <v>210</v>
      </c>
      <c r="J29" s="44">
        <f t="shared" si="1"/>
        <v>6.25</v>
      </c>
      <c r="K29" s="2" t="s">
        <v>38</v>
      </c>
      <c r="M29" s="38"/>
      <c r="N29" s="37"/>
      <c r="O29" s="37"/>
      <c r="P29" s="37"/>
      <c r="Q29" s="37"/>
      <c r="R29" s="37"/>
      <c r="S29" s="33"/>
    </row>
    <row r="30" spans="1:19" ht="14.25" x14ac:dyDescent="0.25">
      <c r="A30" s="21" t="s">
        <v>10</v>
      </c>
      <c r="B30" s="31">
        <f t="shared" si="0"/>
        <v>578</v>
      </c>
      <c r="C30" s="42">
        <v>516</v>
      </c>
      <c r="D30" s="42">
        <v>25</v>
      </c>
      <c r="E30" s="49"/>
      <c r="F30" s="42">
        <v>21</v>
      </c>
      <c r="G30" s="42">
        <v>16</v>
      </c>
      <c r="H30" s="42">
        <v>117</v>
      </c>
      <c r="I30" s="42">
        <v>461</v>
      </c>
      <c r="J30" s="45">
        <f t="shared" si="1"/>
        <v>20.242214532871973</v>
      </c>
      <c r="K30" s="22" t="s">
        <v>39</v>
      </c>
      <c r="M30" s="38"/>
      <c r="N30" s="37"/>
      <c r="O30" s="37"/>
      <c r="P30" s="37"/>
      <c r="Q30" s="37"/>
      <c r="R30" s="37"/>
      <c r="S30" s="33"/>
    </row>
    <row r="31" spans="1:19" ht="17.25" x14ac:dyDescent="0.45">
      <c r="A31" s="23" t="s">
        <v>69</v>
      </c>
      <c r="J31" s="30"/>
      <c r="K31" s="24" t="s">
        <v>64</v>
      </c>
      <c r="M31" s="38"/>
      <c r="N31" s="37"/>
      <c r="O31" s="37"/>
      <c r="P31" s="37"/>
      <c r="Q31" s="37"/>
      <c r="R31" s="37"/>
      <c r="S31" s="33"/>
    </row>
    <row r="32" spans="1:19" ht="15" x14ac:dyDescent="0.25">
      <c r="A32" s="25" t="s">
        <v>40</v>
      </c>
      <c r="J32" s="30"/>
      <c r="K32" s="34" t="s">
        <v>41</v>
      </c>
      <c r="M32" s="38"/>
      <c r="N32" s="37"/>
      <c r="O32" s="37"/>
      <c r="P32" s="37"/>
      <c r="Q32" s="37"/>
      <c r="R32" s="37"/>
      <c r="S32" s="33"/>
    </row>
    <row r="33" spans="2:19" x14ac:dyDescent="0.25">
      <c r="M33" s="38"/>
      <c r="N33" s="37"/>
      <c r="O33" s="37"/>
      <c r="P33" s="37"/>
      <c r="Q33" s="37"/>
      <c r="R33" s="37"/>
      <c r="S33" s="33"/>
    </row>
    <row r="34" spans="2:19" x14ac:dyDescent="0.25">
      <c r="M34" s="33"/>
      <c r="N34" s="33"/>
      <c r="O34" s="33"/>
      <c r="P34" s="33"/>
      <c r="Q34" s="33"/>
      <c r="R34" s="33"/>
      <c r="S34" s="33"/>
    </row>
    <row r="35" spans="2:19" x14ac:dyDescent="0.25">
      <c r="M35" s="33"/>
      <c r="N35" s="33"/>
      <c r="O35" s="33"/>
      <c r="P35" s="33"/>
      <c r="Q35" s="33"/>
      <c r="R35" s="33"/>
      <c r="S35" s="33"/>
    </row>
    <row r="36" spans="2:19" x14ac:dyDescent="0.25">
      <c r="M36" s="33"/>
      <c r="N36" s="33"/>
      <c r="O36" s="33"/>
      <c r="P36" s="33"/>
      <c r="Q36" s="33"/>
      <c r="R36" s="33"/>
      <c r="S36" s="33"/>
    </row>
    <row r="37" spans="2:19" x14ac:dyDescent="0.25">
      <c r="B37" s="33"/>
      <c r="C37" s="33"/>
      <c r="D37" s="33"/>
      <c r="E37" s="33"/>
      <c r="F37" s="33"/>
      <c r="G37" s="33"/>
      <c r="H37" s="33"/>
      <c r="I37" s="33"/>
      <c r="J37" s="33"/>
      <c r="K37" s="33"/>
      <c r="M37" s="33"/>
      <c r="N37" s="33"/>
      <c r="O37" s="33"/>
      <c r="P37" s="33"/>
      <c r="Q37" s="33"/>
      <c r="R37" s="33"/>
      <c r="S37" s="33"/>
    </row>
    <row r="38" spans="2:19" x14ac:dyDescent="0.25">
      <c r="B38" s="33"/>
      <c r="C38" s="33"/>
      <c r="D38" s="33"/>
      <c r="E38" s="33"/>
      <c r="F38" s="33"/>
      <c r="G38" s="33"/>
      <c r="H38" s="33"/>
      <c r="I38" s="33"/>
      <c r="J38" s="33"/>
      <c r="K38" s="33"/>
      <c r="M38" s="33"/>
      <c r="N38" s="33"/>
      <c r="O38" s="33"/>
      <c r="P38" s="33"/>
      <c r="Q38" s="33"/>
      <c r="R38" s="33"/>
      <c r="S38" s="33"/>
    </row>
    <row r="39" spans="2:19" x14ac:dyDescent="0.25">
      <c r="B39" s="58"/>
      <c r="C39" s="58"/>
      <c r="D39" s="59"/>
      <c r="E39" s="59"/>
      <c r="F39" s="33"/>
      <c r="G39" s="33"/>
      <c r="H39" s="33"/>
      <c r="I39" s="33"/>
      <c r="J39" s="33"/>
      <c r="K39" s="33"/>
      <c r="M39" s="33"/>
      <c r="N39" s="33"/>
      <c r="O39" s="33"/>
      <c r="P39" s="33"/>
      <c r="Q39" s="33"/>
      <c r="R39" s="33"/>
      <c r="S39" s="33"/>
    </row>
    <row r="40" spans="2:19" x14ac:dyDescent="0.25">
      <c r="B40" s="58"/>
      <c r="C40" s="58"/>
      <c r="D40" s="59"/>
      <c r="E40" s="59"/>
      <c r="F40" s="33"/>
      <c r="G40" s="33"/>
      <c r="H40" s="33"/>
      <c r="I40" s="33"/>
      <c r="J40" s="33"/>
      <c r="K40" s="33"/>
      <c r="M40" s="33"/>
      <c r="N40" s="33"/>
      <c r="O40" s="33"/>
      <c r="P40" s="33"/>
      <c r="Q40" s="33"/>
      <c r="R40" s="33"/>
      <c r="S40" s="33"/>
    </row>
    <row r="41" spans="2:19" x14ac:dyDescent="0.25">
      <c r="B41" s="58"/>
      <c r="C41" s="58"/>
      <c r="D41" s="59"/>
      <c r="E41" s="59"/>
      <c r="F41" s="33"/>
      <c r="G41" s="33"/>
      <c r="H41" s="33"/>
      <c r="I41" s="33"/>
      <c r="J41" s="33"/>
      <c r="K41" s="33"/>
      <c r="M41" s="33"/>
      <c r="N41" s="33"/>
      <c r="O41" s="33"/>
      <c r="P41" s="33"/>
      <c r="Q41" s="33"/>
      <c r="R41" s="33"/>
      <c r="S41" s="33"/>
    </row>
    <row r="42" spans="2:19" x14ac:dyDescent="0.25">
      <c r="B42" s="58"/>
      <c r="C42" s="58"/>
      <c r="D42" s="59"/>
      <c r="E42" s="59"/>
      <c r="F42" s="33"/>
      <c r="G42" s="33"/>
      <c r="H42" s="33"/>
      <c r="I42" s="33"/>
      <c r="J42" s="33"/>
      <c r="K42" s="33"/>
      <c r="M42" s="33"/>
      <c r="N42" s="33"/>
      <c r="O42" s="33"/>
      <c r="P42" s="33"/>
      <c r="Q42" s="33"/>
      <c r="R42" s="33"/>
      <c r="S42" s="33"/>
    </row>
    <row r="43" spans="2:19" x14ac:dyDescent="0.25">
      <c r="B43" s="50"/>
      <c r="C43" s="50"/>
      <c r="D43" s="50"/>
      <c r="E43" s="50"/>
      <c r="F43" s="33"/>
      <c r="G43" s="33"/>
      <c r="H43" s="33"/>
      <c r="I43" s="33"/>
      <c r="J43" s="33"/>
      <c r="K43" s="33"/>
      <c r="M43" s="33"/>
      <c r="N43" s="33"/>
      <c r="O43" s="33"/>
      <c r="P43" s="33"/>
      <c r="Q43" s="33"/>
      <c r="R43" s="33"/>
      <c r="S43" s="33"/>
    </row>
    <row r="44" spans="2:19" x14ac:dyDescent="0.25">
      <c r="B44" s="51"/>
      <c r="C44" s="51"/>
      <c r="D44" s="51"/>
      <c r="E44" s="51"/>
      <c r="F44" s="33"/>
      <c r="G44" s="33"/>
      <c r="H44" s="33"/>
      <c r="I44" s="33"/>
      <c r="J44" s="33"/>
      <c r="K44" s="33"/>
    </row>
    <row r="45" spans="2:19" x14ac:dyDescent="0.25">
      <c r="B45" s="51"/>
      <c r="C45" s="51"/>
      <c r="D45" s="51"/>
      <c r="E45" s="51"/>
      <c r="F45" s="33"/>
      <c r="G45" s="33"/>
      <c r="H45" s="33"/>
      <c r="I45" s="33"/>
      <c r="J45" s="33"/>
      <c r="K45" s="33"/>
    </row>
    <row r="46" spans="2:19" x14ac:dyDescent="0.25">
      <c r="B46" s="51"/>
      <c r="C46" s="51"/>
      <c r="D46" s="51"/>
      <c r="E46" s="51"/>
      <c r="F46" s="33"/>
      <c r="G46" s="33"/>
      <c r="H46" s="33"/>
      <c r="I46" s="33"/>
      <c r="J46" s="33"/>
      <c r="K46" s="33"/>
    </row>
    <row r="47" spans="2:19" x14ac:dyDescent="0.25">
      <c r="B47" s="52"/>
      <c r="C47" s="52"/>
      <c r="D47" s="52"/>
      <c r="E47" s="52"/>
      <c r="F47" s="33"/>
      <c r="G47" s="33"/>
      <c r="H47" s="33"/>
      <c r="I47" s="33"/>
      <c r="J47" s="33"/>
      <c r="K47" s="33"/>
    </row>
    <row r="48" spans="2:19" x14ac:dyDescent="0.25">
      <c r="B48" s="52"/>
      <c r="C48" s="52"/>
      <c r="D48" s="52"/>
      <c r="E48" s="52"/>
      <c r="F48" s="33"/>
      <c r="G48" s="33"/>
      <c r="H48" s="33"/>
      <c r="I48" s="33"/>
      <c r="J48" s="33"/>
      <c r="K48" s="33"/>
    </row>
    <row r="49" spans="2:11" x14ac:dyDescent="0.25">
      <c r="B49" s="52"/>
      <c r="C49" s="52"/>
      <c r="D49" s="52"/>
      <c r="E49" s="52"/>
      <c r="F49" s="33"/>
      <c r="G49" s="33"/>
      <c r="H49" s="33"/>
      <c r="I49" s="33"/>
      <c r="J49" s="33"/>
      <c r="K49" s="33"/>
    </row>
    <row r="50" spans="2:11" x14ac:dyDescent="0.25">
      <c r="B50" s="52"/>
      <c r="C50" s="52"/>
      <c r="D50" s="52"/>
      <c r="E50" s="52"/>
      <c r="F50" s="33"/>
      <c r="G50" s="33"/>
      <c r="H50" s="33"/>
      <c r="I50" s="33"/>
      <c r="J50" s="33"/>
      <c r="K50" s="33"/>
    </row>
    <row r="51" spans="2:11" x14ac:dyDescent="0.25">
      <c r="B51" s="52"/>
      <c r="C51" s="52"/>
      <c r="D51" s="52"/>
      <c r="E51" s="52"/>
      <c r="F51" s="33"/>
      <c r="G51" s="33"/>
      <c r="H51" s="33"/>
      <c r="I51" s="33"/>
      <c r="J51" s="33"/>
      <c r="K51" s="33"/>
    </row>
    <row r="52" spans="2:11" x14ac:dyDescent="0.25">
      <c r="B52" s="52"/>
      <c r="C52" s="52"/>
      <c r="D52" s="52"/>
      <c r="E52" s="52"/>
      <c r="F52" s="33"/>
      <c r="G52" s="33"/>
      <c r="H52" s="33"/>
      <c r="I52" s="33"/>
      <c r="J52" s="33"/>
      <c r="K52" s="33"/>
    </row>
    <row r="53" spans="2:11" x14ac:dyDescent="0.25">
      <c r="B53" s="52"/>
      <c r="C53" s="52"/>
      <c r="D53" s="52"/>
      <c r="E53" s="52"/>
      <c r="F53" s="33"/>
      <c r="G53" s="33"/>
      <c r="H53" s="33"/>
      <c r="I53" s="33"/>
      <c r="J53" s="33"/>
      <c r="K53" s="33"/>
    </row>
    <row r="54" spans="2:11" x14ac:dyDescent="0.25">
      <c r="B54" s="52"/>
      <c r="C54" s="52"/>
      <c r="D54" s="52"/>
      <c r="E54" s="52"/>
      <c r="F54" s="33"/>
      <c r="G54" s="33"/>
      <c r="H54" s="33"/>
      <c r="I54" s="33"/>
      <c r="J54" s="33"/>
      <c r="K54" s="33"/>
    </row>
    <row r="55" spans="2:11" x14ac:dyDescent="0.25">
      <c r="B55" s="52"/>
      <c r="C55" s="52"/>
      <c r="D55" s="52"/>
      <c r="E55" s="52"/>
      <c r="F55" s="33"/>
      <c r="G55" s="33"/>
      <c r="H55" s="33"/>
      <c r="I55" s="33"/>
      <c r="J55" s="33"/>
      <c r="K55" s="33"/>
    </row>
    <row r="56" spans="2:11" x14ac:dyDescent="0.25">
      <c r="B56" s="52"/>
      <c r="C56" s="52"/>
      <c r="D56" s="52"/>
      <c r="E56" s="52"/>
      <c r="F56" s="33"/>
      <c r="G56" s="33"/>
      <c r="H56" s="33"/>
      <c r="I56" s="33"/>
      <c r="J56" s="33"/>
      <c r="K56" s="33"/>
    </row>
    <row r="57" spans="2:11" x14ac:dyDescent="0.25">
      <c r="B57" s="52"/>
      <c r="C57" s="52"/>
      <c r="D57" s="52"/>
      <c r="E57" s="52"/>
      <c r="F57" s="33"/>
      <c r="G57" s="33"/>
      <c r="H57" s="33"/>
      <c r="I57" s="33"/>
      <c r="J57" s="33"/>
      <c r="K57" s="33"/>
    </row>
    <row r="58" spans="2:11" x14ac:dyDescent="0.25">
      <c r="B58" s="52"/>
      <c r="C58" s="52"/>
      <c r="D58" s="52"/>
      <c r="E58" s="52"/>
      <c r="F58" s="33"/>
      <c r="G58" s="33"/>
      <c r="H58" s="33"/>
      <c r="I58" s="33"/>
      <c r="J58" s="33"/>
      <c r="K58" s="33"/>
    </row>
    <row r="59" spans="2:11" x14ac:dyDescent="0.25">
      <c r="B59" s="52"/>
      <c r="C59" s="52"/>
      <c r="D59" s="52"/>
      <c r="E59" s="52"/>
      <c r="F59" s="33"/>
      <c r="G59" s="33"/>
      <c r="H59" s="33"/>
      <c r="I59" s="33"/>
      <c r="J59" s="33"/>
      <c r="K59" s="33"/>
    </row>
    <row r="60" spans="2:11" x14ac:dyDescent="0.25">
      <c r="B60" s="52"/>
      <c r="C60" s="52"/>
      <c r="D60" s="52"/>
      <c r="E60" s="52"/>
      <c r="F60" s="33"/>
      <c r="G60" s="33"/>
      <c r="H60" s="33"/>
      <c r="I60" s="33"/>
      <c r="J60" s="33"/>
      <c r="K60" s="33"/>
    </row>
    <row r="61" spans="2:11" x14ac:dyDescent="0.25">
      <c r="B61" s="52"/>
      <c r="C61" s="52"/>
      <c r="D61" s="52"/>
      <c r="E61" s="52"/>
      <c r="F61" s="33"/>
      <c r="G61" s="33"/>
      <c r="H61" s="33"/>
      <c r="I61" s="33"/>
      <c r="J61" s="33"/>
      <c r="K61" s="33"/>
    </row>
    <row r="62" spans="2:11" x14ac:dyDescent="0.25">
      <c r="B62" s="52"/>
      <c r="C62" s="52"/>
      <c r="D62" s="52"/>
      <c r="E62" s="52"/>
      <c r="F62" s="33"/>
      <c r="G62" s="33"/>
      <c r="H62" s="33"/>
      <c r="I62" s="33"/>
      <c r="J62" s="33"/>
      <c r="K62" s="33"/>
    </row>
    <row r="63" spans="2:11" x14ac:dyDescent="0.25">
      <c r="B63" s="52"/>
      <c r="C63" s="52"/>
      <c r="D63" s="52"/>
      <c r="E63" s="52"/>
      <c r="F63" s="33"/>
      <c r="G63" s="33"/>
      <c r="H63" s="33"/>
      <c r="I63" s="33"/>
      <c r="J63" s="33"/>
      <c r="K63" s="33"/>
    </row>
    <row r="64" spans="2:11" x14ac:dyDescent="0.25">
      <c r="B64" s="52"/>
      <c r="C64" s="52"/>
      <c r="D64" s="52"/>
      <c r="E64" s="52"/>
      <c r="F64" s="33"/>
      <c r="G64" s="33"/>
      <c r="H64" s="33"/>
      <c r="I64" s="33"/>
      <c r="J64" s="33"/>
      <c r="K64" s="33"/>
    </row>
    <row r="65" spans="2:11" x14ac:dyDescent="0.25">
      <c r="B65" s="52"/>
      <c r="C65" s="52"/>
      <c r="D65" s="52"/>
      <c r="E65" s="52"/>
      <c r="F65" s="33"/>
      <c r="G65" s="33"/>
      <c r="H65" s="33"/>
      <c r="I65" s="33"/>
      <c r="J65" s="33"/>
      <c r="K65" s="33"/>
    </row>
    <row r="66" spans="2:11" x14ac:dyDescent="0.25">
      <c r="B66" s="52"/>
      <c r="C66" s="52"/>
      <c r="D66" s="52"/>
      <c r="E66" s="52"/>
      <c r="F66" s="33"/>
      <c r="G66" s="33"/>
      <c r="H66" s="33"/>
      <c r="I66" s="33"/>
      <c r="J66" s="33"/>
      <c r="K66" s="33"/>
    </row>
    <row r="67" spans="2:11" x14ac:dyDescent="0.25"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 spans="2:11" x14ac:dyDescent="0.25">
      <c r="B68" s="33"/>
      <c r="C68" s="33"/>
      <c r="D68" s="33"/>
      <c r="E68" s="33"/>
      <c r="F68" s="33"/>
      <c r="G68" s="33"/>
      <c r="H68" s="33"/>
      <c r="I68" s="33"/>
      <c r="J68" s="33"/>
      <c r="K68" s="33"/>
    </row>
  </sheetData>
  <mergeCells count="11">
    <mergeCell ref="B39:C42"/>
    <mergeCell ref="D39:E42"/>
    <mergeCell ref="M8:M10"/>
    <mergeCell ref="N8:O8"/>
    <mergeCell ref="P8:R8"/>
    <mergeCell ref="A1:K1"/>
    <mergeCell ref="A2:K2"/>
    <mergeCell ref="C4:D4"/>
    <mergeCell ref="F4:G4"/>
    <mergeCell ref="C5:D5"/>
    <mergeCell ref="F5:G5"/>
  </mergeCells>
  <pageMargins left="0.25" right="0.27" top="0.75" bottom="0.75" header="0.3" footer="0.3"/>
  <pageSetup paperSize="9" orientation="landscape" horizontalDpi="4294967295" verticalDpi="4294967295" r:id="rId1"/>
  <ignoredErrors>
    <ignoredError sqref="K10 K29 K28 K24 K8 K9 K11:K23 K30 K25:K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7.8</vt:lpstr>
      <vt:lpstr>'7.8'!Print_Area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2018-04-18T04:43:09Z</cp:lastPrinted>
  <dcterms:created xsi:type="dcterms:W3CDTF">2014-03-05T03:36:41Z</dcterms:created>
  <dcterms:modified xsi:type="dcterms:W3CDTF">2018-04-18T04:43:14Z</dcterms:modified>
</cp:coreProperties>
</file>