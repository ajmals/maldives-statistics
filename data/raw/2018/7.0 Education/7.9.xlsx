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9" sheetId="11" r:id="rId1"/>
  </sheets>
  <definedNames>
    <definedName name="_xlnm.Print_Area" localSheetId="0">'7.9'!$A$1:$M$51</definedName>
  </definedNames>
  <calcPr calcId="162913"/>
</workbook>
</file>

<file path=xl/calcChain.xml><?xml version="1.0" encoding="utf-8"?>
<calcChain xmlns="http://schemas.openxmlformats.org/spreadsheetml/2006/main">
  <c r="M7" i="11" l="1"/>
  <c r="L7" i="11"/>
  <c r="K7" i="11"/>
  <c r="J7" i="11"/>
  <c r="D8" i="11" l="1"/>
  <c r="L8" i="11" s="1"/>
  <c r="D10" i="11"/>
  <c r="L10" i="11" s="1"/>
  <c r="D11" i="11"/>
  <c r="L11" i="11" s="1"/>
  <c r="D12" i="11"/>
  <c r="L12" i="11" s="1"/>
  <c r="D13" i="11"/>
  <c r="L13" i="11" s="1"/>
  <c r="D14" i="11"/>
  <c r="L14" i="11" s="1"/>
  <c r="D15" i="11"/>
  <c r="L15" i="11" s="1"/>
  <c r="D16" i="11"/>
  <c r="L16" i="11" s="1"/>
  <c r="D17" i="11"/>
  <c r="L17" i="11" s="1"/>
  <c r="D18" i="11"/>
  <c r="L18" i="11" s="1"/>
  <c r="D19" i="11"/>
  <c r="L19" i="11" s="1"/>
  <c r="D20" i="11"/>
  <c r="L20" i="11" s="1"/>
  <c r="D21" i="11"/>
  <c r="L21" i="11" s="1"/>
  <c r="D22" i="11"/>
  <c r="L22" i="11" s="1"/>
  <c r="D23" i="11"/>
  <c r="L23" i="11" s="1"/>
  <c r="D24" i="11"/>
  <c r="L24" i="11" s="1"/>
  <c r="D25" i="11"/>
  <c r="L25" i="11" s="1"/>
  <c r="D26" i="11"/>
  <c r="L26" i="11" s="1"/>
  <c r="D27" i="11"/>
  <c r="L27" i="11" s="1"/>
  <c r="D28" i="11"/>
  <c r="L28" i="11" s="1"/>
  <c r="D29" i="11"/>
  <c r="L29" i="11" s="1"/>
  <c r="C9" i="11"/>
  <c r="B9" i="11"/>
  <c r="H8" i="11"/>
  <c r="M8" i="11" s="1"/>
  <c r="H10" i="11"/>
  <c r="M10" i="11" s="1"/>
  <c r="H11" i="11"/>
  <c r="M11" i="11" s="1"/>
  <c r="H12" i="11"/>
  <c r="M12" i="11" s="1"/>
  <c r="H13" i="11"/>
  <c r="M13" i="11" s="1"/>
  <c r="H14" i="11"/>
  <c r="M14" i="11" s="1"/>
  <c r="H15" i="11"/>
  <c r="M15" i="11" s="1"/>
  <c r="H16" i="11"/>
  <c r="M16" i="11" s="1"/>
  <c r="H17" i="11"/>
  <c r="M17" i="11" s="1"/>
  <c r="H18" i="11"/>
  <c r="M18" i="11" s="1"/>
  <c r="H19" i="11"/>
  <c r="M19" i="11" s="1"/>
  <c r="H20" i="11"/>
  <c r="M20" i="11" s="1"/>
  <c r="H21" i="11"/>
  <c r="M21" i="11" s="1"/>
  <c r="H22" i="11"/>
  <c r="M22" i="11" s="1"/>
  <c r="H23" i="11"/>
  <c r="M23" i="11" s="1"/>
  <c r="H24" i="11"/>
  <c r="M24" i="11" s="1"/>
  <c r="H25" i="11"/>
  <c r="M25" i="11" s="1"/>
  <c r="H26" i="11"/>
  <c r="M26" i="11" s="1"/>
  <c r="H27" i="11"/>
  <c r="M27" i="11" s="1"/>
  <c r="H28" i="11"/>
  <c r="M28" i="11" s="1"/>
  <c r="H29" i="11"/>
  <c r="M29" i="11" s="1"/>
  <c r="G9" i="11"/>
  <c r="F9" i="11"/>
  <c r="D9" i="11" l="1"/>
  <c r="L9" i="11" s="1"/>
  <c r="H9" i="11"/>
  <c r="M9" i="11" s="1"/>
  <c r="B7" i="11" l="1"/>
  <c r="G7" i="11"/>
  <c r="F7" i="11"/>
  <c r="C7" i="11"/>
  <c r="H7" i="11" l="1"/>
  <c r="D7" i="11"/>
  <c r="J14" i="11"/>
  <c r="K14" i="11" s="1"/>
  <c r="J18" i="11"/>
  <c r="K18" i="11" s="1"/>
  <c r="J22" i="11"/>
  <c r="K22" i="11" s="1"/>
  <c r="J26" i="11"/>
  <c r="K26" i="11" s="1"/>
  <c r="J10" i="11"/>
  <c r="K10" i="11" s="1"/>
  <c r="J11" i="11"/>
  <c r="K11" i="11" s="1"/>
  <c r="J15" i="11"/>
  <c r="K15" i="11" s="1"/>
  <c r="J19" i="11"/>
  <c r="K19" i="11" s="1"/>
  <c r="J23" i="11"/>
  <c r="K23" i="11" s="1"/>
  <c r="J27" i="11"/>
  <c r="K27" i="11" s="1"/>
  <c r="J13" i="11"/>
  <c r="K13" i="11" s="1"/>
  <c r="J17" i="11"/>
  <c r="K17" i="11" s="1"/>
  <c r="J21" i="11"/>
  <c r="K21" i="11" s="1"/>
  <c r="J25" i="11"/>
  <c r="K25" i="11" s="1"/>
  <c r="J29" i="11"/>
  <c r="K29" i="11" s="1"/>
  <c r="J8" i="11"/>
  <c r="K8" i="11" s="1"/>
  <c r="J12" i="11"/>
  <c r="K12" i="11" s="1"/>
  <c r="J16" i="11"/>
  <c r="K16" i="11" s="1"/>
  <c r="J20" i="11"/>
  <c r="K20" i="11" s="1"/>
  <c r="J24" i="11"/>
  <c r="K24" i="11" s="1"/>
  <c r="J28" i="11"/>
  <c r="K28" i="11" s="1"/>
  <c r="J9" i="11" l="1"/>
  <c r="K9" i="11" s="1"/>
</calcChain>
</file>

<file path=xl/sharedStrings.xml><?xml version="1.0" encoding="utf-8"?>
<sst xmlns="http://schemas.openxmlformats.org/spreadsheetml/2006/main" count="45" uniqueCount="41">
  <si>
    <t>Male</t>
  </si>
  <si>
    <t>Female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</si>
  <si>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</si>
  <si>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</si>
  <si>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</si>
  <si>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</si>
  <si>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</si>
  <si>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</si>
  <si>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</si>
  <si>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</si>
  <si>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</si>
  <si>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</si>
  <si>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</si>
  <si>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</si>
  <si>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</si>
  <si>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</si>
  <si>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</si>
  <si>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</si>
  <si>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</si>
  <si>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</si>
  <si>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</si>
  <si>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</si>
  <si>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Locality</t>
  </si>
  <si>
    <t>Teachers</t>
  </si>
  <si>
    <t xml:space="preserve"> Teachers</t>
  </si>
  <si>
    <t xml:space="preserve">Total </t>
  </si>
  <si>
    <t xml:space="preserve">Trained </t>
  </si>
  <si>
    <t xml:space="preserve">Untrained </t>
  </si>
  <si>
    <t>Total Male</t>
  </si>
  <si>
    <t>Total Female</t>
  </si>
  <si>
    <t>Female as a</t>
  </si>
  <si>
    <t xml:space="preserve"> % of total</t>
  </si>
  <si>
    <t>HA</t>
  </si>
  <si>
    <t>HDh</t>
  </si>
  <si>
    <t>Sh</t>
  </si>
  <si>
    <t>R</t>
  </si>
  <si>
    <t>Females</t>
  </si>
  <si>
    <t>Males</t>
  </si>
  <si>
    <t>% share of untrained</t>
  </si>
  <si>
    <t xml:space="preserve"> ތާވަލް 7.9: މާލެ އާއި އަތޮޅުތަކުގެ މަދަރުސާތަކުގައި ހަރަކާތްތެރިވާ މުދައްރިސުން، ޖިންސް ވަކިން، 2017</t>
  </si>
  <si>
    <t>Table 7.9: TEACHERS SERVING IN SCHOOLS OF MALE' AND ATOLLS BY LOCALITY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</si>
</sst>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9"/>
      <color theme="1"/>
      <name val="A_Randhoo"/>
    </font>
    <font>
      <sz val="10"/>
      <name val="MS Sans Serif"/>
      <family val="2"/>
    </font>
    <font>
      <b/>
      <sz val="9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b/>
      <i/>
      <sz val="16"/>
      <name val="Helv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4" fillId="0" borderId="0" applyFont="0" applyFill="0" applyBorder="0" applyAlignment="0" applyProtection="0"/>
    <xf numFmtId="164" fontId="2" fillId="0" borderId="0"/>
    <xf numFmtId="0" fontId="16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7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9" fillId="0" borderId="0"/>
    <xf numFmtId="171" fontId="2" fillId="0" borderId="0"/>
    <xf numFmtId="0" fontId="14" fillId="0" borderId="0"/>
    <xf numFmtId="0" fontId="14" fillId="0" borderId="0"/>
    <xf numFmtId="171" fontId="2" fillId="0" borderId="0"/>
    <xf numFmtId="0" fontId="14" fillId="0" borderId="0"/>
    <xf numFmtId="0" fontId="14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4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</cellStyleXfs>
  <cellXfs count="66">
    <xf numFmtId="0" fontId="0" fillId="0" borderId="0" xfId="0"/>
    <xf numFmtId="165" fontId="12" fillId="2" borderId="0" xfId="0" applyNumberFormat="1" applyFont="1" applyFill="1" applyAlignment="1">
      <alignment vertical="center"/>
    </xf>
    <xf numFmtId="165" fontId="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left" vertical="center"/>
    </xf>
    <xf numFmtId="165" fontId="9" fillId="2" borderId="9" xfId="0" applyNumberFormat="1" applyFont="1" applyFill="1" applyBorder="1" applyAlignment="1">
      <alignment horizontal="center" vertical="center"/>
    </xf>
    <xf numFmtId="165" fontId="11" fillId="2" borderId="9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right" vertical="center"/>
    </xf>
    <xf numFmtId="165" fontId="11" fillId="2" borderId="8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 applyProtection="1">
      <alignment horizontal="left"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11" fillId="2" borderId="4" xfId="0" applyNumberFormat="1" applyFont="1" applyFill="1" applyBorder="1" applyAlignment="1">
      <alignment horizontal="right" vertical="center"/>
    </xf>
    <xf numFmtId="165" fontId="11" fillId="2" borderId="4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 applyProtection="1">
      <alignment horizontal="left" vertical="center"/>
    </xf>
    <xf numFmtId="165" fontId="0" fillId="2" borderId="0" xfId="0" applyNumberFormat="1" applyFont="1" applyFill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/>
    </xf>
    <xf numFmtId="165" fontId="0" fillId="2" borderId="0" xfId="0" applyNumberFormat="1" applyFont="1" applyFill="1" applyAlignment="1">
      <alignment horizontal="left" vertical="center"/>
    </xf>
    <xf numFmtId="165" fontId="10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Border="1" applyAlignment="1" applyProtection="1">
      <alignment horizontal="left" vertical="center"/>
    </xf>
    <xf numFmtId="165" fontId="10" fillId="2" borderId="1" xfId="0" applyNumberFormat="1" applyFont="1" applyFill="1" applyBorder="1" applyAlignment="1" applyProtection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65" fontId="11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165" fontId="10" fillId="2" borderId="6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/>
    <xf numFmtId="3" fontId="3" fillId="2" borderId="7" xfId="0" applyNumberFormat="1" applyFont="1" applyFill="1" applyBorder="1" applyAlignment="1">
      <alignment horizontal="right" vertical="center"/>
    </xf>
    <xf numFmtId="165" fontId="10" fillId="2" borderId="8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3" fontId="4" fillId="2" borderId="0" xfId="0" applyNumberFormat="1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165" fontId="10" fillId="2" borderId="4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3" fontId="0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14" xfId="0" applyNumberFormat="1" applyFont="1" applyFill="1" applyBorder="1" applyAlignment="1">
      <alignment horizontal="right" vertical="center"/>
    </xf>
    <xf numFmtId="3" fontId="0" fillId="2" borderId="1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 indent="2"/>
    </xf>
    <xf numFmtId="3" fontId="4" fillId="2" borderId="0" xfId="0" applyNumberFormat="1" applyFont="1" applyFill="1" applyAlignment="1">
      <alignment horizontal="right" vertical="center" indent="2"/>
    </xf>
    <xf numFmtId="3" fontId="4" fillId="2" borderId="1" xfId="0" applyNumberFormat="1" applyFont="1" applyFill="1" applyBorder="1" applyAlignment="1">
      <alignment horizontal="right" vertical="center" indent="2"/>
    </xf>
    <xf numFmtId="166" fontId="3" fillId="2" borderId="0" xfId="1" applyNumberFormat="1" applyFont="1" applyFill="1" applyBorder="1" applyAlignment="1">
      <alignment horizontal="right" vertical="center"/>
    </xf>
    <xf numFmtId="166" fontId="0" fillId="2" borderId="0" xfId="1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right" vertical="center"/>
    </xf>
    <xf numFmtId="3" fontId="20" fillId="2" borderId="0" xfId="162" applyNumberFormat="1" applyFont="1" applyFill="1" applyBorder="1" applyAlignment="1">
      <alignment horizontal="right" vertical="center"/>
    </xf>
    <xf numFmtId="165" fontId="15" fillId="2" borderId="0" xfId="162" applyFont="1" applyFill="1" applyBorder="1" applyAlignment="1">
      <alignment horizontal="center" vertical="center"/>
    </xf>
    <xf numFmtId="3" fontId="18" fillId="2" borderId="0" xfId="162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14" xfId="0" applyNumberFormat="1" applyFont="1" applyFill="1" applyBorder="1" applyAlignment="1">
      <alignment horizontal="right" vertical="center"/>
    </xf>
    <xf numFmtId="165" fontId="15" fillId="2" borderId="0" xfId="162" applyFont="1" applyFill="1" applyBorder="1" applyAlignment="1">
      <alignment horizontal="center" vertical="center"/>
    </xf>
    <xf numFmtId="165" fontId="18" fillId="2" borderId="0" xfId="162" applyFont="1" applyFill="1" applyBorder="1" applyAlignment="1">
      <alignment horizontal="center" vertical="center"/>
    </xf>
    <xf numFmtId="165" fontId="12" fillId="2" borderId="0" xfId="0" applyNumberFormat="1" applyFont="1" applyFill="1" applyAlignment="1">
      <alignment horizontal="center"/>
    </xf>
    <xf numFmtId="165" fontId="6" fillId="2" borderId="0" xfId="0" applyNumberFormat="1" applyFont="1" applyFill="1" applyBorder="1" applyAlignment="1">
      <alignment horizontal="center" vertical="top"/>
    </xf>
    <xf numFmtId="165" fontId="11" fillId="2" borderId="3" xfId="0" applyNumberFormat="1" applyFont="1" applyFill="1" applyBorder="1" applyAlignment="1">
      <alignment horizontal="center" vertical="center"/>
    </xf>
    <xf numFmtId="165" fontId="11" fillId="2" borderId="12" xfId="0" applyNumberFormat="1" applyFont="1" applyFill="1" applyBorder="1" applyAlignment="1">
      <alignment horizontal="center" vertical="center"/>
    </xf>
    <xf numFmtId="165" fontId="11" fillId="2" borderId="11" xfId="0" applyNumberFormat="1" applyFont="1" applyFill="1" applyBorder="1" applyAlignment="1">
      <alignment horizontal="right" vertical="center"/>
    </xf>
    <xf numFmtId="165" fontId="11" fillId="2" borderId="14" xfId="0" applyNumberFormat="1" applyFont="1" applyFill="1" applyBorder="1" applyAlignment="1">
      <alignment horizontal="right" vertical="center"/>
    </xf>
    <xf numFmtId="165" fontId="11" fillId="2" borderId="10" xfId="0" applyNumberFormat="1" applyFont="1" applyFill="1" applyBorder="1" applyAlignment="1">
      <alignment horizontal="right" vertical="center"/>
    </xf>
    <xf numFmtId="165" fontId="11" fillId="2" borderId="13" xfId="0" applyNumberFormat="1" applyFont="1" applyFill="1" applyBorder="1" applyAlignment="1">
      <alignment horizontal="right" vertical="center"/>
    </xf>
  </cellXfs>
  <cellStyles count="163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Normal_education" xfId="162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050" b="1" i="0" u="none" strike="noStrike" baseline="0">
                <a:effectLst/>
              </a:rPr>
              <a:t>Figure 7.8: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Percentage share of female teachers, 2017</a:t>
            </a:r>
          </a:p>
        </c:rich>
      </c:tx>
      <c:layout>
        <c:manualLayout>
          <c:xMode val="edge"/>
          <c:yMode val="edge"/>
          <c:x val="0.24736308944528002"/>
          <c:y val="2.811165394072731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5.0135494133653497E-3"/>
                  <c:y val="0.17632819953896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654-478D-B3AA-C8F9D7847EC7}"/>
                </c:ext>
              </c:extLst>
            </c:dLbl>
            <c:dLbl>
              <c:idx val="1"/>
              <c:layout>
                <c:manualLayout>
                  <c:x val="2.5067747066826861E-3"/>
                  <c:y val="0.126735893418628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654-478D-B3AA-C8F9D7847EC7}"/>
                </c:ext>
              </c:extLst>
            </c:dLbl>
            <c:dLbl>
              <c:idx val="2"/>
              <c:layout>
                <c:manualLayout>
                  <c:x val="7.5203241200481512E-3"/>
                  <c:y val="0.13224614965422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654-478D-B3AA-C8F9D7847E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'7.9'!$A$7:$A$9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'7.9'!$K$7:$K$9</c:f>
              <c:numCache>
                <c:formatCode>#,##0</c:formatCode>
                <c:ptCount val="3"/>
                <c:pt idx="0">
                  <c:v>67.647695304046735</c:v>
                </c:pt>
                <c:pt idx="1">
                  <c:v>80.611045828437128</c:v>
                </c:pt>
                <c:pt idx="2">
                  <c:v>62.69995515024668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54-478D-B3AA-C8F9D7847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364608"/>
        <c:axId val="161436032"/>
      </c:barChart>
      <c:catAx>
        <c:axId val="16136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1436032"/>
        <c:crosses val="autoZero"/>
        <c:auto val="1"/>
        <c:lblAlgn val="ctr"/>
        <c:lblOffset val="100"/>
        <c:noMultiLvlLbl val="0"/>
      </c:catAx>
      <c:valAx>
        <c:axId val="1614360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6136460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31</xdr:row>
      <xdr:rowOff>14929</xdr:rowOff>
    </xdr:from>
    <xdr:to>
      <xdr:col>11</xdr:col>
      <xdr:colOff>542925</xdr:colOff>
      <xdr:row>49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766889</xdr:colOff>
      <xdr:row>32</xdr:row>
      <xdr:rowOff>9524</xdr:rowOff>
    </xdr:from>
    <xdr:to>
      <xdr:col>2</xdr:col>
      <xdr:colOff>552449</xdr:colOff>
      <xdr:row>32</xdr:row>
      <xdr:rowOff>170163</xdr:rowOff>
    </xdr:to>
    <xdr:sp macro="" textlink="">
      <xdr:nvSpPr>
        <xdr:cNvPr id="3" name="TextBox 2"/>
        <xdr:cNvSpPr txBox="1"/>
      </xdr:nvSpPr>
      <xdr:spPr>
        <a:xfrm>
          <a:off x="1262189" y="6162674"/>
          <a:ext cx="595185" cy="160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Percent</a:t>
          </a:r>
        </a:p>
      </xdr:txBody>
    </xdr:sp>
    <xdr:clientData/>
  </xdr:twoCellAnchor>
  <xdr:twoCellAnchor>
    <xdr:from>
      <xdr:col>4</xdr:col>
      <xdr:colOff>28575</xdr:colOff>
      <xdr:row>32</xdr:row>
      <xdr:rowOff>152400</xdr:rowOff>
    </xdr:from>
    <xdr:to>
      <xdr:col>10</xdr:col>
      <xdr:colOff>504825</xdr:colOff>
      <xdr:row>32</xdr:row>
      <xdr:rowOff>152400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952750" y="6305550"/>
          <a:ext cx="40005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34"/>
  <sheetViews>
    <sheetView tabSelected="1" zoomScaleNormal="100" zoomScaleSheetLayoutView="100" workbookViewId="0">
      <selection activeCell="N20" sqref="N20"/>
    </sheetView>
  </sheetViews>
  <sheetFormatPr defaultColWidth="9.140625" defaultRowHeight="15" x14ac:dyDescent="0.25"/>
  <cols>
    <col min="1" max="1" width="7.42578125" style="22" customWidth="1"/>
    <col min="2" max="4" width="12.140625" style="2" customWidth="1"/>
    <col min="5" max="5" width="1.5703125" style="2" customWidth="1"/>
    <col min="6" max="6" width="12.140625" style="20" customWidth="1"/>
    <col min="7" max="8" width="12.5703125" style="20" customWidth="1"/>
    <col min="9" max="9" width="1.85546875" style="20" customWidth="1"/>
    <col min="10" max="10" width="12.140625" style="20" customWidth="1"/>
    <col min="11" max="11" width="15" style="20" customWidth="1"/>
    <col min="12" max="13" width="10.140625" style="2" customWidth="1"/>
    <col min="14" max="16" width="9.140625" style="2"/>
    <col min="17" max="17" width="9.5703125" style="2" bestFit="1" customWidth="1"/>
    <col min="18" max="16384" width="9.140625" style="2"/>
  </cols>
  <sheetData>
    <row r="1" spans="1:24" ht="21.75" x14ac:dyDescent="0.55000000000000004">
      <c r="A1" s="58" t="s">
        <v>39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8" customHeight="1" x14ac:dyDescent="0.25">
      <c r="A2" s="59" t="s">
        <v>40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s="5" customFormat="1" ht="3.75" customHeight="1" x14ac:dyDescent="0.25">
      <c r="A3" s="3"/>
      <c r="B3" s="4"/>
      <c r="C3" s="4"/>
      <c r="D3" s="4"/>
      <c r="E3" s="3"/>
      <c r="F3" s="4"/>
      <c r="G3" s="4"/>
      <c r="H3" s="4"/>
      <c r="I3" s="4"/>
      <c r="J3" s="4"/>
      <c r="K3" s="4"/>
      <c r="O3" s="56"/>
      <c r="P3" s="56"/>
      <c r="Q3" s="56"/>
      <c r="R3" s="56"/>
      <c r="S3" s="56"/>
      <c r="T3" s="57"/>
      <c r="U3" s="57"/>
      <c r="V3" s="57"/>
      <c r="W3" s="57"/>
      <c r="X3" s="57"/>
    </row>
    <row r="4" spans="1:24" ht="21" customHeight="1" x14ac:dyDescent="0.25">
      <c r="A4" s="6"/>
      <c r="B4" s="60" t="s">
        <v>0</v>
      </c>
      <c r="C4" s="60"/>
      <c r="D4" s="60"/>
      <c r="E4" s="7"/>
      <c r="F4" s="60" t="s">
        <v>1</v>
      </c>
      <c r="G4" s="60"/>
      <c r="H4" s="60"/>
      <c r="I4" s="8"/>
      <c r="J4" s="60" t="s">
        <v>25</v>
      </c>
      <c r="K4" s="60"/>
      <c r="L4" s="61" t="s">
        <v>38</v>
      </c>
      <c r="M4" s="60"/>
      <c r="N4" s="5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spans="1:24" x14ac:dyDescent="0.25">
      <c r="A5" s="9"/>
      <c r="B5" s="10" t="s">
        <v>26</v>
      </c>
      <c r="C5" s="10" t="s">
        <v>27</v>
      </c>
      <c r="D5" s="10" t="s">
        <v>28</v>
      </c>
      <c r="E5" s="11"/>
      <c r="F5" s="10" t="s">
        <v>26</v>
      </c>
      <c r="G5" s="10" t="s">
        <v>27</v>
      </c>
      <c r="H5" s="10" t="s">
        <v>29</v>
      </c>
      <c r="I5" s="11"/>
      <c r="J5" s="10" t="s">
        <v>25</v>
      </c>
      <c r="K5" s="10" t="s">
        <v>30</v>
      </c>
      <c r="L5" s="62" t="s">
        <v>37</v>
      </c>
      <c r="M5" s="64" t="s">
        <v>36</v>
      </c>
      <c r="N5" s="5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spans="1:24" x14ac:dyDescent="0.25">
      <c r="A6" s="12" t="s">
        <v>22</v>
      </c>
      <c r="B6" s="13"/>
      <c r="C6" s="13"/>
      <c r="D6" s="13" t="s">
        <v>23</v>
      </c>
      <c r="E6" s="14"/>
      <c r="F6" s="13"/>
      <c r="G6" s="13"/>
      <c r="H6" s="13" t="s">
        <v>24</v>
      </c>
      <c r="I6" s="15"/>
      <c r="J6" s="13" t="s">
        <v>23</v>
      </c>
      <c r="K6" s="13" t="s">
        <v>31</v>
      </c>
      <c r="L6" s="63"/>
      <c r="M6" s="65"/>
      <c r="N6" s="5"/>
      <c r="O6" s="53"/>
      <c r="P6" s="53"/>
      <c r="Q6" s="53"/>
      <c r="R6" s="53"/>
      <c r="S6" s="53"/>
      <c r="T6" s="53"/>
      <c r="U6" s="53"/>
      <c r="V6" s="53"/>
      <c r="W6" s="53"/>
      <c r="X6" s="53"/>
    </row>
    <row r="7" spans="1:24" x14ac:dyDescent="0.2">
      <c r="A7" s="29" t="s">
        <v>2</v>
      </c>
      <c r="B7" s="30">
        <f>SUM(B8:B9)</f>
        <v>2790</v>
      </c>
      <c r="C7" s="30">
        <f>SUM(C8:C9)</f>
        <v>200</v>
      </c>
      <c r="D7" s="30">
        <f>SUM(B7:C7)</f>
        <v>2990</v>
      </c>
      <c r="E7" s="26"/>
      <c r="F7" s="31">
        <f>SUM(F8:F9)</f>
        <v>5719</v>
      </c>
      <c r="G7" s="30">
        <f>SUM(G8:G9)</f>
        <v>533</v>
      </c>
      <c r="H7" s="30">
        <f>SUM(F7:G7)</f>
        <v>6252</v>
      </c>
      <c r="I7" s="32"/>
      <c r="J7" s="33">
        <f>SUM(D7,H7)</f>
        <v>9242</v>
      </c>
      <c r="K7" s="45">
        <f>H7/J7*100</f>
        <v>67.647695304046735</v>
      </c>
      <c r="L7" s="41">
        <f>C7/D7*100</f>
        <v>6.6889632107023411</v>
      </c>
      <c r="M7" s="42">
        <f>G7/H7*100</f>
        <v>8.5252719129878436</v>
      </c>
      <c r="N7" s="5"/>
      <c r="O7" s="53"/>
      <c r="P7" s="53"/>
      <c r="Q7" s="53"/>
      <c r="R7" s="53"/>
      <c r="S7" s="53"/>
      <c r="T7" s="53"/>
      <c r="U7" s="53"/>
      <c r="V7" s="53"/>
      <c r="W7" s="53"/>
      <c r="X7" s="53"/>
    </row>
    <row r="8" spans="1:24" x14ac:dyDescent="0.2">
      <c r="A8" s="29" t="s">
        <v>3</v>
      </c>
      <c r="B8" s="26">
        <v>483</v>
      </c>
      <c r="C8" s="26">
        <v>12</v>
      </c>
      <c r="D8" s="26">
        <f t="shared" ref="D8:D29" si="0">SUM(B8:C8)</f>
        <v>495</v>
      </c>
      <c r="E8" s="26"/>
      <c r="F8" s="34">
        <v>2025</v>
      </c>
      <c r="G8" s="26">
        <v>33</v>
      </c>
      <c r="H8" s="26">
        <f t="shared" ref="H8:H29" si="1">SUM(F8:G8)</f>
        <v>2058</v>
      </c>
      <c r="I8" s="35"/>
      <c r="J8" s="36">
        <f>SUM(D8,H8)</f>
        <v>2553</v>
      </c>
      <c r="K8" s="45">
        <f>H8/J8*100</f>
        <v>80.611045828437128</v>
      </c>
      <c r="L8" s="41">
        <f t="shared" ref="L8:L29" si="2">C8/D8*100</f>
        <v>2.4242424242424243</v>
      </c>
      <c r="M8" s="42">
        <f t="shared" ref="M8:M29" si="3">G8/H8*100</f>
        <v>1.6034985422740524</v>
      </c>
      <c r="O8" s="53"/>
      <c r="P8" s="53"/>
      <c r="Q8" s="53"/>
      <c r="R8" s="53"/>
      <c r="S8" s="53"/>
      <c r="T8" s="53"/>
      <c r="U8" s="53"/>
      <c r="V8" s="53"/>
      <c r="W8" s="53"/>
      <c r="X8" s="53"/>
    </row>
    <row r="9" spans="1:24" x14ac:dyDescent="0.2">
      <c r="A9" s="29" t="s">
        <v>4</v>
      </c>
      <c r="B9" s="26">
        <f>SUM(B10:B29)</f>
        <v>2307</v>
      </c>
      <c r="C9" s="26">
        <f>SUM(C10:C29)</f>
        <v>188</v>
      </c>
      <c r="D9" s="26">
        <f t="shared" si="0"/>
        <v>2495</v>
      </c>
      <c r="E9" s="26"/>
      <c r="F9" s="34">
        <f>SUM(F10:F29)</f>
        <v>3694</v>
      </c>
      <c r="G9" s="26">
        <f>SUM(G10:G29)</f>
        <v>500</v>
      </c>
      <c r="H9" s="26">
        <f t="shared" si="1"/>
        <v>4194</v>
      </c>
      <c r="I9" s="35"/>
      <c r="J9" s="36">
        <f>SUM(D9,H9)</f>
        <v>6689</v>
      </c>
      <c r="K9" s="45">
        <f>H9/J9*100</f>
        <v>62.69995515024668</v>
      </c>
      <c r="L9" s="41">
        <f t="shared" si="2"/>
        <v>7.5350701402805615</v>
      </c>
      <c r="M9" s="42">
        <f t="shared" si="3"/>
        <v>11.921793037672867</v>
      </c>
      <c r="N9" s="5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1:24" x14ac:dyDescent="0.2">
      <c r="A10" s="23" t="s">
        <v>32</v>
      </c>
      <c r="B10" s="27">
        <v>140</v>
      </c>
      <c r="C10" s="27">
        <v>27</v>
      </c>
      <c r="D10" s="26">
        <f t="shared" si="0"/>
        <v>167</v>
      </c>
      <c r="E10" s="27"/>
      <c r="F10" s="54">
        <v>270</v>
      </c>
      <c r="G10" s="27">
        <v>38</v>
      </c>
      <c r="H10" s="26">
        <f t="shared" si="1"/>
        <v>308</v>
      </c>
      <c r="I10" s="35"/>
      <c r="J10" s="37">
        <f t="shared" ref="J10:J29" si="4">SUM(D10,H10)</f>
        <v>475</v>
      </c>
      <c r="K10" s="46">
        <f t="shared" ref="K10:K29" si="5">H10/J10*100</f>
        <v>64.84210526315789</v>
      </c>
      <c r="L10" s="41">
        <f t="shared" si="2"/>
        <v>16.167664670658681</v>
      </c>
      <c r="M10" s="42">
        <f t="shared" si="3"/>
        <v>12.337662337662337</v>
      </c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 x14ac:dyDescent="0.2">
      <c r="A11" s="23" t="s">
        <v>33</v>
      </c>
      <c r="B11" s="27">
        <v>189</v>
      </c>
      <c r="C11" s="27">
        <v>31</v>
      </c>
      <c r="D11" s="26">
        <f t="shared" si="0"/>
        <v>220</v>
      </c>
      <c r="E11" s="27"/>
      <c r="F11" s="54">
        <v>337</v>
      </c>
      <c r="G11" s="27">
        <v>49</v>
      </c>
      <c r="H11" s="26">
        <f t="shared" si="1"/>
        <v>386</v>
      </c>
      <c r="I11" s="35"/>
      <c r="J11" s="37">
        <f t="shared" si="4"/>
        <v>606</v>
      </c>
      <c r="K11" s="46">
        <f t="shared" si="5"/>
        <v>63.696369636963702</v>
      </c>
      <c r="L11" s="41">
        <f t="shared" si="2"/>
        <v>14.09090909090909</v>
      </c>
      <c r="M11" s="42">
        <f t="shared" si="3"/>
        <v>12.694300518134716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1:24" x14ac:dyDescent="0.2">
      <c r="A12" s="23" t="s">
        <v>34</v>
      </c>
      <c r="B12" s="27">
        <v>171</v>
      </c>
      <c r="C12" s="27">
        <v>24</v>
      </c>
      <c r="D12" s="26">
        <f t="shared" si="0"/>
        <v>195</v>
      </c>
      <c r="E12" s="27"/>
      <c r="F12" s="54">
        <v>196</v>
      </c>
      <c r="G12" s="27">
        <v>31</v>
      </c>
      <c r="H12" s="26">
        <f t="shared" si="1"/>
        <v>227</v>
      </c>
      <c r="I12" s="35"/>
      <c r="J12" s="37">
        <f t="shared" si="4"/>
        <v>422</v>
      </c>
      <c r="K12" s="46">
        <f t="shared" si="5"/>
        <v>53.791469194312789</v>
      </c>
      <c r="L12" s="41">
        <f t="shared" si="2"/>
        <v>12.307692307692308</v>
      </c>
      <c r="M12" s="42">
        <f t="shared" si="3"/>
        <v>13.656387665198238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1:24" x14ac:dyDescent="0.2">
      <c r="A13" s="23" t="s">
        <v>20</v>
      </c>
      <c r="B13" s="27">
        <v>149</v>
      </c>
      <c r="C13" s="27">
        <v>20</v>
      </c>
      <c r="D13" s="26">
        <f t="shared" si="0"/>
        <v>169</v>
      </c>
      <c r="E13" s="27"/>
      <c r="F13" s="54">
        <v>213</v>
      </c>
      <c r="G13" s="27">
        <v>11</v>
      </c>
      <c r="H13" s="26">
        <f t="shared" si="1"/>
        <v>224</v>
      </c>
      <c r="I13" s="35"/>
      <c r="J13" s="37">
        <f t="shared" si="4"/>
        <v>393</v>
      </c>
      <c r="K13" s="46">
        <f t="shared" si="5"/>
        <v>56.997455470737911</v>
      </c>
      <c r="L13" s="41">
        <f t="shared" si="2"/>
        <v>11.834319526627219</v>
      </c>
      <c r="M13" s="42">
        <f t="shared" si="3"/>
        <v>4.9107142857142856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4" x14ac:dyDescent="0.2">
      <c r="A14" s="23" t="s">
        <v>35</v>
      </c>
      <c r="B14" s="27">
        <v>249</v>
      </c>
      <c r="C14" s="27">
        <v>26</v>
      </c>
      <c r="D14" s="26">
        <f t="shared" si="0"/>
        <v>275</v>
      </c>
      <c r="E14" s="27"/>
      <c r="F14" s="54">
        <v>314</v>
      </c>
      <c r="G14" s="27">
        <v>36</v>
      </c>
      <c r="H14" s="26">
        <f t="shared" si="1"/>
        <v>350</v>
      </c>
      <c r="I14" s="35"/>
      <c r="J14" s="37">
        <f t="shared" si="4"/>
        <v>625</v>
      </c>
      <c r="K14" s="46">
        <f t="shared" si="5"/>
        <v>56.000000000000007</v>
      </c>
      <c r="L14" s="41">
        <f t="shared" si="2"/>
        <v>9.454545454545455</v>
      </c>
      <c r="M14" s="42">
        <f t="shared" si="3"/>
        <v>10.285714285714285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4" x14ac:dyDescent="0.2">
      <c r="A15" s="23" t="s">
        <v>6</v>
      </c>
      <c r="B15" s="27">
        <v>126</v>
      </c>
      <c r="C15" s="27">
        <v>4</v>
      </c>
      <c r="D15" s="26">
        <f t="shared" si="0"/>
        <v>130</v>
      </c>
      <c r="E15" s="27"/>
      <c r="F15" s="54">
        <v>185</v>
      </c>
      <c r="G15" s="27">
        <v>37</v>
      </c>
      <c r="H15" s="26">
        <f t="shared" si="1"/>
        <v>222</v>
      </c>
      <c r="I15" s="35"/>
      <c r="J15" s="37">
        <f t="shared" si="4"/>
        <v>352</v>
      </c>
      <c r="K15" s="46">
        <f t="shared" si="5"/>
        <v>63.06818181818182</v>
      </c>
      <c r="L15" s="41">
        <f t="shared" si="2"/>
        <v>3.0769230769230771</v>
      </c>
      <c r="M15" s="42">
        <f t="shared" si="3"/>
        <v>16.666666666666664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 x14ac:dyDescent="0.2">
      <c r="A16" s="23" t="s">
        <v>7</v>
      </c>
      <c r="B16" s="27">
        <v>55</v>
      </c>
      <c r="C16" s="27">
        <v>5</v>
      </c>
      <c r="D16" s="26">
        <f t="shared" si="0"/>
        <v>60</v>
      </c>
      <c r="E16" s="27"/>
      <c r="F16" s="54">
        <v>115</v>
      </c>
      <c r="G16" s="27">
        <v>21</v>
      </c>
      <c r="H16" s="26">
        <f t="shared" si="1"/>
        <v>136</v>
      </c>
      <c r="I16" s="35"/>
      <c r="J16" s="37">
        <f t="shared" si="4"/>
        <v>196</v>
      </c>
      <c r="K16" s="46">
        <f t="shared" si="5"/>
        <v>69.387755102040813</v>
      </c>
      <c r="L16" s="41">
        <f t="shared" si="2"/>
        <v>8.3333333333333321</v>
      </c>
      <c r="M16" s="42">
        <f t="shared" si="3"/>
        <v>15.441176470588236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 x14ac:dyDescent="0.2">
      <c r="A17" s="23" t="s">
        <v>9</v>
      </c>
      <c r="B17" s="27">
        <v>115</v>
      </c>
      <c r="C17" s="27">
        <v>2</v>
      </c>
      <c r="D17" s="26">
        <f t="shared" si="0"/>
        <v>117</v>
      </c>
      <c r="E17" s="27"/>
      <c r="F17" s="54">
        <v>179</v>
      </c>
      <c r="G17" s="27">
        <v>12</v>
      </c>
      <c r="H17" s="26">
        <f t="shared" si="1"/>
        <v>191</v>
      </c>
      <c r="I17" s="35"/>
      <c r="J17" s="37">
        <f t="shared" si="4"/>
        <v>308</v>
      </c>
      <c r="K17" s="46">
        <f t="shared" si="5"/>
        <v>62.012987012987011</v>
      </c>
      <c r="L17" s="41">
        <f t="shared" si="2"/>
        <v>1.7094017094017095</v>
      </c>
      <c r="M17" s="42">
        <f t="shared" si="3"/>
        <v>6.2827225130890048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1:24" x14ac:dyDescent="0.2">
      <c r="A18" s="23" t="s">
        <v>10</v>
      </c>
      <c r="B18" s="27">
        <v>90</v>
      </c>
      <c r="C18" s="27">
        <v>1</v>
      </c>
      <c r="D18" s="26">
        <f t="shared" si="0"/>
        <v>91</v>
      </c>
      <c r="E18" s="27"/>
      <c r="F18" s="54">
        <v>111</v>
      </c>
      <c r="G18" s="27">
        <v>14</v>
      </c>
      <c r="H18" s="26">
        <f t="shared" si="1"/>
        <v>125</v>
      </c>
      <c r="I18" s="35"/>
      <c r="J18" s="37">
        <f t="shared" si="4"/>
        <v>216</v>
      </c>
      <c r="K18" s="46">
        <f t="shared" si="5"/>
        <v>57.870370370370374</v>
      </c>
      <c r="L18" s="41">
        <f t="shared" si="2"/>
        <v>1.098901098901099</v>
      </c>
      <c r="M18" s="42">
        <f t="shared" si="3"/>
        <v>11.200000000000001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spans="1:24" x14ac:dyDescent="0.2">
      <c r="A19" s="23" t="s">
        <v>11</v>
      </c>
      <c r="B19" s="27">
        <v>85</v>
      </c>
      <c r="C19" s="27">
        <v>3</v>
      </c>
      <c r="D19" s="26">
        <f t="shared" si="0"/>
        <v>88</v>
      </c>
      <c r="E19" s="27"/>
      <c r="F19" s="54">
        <v>172</v>
      </c>
      <c r="G19" s="27">
        <v>24</v>
      </c>
      <c r="H19" s="26">
        <f t="shared" si="1"/>
        <v>196</v>
      </c>
      <c r="I19" s="35"/>
      <c r="J19" s="37">
        <f t="shared" si="4"/>
        <v>284</v>
      </c>
      <c r="K19" s="46">
        <f t="shared" si="5"/>
        <v>69.014084507042256</v>
      </c>
      <c r="L19" s="41">
        <f t="shared" si="2"/>
        <v>3.4090909090909087</v>
      </c>
      <c r="M19" s="42">
        <f t="shared" si="3"/>
        <v>12.244897959183673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4" x14ac:dyDescent="0.2">
      <c r="A20" s="23" t="s">
        <v>12</v>
      </c>
      <c r="B20" s="27">
        <v>22</v>
      </c>
      <c r="C20" s="27">
        <v>0</v>
      </c>
      <c r="D20" s="26">
        <f t="shared" si="0"/>
        <v>22</v>
      </c>
      <c r="E20" s="27"/>
      <c r="F20" s="54">
        <v>46</v>
      </c>
      <c r="G20" s="27">
        <v>4</v>
      </c>
      <c r="H20" s="26">
        <f t="shared" si="1"/>
        <v>50</v>
      </c>
      <c r="I20" s="35"/>
      <c r="J20" s="37">
        <f t="shared" si="4"/>
        <v>72</v>
      </c>
      <c r="K20" s="46">
        <f t="shared" si="5"/>
        <v>69.444444444444443</v>
      </c>
      <c r="L20" s="41">
        <f t="shared" si="2"/>
        <v>0</v>
      </c>
      <c r="M20" s="42">
        <f t="shared" si="3"/>
        <v>8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4" x14ac:dyDescent="0.2">
      <c r="A21" s="23" t="s">
        <v>13</v>
      </c>
      <c r="B21" s="27">
        <v>63</v>
      </c>
      <c r="C21" s="27">
        <v>1</v>
      </c>
      <c r="D21" s="26">
        <f t="shared" si="0"/>
        <v>64</v>
      </c>
      <c r="E21" s="27"/>
      <c r="F21" s="54">
        <v>108</v>
      </c>
      <c r="G21" s="27">
        <v>6</v>
      </c>
      <c r="H21" s="26">
        <f t="shared" si="1"/>
        <v>114</v>
      </c>
      <c r="I21" s="35"/>
      <c r="J21" s="37">
        <f t="shared" si="4"/>
        <v>178</v>
      </c>
      <c r="K21" s="46">
        <f t="shared" si="5"/>
        <v>64.044943820224717</v>
      </c>
      <c r="L21" s="41">
        <f t="shared" si="2"/>
        <v>1.5625</v>
      </c>
      <c r="M21" s="42">
        <f t="shared" si="3"/>
        <v>5.2631578947368416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x14ac:dyDescent="0.2">
      <c r="A22" s="23" t="s">
        <v>14</v>
      </c>
      <c r="B22" s="27">
        <v>66</v>
      </c>
      <c r="C22" s="27">
        <v>2</v>
      </c>
      <c r="D22" s="26">
        <f t="shared" si="0"/>
        <v>68</v>
      </c>
      <c r="E22" s="27"/>
      <c r="F22" s="54">
        <v>86</v>
      </c>
      <c r="G22" s="27">
        <v>7</v>
      </c>
      <c r="H22" s="26">
        <f t="shared" si="1"/>
        <v>93</v>
      </c>
      <c r="I22" s="35"/>
      <c r="J22" s="37">
        <f t="shared" si="4"/>
        <v>161</v>
      </c>
      <c r="K22" s="46">
        <f t="shared" si="5"/>
        <v>57.763975155279503</v>
      </c>
      <c r="L22" s="41">
        <f t="shared" si="2"/>
        <v>2.9411764705882351</v>
      </c>
      <c r="M22" s="42">
        <f t="shared" si="3"/>
        <v>7.5268817204301079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4" x14ac:dyDescent="0.2">
      <c r="A23" s="23" t="s">
        <v>15</v>
      </c>
      <c r="B23" s="27">
        <v>79</v>
      </c>
      <c r="C23" s="27">
        <v>1</v>
      </c>
      <c r="D23" s="26">
        <f t="shared" si="0"/>
        <v>80</v>
      </c>
      <c r="E23" s="27"/>
      <c r="F23" s="54">
        <v>117</v>
      </c>
      <c r="G23" s="27">
        <v>10</v>
      </c>
      <c r="H23" s="26">
        <f t="shared" si="1"/>
        <v>127</v>
      </c>
      <c r="I23" s="35"/>
      <c r="J23" s="37">
        <f t="shared" si="4"/>
        <v>207</v>
      </c>
      <c r="K23" s="46">
        <f t="shared" si="5"/>
        <v>61.35265700483091</v>
      </c>
      <c r="L23" s="41">
        <f t="shared" si="2"/>
        <v>1.25</v>
      </c>
      <c r="M23" s="42">
        <f t="shared" si="3"/>
        <v>7.8740157480314963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4" x14ac:dyDescent="0.2">
      <c r="A24" s="23" t="s">
        <v>16</v>
      </c>
      <c r="B24" s="27">
        <v>140</v>
      </c>
      <c r="C24" s="27">
        <v>1</v>
      </c>
      <c r="D24" s="26">
        <f t="shared" si="0"/>
        <v>141</v>
      </c>
      <c r="E24" s="27"/>
      <c r="F24" s="54">
        <v>165</v>
      </c>
      <c r="G24" s="27">
        <v>34</v>
      </c>
      <c r="H24" s="26">
        <f t="shared" si="1"/>
        <v>199</v>
      </c>
      <c r="I24" s="35"/>
      <c r="J24" s="37">
        <f t="shared" si="4"/>
        <v>340</v>
      </c>
      <c r="K24" s="46">
        <f t="shared" si="5"/>
        <v>58.529411764705884</v>
      </c>
      <c r="L24" s="41">
        <f t="shared" si="2"/>
        <v>0.70921985815602839</v>
      </c>
      <c r="M24" s="42">
        <f t="shared" si="3"/>
        <v>17.08542713567839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4" x14ac:dyDescent="0.2">
      <c r="A25" s="23" t="s">
        <v>8</v>
      </c>
      <c r="B25" s="27">
        <v>158</v>
      </c>
      <c r="C25" s="27">
        <v>2</v>
      </c>
      <c r="D25" s="26">
        <f t="shared" si="0"/>
        <v>160</v>
      </c>
      <c r="E25" s="27"/>
      <c r="F25" s="54">
        <v>205</v>
      </c>
      <c r="G25" s="27">
        <v>20</v>
      </c>
      <c r="H25" s="26">
        <f t="shared" si="1"/>
        <v>225</v>
      </c>
      <c r="I25" s="35"/>
      <c r="J25" s="37">
        <f t="shared" si="4"/>
        <v>385</v>
      </c>
      <c r="K25" s="46">
        <f t="shared" si="5"/>
        <v>58.441558441558442</v>
      </c>
      <c r="L25" s="41">
        <f t="shared" si="2"/>
        <v>1.25</v>
      </c>
      <c r="M25" s="42">
        <f t="shared" si="3"/>
        <v>8.8888888888888893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4" x14ac:dyDescent="0.2">
      <c r="A26" s="23" t="s">
        <v>17</v>
      </c>
      <c r="B26" s="27">
        <v>108</v>
      </c>
      <c r="C26" s="27">
        <v>13</v>
      </c>
      <c r="D26" s="26">
        <f t="shared" si="0"/>
        <v>121</v>
      </c>
      <c r="E26" s="27"/>
      <c r="F26" s="54">
        <v>130</v>
      </c>
      <c r="G26" s="27">
        <v>38</v>
      </c>
      <c r="H26" s="26">
        <f t="shared" si="1"/>
        <v>168</v>
      </c>
      <c r="I26" s="35"/>
      <c r="J26" s="37">
        <f t="shared" si="4"/>
        <v>289</v>
      </c>
      <c r="K26" s="46">
        <f t="shared" si="5"/>
        <v>58.131487889273359</v>
      </c>
      <c r="L26" s="41">
        <f t="shared" si="2"/>
        <v>10.743801652892563</v>
      </c>
      <c r="M26" s="42">
        <f t="shared" si="3"/>
        <v>22.61904761904762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 x14ac:dyDescent="0.2">
      <c r="A27" s="23" t="s">
        <v>18</v>
      </c>
      <c r="B27" s="27">
        <v>99</v>
      </c>
      <c r="C27" s="27">
        <v>11</v>
      </c>
      <c r="D27" s="26">
        <f t="shared" si="0"/>
        <v>110</v>
      </c>
      <c r="E27" s="27"/>
      <c r="F27" s="54">
        <v>231</v>
      </c>
      <c r="G27" s="27">
        <v>37</v>
      </c>
      <c r="H27" s="26">
        <f t="shared" si="1"/>
        <v>268</v>
      </c>
      <c r="I27" s="35"/>
      <c r="J27" s="37">
        <f t="shared" si="4"/>
        <v>378</v>
      </c>
      <c r="K27" s="46">
        <f t="shared" si="5"/>
        <v>70.899470899470899</v>
      </c>
      <c r="L27" s="41">
        <f t="shared" si="2"/>
        <v>10</v>
      </c>
      <c r="M27" s="42">
        <f t="shared" si="3"/>
        <v>13.805970149253731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 x14ac:dyDescent="0.2">
      <c r="A28" s="24" t="s">
        <v>19</v>
      </c>
      <c r="B28" s="27">
        <v>34</v>
      </c>
      <c r="C28" s="27">
        <v>7</v>
      </c>
      <c r="D28" s="26">
        <f t="shared" si="0"/>
        <v>41</v>
      </c>
      <c r="E28" s="27"/>
      <c r="F28" s="54">
        <v>142</v>
      </c>
      <c r="G28" s="27">
        <v>41</v>
      </c>
      <c r="H28" s="26">
        <f t="shared" si="1"/>
        <v>183</v>
      </c>
      <c r="I28" s="35"/>
      <c r="J28" s="37">
        <f t="shared" si="4"/>
        <v>224</v>
      </c>
      <c r="K28" s="46">
        <f t="shared" si="5"/>
        <v>81.696428571428569</v>
      </c>
      <c r="L28" s="41">
        <f t="shared" si="2"/>
        <v>17.073170731707318</v>
      </c>
      <c r="M28" s="42">
        <f t="shared" si="3"/>
        <v>22.404371584699454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spans="1:24" x14ac:dyDescent="0.2">
      <c r="A29" s="25" t="s">
        <v>5</v>
      </c>
      <c r="B29" s="50">
        <v>169</v>
      </c>
      <c r="C29" s="50">
        <v>7</v>
      </c>
      <c r="D29" s="38">
        <f t="shared" si="0"/>
        <v>176</v>
      </c>
      <c r="E29" s="28"/>
      <c r="F29" s="55">
        <v>372</v>
      </c>
      <c r="G29" s="50">
        <v>30</v>
      </c>
      <c r="H29" s="38">
        <f t="shared" si="1"/>
        <v>402</v>
      </c>
      <c r="I29" s="39"/>
      <c r="J29" s="40">
        <f t="shared" si="4"/>
        <v>578</v>
      </c>
      <c r="K29" s="47">
        <f t="shared" si="5"/>
        <v>69.550173010380618</v>
      </c>
      <c r="L29" s="43">
        <f t="shared" si="2"/>
        <v>3.9772727272727271</v>
      </c>
      <c r="M29" s="44">
        <f t="shared" si="3"/>
        <v>7.4626865671641784</v>
      </c>
      <c r="O29" s="48"/>
      <c r="P29" s="49"/>
      <c r="Q29" s="49"/>
      <c r="R29" s="5"/>
      <c r="S29" s="5"/>
      <c r="T29" s="5"/>
      <c r="U29" s="5"/>
      <c r="V29" s="5"/>
      <c r="W29" s="5"/>
      <c r="X29" s="5"/>
    </row>
    <row r="30" spans="1:24" x14ac:dyDescent="0.25">
      <c r="A30" s="16" t="s">
        <v>21</v>
      </c>
      <c r="B30" s="9"/>
      <c r="C30" s="9"/>
      <c r="D30" s="9"/>
      <c r="E30" s="9"/>
      <c r="F30" s="17"/>
      <c r="G30" s="17"/>
      <c r="H30" s="17"/>
      <c r="I30" s="17"/>
      <c r="J30" s="17"/>
      <c r="M30" s="18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5"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5">
      <c r="A32" s="19"/>
      <c r="B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5">
      <c r="A33" s="19"/>
      <c r="B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5">
      <c r="A34" s="21"/>
      <c r="B34" s="5"/>
    </row>
  </sheetData>
  <mergeCells count="10">
    <mergeCell ref="O3:S3"/>
    <mergeCell ref="T3:X3"/>
    <mergeCell ref="L4:M4"/>
    <mergeCell ref="L5:L6"/>
    <mergeCell ref="M5:M6"/>
    <mergeCell ref="A1:M1"/>
    <mergeCell ref="A2:M2"/>
    <mergeCell ref="B4:D4"/>
    <mergeCell ref="F4:H4"/>
    <mergeCell ref="J4:K4"/>
  </mergeCells>
  <pageMargins left="0.7" right="0.7" top="0.75" bottom="0.57999999999999996" header="0.3" footer="0.3"/>
  <pageSetup paperSize="9" scale="99" orientation="landscape" horizontalDpi="4294967295" verticalDpi="4294967295" r:id="rId1"/>
  <rowBreaks count="1" manualBreakCount="1">
    <brk id="3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2018-04-18T04:44:06Z</cp:lastPrinted>
  <dcterms:created xsi:type="dcterms:W3CDTF">2014-03-05T03:36:41Z</dcterms:created>
  <dcterms:modified xsi:type="dcterms:W3CDTF">2018-04-18T04:44:13Z</dcterms:modified>
</cp:coreProperties>
</file>