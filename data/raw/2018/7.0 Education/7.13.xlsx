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7. EDUCATION\"/>
    </mc:Choice>
  </mc:AlternateContent>
  <bookViews>
    <workbookView xWindow="0" yWindow="0" windowWidth="28800" windowHeight="12330" tabRatio="880"/>
  </bookViews>
  <sheets>
    <sheet name="7.13" sheetId="19" r:id="rId1"/>
  </sheets>
  <definedNames>
    <definedName name="_xlnm.Print_Area" localSheetId="0">'7.13'!$A$1:$AL$89</definedName>
  </definedNames>
  <calcPr calcId="162913"/>
</workbook>
</file>

<file path=xl/calcChain.xml><?xml version="1.0" encoding="utf-8"?>
<calcChain xmlns="http://schemas.openxmlformats.org/spreadsheetml/2006/main">
  <c r="BF7" i="19" l="1"/>
  <c r="BF11" i="19" s="1"/>
  <c r="BF19" i="19" s="1"/>
  <c r="BG7" i="19"/>
  <c r="BH7" i="19"/>
  <c r="BI7" i="19"/>
  <c r="BJ7" i="19"/>
  <c r="BK7" i="19"/>
  <c r="BL7" i="19"/>
  <c r="BM7" i="19"/>
  <c r="BN7" i="19"/>
  <c r="BO7" i="19"/>
  <c r="BP7" i="19"/>
  <c r="BQ7" i="19"/>
  <c r="BR7" i="19"/>
  <c r="BS7" i="19"/>
  <c r="BT7" i="19"/>
  <c r="BU7" i="19"/>
  <c r="BV7" i="19"/>
  <c r="BW7" i="19"/>
  <c r="BX7" i="19"/>
  <c r="BY7" i="19"/>
  <c r="BZ7" i="19"/>
  <c r="CA7" i="19"/>
  <c r="CB7" i="19"/>
  <c r="CC7" i="19"/>
  <c r="CD7" i="19"/>
  <c r="CE7" i="19"/>
  <c r="CF7" i="19"/>
  <c r="CG7" i="19"/>
  <c r="CH7" i="19"/>
  <c r="CI7" i="19"/>
  <c r="CJ7" i="19"/>
  <c r="CK7" i="19"/>
  <c r="BH11" i="19" l="1"/>
  <c r="BG19" i="19" s="1"/>
  <c r="BJ11" i="19"/>
  <c r="BH19" i="19" s="1"/>
  <c r="BL11" i="19"/>
  <c r="BI19" i="19" s="1"/>
  <c r="BN11" i="19"/>
  <c r="BJ19" i="19" s="1"/>
  <c r="BP11" i="19"/>
  <c r="BK19" i="19" s="1"/>
  <c r="BR11" i="19"/>
  <c r="BL19" i="19" s="1"/>
  <c r="BT11" i="19"/>
  <c r="BM19" i="19" s="1"/>
  <c r="BV11" i="19"/>
  <c r="BN19" i="19" s="1"/>
  <c r="BX11" i="19"/>
  <c r="BO19" i="19" s="1"/>
  <c r="BZ11" i="19"/>
  <c r="BP19" i="19" s="1"/>
  <c r="CB11" i="19"/>
  <c r="BQ19" i="19" s="1"/>
  <c r="CD11" i="19"/>
  <c r="BR19" i="19" s="1"/>
  <c r="CF11" i="19"/>
  <c r="BS19" i="19" s="1"/>
  <c r="CH11" i="19"/>
  <c r="BT19" i="19" s="1"/>
  <c r="CJ11" i="19"/>
  <c r="G8" i="19" l="1"/>
  <c r="BG8" i="19" s="1"/>
  <c r="H8" i="19"/>
  <c r="BH8" i="19" s="1"/>
  <c r="BH12" i="19" s="1"/>
  <c r="BG20" i="19" s="1"/>
  <c r="I8" i="19"/>
  <c r="BI8" i="19" s="1"/>
  <c r="J8" i="19"/>
  <c r="BJ8" i="19" s="1"/>
  <c r="K8" i="19"/>
  <c r="BK8" i="19" s="1"/>
  <c r="L8" i="19"/>
  <c r="BL8" i="19" s="1"/>
  <c r="BL12" i="19" s="1"/>
  <c r="BI20" i="19" s="1"/>
  <c r="M8" i="19"/>
  <c r="BM8" i="19" s="1"/>
  <c r="N8" i="19"/>
  <c r="BN8" i="19" s="1"/>
  <c r="BN12" i="19" s="1"/>
  <c r="BJ20" i="19" s="1"/>
  <c r="O8" i="19"/>
  <c r="BO8" i="19" s="1"/>
  <c r="P8" i="19"/>
  <c r="BP8" i="19" s="1"/>
  <c r="BP12" i="19" s="1"/>
  <c r="BK20" i="19" s="1"/>
  <c r="Q8" i="19"/>
  <c r="BQ8" i="19" s="1"/>
  <c r="R8" i="19"/>
  <c r="BR8" i="19" s="1"/>
  <c r="S8" i="19"/>
  <c r="BS8" i="19" s="1"/>
  <c r="T8" i="19"/>
  <c r="BT8" i="19" s="1"/>
  <c r="BT12" i="19" s="1"/>
  <c r="BM20" i="19" s="1"/>
  <c r="U8" i="19"/>
  <c r="BU8" i="19" s="1"/>
  <c r="V8" i="19"/>
  <c r="BV8" i="19" s="1"/>
  <c r="BV12" i="19" s="1"/>
  <c r="BN20" i="19" s="1"/>
  <c r="W8" i="19"/>
  <c r="BW8" i="19" s="1"/>
  <c r="X8" i="19"/>
  <c r="BX8" i="19" s="1"/>
  <c r="BX12" i="19" s="1"/>
  <c r="BO20" i="19" s="1"/>
  <c r="Y8" i="19"/>
  <c r="BY8" i="19" s="1"/>
  <c r="Z8" i="19"/>
  <c r="BZ8" i="19" s="1"/>
  <c r="AA8" i="19"/>
  <c r="CA8" i="19" s="1"/>
  <c r="AB8" i="19"/>
  <c r="CB8" i="19" s="1"/>
  <c r="CB12" i="19" s="1"/>
  <c r="BQ20" i="19" s="1"/>
  <c r="AC8" i="19"/>
  <c r="CC8" i="19" s="1"/>
  <c r="AD8" i="19"/>
  <c r="CD8" i="19" s="1"/>
  <c r="CD12" i="19" s="1"/>
  <c r="BR20" i="19" s="1"/>
  <c r="AE8" i="19"/>
  <c r="CE8" i="19" s="1"/>
  <c r="AF8" i="19"/>
  <c r="CF8" i="19" s="1"/>
  <c r="CF12" i="19" s="1"/>
  <c r="BS20" i="19" s="1"/>
  <c r="AG8" i="19"/>
  <c r="CG8" i="19" s="1"/>
  <c r="AH8" i="19"/>
  <c r="CH8" i="19" s="1"/>
  <c r="AI8" i="19"/>
  <c r="CI8" i="19" s="1"/>
  <c r="AJ8" i="19"/>
  <c r="CJ8" i="19" s="1"/>
  <c r="CJ12" i="19" s="1"/>
  <c r="AK8" i="19"/>
  <c r="CK8" i="19" s="1"/>
  <c r="F8" i="19"/>
  <c r="BF8" i="19" s="1"/>
  <c r="BF12" i="19" s="1"/>
  <c r="BF20" i="19" s="1"/>
  <c r="CH12" i="19" l="1"/>
  <c r="BT20" i="19" s="1"/>
  <c r="BZ12" i="19"/>
  <c r="BP20" i="19" s="1"/>
  <c r="BR12" i="19"/>
  <c r="BL20" i="19" s="1"/>
  <c r="BJ12" i="19"/>
  <c r="BH20" i="19" s="1"/>
  <c r="C7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D7" i="19"/>
  <c r="E7" i="19"/>
  <c r="D9" i="19"/>
  <c r="E9" i="19"/>
  <c r="D10" i="19"/>
  <c r="E10" i="19"/>
  <c r="D11" i="19"/>
  <c r="E11" i="19"/>
  <c r="D12" i="19"/>
  <c r="E12" i="19"/>
  <c r="D13" i="19"/>
  <c r="E13" i="19"/>
  <c r="D14" i="19"/>
  <c r="E14" i="19"/>
  <c r="D15" i="19"/>
  <c r="E15" i="19"/>
  <c r="D16" i="19"/>
  <c r="E16" i="19"/>
  <c r="D17" i="19"/>
  <c r="E17" i="19"/>
  <c r="D18" i="19"/>
  <c r="E18" i="19"/>
  <c r="D19" i="19"/>
  <c r="E19" i="19"/>
  <c r="D20" i="19"/>
  <c r="E20" i="19"/>
  <c r="D21" i="19"/>
  <c r="E21" i="19"/>
  <c r="D22" i="19"/>
  <c r="E22" i="19"/>
  <c r="D23" i="19"/>
  <c r="E23" i="19"/>
  <c r="D24" i="19"/>
  <c r="E24" i="19"/>
  <c r="D25" i="19"/>
  <c r="E25" i="19"/>
  <c r="D26" i="19"/>
  <c r="E26" i="19"/>
  <c r="D27" i="19"/>
  <c r="E27" i="19"/>
  <c r="D28" i="19"/>
  <c r="E28" i="19"/>
  <c r="L6" i="19" l="1"/>
  <c r="BL6" i="19" s="1"/>
  <c r="AK6" i="19"/>
  <c r="CK6" i="19" s="1"/>
  <c r="AJ6" i="19"/>
  <c r="CJ6" i="19" s="1"/>
  <c r="AI6" i="19"/>
  <c r="CI6" i="19" s="1"/>
  <c r="AH6" i="19"/>
  <c r="CH6" i="19" s="1"/>
  <c r="AG6" i="19"/>
  <c r="CG6" i="19" s="1"/>
  <c r="AF6" i="19"/>
  <c r="CF6" i="19" s="1"/>
  <c r="AE6" i="19"/>
  <c r="CE6" i="19" s="1"/>
  <c r="AD6" i="19"/>
  <c r="CD6" i="19" s="1"/>
  <c r="AC6" i="19"/>
  <c r="CC6" i="19" s="1"/>
  <c r="AB6" i="19"/>
  <c r="CB6" i="19" s="1"/>
  <c r="AA6" i="19"/>
  <c r="CA6" i="19" s="1"/>
  <c r="Z6" i="19"/>
  <c r="BZ6" i="19" s="1"/>
  <c r="BZ10" i="19" s="1"/>
  <c r="BP15" i="19" s="1"/>
  <c r="Y6" i="19"/>
  <c r="BY6" i="19" s="1"/>
  <c r="X6" i="19"/>
  <c r="BX6" i="19" s="1"/>
  <c r="W6" i="19"/>
  <c r="BW6" i="19" s="1"/>
  <c r="V6" i="19"/>
  <c r="BV6" i="19" s="1"/>
  <c r="U6" i="19"/>
  <c r="BU6" i="19" s="1"/>
  <c r="T6" i="19"/>
  <c r="BT6" i="19" s="1"/>
  <c r="S6" i="19"/>
  <c r="BS6" i="19" s="1"/>
  <c r="R6" i="19"/>
  <c r="BR6" i="19" s="1"/>
  <c r="BR10" i="19" s="1"/>
  <c r="BL15" i="19" s="1"/>
  <c r="Q6" i="19"/>
  <c r="BQ6" i="19" s="1"/>
  <c r="P6" i="19"/>
  <c r="BP6" i="19" s="1"/>
  <c r="O6" i="19"/>
  <c r="BO6" i="19" s="1"/>
  <c r="N6" i="19"/>
  <c r="BN6" i="19" s="1"/>
  <c r="M6" i="19"/>
  <c r="BM6" i="19" s="1"/>
  <c r="K6" i="19"/>
  <c r="BK6" i="19" s="1"/>
  <c r="J6" i="19"/>
  <c r="BJ6" i="19" s="1"/>
  <c r="I6" i="19"/>
  <c r="BI6" i="19" s="1"/>
  <c r="H6" i="19"/>
  <c r="BH6" i="19" s="1"/>
  <c r="BH10" i="19" s="1"/>
  <c r="BG15" i="19" s="1"/>
  <c r="BP10" i="19" l="1"/>
  <c r="BK15" i="19" s="1"/>
  <c r="CH10" i="19"/>
  <c r="BT15" i="19" s="1"/>
  <c r="BX10" i="19"/>
  <c r="BO15" i="19" s="1"/>
  <c r="CF10" i="19"/>
  <c r="BS15" i="19" s="1"/>
  <c r="BJ10" i="19"/>
  <c r="BH15" i="19" s="1"/>
  <c r="BT10" i="19"/>
  <c r="BM15" i="19" s="1"/>
  <c r="CB10" i="19"/>
  <c r="BQ15" i="19" s="1"/>
  <c r="CJ10" i="19"/>
  <c r="BN10" i="19"/>
  <c r="BJ15" i="19" s="1"/>
  <c r="BV10" i="19"/>
  <c r="BN15" i="19" s="1"/>
  <c r="CD10" i="19"/>
  <c r="BR15" i="19" s="1"/>
  <c r="BL10" i="19"/>
  <c r="BI15" i="19" s="1"/>
  <c r="F6" i="19"/>
  <c r="BF6" i="19" s="1"/>
  <c r="C8" i="19"/>
  <c r="D8" i="19"/>
  <c r="G6" i="19"/>
  <c r="E8" i="19"/>
  <c r="E6" i="19" l="1"/>
  <c r="BG6" i="19"/>
  <c r="BF10" i="19"/>
  <c r="BF15" i="19" s="1"/>
  <c r="C6" i="19"/>
  <c r="AL7" i="19" s="1"/>
  <c r="D6" i="19"/>
  <c r="AL15" i="19" l="1"/>
  <c r="AL23" i="19"/>
  <c r="AL16" i="19"/>
  <c r="AL24" i="19"/>
  <c r="AL12" i="19"/>
  <c r="AL11" i="19"/>
  <c r="AL19" i="19"/>
  <c r="AL27" i="19"/>
  <c r="AL20" i="19"/>
  <c r="AL28" i="19"/>
  <c r="AL6" i="19"/>
  <c r="AL17" i="19"/>
  <c r="AL9" i="19"/>
  <c r="AL26" i="19"/>
  <c r="AL22" i="19"/>
  <c r="AL18" i="19"/>
  <c r="AL21" i="19"/>
  <c r="AL13" i="19"/>
  <c r="AL14" i="19"/>
  <c r="AL10" i="19"/>
  <c r="AL25" i="19"/>
  <c r="AL8" i="19"/>
</calcChain>
</file>

<file path=xl/sharedStrings.xml><?xml version="1.0" encoding="utf-8"?>
<sst xmlns="http://schemas.openxmlformats.org/spreadsheetml/2006/main" count="212" uniqueCount="70">
  <si>
    <t>Male</t>
  </si>
  <si>
    <t>Female</t>
  </si>
  <si>
    <t>Total</t>
  </si>
  <si>
    <t>Male'</t>
  </si>
  <si>
    <t>Atolls</t>
  </si>
  <si>
    <t>S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</si>
  <si>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</si>
  <si>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</si>
  <si>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</si>
  <si>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</si>
  <si>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</si>
  <si>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</si>
  <si>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</si>
  <si>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</si>
  <si>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</si>
  <si>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</si>
  <si>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</si>
  <si>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</si>
  <si>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</si>
  <si>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</si>
  <si>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</si>
  <si>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Source: Ministry of Education</t>
  </si>
  <si>
    <t>cnwxEkuaiDea cfoa IrcTcsinim :ctWrwf ivcaed utWmUluAwm</t>
  </si>
  <si>
    <t>HA</t>
  </si>
  <si>
    <t>HDh</t>
  </si>
  <si>
    <t>Sh</t>
  </si>
  <si>
    <t>R</t>
  </si>
  <si>
    <t>LKG</t>
  </si>
  <si>
    <t>UKG</t>
  </si>
  <si>
    <t>Special</t>
  </si>
  <si>
    <t>TOTAL</t>
  </si>
  <si>
    <t>Name of Atoll</t>
  </si>
  <si>
    <t>Nurs.</t>
  </si>
  <si>
    <t>Gr. 1</t>
  </si>
  <si>
    <t>Gr. 2</t>
  </si>
  <si>
    <t>Gr. 3</t>
  </si>
  <si>
    <t>Gr. 4</t>
  </si>
  <si>
    <t>Gr. 5</t>
  </si>
  <si>
    <t>Gr. 6</t>
  </si>
  <si>
    <t>Gr. 7</t>
  </si>
  <si>
    <t>Gr. 8</t>
  </si>
  <si>
    <t>Gr. 9</t>
  </si>
  <si>
    <t>Gr. 10</t>
  </si>
  <si>
    <t>Gr. 11</t>
  </si>
  <si>
    <t>Gr. 12</t>
  </si>
  <si>
    <t>Haa Alifu</t>
  </si>
  <si>
    <t>Haa Dhaalu</t>
  </si>
  <si>
    <t>Shaviyani</t>
  </si>
  <si>
    <t>Noonu</t>
  </si>
  <si>
    <t>Raa</t>
  </si>
  <si>
    <t>Baa</t>
  </si>
  <si>
    <t>Lhaviyani</t>
  </si>
  <si>
    <t>Kaafu</t>
  </si>
  <si>
    <t>Alifu Alifu</t>
  </si>
  <si>
    <t>Alifu Dhaalu</t>
  </si>
  <si>
    <t>Vaavu</t>
  </si>
  <si>
    <t>Meemu</t>
  </si>
  <si>
    <t>Faafu</t>
  </si>
  <si>
    <t>Dhaalu</t>
  </si>
  <si>
    <t>Thaa</t>
  </si>
  <si>
    <t>Laamu</t>
  </si>
  <si>
    <t>Gaafu Alifu</t>
  </si>
  <si>
    <t>Gaafu Dhaalu</t>
  </si>
  <si>
    <t>Gnaviyani</t>
  </si>
  <si>
    <t>Seenu</t>
  </si>
  <si>
    <t>% Share</t>
  </si>
  <si>
    <t>Both sex</t>
  </si>
  <si>
    <t>sex ratio</t>
  </si>
  <si>
    <t xml:space="preserve"> 2017 ,cnikwv cscnij idwa cDErcg ,udwdwA egcnidukWvwyik ibit iawgukwtuLotwa iaWaelWm :7.13 ulwvWt</t>
  </si>
  <si>
    <t>TABLE 7.13: ENROLMENT IN MALE' AND ATOLLS BY GRADE AND SEX,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</si>
</sst>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_(* ###0_);_(* \(###0\);_(* &quot;&quot;_);_(@_)"/>
    <numFmt numFmtId="168" formatCode="0.0"/>
    <numFmt numFmtId="169" formatCode="#,##0.0_);[Red]\(#,##0.0\)"/>
    <numFmt numFmtId="170" formatCode="_-* #,##0.00\ &quot;ރ.&quot;_-;_-* #,##0.00\ &quot;ރ.&quot;\-;_-* &quot;-&quot;??\ &quot;ރ.&quot;_-;_-@_-"/>
    <numFmt numFmtId="171" formatCode="&quot;Rf&quot;#,##0;\-&quot;Rf&quot;#,##0"/>
    <numFmt numFmtId="172" formatCode="0.00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8"/>
      <name val="A_Randhoo"/>
    </font>
    <font>
      <sz val="10"/>
      <name val="MS Sans Serif"/>
      <family val="2"/>
    </font>
    <font>
      <b/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2"/>
      <name val="Calibri"/>
      <family val="2"/>
      <scheme val="minor"/>
    </font>
    <font>
      <sz val="12"/>
      <name val="A_Waheed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hair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161">
    <xf numFmtId="0" fontId="0" fillId="0" borderId="0"/>
    <xf numFmtId="164" fontId="2" fillId="0" borderId="0"/>
    <xf numFmtId="164" fontId="2" fillId="0" borderId="0"/>
    <xf numFmtId="0" fontId="2" fillId="0" borderId="0"/>
    <xf numFmtId="166" fontId="2" fillId="0" borderId="0"/>
    <xf numFmtId="40" fontId="13" fillId="0" borderId="0" applyFont="0" applyFill="0" applyBorder="0" applyAlignment="0" applyProtection="0"/>
    <xf numFmtId="164" fontId="2" fillId="0" borderId="0"/>
    <xf numFmtId="0" fontId="16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7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2" fillId="0" borderId="0"/>
    <xf numFmtId="165" fontId="2" fillId="0" borderId="0"/>
    <xf numFmtId="169" fontId="2" fillId="0" borderId="0"/>
    <xf numFmtId="165" fontId="2" fillId="0" borderId="0"/>
    <xf numFmtId="172" fontId="20" fillId="0" borderId="0"/>
    <xf numFmtId="170" fontId="2" fillId="0" borderId="0"/>
    <xf numFmtId="0" fontId="13" fillId="0" borderId="0"/>
    <xf numFmtId="0" fontId="13" fillId="0" borderId="0"/>
    <xf numFmtId="170" fontId="2" fillId="0" borderId="0"/>
    <xf numFmtId="0" fontId="13" fillId="0" borderId="0"/>
    <xf numFmtId="0" fontId="13" fillId="0" borderId="0"/>
    <xf numFmtId="170" fontId="2" fillId="0" borderId="0"/>
    <xf numFmtId="170" fontId="2" fillId="0" borderId="0"/>
    <xf numFmtId="171" fontId="2" fillId="0" borderId="0"/>
    <xf numFmtId="171" fontId="2" fillId="0" borderId="0"/>
    <xf numFmtId="165" fontId="2" fillId="0" borderId="0"/>
    <xf numFmtId="165" fontId="2" fillId="0" borderId="0"/>
    <xf numFmtId="40" fontId="13" fillId="0" borderId="0" applyFont="0" applyFill="0" applyBorder="0" applyAlignment="0" applyProtection="0"/>
    <xf numFmtId="170" fontId="2" fillId="0" borderId="0"/>
    <xf numFmtId="171" fontId="2" fillId="0" borderId="0"/>
    <xf numFmtId="171" fontId="2" fillId="0" borderId="0"/>
    <xf numFmtId="165" fontId="2" fillId="0" borderId="0"/>
  </cellStyleXfs>
  <cellXfs count="62">
    <xf numFmtId="0" fontId="0" fillId="0" borderId="0" xfId="0"/>
    <xf numFmtId="165" fontId="3" fillId="2" borderId="0" xfId="0" applyNumberFormat="1" applyFont="1" applyFill="1" applyAlignment="1" applyProtection="1">
      <alignment horizontal="left" vertical="center" indent="1"/>
    </xf>
    <xf numFmtId="165" fontId="4" fillId="2" borderId="0" xfId="0" applyNumberFormat="1" applyFont="1" applyFill="1" applyAlignment="1" applyProtection="1">
      <alignment horizontal="left" vertical="center" indent="1"/>
    </xf>
    <xf numFmtId="165" fontId="4" fillId="2" borderId="1" xfId="0" applyNumberFormat="1" applyFont="1" applyFill="1" applyBorder="1" applyAlignment="1" applyProtection="1">
      <alignment horizontal="left" vertical="center" indent="1"/>
    </xf>
    <xf numFmtId="165" fontId="12" fillId="2" borderId="0" xfId="0" applyNumberFormat="1" applyFont="1" applyFill="1" applyBorder="1" applyAlignment="1">
      <alignment horizontal="right" vertical="center"/>
    </xf>
    <xf numFmtId="165" fontId="15" fillId="2" borderId="0" xfId="0" applyNumberFormat="1" applyFont="1" applyFill="1" applyAlignment="1">
      <alignment horizontal="left" vertical="center"/>
    </xf>
    <xf numFmtId="0" fontId="0" fillId="2" borderId="0" xfId="0" applyFont="1" applyFill="1" applyBorder="1"/>
    <xf numFmtId="3" fontId="7" fillId="2" borderId="0" xfId="0" applyNumberFormat="1" applyFont="1" applyFill="1" applyBorder="1" applyAlignment="1">
      <alignment horizontal="right" vertical="center"/>
    </xf>
    <xf numFmtId="168" fontId="0" fillId="2" borderId="0" xfId="0" applyNumberFormat="1" applyFont="1" applyFill="1" applyBorder="1" applyAlignment="1">
      <alignment horizontal="right" vertical="center"/>
    </xf>
    <xf numFmtId="0" fontId="14" fillId="2" borderId="0" xfId="0" applyFont="1" applyFill="1" applyBorder="1"/>
    <xf numFmtId="0" fontId="9" fillId="2" borderId="0" xfId="0" applyFont="1" applyFill="1" applyBorder="1" applyAlignment="1">
      <alignment horizontal="left" vertical="center"/>
    </xf>
    <xf numFmtId="3" fontId="6" fillId="2" borderId="0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right"/>
    </xf>
    <xf numFmtId="0" fontId="6" fillId="2" borderId="10" xfId="0" applyFont="1" applyFill="1" applyBorder="1" applyAlignment="1">
      <alignment horizontal="center"/>
    </xf>
    <xf numFmtId="3" fontId="6" fillId="2" borderId="4" xfId="0" applyNumberFormat="1" applyFont="1" applyFill="1" applyBorder="1" applyAlignment="1">
      <alignment horizontal="right" vertical="center"/>
    </xf>
    <xf numFmtId="3" fontId="7" fillId="2" borderId="4" xfId="0" applyNumberFormat="1" applyFont="1" applyFill="1" applyBorder="1" applyAlignment="1">
      <alignment horizontal="right" vertical="center"/>
    </xf>
    <xf numFmtId="3" fontId="18" fillId="2" borderId="4" xfId="0" applyNumberFormat="1" applyFont="1" applyFill="1" applyBorder="1" applyAlignment="1">
      <alignment horizontal="right" vertical="center"/>
    </xf>
    <xf numFmtId="3" fontId="7" fillId="2" borderId="11" xfId="0" applyNumberFormat="1" applyFont="1" applyFill="1" applyBorder="1" applyAlignment="1">
      <alignment horizontal="right" vertical="center"/>
    </xf>
    <xf numFmtId="3" fontId="7" fillId="2" borderId="10" xfId="0" applyNumberFormat="1" applyFont="1" applyFill="1" applyBorder="1" applyAlignment="1">
      <alignment horizontal="right" vertical="center"/>
    </xf>
    <xf numFmtId="0" fontId="6" fillId="2" borderId="10" xfId="0" applyFont="1" applyFill="1" applyBorder="1" applyAlignment="1">
      <alignment vertical="center"/>
    </xf>
    <xf numFmtId="3" fontId="6" fillId="2" borderId="10" xfId="0" applyNumberFormat="1" applyFont="1" applyFill="1" applyBorder="1" applyAlignment="1">
      <alignment horizontal="right" vertical="center"/>
    </xf>
    <xf numFmtId="0" fontId="8" fillId="2" borderId="8" xfId="0" applyFont="1" applyFill="1" applyBorder="1"/>
    <xf numFmtId="0" fontId="10" fillId="2" borderId="0" xfId="0" applyFont="1" applyFill="1" applyBorder="1" applyAlignment="1">
      <alignment horizontal="left" vertical="center"/>
    </xf>
    <xf numFmtId="0" fontId="10" fillId="2" borderId="1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right" vertical="center"/>
    </xf>
    <xf numFmtId="1" fontId="6" fillId="2" borderId="14" xfId="0" applyNumberFormat="1" applyFont="1" applyFill="1" applyBorder="1" applyAlignment="1">
      <alignment horizontal="right" vertical="center"/>
    </xf>
    <xf numFmtId="0" fontId="6" fillId="2" borderId="14" xfId="0" applyFont="1" applyFill="1" applyBorder="1" applyAlignment="1">
      <alignment horizontal="right" vertical="center"/>
    </xf>
    <xf numFmtId="1" fontId="18" fillId="2" borderId="14" xfId="0" applyNumberFormat="1" applyFont="1" applyFill="1" applyBorder="1" applyAlignment="1">
      <alignment horizontal="right" vertical="center"/>
    </xf>
    <xf numFmtId="168" fontId="8" fillId="2" borderId="0" xfId="0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right" vertical="center"/>
    </xf>
    <xf numFmtId="3" fontId="6" fillId="2" borderId="3" xfId="0" applyNumberFormat="1" applyFont="1" applyFill="1" applyBorder="1" applyAlignment="1">
      <alignment horizontal="right" vertical="center"/>
    </xf>
    <xf numFmtId="3" fontId="18" fillId="2" borderId="3" xfId="0" applyNumberFormat="1" applyFont="1" applyFill="1" applyBorder="1" applyAlignment="1">
      <alignment horizontal="right" vertical="center"/>
    </xf>
    <xf numFmtId="165" fontId="11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left"/>
    </xf>
    <xf numFmtId="0" fontId="0" fillId="2" borderId="0" xfId="0" applyFont="1" applyFill="1" applyBorder="1" applyAlignment="1">
      <alignment horizontal="right"/>
    </xf>
    <xf numFmtId="1" fontId="0" fillId="2" borderId="0" xfId="0" applyNumberFormat="1" applyFont="1" applyFill="1" applyBorder="1" applyAlignment="1">
      <alignment horizontal="right" vertical="center"/>
    </xf>
    <xf numFmtId="1" fontId="6" fillId="2" borderId="9" xfId="0" applyNumberFormat="1" applyFont="1" applyFill="1" applyBorder="1" applyAlignment="1">
      <alignment horizontal="right" vertical="center"/>
    </xf>
    <xf numFmtId="0" fontId="6" fillId="2" borderId="8" xfId="0" applyFont="1" applyFill="1" applyBorder="1" applyAlignment="1">
      <alignment horizontal="right" vertical="center"/>
    </xf>
    <xf numFmtId="3" fontId="7" fillId="2" borderId="3" xfId="0" applyNumberFormat="1" applyFont="1" applyFill="1" applyBorder="1" applyAlignment="1">
      <alignment horizontal="right" vertical="center"/>
    </xf>
    <xf numFmtId="3" fontId="7" fillId="2" borderId="13" xfId="0" applyNumberFormat="1" applyFont="1" applyFill="1" applyBorder="1" applyAlignment="1">
      <alignment horizontal="right" vertical="center"/>
    </xf>
    <xf numFmtId="167" fontId="6" fillId="2" borderId="9" xfId="0" applyNumberFormat="1" applyFont="1" applyFill="1" applyBorder="1" applyAlignment="1">
      <alignment horizontal="right" vertical="center"/>
    </xf>
    <xf numFmtId="168" fontId="0" fillId="2" borderId="10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/>
    </xf>
    <xf numFmtId="0" fontId="18" fillId="2" borderId="0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6" fillId="2" borderId="6" xfId="0" applyNumberFormat="1" applyFont="1" applyFill="1" applyBorder="1" applyAlignment="1">
      <alignment horizontal="center" vertical="center"/>
    </xf>
    <xf numFmtId="1" fontId="6" fillId="2" borderId="5" xfId="0" applyNumberFormat="1" applyFont="1" applyFill="1" applyBorder="1" applyAlignment="1">
      <alignment horizontal="center" vertical="center"/>
    </xf>
    <xf numFmtId="1" fontId="9" fillId="2" borderId="12" xfId="0" applyNumberFormat="1" applyFont="1" applyFill="1" applyBorder="1" applyAlignment="1">
      <alignment horizontal="left" vertical="center" wrapText="1"/>
    </xf>
    <xf numFmtId="1" fontId="9" fillId="2" borderId="10" xfId="0" applyNumberFormat="1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0" fillId="2" borderId="10" xfId="0" applyFont="1" applyFill="1" applyBorder="1"/>
    <xf numFmtId="0" fontId="0" fillId="2" borderId="12" xfId="0" applyFont="1" applyFill="1" applyBorder="1"/>
  </cellXfs>
  <cellStyles count="161">
    <cellStyle name="1" xfId="138"/>
    <cellStyle name="Comma 2" xfId="5"/>
    <cellStyle name="Comma 3" xfId="8"/>
    <cellStyle name="Comma 3 2" xfId="156"/>
    <cellStyle name="Normal" xfId="0" builtinId="0"/>
    <cellStyle name="Normal - Style1" xfId="143"/>
    <cellStyle name="Normal 10" xfId="18"/>
    <cellStyle name="Normal 10 2" xfId="32"/>
    <cellStyle name="Normal 105 2" xfId="124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26" xfId="144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26" xfId="142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3 5" xfId="145"/>
    <cellStyle name="Normal 2 4" xfId="97"/>
    <cellStyle name="Normal 2 4 2" xfId="146"/>
    <cellStyle name="Normal 2 5" xfId="98"/>
    <cellStyle name="Normal 2 5 2" xfId="157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4" xfId="131"/>
    <cellStyle name="Normal 25" xfId="13"/>
    <cellStyle name="Normal 25 2" xfId="125"/>
    <cellStyle name="Normal 26" xfId="118"/>
    <cellStyle name="Normal 26 2" xfId="135"/>
    <cellStyle name="Normal 27" xfId="116"/>
    <cellStyle name="Normal 27 2" xfId="134"/>
    <cellStyle name="Normal 28" xfId="119"/>
    <cellStyle name="Normal 28 2" xfId="128"/>
    <cellStyle name="Normal 29" xfId="126"/>
    <cellStyle name="Normal 3" xfId="7"/>
    <cellStyle name="Normal 3 11" xfId="122"/>
    <cellStyle name="Normal 3 12" xfId="120"/>
    <cellStyle name="Normal 3 13" xfId="121"/>
    <cellStyle name="Normal 3 14" xfId="123"/>
    <cellStyle name="Normal 3 2" xfId="108"/>
    <cellStyle name="Normal 3 2 2" xfId="148"/>
    <cellStyle name="Normal 3 3" xfId="109"/>
    <cellStyle name="Normal 3 3 2" xfId="149"/>
    <cellStyle name="Normal 3 4" xfId="147"/>
    <cellStyle name="Normal 30" xfId="133"/>
    <cellStyle name="Normal 31" xfId="130"/>
    <cellStyle name="Normal 32" xfId="127"/>
    <cellStyle name="Normal 33" xfId="137"/>
    <cellStyle name="Normal 34" xfId="129"/>
    <cellStyle name="Normal 35" xfId="136"/>
    <cellStyle name="Normal 4" xfId="14"/>
    <cellStyle name="Normal 4 2" xfId="110"/>
    <cellStyle name="Normal 4 3" xfId="117"/>
    <cellStyle name="Normal 4 3 2" xfId="150"/>
    <cellStyle name="Normal 5" xfId="21"/>
    <cellStyle name="Normal 5 2" xfId="111"/>
    <cellStyle name="Normal 5 3" xfId="151"/>
    <cellStyle name="Normal 6" xfId="2"/>
    <cellStyle name="Normal 6 2" xfId="132"/>
    <cellStyle name="Normal 6 2 2" xfId="152"/>
    <cellStyle name="Normal 6 3" xfId="115"/>
    <cellStyle name="Normal 6 3 2" xfId="158"/>
    <cellStyle name="Normal 6 4" xfId="140"/>
    <cellStyle name="Normal 7" xfId="1"/>
    <cellStyle name="Normal 7 2" xfId="112"/>
    <cellStyle name="Normal 7 2 2" xfId="153"/>
    <cellStyle name="Normal 7 3" xfId="15"/>
    <cellStyle name="Normal 7 3 2" xfId="159"/>
    <cellStyle name="Normal 7 4" xfId="139"/>
    <cellStyle name="Normal 8" xfId="4"/>
    <cellStyle name="Normal 8 2" xfId="6"/>
    <cellStyle name="Normal 8 2 2" xfId="113"/>
    <cellStyle name="Normal 8 2 3" xfId="154"/>
    <cellStyle name="Normal 8 3" xfId="16"/>
    <cellStyle name="Normal 8 3 2" xfId="160"/>
    <cellStyle name="Normal 8 4" xfId="141"/>
    <cellStyle name="Normal 9" xfId="17"/>
    <cellStyle name="Normal 9 2" xfId="114"/>
    <cellStyle name="Normal 9 3" xfId="155"/>
    <cellStyle name="Percent 2" xfId="9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39318619667442E-2"/>
          <c:y val="0.13950893782674986"/>
          <c:w val="0.93987566975476233"/>
          <c:h val="0.76241960457713398"/>
        </c:manualLayout>
      </c:layout>
      <c:lineChart>
        <c:grouping val="standard"/>
        <c:varyColors val="0"/>
        <c:ser>
          <c:idx val="0"/>
          <c:order val="0"/>
          <c:tx>
            <c:strRef>
              <c:f>'7.13'!$BE$19</c:f>
              <c:strCache>
                <c:ptCount val="1"/>
                <c:pt idx="0">
                  <c:v>Male'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</c:spPr>
          </c:marker>
          <c:cat>
            <c:strRef>
              <c:f>'7.13'!$BF$18:$BT$18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'7.13'!$BF$19:$BT$19</c:f>
              <c:numCache>
                <c:formatCode>0</c:formatCode>
                <c:ptCount val="15"/>
                <c:pt idx="0">
                  <c:v>101.61166538756716</c:v>
                </c:pt>
                <c:pt idx="1">
                  <c:v>101.11358574610246</c:v>
                </c:pt>
                <c:pt idx="2">
                  <c:v>113.44129554655871</c:v>
                </c:pt>
                <c:pt idx="3">
                  <c:v>108.59766277128548</c:v>
                </c:pt>
                <c:pt idx="4">
                  <c:v>96.462264150943398</c:v>
                </c:pt>
                <c:pt idx="5">
                  <c:v>105.68086883876357</c:v>
                </c:pt>
                <c:pt idx="6">
                  <c:v>105.85058505850584</c:v>
                </c:pt>
                <c:pt idx="7">
                  <c:v>100.29585798816566</c:v>
                </c:pt>
                <c:pt idx="8">
                  <c:v>108.27740492170021</c:v>
                </c:pt>
                <c:pt idx="9">
                  <c:v>103.98179749715585</c:v>
                </c:pt>
                <c:pt idx="10">
                  <c:v>96.916299559471369</c:v>
                </c:pt>
                <c:pt idx="11">
                  <c:v>102.48587570621469</c:v>
                </c:pt>
                <c:pt idx="12">
                  <c:v>98.754246885617221</c:v>
                </c:pt>
                <c:pt idx="13">
                  <c:v>91.705069124423972</c:v>
                </c:pt>
                <c:pt idx="14">
                  <c:v>75.947521865889215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66-40A7-B806-392384E4482B}"/>
            </c:ext>
          </c:extLst>
        </c:ser>
        <c:ser>
          <c:idx val="1"/>
          <c:order val="1"/>
          <c:tx>
            <c:strRef>
              <c:f>'7.13'!$BE$20</c:f>
              <c:strCache>
                <c:ptCount val="1"/>
                <c:pt idx="0">
                  <c:v>Atolls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1-8566-40A7-B806-392384E4482B}"/>
              </c:ext>
            </c:extLst>
          </c:dPt>
          <c:cat>
            <c:strRef>
              <c:f>'7.13'!$BF$18:$BT$18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'7.13'!$BF$20:$BT$20</c:f>
              <c:numCache>
                <c:formatCode>0</c:formatCode>
                <c:ptCount val="15"/>
                <c:pt idx="0">
                  <c:v>105.83657587548639</c:v>
                </c:pt>
                <c:pt idx="1">
                  <c:v>110.6000876040298</c:v>
                </c:pt>
                <c:pt idx="2">
                  <c:v>110.25</c:v>
                </c:pt>
                <c:pt idx="3">
                  <c:v>106.5040650406504</c:v>
                </c:pt>
                <c:pt idx="4">
                  <c:v>103.22310590205106</c:v>
                </c:pt>
                <c:pt idx="5">
                  <c:v>105.58487247141602</c:v>
                </c:pt>
                <c:pt idx="6">
                  <c:v>107.99054373522459</c:v>
                </c:pt>
                <c:pt idx="7">
                  <c:v>104.48150078165712</c:v>
                </c:pt>
                <c:pt idx="8">
                  <c:v>97.729729729729726</c:v>
                </c:pt>
                <c:pt idx="9">
                  <c:v>113.95908543922984</c:v>
                </c:pt>
                <c:pt idx="10">
                  <c:v>116.34893125361063</c:v>
                </c:pt>
                <c:pt idx="11">
                  <c:v>112.25517627308339</c:v>
                </c:pt>
                <c:pt idx="12">
                  <c:v>108.8235294117647</c:v>
                </c:pt>
                <c:pt idx="13">
                  <c:v>74.518201284796575</c:v>
                </c:pt>
                <c:pt idx="14">
                  <c:v>66.54611211573237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66-40A7-B806-392384E44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659776"/>
        <c:axId val="163661312"/>
      </c:lineChart>
      <c:catAx>
        <c:axId val="16365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61312"/>
        <c:crosses val="autoZero"/>
        <c:auto val="1"/>
        <c:lblAlgn val="ctr"/>
        <c:lblOffset val="100"/>
        <c:noMultiLvlLbl val="0"/>
      </c:catAx>
      <c:valAx>
        <c:axId val="16366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59776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531190239679991"/>
          <c:y val="0.48887226283195723"/>
          <c:w val="0.21872229456749498"/>
          <c:h val="6.34734376721489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327062038464606E-2"/>
          <c:y val="0.17800131570079555"/>
          <c:w val="0.93996728945531571"/>
          <c:h val="0.71305138211207553"/>
        </c:manualLayout>
      </c:layout>
      <c:lineChart>
        <c:grouping val="standard"/>
        <c:varyColors val="0"/>
        <c:ser>
          <c:idx val="0"/>
          <c:order val="0"/>
          <c:tx>
            <c:strRef>
              <c:f>'7.13'!$BE$15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'7.13'!$BF$14:$BT$14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'7.13'!$BF$15:$BT$15</c:f>
              <c:numCache>
                <c:formatCode>0</c:formatCode>
                <c:ptCount val="15"/>
                <c:pt idx="0">
                  <c:v>103.90158172231988</c:v>
                </c:pt>
                <c:pt idx="1">
                  <c:v>107.07988980716254</c:v>
                </c:pt>
                <c:pt idx="2">
                  <c:v>111.33425034387896</c:v>
                </c:pt>
                <c:pt idx="3">
                  <c:v>107.2135785007072</c:v>
                </c:pt>
                <c:pt idx="4">
                  <c:v>100.87407812073204</c:v>
                </c:pt>
                <c:pt idx="5">
                  <c:v>105.61797752808988</c:v>
                </c:pt>
                <c:pt idx="6">
                  <c:v>107.25356478611283</c:v>
                </c:pt>
                <c:pt idx="7">
                  <c:v>103.0344357313331</c:v>
                </c:pt>
                <c:pt idx="8">
                  <c:v>101.16618075801749</c:v>
                </c:pt>
                <c:pt idx="9">
                  <c:v>110.50767414403776</c:v>
                </c:pt>
                <c:pt idx="10">
                  <c:v>109.66275104206137</c:v>
                </c:pt>
                <c:pt idx="11">
                  <c:v>109.0194610778443</c:v>
                </c:pt>
                <c:pt idx="12">
                  <c:v>105.59389756629132</c:v>
                </c:pt>
                <c:pt idx="13">
                  <c:v>84.525939177101975</c:v>
                </c:pt>
                <c:pt idx="14">
                  <c:v>71.751412429378533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DF-4B92-B266-DA8037D7D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697408"/>
        <c:axId val="163699328"/>
      </c:lineChart>
      <c:catAx>
        <c:axId val="16369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99328"/>
        <c:crosses val="autoZero"/>
        <c:auto val="1"/>
        <c:lblAlgn val="ctr"/>
        <c:lblOffset val="100"/>
        <c:noMultiLvlLbl val="0"/>
      </c:catAx>
      <c:valAx>
        <c:axId val="16369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97408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10730473219028E-2"/>
          <c:y val="0.14065624631408272"/>
          <c:w val="0.94027177875454249"/>
          <c:h val="0.74693294355302275"/>
        </c:manualLayout>
      </c:layout>
      <c:lineChart>
        <c:grouping val="standard"/>
        <c:varyColors val="0"/>
        <c:ser>
          <c:idx val="0"/>
          <c:order val="0"/>
          <c:tx>
            <c:strRef>
              <c:f>'7.13'!$BE$19</c:f>
              <c:strCache>
                <c:ptCount val="1"/>
                <c:pt idx="0">
                  <c:v>Male'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tx2">
                    <a:lumMod val="50000"/>
                  </a:schemeClr>
                </a:solidFill>
              </a:ln>
              <a:effectLst/>
            </c:spPr>
          </c:marker>
          <c:cat>
            <c:strRef>
              <c:f>'7.13'!$BF$18:$BT$18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'7.13'!$BF$19:$BT$19</c:f>
              <c:numCache>
                <c:formatCode>0</c:formatCode>
                <c:ptCount val="15"/>
                <c:pt idx="0">
                  <c:v>101.61166538756716</c:v>
                </c:pt>
                <c:pt idx="1">
                  <c:v>101.11358574610246</c:v>
                </c:pt>
                <c:pt idx="2">
                  <c:v>113.44129554655871</c:v>
                </c:pt>
                <c:pt idx="3">
                  <c:v>108.59766277128548</c:v>
                </c:pt>
                <c:pt idx="4">
                  <c:v>96.462264150943398</c:v>
                </c:pt>
                <c:pt idx="5">
                  <c:v>105.68086883876357</c:v>
                </c:pt>
                <c:pt idx="6">
                  <c:v>105.85058505850584</c:v>
                </c:pt>
                <c:pt idx="7">
                  <c:v>100.29585798816566</c:v>
                </c:pt>
                <c:pt idx="8">
                  <c:v>108.27740492170021</c:v>
                </c:pt>
                <c:pt idx="9">
                  <c:v>103.98179749715585</c:v>
                </c:pt>
                <c:pt idx="10">
                  <c:v>96.916299559471369</c:v>
                </c:pt>
                <c:pt idx="11">
                  <c:v>102.48587570621469</c:v>
                </c:pt>
                <c:pt idx="12">
                  <c:v>98.754246885617221</c:v>
                </c:pt>
                <c:pt idx="13">
                  <c:v>91.705069124423972</c:v>
                </c:pt>
                <c:pt idx="14">
                  <c:v>75.947521865889215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DA-4C14-B50D-FF188C6BC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27232"/>
        <c:axId val="163733504"/>
      </c:lineChart>
      <c:catAx>
        <c:axId val="16372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33504"/>
        <c:crosses val="autoZero"/>
        <c:auto val="1"/>
        <c:lblAlgn val="ctr"/>
        <c:lblOffset val="100"/>
        <c:noMultiLvlLbl val="0"/>
      </c:catAx>
      <c:valAx>
        <c:axId val="1637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27232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353361967547681E-2"/>
          <c:y val="0.14039761983676019"/>
          <c:w val="0.93993084904242574"/>
          <c:h val="0.73225697035883663"/>
        </c:manualLayout>
      </c:layout>
      <c:lineChart>
        <c:grouping val="standard"/>
        <c:varyColors val="0"/>
        <c:ser>
          <c:idx val="1"/>
          <c:order val="0"/>
          <c:tx>
            <c:strRef>
              <c:f>'7.13'!$BE$20</c:f>
              <c:strCache>
                <c:ptCount val="1"/>
                <c:pt idx="0">
                  <c:v>Atolls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'7.13'!$BF$18:$BT$18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'7.13'!$BF$20:$BT$20</c:f>
              <c:numCache>
                <c:formatCode>0</c:formatCode>
                <c:ptCount val="15"/>
                <c:pt idx="0">
                  <c:v>105.83657587548639</c:v>
                </c:pt>
                <c:pt idx="1">
                  <c:v>110.6000876040298</c:v>
                </c:pt>
                <c:pt idx="2">
                  <c:v>110.25</c:v>
                </c:pt>
                <c:pt idx="3">
                  <c:v>106.5040650406504</c:v>
                </c:pt>
                <c:pt idx="4">
                  <c:v>103.22310590205106</c:v>
                </c:pt>
                <c:pt idx="5">
                  <c:v>105.58487247141602</c:v>
                </c:pt>
                <c:pt idx="6">
                  <c:v>107.99054373522459</c:v>
                </c:pt>
                <c:pt idx="7">
                  <c:v>104.48150078165712</c:v>
                </c:pt>
                <c:pt idx="8">
                  <c:v>97.729729729729726</c:v>
                </c:pt>
                <c:pt idx="9">
                  <c:v>113.95908543922984</c:v>
                </c:pt>
                <c:pt idx="10">
                  <c:v>116.34893125361063</c:v>
                </c:pt>
                <c:pt idx="11">
                  <c:v>112.25517627308339</c:v>
                </c:pt>
                <c:pt idx="12">
                  <c:v>108.8235294117647</c:v>
                </c:pt>
                <c:pt idx="13">
                  <c:v>74.518201284796575</c:v>
                </c:pt>
                <c:pt idx="14">
                  <c:v>66.54611211573237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F4-42EF-BD9E-3194E9C80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40672"/>
        <c:axId val="163759232"/>
      </c:lineChart>
      <c:catAx>
        <c:axId val="16374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59232"/>
        <c:crosses val="autoZero"/>
        <c:auto val="1"/>
        <c:lblAlgn val="ctr"/>
        <c:lblOffset val="100"/>
        <c:noMultiLvlLbl val="0"/>
      </c:catAx>
      <c:valAx>
        <c:axId val="16375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40672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959081263813853E-2"/>
          <c:y val="0.15444255935078957"/>
          <c:w val="0.94328922653947689"/>
          <c:h val="0.747668679630310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'7.13'!$CB$24:$CB$43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'7.13'!$AL$9:$AL$28</c:f>
              <c:numCache>
                <c:formatCode>0.0</c:formatCode>
                <c:ptCount val="20"/>
                <c:pt idx="0">
                  <c:v>4.3098341232227488</c:v>
                </c:pt>
                <c:pt idx="1">
                  <c:v>6.4322821728034993</c:v>
                </c:pt>
                <c:pt idx="2">
                  <c:v>4.2129967189208894</c:v>
                </c:pt>
                <c:pt idx="3">
                  <c:v>3.3915876777251186</c:v>
                </c:pt>
                <c:pt idx="4">
                  <c:v>5.3431461903025879</c:v>
                </c:pt>
                <c:pt idx="5">
                  <c:v>2.926768137076194</c:v>
                </c:pt>
                <c:pt idx="6">
                  <c:v>2.320679912504557</c:v>
                </c:pt>
                <c:pt idx="7">
                  <c:v>3.1717098067808966</c:v>
                </c:pt>
                <c:pt idx="8">
                  <c:v>2.0176358002187387</c:v>
                </c:pt>
                <c:pt idx="9">
                  <c:v>2.5337222019686476</c:v>
                </c:pt>
                <c:pt idx="10">
                  <c:v>0.38962814436748083</c:v>
                </c:pt>
                <c:pt idx="11">
                  <c:v>1.4001549398468829</c:v>
                </c:pt>
                <c:pt idx="12">
                  <c:v>1.6200328107911044</c:v>
                </c:pt>
                <c:pt idx="13">
                  <c:v>1.9675082026977759</c:v>
                </c:pt>
                <c:pt idx="14">
                  <c:v>2.9404393000364561</c:v>
                </c:pt>
                <c:pt idx="15">
                  <c:v>4.0979310973386802</c:v>
                </c:pt>
                <c:pt idx="16">
                  <c:v>2.4357455340867662</c:v>
                </c:pt>
                <c:pt idx="17">
                  <c:v>3.5328563616478306</c:v>
                </c:pt>
                <c:pt idx="18">
                  <c:v>2.8025884068538098</c:v>
                </c:pt>
                <c:pt idx="19">
                  <c:v>6.2807601166605904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E-4A75-9F19-BFAAC787C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163464320"/>
        <c:axId val="163465856"/>
      </c:barChart>
      <c:catAx>
        <c:axId val="16346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65856"/>
        <c:crosses val="autoZero"/>
        <c:auto val="1"/>
        <c:lblAlgn val="ctr"/>
        <c:lblOffset val="100"/>
        <c:noMultiLvlLbl val="0"/>
      </c:catAx>
      <c:valAx>
        <c:axId val="16346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64320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4089931717220767"/>
          <c:y val="0.1435881414833857"/>
          <c:w val="0.33330107306605744"/>
          <c:h val="0.83408163143863656"/>
        </c:manualLayout>
      </c:layout>
      <c:doughnutChart>
        <c:varyColors val="1"/>
        <c:ser>
          <c:idx val="0"/>
          <c:order val="0"/>
          <c:spPr>
            <a:solidFill>
              <a:srgbClr val="F79747"/>
            </a:solidFill>
          </c:spPr>
          <c:explosion val="5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7A-4502-97EB-CA47602D32A9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7A-4502-97EB-CA47602D32A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007A-4502-97EB-CA47602D32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'7.13'!$B$7:$B$8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'7.13'!$AL$7:$AL$8</c:f>
              <c:numCache>
                <c:formatCode>0.0</c:formatCode>
                <c:ptCount val="2"/>
                <c:pt idx="0">
                  <c:v>35.871992344148737</c:v>
                </c:pt>
                <c:pt idx="1">
                  <c:v>64.128007655851263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7A-4502-97EB-CA47602D32A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361931</xdr:colOff>
      <xdr:row>29</xdr:row>
      <xdr:rowOff>155306</xdr:rowOff>
    </xdr:from>
    <xdr:to>
      <xdr:col>37</xdr:col>
      <xdr:colOff>470898</xdr:colOff>
      <xdr:row>47</xdr:row>
      <xdr:rowOff>64214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282661</xdr:colOff>
      <xdr:row>48</xdr:row>
      <xdr:rowOff>186205</xdr:rowOff>
    </xdr:from>
    <xdr:to>
      <xdr:col>18</xdr:col>
      <xdr:colOff>149832</xdr:colOff>
      <xdr:row>66</xdr:row>
      <xdr:rowOff>64213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338664</xdr:colOff>
      <xdr:row>49</xdr:row>
      <xdr:rowOff>908</xdr:rowOff>
    </xdr:from>
    <xdr:to>
      <xdr:col>37</xdr:col>
      <xdr:colOff>503005</xdr:colOff>
      <xdr:row>66</xdr:row>
      <xdr:rowOff>74915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279344</xdr:colOff>
      <xdr:row>68</xdr:row>
      <xdr:rowOff>26846</xdr:rowOff>
    </xdr:from>
    <xdr:to>
      <xdr:col>18</xdr:col>
      <xdr:colOff>152400</xdr:colOff>
      <xdr:row>85</xdr:row>
      <xdr:rowOff>107022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265151</xdr:colOff>
      <xdr:row>29</xdr:row>
      <xdr:rowOff>160263</xdr:rowOff>
    </xdr:from>
    <xdr:to>
      <xdr:col>18</xdr:col>
      <xdr:colOff>149832</xdr:colOff>
      <xdr:row>47</xdr:row>
      <xdr:rowOff>64215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107941</xdr:colOff>
      <xdr:row>68</xdr:row>
      <xdr:rowOff>31653</xdr:rowOff>
    </xdr:from>
    <xdr:to>
      <xdr:col>37</xdr:col>
      <xdr:colOff>476250</xdr:colOff>
      <xdr:row>85</xdr:row>
      <xdr:rowOff>117725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438791</xdr:colOff>
      <xdr:row>30</xdr:row>
      <xdr:rowOff>64213</xdr:rowOff>
    </xdr:from>
    <xdr:to>
      <xdr:col>15</xdr:col>
      <xdr:colOff>139129</xdr:colOff>
      <xdr:row>32</xdr:row>
      <xdr:rowOff>42809</xdr:rowOff>
    </xdr:to>
    <xdr:sp macro="" textlink="">
      <xdr:nvSpPr>
        <xdr:cNvPr id="10" name="TextBox 9"/>
        <xdr:cNvSpPr txBox="1"/>
      </xdr:nvSpPr>
      <xdr:spPr>
        <a:xfrm>
          <a:off x="1530420" y="7138398"/>
          <a:ext cx="5779215" cy="363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latin typeface="Consolas" pitchFamily="49" charset="0"/>
              <a:cs typeface="Consolas" pitchFamily="49" charset="0"/>
            </a:rPr>
            <a:t>Figure 7.12: Percentage share of students enrolled by Atolls,</a:t>
          </a:r>
          <a:r>
            <a:rPr lang="en-US" sz="1200" b="1" baseline="0">
              <a:latin typeface="Consolas" pitchFamily="49" charset="0"/>
              <a:cs typeface="Consolas" pitchFamily="49" charset="0"/>
            </a:rPr>
            <a:t> 2017</a:t>
          </a:r>
          <a:endParaRPr lang="en-US" sz="120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20</xdr:col>
      <xdr:colOff>352426</xdr:colOff>
      <xdr:row>30</xdr:row>
      <xdr:rowOff>53512</xdr:rowOff>
    </xdr:from>
    <xdr:to>
      <xdr:col>36</xdr:col>
      <xdr:colOff>117727</xdr:colOff>
      <xdr:row>32</xdr:row>
      <xdr:rowOff>53512</xdr:rowOff>
    </xdr:to>
    <xdr:sp macro="" textlink="">
      <xdr:nvSpPr>
        <xdr:cNvPr id="11" name="TextBox 10"/>
        <xdr:cNvSpPr txBox="1"/>
      </xdr:nvSpPr>
      <xdr:spPr>
        <a:xfrm>
          <a:off x="9677401" y="7149637"/>
          <a:ext cx="6670926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7.13:</a:t>
          </a:r>
          <a:r>
            <a:rPr lang="en-US" sz="120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Sex ratio of student's entrollement by grade and locality, 2017</a:t>
          </a:r>
          <a:endParaRPr lang="en-US" sz="1200" b="1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  <xdr:twoCellAnchor>
    <xdr:from>
      <xdr:col>20</xdr:col>
      <xdr:colOff>353753</xdr:colOff>
      <xdr:row>49</xdr:row>
      <xdr:rowOff>44908</xdr:rowOff>
    </xdr:from>
    <xdr:to>
      <xdr:col>35</xdr:col>
      <xdr:colOff>353969</xdr:colOff>
      <xdr:row>50</xdr:row>
      <xdr:rowOff>180203</xdr:rowOff>
    </xdr:to>
    <xdr:sp macro="" textlink="">
      <xdr:nvSpPr>
        <xdr:cNvPr id="12" name="TextBox 11"/>
        <xdr:cNvSpPr txBox="1"/>
      </xdr:nvSpPr>
      <xdr:spPr>
        <a:xfrm>
          <a:off x="9711422" y="10747661"/>
          <a:ext cx="6468206" cy="3283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7.15:</a:t>
          </a:r>
          <a:r>
            <a:rPr lang="en-US" sz="120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Sex ratio of student's entrollement for Male' by grade, 2017</a:t>
          </a:r>
          <a:endParaRPr lang="en-US" sz="1200" b="1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  <xdr:twoCellAnchor>
    <xdr:from>
      <xdr:col>2</xdr:col>
      <xdr:colOff>460198</xdr:colOff>
      <xdr:row>31</xdr:row>
      <xdr:rowOff>139129</xdr:rowOff>
    </xdr:from>
    <xdr:to>
      <xdr:col>15</xdr:col>
      <xdr:colOff>42809</xdr:colOff>
      <xdr:row>31</xdr:row>
      <xdr:rowOff>139129</xdr:rowOff>
    </xdr:to>
    <xdr:sp macro="" textlink="">
      <xdr:nvSpPr>
        <xdr:cNvPr id="13" name="Line 4"/>
        <xdr:cNvSpPr>
          <a:spLocks noChangeShapeType="1"/>
        </xdr:cNvSpPr>
      </xdr:nvSpPr>
      <xdr:spPr bwMode="auto">
        <a:xfrm flipV="1">
          <a:off x="1551827" y="7405955"/>
          <a:ext cx="5661488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21</xdr:col>
      <xdr:colOff>10703</xdr:colOff>
      <xdr:row>31</xdr:row>
      <xdr:rowOff>109408</xdr:rowOff>
    </xdr:from>
    <xdr:to>
      <xdr:col>35</xdr:col>
      <xdr:colOff>386148</xdr:colOff>
      <xdr:row>31</xdr:row>
      <xdr:rowOff>117723</xdr:rowOff>
    </xdr:to>
    <xdr:sp macro="" textlink="">
      <xdr:nvSpPr>
        <xdr:cNvPr id="14" name="Line 4"/>
        <xdr:cNvSpPr>
          <a:spLocks noChangeShapeType="1"/>
        </xdr:cNvSpPr>
      </xdr:nvSpPr>
      <xdr:spPr bwMode="auto">
        <a:xfrm flipV="1">
          <a:off x="9799571" y="7336824"/>
          <a:ext cx="6412236" cy="8315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</xdr:col>
      <xdr:colOff>231689</xdr:colOff>
      <xdr:row>51</xdr:row>
      <xdr:rowOff>19305</xdr:rowOff>
    </xdr:from>
    <xdr:to>
      <xdr:col>16</xdr:col>
      <xdr:colOff>205946</xdr:colOff>
      <xdr:row>51</xdr:row>
      <xdr:rowOff>25742</xdr:rowOff>
    </xdr:to>
    <xdr:sp macro="" textlink="">
      <xdr:nvSpPr>
        <xdr:cNvPr id="15" name="Line 4"/>
        <xdr:cNvSpPr>
          <a:spLocks noChangeShapeType="1"/>
        </xdr:cNvSpPr>
      </xdr:nvSpPr>
      <xdr:spPr bwMode="auto">
        <a:xfrm>
          <a:off x="1325777" y="11108207"/>
          <a:ext cx="6513041" cy="6437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20</xdr:col>
      <xdr:colOff>386149</xdr:colOff>
      <xdr:row>50</xdr:row>
      <xdr:rowOff>96537</xdr:rowOff>
    </xdr:from>
    <xdr:to>
      <xdr:col>35</xdr:col>
      <xdr:colOff>122280</xdr:colOff>
      <xdr:row>50</xdr:row>
      <xdr:rowOff>109408</xdr:rowOff>
    </xdr:to>
    <xdr:sp macro="" textlink="">
      <xdr:nvSpPr>
        <xdr:cNvPr id="16" name="Line 4"/>
        <xdr:cNvSpPr>
          <a:spLocks noChangeShapeType="1"/>
        </xdr:cNvSpPr>
      </xdr:nvSpPr>
      <xdr:spPr bwMode="auto">
        <a:xfrm>
          <a:off x="9743818" y="10992365"/>
          <a:ext cx="6204121" cy="12871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</xdr:col>
      <xdr:colOff>257432</xdr:colOff>
      <xdr:row>69</xdr:row>
      <xdr:rowOff>167330</xdr:rowOff>
    </xdr:from>
    <xdr:to>
      <xdr:col>16</xdr:col>
      <xdr:colOff>6435</xdr:colOff>
      <xdr:row>69</xdr:row>
      <xdr:rowOff>167331</xdr:rowOff>
    </xdr:to>
    <xdr:sp macro="" textlink="">
      <xdr:nvSpPr>
        <xdr:cNvPr id="17" name="Line 4"/>
        <xdr:cNvSpPr>
          <a:spLocks noChangeShapeType="1"/>
        </xdr:cNvSpPr>
      </xdr:nvSpPr>
      <xdr:spPr bwMode="auto">
        <a:xfrm>
          <a:off x="1351520" y="14731570"/>
          <a:ext cx="6287787" cy="1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21</xdr:col>
      <xdr:colOff>236074</xdr:colOff>
      <xdr:row>70</xdr:row>
      <xdr:rowOff>62983</xdr:rowOff>
    </xdr:from>
    <xdr:to>
      <xdr:col>35</xdr:col>
      <xdr:colOff>395589</xdr:colOff>
      <xdr:row>70</xdr:row>
      <xdr:rowOff>62983</xdr:rowOff>
    </xdr:to>
    <xdr:sp macro="" textlink="">
      <xdr:nvSpPr>
        <xdr:cNvPr id="18" name="Line 4"/>
        <xdr:cNvSpPr>
          <a:spLocks noChangeShapeType="1"/>
        </xdr:cNvSpPr>
      </xdr:nvSpPr>
      <xdr:spPr bwMode="auto">
        <a:xfrm>
          <a:off x="9989674" y="14779108"/>
          <a:ext cx="6160265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0.10005</cdr:x>
      <cdr:y>0.04479</cdr:y>
    </cdr:from>
    <cdr:to>
      <cdr:x>0.91051</cdr:x>
      <cdr:y>0.12872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33906" y="148856"/>
          <a:ext cx="6755058" cy="2789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effectLst/>
              <a:latin typeface="Consolas" pitchFamily="49" charset="0"/>
              <a:ea typeface="+mn-ea"/>
              <a:cs typeface="Consolas" pitchFamily="49" charset="0"/>
            </a:rPr>
            <a:t>Figure 7.14:</a:t>
          </a:r>
          <a:r>
            <a:rPr lang="en-US" sz="1200" b="1" baseline="0">
              <a:effectLst/>
              <a:latin typeface="Consolas" pitchFamily="49" charset="0"/>
              <a:ea typeface="+mn-ea"/>
              <a:cs typeface="Consolas" pitchFamily="49" charset="0"/>
            </a:rPr>
            <a:t> Sex ratio of student's entrollement by  grade for Republic , 2017</a:t>
          </a:r>
          <a:endParaRPr lang="en-US" sz="12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0.12389</cdr:x>
      <cdr:y>0.02071</cdr:y>
    </cdr:from>
    <cdr:to>
      <cdr:x>0.94015</cdr:x>
      <cdr:y>0.12408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36993" y="69051"/>
          <a:ext cx="6832322" cy="3446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eaLnBrk="1" fontAlgn="auto" latinLnBrk="0" hangingPunct="1"/>
          <a:r>
            <a:rPr lang="en-US" sz="1200" b="1">
              <a:effectLst/>
              <a:latin typeface="Consolas" pitchFamily="49" charset="0"/>
              <a:ea typeface="+mn-ea"/>
              <a:cs typeface="Consolas" pitchFamily="49" charset="0"/>
            </a:rPr>
            <a:t>Figure 7.16:</a:t>
          </a:r>
          <a:r>
            <a:rPr lang="en-US" sz="1200" b="1" baseline="0">
              <a:effectLst/>
              <a:latin typeface="Consolas" pitchFamily="49" charset="0"/>
              <a:ea typeface="+mn-ea"/>
              <a:cs typeface="Consolas" pitchFamily="49" charset="0"/>
            </a:rPr>
            <a:t> Sex ratio of student's entrollement </a:t>
          </a:r>
          <a:r>
            <a:rPr lang="en-US" sz="1100" b="1" baseline="0">
              <a:effectLst/>
              <a:latin typeface="+mn-lt"/>
              <a:ea typeface="+mn-ea"/>
              <a:cs typeface="+mn-cs"/>
            </a:rPr>
            <a:t>by  grade </a:t>
          </a:r>
          <a:r>
            <a:rPr lang="en-US" sz="1200" b="1" baseline="0">
              <a:effectLst/>
              <a:latin typeface="Consolas" pitchFamily="49" charset="0"/>
              <a:ea typeface="+mn-ea"/>
              <a:cs typeface="Consolas" pitchFamily="49" charset="0"/>
            </a:rPr>
            <a:t>for Atolls, 2017</a:t>
          </a:r>
          <a:endParaRPr lang="en-US" sz="12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0.13022</cdr:x>
      <cdr:y>0.05206</cdr:y>
    </cdr:from>
    <cdr:to>
      <cdr:x>0.88511</cdr:x>
      <cdr:y>0.12793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95055" y="173064"/>
          <a:ext cx="6347964" cy="2522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Figure 7.17:</a:t>
          </a:r>
          <a:r>
            <a:rPr lang="en-US" sz="1100" b="1" baseline="0">
              <a:effectLst/>
              <a:latin typeface="Consolas" pitchFamily="49" charset="0"/>
              <a:ea typeface="+mn-ea"/>
              <a:cs typeface="Consolas" pitchFamily="49" charset="0"/>
            </a:rPr>
            <a:t> </a:t>
          </a:r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Percentage share of students enrolled in  Male'</a:t>
          </a:r>
          <a:r>
            <a:rPr lang="en-US" sz="1100" b="1" baseline="0">
              <a:effectLst/>
              <a:latin typeface="Consolas" pitchFamily="49" charset="0"/>
              <a:ea typeface="+mn-ea"/>
              <a:cs typeface="Consolas" pitchFamily="49" charset="0"/>
            </a:rPr>
            <a:t> and </a:t>
          </a:r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 Atolls,</a:t>
          </a:r>
          <a:r>
            <a:rPr lang="en-US" sz="1100" b="1" baseline="0">
              <a:effectLst/>
              <a:latin typeface="Consolas" pitchFamily="49" charset="0"/>
              <a:ea typeface="+mn-ea"/>
              <a:cs typeface="Consolas" pitchFamily="49" charset="0"/>
            </a:rPr>
            <a:t> 2017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K43"/>
  <sheetViews>
    <sheetView tabSelected="1" topLeftCell="A25" zoomScale="91" zoomScaleNormal="91" workbookViewId="0">
      <selection activeCell="A29" sqref="A29"/>
    </sheetView>
  </sheetViews>
  <sheetFormatPr defaultRowHeight="15" x14ac:dyDescent="0.25"/>
  <cols>
    <col min="1" max="1" width="9.140625" style="6"/>
    <col min="2" max="2" width="16.42578125" style="6" customWidth="1"/>
    <col min="3" max="5" width="9" style="6" customWidth="1"/>
    <col min="6" max="35" width="6.42578125" style="6" customWidth="1"/>
    <col min="36" max="37" width="7.140625" style="6" customWidth="1"/>
    <col min="38" max="16384" width="9.140625" style="6"/>
  </cols>
  <sheetData>
    <row r="1" spans="1:89" ht="18.75" x14ac:dyDescent="0.45">
      <c r="A1" s="5"/>
      <c r="B1" s="51" t="s">
        <v>68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</row>
    <row r="2" spans="1:89" ht="15.75" x14ac:dyDescent="0.25">
      <c r="B2" s="52" t="s">
        <v>69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</row>
    <row r="4" spans="1:89" ht="15" customHeight="1" x14ac:dyDescent="0.25">
      <c r="A4" s="61"/>
      <c r="B4" s="57" t="s">
        <v>31</v>
      </c>
      <c r="C4" s="46" t="s">
        <v>2</v>
      </c>
      <c r="D4" s="46"/>
      <c r="E4" s="47"/>
      <c r="F4" s="54" t="s">
        <v>32</v>
      </c>
      <c r="G4" s="59"/>
      <c r="H4" s="54" t="s">
        <v>27</v>
      </c>
      <c r="I4" s="53"/>
      <c r="J4" s="59" t="s">
        <v>28</v>
      </c>
      <c r="K4" s="59"/>
      <c r="L4" s="50" t="s">
        <v>33</v>
      </c>
      <c r="M4" s="50"/>
      <c r="N4" s="53" t="s">
        <v>34</v>
      </c>
      <c r="O4" s="54"/>
      <c r="P4" s="50" t="s">
        <v>35</v>
      </c>
      <c r="Q4" s="50"/>
      <c r="R4" s="53" t="s">
        <v>36</v>
      </c>
      <c r="S4" s="54"/>
      <c r="T4" s="50" t="s">
        <v>37</v>
      </c>
      <c r="U4" s="50"/>
      <c r="V4" s="53" t="s">
        <v>38</v>
      </c>
      <c r="W4" s="54"/>
      <c r="X4" s="50" t="s">
        <v>39</v>
      </c>
      <c r="Y4" s="50"/>
      <c r="Z4" s="53" t="s">
        <v>40</v>
      </c>
      <c r="AA4" s="54"/>
      <c r="AB4" s="50" t="s">
        <v>41</v>
      </c>
      <c r="AC4" s="50"/>
      <c r="AD4" s="53" t="s">
        <v>42</v>
      </c>
      <c r="AE4" s="54"/>
      <c r="AF4" s="50" t="s">
        <v>43</v>
      </c>
      <c r="AG4" s="50"/>
      <c r="AH4" s="53" t="s">
        <v>44</v>
      </c>
      <c r="AI4" s="54"/>
      <c r="AJ4" s="55" t="s">
        <v>29</v>
      </c>
      <c r="AK4" s="56"/>
      <c r="AL4" s="48" t="s">
        <v>65</v>
      </c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F4" s="6" t="s">
        <v>32</v>
      </c>
      <c r="BH4" s="6" t="s">
        <v>27</v>
      </c>
      <c r="BI4" s="36"/>
      <c r="BJ4" s="36" t="s">
        <v>28</v>
      </c>
      <c r="BK4" s="36"/>
      <c r="BL4" s="36" t="s">
        <v>33</v>
      </c>
      <c r="BM4" s="36"/>
      <c r="BN4" s="36" t="s">
        <v>34</v>
      </c>
      <c r="BO4" s="36"/>
      <c r="BP4" s="36" t="s">
        <v>35</v>
      </c>
      <c r="BQ4" s="36"/>
      <c r="BR4" s="36" t="s">
        <v>36</v>
      </c>
      <c r="BS4" s="36"/>
      <c r="BT4" s="36" t="s">
        <v>37</v>
      </c>
      <c r="BU4" s="36"/>
      <c r="BV4" s="36" t="s">
        <v>38</v>
      </c>
      <c r="BW4" s="36"/>
      <c r="BX4" s="36" t="s">
        <v>39</v>
      </c>
      <c r="BY4" s="36"/>
      <c r="BZ4" s="36" t="s">
        <v>40</v>
      </c>
      <c r="CA4" s="36"/>
      <c r="CB4" s="36" t="s">
        <v>41</v>
      </c>
      <c r="CC4" s="36"/>
      <c r="CD4" s="36" t="s">
        <v>42</v>
      </c>
      <c r="CE4" s="36"/>
      <c r="CF4" s="36" t="s">
        <v>43</v>
      </c>
      <c r="CG4" s="36"/>
      <c r="CH4" s="36" t="s">
        <v>44</v>
      </c>
      <c r="CI4" s="36"/>
      <c r="CJ4" s="6" t="s">
        <v>29</v>
      </c>
    </row>
    <row r="5" spans="1:89" ht="15.75" x14ac:dyDescent="0.25">
      <c r="A5" s="60"/>
      <c r="B5" s="58"/>
      <c r="C5" s="19" t="s">
        <v>66</v>
      </c>
      <c r="D5" s="13" t="s">
        <v>0</v>
      </c>
      <c r="E5" s="21" t="s">
        <v>1</v>
      </c>
      <c r="F5" s="26" t="s">
        <v>13</v>
      </c>
      <c r="G5" s="39" t="s">
        <v>14</v>
      </c>
      <c r="H5" s="26" t="s">
        <v>13</v>
      </c>
      <c r="I5" s="25" t="s">
        <v>14</v>
      </c>
      <c r="J5" s="40" t="s">
        <v>13</v>
      </c>
      <c r="K5" s="43" t="s">
        <v>14</v>
      </c>
      <c r="L5" s="26" t="s">
        <v>13</v>
      </c>
      <c r="M5" s="25" t="s">
        <v>14</v>
      </c>
      <c r="N5" s="40" t="s">
        <v>13</v>
      </c>
      <c r="O5" s="39" t="s">
        <v>14</v>
      </c>
      <c r="P5" s="26" t="s">
        <v>13</v>
      </c>
      <c r="Q5" s="25" t="s">
        <v>14</v>
      </c>
      <c r="R5" s="40" t="s">
        <v>13</v>
      </c>
      <c r="S5" s="39" t="s">
        <v>14</v>
      </c>
      <c r="T5" s="26" t="s">
        <v>13</v>
      </c>
      <c r="U5" s="25" t="s">
        <v>14</v>
      </c>
      <c r="V5" s="40" t="s">
        <v>13</v>
      </c>
      <c r="W5" s="39" t="s">
        <v>14</v>
      </c>
      <c r="X5" s="26" t="s">
        <v>13</v>
      </c>
      <c r="Y5" s="25" t="s">
        <v>14</v>
      </c>
      <c r="Z5" s="40" t="s">
        <v>13</v>
      </c>
      <c r="AA5" s="39" t="s">
        <v>14</v>
      </c>
      <c r="AB5" s="26" t="s">
        <v>13</v>
      </c>
      <c r="AC5" s="25" t="s">
        <v>14</v>
      </c>
      <c r="AD5" s="40" t="s">
        <v>13</v>
      </c>
      <c r="AE5" s="39" t="s">
        <v>14</v>
      </c>
      <c r="AF5" s="26" t="s">
        <v>13</v>
      </c>
      <c r="AG5" s="25" t="s">
        <v>14</v>
      </c>
      <c r="AH5" s="40" t="s">
        <v>13</v>
      </c>
      <c r="AI5" s="39" t="s">
        <v>14</v>
      </c>
      <c r="AJ5" s="27" t="s">
        <v>13</v>
      </c>
      <c r="AK5" s="27" t="s">
        <v>14</v>
      </c>
      <c r="AL5" s="49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F5" s="6" t="s">
        <v>13</v>
      </c>
      <c r="BG5" s="6" t="s">
        <v>14</v>
      </c>
      <c r="BH5" s="6" t="s">
        <v>13</v>
      </c>
      <c r="BI5" s="37" t="s">
        <v>14</v>
      </c>
      <c r="BJ5" s="37" t="s">
        <v>13</v>
      </c>
      <c r="BK5" s="37" t="s">
        <v>14</v>
      </c>
      <c r="BL5" s="37" t="s">
        <v>13</v>
      </c>
      <c r="BM5" s="37" t="s">
        <v>14</v>
      </c>
      <c r="BN5" s="37" t="s">
        <v>13</v>
      </c>
      <c r="BO5" s="37" t="s">
        <v>14</v>
      </c>
      <c r="BP5" s="37" t="s">
        <v>13</v>
      </c>
      <c r="BQ5" s="37" t="s">
        <v>14</v>
      </c>
      <c r="BR5" s="37" t="s">
        <v>13</v>
      </c>
      <c r="BS5" s="37" t="s">
        <v>14</v>
      </c>
      <c r="BT5" s="37" t="s">
        <v>13</v>
      </c>
      <c r="BU5" s="37" t="s">
        <v>14</v>
      </c>
      <c r="BV5" s="37" t="s">
        <v>13</v>
      </c>
      <c r="BW5" s="37" t="s">
        <v>14</v>
      </c>
      <c r="BX5" s="37" t="s">
        <v>13</v>
      </c>
      <c r="BY5" s="37" t="s">
        <v>14</v>
      </c>
      <c r="BZ5" s="37" t="s">
        <v>13</v>
      </c>
      <c r="CA5" s="37" t="s">
        <v>14</v>
      </c>
      <c r="CB5" s="37" t="s">
        <v>13</v>
      </c>
      <c r="CC5" s="37" t="s">
        <v>14</v>
      </c>
      <c r="CD5" s="37" t="s">
        <v>13</v>
      </c>
      <c r="CE5" s="37" t="s">
        <v>14</v>
      </c>
      <c r="CF5" s="37" t="s">
        <v>13</v>
      </c>
      <c r="CG5" s="37" t="s">
        <v>14</v>
      </c>
      <c r="CH5" s="37" t="s">
        <v>13</v>
      </c>
      <c r="CI5" s="37" t="s">
        <v>14</v>
      </c>
      <c r="CJ5" s="37" t="s">
        <v>13</v>
      </c>
      <c r="CK5" s="37" t="s">
        <v>14</v>
      </c>
    </row>
    <row r="6" spans="1:89" s="29" customFormat="1" ht="19.5" customHeight="1" x14ac:dyDescent="0.25">
      <c r="B6" s="10" t="s">
        <v>30</v>
      </c>
      <c r="C6" s="11">
        <f>SUM(F6:AK6)</f>
        <v>87776</v>
      </c>
      <c r="D6" s="11">
        <f>F6+H6+J6+L6+N6+P6+R6+T6+V6+X6+Z6+AB6+AD6+AF6+AH6+AJ6</f>
        <v>44993</v>
      </c>
      <c r="E6" s="14">
        <f>G6+I6+K6+M6+O6+Q6+S6+U6+W6+Y6+AA6+AC6+AE6+AG6+AI6+AK6</f>
        <v>42783</v>
      </c>
      <c r="F6" s="11">
        <f>SUM(F7:F8)</f>
        <v>2956</v>
      </c>
      <c r="G6" s="11">
        <f t="shared" ref="G6:L6" si="0">SUM(G7:G8)</f>
        <v>2845</v>
      </c>
      <c r="H6" s="30">
        <f t="shared" si="0"/>
        <v>3887</v>
      </c>
      <c r="I6" s="14">
        <f t="shared" si="0"/>
        <v>3630</v>
      </c>
      <c r="J6" s="11">
        <f t="shared" si="0"/>
        <v>4047</v>
      </c>
      <c r="K6" s="11">
        <f t="shared" si="0"/>
        <v>3635</v>
      </c>
      <c r="L6" s="30">
        <f t="shared" si="0"/>
        <v>3790</v>
      </c>
      <c r="M6" s="14">
        <f t="shared" ref="M6" si="1">SUM(M7:M8)</f>
        <v>3535</v>
      </c>
      <c r="N6" s="11">
        <f t="shared" ref="N6" si="2">SUM(N7:N8)</f>
        <v>3693</v>
      </c>
      <c r="O6" s="11">
        <f t="shared" ref="O6" si="3">SUM(O7:O8)</f>
        <v>3661</v>
      </c>
      <c r="P6" s="30">
        <f t="shared" ref="P6" si="4">SUM(P7:P8)</f>
        <v>3666</v>
      </c>
      <c r="Q6" s="14">
        <f t="shared" ref="Q6:R6" si="5">SUM(Q7:Q8)</f>
        <v>3471</v>
      </c>
      <c r="R6" s="11">
        <f t="shared" si="5"/>
        <v>3460</v>
      </c>
      <c r="S6" s="11">
        <f t="shared" ref="S6" si="6">SUM(S7:S8)</f>
        <v>3226</v>
      </c>
      <c r="T6" s="30">
        <f t="shared" ref="T6" si="7">SUM(T7:T8)</f>
        <v>3022</v>
      </c>
      <c r="U6" s="14">
        <f t="shared" ref="U6" si="8">SUM(U7:U8)</f>
        <v>2933</v>
      </c>
      <c r="V6" s="11">
        <f t="shared" ref="V6" si="9">SUM(V7:V8)</f>
        <v>2776</v>
      </c>
      <c r="W6" s="11">
        <f t="shared" ref="W6:X6" si="10">SUM(W7:W8)</f>
        <v>2744</v>
      </c>
      <c r="X6" s="30">
        <f t="shared" si="10"/>
        <v>2808</v>
      </c>
      <c r="Y6" s="14">
        <f t="shared" ref="Y6" si="11">SUM(Y7:Y8)</f>
        <v>2541</v>
      </c>
      <c r="Z6" s="11">
        <f t="shared" ref="Z6" si="12">SUM(Z7:Z8)</f>
        <v>2894</v>
      </c>
      <c r="AA6" s="11">
        <f t="shared" ref="AA6" si="13">SUM(AA7:AA8)</f>
        <v>2639</v>
      </c>
      <c r="AB6" s="30">
        <f t="shared" ref="AB6" si="14">SUM(AB7:AB8)</f>
        <v>2913</v>
      </c>
      <c r="AC6" s="14">
        <f t="shared" ref="AC6:AD6" si="15">SUM(AC7:AC8)</f>
        <v>2672</v>
      </c>
      <c r="AD6" s="11">
        <f t="shared" si="15"/>
        <v>2907</v>
      </c>
      <c r="AE6" s="11">
        <f t="shared" ref="AE6" si="16">SUM(AE7:AE8)</f>
        <v>2753</v>
      </c>
      <c r="AF6" s="30">
        <f t="shared" ref="AF6" si="17">SUM(AF7:AF8)</f>
        <v>945</v>
      </c>
      <c r="AG6" s="14">
        <f t="shared" ref="AG6" si="18">SUM(AG7:AG8)</f>
        <v>1118</v>
      </c>
      <c r="AH6" s="11">
        <f t="shared" ref="AH6" si="19">SUM(AH7:AH8)</f>
        <v>889</v>
      </c>
      <c r="AI6" s="11">
        <f t="shared" ref="AI6:AJ6" si="20">SUM(AI7:AI8)</f>
        <v>1239</v>
      </c>
      <c r="AJ6" s="30">
        <f t="shared" si="20"/>
        <v>340</v>
      </c>
      <c r="AK6" s="14">
        <f t="shared" ref="AK6" si="21">SUM(AK7:AK8)</f>
        <v>141</v>
      </c>
      <c r="AL6" s="28">
        <f t="shared" ref="AL6:AL28" si="22">C6/$C$6*100</f>
        <v>100</v>
      </c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E6" s="10" t="s">
        <v>30</v>
      </c>
      <c r="BF6" s="45">
        <f>F6</f>
        <v>2956</v>
      </c>
      <c r="BG6" s="45">
        <f t="shared" ref="BG6:CK6" si="23">G6</f>
        <v>2845</v>
      </c>
      <c r="BH6" s="45">
        <f t="shared" si="23"/>
        <v>3887</v>
      </c>
      <c r="BI6" s="45">
        <f t="shared" si="23"/>
        <v>3630</v>
      </c>
      <c r="BJ6" s="45">
        <f t="shared" si="23"/>
        <v>4047</v>
      </c>
      <c r="BK6" s="45">
        <f t="shared" si="23"/>
        <v>3635</v>
      </c>
      <c r="BL6" s="45">
        <f t="shared" si="23"/>
        <v>3790</v>
      </c>
      <c r="BM6" s="45">
        <f t="shared" si="23"/>
        <v>3535</v>
      </c>
      <c r="BN6" s="45">
        <f t="shared" si="23"/>
        <v>3693</v>
      </c>
      <c r="BO6" s="45">
        <f t="shared" si="23"/>
        <v>3661</v>
      </c>
      <c r="BP6" s="45">
        <f t="shared" si="23"/>
        <v>3666</v>
      </c>
      <c r="BQ6" s="45">
        <f t="shared" si="23"/>
        <v>3471</v>
      </c>
      <c r="BR6" s="45">
        <f t="shared" si="23"/>
        <v>3460</v>
      </c>
      <c r="BS6" s="45">
        <f t="shared" si="23"/>
        <v>3226</v>
      </c>
      <c r="BT6" s="45">
        <f t="shared" si="23"/>
        <v>3022</v>
      </c>
      <c r="BU6" s="45">
        <f t="shared" si="23"/>
        <v>2933</v>
      </c>
      <c r="BV6" s="45">
        <f t="shared" si="23"/>
        <v>2776</v>
      </c>
      <c r="BW6" s="45">
        <f t="shared" si="23"/>
        <v>2744</v>
      </c>
      <c r="BX6" s="45">
        <f t="shared" si="23"/>
        <v>2808</v>
      </c>
      <c r="BY6" s="45">
        <f t="shared" si="23"/>
        <v>2541</v>
      </c>
      <c r="BZ6" s="45">
        <f t="shared" si="23"/>
        <v>2894</v>
      </c>
      <c r="CA6" s="45">
        <f t="shared" si="23"/>
        <v>2639</v>
      </c>
      <c r="CB6" s="45">
        <f t="shared" si="23"/>
        <v>2913</v>
      </c>
      <c r="CC6" s="45">
        <f t="shared" si="23"/>
        <v>2672</v>
      </c>
      <c r="CD6" s="45">
        <f t="shared" si="23"/>
        <v>2907</v>
      </c>
      <c r="CE6" s="45">
        <f t="shared" si="23"/>
        <v>2753</v>
      </c>
      <c r="CF6" s="45">
        <f t="shared" si="23"/>
        <v>945</v>
      </c>
      <c r="CG6" s="45">
        <f t="shared" si="23"/>
        <v>1118</v>
      </c>
      <c r="CH6" s="45">
        <f t="shared" si="23"/>
        <v>889</v>
      </c>
      <c r="CI6" s="45">
        <f t="shared" si="23"/>
        <v>1239</v>
      </c>
      <c r="CJ6" s="45">
        <f t="shared" si="23"/>
        <v>340</v>
      </c>
      <c r="CK6" s="45">
        <f t="shared" si="23"/>
        <v>141</v>
      </c>
    </row>
    <row r="7" spans="1:89" s="29" customFormat="1" ht="19.5" customHeight="1" x14ac:dyDescent="0.25">
      <c r="A7" s="1" t="s">
        <v>3</v>
      </c>
      <c r="B7" s="10" t="s">
        <v>3</v>
      </c>
      <c r="C7" s="11">
        <f t="shared" ref="C7:C28" si="24">SUM(F7:AK7)</f>
        <v>31487</v>
      </c>
      <c r="D7" s="11">
        <f t="shared" ref="D7:D28" si="25">F7+H7+J7+L7+N7+P7+R7+T7+V7+X7+Z7+AB7+AD7+AF7+AH7+AJ7</f>
        <v>15939</v>
      </c>
      <c r="E7" s="14">
        <f t="shared" ref="E7:E28" si="26">G7+I7+K7+M7+O7+Q7+S7+U7+W7+Y7+AA7+AC7+AE7+AG7+AI7+AK7</f>
        <v>15548</v>
      </c>
      <c r="F7" s="11">
        <v>1324</v>
      </c>
      <c r="G7" s="11">
        <v>1303</v>
      </c>
      <c r="H7" s="30">
        <v>1362</v>
      </c>
      <c r="I7" s="14">
        <v>1347</v>
      </c>
      <c r="J7" s="11">
        <v>1401</v>
      </c>
      <c r="K7" s="11">
        <v>1235</v>
      </c>
      <c r="L7" s="30">
        <v>1301</v>
      </c>
      <c r="M7" s="14">
        <v>1198</v>
      </c>
      <c r="N7" s="11">
        <v>1227</v>
      </c>
      <c r="O7" s="11">
        <v>1272</v>
      </c>
      <c r="P7" s="30">
        <v>1265</v>
      </c>
      <c r="Q7" s="14">
        <v>1197</v>
      </c>
      <c r="R7" s="11">
        <v>1176</v>
      </c>
      <c r="S7" s="11">
        <v>1111</v>
      </c>
      <c r="T7" s="30">
        <v>1017</v>
      </c>
      <c r="U7" s="14">
        <v>1014</v>
      </c>
      <c r="V7" s="11">
        <v>968</v>
      </c>
      <c r="W7" s="11">
        <v>894</v>
      </c>
      <c r="X7" s="30">
        <v>914</v>
      </c>
      <c r="Y7" s="14">
        <v>879</v>
      </c>
      <c r="Z7" s="11">
        <v>880</v>
      </c>
      <c r="AA7" s="11">
        <v>908</v>
      </c>
      <c r="AB7" s="30">
        <v>907</v>
      </c>
      <c r="AC7" s="14">
        <v>885</v>
      </c>
      <c r="AD7" s="11">
        <v>872</v>
      </c>
      <c r="AE7" s="11">
        <v>883</v>
      </c>
      <c r="AF7" s="30">
        <v>597</v>
      </c>
      <c r="AG7" s="14">
        <v>651</v>
      </c>
      <c r="AH7" s="11">
        <v>521</v>
      </c>
      <c r="AI7" s="11">
        <v>686</v>
      </c>
      <c r="AJ7" s="30">
        <v>207</v>
      </c>
      <c r="AK7" s="14">
        <v>85</v>
      </c>
      <c r="AL7" s="28">
        <f>C7/$C$6*100</f>
        <v>35.871992344148737</v>
      </c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E7" s="10" t="s">
        <v>3</v>
      </c>
      <c r="BF7" s="45">
        <f t="shared" ref="BF7:BF8" si="27">F7</f>
        <v>1324</v>
      </c>
      <c r="BG7" s="45">
        <f t="shared" ref="BG7:BG8" si="28">G7</f>
        <v>1303</v>
      </c>
      <c r="BH7" s="45">
        <f t="shared" ref="BH7:BH8" si="29">H7</f>
        <v>1362</v>
      </c>
      <c r="BI7" s="45">
        <f t="shared" ref="BI7:BI8" si="30">I7</f>
        <v>1347</v>
      </c>
      <c r="BJ7" s="45">
        <f t="shared" ref="BJ7:BJ8" si="31">J7</f>
        <v>1401</v>
      </c>
      <c r="BK7" s="45">
        <f t="shared" ref="BK7:BK8" si="32">K7</f>
        <v>1235</v>
      </c>
      <c r="BL7" s="45">
        <f t="shared" ref="BL7:BL8" si="33">L7</f>
        <v>1301</v>
      </c>
      <c r="BM7" s="45">
        <f t="shared" ref="BM7:BM8" si="34">M7</f>
        <v>1198</v>
      </c>
      <c r="BN7" s="45">
        <f t="shared" ref="BN7:BN8" si="35">N7</f>
        <v>1227</v>
      </c>
      <c r="BO7" s="45">
        <f t="shared" ref="BO7:BO8" si="36">O7</f>
        <v>1272</v>
      </c>
      <c r="BP7" s="45">
        <f t="shared" ref="BP7:BP8" si="37">P7</f>
        <v>1265</v>
      </c>
      <c r="BQ7" s="45">
        <f t="shared" ref="BQ7:BQ8" si="38">Q7</f>
        <v>1197</v>
      </c>
      <c r="BR7" s="45">
        <f t="shared" ref="BR7:BR8" si="39">R7</f>
        <v>1176</v>
      </c>
      <c r="BS7" s="45">
        <f t="shared" ref="BS7:BS8" si="40">S7</f>
        <v>1111</v>
      </c>
      <c r="BT7" s="45">
        <f t="shared" ref="BT7:BT8" si="41">T7</f>
        <v>1017</v>
      </c>
      <c r="BU7" s="45">
        <f t="shared" ref="BU7:BU8" si="42">U7</f>
        <v>1014</v>
      </c>
      <c r="BV7" s="45">
        <f t="shared" ref="BV7:BV8" si="43">V7</f>
        <v>968</v>
      </c>
      <c r="BW7" s="45">
        <f t="shared" ref="BW7:BW8" si="44">W7</f>
        <v>894</v>
      </c>
      <c r="BX7" s="45">
        <f t="shared" ref="BX7:BX8" si="45">X7</f>
        <v>914</v>
      </c>
      <c r="BY7" s="45">
        <f t="shared" ref="BY7:BY8" si="46">Y7</f>
        <v>879</v>
      </c>
      <c r="BZ7" s="45">
        <f t="shared" ref="BZ7:BZ8" si="47">Z7</f>
        <v>880</v>
      </c>
      <c r="CA7" s="45">
        <f t="shared" ref="CA7:CA8" si="48">AA7</f>
        <v>908</v>
      </c>
      <c r="CB7" s="45">
        <f t="shared" ref="CB7:CB8" si="49">AB7</f>
        <v>907</v>
      </c>
      <c r="CC7" s="45">
        <f t="shared" ref="CC7:CC8" si="50">AC7</f>
        <v>885</v>
      </c>
      <c r="CD7" s="45">
        <f t="shared" ref="CD7:CD8" si="51">AD7</f>
        <v>872</v>
      </c>
      <c r="CE7" s="45">
        <f t="shared" ref="CE7:CE8" si="52">AE7</f>
        <v>883</v>
      </c>
      <c r="CF7" s="45">
        <f t="shared" ref="CF7:CF8" si="53">AF7</f>
        <v>597</v>
      </c>
      <c r="CG7" s="45">
        <f t="shared" ref="CG7:CG8" si="54">AG7</f>
        <v>651</v>
      </c>
      <c r="CH7" s="45">
        <f t="shared" ref="CH7:CH8" si="55">AH7</f>
        <v>521</v>
      </c>
      <c r="CI7" s="45">
        <f t="shared" ref="CI7:CI8" si="56">AI7</f>
        <v>686</v>
      </c>
      <c r="CJ7" s="45">
        <f t="shared" ref="CJ7:CJ8" si="57">AJ7</f>
        <v>207</v>
      </c>
      <c r="CK7" s="45">
        <f t="shared" ref="CK7:CK8" si="58">AK7</f>
        <v>85</v>
      </c>
    </row>
    <row r="8" spans="1:89" s="29" customFormat="1" ht="19.5" customHeight="1" x14ac:dyDescent="0.2">
      <c r="A8" s="9"/>
      <c r="B8" s="10" t="s">
        <v>4</v>
      </c>
      <c r="C8" s="11">
        <f t="shared" si="24"/>
        <v>56289</v>
      </c>
      <c r="D8" s="11">
        <f t="shared" si="25"/>
        <v>29054</v>
      </c>
      <c r="E8" s="14">
        <f t="shared" si="26"/>
        <v>27235</v>
      </c>
      <c r="F8" s="11">
        <f>SUM(F9:F28)</f>
        <v>1632</v>
      </c>
      <c r="G8" s="11">
        <f t="shared" ref="G8:AK8" si="59">SUM(G9:G28)</f>
        <v>1542</v>
      </c>
      <c r="H8" s="30">
        <f t="shared" si="59"/>
        <v>2525</v>
      </c>
      <c r="I8" s="14">
        <f t="shared" si="59"/>
        <v>2283</v>
      </c>
      <c r="J8" s="11">
        <f t="shared" si="59"/>
        <v>2646</v>
      </c>
      <c r="K8" s="11">
        <f t="shared" si="59"/>
        <v>2400</v>
      </c>
      <c r="L8" s="30">
        <f t="shared" si="59"/>
        <v>2489</v>
      </c>
      <c r="M8" s="14">
        <f t="shared" si="59"/>
        <v>2337</v>
      </c>
      <c r="N8" s="11">
        <f t="shared" si="59"/>
        <v>2466</v>
      </c>
      <c r="O8" s="11">
        <f t="shared" si="59"/>
        <v>2389</v>
      </c>
      <c r="P8" s="30">
        <f t="shared" si="59"/>
        <v>2401</v>
      </c>
      <c r="Q8" s="14">
        <f t="shared" si="59"/>
        <v>2274</v>
      </c>
      <c r="R8" s="11">
        <f t="shared" si="59"/>
        <v>2284</v>
      </c>
      <c r="S8" s="11">
        <f t="shared" si="59"/>
        <v>2115</v>
      </c>
      <c r="T8" s="30">
        <f t="shared" si="59"/>
        <v>2005</v>
      </c>
      <c r="U8" s="14">
        <f t="shared" si="59"/>
        <v>1919</v>
      </c>
      <c r="V8" s="11">
        <f t="shared" si="59"/>
        <v>1808</v>
      </c>
      <c r="W8" s="11">
        <f t="shared" si="59"/>
        <v>1850</v>
      </c>
      <c r="X8" s="30">
        <f t="shared" si="59"/>
        <v>1894</v>
      </c>
      <c r="Y8" s="14">
        <f t="shared" si="59"/>
        <v>1662</v>
      </c>
      <c r="Z8" s="11">
        <f t="shared" si="59"/>
        <v>2014</v>
      </c>
      <c r="AA8" s="11">
        <f t="shared" si="59"/>
        <v>1731</v>
      </c>
      <c r="AB8" s="30">
        <f t="shared" si="59"/>
        <v>2006</v>
      </c>
      <c r="AC8" s="14">
        <f t="shared" si="59"/>
        <v>1787</v>
      </c>
      <c r="AD8" s="11">
        <f t="shared" si="59"/>
        <v>2035</v>
      </c>
      <c r="AE8" s="11">
        <f t="shared" si="59"/>
        <v>1870</v>
      </c>
      <c r="AF8" s="30">
        <f t="shared" si="59"/>
        <v>348</v>
      </c>
      <c r="AG8" s="14">
        <f t="shared" si="59"/>
        <v>467</v>
      </c>
      <c r="AH8" s="11">
        <f t="shared" si="59"/>
        <v>368</v>
      </c>
      <c r="AI8" s="11">
        <f t="shared" si="59"/>
        <v>553</v>
      </c>
      <c r="AJ8" s="31">
        <f t="shared" si="59"/>
        <v>133</v>
      </c>
      <c r="AK8" s="16">
        <f t="shared" si="59"/>
        <v>56</v>
      </c>
      <c r="AL8" s="28">
        <f t="shared" si="22"/>
        <v>64.128007655851263</v>
      </c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E8" s="10" t="s">
        <v>4</v>
      </c>
      <c r="BF8" s="45">
        <f t="shared" si="27"/>
        <v>1632</v>
      </c>
      <c r="BG8" s="45">
        <f t="shared" si="28"/>
        <v>1542</v>
      </c>
      <c r="BH8" s="45">
        <f t="shared" si="29"/>
        <v>2525</v>
      </c>
      <c r="BI8" s="45">
        <f t="shared" si="30"/>
        <v>2283</v>
      </c>
      <c r="BJ8" s="45">
        <f t="shared" si="31"/>
        <v>2646</v>
      </c>
      <c r="BK8" s="45">
        <f t="shared" si="32"/>
        <v>2400</v>
      </c>
      <c r="BL8" s="45">
        <f t="shared" si="33"/>
        <v>2489</v>
      </c>
      <c r="BM8" s="45">
        <f t="shared" si="34"/>
        <v>2337</v>
      </c>
      <c r="BN8" s="45">
        <f t="shared" si="35"/>
        <v>2466</v>
      </c>
      <c r="BO8" s="45">
        <f t="shared" si="36"/>
        <v>2389</v>
      </c>
      <c r="BP8" s="45">
        <f t="shared" si="37"/>
        <v>2401</v>
      </c>
      <c r="BQ8" s="45">
        <f t="shared" si="38"/>
        <v>2274</v>
      </c>
      <c r="BR8" s="45">
        <f t="shared" si="39"/>
        <v>2284</v>
      </c>
      <c r="BS8" s="45">
        <f t="shared" si="40"/>
        <v>2115</v>
      </c>
      <c r="BT8" s="45">
        <f t="shared" si="41"/>
        <v>2005</v>
      </c>
      <c r="BU8" s="45">
        <f t="shared" si="42"/>
        <v>1919</v>
      </c>
      <c r="BV8" s="45">
        <f t="shared" si="43"/>
        <v>1808</v>
      </c>
      <c r="BW8" s="45">
        <f t="shared" si="44"/>
        <v>1850</v>
      </c>
      <c r="BX8" s="45">
        <f t="shared" si="45"/>
        <v>1894</v>
      </c>
      <c r="BY8" s="45">
        <f t="shared" si="46"/>
        <v>1662</v>
      </c>
      <c r="BZ8" s="45">
        <f t="shared" si="47"/>
        <v>2014</v>
      </c>
      <c r="CA8" s="45">
        <f t="shared" si="48"/>
        <v>1731</v>
      </c>
      <c r="CB8" s="45">
        <f t="shared" si="49"/>
        <v>2006</v>
      </c>
      <c r="CC8" s="45">
        <f t="shared" si="50"/>
        <v>1787</v>
      </c>
      <c r="CD8" s="45">
        <f t="shared" si="51"/>
        <v>2035</v>
      </c>
      <c r="CE8" s="45">
        <f t="shared" si="52"/>
        <v>1870</v>
      </c>
      <c r="CF8" s="45">
        <f t="shared" si="53"/>
        <v>348</v>
      </c>
      <c r="CG8" s="45">
        <f t="shared" si="54"/>
        <v>467</v>
      </c>
      <c r="CH8" s="45">
        <f t="shared" si="55"/>
        <v>368</v>
      </c>
      <c r="CI8" s="45">
        <f t="shared" si="56"/>
        <v>553</v>
      </c>
      <c r="CJ8" s="45">
        <f t="shared" si="57"/>
        <v>133</v>
      </c>
      <c r="CK8" s="45">
        <f t="shared" si="58"/>
        <v>56</v>
      </c>
    </row>
    <row r="9" spans="1:89" s="24" customFormat="1" ht="19.5" customHeight="1" x14ac:dyDescent="0.25">
      <c r="A9" s="2" t="s">
        <v>23</v>
      </c>
      <c r="B9" s="22" t="s">
        <v>45</v>
      </c>
      <c r="C9" s="11">
        <f t="shared" si="24"/>
        <v>3783</v>
      </c>
      <c r="D9" s="7">
        <f t="shared" si="25"/>
        <v>2007</v>
      </c>
      <c r="E9" s="15">
        <f t="shared" si="26"/>
        <v>1776</v>
      </c>
      <c r="F9" s="7">
        <v>92</v>
      </c>
      <c r="G9" s="7">
        <v>73</v>
      </c>
      <c r="H9" s="41">
        <v>163</v>
      </c>
      <c r="I9" s="15">
        <v>128</v>
      </c>
      <c r="J9" s="7">
        <v>188</v>
      </c>
      <c r="K9" s="7">
        <v>168</v>
      </c>
      <c r="L9" s="41">
        <v>152</v>
      </c>
      <c r="M9" s="15">
        <v>163</v>
      </c>
      <c r="N9" s="7">
        <v>171</v>
      </c>
      <c r="O9" s="7">
        <v>158</v>
      </c>
      <c r="P9" s="41">
        <v>187</v>
      </c>
      <c r="Q9" s="15">
        <v>152</v>
      </c>
      <c r="R9" s="7">
        <v>151</v>
      </c>
      <c r="S9" s="7">
        <v>130</v>
      </c>
      <c r="T9" s="41">
        <v>129</v>
      </c>
      <c r="U9" s="15">
        <v>122</v>
      </c>
      <c r="V9" s="7">
        <v>114</v>
      </c>
      <c r="W9" s="7">
        <v>123</v>
      </c>
      <c r="X9" s="41">
        <v>142</v>
      </c>
      <c r="Y9" s="15">
        <v>105</v>
      </c>
      <c r="Z9" s="7">
        <v>150</v>
      </c>
      <c r="AA9" s="7">
        <v>121</v>
      </c>
      <c r="AB9" s="41">
        <v>142</v>
      </c>
      <c r="AC9" s="15">
        <v>143</v>
      </c>
      <c r="AD9" s="7">
        <v>168</v>
      </c>
      <c r="AE9" s="7">
        <v>148</v>
      </c>
      <c r="AF9" s="41">
        <v>28</v>
      </c>
      <c r="AG9" s="15">
        <v>18</v>
      </c>
      <c r="AH9" s="7">
        <v>25</v>
      </c>
      <c r="AI9" s="7">
        <v>24</v>
      </c>
      <c r="AJ9" s="41">
        <v>5</v>
      </c>
      <c r="AK9" s="15">
        <v>0</v>
      </c>
      <c r="AL9" s="8">
        <f t="shared" si="22"/>
        <v>4.3098341232227488</v>
      </c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E9" s="24" t="s">
        <v>67</v>
      </c>
    </row>
    <row r="10" spans="1:89" s="24" customFormat="1" ht="19.5" customHeight="1" x14ac:dyDescent="0.25">
      <c r="A10" s="2" t="s">
        <v>24</v>
      </c>
      <c r="B10" s="22" t="s">
        <v>46</v>
      </c>
      <c r="C10" s="11">
        <f t="shared" si="24"/>
        <v>5646</v>
      </c>
      <c r="D10" s="7">
        <f t="shared" si="25"/>
        <v>2913</v>
      </c>
      <c r="E10" s="15">
        <f t="shared" si="26"/>
        <v>2733</v>
      </c>
      <c r="F10" s="7">
        <v>192</v>
      </c>
      <c r="G10" s="7">
        <v>231</v>
      </c>
      <c r="H10" s="41">
        <v>281</v>
      </c>
      <c r="I10" s="15">
        <v>237</v>
      </c>
      <c r="J10" s="7">
        <v>284</v>
      </c>
      <c r="K10" s="7">
        <v>257</v>
      </c>
      <c r="L10" s="41">
        <v>279</v>
      </c>
      <c r="M10" s="15">
        <v>239</v>
      </c>
      <c r="N10" s="7">
        <v>254</v>
      </c>
      <c r="O10" s="7">
        <v>251</v>
      </c>
      <c r="P10" s="41">
        <v>209</v>
      </c>
      <c r="Q10" s="15">
        <v>225</v>
      </c>
      <c r="R10" s="7">
        <v>222</v>
      </c>
      <c r="S10" s="7">
        <v>204</v>
      </c>
      <c r="T10" s="41">
        <v>217</v>
      </c>
      <c r="U10" s="15">
        <v>187</v>
      </c>
      <c r="V10" s="7">
        <v>167</v>
      </c>
      <c r="W10" s="7">
        <v>155</v>
      </c>
      <c r="X10" s="41">
        <v>166</v>
      </c>
      <c r="Y10" s="15">
        <v>149</v>
      </c>
      <c r="Z10" s="7">
        <v>196</v>
      </c>
      <c r="AA10" s="7">
        <v>166</v>
      </c>
      <c r="AB10" s="41">
        <v>194</v>
      </c>
      <c r="AC10" s="15">
        <v>175</v>
      </c>
      <c r="AD10" s="7">
        <v>171</v>
      </c>
      <c r="AE10" s="7">
        <v>176</v>
      </c>
      <c r="AF10" s="41">
        <v>35</v>
      </c>
      <c r="AG10" s="15">
        <v>38</v>
      </c>
      <c r="AH10" s="7">
        <v>32</v>
      </c>
      <c r="AI10" s="7">
        <v>38</v>
      </c>
      <c r="AJ10" s="41">
        <v>14</v>
      </c>
      <c r="AK10" s="15">
        <v>5</v>
      </c>
      <c r="AL10" s="8">
        <f t="shared" si="22"/>
        <v>6.4322821728034993</v>
      </c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E10" s="10" t="s">
        <v>30</v>
      </c>
      <c r="BF10" s="38">
        <f>BF6/BG6*100</f>
        <v>103.90158172231988</v>
      </c>
      <c r="BG10" s="38"/>
      <c r="BH10" s="38">
        <f>BH6/BI6*100</f>
        <v>107.07988980716254</v>
      </c>
      <c r="BJ10" s="38">
        <f>BJ6/BK6*100</f>
        <v>111.33425034387896</v>
      </c>
      <c r="BL10" s="38">
        <f>BL6/BM6*100</f>
        <v>107.2135785007072</v>
      </c>
      <c r="BN10" s="38">
        <f>BN6/BO6*100</f>
        <v>100.87407812073204</v>
      </c>
      <c r="BP10" s="38">
        <f>BP6/BQ6*100</f>
        <v>105.61797752808988</v>
      </c>
      <c r="BR10" s="38">
        <f>BR6/BS6*100</f>
        <v>107.25356478611283</v>
      </c>
      <c r="BT10" s="38">
        <f>BT6/BU6*100</f>
        <v>103.0344357313331</v>
      </c>
      <c r="BV10" s="38">
        <f>BV6/BW6*100</f>
        <v>101.16618075801749</v>
      </c>
      <c r="BX10" s="38">
        <f>BX6/BY6*100</f>
        <v>110.50767414403776</v>
      </c>
      <c r="BZ10" s="38">
        <f>BZ6/CA6*100</f>
        <v>109.66275104206137</v>
      </c>
      <c r="CB10" s="38">
        <f>CB6/CC6*100</f>
        <v>109.0194610778443</v>
      </c>
      <c r="CD10" s="38">
        <f>CD6/CE6*100</f>
        <v>105.59389756629132</v>
      </c>
      <c r="CF10" s="38">
        <f>CF6/CG6*100</f>
        <v>84.525939177101975</v>
      </c>
      <c r="CH10" s="38">
        <f>CH6/CI6*100</f>
        <v>71.751412429378533</v>
      </c>
      <c r="CJ10" s="38">
        <f>CJ6/CK6*100</f>
        <v>241.13475177304963</v>
      </c>
    </row>
    <row r="11" spans="1:89" s="24" customFormat="1" ht="19.5" customHeight="1" x14ac:dyDescent="0.25">
      <c r="A11" s="2" t="s">
        <v>25</v>
      </c>
      <c r="B11" s="22" t="s">
        <v>47</v>
      </c>
      <c r="C11" s="11">
        <f t="shared" si="24"/>
        <v>3698</v>
      </c>
      <c r="D11" s="7">
        <f t="shared" si="25"/>
        <v>1922</v>
      </c>
      <c r="E11" s="15">
        <f t="shared" si="26"/>
        <v>1776</v>
      </c>
      <c r="F11" s="7">
        <v>56</v>
      </c>
      <c r="G11" s="7">
        <v>56</v>
      </c>
      <c r="H11" s="41">
        <v>187</v>
      </c>
      <c r="I11" s="15">
        <v>160</v>
      </c>
      <c r="J11" s="7">
        <v>183</v>
      </c>
      <c r="K11" s="7">
        <v>160</v>
      </c>
      <c r="L11" s="41">
        <v>180</v>
      </c>
      <c r="M11" s="15">
        <v>177</v>
      </c>
      <c r="N11" s="7">
        <v>147</v>
      </c>
      <c r="O11" s="7">
        <v>145</v>
      </c>
      <c r="P11" s="41">
        <v>151</v>
      </c>
      <c r="Q11" s="15">
        <v>141</v>
      </c>
      <c r="R11" s="7">
        <v>124</v>
      </c>
      <c r="S11" s="7">
        <v>139</v>
      </c>
      <c r="T11" s="41">
        <v>122</v>
      </c>
      <c r="U11" s="15">
        <v>135</v>
      </c>
      <c r="V11" s="7">
        <v>130</v>
      </c>
      <c r="W11" s="7">
        <v>130</v>
      </c>
      <c r="X11" s="41">
        <v>139</v>
      </c>
      <c r="Y11" s="15">
        <v>110</v>
      </c>
      <c r="Z11" s="7">
        <v>178</v>
      </c>
      <c r="AA11" s="7">
        <v>119</v>
      </c>
      <c r="AB11" s="41">
        <v>160</v>
      </c>
      <c r="AC11" s="15">
        <v>154</v>
      </c>
      <c r="AD11" s="7">
        <v>133</v>
      </c>
      <c r="AE11" s="7">
        <v>117</v>
      </c>
      <c r="AF11" s="41">
        <v>14</v>
      </c>
      <c r="AG11" s="15">
        <v>18</v>
      </c>
      <c r="AH11" s="7">
        <v>13</v>
      </c>
      <c r="AI11" s="7">
        <v>13</v>
      </c>
      <c r="AJ11" s="41">
        <v>5</v>
      </c>
      <c r="AK11" s="15">
        <v>2</v>
      </c>
      <c r="AL11" s="8">
        <f t="shared" si="22"/>
        <v>4.2129967189208894</v>
      </c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E11" s="10" t="s">
        <v>3</v>
      </c>
      <c r="BF11" s="38">
        <f>BF7/BG7*100</f>
        <v>101.61166538756716</v>
      </c>
      <c r="BG11" s="38"/>
      <c r="BH11" s="38">
        <f>BH7/BI7*100</f>
        <v>101.11358574610246</v>
      </c>
      <c r="BJ11" s="38">
        <f>BJ7/BK7*100</f>
        <v>113.44129554655871</v>
      </c>
      <c r="BL11" s="38">
        <f>BL7/BM7*100</f>
        <v>108.59766277128548</v>
      </c>
      <c r="BN11" s="38">
        <f>BN7/BO7*100</f>
        <v>96.462264150943398</v>
      </c>
      <c r="BP11" s="38">
        <f>BP7/BQ7*100</f>
        <v>105.68086883876357</v>
      </c>
      <c r="BR11" s="38">
        <f>BR7/BS7*100</f>
        <v>105.85058505850584</v>
      </c>
      <c r="BT11" s="38">
        <f>BT7/BU7*100</f>
        <v>100.29585798816566</v>
      </c>
      <c r="BV11" s="38">
        <f>BV7/BW7*100</f>
        <v>108.27740492170021</v>
      </c>
      <c r="BX11" s="38">
        <f>BX7/BY7*100</f>
        <v>103.98179749715585</v>
      </c>
      <c r="BZ11" s="38">
        <f>BZ7/CA7*100</f>
        <v>96.916299559471369</v>
      </c>
      <c r="CB11" s="38">
        <f>CB7/CC7*100</f>
        <v>102.48587570621469</v>
      </c>
      <c r="CD11" s="38">
        <f>CD7/CE7*100</f>
        <v>98.754246885617221</v>
      </c>
      <c r="CF11" s="38">
        <f>CF7/CG7*100</f>
        <v>91.705069124423972</v>
      </c>
      <c r="CH11" s="38">
        <f>CH7/CI7*100</f>
        <v>75.947521865889215</v>
      </c>
      <c r="CJ11" s="38">
        <f>CJ7/CK7*100</f>
        <v>243.52941176470586</v>
      </c>
    </row>
    <row r="12" spans="1:89" s="24" customFormat="1" ht="19.5" customHeight="1" x14ac:dyDescent="0.25">
      <c r="A12" s="2" t="s">
        <v>20</v>
      </c>
      <c r="B12" s="22" t="s">
        <v>48</v>
      </c>
      <c r="C12" s="11">
        <f t="shared" si="24"/>
        <v>2977</v>
      </c>
      <c r="D12" s="7">
        <f t="shared" si="25"/>
        <v>1531</v>
      </c>
      <c r="E12" s="15">
        <f t="shared" si="26"/>
        <v>1446</v>
      </c>
      <c r="F12" s="7">
        <v>71</v>
      </c>
      <c r="G12" s="7">
        <v>58</v>
      </c>
      <c r="H12" s="41">
        <v>145</v>
      </c>
      <c r="I12" s="15">
        <v>123</v>
      </c>
      <c r="J12" s="7">
        <v>133</v>
      </c>
      <c r="K12" s="7">
        <v>154</v>
      </c>
      <c r="L12" s="41">
        <v>146</v>
      </c>
      <c r="M12" s="15">
        <v>141</v>
      </c>
      <c r="N12" s="7">
        <v>153</v>
      </c>
      <c r="O12" s="7">
        <v>136</v>
      </c>
      <c r="P12" s="41">
        <v>114</v>
      </c>
      <c r="Q12" s="15">
        <v>120</v>
      </c>
      <c r="R12" s="7">
        <v>142</v>
      </c>
      <c r="S12" s="7">
        <v>120</v>
      </c>
      <c r="T12" s="41">
        <v>103</v>
      </c>
      <c r="U12" s="15">
        <v>94</v>
      </c>
      <c r="V12" s="7">
        <v>95</v>
      </c>
      <c r="W12" s="7">
        <v>82</v>
      </c>
      <c r="X12" s="41">
        <v>94</v>
      </c>
      <c r="Y12" s="15">
        <v>100</v>
      </c>
      <c r="Z12" s="7">
        <v>115</v>
      </c>
      <c r="AA12" s="7">
        <v>96</v>
      </c>
      <c r="AB12" s="41">
        <v>100</v>
      </c>
      <c r="AC12" s="15">
        <v>89</v>
      </c>
      <c r="AD12" s="7">
        <v>99</v>
      </c>
      <c r="AE12" s="7">
        <v>90</v>
      </c>
      <c r="AF12" s="41">
        <v>14</v>
      </c>
      <c r="AG12" s="15">
        <v>33</v>
      </c>
      <c r="AH12" s="7">
        <v>7</v>
      </c>
      <c r="AI12" s="7">
        <v>10</v>
      </c>
      <c r="AJ12" s="41">
        <v>0</v>
      </c>
      <c r="AK12" s="15">
        <v>0</v>
      </c>
      <c r="AL12" s="8">
        <f t="shared" si="22"/>
        <v>3.3915876777251186</v>
      </c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E12" s="10" t="s">
        <v>4</v>
      </c>
      <c r="BF12" s="38">
        <f>BF8/BG8*100</f>
        <v>105.83657587548639</v>
      </c>
      <c r="BG12" s="38"/>
      <c r="BH12" s="38">
        <f>BH8/BI8*100</f>
        <v>110.6000876040298</v>
      </c>
      <c r="BJ12" s="38">
        <f>BJ8/BK8*100</f>
        <v>110.25</v>
      </c>
      <c r="BL12" s="38">
        <f>BL8/BM8*100</f>
        <v>106.5040650406504</v>
      </c>
      <c r="BN12" s="38">
        <f>BN8/BO8*100</f>
        <v>103.22310590205106</v>
      </c>
      <c r="BP12" s="38">
        <f>BP8/BQ8*100</f>
        <v>105.58487247141602</v>
      </c>
      <c r="BR12" s="38">
        <f>BR8/BS8*100</f>
        <v>107.99054373522459</v>
      </c>
      <c r="BT12" s="38">
        <f>BT8/BU8*100</f>
        <v>104.48150078165712</v>
      </c>
      <c r="BV12" s="38">
        <f>BV8/BW8*100</f>
        <v>97.729729729729726</v>
      </c>
      <c r="BX12" s="38">
        <f>BX8/BY8*100</f>
        <v>113.95908543922984</v>
      </c>
      <c r="BZ12" s="38">
        <f>BZ8/CA8*100</f>
        <v>116.34893125361063</v>
      </c>
      <c r="CB12" s="38">
        <f>CB8/CC8*100</f>
        <v>112.25517627308339</v>
      </c>
      <c r="CD12" s="38">
        <f>CD8/CE8*100</f>
        <v>108.8235294117647</v>
      </c>
      <c r="CF12" s="38">
        <f>CF8/CG8*100</f>
        <v>74.518201284796575</v>
      </c>
      <c r="CH12" s="38">
        <f>CH8/CI8*100</f>
        <v>66.54611211573237</v>
      </c>
      <c r="CJ12" s="38">
        <f>CJ8/CK8*100</f>
        <v>237.5</v>
      </c>
    </row>
    <row r="13" spans="1:89" s="24" customFormat="1" ht="19.5" customHeight="1" x14ac:dyDescent="0.25">
      <c r="A13" s="2" t="s">
        <v>26</v>
      </c>
      <c r="B13" s="22" t="s">
        <v>49</v>
      </c>
      <c r="C13" s="11">
        <f t="shared" si="24"/>
        <v>4690</v>
      </c>
      <c r="D13" s="7">
        <f t="shared" si="25"/>
        <v>2443</v>
      </c>
      <c r="E13" s="15">
        <f t="shared" si="26"/>
        <v>2247</v>
      </c>
      <c r="F13" s="7">
        <v>167</v>
      </c>
      <c r="G13" s="7">
        <v>159</v>
      </c>
      <c r="H13" s="41">
        <v>191</v>
      </c>
      <c r="I13" s="15">
        <v>184</v>
      </c>
      <c r="J13" s="7">
        <v>224</v>
      </c>
      <c r="K13" s="7">
        <v>198</v>
      </c>
      <c r="L13" s="41">
        <v>201</v>
      </c>
      <c r="M13" s="15">
        <v>173</v>
      </c>
      <c r="N13" s="7">
        <v>205</v>
      </c>
      <c r="O13" s="7">
        <v>212</v>
      </c>
      <c r="P13" s="41">
        <v>182</v>
      </c>
      <c r="Q13" s="15">
        <v>184</v>
      </c>
      <c r="R13" s="7">
        <v>189</v>
      </c>
      <c r="S13" s="7">
        <v>150</v>
      </c>
      <c r="T13" s="41">
        <v>153</v>
      </c>
      <c r="U13" s="15">
        <v>148</v>
      </c>
      <c r="V13" s="7">
        <v>142</v>
      </c>
      <c r="W13" s="7">
        <v>158</v>
      </c>
      <c r="X13" s="41">
        <v>174</v>
      </c>
      <c r="Y13" s="15">
        <v>114</v>
      </c>
      <c r="Z13" s="7">
        <v>180</v>
      </c>
      <c r="AA13" s="7">
        <v>163</v>
      </c>
      <c r="AB13" s="41">
        <v>180</v>
      </c>
      <c r="AC13" s="15">
        <v>139</v>
      </c>
      <c r="AD13" s="7">
        <v>182</v>
      </c>
      <c r="AE13" s="7">
        <v>161</v>
      </c>
      <c r="AF13" s="41">
        <v>31</v>
      </c>
      <c r="AG13" s="15">
        <v>51</v>
      </c>
      <c r="AH13" s="7">
        <v>42</v>
      </c>
      <c r="AI13" s="7">
        <v>53</v>
      </c>
      <c r="AJ13" s="41">
        <v>0</v>
      </c>
      <c r="AK13" s="15">
        <v>0</v>
      </c>
      <c r="AL13" s="8">
        <f t="shared" si="22"/>
        <v>5.3431461903025879</v>
      </c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</row>
    <row r="14" spans="1:89" s="24" customFormat="1" ht="19.5" customHeight="1" x14ac:dyDescent="0.25">
      <c r="A14" s="2" t="s">
        <v>6</v>
      </c>
      <c r="B14" s="22" t="s">
        <v>50</v>
      </c>
      <c r="C14" s="11">
        <f t="shared" si="24"/>
        <v>2569</v>
      </c>
      <c r="D14" s="7">
        <f t="shared" si="25"/>
        <v>1324</v>
      </c>
      <c r="E14" s="15">
        <f t="shared" si="26"/>
        <v>1245</v>
      </c>
      <c r="F14" s="7">
        <v>85</v>
      </c>
      <c r="G14" s="7">
        <v>85</v>
      </c>
      <c r="H14" s="41">
        <v>108</v>
      </c>
      <c r="I14" s="15">
        <v>97</v>
      </c>
      <c r="J14" s="7">
        <v>111</v>
      </c>
      <c r="K14" s="7">
        <v>112</v>
      </c>
      <c r="L14" s="41">
        <v>117</v>
      </c>
      <c r="M14" s="15">
        <v>96</v>
      </c>
      <c r="N14" s="7">
        <v>105</v>
      </c>
      <c r="O14" s="7">
        <v>122</v>
      </c>
      <c r="P14" s="41">
        <v>102</v>
      </c>
      <c r="Q14" s="15">
        <v>86</v>
      </c>
      <c r="R14" s="7">
        <v>96</v>
      </c>
      <c r="S14" s="7">
        <v>96</v>
      </c>
      <c r="T14" s="41">
        <v>98</v>
      </c>
      <c r="U14" s="15">
        <v>72</v>
      </c>
      <c r="V14" s="7">
        <v>93</v>
      </c>
      <c r="W14" s="7">
        <v>73</v>
      </c>
      <c r="X14" s="41">
        <v>100</v>
      </c>
      <c r="Y14" s="15">
        <v>96</v>
      </c>
      <c r="Z14" s="7">
        <v>88</v>
      </c>
      <c r="AA14" s="7">
        <v>80</v>
      </c>
      <c r="AB14" s="41">
        <v>104</v>
      </c>
      <c r="AC14" s="15">
        <v>85</v>
      </c>
      <c r="AD14" s="7">
        <v>88</v>
      </c>
      <c r="AE14" s="7">
        <v>84</v>
      </c>
      <c r="AF14" s="41">
        <v>11</v>
      </c>
      <c r="AG14" s="15">
        <v>21</v>
      </c>
      <c r="AH14" s="7">
        <v>18</v>
      </c>
      <c r="AI14" s="7">
        <v>40</v>
      </c>
      <c r="AJ14" s="41">
        <v>0</v>
      </c>
      <c r="AK14" s="15">
        <v>0</v>
      </c>
      <c r="AL14" s="8">
        <f t="shared" si="22"/>
        <v>2.926768137076194</v>
      </c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E14" s="24" t="s">
        <v>67</v>
      </c>
      <c r="BF14" s="6" t="s">
        <v>32</v>
      </c>
      <c r="BG14" s="6" t="s">
        <v>27</v>
      </c>
      <c r="BH14" s="36" t="s">
        <v>28</v>
      </c>
      <c r="BI14" s="36" t="s">
        <v>33</v>
      </c>
      <c r="BJ14" s="36" t="s">
        <v>34</v>
      </c>
      <c r="BK14" s="36" t="s">
        <v>35</v>
      </c>
      <c r="BL14" s="36" t="s">
        <v>36</v>
      </c>
      <c r="BM14" s="36" t="s">
        <v>37</v>
      </c>
      <c r="BN14" s="36" t="s">
        <v>38</v>
      </c>
      <c r="BO14" s="36" t="s">
        <v>39</v>
      </c>
      <c r="BP14" s="36" t="s">
        <v>40</v>
      </c>
      <c r="BQ14" s="36" t="s">
        <v>41</v>
      </c>
      <c r="BR14" s="36" t="s">
        <v>42</v>
      </c>
      <c r="BS14" s="36" t="s">
        <v>43</v>
      </c>
      <c r="BT14" s="36" t="s">
        <v>44</v>
      </c>
      <c r="CG14" s="36"/>
    </row>
    <row r="15" spans="1:89" s="24" customFormat="1" ht="19.5" customHeight="1" x14ac:dyDescent="0.25">
      <c r="A15" s="2" t="s">
        <v>7</v>
      </c>
      <c r="B15" s="22" t="s">
        <v>51</v>
      </c>
      <c r="C15" s="11">
        <f t="shared" si="24"/>
        <v>2037</v>
      </c>
      <c r="D15" s="7">
        <f t="shared" si="25"/>
        <v>1019</v>
      </c>
      <c r="E15" s="15">
        <f t="shared" si="26"/>
        <v>1018</v>
      </c>
      <c r="F15" s="7">
        <v>51</v>
      </c>
      <c r="G15" s="7">
        <v>48</v>
      </c>
      <c r="H15" s="41">
        <v>84</v>
      </c>
      <c r="I15" s="15">
        <v>78</v>
      </c>
      <c r="J15" s="7">
        <v>106</v>
      </c>
      <c r="K15" s="7">
        <v>90</v>
      </c>
      <c r="L15" s="41">
        <v>79</v>
      </c>
      <c r="M15" s="15">
        <v>94</v>
      </c>
      <c r="N15" s="7">
        <v>105</v>
      </c>
      <c r="O15" s="7">
        <v>91</v>
      </c>
      <c r="P15" s="41">
        <v>79</v>
      </c>
      <c r="Q15" s="15">
        <v>91</v>
      </c>
      <c r="R15" s="7">
        <v>70</v>
      </c>
      <c r="S15" s="7">
        <v>80</v>
      </c>
      <c r="T15" s="41">
        <v>76</v>
      </c>
      <c r="U15" s="15">
        <v>70</v>
      </c>
      <c r="V15" s="7">
        <v>66</v>
      </c>
      <c r="W15" s="7">
        <v>83</v>
      </c>
      <c r="X15" s="41">
        <v>71</v>
      </c>
      <c r="Y15" s="15">
        <v>79</v>
      </c>
      <c r="Z15" s="7">
        <v>75</v>
      </c>
      <c r="AA15" s="7">
        <v>60</v>
      </c>
      <c r="AB15" s="41">
        <v>61</v>
      </c>
      <c r="AC15" s="15">
        <v>67</v>
      </c>
      <c r="AD15" s="7">
        <v>70</v>
      </c>
      <c r="AE15" s="7">
        <v>58</v>
      </c>
      <c r="AF15" s="41">
        <v>16</v>
      </c>
      <c r="AG15" s="15">
        <v>21</v>
      </c>
      <c r="AH15" s="7">
        <v>10</v>
      </c>
      <c r="AI15" s="7">
        <v>8</v>
      </c>
      <c r="AJ15" s="41">
        <v>0</v>
      </c>
      <c r="AK15" s="15">
        <v>0</v>
      </c>
      <c r="AL15" s="8">
        <f t="shared" si="22"/>
        <v>2.320679912504557</v>
      </c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E15" s="24" t="s">
        <v>30</v>
      </c>
      <c r="BF15" s="38">
        <f>BF10</f>
        <v>103.90158172231988</v>
      </c>
      <c r="BG15" s="38">
        <f>BH10</f>
        <v>107.07988980716254</v>
      </c>
      <c r="BH15" s="38">
        <f>BJ10</f>
        <v>111.33425034387896</v>
      </c>
      <c r="BI15" s="38">
        <f>BL10</f>
        <v>107.2135785007072</v>
      </c>
      <c r="BJ15" s="38">
        <f>BN10</f>
        <v>100.87407812073204</v>
      </c>
      <c r="BK15" s="38">
        <f>BP10</f>
        <v>105.61797752808988</v>
      </c>
      <c r="BL15" s="38">
        <f>BR10</f>
        <v>107.25356478611283</v>
      </c>
      <c r="BM15" s="38">
        <f>BT10</f>
        <v>103.0344357313331</v>
      </c>
      <c r="BN15" s="38">
        <f>BV10</f>
        <v>101.16618075801749</v>
      </c>
      <c r="BO15" s="38">
        <f>BX10</f>
        <v>110.50767414403776</v>
      </c>
      <c r="BP15" s="38">
        <f>BZ10</f>
        <v>109.66275104206137</v>
      </c>
      <c r="BQ15" s="38">
        <f>CB10</f>
        <v>109.0194610778443</v>
      </c>
      <c r="BR15" s="38">
        <f>CD10</f>
        <v>105.59389756629132</v>
      </c>
      <c r="BS15" s="38">
        <f>CF10</f>
        <v>84.525939177101975</v>
      </c>
      <c r="BT15" s="38">
        <f>CH10</f>
        <v>71.751412429378533</v>
      </c>
      <c r="CG15" s="38"/>
    </row>
    <row r="16" spans="1:89" s="24" customFormat="1" ht="19.5" customHeight="1" x14ac:dyDescent="0.25">
      <c r="A16" s="2" t="s">
        <v>9</v>
      </c>
      <c r="B16" s="22" t="s">
        <v>52</v>
      </c>
      <c r="C16" s="11">
        <f t="shared" si="24"/>
        <v>2784</v>
      </c>
      <c r="D16" s="7">
        <f t="shared" si="25"/>
        <v>1474</v>
      </c>
      <c r="E16" s="15">
        <f t="shared" si="26"/>
        <v>1310</v>
      </c>
      <c r="F16" s="7">
        <v>97</v>
      </c>
      <c r="G16" s="7">
        <v>89</v>
      </c>
      <c r="H16" s="41">
        <v>141</v>
      </c>
      <c r="I16" s="15">
        <v>134</v>
      </c>
      <c r="J16" s="7">
        <v>156</v>
      </c>
      <c r="K16" s="7">
        <v>146</v>
      </c>
      <c r="L16" s="41">
        <v>130</v>
      </c>
      <c r="M16" s="15">
        <v>111</v>
      </c>
      <c r="N16" s="7">
        <v>124</v>
      </c>
      <c r="O16" s="7">
        <v>98</v>
      </c>
      <c r="P16" s="41">
        <v>132</v>
      </c>
      <c r="Q16" s="15">
        <v>127</v>
      </c>
      <c r="R16" s="7">
        <v>110</v>
      </c>
      <c r="S16" s="7">
        <v>93</v>
      </c>
      <c r="T16" s="41">
        <v>111</v>
      </c>
      <c r="U16" s="15">
        <v>100</v>
      </c>
      <c r="V16" s="7">
        <v>94</v>
      </c>
      <c r="W16" s="7">
        <v>86</v>
      </c>
      <c r="X16" s="41">
        <v>96</v>
      </c>
      <c r="Y16" s="15">
        <v>85</v>
      </c>
      <c r="Z16" s="7">
        <v>89</v>
      </c>
      <c r="AA16" s="7">
        <v>72</v>
      </c>
      <c r="AB16" s="41">
        <v>75</v>
      </c>
      <c r="AC16" s="15">
        <v>75</v>
      </c>
      <c r="AD16" s="7">
        <v>115</v>
      </c>
      <c r="AE16" s="7">
        <v>76</v>
      </c>
      <c r="AF16" s="41">
        <v>3</v>
      </c>
      <c r="AG16" s="15">
        <v>10</v>
      </c>
      <c r="AH16" s="7">
        <v>1</v>
      </c>
      <c r="AI16" s="7">
        <v>8</v>
      </c>
      <c r="AJ16" s="41">
        <v>0</v>
      </c>
      <c r="AK16" s="15">
        <v>0</v>
      </c>
      <c r="AL16" s="8">
        <f t="shared" si="22"/>
        <v>3.1717098067808966</v>
      </c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CG16" s="38"/>
    </row>
    <row r="17" spans="1:85" s="24" customFormat="1" ht="19.5" customHeight="1" x14ac:dyDescent="0.25">
      <c r="A17" s="2" t="s">
        <v>10</v>
      </c>
      <c r="B17" s="22" t="s">
        <v>53</v>
      </c>
      <c r="C17" s="11">
        <f t="shared" si="24"/>
        <v>1771</v>
      </c>
      <c r="D17" s="7">
        <f t="shared" si="25"/>
        <v>915</v>
      </c>
      <c r="E17" s="15">
        <f t="shared" si="26"/>
        <v>856</v>
      </c>
      <c r="F17" s="7">
        <v>59</v>
      </c>
      <c r="G17" s="7">
        <v>43</v>
      </c>
      <c r="H17" s="41">
        <v>100</v>
      </c>
      <c r="I17" s="15">
        <v>91</v>
      </c>
      <c r="J17" s="7">
        <v>87</v>
      </c>
      <c r="K17" s="7">
        <v>79</v>
      </c>
      <c r="L17" s="41">
        <v>76</v>
      </c>
      <c r="M17" s="15">
        <v>82</v>
      </c>
      <c r="N17" s="7">
        <v>93</v>
      </c>
      <c r="O17" s="7">
        <v>76</v>
      </c>
      <c r="P17" s="41">
        <v>84</v>
      </c>
      <c r="Q17" s="15">
        <v>75</v>
      </c>
      <c r="R17" s="7">
        <v>88</v>
      </c>
      <c r="S17" s="7">
        <v>70</v>
      </c>
      <c r="T17" s="41">
        <v>51</v>
      </c>
      <c r="U17" s="15">
        <v>67</v>
      </c>
      <c r="V17" s="7">
        <v>71</v>
      </c>
      <c r="W17" s="7">
        <v>51</v>
      </c>
      <c r="X17" s="41">
        <v>54</v>
      </c>
      <c r="Y17" s="15">
        <v>55</v>
      </c>
      <c r="Z17" s="7">
        <v>45</v>
      </c>
      <c r="AA17" s="7">
        <v>48</v>
      </c>
      <c r="AB17" s="41">
        <v>51</v>
      </c>
      <c r="AC17" s="15">
        <v>55</v>
      </c>
      <c r="AD17" s="7">
        <v>43</v>
      </c>
      <c r="AE17" s="7">
        <v>53</v>
      </c>
      <c r="AF17" s="41">
        <v>4</v>
      </c>
      <c r="AG17" s="15">
        <v>4</v>
      </c>
      <c r="AH17" s="7">
        <v>9</v>
      </c>
      <c r="AI17" s="7">
        <v>7</v>
      </c>
      <c r="AJ17" s="41">
        <v>0</v>
      </c>
      <c r="AK17" s="15">
        <v>0</v>
      </c>
      <c r="AL17" s="8">
        <f t="shared" si="22"/>
        <v>2.0176358002187387</v>
      </c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CG17" s="38"/>
    </row>
    <row r="18" spans="1:85" s="24" customFormat="1" ht="19.5" customHeight="1" x14ac:dyDescent="0.25">
      <c r="A18" s="2" t="s">
        <v>11</v>
      </c>
      <c r="B18" s="22" t="s">
        <v>54</v>
      </c>
      <c r="C18" s="11">
        <f t="shared" si="24"/>
        <v>2224</v>
      </c>
      <c r="D18" s="7">
        <f t="shared" si="25"/>
        <v>1151</v>
      </c>
      <c r="E18" s="15">
        <f t="shared" si="26"/>
        <v>1073</v>
      </c>
      <c r="F18" s="7">
        <v>88</v>
      </c>
      <c r="G18" s="7">
        <v>84</v>
      </c>
      <c r="H18" s="41">
        <v>108</v>
      </c>
      <c r="I18" s="15">
        <v>119</v>
      </c>
      <c r="J18" s="7">
        <v>128</v>
      </c>
      <c r="K18" s="7">
        <v>100</v>
      </c>
      <c r="L18" s="41">
        <v>119</v>
      </c>
      <c r="M18" s="15">
        <v>95</v>
      </c>
      <c r="N18" s="7">
        <v>97</v>
      </c>
      <c r="O18" s="7">
        <v>102</v>
      </c>
      <c r="P18" s="41">
        <v>114</v>
      </c>
      <c r="Q18" s="15">
        <v>87</v>
      </c>
      <c r="R18" s="7">
        <v>89</v>
      </c>
      <c r="S18" s="7">
        <v>88</v>
      </c>
      <c r="T18" s="41">
        <v>67</v>
      </c>
      <c r="U18" s="15">
        <v>71</v>
      </c>
      <c r="V18" s="7">
        <v>67</v>
      </c>
      <c r="W18" s="7">
        <v>82</v>
      </c>
      <c r="X18" s="41">
        <v>83</v>
      </c>
      <c r="Y18" s="15">
        <v>62</v>
      </c>
      <c r="Z18" s="7">
        <v>46</v>
      </c>
      <c r="AA18" s="7">
        <v>42</v>
      </c>
      <c r="AB18" s="41">
        <v>55</v>
      </c>
      <c r="AC18" s="15">
        <v>53</v>
      </c>
      <c r="AD18" s="7">
        <v>75</v>
      </c>
      <c r="AE18" s="7">
        <v>61</v>
      </c>
      <c r="AF18" s="41">
        <v>5</v>
      </c>
      <c r="AG18" s="15">
        <v>5</v>
      </c>
      <c r="AH18" s="7">
        <v>8</v>
      </c>
      <c r="AI18" s="7">
        <v>16</v>
      </c>
      <c r="AJ18" s="41">
        <v>2</v>
      </c>
      <c r="AK18" s="15">
        <v>6</v>
      </c>
      <c r="AL18" s="8">
        <f t="shared" si="22"/>
        <v>2.5337222019686476</v>
      </c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E18" s="24" t="s">
        <v>67</v>
      </c>
      <c r="BF18" s="6" t="s">
        <v>32</v>
      </c>
      <c r="BG18" s="6" t="s">
        <v>27</v>
      </c>
      <c r="BH18" s="36" t="s">
        <v>28</v>
      </c>
      <c r="BI18" s="36" t="s">
        <v>33</v>
      </c>
      <c r="BJ18" s="36" t="s">
        <v>34</v>
      </c>
      <c r="BK18" s="36" t="s">
        <v>35</v>
      </c>
      <c r="BL18" s="36" t="s">
        <v>36</v>
      </c>
      <c r="BM18" s="36" t="s">
        <v>37</v>
      </c>
      <c r="BN18" s="36" t="s">
        <v>38</v>
      </c>
      <c r="BO18" s="36" t="s">
        <v>39</v>
      </c>
      <c r="BP18" s="36" t="s">
        <v>40</v>
      </c>
      <c r="BQ18" s="36" t="s">
        <v>41</v>
      </c>
      <c r="BR18" s="36" t="s">
        <v>42</v>
      </c>
      <c r="BS18" s="36" t="s">
        <v>43</v>
      </c>
      <c r="BT18" s="36" t="s">
        <v>44</v>
      </c>
    </row>
    <row r="19" spans="1:85" s="24" customFormat="1" ht="19.5" customHeight="1" x14ac:dyDescent="0.25">
      <c r="A19" s="2" t="s">
        <v>12</v>
      </c>
      <c r="B19" s="22" t="s">
        <v>55</v>
      </c>
      <c r="C19" s="11">
        <f t="shared" si="24"/>
        <v>342</v>
      </c>
      <c r="D19" s="7">
        <f t="shared" si="25"/>
        <v>186</v>
      </c>
      <c r="E19" s="15">
        <f t="shared" si="26"/>
        <v>156</v>
      </c>
      <c r="F19" s="7">
        <v>6</v>
      </c>
      <c r="G19" s="7">
        <v>5</v>
      </c>
      <c r="H19" s="41">
        <v>18</v>
      </c>
      <c r="I19" s="15">
        <v>14</v>
      </c>
      <c r="J19" s="7">
        <v>17</v>
      </c>
      <c r="K19" s="7">
        <v>28</v>
      </c>
      <c r="L19" s="41">
        <v>10</v>
      </c>
      <c r="M19" s="15">
        <v>17</v>
      </c>
      <c r="N19" s="7">
        <v>18</v>
      </c>
      <c r="O19" s="7">
        <v>8</v>
      </c>
      <c r="P19" s="41">
        <v>24</v>
      </c>
      <c r="Q19" s="15">
        <v>16</v>
      </c>
      <c r="R19" s="7">
        <v>16</v>
      </c>
      <c r="S19" s="7">
        <v>14</v>
      </c>
      <c r="T19" s="41">
        <v>12</v>
      </c>
      <c r="U19" s="15">
        <v>11</v>
      </c>
      <c r="V19" s="7">
        <v>14</v>
      </c>
      <c r="W19" s="7">
        <v>11</v>
      </c>
      <c r="X19" s="41">
        <v>18</v>
      </c>
      <c r="Y19" s="15">
        <v>6</v>
      </c>
      <c r="Z19" s="7">
        <v>10</v>
      </c>
      <c r="AA19" s="7">
        <v>9</v>
      </c>
      <c r="AB19" s="41">
        <v>9</v>
      </c>
      <c r="AC19" s="15">
        <v>10</v>
      </c>
      <c r="AD19" s="7">
        <v>14</v>
      </c>
      <c r="AE19" s="7">
        <v>7</v>
      </c>
      <c r="AF19" s="41">
        <v>0</v>
      </c>
      <c r="AG19" s="15">
        <v>0</v>
      </c>
      <c r="AH19" s="7">
        <v>0</v>
      </c>
      <c r="AI19" s="7">
        <v>0</v>
      </c>
      <c r="AJ19" s="41">
        <v>0</v>
      </c>
      <c r="AK19" s="15">
        <v>0</v>
      </c>
      <c r="AL19" s="8">
        <f t="shared" si="22"/>
        <v>0.38962814436748083</v>
      </c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E19" s="24" t="s">
        <v>3</v>
      </c>
      <c r="BF19" s="38">
        <f>BF11</f>
        <v>101.61166538756716</v>
      </c>
      <c r="BG19" s="38">
        <f>BH11</f>
        <v>101.11358574610246</v>
      </c>
      <c r="BH19" s="38">
        <f>BJ11</f>
        <v>113.44129554655871</v>
      </c>
      <c r="BI19" s="38">
        <f>BL11</f>
        <v>108.59766277128548</v>
      </c>
      <c r="BJ19" s="38">
        <f>BN11</f>
        <v>96.462264150943398</v>
      </c>
      <c r="BK19" s="38">
        <f>BP11</f>
        <v>105.68086883876357</v>
      </c>
      <c r="BL19" s="38">
        <f>BR11</f>
        <v>105.85058505850584</v>
      </c>
      <c r="BM19" s="38">
        <f>BT11</f>
        <v>100.29585798816566</v>
      </c>
      <c r="BN19" s="38">
        <f>BV11</f>
        <v>108.27740492170021</v>
      </c>
      <c r="BO19" s="38">
        <f>BX11</f>
        <v>103.98179749715585</v>
      </c>
      <c r="BP19" s="38">
        <f>BZ11</f>
        <v>96.916299559471369</v>
      </c>
      <c r="BQ19" s="38">
        <f>CB11</f>
        <v>102.48587570621469</v>
      </c>
      <c r="BR19" s="38">
        <f>CD11</f>
        <v>98.754246885617221</v>
      </c>
      <c r="BS19" s="38">
        <f>CF11</f>
        <v>91.705069124423972</v>
      </c>
      <c r="BT19" s="38">
        <f>CH11</f>
        <v>75.947521865889215</v>
      </c>
    </row>
    <row r="20" spans="1:85" s="24" customFormat="1" ht="19.5" customHeight="1" x14ac:dyDescent="0.25">
      <c r="A20" s="2" t="s">
        <v>13</v>
      </c>
      <c r="B20" s="22" t="s">
        <v>56</v>
      </c>
      <c r="C20" s="11">
        <f t="shared" si="24"/>
        <v>1229</v>
      </c>
      <c r="D20" s="7">
        <f t="shared" si="25"/>
        <v>635</v>
      </c>
      <c r="E20" s="15">
        <f t="shared" si="26"/>
        <v>594</v>
      </c>
      <c r="F20" s="7">
        <v>35</v>
      </c>
      <c r="G20" s="7">
        <v>34</v>
      </c>
      <c r="H20" s="41">
        <v>61</v>
      </c>
      <c r="I20" s="15">
        <v>45</v>
      </c>
      <c r="J20" s="7">
        <v>60</v>
      </c>
      <c r="K20" s="7">
        <v>46</v>
      </c>
      <c r="L20" s="41">
        <v>59</v>
      </c>
      <c r="M20" s="15">
        <v>58</v>
      </c>
      <c r="N20" s="7">
        <v>52</v>
      </c>
      <c r="O20" s="7">
        <v>62</v>
      </c>
      <c r="P20" s="41">
        <v>72</v>
      </c>
      <c r="Q20" s="15">
        <v>49</v>
      </c>
      <c r="R20" s="7">
        <v>45</v>
      </c>
      <c r="S20" s="7">
        <v>55</v>
      </c>
      <c r="T20" s="41">
        <v>48</v>
      </c>
      <c r="U20" s="15">
        <v>51</v>
      </c>
      <c r="V20" s="7">
        <v>38</v>
      </c>
      <c r="W20" s="7">
        <v>41</v>
      </c>
      <c r="X20" s="41">
        <v>30</v>
      </c>
      <c r="Y20" s="15">
        <v>32</v>
      </c>
      <c r="Z20" s="7">
        <v>38</v>
      </c>
      <c r="AA20" s="7">
        <v>27</v>
      </c>
      <c r="AB20" s="41">
        <v>37</v>
      </c>
      <c r="AC20" s="15">
        <v>24</v>
      </c>
      <c r="AD20" s="7">
        <v>39</v>
      </c>
      <c r="AE20" s="7">
        <v>36</v>
      </c>
      <c r="AF20" s="41">
        <v>9</v>
      </c>
      <c r="AG20" s="15">
        <v>14</v>
      </c>
      <c r="AH20" s="7">
        <v>12</v>
      </c>
      <c r="AI20" s="7">
        <v>20</v>
      </c>
      <c r="AJ20" s="41">
        <v>0</v>
      </c>
      <c r="AK20" s="15">
        <v>0</v>
      </c>
      <c r="AL20" s="8">
        <f t="shared" si="22"/>
        <v>1.4001549398468829</v>
      </c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E20" s="24" t="s">
        <v>4</v>
      </c>
      <c r="BF20" s="38">
        <f>BF12</f>
        <v>105.83657587548639</v>
      </c>
      <c r="BG20" s="38">
        <f>BH12</f>
        <v>110.6000876040298</v>
      </c>
      <c r="BH20" s="38">
        <f>BJ12</f>
        <v>110.25</v>
      </c>
      <c r="BI20" s="38">
        <f>BL12</f>
        <v>106.5040650406504</v>
      </c>
      <c r="BJ20" s="38">
        <f>BN12</f>
        <v>103.22310590205106</v>
      </c>
      <c r="BK20" s="38">
        <f>BP12</f>
        <v>105.58487247141602</v>
      </c>
      <c r="BL20" s="38">
        <f>BR12</f>
        <v>107.99054373522459</v>
      </c>
      <c r="BM20" s="38">
        <f>BT12</f>
        <v>104.48150078165712</v>
      </c>
      <c r="BN20" s="38">
        <f>BV12</f>
        <v>97.729729729729726</v>
      </c>
      <c r="BO20" s="38">
        <f>BX12</f>
        <v>113.95908543922984</v>
      </c>
      <c r="BP20" s="38">
        <f>BZ12</f>
        <v>116.34893125361063</v>
      </c>
      <c r="BQ20" s="38">
        <f>CB12</f>
        <v>112.25517627308339</v>
      </c>
      <c r="BR20" s="38">
        <f>CD12</f>
        <v>108.8235294117647</v>
      </c>
      <c r="BS20" s="38">
        <f>CF12</f>
        <v>74.518201284796575</v>
      </c>
      <c r="BT20" s="38">
        <f>CH12</f>
        <v>66.54611211573237</v>
      </c>
    </row>
    <row r="21" spans="1:85" s="24" customFormat="1" ht="19.5" customHeight="1" x14ac:dyDescent="0.25">
      <c r="A21" s="2" t="s">
        <v>14</v>
      </c>
      <c r="B21" s="22" t="s">
        <v>57</v>
      </c>
      <c r="C21" s="11">
        <f t="shared" si="24"/>
        <v>1422</v>
      </c>
      <c r="D21" s="7">
        <f t="shared" si="25"/>
        <v>718</v>
      </c>
      <c r="E21" s="15">
        <f t="shared" si="26"/>
        <v>704</v>
      </c>
      <c r="F21" s="7">
        <v>28</v>
      </c>
      <c r="G21" s="7">
        <v>30</v>
      </c>
      <c r="H21" s="41">
        <v>65</v>
      </c>
      <c r="I21" s="15">
        <v>62</v>
      </c>
      <c r="J21" s="7">
        <v>66</v>
      </c>
      <c r="K21" s="7">
        <v>49</v>
      </c>
      <c r="L21" s="41">
        <v>45</v>
      </c>
      <c r="M21" s="15">
        <v>58</v>
      </c>
      <c r="N21" s="7">
        <v>59</v>
      </c>
      <c r="O21" s="7">
        <v>54</v>
      </c>
      <c r="P21" s="41">
        <v>54</v>
      </c>
      <c r="Q21" s="15">
        <v>55</v>
      </c>
      <c r="R21" s="7">
        <v>56</v>
      </c>
      <c r="S21" s="7">
        <v>49</v>
      </c>
      <c r="T21" s="41">
        <v>64</v>
      </c>
      <c r="U21" s="15">
        <v>47</v>
      </c>
      <c r="V21" s="7">
        <v>46</v>
      </c>
      <c r="W21" s="7">
        <v>52</v>
      </c>
      <c r="X21" s="41">
        <v>36</v>
      </c>
      <c r="Y21" s="15">
        <v>38</v>
      </c>
      <c r="Z21" s="7">
        <v>54</v>
      </c>
      <c r="AA21" s="7">
        <v>47</v>
      </c>
      <c r="AB21" s="41">
        <v>56</v>
      </c>
      <c r="AC21" s="15">
        <v>53</v>
      </c>
      <c r="AD21" s="7">
        <v>50</v>
      </c>
      <c r="AE21" s="7">
        <v>51</v>
      </c>
      <c r="AF21" s="41">
        <v>15</v>
      </c>
      <c r="AG21" s="15">
        <v>28</v>
      </c>
      <c r="AH21" s="7">
        <v>23</v>
      </c>
      <c r="AI21" s="7">
        <v>31</v>
      </c>
      <c r="AJ21" s="41">
        <v>1</v>
      </c>
      <c r="AK21" s="15">
        <v>0</v>
      </c>
      <c r="AL21" s="8">
        <f t="shared" si="22"/>
        <v>1.6200328107911044</v>
      </c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</row>
    <row r="22" spans="1:85" s="24" customFormat="1" ht="19.5" customHeight="1" x14ac:dyDescent="0.25">
      <c r="A22" s="2" t="s">
        <v>15</v>
      </c>
      <c r="B22" s="22" t="s">
        <v>58</v>
      </c>
      <c r="C22" s="11">
        <f t="shared" si="24"/>
        <v>1727</v>
      </c>
      <c r="D22" s="7">
        <f t="shared" si="25"/>
        <v>865</v>
      </c>
      <c r="E22" s="15">
        <f t="shared" si="26"/>
        <v>862</v>
      </c>
      <c r="F22" s="7">
        <v>78</v>
      </c>
      <c r="G22" s="7">
        <v>52</v>
      </c>
      <c r="H22" s="41">
        <v>84</v>
      </c>
      <c r="I22" s="15">
        <v>76</v>
      </c>
      <c r="J22" s="7">
        <v>65</v>
      </c>
      <c r="K22" s="7">
        <v>83</v>
      </c>
      <c r="L22" s="41">
        <v>60</v>
      </c>
      <c r="M22" s="15">
        <v>74</v>
      </c>
      <c r="N22" s="7">
        <v>79</v>
      </c>
      <c r="O22" s="7">
        <v>92</v>
      </c>
      <c r="P22" s="41">
        <v>69</v>
      </c>
      <c r="Q22" s="15">
        <v>64</v>
      </c>
      <c r="R22" s="7">
        <v>63</v>
      </c>
      <c r="S22" s="7">
        <v>58</v>
      </c>
      <c r="T22" s="41">
        <v>56</v>
      </c>
      <c r="U22" s="15">
        <v>72</v>
      </c>
      <c r="V22" s="7">
        <v>56</v>
      </c>
      <c r="W22" s="7">
        <v>60</v>
      </c>
      <c r="X22" s="41">
        <v>41</v>
      </c>
      <c r="Y22" s="15">
        <v>40</v>
      </c>
      <c r="Z22" s="7">
        <v>56</v>
      </c>
      <c r="AA22" s="7">
        <v>39</v>
      </c>
      <c r="AB22" s="41">
        <v>66</v>
      </c>
      <c r="AC22" s="15">
        <v>66</v>
      </c>
      <c r="AD22" s="7">
        <v>73</v>
      </c>
      <c r="AE22" s="7">
        <v>57</v>
      </c>
      <c r="AF22" s="41">
        <v>13</v>
      </c>
      <c r="AG22" s="15">
        <v>17</v>
      </c>
      <c r="AH22" s="7">
        <v>6</v>
      </c>
      <c r="AI22" s="7">
        <v>12</v>
      </c>
      <c r="AJ22" s="41">
        <v>0</v>
      </c>
      <c r="AK22" s="15">
        <v>0</v>
      </c>
      <c r="AL22" s="8">
        <f t="shared" si="22"/>
        <v>1.9675082026977759</v>
      </c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</row>
    <row r="23" spans="1:85" s="24" customFormat="1" ht="19.5" customHeight="1" x14ac:dyDescent="0.25">
      <c r="A23" s="2" t="s">
        <v>16</v>
      </c>
      <c r="B23" s="22" t="s">
        <v>59</v>
      </c>
      <c r="C23" s="11">
        <f t="shared" si="24"/>
        <v>2581</v>
      </c>
      <c r="D23" s="7">
        <f t="shared" si="25"/>
        <v>1342</v>
      </c>
      <c r="E23" s="15">
        <f t="shared" si="26"/>
        <v>1239</v>
      </c>
      <c r="F23" s="7">
        <v>44</v>
      </c>
      <c r="G23" s="7">
        <v>38</v>
      </c>
      <c r="H23" s="41">
        <v>116</v>
      </c>
      <c r="I23" s="15">
        <v>119</v>
      </c>
      <c r="J23" s="7">
        <v>133</v>
      </c>
      <c r="K23" s="7">
        <v>112</v>
      </c>
      <c r="L23" s="41">
        <v>149</v>
      </c>
      <c r="M23" s="15">
        <v>125</v>
      </c>
      <c r="N23" s="7">
        <v>110</v>
      </c>
      <c r="O23" s="7">
        <v>118</v>
      </c>
      <c r="P23" s="41">
        <v>103</v>
      </c>
      <c r="Q23" s="15">
        <v>107</v>
      </c>
      <c r="R23" s="7">
        <v>121</v>
      </c>
      <c r="S23" s="7">
        <v>115</v>
      </c>
      <c r="T23" s="41">
        <v>88</v>
      </c>
      <c r="U23" s="15">
        <v>101</v>
      </c>
      <c r="V23" s="7">
        <v>72</v>
      </c>
      <c r="W23" s="7">
        <v>90</v>
      </c>
      <c r="X23" s="41">
        <v>76</v>
      </c>
      <c r="Y23" s="15">
        <v>64</v>
      </c>
      <c r="Z23" s="7">
        <v>96</v>
      </c>
      <c r="AA23" s="7">
        <v>69</v>
      </c>
      <c r="AB23" s="41">
        <v>82</v>
      </c>
      <c r="AC23" s="15">
        <v>67</v>
      </c>
      <c r="AD23" s="7">
        <v>125</v>
      </c>
      <c r="AE23" s="7">
        <v>94</v>
      </c>
      <c r="AF23" s="41">
        <v>16</v>
      </c>
      <c r="AG23" s="15">
        <v>9</v>
      </c>
      <c r="AH23" s="7">
        <v>11</v>
      </c>
      <c r="AI23" s="7">
        <v>11</v>
      </c>
      <c r="AJ23" s="41">
        <v>0</v>
      </c>
      <c r="AK23" s="15">
        <v>0</v>
      </c>
      <c r="AL23" s="8">
        <f t="shared" si="22"/>
        <v>2.9404393000364561</v>
      </c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</row>
    <row r="24" spans="1:85" s="24" customFormat="1" ht="19.5" customHeight="1" x14ac:dyDescent="0.25">
      <c r="A24" s="2" t="s">
        <v>8</v>
      </c>
      <c r="B24" s="22" t="s">
        <v>60</v>
      </c>
      <c r="C24" s="11">
        <f t="shared" si="24"/>
        <v>3597</v>
      </c>
      <c r="D24" s="7">
        <f t="shared" si="25"/>
        <v>1874</v>
      </c>
      <c r="E24" s="15">
        <f t="shared" si="26"/>
        <v>1723</v>
      </c>
      <c r="F24" s="7">
        <v>82</v>
      </c>
      <c r="G24" s="7">
        <v>68</v>
      </c>
      <c r="H24" s="41">
        <v>149</v>
      </c>
      <c r="I24" s="15">
        <v>141</v>
      </c>
      <c r="J24" s="7">
        <v>160</v>
      </c>
      <c r="K24" s="7">
        <v>141</v>
      </c>
      <c r="L24" s="41">
        <v>150</v>
      </c>
      <c r="M24" s="15">
        <v>139</v>
      </c>
      <c r="N24" s="7">
        <v>155</v>
      </c>
      <c r="O24" s="7">
        <v>124</v>
      </c>
      <c r="P24" s="41">
        <v>168</v>
      </c>
      <c r="Q24" s="15">
        <v>141</v>
      </c>
      <c r="R24" s="7">
        <v>170</v>
      </c>
      <c r="S24" s="7">
        <v>162</v>
      </c>
      <c r="T24" s="41">
        <v>139</v>
      </c>
      <c r="U24" s="15">
        <v>132</v>
      </c>
      <c r="V24" s="7">
        <v>123</v>
      </c>
      <c r="W24" s="7">
        <v>124</v>
      </c>
      <c r="X24" s="41">
        <v>112</v>
      </c>
      <c r="Y24" s="15">
        <v>87</v>
      </c>
      <c r="Z24" s="7">
        <v>150</v>
      </c>
      <c r="AA24" s="7">
        <v>129</v>
      </c>
      <c r="AB24" s="41">
        <v>148</v>
      </c>
      <c r="AC24" s="15">
        <v>129</v>
      </c>
      <c r="AD24" s="7">
        <v>134</v>
      </c>
      <c r="AE24" s="7">
        <v>139</v>
      </c>
      <c r="AF24" s="41">
        <v>18</v>
      </c>
      <c r="AG24" s="15">
        <v>38</v>
      </c>
      <c r="AH24" s="7">
        <v>16</v>
      </c>
      <c r="AI24" s="7">
        <v>29</v>
      </c>
      <c r="AJ24" s="41">
        <v>0</v>
      </c>
      <c r="AK24" s="15">
        <v>0</v>
      </c>
      <c r="AL24" s="8">
        <f t="shared" si="22"/>
        <v>4.0979310973386802</v>
      </c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CB24" s="2" t="s">
        <v>23</v>
      </c>
    </row>
    <row r="25" spans="1:85" s="24" customFormat="1" ht="19.5" customHeight="1" x14ac:dyDescent="0.25">
      <c r="A25" s="2" t="s">
        <v>17</v>
      </c>
      <c r="B25" s="22" t="s">
        <v>61</v>
      </c>
      <c r="C25" s="11">
        <f t="shared" si="24"/>
        <v>2138</v>
      </c>
      <c r="D25" s="7">
        <f t="shared" si="25"/>
        <v>1071</v>
      </c>
      <c r="E25" s="15">
        <f t="shared" si="26"/>
        <v>1067</v>
      </c>
      <c r="F25" s="7">
        <v>53</v>
      </c>
      <c r="G25" s="7">
        <v>46</v>
      </c>
      <c r="H25" s="41">
        <v>84</v>
      </c>
      <c r="I25" s="15">
        <v>101</v>
      </c>
      <c r="J25" s="7">
        <v>106</v>
      </c>
      <c r="K25" s="7">
        <v>85</v>
      </c>
      <c r="L25" s="41">
        <v>86</v>
      </c>
      <c r="M25" s="15">
        <v>89</v>
      </c>
      <c r="N25" s="7">
        <v>82</v>
      </c>
      <c r="O25" s="7">
        <v>81</v>
      </c>
      <c r="P25" s="41">
        <v>90</v>
      </c>
      <c r="Q25" s="15">
        <v>87</v>
      </c>
      <c r="R25" s="7">
        <v>84</v>
      </c>
      <c r="S25" s="7">
        <v>83</v>
      </c>
      <c r="T25" s="41">
        <v>77</v>
      </c>
      <c r="U25" s="15">
        <v>74</v>
      </c>
      <c r="V25" s="7">
        <v>69</v>
      </c>
      <c r="W25" s="7">
        <v>88</v>
      </c>
      <c r="X25" s="41">
        <v>73</v>
      </c>
      <c r="Y25" s="15">
        <v>70</v>
      </c>
      <c r="Z25" s="7">
        <v>87</v>
      </c>
      <c r="AA25" s="7">
        <v>75</v>
      </c>
      <c r="AB25" s="41">
        <v>93</v>
      </c>
      <c r="AC25" s="15">
        <v>69</v>
      </c>
      <c r="AD25" s="7">
        <v>77</v>
      </c>
      <c r="AE25" s="7">
        <v>96</v>
      </c>
      <c r="AF25" s="41">
        <v>7</v>
      </c>
      <c r="AG25" s="15">
        <v>11</v>
      </c>
      <c r="AH25" s="7">
        <v>3</v>
      </c>
      <c r="AI25" s="7">
        <v>8</v>
      </c>
      <c r="AJ25" s="41">
        <v>0</v>
      </c>
      <c r="AK25" s="15">
        <v>4</v>
      </c>
      <c r="AL25" s="8">
        <f t="shared" si="22"/>
        <v>2.4357455340867662</v>
      </c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CB25" s="2" t="s">
        <v>24</v>
      </c>
    </row>
    <row r="26" spans="1:85" s="24" customFormat="1" ht="19.5" customHeight="1" x14ac:dyDescent="0.25">
      <c r="A26" s="2" t="s">
        <v>18</v>
      </c>
      <c r="B26" s="22" t="s">
        <v>62</v>
      </c>
      <c r="C26" s="11">
        <f t="shared" si="24"/>
        <v>3101</v>
      </c>
      <c r="D26" s="7">
        <f t="shared" si="25"/>
        <v>1651</v>
      </c>
      <c r="E26" s="15">
        <f t="shared" si="26"/>
        <v>1450</v>
      </c>
      <c r="F26" s="7">
        <v>66</v>
      </c>
      <c r="G26" s="7">
        <v>52</v>
      </c>
      <c r="H26" s="41">
        <v>135</v>
      </c>
      <c r="I26" s="15">
        <v>101</v>
      </c>
      <c r="J26" s="7">
        <v>168</v>
      </c>
      <c r="K26" s="7">
        <v>128</v>
      </c>
      <c r="L26" s="41">
        <v>120</v>
      </c>
      <c r="M26" s="15">
        <v>130</v>
      </c>
      <c r="N26" s="7">
        <v>125</v>
      </c>
      <c r="O26" s="7">
        <v>115</v>
      </c>
      <c r="P26" s="41">
        <v>144</v>
      </c>
      <c r="Q26" s="15">
        <v>135</v>
      </c>
      <c r="R26" s="7">
        <v>136</v>
      </c>
      <c r="S26" s="7">
        <v>121</v>
      </c>
      <c r="T26" s="41">
        <v>127</v>
      </c>
      <c r="U26" s="15">
        <v>103</v>
      </c>
      <c r="V26" s="7">
        <v>117</v>
      </c>
      <c r="W26" s="7">
        <v>113</v>
      </c>
      <c r="X26" s="41">
        <v>124</v>
      </c>
      <c r="Y26" s="15">
        <v>100</v>
      </c>
      <c r="Z26" s="7">
        <v>112</v>
      </c>
      <c r="AA26" s="7">
        <v>107</v>
      </c>
      <c r="AB26" s="41">
        <v>125</v>
      </c>
      <c r="AC26" s="15">
        <v>98</v>
      </c>
      <c r="AD26" s="7">
        <v>121</v>
      </c>
      <c r="AE26" s="7">
        <v>94</v>
      </c>
      <c r="AF26" s="41">
        <v>8</v>
      </c>
      <c r="AG26" s="15">
        <v>17</v>
      </c>
      <c r="AH26" s="7">
        <v>9</v>
      </c>
      <c r="AI26" s="7">
        <v>31</v>
      </c>
      <c r="AJ26" s="41">
        <v>14</v>
      </c>
      <c r="AK26" s="15">
        <v>5</v>
      </c>
      <c r="AL26" s="8">
        <f t="shared" si="22"/>
        <v>3.5328563616478306</v>
      </c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CB26" s="2" t="s">
        <v>25</v>
      </c>
    </row>
    <row r="27" spans="1:85" s="24" customFormat="1" ht="19.5" customHeight="1" x14ac:dyDescent="0.25">
      <c r="A27" s="2" t="s">
        <v>19</v>
      </c>
      <c r="B27" s="22" t="s">
        <v>63</v>
      </c>
      <c r="C27" s="11">
        <f t="shared" si="24"/>
        <v>2460</v>
      </c>
      <c r="D27" s="7">
        <f t="shared" si="25"/>
        <v>1244</v>
      </c>
      <c r="E27" s="15">
        <f t="shared" si="26"/>
        <v>1216</v>
      </c>
      <c r="F27" s="7">
        <v>90</v>
      </c>
      <c r="G27" s="7">
        <v>92</v>
      </c>
      <c r="H27" s="41">
        <v>64</v>
      </c>
      <c r="I27" s="15">
        <v>77</v>
      </c>
      <c r="J27" s="7">
        <v>82</v>
      </c>
      <c r="K27" s="7">
        <v>77</v>
      </c>
      <c r="L27" s="41">
        <v>102</v>
      </c>
      <c r="M27" s="15">
        <v>72</v>
      </c>
      <c r="N27" s="7">
        <v>137</v>
      </c>
      <c r="O27" s="7">
        <v>112</v>
      </c>
      <c r="P27" s="41">
        <v>109</v>
      </c>
      <c r="Q27" s="15">
        <v>108</v>
      </c>
      <c r="R27" s="7">
        <v>96</v>
      </c>
      <c r="S27" s="7">
        <v>91</v>
      </c>
      <c r="T27" s="41">
        <v>75</v>
      </c>
      <c r="U27" s="15">
        <v>90</v>
      </c>
      <c r="V27" s="7">
        <v>72</v>
      </c>
      <c r="W27" s="7">
        <v>71</v>
      </c>
      <c r="X27" s="41">
        <v>79</v>
      </c>
      <c r="Y27" s="15">
        <v>71</v>
      </c>
      <c r="Z27" s="7">
        <v>79</v>
      </c>
      <c r="AA27" s="7">
        <v>81</v>
      </c>
      <c r="AB27" s="41">
        <v>86</v>
      </c>
      <c r="AC27" s="15">
        <v>106</v>
      </c>
      <c r="AD27" s="7">
        <v>77</v>
      </c>
      <c r="AE27" s="7">
        <v>94</v>
      </c>
      <c r="AF27" s="41">
        <v>20</v>
      </c>
      <c r="AG27" s="15">
        <v>19</v>
      </c>
      <c r="AH27" s="7">
        <v>17</v>
      </c>
      <c r="AI27" s="7">
        <v>33</v>
      </c>
      <c r="AJ27" s="41">
        <v>59</v>
      </c>
      <c r="AK27" s="15">
        <v>22</v>
      </c>
      <c r="AL27" s="8">
        <f t="shared" si="22"/>
        <v>2.8025884068538098</v>
      </c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CB27" s="2" t="s">
        <v>20</v>
      </c>
    </row>
    <row r="28" spans="1:85" s="24" customFormat="1" ht="19.5" customHeight="1" x14ac:dyDescent="0.25">
      <c r="A28" s="3" t="s">
        <v>5</v>
      </c>
      <c r="B28" s="23" t="s">
        <v>64</v>
      </c>
      <c r="C28" s="20">
        <f t="shared" si="24"/>
        <v>5513</v>
      </c>
      <c r="D28" s="18">
        <f t="shared" si="25"/>
        <v>2769</v>
      </c>
      <c r="E28" s="17">
        <f t="shared" si="26"/>
        <v>2744</v>
      </c>
      <c r="F28" s="18">
        <v>192</v>
      </c>
      <c r="G28" s="18">
        <v>199</v>
      </c>
      <c r="H28" s="42">
        <v>241</v>
      </c>
      <c r="I28" s="17">
        <v>196</v>
      </c>
      <c r="J28" s="18">
        <v>189</v>
      </c>
      <c r="K28" s="18">
        <v>187</v>
      </c>
      <c r="L28" s="42">
        <v>229</v>
      </c>
      <c r="M28" s="17">
        <v>204</v>
      </c>
      <c r="N28" s="18">
        <v>195</v>
      </c>
      <c r="O28" s="18">
        <v>232</v>
      </c>
      <c r="P28" s="42">
        <v>214</v>
      </c>
      <c r="Q28" s="17">
        <v>224</v>
      </c>
      <c r="R28" s="18">
        <v>216</v>
      </c>
      <c r="S28" s="18">
        <v>197</v>
      </c>
      <c r="T28" s="42">
        <v>192</v>
      </c>
      <c r="U28" s="17">
        <v>172</v>
      </c>
      <c r="V28" s="18">
        <v>162</v>
      </c>
      <c r="W28" s="18">
        <v>177</v>
      </c>
      <c r="X28" s="42">
        <v>186</v>
      </c>
      <c r="Y28" s="17">
        <v>199</v>
      </c>
      <c r="Z28" s="18">
        <v>170</v>
      </c>
      <c r="AA28" s="18">
        <v>181</v>
      </c>
      <c r="AB28" s="42">
        <v>182</v>
      </c>
      <c r="AC28" s="17">
        <v>130</v>
      </c>
      <c r="AD28" s="18">
        <v>181</v>
      </c>
      <c r="AE28" s="18">
        <v>178</v>
      </c>
      <c r="AF28" s="42">
        <v>81</v>
      </c>
      <c r="AG28" s="17">
        <v>95</v>
      </c>
      <c r="AH28" s="18">
        <v>106</v>
      </c>
      <c r="AI28" s="18">
        <v>161</v>
      </c>
      <c r="AJ28" s="42">
        <v>33</v>
      </c>
      <c r="AK28" s="17">
        <v>12</v>
      </c>
      <c r="AL28" s="44">
        <f t="shared" si="22"/>
        <v>6.2807601166605904</v>
      </c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CB28" s="2" t="s">
        <v>26</v>
      </c>
    </row>
    <row r="29" spans="1:85" x14ac:dyDescent="0.25">
      <c r="A29" s="32" t="s">
        <v>21</v>
      </c>
      <c r="C29" s="32"/>
      <c r="D29" s="32"/>
      <c r="E29" s="3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4" t="s">
        <v>22</v>
      </c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CB29" s="2" t="s">
        <v>6</v>
      </c>
    </row>
    <row r="30" spans="1:85" x14ac:dyDescent="0.25">
      <c r="CB30" s="2" t="s">
        <v>7</v>
      </c>
    </row>
    <row r="31" spans="1:85" x14ac:dyDescent="0.25">
      <c r="CB31" s="2" t="s">
        <v>9</v>
      </c>
    </row>
    <row r="32" spans="1:85" x14ac:dyDescent="0.25">
      <c r="CB32" s="2" t="s">
        <v>10</v>
      </c>
    </row>
    <row r="33" spans="80:80" x14ac:dyDescent="0.25">
      <c r="CB33" s="2" t="s">
        <v>11</v>
      </c>
    </row>
    <row r="34" spans="80:80" x14ac:dyDescent="0.25">
      <c r="CB34" s="2" t="s">
        <v>12</v>
      </c>
    </row>
    <row r="35" spans="80:80" x14ac:dyDescent="0.25">
      <c r="CB35" s="2" t="s">
        <v>13</v>
      </c>
    </row>
    <row r="36" spans="80:80" x14ac:dyDescent="0.25">
      <c r="CB36" s="2" t="s">
        <v>14</v>
      </c>
    </row>
    <row r="37" spans="80:80" x14ac:dyDescent="0.25">
      <c r="CB37" s="2" t="s">
        <v>15</v>
      </c>
    </row>
    <row r="38" spans="80:80" x14ac:dyDescent="0.25">
      <c r="CB38" s="2" t="s">
        <v>16</v>
      </c>
    </row>
    <row r="39" spans="80:80" x14ac:dyDescent="0.25">
      <c r="CB39" s="2" t="s">
        <v>8</v>
      </c>
    </row>
    <row r="40" spans="80:80" x14ac:dyDescent="0.25">
      <c r="CB40" s="2" t="s">
        <v>17</v>
      </c>
    </row>
    <row r="41" spans="80:80" x14ac:dyDescent="0.25">
      <c r="CB41" s="2" t="s">
        <v>18</v>
      </c>
    </row>
    <row r="42" spans="80:80" x14ac:dyDescent="0.25">
      <c r="CB42" s="2" t="s">
        <v>19</v>
      </c>
    </row>
    <row r="43" spans="80:80" x14ac:dyDescent="0.25">
      <c r="CB43" s="3" t="s">
        <v>5</v>
      </c>
    </row>
  </sheetData>
  <mergeCells count="21">
    <mergeCell ref="F4:G4"/>
    <mergeCell ref="H4:I4"/>
    <mergeCell ref="J4:K4"/>
    <mergeCell ref="L4:M4"/>
    <mergeCell ref="N4:O4"/>
    <mergeCell ref="C4:E4"/>
    <mergeCell ref="AL4:AL5"/>
    <mergeCell ref="AF4:AG4"/>
    <mergeCell ref="B1:AL1"/>
    <mergeCell ref="B2:AL2"/>
    <mergeCell ref="AB4:AC4"/>
    <mergeCell ref="AD4:AE4"/>
    <mergeCell ref="AH4:AI4"/>
    <mergeCell ref="AJ4:AK4"/>
    <mergeCell ref="P4:Q4"/>
    <mergeCell ref="R4:S4"/>
    <mergeCell ref="T4:U4"/>
    <mergeCell ref="V4:W4"/>
    <mergeCell ref="X4:Y4"/>
    <mergeCell ref="Z4:AA4"/>
    <mergeCell ref="B4:B5"/>
  </mergeCells>
  <pageMargins left="0.7" right="0.7" top="0.75" bottom="0.75" header="0.3" footer="0.3"/>
  <pageSetup paperSize="9" scale="48" orientation="landscape" horizontalDpi="4294967295" verticalDpi="4294967295" r:id="rId1"/>
  <rowBreaks count="1" manualBreakCount="1">
    <brk id="48" max="37" man="1"/>
  </rowBreaks>
  <ignoredErrors>
    <ignoredError sqref="F8:AL8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7.13</vt:lpstr>
      <vt:lpstr>'7.13'!Print_Area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2018-04-18T05:09:22Z</cp:lastPrinted>
  <dcterms:created xsi:type="dcterms:W3CDTF">2014-03-05T03:36:41Z</dcterms:created>
  <dcterms:modified xsi:type="dcterms:W3CDTF">2018-04-18T05:11:17Z</dcterms:modified>
</cp:coreProperties>
</file>