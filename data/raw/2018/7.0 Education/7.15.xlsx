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7. EDUCATION\"/>
    </mc:Choice>
  </mc:AlternateContent>
  <bookViews>
    <workbookView xWindow="0" yWindow="0" windowWidth="28800" windowHeight="12330" tabRatio="880"/>
  </bookViews>
  <sheets>
    <sheet name="7.15" sheetId="24" r:id="rId1"/>
  </sheets>
  <definedNames>
    <definedName name="_xlnm.Print_Area" localSheetId="0">'7.15'!$A$1:$N$51</definedName>
  </definedNames>
  <calcPr calcId="162913"/>
</workbook>
</file>

<file path=xl/calcChain.xml><?xml version="1.0" encoding="utf-8"?>
<calcChain xmlns="http://schemas.openxmlformats.org/spreadsheetml/2006/main">
  <c r="AH53" i="24" l="1"/>
  <c r="AH54" i="24"/>
  <c r="AH52" i="24"/>
  <c r="M30" i="24"/>
  <c r="J30" i="24"/>
  <c r="G30" i="24"/>
  <c r="M29" i="24"/>
  <c r="J29" i="24"/>
  <c r="G29" i="24"/>
  <c r="M28" i="24"/>
  <c r="J28" i="24"/>
  <c r="G28" i="24"/>
  <c r="M27" i="24"/>
  <c r="J27" i="24"/>
  <c r="G27" i="24"/>
  <c r="M26" i="24"/>
  <c r="J26" i="24"/>
  <c r="G26" i="24"/>
  <c r="M25" i="24"/>
  <c r="J25" i="24"/>
  <c r="G25" i="24"/>
  <c r="M24" i="24"/>
  <c r="J24" i="24"/>
  <c r="G24" i="24"/>
  <c r="M23" i="24"/>
  <c r="J23" i="24"/>
  <c r="G23" i="24"/>
  <c r="M22" i="24"/>
  <c r="J22" i="24"/>
  <c r="G22" i="24"/>
  <c r="M21" i="24"/>
  <c r="J21" i="24"/>
  <c r="G21" i="24"/>
  <c r="M20" i="24"/>
  <c r="J20" i="24"/>
  <c r="G20" i="24"/>
  <c r="M19" i="24"/>
  <c r="J19" i="24"/>
  <c r="G19" i="24"/>
  <c r="M18" i="24"/>
  <c r="J18" i="24"/>
  <c r="G18" i="24"/>
  <c r="M17" i="24"/>
  <c r="J17" i="24"/>
  <c r="G17" i="24"/>
  <c r="M16" i="24"/>
  <c r="J16" i="24"/>
  <c r="G16" i="24"/>
  <c r="M15" i="24"/>
  <c r="J15" i="24"/>
  <c r="G15" i="24"/>
  <c r="M14" i="24"/>
  <c r="J14" i="24"/>
  <c r="G14" i="24"/>
  <c r="M13" i="24"/>
  <c r="J13" i="24"/>
  <c r="G13" i="24"/>
  <c r="M12" i="24"/>
  <c r="J12" i="24"/>
  <c r="G12" i="24"/>
  <c r="M11" i="24"/>
  <c r="J11" i="24"/>
  <c r="G11" i="24"/>
  <c r="L10" i="24"/>
  <c r="L8" i="24" s="1"/>
  <c r="K10" i="24"/>
  <c r="K8" i="24" s="1"/>
  <c r="I10" i="24"/>
  <c r="J10" i="24" s="1"/>
  <c r="AG54" i="24" s="1"/>
  <c r="H10" i="24"/>
  <c r="F10" i="24"/>
  <c r="F8" i="24" s="1"/>
  <c r="G8" i="24" s="1"/>
  <c r="E10" i="24"/>
  <c r="M9" i="24"/>
  <c r="J9" i="24"/>
  <c r="AG53" i="24" s="1"/>
  <c r="G9" i="24"/>
  <c r="H8" i="24"/>
  <c r="E8" i="24"/>
  <c r="M8" i="24" l="1"/>
  <c r="I8" i="24"/>
  <c r="J8" i="24" s="1"/>
  <c r="AG52" i="24" s="1"/>
  <c r="M10" i="24"/>
  <c r="G10" i="24"/>
</calcChain>
</file>

<file path=xl/sharedStrings.xml><?xml version="1.0" encoding="utf-8"?>
<sst xmlns="http://schemas.openxmlformats.org/spreadsheetml/2006/main" count="81" uniqueCount="60">
  <si>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</si>
  <si>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</si>
  <si>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</si>
  <si>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</si>
  <si>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</si>
  <si>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</si>
  <si>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</si>
  <si>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</si>
  <si>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</si>
  <si>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</si>
  <si>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</si>
  <si>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</si>
  <si>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</si>
  <si>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</si>
  <si>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</si>
  <si>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</si>
  <si>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</si>
  <si>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</si>
  <si>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</si>
  <si>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</si>
  <si>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</si>
  <si>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HA</t>
  </si>
  <si>
    <t>HDh</t>
  </si>
  <si>
    <t>Sh</t>
  </si>
  <si>
    <t>R</t>
  </si>
  <si>
    <t>ތާވަލް 7.15: ޖީ. ސީ. އޯ ލެވެލް އިމްތިހާނުގައި ބައިވެރިވި ދަރިވަރުންގެ ޢަދަދާއި ފާސްވި ދަރިވަރުންގެ ޢަދަދު، 2014 - 2017</t>
  </si>
  <si>
    <t>Table 7.15: Number of students sat and passed in the O'level examination by Atolls, 2014 - 2017</t>
  </si>
  <si>
    <t>Region</t>
  </si>
  <si>
    <t>ސަރަހައްދު</t>
  </si>
  <si>
    <t>Candidates</t>
  </si>
  <si>
    <t>Passed</t>
  </si>
  <si>
    <t>% passed</t>
  </si>
  <si>
    <t>ބައިވެރިވި</t>
  </si>
  <si>
    <t xml:space="preserve">ފާސްވި </t>
  </si>
  <si>
    <t xml:space="preserve">ފާސްވި % </t>
  </si>
  <si>
    <t>ދިވެހިރާއްޖެ</t>
  </si>
  <si>
    <t>މާލެ</t>
  </si>
  <si>
    <t>އަތޮޅުތައް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</si>
  <si>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</si>
  <si>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</si>
  <si>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</si>
  <si>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</si>
  <si>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</si>
  <si>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</si>
  <si>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</si>
  <si>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</si>
  <si>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</si>
  <si>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</si>
  <si>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</si>
  <si>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</si>
  <si>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</si>
  <si>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</si>
  <si>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</si>
  <si>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</si>
  <si>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</si>
  <si>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</si>
  <si>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</si>
  <si>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</si>
  <si>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Note: 1. Here "Passed" means five or more subjects passed.</t>
  </si>
  <si>
    <t xml:space="preserve">          2. Passed grades are A, B and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</si>
</sst>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A_Randhoo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0"/>
      <color theme="1"/>
      <name val="Faruma"/>
    </font>
    <font>
      <b/>
      <sz val="11"/>
      <color theme="1"/>
      <name val="Faruma"/>
    </font>
    <font>
      <sz val="11"/>
      <color theme="1"/>
      <name val="Faruma"/>
    </font>
    <font>
      <b/>
      <sz val="9"/>
      <color theme="1"/>
      <name val="Faruma"/>
    </font>
    <font>
      <i/>
      <sz val="9"/>
      <color theme="1"/>
      <name val="Faruma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theme="1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62">
    <xf numFmtId="0" fontId="0" fillId="0" borderId="0"/>
    <xf numFmtId="164" fontId="2" fillId="0" borderId="0"/>
    <xf numFmtId="164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14" fillId="0" borderId="0" applyFont="0" applyFill="0" applyBorder="0" applyAlignment="0" applyProtection="0"/>
    <xf numFmtId="164" fontId="2" fillId="0" borderId="0"/>
    <xf numFmtId="0" fontId="1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68" fontId="2" fillId="0" borderId="0"/>
    <xf numFmtId="165" fontId="2" fillId="0" borderId="0"/>
    <xf numFmtId="171" fontId="17" fillId="0" borderId="0"/>
    <xf numFmtId="169" fontId="2" fillId="0" borderId="0"/>
    <xf numFmtId="0" fontId="14" fillId="0" borderId="0"/>
    <xf numFmtId="0" fontId="14" fillId="0" borderId="0"/>
    <xf numFmtId="169" fontId="2" fillId="0" borderId="0"/>
    <xf numFmtId="0" fontId="14" fillId="0" borderId="0"/>
    <xf numFmtId="0" fontId="14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14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</cellStyleXfs>
  <cellXfs count="71">
    <xf numFmtId="0" fontId="0" fillId="0" borderId="0" xfId="0"/>
    <xf numFmtId="165" fontId="8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0" fontId="0" fillId="2" borderId="1" xfId="0" applyNumberFormat="1" applyFill="1" applyBorder="1"/>
    <xf numFmtId="0" fontId="0" fillId="2" borderId="2" xfId="0" applyNumberFormat="1" applyFill="1" applyBorder="1"/>
    <xf numFmtId="0" fontId="20" fillId="2" borderId="2" xfId="0" applyNumberFormat="1" applyFont="1" applyFill="1" applyBorder="1"/>
    <xf numFmtId="0" fontId="0" fillId="2" borderId="3" xfId="0" applyNumberFormat="1" applyFill="1" applyBorder="1"/>
    <xf numFmtId="0" fontId="0" fillId="2" borderId="4" xfId="0" applyNumberFormat="1" applyFill="1" applyBorder="1"/>
    <xf numFmtId="0" fontId="19" fillId="2" borderId="10" xfId="0" applyNumberFormat="1" applyFont="1" applyFill="1" applyBorder="1" applyAlignment="1">
      <alignment horizontal="right" vertical="center"/>
    </xf>
    <xf numFmtId="0" fontId="13" fillId="2" borderId="11" xfId="0" applyNumberFormat="1" applyFont="1" applyFill="1" applyBorder="1" applyAlignment="1">
      <alignment horizontal="right"/>
    </xf>
    <xf numFmtId="0" fontId="13" fillId="2" borderId="10" xfId="0" applyNumberFormat="1" applyFont="1" applyFill="1" applyBorder="1" applyAlignment="1">
      <alignment horizontal="right"/>
    </xf>
    <xf numFmtId="0" fontId="13" fillId="2" borderId="12" xfId="0" applyNumberFormat="1" applyFont="1" applyFill="1" applyBorder="1" applyAlignment="1">
      <alignment horizontal="right"/>
    </xf>
    <xf numFmtId="0" fontId="13" fillId="2" borderId="13" xfId="0" applyNumberFormat="1" applyFont="1" applyFill="1" applyBorder="1" applyAlignment="1">
      <alignment horizontal="right"/>
    </xf>
    <xf numFmtId="0" fontId="19" fillId="2" borderId="4" xfId="0" applyNumberFormat="1" applyFont="1" applyFill="1" applyBorder="1" applyAlignment="1">
      <alignment horizontal="right" vertical="center"/>
    </xf>
    <xf numFmtId="0" fontId="19" fillId="2" borderId="15" xfId="0" applyNumberFormat="1" applyFont="1" applyFill="1" applyBorder="1" applyAlignment="1">
      <alignment horizontal="right" vertical="center" wrapText="1"/>
    </xf>
    <xf numFmtId="0" fontId="19" fillId="2" borderId="14" xfId="0" applyNumberFormat="1" applyFont="1" applyFill="1" applyBorder="1" applyAlignment="1">
      <alignment horizontal="right" vertical="center" wrapText="1"/>
    </xf>
    <xf numFmtId="0" fontId="19" fillId="2" borderId="16" xfId="0" applyNumberFormat="1" applyFont="1" applyFill="1" applyBorder="1" applyAlignment="1">
      <alignment horizontal="right" vertical="center" wrapText="1"/>
    </xf>
    <xf numFmtId="0" fontId="19" fillId="2" borderId="17" xfId="0" applyNumberFormat="1" applyFont="1" applyFill="1" applyBorder="1" applyAlignment="1">
      <alignment horizontal="right" vertical="center" wrapText="1"/>
    </xf>
    <xf numFmtId="0" fontId="19" fillId="2" borderId="18" xfId="0" applyNumberFormat="1" applyFont="1" applyFill="1" applyBorder="1" applyAlignment="1">
      <alignment horizontal="right" vertical="center"/>
    </xf>
    <xf numFmtId="0" fontId="7" fillId="2" borderId="10" xfId="0" applyNumberFormat="1" applyFont="1" applyFill="1" applyBorder="1" applyAlignment="1">
      <alignment horizontal="left" vertical="center"/>
    </xf>
    <xf numFmtId="38" fontId="3" fillId="2" borderId="19" xfId="6" applyNumberFormat="1" applyFont="1" applyFill="1" applyBorder="1" applyAlignment="1">
      <alignment horizontal="right" vertical="center"/>
    </xf>
    <xf numFmtId="38" fontId="3" fillId="2" borderId="20" xfId="6" applyNumberFormat="1" applyFont="1" applyFill="1" applyBorder="1" applyAlignment="1">
      <alignment horizontal="right" vertical="center"/>
    </xf>
    <xf numFmtId="38" fontId="3" fillId="2" borderId="12" xfId="6" applyNumberFormat="1" applyFont="1" applyFill="1" applyBorder="1" applyAlignment="1">
      <alignment horizontal="right" vertical="center"/>
    </xf>
    <xf numFmtId="0" fontId="21" fillId="2" borderId="10" xfId="0" applyNumberFormat="1" applyFont="1" applyFill="1" applyBorder="1" applyAlignment="1">
      <alignment horizontal="right" vertical="center"/>
    </xf>
    <xf numFmtId="0" fontId="7" fillId="2" borderId="4" xfId="0" applyNumberFormat="1" applyFont="1" applyFill="1" applyBorder="1" applyAlignment="1">
      <alignment horizontal="left" vertical="center"/>
    </xf>
    <xf numFmtId="38" fontId="3" fillId="2" borderId="4" xfId="6" applyNumberFormat="1" applyFont="1" applyFill="1" applyBorder="1" applyAlignment="1">
      <alignment horizontal="right" vertical="center"/>
    </xf>
    <xf numFmtId="38" fontId="3" fillId="2" borderId="1" xfId="6" applyNumberFormat="1" applyFont="1" applyFill="1" applyBorder="1" applyAlignment="1">
      <alignment horizontal="right" vertical="center"/>
    </xf>
    <xf numFmtId="0" fontId="21" fillId="2" borderId="4" xfId="0" applyNumberFormat="1" applyFont="1" applyFill="1" applyBorder="1" applyAlignment="1">
      <alignment horizontal="right" vertical="center"/>
    </xf>
    <xf numFmtId="38" fontId="21" fillId="2" borderId="4" xfId="0" applyNumberFormat="1" applyFont="1" applyFill="1" applyBorder="1" applyAlignment="1">
      <alignment horizontal="right" vertical="center"/>
    </xf>
    <xf numFmtId="38" fontId="4" fillId="2" borderId="4" xfId="6" applyNumberFormat="1" applyFont="1" applyFill="1" applyBorder="1" applyAlignment="1">
      <alignment horizontal="left" vertical="center"/>
    </xf>
    <xf numFmtId="38" fontId="4" fillId="2" borderId="19" xfId="6" applyNumberFormat="1" applyFont="1" applyFill="1" applyBorder="1" applyAlignment="1">
      <alignment horizontal="right" vertical="center"/>
    </xf>
    <xf numFmtId="38" fontId="4" fillId="2" borderId="4" xfId="6" applyNumberFormat="1" applyFont="1" applyFill="1" applyBorder="1" applyAlignment="1">
      <alignment horizontal="right" vertical="center"/>
    </xf>
    <xf numFmtId="38" fontId="4" fillId="2" borderId="1" xfId="6" applyNumberFormat="1" applyFont="1" applyFill="1" applyBorder="1" applyAlignment="1">
      <alignment horizontal="right" vertical="center"/>
    </xf>
    <xf numFmtId="0" fontId="20" fillId="2" borderId="4" xfId="0" applyNumberFormat="1" applyFont="1" applyFill="1" applyBorder="1" applyAlignment="1">
      <alignment horizontal="right" vertical="center"/>
    </xf>
    <xf numFmtId="0" fontId="9" fillId="2" borderId="4" xfId="3" applyNumberFormat="1" applyFill="1" applyBorder="1" applyAlignment="1" applyProtection="1">
      <alignment horizontal="right" vertical="center"/>
    </xf>
    <xf numFmtId="0" fontId="0" fillId="2" borderId="4" xfId="0" applyNumberFormat="1" applyFill="1" applyBorder="1" applyAlignment="1">
      <alignment horizontal="right" vertical="center"/>
    </xf>
    <xf numFmtId="38" fontId="4" fillId="2" borderId="14" xfId="6" applyNumberFormat="1" applyFont="1" applyFill="1" applyBorder="1" applyAlignment="1">
      <alignment horizontal="left" vertical="center"/>
    </xf>
    <xf numFmtId="38" fontId="4" fillId="2" borderId="15" xfId="6" applyNumberFormat="1" applyFont="1" applyFill="1" applyBorder="1" applyAlignment="1">
      <alignment horizontal="right" vertical="center"/>
    </xf>
    <xf numFmtId="38" fontId="4" fillId="2" borderId="14" xfId="6" applyNumberFormat="1" applyFont="1" applyFill="1" applyBorder="1" applyAlignment="1">
      <alignment horizontal="right" vertical="center"/>
    </xf>
    <xf numFmtId="38" fontId="4" fillId="2" borderId="16" xfId="6" applyNumberFormat="1" applyFont="1" applyFill="1" applyBorder="1" applyAlignment="1">
      <alignment horizontal="right" vertical="center"/>
    </xf>
    <xf numFmtId="0" fontId="20" fillId="2" borderId="14" xfId="0" applyNumberFormat="1" applyFont="1" applyFill="1" applyBorder="1" applyAlignment="1">
      <alignment horizontal="right" vertical="center"/>
    </xf>
    <xf numFmtId="0" fontId="20" fillId="2" borderId="18" xfId="0" applyNumberFormat="1" applyFont="1" applyFill="1" applyBorder="1" applyAlignment="1">
      <alignment horizontal="right" vertical="center"/>
    </xf>
    <xf numFmtId="165" fontId="10" fillId="2" borderId="0" xfId="7" applyNumberFormat="1" applyFont="1" applyFill="1" applyAlignment="1">
      <alignment horizontal="left" vertical="center"/>
    </xf>
    <xf numFmtId="0" fontId="11" fillId="2" borderId="0" xfId="0" applyNumberFormat="1" applyFont="1" applyFill="1" applyBorder="1"/>
    <xf numFmtId="0" fontId="22" fillId="2" borderId="4" xfId="0" applyNumberFormat="1" applyFont="1" applyFill="1" applyBorder="1"/>
    <xf numFmtId="0" fontId="11" fillId="2" borderId="4" xfId="0" applyNumberFormat="1" applyFont="1" applyFill="1" applyBorder="1"/>
    <xf numFmtId="0" fontId="22" fillId="2" borderId="10" xfId="0" applyNumberFormat="1" applyFont="1" applyFill="1" applyBorder="1"/>
    <xf numFmtId="0" fontId="11" fillId="2" borderId="10" xfId="0" applyNumberFormat="1" applyFont="1" applyFill="1" applyBorder="1"/>
    <xf numFmtId="0" fontId="23" fillId="2" borderId="4" xfId="0" applyNumberFormat="1" applyFont="1" applyFill="1" applyBorder="1"/>
    <xf numFmtId="0" fontId="23" fillId="2" borderId="4" xfId="0" applyNumberFormat="1" applyFont="1" applyFill="1" applyBorder="1" applyAlignment="1">
      <alignment horizontal="center" vertical="center"/>
    </xf>
    <xf numFmtId="2" fontId="0" fillId="2" borderId="4" xfId="0" applyNumberFormat="1" applyFill="1" applyBorder="1"/>
    <xf numFmtId="0" fontId="24" fillId="2" borderId="4" xfId="0" applyNumberFormat="1" applyFont="1" applyFill="1" applyBorder="1" applyAlignment="1">
      <alignment horizontal="left" indent="1"/>
    </xf>
    <xf numFmtId="1" fontId="0" fillId="2" borderId="4" xfId="0" applyNumberFormat="1" applyFill="1" applyBorder="1"/>
    <xf numFmtId="38" fontId="20" fillId="2" borderId="4" xfId="0" applyNumberFormat="1" applyFont="1" applyFill="1" applyBorder="1"/>
    <xf numFmtId="38" fontId="0" fillId="2" borderId="0" xfId="0" applyNumberFormat="1" applyFill="1"/>
    <xf numFmtId="0" fontId="19" fillId="2" borderId="1" xfId="0" applyNumberFormat="1" applyFont="1" applyFill="1" applyBorder="1" applyAlignment="1">
      <alignment horizontal="center"/>
    </xf>
    <xf numFmtId="0" fontId="19" fillId="2" borderId="2" xfId="0" applyNumberFormat="1" applyFont="1" applyFill="1" applyBorder="1" applyAlignment="1">
      <alignment horizontal="center"/>
    </xf>
    <xf numFmtId="0" fontId="19" fillId="2" borderId="3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12" fillId="2" borderId="5" xfId="0" applyNumberFormat="1" applyFont="1" applyFill="1" applyBorder="1" applyAlignment="1">
      <alignment horizontal="left" vertical="center"/>
    </xf>
    <xf numFmtId="0" fontId="12" fillId="2" borderId="4" xfId="0" applyNumberFormat="1" applyFont="1" applyFill="1" applyBorder="1" applyAlignment="1">
      <alignment horizontal="left" vertical="center"/>
    </xf>
    <xf numFmtId="0" fontId="12" fillId="2" borderId="14" xfId="0" applyNumberFormat="1" applyFont="1" applyFill="1" applyBorder="1" applyAlignment="1">
      <alignment horizontal="left" vertical="center"/>
    </xf>
    <xf numFmtId="0" fontId="6" fillId="2" borderId="6" xfId="0" applyNumberFormat="1" applyFont="1" applyFill="1" applyBorder="1" applyAlignment="1">
      <alignment horizontal="center" vertical="center"/>
    </xf>
    <xf numFmtId="0" fontId="6" fillId="2" borderId="7" xfId="0" applyNumberFormat="1" applyFont="1" applyFill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>
      <alignment horizontal="center" vertical="center"/>
    </xf>
    <xf numFmtId="0" fontId="18" fillId="2" borderId="5" xfId="0" applyNumberFormat="1" applyFont="1" applyFill="1" applyBorder="1" applyAlignment="1">
      <alignment horizontal="right" vertical="center"/>
    </xf>
    <xf numFmtId="0" fontId="18" fillId="2" borderId="4" xfId="0" applyNumberFormat="1" applyFont="1" applyFill="1" applyBorder="1" applyAlignment="1">
      <alignment horizontal="right" vertical="center"/>
    </xf>
    <xf numFmtId="0" fontId="18" fillId="2" borderId="14" xfId="0" applyNumberFormat="1" applyFont="1" applyFill="1" applyBorder="1" applyAlignment="1">
      <alignment horizontal="right" vertical="center"/>
    </xf>
  </cellXfs>
  <cellStyles count="162">
    <cellStyle name="1" xfId="139"/>
    <cellStyle name="Comma 2" xfId="6"/>
    <cellStyle name="Comma 3" xfId="9"/>
    <cellStyle name="Comma 3 2" xfId="157"/>
    <cellStyle name="Hyperlink" xfId="3" builtinId="8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2"/>
    <cellStyle name="Normal 6 2" xfId="133"/>
    <cellStyle name="Normal 6 2 2" xfId="153"/>
    <cellStyle name="Normal 6 3" xfId="116"/>
    <cellStyle name="Normal 6 3 2" xfId="159"/>
    <cellStyle name="Normal 6 4" xfId="141"/>
    <cellStyle name="Normal 7" xfId="1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740727893594802E-2"/>
          <c:y val="0.15428930540734961"/>
          <c:w val="0.92581389881330911"/>
          <c:h val="0.729730772972981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'7.15'!$Z$52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'7.15'!$AA$51:$AH$51</c15:sqref>
                  </c15:fullRef>
                </c:ext>
              </c:extLst>
              <c:f>'7.15'!$AD$51:$AH$51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'7.15'!$AA$52:$AH$52</c15:sqref>
                  </c15:fullRef>
                </c:ext>
              </c:extLst>
              <c:f>'7.15'!$AD$52:$AH$52</c:f>
              <c:numCache>
                <c:formatCode>0</c:formatCode>
                <c:ptCount val="5"/>
                <c:pt idx="0" formatCode="#,##0_);[Red]\(#,##0\)">
                  <c:v>42.609532980259992</c:v>
                </c:pt>
                <c:pt idx="1" formatCode="#,##0_);[Red]\(#,##0\)">
                  <c:v>46.892301998519613</c:v>
                </c:pt>
                <c:pt idx="2" formatCode="General">
                  <c:v>46</c:v>
                </c:pt>
                <c:pt idx="3" formatCode="#,##0_);[Red]\(#,##0\)">
                  <c:v>59.512550018188435</c:v>
                </c:pt>
                <c:pt idx="4" formatCode="#,##0_);[Red]\(#,##0\)">
                  <c:v>57.758620689655174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3-4520-A9EC-7930E01C8268}"/>
            </c:ext>
          </c:extLst>
        </c:ser>
        <c:ser>
          <c:idx val="1"/>
          <c:order val="1"/>
          <c:tx>
            <c:strRef>
              <c:f>'7.15'!$Z$53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'7.15'!$AA$51:$AH$51</c15:sqref>
                  </c15:fullRef>
                </c:ext>
              </c:extLst>
              <c:f>'7.15'!$AD$51:$AH$51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'7.15'!$AA$53:$AH$53</c15:sqref>
                  </c15:fullRef>
                </c:ext>
              </c:extLst>
              <c:f>'7.15'!$AD$53:$AH$53</c:f>
              <c:numCache>
                <c:formatCode>0</c:formatCode>
                <c:ptCount val="5"/>
                <c:pt idx="0" formatCode="#,##0_);[Red]\(#,##0\)">
                  <c:v>55.791505791505791</c:v>
                </c:pt>
                <c:pt idx="1" formatCode="#,##0_);[Red]\(#,##0\)">
                  <c:v>70</c:v>
                </c:pt>
                <c:pt idx="2" formatCode="General">
                  <c:v>62</c:v>
                </c:pt>
                <c:pt idx="3" formatCode="#,##0_);[Red]\(#,##0\)">
                  <c:v>69.472502805836129</c:v>
                </c:pt>
                <c:pt idx="4" formatCode="#,##0_);[Red]\(#,##0\)">
                  <c:v>71.861471861471856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3-4520-A9EC-7930E01C8268}"/>
            </c:ext>
          </c:extLst>
        </c:ser>
        <c:ser>
          <c:idx val="2"/>
          <c:order val="2"/>
          <c:tx>
            <c:strRef>
              <c:f>'7.15'!$Z$54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'7.15'!$AA$51:$AH$51</c15:sqref>
                  </c15:fullRef>
                </c:ext>
              </c:extLst>
              <c:f>'7.15'!$AD$51:$AH$51</c:f>
              <c:numCache>
                <c:formatCode>General</c:formatCode>
                <c:ptCount val="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'7.15'!$AA$54:$AH$54</c15:sqref>
                  </c15:fullRef>
                </c:ext>
              </c:extLst>
              <c:f>'7.15'!$AD$54:$AH$54</c:f>
              <c:numCache>
                <c:formatCode>0</c:formatCode>
                <c:ptCount val="5"/>
                <c:pt idx="0" formatCode="#,##0_);[Red]\(#,##0\)">
                  <c:v>36.042317864871364</c:v>
                </c:pt>
                <c:pt idx="1" formatCode="#,##0_);[Red]\(#,##0\)">
                  <c:v>38.095554420030659</c:v>
                </c:pt>
                <c:pt idx="2" formatCode="General">
                  <c:v>38</c:v>
                </c:pt>
                <c:pt idx="3" formatCode="#,##0_);[Red]\(#,##0\)">
                  <c:v>54.73627556512379</c:v>
                </c:pt>
                <c:pt idx="4" formatCode="#,##0_);[Red]\(#,##0\)">
                  <c:v>51.429364418540104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3-4520-A9EC-7930E01C8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17321088"/>
        <c:axId val="117331072"/>
      </c:barChart>
      <c:catAx>
        <c:axId val="11732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7331072"/>
        <c:crosses val="autoZero"/>
        <c:auto val="1"/>
        <c:lblAlgn val="ctr"/>
        <c:lblOffset val="100"/>
        <c:noMultiLvlLbl val="0"/>
      </c:catAx>
      <c:valAx>
        <c:axId val="1173310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1"/>
        <c:majorTickMark val="none"/>
        <c:minorTickMark val="none"/>
        <c:tickLblPos val="nextTo"/>
        <c:crossAx val="11732108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612343607141267"/>
          <c:y val="0.19271003697835859"/>
          <c:w val="0.23107440222810258"/>
          <c:h val="5.975854978955045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296883</xdr:colOff>
      <xdr:row>33</xdr:row>
      <xdr:rowOff>38100</xdr:rowOff>
    </xdr:from>
    <xdr:to>
      <xdr:col>13</xdr:col>
      <xdr:colOff>470065</xdr:colOff>
      <xdr:row>49</xdr:row>
      <xdr:rowOff>38099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419100</xdr:colOff>
      <xdr:row>34</xdr:row>
      <xdr:rowOff>171449</xdr:rowOff>
    </xdr:from>
    <xdr:to>
      <xdr:col>11</xdr:col>
      <xdr:colOff>266700</xdr:colOff>
      <xdr:row>34</xdr:row>
      <xdr:rowOff>171449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752600" y="8553449"/>
          <a:ext cx="636270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0.99343</cdr:x>
      <cdr:y>0.18349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0"/>
          <a:ext cx="6432468" cy="5751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7.18: Passed percentage of students who sat O'level exam, 2013 - 2017</a:t>
          </a:r>
          <a:endParaRPr lang="en-US" sz="12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54"/>
  <sheetViews>
    <sheetView tabSelected="1" zoomScaleNormal="100" workbookViewId="0">
      <selection activeCell="Y11" sqref="Y11"/>
    </sheetView>
  </sheetViews>
  <sheetFormatPr defaultRowHeight="15" x14ac:dyDescent="0.25"/>
  <cols>
    <col min="1" max="1" width="9.140625" style="2" customWidth="1"/>
    <col min="2" max="14" width="10.85546875" style="2" customWidth="1"/>
    <col min="15" max="15" width="9.140625" style="2"/>
    <col min="16" max="16" width="6.140625" style="2" customWidth="1"/>
    <col min="17" max="23" width="6.28515625" style="2" customWidth="1"/>
    <col min="24" max="24" width="6.7109375" style="2" customWidth="1"/>
    <col min="25" max="25" width="6.28515625" style="2" customWidth="1"/>
    <col min="26" max="26" width="6" style="2" customWidth="1"/>
    <col min="27" max="27" width="6.5703125" style="2" customWidth="1"/>
    <col min="28" max="28" width="6.140625" style="2" customWidth="1"/>
    <col min="29" max="16384" width="9.140625" style="2"/>
  </cols>
  <sheetData>
    <row r="1" spans="1:33" ht="9.75" customHeight="1" x14ac:dyDescent="0.55000000000000004">
      <c r="A1" s="3"/>
      <c r="B1" s="4"/>
      <c r="C1" s="5"/>
      <c r="D1" s="4"/>
      <c r="E1" s="4"/>
      <c r="F1" s="5"/>
      <c r="G1" s="4"/>
      <c r="H1" s="4"/>
      <c r="I1" s="5"/>
      <c r="J1" s="4"/>
      <c r="K1" s="4"/>
      <c r="L1" s="5"/>
      <c r="M1" s="4"/>
      <c r="N1" s="6"/>
    </row>
    <row r="2" spans="1:33" ht="21" x14ac:dyDescent="0.55000000000000004">
      <c r="A2" s="55" t="s">
        <v>25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7"/>
    </row>
    <row r="3" spans="1:33" x14ac:dyDescent="0.25">
      <c r="A3" s="58" t="s">
        <v>26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</row>
    <row r="4" spans="1:33" ht="6.75" customHeight="1" x14ac:dyDescent="0.25">
      <c r="C4" s="7"/>
      <c r="F4" s="7"/>
      <c r="I4" s="7"/>
      <c r="L4" s="7"/>
    </row>
    <row r="5" spans="1:33" ht="21" x14ac:dyDescent="0.25">
      <c r="A5" s="61" t="s">
        <v>27</v>
      </c>
      <c r="B5" s="64">
        <v>2014</v>
      </c>
      <c r="C5" s="65"/>
      <c r="D5" s="65"/>
      <c r="E5" s="64">
        <v>2015</v>
      </c>
      <c r="F5" s="65"/>
      <c r="G5" s="65"/>
      <c r="H5" s="66">
        <v>2016</v>
      </c>
      <c r="I5" s="65"/>
      <c r="J5" s="67"/>
      <c r="K5" s="66">
        <v>2017</v>
      </c>
      <c r="L5" s="65"/>
      <c r="M5" s="67"/>
      <c r="N5" s="68" t="s">
        <v>28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ht="21" x14ac:dyDescent="0.25">
      <c r="A6" s="62"/>
      <c r="B6" s="9" t="s">
        <v>29</v>
      </c>
      <c r="C6" s="10" t="s">
        <v>30</v>
      </c>
      <c r="D6" s="11" t="s">
        <v>31</v>
      </c>
      <c r="E6" s="9" t="s">
        <v>29</v>
      </c>
      <c r="F6" s="10" t="s">
        <v>30</v>
      </c>
      <c r="G6" s="11" t="s">
        <v>31</v>
      </c>
      <c r="H6" s="12" t="s">
        <v>29</v>
      </c>
      <c r="I6" s="10" t="s">
        <v>30</v>
      </c>
      <c r="J6" s="10" t="s">
        <v>31</v>
      </c>
      <c r="K6" s="12" t="s">
        <v>29</v>
      </c>
      <c r="L6" s="10" t="s">
        <v>30</v>
      </c>
      <c r="M6" s="10" t="s">
        <v>31</v>
      </c>
      <c r="N6" s="69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 spans="1:33" ht="21" x14ac:dyDescent="0.25">
      <c r="A7" s="63"/>
      <c r="B7" s="14" t="s">
        <v>32</v>
      </c>
      <c r="C7" s="15" t="s">
        <v>33</v>
      </c>
      <c r="D7" s="16" t="s">
        <v>34</v>
      </c>
      <c r="E7" s="14" t="s">
        <v>32</v>
      </c>
      <c r="F7" s="15" t="s">
        <v>33</v>
      </c>
      <c r="G7" s="16" t="s">
        <v>34</v>
      </c>
      <c r="H7" s="17" t="s">
        <v>32</v>
      </c>
      <c r="I7" s="15" t="s">
        <v>33</v>
      </c>
      <c r="J7" s="15" t="s">
        <v>34</v>
      </c>
      <c r="K7" s="17" t="s">
        <v>32</v>
      </c>
      <c r="L7" s="15" t="s">
        <v>33</v>
      </c>
      <c r="M7" s="15" t="s">
        <v>34</v>
      </c>
      <c r="N7" s="70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 ht="17.25" x14ac:dyDescent="0.25">
      <c r="A8" s="19" t="s">
        <v>0</v>
      </c>
      <c r="B8" s="20">
        <v>5404</v>
      </c>
      <c r="C8" s="21">
        <v>2534.06</v>
      </c>
      <c r="D8" s="22">
        <v>46.892301998519613</v>
      </c>
      <c r="E8" s="20">
        <f>SUM(E9:E10)</f>
        <v>5272</v>
      </c>
      <c r="F8" s="21">
        <f>SUM(F9:F10)</f>
        <v>2409</v>
      </c>
      <c r="G8" s="22">
        <f>F8/E8*100</f>
        <v>45.694233687405159</v>
      </c>
      <c r="H8" s="20">
        <f>SUM(H9:H10)</f>
        <v>5498</v>
      </c>
      <c r="I8" s="21">
        <f>SUM(I9:I10)</f>
        <v>3272</v>
      </c>
      <c r="J8" s="22">
        <f>I8/H8*100</f>
        <v>59.512550018188435</v>
      </c>
      <c r="K8" s="20">
        <f>SUM(K9:K10)</f>
        <v>5220</v>
      </c>
      <c r="L8" s="21">
        <f>SUM(L9:L10)</f>
        <v>3015</v>
      </c>
      <c r="M8" s="22">
        <f>L8/K8*100</f>
        <v>57.758620689655174</v>
      </c>
      <c r="N8" s="23" t="s">
        <v>35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</row>
    <row r="9" spans="1:33" ht="17.25" x14ac:dyDescent="0.25">
      <c r="A9" s="24" t="s">
        <v>1</v>
      </c>
      <c r="B9" s="20">
        <v>1490</v>
      </c>
      <c r="C9" s="25">
        <v>1043</v>
      </c>
      <c r="D9" s="26">
        <v>70</v>
      </c>
      <c r="E9" s="20">
        <v>1665</v>
      </c>
      <c r="F9" s="25">
        <v>1031</v>
      </c>
      <c r="G9" s="26">
        <f t="shared" ref="G9:G30" si="0">F9/E9*100</f>
        <v>61.921921921921921</v>
      </c>
      <c r="H9" s="20">
        <v>1782</v>
      </c>
      <c r="I9" s="25">
        <v>1238</v>
      </c>
      <c r="J9" s="26">
        <f t="shared" ref="J9:J30" si="1">I9/H9*100</f>
        <v>69.472502805836129</v>
      </c>
      <c r="K9" s="20">
        <v>1617</v>
      </c>
      <c r="L9" s="25">
        <v>1162</v>
      </c>
      <c r="M9" s="25">
        <f>L9/K9*100</f>
        <v>71.861471861471856</v>
      </c>
      <c r="N9" s="27" t="s">
        <v>36</v>
      </c>
      <c r="O9" s="27"/>
      <c r="P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</row>
    <row r="10" spans="1:33" ht="21" x14ac:dyDescent="0.25">
      <c r="A10" s="24" t="s">
        <v>2</v>
      </c>
      <c r="B10" s="20">
        <v>3914</v>
      </c>
      <c r="C10" s="25">
        <v>1491.06</v>
      </c>
      <c r="D10" s="26">
        <v>38.095554420030659</v>
      </c>
      <c r="E10" s="20">
        <f>SUM(E11:E30)</f>
        <v>3607</v>
      </c>
      <c r="F10" s="25">
        <f>SUM(F11:F30)</f>
        <v>1378</v>
      </c>
      <c r="G10" s="26">
        <f t="shared" si="0"/>
        <v>38.203493207651789</v>
      </c>
      <c r="H10" s="20">
        <f>SUM(H11:H30)</f>
        <v>3716</v>
      </c>
      <c r="I10" s="25">
        <f>SUM(I11:I30)</f>
        <v>2034</v>
      </c>
      <c r="J10" s="26">
        <f>I10/H10*100</f>
        <v>54.73627556512379</v>
      </c>
      <c r="K10" s="20">
        <f>SUM(K11:K30)</f>
        <v>3603</v>
      </c>
      <c r="L10" s="25">
        <f>SUM(L11:L30)</f>
        <v>1853</v>
      </c>
      <c r="M10" s="26">
        <f>L10/K10*100</f>
        <v>51.429364418540104</v>
      </c>
      <c r="N10" s="27" t="s">
        <v>37</v>
      </c>
      <c r="O10" s="18"/>
      <c r="P10" s="28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</row>
    <row r="11" spans="1:33" ht="21" x14ac:dyDescent="0.25">
      <c r="A11" s="29" t="s">
        <v>21</v>
      </c>
      <c r="B11" s="30">
        <v>281</v>
      </c>
      <c r="C11" s="31">
        <v>129.26000000000002</v>
      </c>
      <c r="D11" s="32">
        <v>46.000000000000007</v>
      </c>
      <c r="E11" s="30">
        <v>283</v>
      </c>
      <c r="F11" s="31">
        <v>94</v>
      </c>
      <c r="G11" s="32">
        <f t="shared" si="0"/>
        <v>33.215547703180206</v>
      </c>
      <c r="H11" s="30">
        <v>262</v>
      </c>
      <c r="I11" s="31">
        <v>177</v>
      </c>
      <c r="J11" s="32">
        <f t="shared" si="1"/>
        <v>67.55725190839695</v>
      </c>
      <c r="K11" s="30">
        <v>288</v>
      </c>
      <c r="L11" s="31">
        <v>143</v>
      </c>
      <c r="M11" s="32">
        <f t="shared" ref="M11:M30" si="2">L11/K11*100</f>
        <v>49.652777777777779</v>
      </c>
      <c r="N11" s="33" t="s">
        <v>38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 spans="1:33" ht="21" x14ac:dyDescent="0.25">
      <c r="A12" s="29" t="s">
        <v>22</v>
      </c>
      <c r="B12" s="30">
        <v>327</v>
      </c>
      <c r="C12" s="31">
        <v>127.53</v>
      </c>
      <c r="D12" s="32">
        <v>39</v>
      </c>
      <c r="E12" s="30">
        <v>343</v>
      </c>
      <c r="F12" s="31">
        <v>109</v>
      </c>
      <c r="G12" s="32">
        <f t="shared" si="0"/>
        <v>31.778425655976676</v>
      </c>
      <c r="H12" s="30">
        <v>362</v>
      </c>
      <c r="I12" s="31">
        <v>176</v>
      </c>
      <c r="J12" s="32">
        <f t="shared" si="1"/>
        <v>48.618784530386741</v>
      </c>
      <c r="K12" s="30">
        <v>314</v>
      </c>
      <c r="L12" s="31">
        <v>135</v>
      </c>
      <c r="M12" s="32">
        <f t="shared" si="2"/>
        <v>42.99363057324841</v>
      </c>
      <c r="N12" s="33" t="s">
        <v>39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 spans="1:33" ht="21" x14ac:dyDescent="0.25">
      <c r="A13" s="29" t="s">
        <v>23</v>
      </c>
      <c r="B13" s="30">
        <v>263</v>
      </c>
      <c r="C13" s="31">
        <v>115.72</v>
      </c>
      <c r="D13" s="32">
        <v>44</v>
      </c>
      <c r="E13" s="30">
        <v>251</v>
      </c>
      <c r="F13" s="31">
        <v>121</v>
      </c>
      <c r="G13" s="32">
        <f t="shared" si="0"/>
        <v>48.207171314741039</v>
      </c>
      <c r="H13" s="30">
        <v>243</v>
      </c>
      <c r="I13" s="31">
        <v>176</v>
      </c>
      <c r="J13" s="32">
        <f t="shared" si="1"/>
        <v>72.427983539094654</v>
      </c>
      <c r="K13" s="30">
        <v>289</v>
      </c>
      <c r="L13" s="31">
        <v>157</v>
      </c>
      <c r="M13" s="32">
        <f t="shared" si="2"/>
        <v>54.325259515570934</v>
      </c>
      <c r="N13" s="33" t="s">
        <v>40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 spans="1:33" ht="21" x14ac:dyDescent="0.25">
      <c r="A14" s="29" t="s">
        <v>18</v>
      </c>
      <c r="B14" s="30">
        <v>237</v>
      </c>
      <c r="C14" s="31">
        <v>90.06</v>
      </c>
      <c r="D14" s="32">
        <v>38</v>
      </c>
      <c r="E14" s="30">
        <v>169</v>
      </c>
      <c r="F14" s="31">
        <v>53</v>
      </c>
      <c r="G14" s="32">
        <f t="shared" si="0"/>
        <v>31.360946745562128</v>
      </c>
      <c r="H14" s="30">
        <v>192</v>
      </c>
      <c r="I14" s="31">
        <v>123</v>
      </c>
      <c r="J14" s="32">
        <f t="shared" si="1"/>
        <v>64.0625</v>
      </c>
      <c r="K14" s="30">
        <v>178</v>
      </c>
      <c r="L14" s="31">
        <v>93</v>
      </c>
      <c r="M14" s="32">
        <f t="shared" si="2"/>
        <v>52.247191011235962</v>
      </c>
      <c r="N14" s="33" t="s">
        <v>41</v>
      </c>
      <c r="O14" s="33"/>
      <c r="P14" s="33"/>
      <c r="Q14" s="33"/>
      <c r="R14" s="33"/>
      <c r="S14" s="33"/>
      <c r="T14" s="34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 spans="1:33" ht="21" x14ac:dyDescent="0.25">
      <c r="A15" s="29" t="s">
        <v>24</v>
      </c>
      <c r="B15" s="30">
        <v>337</v>
      </c>
      <c r="C15" s="31">
        <v>94.360000000000014</v>
      </c>
      <c r="D15" s="32">
        <v>28.000000000000004</v>
      </c>
      <c r="E15" s="30">
        <v>306</v>
      </c>
      <c r="F15" s="31">
        <v>115</v>
      </c>
      <c r="G15" s="32">
        <f t="shared" si="0"/>
        <v>37.58169934640523</v>
      </c>
      <c r="H15" s="30">
        <v>342</v>
      </c>
      <c r="I15" s="31">
        <v>191</v>
      </c>
      <c r="J15" s="32">
        <f t="shared" si="1"/>
        <v>55.847953216374272</v>
      </c>
      <c r="K15" s="30">
        <v>310</v>
      </c>
      <c r="L15" s="31">
        <v>176</v>
      </c>
      <c r="M15" s="32">
        <f t="shared" si="2"/>
        <v>56.774193548387096</v>
      </c>
      <c r="N15" s="33" t="s">
        <v>42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1:33" ht="21" x14ac:dyDescent="0.25">
      <c r="A16" s="29" t="s">
        <v>4</v>
      </c>
      <c r="B16" s="30">
        <v>208</v>
      </c>
      <c r="C16" s="31">
        <v>87.36</v>
      </c>
      <c r="D16" s="32">
        <v>42</v>
      </c>
      <c r="E16" s="30">
        <v>182</v>
      </c>
      <c r="F16" s="31">
        <v>79</v>
      </c>
      <c r="G16" s="32">
        <f t="shared" si="0"/>
        <v>43.406593406593409</v>
      </c>
      <c r="H16" s="30">
        <v>190</v>
      </c>
      <c r="I16" s="31">
        <v>112</v>
      </c>
      <c r="J16" s="32">
        <f t="shared" si="1"/>
        <v>58.947368421052623</v>
      </c>
      <c r="K16" s="30">
        <v>160</v>
      </c>
      <c r="L16" s="31">
        <v>106</v>
      </c>
      <c r="M16" s="32">
        <f t="shared" si="2"/>
        <v>66.25</v>
      </c>
      <c r="N16" s="33" t="s">
        <v>43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spans="1:34" ht="21" x14ac:dyDescent="0.25">
      <c r="A17" s="29" t="s">
        <v>5</v>
      </c>
      <c r="B17" s="30">
        <v>145</v>
      </c>
      <c r="C17" s="31">
        <v>42.05</v>
      </c>
      <c r="D17" s="32">
        <v>28.999999999999996</v>
      </c>
      <c r="E17" s="30">
        <v>153</v>
      </c>
      <c r="F17" s="31">
        <v>63</v>
      </c>
      <c r="G17" s="32">
        <f t="shared" si="0"/>
        <v>41.17647058823529</v>
      </c>
      <c r="H17" s="30">
        <v>159</v>
      </c>
      <c r="I17" s="31">
        <v>68</v>
      </c>
      <c r="J17" s="32">
        <f t="shared" si="1"/>
        <v>42.767295597484278</v>
      </c>
      <c r="K17" s="30">
        <v>111</v>
      </c>
      <c r="L17" s="31">
        <v>54</v>
      </c>
      <c r="M17" s="32">
        <f t="shared" si="2"/>
        <v>48.648648648648653</v>
      </c>
      <c r="N17" s="33" t="s">
        <v>44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5"/>
    </row>
    <row r="18" spans="1:34" ht="21" x14ac:dyDescent="0.25">
      <c r="A18" s="29" t="s">
        <v>7</v>
      </c>
      <c r="B18" s="30">
        <v>170</v>
      </c>
      <c r="C18" s="31">
        <v>59.499999999999993</v>
      </c>
      <c r="D18" s="32">
        <v>35</v>
      </c>
      <c r="E18" s="30">
        <v>163</v>
      </c>
      <c r="F18" s="31">
        <v>47</v>
      </c>
      <c r="G18" s="32">
        <f t="shared" si="0"/>
        <v>28.834355828220858</v>
      </c>
      <c r="H18" s="30">
        <v>153</v>
      </c>
      <c r="I18" s="31">
        <v>84</v>
      </c>
      <c r="J18" s="32">
        <f t="shared" si="1"/>
        <v>54.901960784313729</v>
      </c>
      <c r="K18" s="30">
        <v>162</v>
      </c>
      <c r="L18" s="31">
        <v>57</v>
      </c>
      <c r="M18" s="32">
        <f t="shared" si="2"/>
        <v>35.185185185185183</v>
      </c>
      <c r="N18" s="33" t="s">
        <v>45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5"/>
    </row>
    <row r="19" spans="1:34" ht="21" x14ac:dyDescent="0.25">
      <c r="A19" s="29" t="s">
        <v>8</v>
      </c>
      <c r="B19" s="30">
        <v>109</v>
      </c>
      <c r="C19" s="31">
        <v>42.51</v>
      </c>
      <c r="D19" s="32">
        <v>38.999999999999993</v>
      </c>
      <c r="E19" s="30">
        <v>86</v>
      </c>
      <c r="F19" s="31">
        <v>23</v>
      </c>
      <c r="G19" s="32">
        <f t="shared" si="0"/>
        <v>26.744186046511626</v>
      </c>
      <c r="H19" s="30">
        <v>89</v>
      </c>
      <c r="I19" s="31">
        <v>38</v>
      </c>
      <c r="J19" s="32">
        <f t="shared" si="1"/>
        <v>42.696629213483142</v>
      </c>
      <c r="K19" s="30">
        <v>88</v>
      </c>
      <c r="L19" s="31">
        <v>46</v>
      </c>
      <c r="M19" s="32">
        <f t="shared" si="2"/>
        <v>52.272727272727273</v>
      </c>
      <c r="N19" s="33" t="s">
        <v>46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5"/>
    </row>
    <row r="20" spans="1:34" ht="21" x14ac:dyDescent="0.25">
      <c r="A20" s="29" t="s">
        <v>9</v>
      </c>
      <c r="B20" s="30">
        <v>142</v>
      </c>
      <c r="C20" s="31">
        <v>51.12</v>
      </c>
      <c r="D20" s="32">
        <v>36</v>
      </c>
      <c r="E20" s="30">
        <v>137</v>
      </c>
      <c r="F20" s="31">
        <v>38</v>
      </c>
      <c r="G20" s="32">
        <f t="shared" si="0"/>
        <v>27.737226277372262</v>
      </c>
      <c r="H20" s="30">
        <v>102</v>
      </c>
      <c r="I20" s="31">
        <v>42</v>
      </c>
      <c r="J20" s="32">
        <f t="shared" si="1"/>
        <v>41.17647058823529</v>
      </c>
      <c r="K20" s="30">
        <v>125</v>
      </c>
      <c r="L20" s="31">
        <v>57</v>
      </c>
      <c r="M20" s="32">
        <f t="shared" si="2"/>
        <v>45.6</v>
      </c>
      <c r="N20" s="33" t="s">
        <v>47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5"/>
    </row>
    <row r="21" spans="1:34" ht="21" x14ac:dyDescent="0.25">
      <c r="A21" s="29" t="s">
        <v>10</v>
      </c>
      <c r="B21" s="30">
        <v>25</v>
      </c>
      <c r="C21" s="31">
        <v>10</v>
      </c>
      <c r="D21" s="32">
        <v>40</v>
      </c>
      <c r="E21" s="30">
        <v>25</v>
      </c>
      <c r="F21" s="31">
        <v>12</v>
      </c>
      <c r="G21" s="32">
        <f t="shared" si="0"/>
        <v>48</v>
      </c>
      <c r="H21" s="30">
        <v>25</v>
      </c>
      <c r="I21" s="31">
        <v>19</v>
      </c>
      <c r="J21" s="32">
        <f t="shared" si="1"/>
        <v>76</v>
      </c>
      <c r="K21" s="30">
        <v>19</v>
      </c>
      <c r="L21" s="31">
        <v>9</v>
      </c>
      <c r="M21" s="32">
        <f t="shared" si="2"/>
        <v>47.368421052631575</v>
      </c>
      <c r="N21" s="33" t="s">
        <v>48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5"/>
    </row>
    <row r="22" spans="1:34" ht="21" x14ac:dyDescent="0.25">
      <c r="A22" s="29" t="s">
        <v>11</v>
      </c>
      <c r="B22" s="30">
        <v>99</v>
      </c>
      <c r="C22" s="31">
        <v>44.550000000000004</v>
      </c>
      <c r="D22" s="32">
        <v>45.000000000000007</v>
      </c>
      <c r="E22" s="30">
        <v>90</v>
      </c>
      <c r="F22" s="31">
        <v>43</v>
      </c>
      <c r="G22" s="32">
        <f t="shared" si="0"/>
        <v>47.777777777777779</v>
      </c>
      <c r="H22" s="30">
        <v>112</v>
      </c>
      <c r="I22" s="31">
        <v>58</v>
      </c>
      <c r="J22" s="32">
        <f t="shared" si="1"/>
        <v>51.785714285714292</v>
      </c>
      <c r="K22" s="30">
        <v>84</v>
      </c>
      <c r="L22" s="31">
        <v>41</v>
      </c>
      <c r="M22" s="32">
        <f t="shared" si="2"/>
        <v>48.80952380952381</v>
      </c>
      <c r="N22" s="33" t="s">
        <v>49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5"/>
    </row>
    <row r="23" spans="1:34" ht="21" x14ac:dyDescent="0.25">
      <c r="A23" s="29" t="s">
        <v>12</v>
      </c>
      <c r="B23" s="30">
        <v>98</v>
      </c>
      <c r="C23" s="31">
        <v>49.980000000000004</v>
      </c>
      <c r="D23" s="32">
        <v>51</v>
      </c>
      <c r="E23" s="30">
        <v>63</v>
      </c>
      <c r="F23" s="31">
        <v>31</v>
      </c>
      <c r="G23" s="32">
        <f t="shared" si="0"/>
        <v>49.206349206349202</v>
      </c>
      <c r="H23" s="30">
        <v>99</v>
      </c>
      <c r="I23" s="31">
        <v>60</v>
      </c>
      <c r="J23" s="32">
        <f t="shared" si="1"/>
        <v>60.606060606060609</v>
      </c>
      <c r="K23" s="30">
        <v>93</v>
      </c>
      <c r="L23" s="31">
        <v>46</v>
      </c>
      <c r="M23" s="32">
        <f t="shared" si="2"/>
        <v>49.462365591397848</v>
      </c>
      <c r="N23" s="33" t="s">
        <v>50</v>
      </c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5"/>
    </row>
    <row r="24" spans="1:34" ht="21" x14ac:dyDescent="0.25">
      <c r="A24" s="29" t="s">
        <v>13</v>
      </c>
      <c r="B24" s="30">
        <v>88</v>
      </c>
      <c r="C24" s="31">
        <v>31.68</v>
      </c>
      <c r="D24" s="32">
        <v>36</v>
      </c>
      <c r="E24" s="30">
        <v>91</v>
      </c>
      <c r="F24" s="31">
        <v>39</v>
      </c>
      <c r="G24" s="32">
        <f t="shared" si="0"/>
        <v>42.857142857142854</v>
      </c>
      <c r="H24" s="30">
        <v>83</v>
      </c>
      <c r="I24" s="31">
        <v>47</v>
      </c>
      <c r="J24" s="32">
        <f t="shared" si="1"/>
        <v>56.626506024096393</v>
      </c>
      <c r="K24" s="30">
        <v>128</v>
      </c>
      <c r="L24" s="31">
        <v>54</v>
      </c>
      <c r="M24" s="32">
        <f t="shared" si="2"/>
        <v>42.1875</v>
      </c>
      <c r="N24" s="33" t="s">
        <v>51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5"/>
    </row>
    <row r="25" spans="1:34" ht="21" x14ac:dyDescent="0.25">
      <c r="A25" s="29" t="s">
        <v>14</v>
      </c>
      <c r="B25" s="30">
        <v>140</v>
      </c>
      <c r="C25" s="31">
        <v>47.6</v>
      </c>
      <c r="D25" s="32">
        <v>34</v>
      </c>
      <c r="E25" s="30">
        <v>145</v>
      </c>
      <c r="F25" s="31">
        <v>59</v>
      </c>
      <c r="G25" s="32">
        <f t="shared" si="0"/>
        <v>40.689655172413794</v>
      </c>
      <c r="H25" s="30">
        <v>182</v>
      </c>
      <c r="I25" s="31">
        <v>106</v>
      </c>
      <c r="J25" s="32">
        <f t="shared" si="1"/>
        <v>58.241758241758248</v>
      </c>
      <c r="K25" s="30">
        <v>215</v>
      </c>
      <c r="L25" s="31">
        <v>95</v>
      </c>
      <c r="M25" s="32">
        <f t="shared" si="2"/>
        <v>44.186046511627907</v>
      </c>
      <c r="N25" s="33" t="s">
        <v>52</v>
      </c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5"/>
    </row>
    <row r="26" spans="1:34" ht="21" x14ac:dyDescent="0.25">
      <c r="A26" s="29" t="s">
        <v>6</v>
      </c>
      <c r="B26" s="30">
        <v>217</v>
      </c>
      <c r="C26" s="31">
        <v>54.25</v>
      </c>
      <c r="D26" s="32">
        <v>25</v>
      </c>
      <c r="E26" s="30">
        <v>215</v>
      </c>
      <c r="F26" s="31">
        <v>60</v>
      </c>
      <c r="G26" s="32">
        <f t="shared" si="0"/>
        <v>27.906976744186046</v>
      </c>
      <c r="H26" s="30">
        <v>241</v>
      </c>
      <c r="I26" s="31">
        <v>100</v>
      </c>
      <c r="J26" s="32">
        <f t="shared" si="1"/>
        <v>41.49377593360996</v>
      </c>
      <c r="K26" s="30">
        <v>237</v>
      </c>
      <c r="L26" s="31">
        <v>110</v>
      </c>
      <c r="M26" s="32">
        <f t="shared" si="2"/>
        <v>46.413502109704638</v>
      </c>
      <c r="N26" s="33" t="s">
        <v>53</v>
      </c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5"/>
    </row>
    <row r="27" spans="1:34" ht="21" x14ac:dyDescent="0.25">
      <c r="A27" s="29" t="s">
        <v>15</v>
      </c>
      <c r="B27" s="30">
        <v>214</v>
      </c>
      <c r="C27" s="31">
        <v>74.899999999999991</v>
      </c>
      <c r="D27" s="32">
        <v>35</v>
      </c>
      <c r="E27" s="30">
        <v>180</v>
      </c>
      <c r="F27" s="31">
        <v>86</v>
      </c>
      <c r="G27" s="32">
        <f t="shared" si="0"/>
        <v>47.777777777777779</v>
      </c>
      <c r="H27" s="30">
        <v>171</v>
      </c>
      <c r="I27" s="31">
        <v>93</v>
      </c>
      <c r="J27" s="32">
        <f t="shared" si="1"/>
        <v>54.385964912280706</v>
      </c>
      <c r="K27" s="30">
        <v>146</v>
      </c>
      <c r="L27" s="31">
        <v>101</v>
      </c>
      <c r="M27" s="32">
        <f t="shared" si="2"/>
        <v>69.178082191780817</v>
      </c>
      <c r="N27" s="33" t="s">
        <v>54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5"/>
    </row>
    <row r="28" spans="1:34" ht="21" x14ac:dyDescent="0.25">
      <c r="A28" s="29" t="s">
        <v>16</v>
      </c>
      <c r="B28" s="30">
        <v>267</v>
      </c>
      <c r="C28" s="31">
        <v>90.78</v>
      </c>
      <c r="D28" s="32">
        <v>34</v>
      </c>
      <c r="E28" s="30">
        <v>211</v>
      </c>
      <c r="F28" s="31">
        <v>93</v>
      </c>
      <c r="G28" s="32">
        <f t="shared" si="0"/>
        <v>44.075829383886258</v>
      </c>
      <c r="H28" s="30">
        <v>200</v>
      </c>
      <c r="I28" s="31">
        <v>79</v>
      </c>
      <c r="J28" s="32">
        <f t="shared" si="1"/>
        <v>39.5</v>
      </c>
      <c r="K28" s="30">
        <v>189</v>
      </c>
      <c r="L28" s="31">
        <v>91</v>
      </c>
      <c r="M28" s="32">
        <f t="shared" si="2"/>
        <v>48.148148148148145</v>
      </c>
      <c r="N28" s="33" t="s">
        <v>55</v>
      </c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5"/>
    </row>
    <row r="29" spans="1:34" ht="21" x14ac:dyDescent="0.25">
      <c r="A29" s="29" t="s">
        <v>17</v>
      </c>
      <c r="B29" s="30">
        <v>171</v>
      </c>
      <c r="C29" s="31">
        <v>59.849999999999994</v>
      </c>
      <c r="D29" s="32">
        <v>35</v>
      </c>
      <c r="E29" s="30">
        <v>201</v>
      </c>
      <c r="F29" s="31">
        <v>59</v>
      </c>
      <c r="G29" s="32">
        <f t="shared" si="0"/>
        <v>29.35323383084577</v>
      </c>
      <c r="H29" s="30">
        <v>172</v>
      </c>
      <c r="I29" s="31">
        <v>78</v>
      </c>
      <c r="J29" s="32">
        <f t="shared" si="1"/>
        <v>45.348837209302324</v>
      </c>
      <c r="K29" s="30">
        <v>156</v>
      </c>
      <c r="L29" s="31">
        <v>74</v>
      </c>
      <c r="M29" s="32">
        <f t="shared" si="2"/>
        <v>47.435897435897431</v>
      </c>
      <c r="N29" s="33" t="s">
        <v>56</v>
      </c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5"/>
    </row>
    <row r="30" spans="1:34" ht="21" x14ac:dyDescent="0.25">
      <c r="A30" s="36" t="s">
        <v>3</v>
      </c>
      <c r="B30" s="37">
        <v>376</v>
      </c>
      <c r="C30" s="38">
        <v>188</v>
      </c>
      <c r="D30" s="39">
        <v>50</v>
      </c>
      <c r="E30" s="37">
        <v>313</v>
      </c>
      <c r="F30" s="38">
        <v>154</v>
      </c>
      <c r="G30" s="39">
        <f t="shared" si="0"/>
        <v>49.201277955271564</v>
      </c>
      <c r="H30" s="37">
        <v>337</v>
      </c>
      <c r="I30" s="38">
        <v>207</v>
      </c>
      <c r="J30" s="39">
        <f t="shared" si="1"/>
        <v>61.424332344213653</v>
      </c>
      <c r="K30" s="37">
        <v>311</v>
      </c>
      <c r="L30" s="38">
        <v>208</v>
      </c>
      <c r="M30" s="39">
        <f t="shared" si="2"/>
        <v>66.881028938906752</v>
      </c>
      <c r="N30" s="40" t="s">
        <v>57</v>
      </c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35"/>
    </row>
    <row r="31" spans="1:34" ht="18" x14ac:dyDescent="0.45">
      <c r="A31" s="42" t="s">
        <v>19</v>
      </c>
      <c r="B31" s="43"/>
      <c r="C31" s="44"/>
      <c r="D31" s="45"/>
      <c r="E31" s="43"/>
      <c r="F31" s="46"/>
      <c r="G31" s="47"/>
      <c r="H31" s="43"/>
      <c r="I31" s="46"/>
      <c r="J31" s="47"/>
      <c r="K31" s="43"/>
      <c r="L31" s="46"/>
      <c r="M31" s="47"/>
      <c r="N31" s="1" t="s">
        <v>20</v>
      </c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</row>
    <row r="32" spans="1:34" ht="18" x14ac:dyDescent="0.45">
      <c r="A32" s="45" t="s">
        <v>58</v>
      </c>
      <c r="B32" s="45"/>
      <c r="C32" s="44"/>
      <c r="D32" s="45"/>
      <c r="E32" s="45"/>
      <c r="F32" s="44"/>
      <c r="G32" s="45"/>
      <c r="H32" s="45"/>
      <c r="I32" s="44"/>
      <c r="J32" s="45"/>
      <c r="K32" s="45"/>
      <c r="L32" s="44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8"/>
    </row>
    <row r="33" spans="1:37" ht="18" x14ac:dyDescent="0.45">
      <c r="A33" s="45" t="s">
        <v>59</v>
      </c>
      <c r="B33" s="45"/>
      <c r="C33" s="44"/>
      <c r="D33" s="45"/>
      <c r="E33" s="45"/>
      <c r="F33" s="44"/>
      <c r="G33" s="45"/>
      <c r="H33" s="45"/>
      <c r="I33" s="44"/>
      <c r="J33" s="45"/>
      <c r="K33" s="45"/>
      <c r="L33" s="44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9"/>
      <c r="AJ33" s="49"/>
      <c r="AK33" s="49"/>
    </row>
    <row r="34" spans="1:37" x14ac:dyDescent="0.25">
      <c r="Q34" s="45"/>
      <c r="R34" s="45"/>
      <c r="S34" s="45"/>
      <c r="T34" s="45"/>
      <c r="U34" s="45"/>
      <c r="V34" s="45"/>
      <c r="W34" s="45"/>
      <c r="X34" s="45"/>
      <c r="Y34" s="45"/>
      <c r="Z34" s="45"/>
      <c r="AI34" s="50"/>
      <c r="AJ34" s="50"/>
      <c r="AK34" s="50"/>
    </row>
    <row r="35" spans="1:37" x14ac:dyDescent="0.25">
      <c r="Q35" s="45"/>
      <c r="R35" s="45"/>
      <c r="S35" s="45"/>
      <c r="T35" s="45"/>
      <c r="U35" s="45"/>
      <c r="V35" s="45"/>
      <c r="W35" s="45"/>
      <c r="X35" s="45"/>
      <c r="Y35" s="45"/>
      <c r="Z35" s="45"/>
      <c r="AH35" s="51"/>
      <c r="AI35" s="50"/>
      <c r="AJ35" s="50"/>
      <c r="AK35" s="50"/>
    </row>
    <row r="36" spans="1:37" x14ac:dyDescent="0.25">
      <c r="Q36" s="45"/>
      <c r="R36" s="45"/>
      <c r="S36" s="45"/>
      <c r="T36" s="45"/>
      <c r="U36" s="45"/>
      <c r="V36" s="45"/>
      <c r="W36" s="45"/>
      <c r="X36" s="45"/>
      <c r="Y36" s="45"/>
      <c r="Z36" s="45"/>
      <c r="AH36" s="51"/>
      <c r="AI36" s="50"/>
      <c r="AJ36" s="50"/>
      <c r="AK36" s="50"/>
    </row>
    <row r="37" spans="1:37" x14ac:dyDescent="0.25">
      <c r="Q37" s="45"/>
      <c r="R37" s="45"/>
      <c r="S37" s="45"/>
      <c r="T37" s="45"/>
      <c r="U37" s="45"/>
      <c r="V37" s="45"/>
      <c r="W37" s="45"/>
      <c r="X37" s="45"/>
      <c r="Y37" s="45"/>
      <c r="Z37" s="45"/>
      <c r="AH37" s="51"/>
      <c r="AI37" s="50"/>
      <c r="AJ37" s="50"/>
      <c r="AK37" s="50"/>
    </row>
    <row r="38" spans="1:37" x14ac:dyDescent="0.25">
      <c r="Q38" s="45"/>
      <c r="R38" s="45"/>
      <c r="S38" s="45"/>
      <c r="T38" s="45"/>
      <c r="U38" s="45"/>
      <c r="V38" s="45"/>
      <c r="W38" s="45"/>
      <c r="X38" s="45"/>
      <c r="Y38" s="45"/>
      <c r="Z38" s="45"/>
      <c r="AH38" s="51"/>
      <c r="AI38" s="50"/>
      <c r="AJ38" s="50"/>
      <c r="AK38" s="50"/>
    </row>
    <row r="39" spans="1:37" x14ac:dyDescent="0.25">
      <c r="Q39" s="45"/>
      <c r="R39" s="45"/>
      <c r="S39" s="45"/>
      <c r="T39" s="45"/>
      <c r="U39" s="45"/>
      <c r="V39" s="45"/>
      <c r="W39" s="45"/>
      <c r="X39" s="45"/>
      <c r="Y39" s="45"/>
      <c r="Z39" s="45"/>
      <c r="AH39" s="51"/>
      <c r="AI39" s="50"/>
      <c r="AJ39" s="50"/>
      <c r="AK39" s="50"/>
    </row>
    <row r="40" spans="1:37" x14ac:dyDescent="0.25">
      <c r="Q40" s="45"/>
      <c r="R40" s="45"/>
      <c r="S40" s="45"/>
      <c r="T40" s="45"/>
      <c r="U40" s="45"/>
      <c r="V40" s="45"/>
      <c r="W40" s="45"/>
      <c r="X40" s="45"/>
      <c r="Y40" s="45"/>
      <c r="Z40" s="45"/>
      <c r="AH40" s="51"/>
      <c r="AI40" s="50"/>
      <c r="AJ40" s="50"/>
      <c r="AK40" s="50"/>
    </row>
    <row r="41" spans="1:37" x14ac:dyDescent="0.25">
      <c r="Q41" s="45"/>
      <c r="R41" s="45"/>
      <c r="S41" s="45"/>
      <c r="T41" s="45"/>
      <c r="U41" s="45"/>
      <c r="V41" s="45"/>
      <c r="W41" s="45"/>
      <c r="X41" s="45"/>
      <c r="Y41" s="45"/>
      <c r="Z41" s="45"/>
      <c r="AH41" s="51"/>
      <c r="AI41" s="50"/>
      <c r="AJ41" s="50"/>
      <c r="AK41" s="50"/>
    </row>
    <row r="42" spans="1:37" x14ac:dyDescent="0.25">
      <c r="Q42" s="45"/>
      <c r="R42" s="45"/>
      <c r="S42" s="45"/>
      <c r="T42" s="45"/>
      <c r="U42" s="45"/>
      <c r="V42" s="45"/>
      <c r="W42" s="45"/>
      <c r="X42" s="45"/>
      <c r="Y42" s="45"/>
      <c r="Z42" s="45"/>
      <c r="AH42" s="51"/>
      <c r="AI42" s="50"/>
      <c r="AJ42" s="50"/>
      <c r="AK42" s="50"/>
    </row>
    <row r="43" spans="1:37" x14ac:dyDescent="0.25">
      <c r="Q43" s="45"/>
      <c r="R43" s="45"/>
      <c r="S43" s="45"/>
      <c r="T43" s="45"/>
      <c r="U43" s="45"/>
      <c r="V43" s="45"/>
      <c r="W43" s="45"/>
      <c r="X43" s="45"/>
      <c r="Y43" s="45"/>
      <c r="Z43" s="45"/>
      <c r="AH43" s="51"/>
      <c r="AI43" s="50"/>
      <c r="AJ43" s="50"/>
      <c r="AK43" s="50"/>
    </row>
    <row r="44" spans="1:37" x14ac:dyDescent="0.25">
      <c r="Q44" s="45"/>
      <c r="R44" s="45"/>
      <c r="S44" s="45"/>
      <c r="T44" s="45"/>
      <c r="U44" s="45"/>
      <c r="V44" s="45"/>
      <c r="W44" s="45"/>
      <c r="X44" s="45"/>
      <c r="Y44" s="45"/>
      <c r="Z44" s="45"/>
      <c r="AH44" s="51"/>
      <c r="AI44" s="50"/>
      <c r="AJ44" s="50"/>
      <c r="AK44" s="50"/>
    </row>
    <row r="45" spans="1:37" x14ac:dyDescent="0.25">
      <c r="Q45" s="45"/>
      <c r="R45" s="45"/>
      <c r="S45" s="45"/>
      <c r="T45" s="45"/>
      <c r="U45" s="45"/>
      <c r="V45" s="45"/>
      <c r="W45" s="45"/>
      <c r="X45" s="45"/>
      <c r="Y45" s="45"/>
      <c r="Z45" s="45"/>
      <c r="AH45" s="51"/>
      <c r="AI45" s="50"/>
      <c r="AJ45" s="50"/>
      <c r="AK45" s="50"/>
    </row>
    <row r="46" spans="1:37" x14ac:dyDescent="0.25">
      <c r="Q46" s="45"/>
      <c r="R46" s="45"/>
      <c r="S46" s="45"/>
      <c r="T46" s="45"/>
      <c r="U46" s="45"/>
      <c r="V46" s="45"/>
      <c r="W46" s="45"/>
      <c r="X46" s="45"/>
      <c r="Y46" s="45"/>
      <c r="Z46" s="45"/>
      <c r="AH46" s="51"/>
      <c r="AI46" s="50"/>
      <c r="AJ46" s="50"/>
      <c r="AK46" s="50"/>
    </row>
    <row r="47" spans="1:37" x14ac:dyDescent="0.25">
      <c r="Q47" s="45"/>
      <c r="R47" s="45"/>
      <c r="S47" s="45"/>
      <c r="T47" s="45"/>
      <c r="U47" s="45"/>
      <c r="V47" s="45"/>
      <c r="W47" s="45"/>
      <c r="X47" s="45"/>
      <c r="Y47" s="45"/>
      <c r="Z47" s="45"/>
      <c r="AH47" s="51"/>
      <c r="AI47" s="50"/>
      <c r="AJ47" s="50"/>
      <c r="AK47" s="50"/>
    </row>
    <row r="48" spans="1:37" x14ac:dyDescent="0.25">
      <c r="Q48" s="45"/>
      <c r="R48" s="45"/>
      <c r="S48" s="45"/>
      <c r="T48" s="45"/>
      <c r="U48" s="45"/>
      <c r="V48" s="45"/>
      <c r="W48" s="45"/>
      <c r="X48" s="45"/>
      <c r="Y48" s="45"/>
      <c r="Z48" s="45"/>
      <c r="AH48" s="51"/>
      <c r="AI48" s="50"/>
      <c r="AJ48" s="50"/>
      <c r="AK48" s="50"/>
    </row>
    <row r="49" spans="17:37" x14ac:dyDescent="0.25">
      <c r="Q49" s="45"/>
      <c r="R49" s="45"/>
      <c r="S49" s="45"/>
      <c r="T49" s="45"/>
      <c r="U49" s="45"/>
      <c r="V49" s="45"/>
      <c r="W49" s="45"/>
      <c r="X49" s="45"/>
      <c r="Y49" s="45"/>
      <c r="Z49" s="45"/>
      <c r="AH49" s="51"/>
      <c r="AI49" s="50"/>
      <c r="AJ49" s="50"/>
      <c r="AK49" s="50"/>
    </row>
    <row r="50" spans="17:37" x14ac:dyDescent="0.25">
      <c r="Q50" s="45"/>
      <c r="R50" s="45"/>
      <c r="S50" s="45"/>
      <c r="T50" s="45"/>
      <c r="U50" s="45"/>
      <c r="V50" s="45"/>
      <c r="W50" s="45"/>
      <c r="X50" s="45"/>
      <c r="Y50" s="45"/>
      <c r="Z50" s="45"/>
      <c r="AH50" s="51"/>
      <c r="AI50" s="50"/>
      <c r="AJ50" s="50"/>
      <c r="AK50" s="50"/>
    </row>
    <row r="51" spans="17:37" x14ac:dyDescent="0.25">
      <c r="Q51" s="45"/>
      <c r="R51" s="45"/>
      <c r="S51" s="45"/>
      <c r="T51" s="45"/>
      <c r="U51" s="45"/>
      <c r="V51" s="45"/>
      <c r="W51" s="45"/>
      <c r="X51" s="45"/>
      <c r="Y51" s="45"/>
      <c r="AA51" s="7">
        <v>2010</v>
      </c>
      <c r="AB51" s="7">
        <v>2011</v>
      </c>
      <c r="AC51" s="7">
        <v>2012</v>
      </c>
      <c r="AD51" s="7">
        <v>2013</v>
      </c>
      <c r="AE51" s="7">
        <v>2014</v>
      </c>
      <c r="AF51" s="2">
        <v>2015</v>
      </c>
      <c r="AG51" s="7">
        <v>2016</v>
      </c>
      <c r="AH51" s="7">
        <v>2017</v>
      </c>
      <c r="AI51" s="50"/>
      <c r="AJ51" s="50"/>
      <c r="AK51" s="50"/>
    </row>
    <row r="52" spans="17:37" ht="21" x14ac:dyDescent="0.55000000000000004">
      <c r="Q52" s="45"/>
      <c r="R52" s="45"/>
      <c r="S52" s="45"/>
      <c r="T52" s="45"/>
      <c r="U52" s="45"/>
      <c r="V52" s="45"/>
      <c r="W52" s="45"/>
      <c r="X52" s="45"/>
      <c r="Y52" s="45"/>
      <c r="Z52" s="7" t="s">
        <v>0</v>
      </c>
      <c r="AA52" s="52">
        <v>34.739884393063583</v>
      </c>
      <c r="AB52" s="52">
        <v>55.006218905472636</v>
      </c>
      <c r="AC52" s="52">
        <v>41.821619918058623</v>
      </c>
      <c r="AD52" s="53">
        <v>42.609532980259992</v>
      </c>
      <c r="AE52" s="53">
        <v>46.892301998519613</v>
      </c>
      <c r="AF52" s="2">
        <v>46</v>
      </c>
      <c r="AG52" s="54">
        <f>J8</f>
        <v>59.512550018188435</v>
      </c>
      <c r="AH52" s="54">
        <f>M8</f>
        <v>57.758620689655174</v>
      </c>
      <c r="AI52" s="50"/>
      <c r="AJ52" s="50"/>
      <c r="AK52" s="50"/>
    </row>
    <row r="53" spans="17:37" ht="21" x14ac:dyDescent="0.55000000000000004">
      <c r="Q53" s="45"/>
      <c r="R53" s="45"/>
      <c r="S53" s="45"/>
      <c r="T53" s="45"/>
      <c r="U53" s="45"/>
      <c r="V53" s="45"/>
      <c r="W53" s="45"/>
      <c r="X53" s="45"/>
      <c r="Y53" s="45"/>
      <c r="Z53" s="7" t="s">
        <v>1</v>
      </c>
      <c r="AA53" s="52">
        <v>53.695881731784581</v>
      </c>
      <c r="AB53" s="52">
        <v>57.991120976692571</v>
      </c>
      <c r="AC53" s="52">
        <v>59.810625986322982</v>
      </c>
      <c r="AD53" s="53">
        <v>55.791505791505791</v>
      </c>
      <c r="AE53" s="53">
        <v>70</v>
      </c>
      <c r="AF53" s="2">
        <v>62</v>
      </c>
      <c r="AG53" s="54">
        <f>J9</f>
        <v>69.472502805836129</v>
      </c>
      <c r="AH53" s="54">
        <f t="shared" ref="AH53:AH54" si="3">M9</f>
        <v>71.861471861471856</v>
      </c>
      <c r="AI53" s="50"/>
      <c r="AJ53" s="50"/>
      <c r="AK53" s="50"/>
    </row>
    <row r="54" spans="17:37" ht="21" x14ac:dyDescent="0.55000000000000004">
      <c r="Z54" s="7" t="s">
        <v>2</v>
      </c>
      <c r="AA54" s="52">
        <v>27.596498209311584</v>
      </c>
      <c r="AB54" s="52">
        <v>29.784017278617707</v>
      </c>
      <c r="AC54" s="52">
        <v>34.128233970753655</v>
      </c>
      <c r="AD54" s="53">
        <v>36.042317864871364</v>
      </c>
      <c r="AE54" s="53">
        <v>38.095554420030659</v>
      </c>
      <c r="AF54" s="2">
        <v>38</v>
      </c>
      <c r="AG54" s="54">
        <f>J10</f>
        <v>54.73627556512379</v>
      </c>
      <c r="AH54" s="54">
        <f t="shared" si="3"/>
        <v>51.429364418540104</v>
      </c>
    </row>
  </sheetData>
  <mergeCells count="8">
    <mergeCell ref="A2:N2"/>
    <mergeCell ref="A3:N3"/>
    <mergeCell ref="A5:A7"/>
    <mergeCell ref="B5:D5"/>
    <mergeCell ref="E5:G5"/>
    <mergeCell ref="H5:J5"/>
    <mergeCell ref="K5:M5"/>
    <mergeCell ref="N5:N7"/>
  </mergeCells>
  <pageMargins left="0.7" right="0.7" top="0.75" bottom="0.75" header="0.3" footer="0.3"/>
  <pageSetup paperSize="9" scale="58" orientation="portrait" horizontalDpi="4294967295" verticalDpi="4294967295" r:id="rId1"/>
  <ignoredErrors>
    <ignoredError sqref="G8:G1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7.15</vt:lpstr>
      <vt:lpstr>'7.15'!Print_Area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2018-10-07T04:35:34Z</cp:lastPrinted>
  <dcterms:created xsi:type="dcterms:W3CDTF">2014-03-05T03:36:41Z</dcterms:created>
  <dcterms:modified xsi:type="dcterms:W3CDTF">2018-10-07T04:35:39Z</dcterms:modified>
</cp:coreProperties>
</file>