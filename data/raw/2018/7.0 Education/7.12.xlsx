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12" sheetId="17" r:id="rId1"/>
  </sheets>
  <definedNames>
    <definedName name="_xlnm.Print_Area" localSheetId="0">'7.12'!$A$1:$W$99</definedName>
  </definedNames>
  <calcPr calcId="162913"/>
</workbook>
</file>

<file path=xl/calcChain.xml><?xml version="1.0" encoding="utf-8"?>
<calcChain xmlns="http://schemas.openxmlformats.org/spreadsheetml/2006/main">
  <c r="AQ65" i="17" l="1"/>
  <c r="AQ66" i="17"/>
  <c r="AQ67" i="17"/>
  <c r="AQ68" i="17"/>
  <c r="W9" i="17" l="1"/>
  <c r="D9" i="17"/>
  <c r="R9" i="17" l="1"/>
  <c r="P9" i="17"/>
  <c r="Q9" i="17"/>
  <c r="W7" i="17" l="1"/>
  <c r="Q7" i="17" l="1"/>
  <c r="I9" i="17"/>
  <c r="I7" i="17" s="1"/>
  <c r="R7" i="17"/>
  <c r="J9" i="17"/>
  <c r="J7" i="17" s="1"/>
  <c r="T9" i="17"/>
  <c r="T7" i="17" s="1"/>
  <c r="H9" i="17"/>
  <c r="H7" i="17" s="1"/>
  <c r="K9" i="17"/>
  <c r="K7" i="17" s="1"/>
  <c r="U9" i="17"/>
  <c r="U7" i="17" s="1"/>
  <c r="M9" i="17"/>
  <c r="M7" i="17" s="1"/>
  <c r="N9" i="17"/>
  <c r="N7" i="17" s="1"/>
  <c r="P7" i="17"/>
  <c r="L9" i="17"/>
  <c r="F9" i="17"/>
  <c r="F7" i="17" s="1"/>
  <c r="D7" i="17"/>
  <c r="E9" i="17"/>
  <c r="E7" i="17" s="1"/>
  <c r="C10" i="17" l="1"/>
  <c r="C13" i="17"/>
  <c r="C24" i="17"/>
  <c r="C21" i="17"/>
  <c r="C19" i="17"/>
  <c r="C8" i="17"/>
  <c r="C11" i="17"/>
  <c r="C26" i="17"/>
  <c r="C25" i="17"/>
  <c r="S9" i="17"/>
  <c r="C23" i="17"/>
  <c r="C16" i="17"/>
  <c r="C14" i="17"/>
  <c r="C27" i="17"/>
  <c r="C20" i="17"/>
  <c r="C28" i="17"/>
  <c r="C15" i="17"/>
  <c r="C22" i="17"/>
  <c r="C12" i="17"/>
  <c r="C18" i="17"/>
  <c r="C29" i="17"/>
  <c r="C17" i="17"/>
  <c r="V9" i="17"/>
  <c r="AR65" i="17" s="1"/>
  <c r="O9" i="17"/>
  <c r="L7" i="17"/>
  <c r="G9" i="17"/>
  <c r="G7" i="17" l="1"/>
  <c r="AP68" i="17" s="1"/>
  <c r="AR68" i="17"/>
  <c r="S7" i="17"/>
  <c r="AP66" i="17" s="1"/>
  <c r="AR66" i="17"/>
  <c r="O7" i="17"/>
  <c r="AP67" i="17" s="1"/>
  <c r="AR67" i="17"/>
  <c r="C9" i="17"/>
  <c r="V7" i="17"/>
  <c r="C7" i="17" l="1"/>
  <c r="AP65" i="17"/>
</calcChain>
</file>

<file path=xl/sharedStrings.xml><?xml version="1.0" encoding="utf-8"?>
<sst xmlns="http://schemas.openxmlformats.org/spreadsheetml/2006/main" count="99" uniqueCount="71">
  <si>
    <t>Total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</si>
  <si>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</si>
  <si>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</si>
  <si>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</si>
  <si>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</si>
  <si>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</si>
  <si>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</si>
  <si>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</si>
  <si>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</si>
  <si>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</si>
  <si>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</si>
  <si>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</si>
  <si>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</si>
  <si>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</si>
  <si>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</si>
  <si>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</si>
  <si>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</si>
  <si>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</si>
  <si>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</si>
  <si>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</si>
  <si>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</si>
  <si>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</si>
  <si>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Primary</t>
  </si>
  <si>
    <t>Higher Secondary</t>
  </si>
  <si>
    <t>HA</t>
  </si>
  <si>
    <t>HDh</t>
  </si>
  <si>
    <t>Sh</t>
  </si>
  <si>
    <t>R</t>
  </si>
  <si>
    <t>LKG</t>
  </si>
  <si>
    <t>UKG</t>
  </si>
  <si>
    <t>TOTAL</t>
  </si>
  <si>
    <t>Name of Atoll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</si>
  <si>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</si>
  <si>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</si>
  <si>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</si>
  <si>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</si>
  <si>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</si>
  <si>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</si>
  <si>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</si>
  <si>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</si>
  <si>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</si>
  <si>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</si>
  <si>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</si>
  <si>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</si>
  <si>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</si>
  <si>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</si>
  <si>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</si>
  <si>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</si>
  <si>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</si>
  <si>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</si>
  <si>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</si>
  <si>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</si>
  <si>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</si>
  <si>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</si>
  <si>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</si>
  <si>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</si>
  <si>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</si>
  <si>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</si>
  <si>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</si>
  <si>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</si>
  <si>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</si>
  <si>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</si>
  <si>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</si>
  <si>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</si>
  <si>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</si>
  <si>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 xml:space="preserve">Atolls </t>
  </si>
  <si>
    <t>Special Classes</t>
  </si>
  <si>
    <t>Secondary</t>
  </si>
  <si>
    <t>Pre-Primary</t>
  </si>
  <si>
    <t xml:space="preserve"> 2017 ,cnikwv cDErcg udwdwA egcnidukWvwyik ibit iawgukwtuLotwa iaWaelWm :7.12 ulwvWt</t>
  </si>
  <si>
    <t>Table  7.12 : STUDENTS ENROLMENT IN MALE' AND ATOLLS BY GRADE,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</si>
</sst>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6.5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name val="Calibri"/>
      <family val="2"/>
      <scheme val="minor"/>
    </font>
    <font>
      <sz val="12"/>
      <name val="A_Faseyha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9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20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6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0" fontId="15" fillId="0" borderId="0"/>
    <xf numFmtId="0" fontId="15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5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73">
    <xf numFmtId="0" fontId="0" fillId="0" borderId="0" xfId="0"/>
    <xf numFmtId="165" fontId="3" fillId="2" borderId="0" xfId="0" applyNumberFormat="1" applyFont="1" applyFill="1" applyAlignment="1" applyProtection="1">
      <alignment horizontal="left" vertical="center" indent="1"/>
    </xf>
    <xf numFmtId="165" fontId="4" fillId="2" borderId="0" xfId="0" applyNumberFormat="1" applyFont="1" applyFill="1" applyAlignment="1" applyProtection="1">
      <alignment horizontal="left" vertical="center" indent="1"/>
    </xf>
    <xf numFmtId="165" fontId="4" fillId="2" borderId="1" xfId="0" applyNumberFormat="1" applyFont="1" applyFill="1" applyBorder="1" applyAlignment="1" applyProtection="1">
      <alignment horizontal="left" vertical="center" indent="1"/>
    </xf>
    <xf numFmtId="165" fontId="12" fillId="2" borderId="0" xfId="0" applyNumberFormat="1" applyFont="1" applyFill="1" applyAlignment="1" applyProtection="1">
      <alignment horizontal="left" vertical="center"/>
    </xf>
    <xf numFmtId="165" fontId="9" fillId="2" borderId="0" xfId="0" applyNumberFormat="1" applyFont="1" applyFill="1" applyBorder="1" applyAlignment="1">
      <alignment vertical="center"/>
    </xf>
    <xf numFmtId="165" fontId="12" fillId="2" borderId="0" xfId="0" applyNumberFormat="1" applyFont="1" applyFill="1" applyAlignment="1" applyProtection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/>
    <xf numFmtId="165" fontId="14" fillId="2" borderId="0" xfId="4" applyNumberFormat="1" applyFont="1" applyFill="1" applyAlignment="1" applyProtection="1"/>
    <xf numFmtId="165" fontId="18" fillId="2" borderId="0" xfId="0" applyNumberFormat="1" applyFont="1" applyFill="1" applyAlignment="1">
      <alignment horizontal="left" vertical="center"/>
    </xf>
    <xf numFmtId="0" fontId="21" fillId="2" borderId="0" xfId="0" applyFont="1" applyFill="1" applyBorder="1"/>
    <xf numFmtId="0" fontId="21" fillId="2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 applyAlignment="1"/>
    <xf numFmtId="0" fontId="16" fillId="2" borderId="0" xfId="0" applyFont="1" applyFill="1" applyBorder="1"/>
    <xf numFmtId="167" fontId="16" fillId="2" borderId="0" xfId="0" applyNumberFormat="1" applyFont="1" applyFill="1" applyBorder="1"/>
    <xf numFmtId="0" fontId="1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indent="1"/>
    </xf>
    <xf numFmtId="0" fontId="7" fillId="2" borderId="9" xfId="0" applyFont="1" applyFill="1" applyBorder="1" applyAlignment="1">
      <alignment horizontal="left" indent="1"/>
    </xf>
    <xf numFmtId="165" fontId="23" fillId="2" borderId="0" xfId="0" applyNumberFormat="1" applyFont="1" applyFill="1"/>
    <xf numFmtId="0" fontId="17" fillId="2" borderId="0" xfId="0" applyFont="1" applyFill="1" applyBorder="1"/>
    <xf numFmtId="166" fontId="21" fillId="2" borderId="0" xfId="0" applyNumberFormat="1" applyFont="1" applyFill="1" applyBorder="1" applyAlignment="1">
      <alignment horizontal="center"/>
    </xf>
    <xf numFmtId="165" fontId="9" fillId="2" borderId="0" xfId="0" applyNumberFormat="1" applyFont="1" applyFill="1"/>
    <xf numFmtId="165" fontId="11" fillId="2" borderId="0" xfId="0" applyNumberFormat="1" applyFont="1" applyFill="1" applyAlignment="1" applyProtection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/>
    </xf>
    <xf numFmtId="3" fontId="7" fillId="2" borderId="9" xfId="1" applyNumberFormat="1" applyFont="1" applyFill="1" applyBorder="1" applyAlignment="1">
      <alignment horizontal="right" vertical="center"/>
    </xf>
    <xf numFmtId="166" fontId="16" fillId="2" borderId="0" xfId="0" applyNumberFormat="1" applyFont="1" applyFill="1" applyBorder="1"/>
    <xf numFmtId="3" fontId="6" fillId="2" borderId="11" xfId="1" applyNumberFormat="1" applyFont="1" applyFill="1" applyBorder="1" applyAlignment="1">
      <alignment horizontal="right" vertical="center"/>
    </xf>
    <xf numFmtId="3" fontId="6" fillId="2" borderId="5" xfId="1" applyNumberFormat="1" applyFont="1" applyFill="1" applyBorder="1" applyAlignment="1">
      <alignment horizontal="right" vertical="center"/>
    </xf>
    <xf numFmtId="3" fontId="6" fillId="2" borderId="6" xfId="1" applyNumberFormat="1" applyFont="1" applyFill="1" applyBorder="1" applyAlignment="1">
      <alignment horizontal="right" vertical="center"/>
    </xf>
    <xf numFmtId="3" fontId="6" fillId="2" borderId="11" xfId="1" applyNumberFormat="1" applyFont="1" applyFill="1" applyBorder="1" applyAlignment="1">
      <alignment horizontal="right" vertical="center" indent="2"/>
    </xf>
    <xf numFmtId="3" fontId="6" fillId="2" borderId="0" xfId="1" applyNumberFormat="1" applyFont="1" applyFill="1" applyBorder="1" applyAlignment="1">
      <alignment horizontal="right" vertical="center"/>
    </xf>
    <xf numFmtId="3" fontId="6" fillId="2" borderId="7" xfId="1" applyNumberFormat="1" applyFont="1" applyFill="1" applyBorder="1" applyAlignment="1">
      <alignment horizontal="right" vertical="center"/>
    </xf>
    <xf numFmtId="3" fontId="6" fillId="2" borderId="8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 indent="2"/>
    </xf>
    <xf numFmtId="3" fontId="7" fillId="2" borderId="7" xfId="1" applyNumberFormat="1" applyFont="1" applyFill="1" applyBorder="1" applyAlignment="1">
      <alignment horizontal="right" vertical="center"/>
    </xf>
    <xf numFmtId="3" fontId="7" fillId="2" borderId="8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 indent="2"/>
    </xf>
    <xf numFmtId="3" fontId="7" fillId="2" borderId="7" xfId="1" applyNumberFormat="1" applyFont="1" applyFill="1" applyBorder="1" applyAlignment="1">
      <alignment horizontal="right" vertical="center" indent="1"/>
    </xf>
    <xf numFmtId="3" fontId="7" fillId="2" borderId="0" xfId="1" applyNumberFormat="1" applyFont="1" applyFill="1" applyBorder="1" applyAlignment="1">
      <alignment horizontal="right" vertical="center" indent="1"/>
    </xf>
    <xf numFmtId="3" fontId="7" fillId="2" borderId="8" xfId="1" applyNumberFormat="1" applyFont="1" applyFill="1" applyBorder="1" applyAlignment="1">
      <alignment horizontal="right" vertical="center" indent="1"/>
    </xf>
    <xf numFmtId="3" fontId="6" fillId="2" borderId="9" xfId="1" applyNumberFormat="1" applyFont="1" applyFill="1" applyBorder="1" applyAlignment="1">
      <alignment horizontal="right" vertical="center"/>
    </xf>
    <xf numFmtId="3" fontId="7" fillId="2" borderId="12" xfId="1" applyNumberFormat="1" applyFont="1" applyFill="1" applyBorder="1" applyAlignment="1">
      <alignment horizontal="right" vertical="center"/>
    </xf>
    <xf numFmtId="3" fontId="7" fillId="2" borderId="10" xfId="1" applyNumberFormat="1" applyFont="1" applyFill="1" applyBorder="1" applyAlignment="1">
      <alignment horizontal="right" vertical="center"/>
    </xf>
    <xf numFmtId="3" fontId="7" fillId="2" borderId="12" xfId="1" applyNumberFormat="1" applyFont="1" applyFill="1" applyBorder="1" applyAlignment="1">
      <alignment horizontal="right" vertical="center" indent="2"/>
    </xf>
    <xf numFmtId="1" fontId="6" fillId="2" borderId="11" xfId="0" applyNumberFormat="1" applyFont="1" applyFill="1" applyBorder="1" applyAlignment="1">
      <alignment horizontal="left" vertical="center"/>
    </xf>
    <xf numFmtId="1" fontId="6" fillId="2" borderId="0" xfId="0" applyNumberFormat="1" applyFont="1" applyFill="1" applyBorder="1" applyAlignment="1">
      <alignment horizontal="left" vertical="center"/>
    </xf>
    <xf numFmtId="1" fontId="6" fillId="2" borderId="9" xfId="0" applyNumberFormat="1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 wrapText="1"/>
    </xf>
    <xf numFmtId="1" fontId="6" fillId="2" borderId="7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right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right" vertical="center" wrapText="1"/>
    </xf>
    <xf numFmtId="0" fontId="6" fillId="2" borderId="9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21" fillId="2" borderId="9" xfId="0" applyFont="1" applyFill="1" applyBorder="1"/>
    <xf numFmtId="0" fontId="21" fillId="2" borderId="11" xfId="0" applyFont="1" applyFill="1" applyBorder="1"/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2720239043599E-2"/>
          <c:y val="0.13523127883226979"/>
          <c:w val="0.93420777674356204"/>
          <c:h val="0.78265705084286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'7.12'!$AP$6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'7.12'!$AO$7:$AO$21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'7.12'!$AP$7:$AP$21</c:f>
              <c:numCache>
                <c:formatCode>General</c:formatCode>
                <c:ptCount val="15"/>
                <c:pt idx="0">
                  <c:v>5801</c:v>
                </c:pt>
                <c:pt idx="1">
                  <c:v>7517</c:v>
                </c:pt>
                <c:pt idx="2">
                  <c:v>7682</c:v>
                </c:pt>
                <c:pt idx="3">
                  <c:v>7325</c:v>
                </c:pt>
                <c:pt idx="4">
                  <c:v>7354</c:v>
                </c:pt>
                <c:pt idx="5">
                  <c:v>7137</c:v>
                </c:pt>
                <c:pt idx="6">
                  <c:v>6686</c:v>
                </c:pt>
                <c:pt idx="7">
                  <c:v>5955</c:v>
                </c:pt>
                <c:pt idx="8">
                  <c:v>5520</c:v>
                </c:pt>
                <c:pt idx="9">
                  <c:v>5349</c:v>
                </c:pt>
                <c:pt idx="10">
                  <c:v>5533</c:v>
                </c:pt>
                <c:pt idx="11">
                  <c:v>5585</c:v>
                </c:pt>
                <c:pt idx="12">
                  <c:v>5660</c:v>
                </c:pt>
                <c:pt idx="13">
                  <c:v>2063</c:v>
                </c:pt>
                <c:pt idx="14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AD6-AFF6-E019BC67B489}"/>
            </c:ext>
          </c:extLst>
        </c:ser>
        <c:ser>
          <c:idx val="1"/>
          <c:order val="1"/>
          <c:tx>
            <c:strRef>
              <c:f>'7.12'!$AQ$6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'7.12'!$AO$7:$AO$21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'7.12'!$AQ$7:$AQ$21</c:f>
              <c:numCache>
                <c:formatCode>General</c:formatCode>
                <c:ptCount val="15"/>
                <c:pt idx="0">
                  <c:v>2627</c:v>
                </c:pt>
                <c:pt idx="1">
                  <c:v>2709</c:v>
                </c:pt>
                <c:pt idx="2">
                  <c:v>2636</c:v>
                </c:pt>
                <c:pt idx="3">
                  <c:v>2499</c:v>
                </c:pt>
                <c:pt idx="4">
                  <c:v>2499</c:v>
                </c:pt>
                <c:pt idx="5">
                  <c:v>2462</c:v>
                </c:pt>
                <c:pt idx="6">
                  <c:v>2287</c:v>
                </c:pt>
                <c:pt idx="7">
                  <c:v>2031</c:v>
                </c:pt>
                <c:pt idx="8">
                  <c:v>1862</c:v>
                </c:pt>
                <c:pt idx="9">
                  <c:v>1793</c:v>
                </c:pt>
                <c:pt idx="10">
                  <c:v>1788</c:v>
                </c:pt>
                <c:pt idx="11">
                  <c:v>1792</c:v>
                </c:pt>
                <c:pt idx="12">
                  <c:v>1755</c:v>
                </c:pt>
                <c:pt idx="13">
                  <c:v>1248</c:v>
                </c:pt>
                <c:pt idx="14">
                  <c:v>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B-4AD6-AFF6-E019BC67B489}"/>
            </c:ext>
          </c:extLst>
        </c:ser>
        <c:ser>
          <c:idx val="2"/>
          <c:order val="2"/>
          <c:tx>
            <c:strRef>
              <c:f>'7.12'!$AR$6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'7.12'!$AO$7:$AO$21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'7.12'!$AR$7:$AR$21</c:f>
              <c:numCache>
                <c:formatCode>General</c:formatCode>
                <c:ptCount val="15"/>
                <c:pt idx="0">
                  <c:v>3174</c:v>
                </c:pt>
                <c:pt idx="1">
                  <c:v>4808</c:v>
                </c:pt>
                <c:pt idx="2">
                  <c:v>5046</c:v>
                </c:pt>
                <c:pt idx="3">
                  <c:v>4826</c:v>
                </c:pt>
                <c:pt idx="4">
                  <c:v>4855</c:v>
                </c:pt>
                <c:pt idx="5">
                  <c:v>4675</c:v>
                </c:pt>
                <c:pt idx="6">
                  <c:v>4399</c:v>
                </c:pt>
                <c:pt idx="7">
                  <c:v>3924</c:v>
                </c:pt>
                <c:pt idx="8">
                  <c:v>3658</c:v>
                </c:pt>
                <c:pt idx="9">
                  <c:v>3556</c:v>
                </c:pt>
                <c:pt idx="10">
                  <c:v>3745</c:v>
                </c:pt>
                <c:pt idx="11">
                  <c:v>3793</c:v>
                </c:pt>
                <c:pt idx="12">
                  <c:v>3905</c:v>
                </c:pt>
                <c:pt idx="13">
                  <c:v>815</c:v>
                </c:pt>
                <c:pt idx="14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2B-4AD6-AFF6-E019BC67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61533312"/>
        <c:axId val="161539200"/>
      </c:barChart>
      <c:catAx>
        <c:axId val="1615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9200"/>
        <c:crosses val="autoZero"/>
        <c:auto val="1"/>
        <c:lblAlgn val="ctr"/>
        <c:lblOffset val="100"/>
        <c:noMultiLvlLbl val="0"/>
      </c:catAx>
      <c:valAx>
        <c:axId val="1615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331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0945340509779657"/>
          <c:y val="0.23078954870720864"/>
          <c:w val="0.22593399467239123"/>
          <c:h val="6.3555464386408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+mn-lt"/>
              </a:rPr>
              <a:t>Figure 7.11: Number of students enrolled by level, 2017 </a:t>
            </a:r>
          </a:p>
        </c:rich>
      </c:tx>
      <c:layout>
        <c:manualLayout>
          <c:xMode val="edge"/>
          <c:yMode val="edge"/>
          <c:x val="0.32518320039852433"/>
          <c:y val="2.0151133501259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63445187108554"/>
          <c:y val="0.11295843520782396"/>
          <c:w val="0.85189344987286164"/>
          <c:h val="0.78308068459657698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'7.12'!$AR$64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'7.12'!$AN$65:$AO$68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'7.12'!$AR$65:$AR$68</c:f>
              <c:numCache>
                <c:formatCode>_(* #,##0_);_(* \(#,##0\);_(* "-"??_);_(@_)</c:formatCode>
                <c:ptCount val="4"/>
                <c:pt idx="0">
                  <c:v>1736</c:v>
                </c:pt>
                <c:pt idx="1">
                  <c:v>11443</c:v>
                </c:pt>
                <c:pt idx="2">
                  <c:v>29893</c:v>
                </c:pt>
                <c:pt idx="3">
                  <c:v>13028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3-4ED8-BE75-0A86C7A29AA8}"/>
            </c:ext>
          </c:extLst>
        </c:ser>
        <c:ser>
          <c:idx val="1"/>
          <c:order val="1"/>
          <c:tx>
            <c:strRef>
              <c:f>'7.12'!$AQ$64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'7.12'!$AN$65:$AO$68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'7.12'!$AQ$65:$AQ$68</c:f>
              <c:numCache>
                <c:formatCode>_(* #,##0_);_(* \(#,##0\);_(* "-"??_);_(@_)</c:formatCode>
                <c:ptCount val="4"/>
                <c:pt idx="0">
                  <c:v>2455</c:v>
                </c:pt>
                <c:pt idx="1">
                  <c:v>5335</c:v>
                </c:pt>
                <c:pt idx="2">
                  <c:v>15433</c:v>
                </c:pt>
                <c:pt idx="3">
                  <c:v>7972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3-4ED8-BE75-0A86C7A29AA8}"/>
            </c:ext>
          </c:extLst>
        </c:ser>
        <c:ser>
          <c:idx val="0"/>
          <c:order val="2"/>
          <c:tx>
            <c:strRef>
              <c:f>'7.12'!$AP$64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'7.12'!$AN$65:$AO$68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'7.12'!$AP$65:$AP$68</c:f>
              <c:numCache>
                <c:formatCode>_(* #,##0_);_(* \(#,##0\);_(* "-"??_);_(@_)</c:formatCode>
                <c:ptCount val="4"/>
                <c:pt idx="0">
                  <c:v>4191</c:v>
                </c:pt>
                <c:pt idx="1">
                  <c:v>16778</c:v>
                </c:pt>
                <c:pt idx="2">
                  <c:v>45326</c:v>
                </c:pt>
                <c:pt idx="3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3-4ED8-BE75-0A86C7A29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axId val="215958336"/>
        <c:axId val="215960832"/>
      </c:barChart>
      <c:catAx>
        <c:axId val="21595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60832"/>
        <c:crosses val="autoZero"/>
        <c:auto val="1"/>
        <c:lblAlgn val="ctr"/>
        <c:lblOffset val="100"/>
        <c:noMultiLvlLbl val="0"/>
      </c:catAx>
      <c:valAx>
        <c:axId val="2159608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5833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4237496198848032"/>
          <c:y val="0.18222102432794923"/>
          <c:w val="0.22512489179181991"/>
          <c:h val="6.257140840280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542429</xdr:colOff>
      <xdr:row>31</xdr:row>
      <xdr:rowOff>49933</xdr:rowOff>
    </xdr:from>
    <xdr:to>
      <xdr:col>19</xdr:col>
      <xdr:colOff>351929</xdr:colOff>
      <xdr:row>61</xdr:row>
      <xdr:rowOff>22885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212394</xdr:colOff>
      <xdr:row>32</xdr:row>
      <xdr:rowOff>72489</xdr:rowOff>
    </xdr:from>
    <xdr:to>
      <xdr:col>16</xdr:col>
      <xdr:colOff>260019</xdr:colOff>
      <xdr:row>32</xdr:row>
      <xdr:rowOff>72489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4350202" y="6678138"/>
          <a:ext cx="5416262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526483</xdr:colOff>
      <xdr:row>63</xdr:row>
      <xdr:rowOff>74174</xdr:rowOff>
    </xdr:from>
    <xdr:to>
      <xdr:col>19</xdr:col>
      <xdr:colOff>316934</xdr:colOff>
      <xdr:row>96</xdr:row>
      <xdr:rowOff>83700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96306</xdr:colOff>
      <xdr:row>65</xdr:row>
      <xdr:rowOff>119659</xdr:rowOff>
    </xdr:from>
    <xdr:to>
      <xdr:col>15</xdr:col>
      <xdr:colOff>96306</xdr:colOff>
      <xdr:row>65</xdr:row>
      <xdr:rowOff>129184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5323580" y="10493876"/>
          <a:ext cx="3712455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0.20527</cdr:x>
      <cdr:y>0.02103</cdr:y>
    </cdr:from>
    <cdr:to>
      <cdr:x>0.82002</cdr:x>
      <cdr:y>0.10854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35887" y="75043"/>
          <a:ext cx="5498364" cy="312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Figure 7.10: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Number of </a:t>
          </a: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Students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enrolled by grade and locality, 2017</a:t>
          </a:r>
          <a:endParaRPr lang="en-US" sz="1100">
            <a:latin typeface="Consolas" panose="020B0609020204030204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8"/>
  <sheetViews>
    <sheetView tabSelected="1" zoomScale="84" zoomScaleNormal="84" workbookViewId="0">
      <selection activeCell="P27" sqref="P27"/>
    </sheetView>
  </sheetViews>
  <sheetFormatPr defaultColWidth="7.140625" defaultRowHeight="9" x14ac:dyDescent="0.15"/>
  <cols>
    <col min="1" max="1" width="7.140625" style="11"/>
    <col min="2" max="2" width="22.5703125" style="12" customWidth="1"/>
    <col min="3" max="3" width="8.7109375" style="12" bestFit="1" customWidth="1"/>
    <col min="4" max="6" width="7.85546875" style="13" bestFit="1" customWidth="1"/>
    <col min="7" max="7" width="8.7109375" style="13" bestFit="1" customWidth="1"/>
    <col min="8" max="14" width="7.85546875" style="13" bestFit="1" customWidth="1"/>
    <col min="15" max="15" width="8.7109375" style="13" bestFit="1" customWidth="1"/>
    <col min="16" max="18" width="7.85546875" style="13" bestFit="1" customWidth="1"/>
    <col min="19" max="19" width="8.7109375" style="13" bestFit="1" customWidth="1"/>
    <col min="20" max="22" width="7.85546875" style="13" bestFit="1" customWidth="1"/>
    <col min="23" max="23" width="10.42578125" style="14" customWidth="1"/>
    <col min="24" max="29" width="7.140625" style="11"/>
    <col min="30" max="34" width="12.42578125" style="11" customWidth="1"/>
    <col min="35" max="35" width="7.140625" style="11"/>
    <col min="36" max="36" width="9" style="11" customWidth="1"/>
    <col min="37" max="16384" width="7.140625" style="11"/>
  </cols>
  <sheetData>
    <row r="1" spans="1:44" ht="18.75" x14ac:dyDescent="0.45">
      <c r="A1" s="10"/>
      <c r="B1" s="64" t="s">
        <v>69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 spans="1:44" ht="18.75" x14ac:dyDescent="0.3">
      <c r="B2" s="65" t="s">
        <v>70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spans="1:44" ht="12.75" customHeight="1" x14ac:dyDescent="0.15">
      <c r="D3" s="14"/>
      <c r="E3" s="14"/>
      <c r="F3" s="14"/>
      <c r="G3" s="14"/>
    </row>
    <row r="4" spans="1:44" ht="30" customHeight="1" x14ac:dyDescent="0.15">
      <c r="A4" s="72"/>
      <c r="B4" s="48" t="s">
        <v>31</v>
      </c>
      <c r="C4" s="51" t="s">
        <v>0</v>
      </c>
      <c r="D4" s="57" t="s">
        <v>68</v>
      </c>
      <c r="E4" s="57"/>
      <c r="F4" s="57"/>
      <c r="G4" s="58"/>
      <c r="H4" s="59" t="s">
        <v>22</v>
      </c>
      <c r="I4" s="57"/>
      <c r="J4" s="57"/>
      <c r="K4" s="57"/>
      <c r="L4" s="57"/>
      <c r="M4" s="57"/>
      <c r="N4" s="57"/>
      <c r="O4" s="58"/>
      <c r="P4" s="57" t="s">
        <v>67</v>
      </c>
      <c r="Q4" s="57"/>
      <c r="R4" s="57"/>
      <c r="S4" s="57"/>
      <c r="T4" s="59" t="s">
        <v>23</v>
      </c>
      <c r="U4" s="57"/>
      <c r="V4" s="58"/>
      <c r="W4" s="54" t="s">
        <v>66</v>
      </c>
    </row>
    <row r="5" spans="1:44" x14ac:dyDescent="0.15">
      <c r="B5" s="49"/>
      <c r="C5" s="52"/>
      <c r="D5" s="67" t="s">
        <v>32</v>
      </c>
      <c r="E5" s="60" t="s">
        <v>28</v>
      </c>
      <c r="F5" s="60" t="s">
        <v>29</v>
      </c>
      <c r="G5" s="62" t="s">
        <v>0</v>
      </c>
      <c r="H5" s="60" t="s">
        <v>33</v>
      </c>
      <c r="I5" s="60" t="s">
        <v>34</v>
      </c>
      <c r="J5" s="60" t="s">
        <v>35</v>
      </c>
      <c r="K5" s="60" t="s">
        <v>36</v>
      </c>
      <c r="L5" s="60" t="s">
        <v>37</v>
      </c>
      <c r="M5" s="60" t="s">
        <v>38</v>
      </c>
      <c r="N5" s="60" t="s">
        <v>39</v>
      </c>
      <c r="O5" s="62" t="s">
        <v>0</v>
      </c>
      <c r="P5" s="60" t="s">
        <v>40</v>
      </c>
      <c r="Q5" s="60" t="s">
        <v>41</v>
      </c>
      <c r="R5" s="60" t="s">
        <v>42</v>
      </c>
      <c r="S5" s="60" t="s">
        <v>0</v>
      </c>
      <c r="T5" s="69" t="s">
        <v>43</v>
      </c>
      <c r="U5" s="60" t="s">
        <v>44</v>
      </c>
      <c r="V5" s="62" t="s">
        <v>0</v>
      </c>
      <c r="W5" s="55"/>
    </row>
    <row r="6" spans="1:44" ht="15" customHeight="1" x14ac:dyDescent="0.15">
      <c r="A6" s="71"/>
      <c r="B6" s="50"/>
      <c r="C6" s="53"/>
      <c r="D6" s="68"/>
      <c r="E6" s="61"/>
      <c r="F6" s="61"/>
      <c r="G6" s="63"/>
      <c r="H6" s="61"/>
      <c r="I6" s="61"/>
      <c r="J6" s="61"/>
      <c r="K6" s="61"/>
      <c r="L6" s="61"/>
      <c r="M6" s="61"/>
      <c r="N6" s="61"/>
      <c r="O6" s="63"/>
      <c r="P6" s="61"/>
      <c r="Q6" s="61"/>
      <c r="R6" s="61"/>
      <c r="S6" s="61"/>
      <c r="T6" s="70"/>
      <c r="U6" s="61"/>
      <c r="V6" s="63"/>
      <c r="W6" s="56"/>
      <c r="AP6" s="11" t="s">
        <v>1</v>
      </c>
      <c r="AQ6" s="11" t="s">
        <v>2</v>
      </c>
      <c r="AR6" s="11" t="s">
        <v>3</v>
      </c>
    </row>
    <row r="7" spans="1:44" s="17" customFormat="1" ht="17.25" customHeight="1" x14ac:dyDescent="0.2">
      <c r="B7" s="26" t="s">
        <v>30</v>
      </c>
      <c r="C7" s="30">
        <f>G7+O7+S7+V7+W7</f>
        <v>87776</v>
      </c>
      <c r="D7" s="30">
        <f t="shared" ref="D7:S7" si="0">SUM(D8:D9)</f>
        <v>5801</v>
      </c>
      <c r="E7" s="30">
        <f t="shared" si="0"/>
        <v>7517</v>
      </c>
      <c r="F7" s="30">
        <f t="shared" si="0"/>
        <v>7682</v>
      </c>
      <c r="G7" s="30">
        <f t="shared" si="0"/>
        <v>21000</v>
      </c>
      <c r="H7" s="31">
        <f t="shared" si="0"/>
        <v>7325</v>
      </c>
      <c r="I7" s="30">
        <f t="shared" si="0"/>
        <v>7354</v>
      </c>
      <c r="J7" s="30">
        <f t="shared" si="0"/>
        <v>7137</v>
      </c>
      <c r="K7" s="30">
        <f t="shared" si="0"/>
        <v>6686</v>
      </c>
      <c r="L7" s="30">
        <f t="shared" si="0"/>
        <v>5955</v>
      </c>
      <c r="M7" s="30">
        <f t="shared" si="0"/>
        <v>5520</v>
      </c>
      <c r="N7" s="30">
        <f t="shared" si="0"/>
        <v>5349</v>
      </c>
      <c r="O7" s="32">
        <f t="shared" si="0"/>
        <v>45326</v>
      </c>
      <c r="P7" s="30">
        <f t="shared" si="0"/>
        <v>5533</v>
      </c>
      <c r="Q7" s="30">
        <f t="shared" si="0"/>
        <v>5585</v>
      </c>
      <c r="R7" s="30">
        <f t="shared" si="0"/>
        <v>5660</v>
      </c>
      <c r="S7" s="30">
        <f t="shared" si="0"/>
        <v>16778</v>
      </c>
      <c r="T7" s="31">
        <f t="shared" ref="T7:V7" si="1">SUM(T8:T9)</f>
        <v>2063</v>
      </c>
      <c r="U7" s="30">
        <f t="shared" si="1"/>
        <v>2128</v>
      </c>
      <c r="V7" s="32">
        <f t="shared" si="1"/>
        <v>4191</v>
      </c>
      <c r="W7" s="33">
        <f>SUM(W8:W9)</f>
        <v>481</v>
      </c>
      <c r="AO7" s="17" t="s">
        <v>32</v>
      </c>
      <c r="AP7" s="22">
        <v>5801</v>
      </c>
      <c r="AQ7" s="22">
        <v>2627</v>
      </c>
      <c r="AR7" s="22">
        <v>3174</v>
      </c>
    </row>
    <row r="8" spans="1:44" s="22" customFormat="1" ht="18.95" customHeight="1" x14ac:dyDescent="0.25">
      <c r="A8" s="1" t="s">
        <v>2</v>
      </c>
      <c r="B8" s="18" t="s">
        <v>2</v>
      </c>
      <c r="C8" s="34">
        <f>W8+V8+S8+O8+G8</f>
        <v>31487</v>
      </c>
      <c r="D8" s="34">
        <v>2627</v>
      </c>
      <c r="E8" s="34">
        <v>2709</v>
      </c>
      <c r="F8" s="34">
        <v>2636</v>
      </c>
      <c r="G8" s="34">
        <v>7972</v>
      </c>
      <c r="H8" s="35">
        <v>2499</v>
      </c>
      <c r="I8" s="34">
        <v>2499</v>
      </c>
      <c r="J8" s="34">
        <v>2462</v>
      </c>
      <c r="K8" s="34">
        <v>2287</v>
      </c>
      <c r="L8" s="34">
        <v>2031</v>
      </c>
      <c r="M8" s="34">
        <v>1862</v>
      </c>
      <c r="N8" s="34">
        <v>1793</v>
      </c>
      <c r="O8" s="36">
        <v>15433</v>
      </c>
      <c r="P8" s="34">
        <v>1788</v>
      </c>
      <c r="Q8" s="34">
        <v>1792</v>
      </c>
      <c r="R8" s="34">
        <v>1755</v>
      </c>
      <c r="S8" s="34">
        <v>5335</v>
      </c>
      <c r="T8" s="35">
        <v>1248</v>
      </c>
      <c r="U8" s="34">
        <v>1207</v>
      </c>
      <c r="V8" s="36">
        <v>2455</v>
      </c>
      <c r="W8" s="37">
        <v>292</v>
      </c>
      <c r="AO8" s="22" t="s">
        <v>28</v>
      </c>
      <c r="AP8" s="17">
        <v>7517</v>
      </c>
      <c r="AQ8" s="17">
        <v>2709</v>
      </c>
      <c r="AR8" s="17">
        <v>4808</v>
      </c>
    </row>
    <row r="9" spans="1:44" s="22" customFormat="1" ht="18.95" customHeight="1" x14ac:dyDescent="0.25">
      <c r="B9" s="18" t="s">
        <v>65</v>
      </c>
      <c r="C9" s="34">
        <f>W9+V9+S9+O9+G9</f>
        <v>56289</v>
      </c>
      <c r="D9" s="34">
        <f>SUM(D10:D29)</f>
        <v>3174</v>
      </c>
      <c r="E9" s="34">
        <f t="shared" ref="E9:L9" si="2">SUM(E10:E29)</f>
        <v>4808</v>
      </c>
      <c r="F9" s="34">
        <f t="shared" si="2"/>
        <v>5046</v>
      </c>
      <c r="G9" s="34">
        <f t="shared" si="2"/>
        <v>13028</v>
      </c>
      <c r="H9" s="35">
        <f>SUM(H10:H29)</f>
        <v>4826</v>
      </c>
      <c r="I9" s="34">
        <f>SUM(I10:I29)</f>
        <v>4855</v>
      </c>
      <c r="J9" s="34">
        <f>SUM(J10:J29)</f>
        <v>4675</v>
      </c>
      <c r="K9" s="34">
        <f>SUM(K10:K29)</f>
        <v>4399</v>
      </c>
      <c r="L9" s="34">
        <f t="shared" si="2"/>
        <v>3924</v>
      </c>
      <c r="M9" s="34">
        <f>SUM(M10:M29)</f>
        <v>3658</v>
      </c>
      <c r="N9" s="34">
        <f>SUM(N10:N29)</f>
        <v>3556</v>
      </c>
      <c r="O9" s="36">
        <f>SUM(H9:N9)</f>
        <v>29893</v>
      </c>
      <c r="P9" s="34">
        <f t="shared" ref="P9:V9" si="3">SUM(P10:P29)</f>
        <v>3745</v>
      </c>
      <c r="Q9" s="34">
        <f t="shared" si="3"/>
        <v>3793</v>
      </c>
      <c r="R9" s="34">
        <f t="shared" si="3"/>
        <v>3905</v>
      </c>
      <c r="S9" s="34">
        <f t="shared" si="3"/>
        <v>11443</v>
      </c>
      <c r="T9" s="35">
        <f t="shared" si="3"/>
        <v>815</v>
      </c>
      <c r="U9" s="34">
        <f t="shared" si="3"/>
        <v>921</v>
      </c>
      <c r="V9" s="36">
        <f t="shared" si="3"/>
        <v>1736</v>
      </c>
      <c r="W9" s="37">
        <f>SUM(W10:W29)</f>
        <v>189</v>
      </c>
      <c r="X9" s="17"/>
      <c r="Y9" s="17"/>
      <c r="Z9" s="17"/>
      <c r="AA9" s="17"/>
      <c r="AI9" s="17"/>
      <c r="AJ9" s="17"/>
      <c r="AK9" s="17"/>
      <c r="AL9" s="17"/>
      <c r="AO9" s="22" t="s">
        <v>29</v>
      </c>
      <c r="AP9" s="15">
        <v>7682</v>
      </c>
      <c r="AQ9" s="15">
        <v>2636</v>
      </c>
      <c r="AR9" s="15">
        <v>5046</v>
      </c>
    </row>
    <row r="10" spans="1:44" s="15" customFormat="1" ht="15" x14ac:dyDescent="0.25">
      <c r="A10" s="2" t="s">
        <v>24</v>
      </c>
      <c r="B10" s="19" t="s">
        <v>45</v>
      </c>
      <c r="C10" s="34">
        <f>G10+O10+S10+V10+W10</f>
        <v>3783</v>
      </c>
      <c r="D10" s="27">
        <v>165</v>
      </c>
      <c r="E10" s="27">
        <v>291</v>
      </c>
      <c r="F10" s="27">
        <v>356</v>
      </c>
      <c r="G10" s="27">
        <v>812</v>
      </c>
      <c r="H10" s="38">
        <v>315</v>
      </c>
      <c r="I10" s="27">
        <v>329</v>
      </c>
      <c r="J10" s="27">
        <v>339</v>
      </c>
      <c r="K10" s="27">
        <v>281</v>
      </c>
      <c r="L10" s="27">
        <v>251</v>
      </c>
      <c r="M10" s="27">
        <v>237</v>
      </c>
      <c r="N10" s="27">
        <v>247</v>
      </c>
      <c r="O10" s="39">
        <v>1999</v>
      </c>
      <c r="P10" s="27">
        <v>271</v>
      </c>
      <c r="Q10" s="27">
        <v>285</v>
      </c>
      <c r="R10" s="27">
        <v>316</v>
      </c>
      <c r="S10" s="27">
        <v>872</v>
      </c>
      <c r="T10" s="38">
        <v>46</v>
      </c>
      <c r="U10" s="27">
        <v>49</v>
      </c>
      <c r="V10" s="39">
        <v>95</v>
      </c>
      <c r="W10" s="40">
        <v>5</v>
      </c>
      <c r="AO10" s="15" t="s">
        <v>33</v>
      </c>
      <c r="AP10" s="15">
        <v>7325</v>
      </c>
      <c r="AQ10" s="15">
        <v>2499</v>
      </c>
      <c r="AR10" s="15">
        <v>4826</v>
      </c>
    </row>
    <row r="11" spans="1:44" s="15" customFormat="1" ht="15" x14ac:dyDescent="0.25">
      <c r="A11" s="2" t="s">
        <v>25</v>
      </c>
      <c r="B11" s="19" t="s">
        <v>46</v>
      </c>
      <c r="C11" s="34">
        <f t="shared" ref="C11:C29" si="4">G11+O11+S11+V11+W11</f>
        <v>5646</v>
      </c>
      <c r="D11" s="27">
        <v>423</v>
      </c>
      <c r="E11" s="27">
        <v>518</v>
      </c>
      <c r="F11" s="27">
        <v>541</v>
      </c>
      <c r="G11" s="27">
        <v>1482</v>
      </c>
      <c r="H11" s="38">
        <v>518</v>
      </c>
      <c r="I11" s="27">
        <v>505</v>
      </c>
      <c r="J11" s="27">
        <v>434</v>
      </c>
      <c r="K11" s="27">
        <v>426</v>
      </c>
      <c r="L11" s="27">
        <v>404</v>
      </c>
      <c r="M11" s="27">
        <v>322</v>
      </c>
      <c r="N11" s="27">
        <v>315</v>
      </c>
      <c r="O11" s="39">
        <v>2924</v>
      </c>
      <c r="P11" s="27">
        <v>362</v>
      </c>
      <c r="Q11" s="27">
        <v>369</v>
      </c>
      <c r="R11" s="27">
        <v>347</v>
      </c>
      <c r="S11" s="27">
        <v>1078</v>
      </c>
      <c r="T11" s="38">
        <v>73</v>
      </c>
      <c r="U11" s="27">
        <v>70</v>
      </c>
      <c r="V11" s="39">
        <v>143</v>
      </c>
      <c r="W11" s="40">
        <v>19</v>
      </c>
      <c r="AO11" s="15" t="s">
        <v>34</v>
      </c>
      <c r="AP11" s="15">
        <v>7354</v>
      </c>
      <c r="AQ11" s="15">
        <v>2499</v>
      </c>
      <c r="AR11" s="15">
        <v>4855</v>
      </c>
    </row>
    <row r="12" spans="1:44" s="15" customFormat="1" ht="15" x14ac:dyDescent="0.25">
      <c r="A12" s="2" t="s">
        <v>26</v>
      </c>
      <c r="B12" s="19" t="s">
        <v>47</v>
      </c>
      <c r="C12" s="34">
        <f t="shared" si="4"/>
        <v>3698</v>
      </c>
      <c r="D12" s="27">
        <v>112</v>
      </c>
      <c r="E12" s="27">
        <v>347</v>
      </c>
      <c r="F12" s="27">
        <v>343</v>
      </c>
      <c r="G12" s="27">
        <v>802</v>
      </c>
      <c r="H12" s="38">
        <v>357</v>
      </c>
      <c r="I12" s="27">
        <v>292</v>
      </c>
      <c r="J12" s="27">
        <v>292</v>
      </c>
      <c r="K12" s="27">
        <v>263</v>
      </c>
      <c r="L12" s="27">
        <v>257</v>
      </c>
      <c r="M12" s="27">
        <v>260</v>
      </c>
      <c r="N12" s="27">
        <v>249</v>
      </c>
      <c r="O12" s="39">
        <v>1970</v>
      </c>
      <c r="P12" s="27">
        <v>297</v>
      </c>
      <c r="Q12" s="27">
        <v>314</v>
      </c>
      <c r="R12" s="27">
        <v>250</v>
      </c>
      <c r="S12" s="27">
        <v>861</v>
      </c>
      <c r="T12" s="38">
        <v>32</v>
      </c>
      <c r="U12" s="27">
        <v>26</v>
      </c>
      <c r="V12" s="39">
        <v>58</v>
      </c>
      <c r="W12" s="40">
        <v>7</v>
      </c>
      <c r="AO12" s="15" t="s">
        <v>35</v>
      </c>
      <c r="AP12" s="15">
        <v>7137</v>
      </c>
      <c r="AQ12" s="15">
        <v>2462</v>
      </c>
      <c r="AR12" s="15">
        <v>4675</v>
      </c>
    </row>
    <row r="13" spans="1:44" s="15" customFormat="1" ht="15" x14ac:dyDescent="0.25">
      <c r="A13" s="2" t="s">
        <v>19</v>
      </c>
      <c r="B13" s="19" t="s">
        <v>48</v>
      </c>
      <c r="C13" s="34">
        <f t="shared" si="4"/>
        <v>2977</v>
      </c>
      <c r="D13" s="27">
        <v>129</v>
      </c>
      <c r="E13" s="27">
        <v>268</v>
      </c>
      <c r="F13" s="27">
        <v>287</v>
      </c>
      <c r="G13" s="27">
        <v>684</v>
      </c>
      <c r="H13" s="38">
        <v>287</v>
      </c>
      <c r="I13" s="27">
        <v>289</v>
      </c>
      <c r="J13" s="27">
        <v>234</v>
      </c>
      <c r="K13" s="27">
        <v>262</v>
      </c>
      <c r="L13" s="27">
        <v>197</v>
      </c>
      <c r="M13" s="27">
        <v>177</v>
      </c>
      <c r="N13" s="27">
        <v>194</v>
      </c>
      <c r="O13" s="39">
        <v>1640</v>
      </c>
      <c r="P13" s="27">
        <v>211</v>
      </c>
      <c r="Q13" s="27">
        <v>189</v>
      </c>
      <c r="R13" s="27">
        <v>189</v>
      </c>
      <c r="S13" s="27">
        <v>589</v>
      </c>
      <c r="T13" s="38">
        <v>47</v>
      </c>
      <c r="U13" s="27">
        <v>17</v>
      </c>
      <c r="V13" s="39">
        <v>64</v>
      </c>
      <c r="W13" s="40">
        <v>0</v>
      </c>
      <c r="AO13" s="15" t="s">
        <v>36</v>
      </c>
      <c r="AP13" s="15">
        <v>6686</v>
      </c>
      <c r="AQ13" s="15">
        <v>2287</v>
      </c>
      <c r="AR13" s="15">
        <v>4399</v>
      </c>
    </row>
    <row r="14" spans="1:44" s="15" customFormat="1" ht="15" x14ac:dyDescent="0.25">
      <c r="A14" s="2" t="s">
        <v>27</v>
      </c>
      <c r="B14" s="19" t="s">
        <v>49</v>
      </c>
      <c r="C14" s="34">
        <f t="shared" si="4"/>
        <v>4690</v>
      </c>
      <c r="D14" s="27">
        <v>326</v>
      </c>
      <c r="E14" s="27">
        <v>375</v>
      </c>
      <c r="F14" s="27">
        <v>422</v>
      </c>
      <c r="G14" s="27">
        <v>1123</v>
      </c>
      <c r="H14" s="38">
        <v>374</v>
      </c>
      <c r="I14" s="27">
        <v>417</v>
      </c>
      <c r="J14" s="27">
        <v>366</v>
      </c>
      <c r="K14" s="27">
        <v>339</v>
      </c>
      <c r="L14" s="27">
        <v>301</v>
      </c>
      <c r="M14" s="27">
        <v>300</v>
      </c>
      <c r="N14" s="27">
        <v>288</v>
      </c>
      <c r="O14" s="39">
        <v>2385</v>
      </c>
      <c r="P14" s="27">
        <v>343</v>
      </c>
      <c r="Q14" s="27">
        <v>319</v>
      </c>
      <c r="R14" s="27">
        <v>343</v>
      </c>
      <c r="S14" s="27">
        <v>1005</v>
      </c>
      <c r="T14" s="38">
        <v>82</v>
      </c>
      <c r="U14" s="27">
        <v>95</v>
      </c>
      <c r="V14" s="39">
        <v>177</v>
      </c>
      <c r="W14" s="40">
        <v>0</v>
      </c>
      <c r="AO14" s="15" t="s">
        <v>37</v>
      </c>
      <c r="AP14" s="15">
        <v>5955</v>
      </c>
      <c r="AQ14" s="15">
        <v>2031</v>
      </c>
      <c r="AR14" s="15">
        <v>3924</v>
      </c>
    </row>
    <row r="15" spans="1:44" s="15" customFormat="1" ht="15" x14ac:dyDescent="0.25">
      <c r="A15" s="2" t="s">
        <v>5</v>
      </c>
      <c r="B15" s="19" t="s">
        <v>50</v>
      </c>
      <c r="C15" s="34">
        <f t="shared" si="4"/>
        <v>2569</v>
      </c>
      <c r="D15" s="27">
        <v>170</v>
      </c>
      <c r="E15" s="27">
        <v>205</v>
      </c>
      <c r="F15" s="27">
        <v>223</v>
      </c>
      <c r="G15" s="27">
        <v>598</v>
      </c>
      <c r="H15" s="38">
        <v>213</v>
      </c>
      <c r="I15" s="27">
        <v>227</v>
      </c>
      <c r="J15" s="27">
        <v>188</v>
      </c>
      <c r="K15" s="27">
        <v>192</v>
      </c>
      <c r="L15" s="27">
        <v>170</v>
      </c>
      <c r="M15" s="27">
        <v>166</v>
      </c>
      <c r="N15" s="27">
        <v>196</v>
      </c>
      <c r="O15" s="39">
        <v>1352</v>
      </c>
      <c r="P15" s="27">
        <v>168</v>
      </c>
      <c r="Q15" s="27">
        <v>189</v>
      </c>
      <c r="R15" s="27">
        <v>172</v>
      </c>
      <c r="S15" s="27">
        <v>529</v>
      </c>
      <c r="T15" s="38">
        <v>32</v>
      </c>
      <c r="U15" s="27">
        <v>58</v>
      </c>
      <c r="V15" s="39">
        <v>90</v>
      </c>
      <c r="W15" s="40">
        <v>0</v>
      </c>
      <c r="AO15" s="15" t="s">
        <v>38</v>
      </c>
      <c r="AP15" s="15">
        <v>5520</v>
      </c>
      <c r="AQ15" s="15">
        <v>1862</v>
      </c>
      <c r="AR15" s="15">
        <v>3658</v>
      </c>
    </row>
    <row r="16" spans="1:44" s="15" customFormat="1" ht="15" x14ac:dyDescent="0.25">
      <c r="A16" s="2" t="s">
        <v>6</v>
      </c>
      <c r="B16" s="19" t="s">
        <v>51</v>
      </c>
      <c r="C16" s="34">
        <f t="shared" si="4"/>
        <v>2037</v>
      </c>
      <c r="D16" s="27">
        <v>99</v>
      </c>
      <c r="E16" s="27">
        <v>162</v>
      </c>
      <c r="F16" s="27">
        <v>196</v>
      </c>
      <c r="G16" s="27">
        <v>457</v>
      </c>
      <c r="H16" s="38">
        <v>173</v>
      </c>
      <c r="I16" s="27">
        <v>196</v>
      </c>
      <c r="J16" s="27">
        <v>170</v>
      </c>
      <c r="K16" s="27">
        <v>150</v>
      </c>
      <c r="L16" s="27">
        <v>146</v>
      </c>
      <c r="M16" s="27">
        <v>149</v>
      </c>
      <c r="N16" s="27">
        <v>150</v>
      </c>
      <c r="O16" s="39">
        <v>1134</v>
      </c>
      <c r="P16" s="27">
        <v>135</v>
      </c>
      <c r="Q16" s="27">
        <v>128</v>
      </c>
      <c r="R16" s="27">
        <v>128</v>
      </c>
      <c r="S16" s="27">
        <v>391</v>
      </c>
      <c r="T16" s="38">
        <v>37</v>
      </c>
      <c r="U16" s="27">
        <v>18</v>
      </c>
      <c r="V16" s="39">
        <v>55</v>
      </c>
      <c r="W16" s="40">
        <v>0</v>
      </c>
      <c r="AO16" s="15" t="s">
        <v>39</v>
      </c>
      <c r="AP16" s="15">
        <v>5349</v>
      </c>
      <c r="AQ16" s="15">
        <v>1793</v>
      </c>
      <c r="AR16" s="15">
        <v>3556</v>
      </c>
    </row>
    <row r="17" spans="1:44" s="15" customFormat="1" ht="15" x14ac:dyDescent="0.25">
      <c r="A17" s="2" t="s">
        <v>8</v>
      </c>
      <c r="B17" s="19" t="s">
        <v>52</v>
      </c>
      <c r="C17" s="34">
        <f t="shared" si="4"/>
        <v>2784</v>
      </c>
      <c r="D17" s="27">
        <v>186</v>
      </c>
      <c r="E17" s="27">
        <v>275</v>
      </c>
      <c r="F17" s="27">
        <v>302</v>
      </c>
      <c r="G17" s="27">
        <v>763</v>
      </c>
      <c r="H17" s="38">
        <v>241</v>
      </c>
      <c r="I17" s="27">
        <v>222</v>
      </c>
      <c r="J17" s="27">
        <v>259</v>
      </c>
      <c r="K17" s="27">
        <v>203</v>
      </c>
      <c r="L17" s="27">
        <v>211</v>
      </c>
      <c r="M17" s="27">
        <v>180</v>
      </c>
      <c r="N17" s="27">
        <v>181</v>
      </c>
      <c r="O17" s="39">
        <v>1497</v>
      </c>
      <c r="P17" s="27">
        <v>161</v>
      </c>
      <c r="Q17" s="27">
        <v>150</v>
      </c>
      <c r="R17" s="27">
        <v>191</v>
      </c>
      <c r="S17" s="27">
        <v>502</v>
      </c>
      <c r="T17" s="38">
        <v>13</v>
      </c>
      <c r="U17" s="27">
        <v>9</v>
      </c>
      <c r="V17" s="39">
        <v>22</v>
      </c>
      <c r="W17" s="40">
        <v>0</v>
      </c>
      <c r="AO17" s="15" t="s">
        <v>40</v>
      </c>
      <c r="AP17" s="15">
        <v>5533</v>
      </c>
      <c r="AQ17" s="15">
        <v>1788</v>
      </c>
      <c r="AR17" s="15">
        <v>3745</v>
      </c>
    </row>
    <row r="18" spans="1:44" s="15" customFormat="1" ht="15" customHeight="1" x14ac:dyDescent="0.25">
      <c r="A18" s="2" t="s">
        <v>9</v>
      </c>
      <c r="B18" s="19" t="s">
        <v>53</v>
      </c>
      <c r="C18" s="34">
        <f t="shared" si="4"/>
        <v>1771</v>
      </c>
      <c r="D18" s="27">
        <v>102</v>
      </c>
      <c r="E18" s="27">
        <v>191</v>
      </c>
      <c r="F18" s="27">
        <v>166</v>
      </c>
      <c r="G18" s="27">
        <v>459</v>
      </c>
      <c r="H18" s="38">
        <v>158</v>
      </c>
      <c r="I18" s="27">
        <v>169</v>
      </c>
      <c r="J18" s="27">
        <v>159</v>
      </c>
      <c r="K18" s="27">
        <v>158</v>
      </c>
      <c r="L18" s="27">
        <v>118</v>
      </c>
      <c r="M18" s="27">
        <v>122</v>
      </c>
      <c r="N18" s="27">
        <v>109</v>
      </c>
      <c r="O18" s="39">
        <v>993</v>
      </c>
      <c r="P18" s="27">
        <v>93</v>
      </c>
      <c r="Q18" s="27">
        <v>106</v>
      </c>
      <c r="R18" s="27">
        <v>96</v>
      </c>
      <c r="S18" s="27">
        <v>295</v>
      </c>
      <c r="T18" s="38">
        <v>8</v>
      </c>
      <c r="U18" s="27">
        <v>16</v>
      </c>
      <c r="V18" s="39">
        <v>24</v>
      </c>
      <c r="W18" s="40">
        <v>0</v>
      </c>
      <c r="AO18" s="15" t="s">
        <v>41</v>
      </c>
      <c r="AP18" s="15">
        <v>5585</v>
      </c>
      <c r="AQ18" s="15">
        <v>1792</v>
      </c>
      <c r="AR18" s="15">
        <v>3793</v>
      </c>
    </row>
    <row r="19" spans="1:44" s="15" customFormat="1" ht="15" customHeight="1" x14ac:dyDescent="0.25">
      <c r="A19" s="2" t="s">
        <v>10</v>
      </c>
      <c r="B19" s="19" t="s">
        <v>54</v>
      </c>
      <c r="C19" s="34">
        <f t="shared" si="4"/>
        <v>2224</v>
      </c>
      <c r="D19" s="27">
        <v>172</v>
      </c>
      <c r="E19" s="27">
        <v>227</v>
      </c>
      <c r="F19" s="27">
        <v>228</v>
      </c>
      <c r="G19" s="27">
        <v>627</v>
      </c>
      <c r="H19" s="38">
        <v>214</v>
      </c>
      <c r="I19" s="27">
        <v>199</v>
      </c>
      <c r="J19" s="27">
        <v>201</v>
      </c>
      <c r="K19" s="27">
        <v>177</v>
      </c>
      <c r="L19" s="27">
        <v>138</v>
      </c>
      <c r="M19" s="27">
        <v>149</v>
      </c>
      <c r="N19" s="27">
        <v>145</v>
      </c>
      <c r="O19" s="39">
        <v>1223</v>
      </c>
      <c r="P19" s="27">
        <v>88</v>
      </c>
      <c r="Q19" s="27">
        <v>108</v>
      </c>
      <c r="R19" s="27">
        <v>136</v>
      </c>
      <c r="S19" s="27">
        <v>332</v>
      </c>
      <c r="T19" s="38">
        <v>10</v>
      </c>
      <c r="U19" s="27">
        <v>24</v>
      </c>
      <c r="V19" s="39">
        <v>34</v>
      </c>
      <c r="W19" s="40">
        <v>8</v>
      </c>
      <c r="AO19" s="15" t="s">
        <v>42</v>
      </c>
      <c r="AP19" s="15">
        <v>5660</v>
      </c>
      <c r="AQ19" s="15">
        <v>1755</v>
      </c>
      <c r="AR19" s="15">
        <v>3905</v>
      </c>
    </row>
    <row r="20" spans="1:44" s="15" customFormat="1" ht="15" customHeight="1" x14ac:dyDescent="0.25">
      <c r="A20" s="2" t="s">
        <v>11</v>
      </c>
      <c r="B20" s="19" t="s">
        <v>55</v>
      </c>
      <c r="C20" s="34">
        <f t="shared" si="4"/>
        <v>342</v>
      </c>
      <c r="D20" s="27">
        <v>11</v>
      </c>
      <c r="E20" s="27">
        <v>32</v>
      </c>
      <c r="F20" s="27">
        <v>45</v>
      </c>
      <c r="G20" s="27">
        <v>88</v>
      </c>
      <c r="H20" s="38">
        <v>27</v>
      </c>
      <c r="I20" s="27">
        <v>26</v>
      </c>
      <c r="J20" s="27">
        <v>40</v>
      </c>
      <c r="K20" s="27">
        <v>30</v>
      </c>
      <c r="L20" s="27">
        <v>23</v>
      </c>
      <c r="M20" s="27">
        <v>25</v>
      </c>
      <c r="N20" s="27">
        <v>24</v>
      </c>
      <c r="O20" s="39">
        <v>195</v>
      </c>
      <c r="P20" s="27">
        <v>19</v>
      </c>
      <c r="Q20" s="27">
        <v>19</v>
      </c>
      <c r="R20" s="27">
        <v>21</v>
      </c>
      <c r="S20" s="27">
        <v>59</v>
      </c>
      <c r="T20" s="41">
        <v>0</v>
      </c>
      <c r="U20" s="42">
        <v>0</v>
      </c>
      <c r="V20" s="43">
        <v>0</v>
      </c>
      <c r="W20" s="40">
        <v>0</v>
      </c>
      <c r="AO20" s="15" t="s">
        <v>43</v>
      </c>
      <c r="AP20" s="15">
        <v>2063</v>
      </c>
      <c r="AQ20" s="15">
        <v>1248</v>
      </c>
      <c r="AR20" s="15">
        <v>815</v>
      </c>
    </row>
    <row r="21" spans="1:44" s="15" customFormat="1" ht="15" customHeight="1" x14ac:dyDescent="0.25">
      <c r="A21" s="2" t="s">
        <v>12</v>
      </c>
      <c r="B21" s="19" t="s">
        <v>56</v>
      </c>
      <c r="C21" s="34">
        <f t="shared" si="4"/>
        <v>1229</v>
      </c>
      <c r="D21" s="27">
        <v>69</v>
      </c>
      <c r="E21" s="27">
        <v>106</v>
      </c>
      <c r="F21" s="27">
        <v>106</v>
      </c>
      <c r="G21" s="27">
        <v>281</v>
      </c>
      <c r="H21" s="38">
        <v>117</v>
      </c>
      <c r="I21" s="27">
        <v>114</v>
      </c>
      <c r="J21" s="27">
        <v>121</v>
      </c>
      <c r="K21" s="27">
        <v>100</v>
      </c>
      <c r="L21" s="27">
        <v>99</v>
      </c>
      <c r="M21" s="27">
        <v>79</v>
      </c>
      <c r="N21" s="27">
        <v>62</v>
      </c>
      <c r="O21" s="39">
        <v>692</v>
      </c>
      <c r="P21" s="27">
        <v>65</v>
      </c>
      <c r="Q21" s="27">
        <v>61</v>
      </c>
      <c r="R21" s="27">
        <v>75</v>
      </c>
      <c r="S21" s="27">
        <v>201</v>
      </c>
      <c r="T21" s="38">
        <v>23</v>
      </c>
      <c r="U21" s="27">
        <v>32</v>
      </c>
      <c r="V21" s="39">
        <v>55</v>
      </c>
      <c r="W21" s="40">
        <v>0</v>
      </c>
      <c r="AO21" s="15" t="s">
        <v>44</v>
      </c>
      <c r="AP21" s="15">
        <v>2128</v>
      </c>
      <c r="AQ21" s="15">
        <v>1207</v>
      </c>
      <c r="AR21" s="15">
        <v>921</v>
      </c>
    </row>
    <row r="22" spans="1:44" s="15" customFormat="1" ht="15" customHeight="1" x14ac:dyDescent="0.25">
      <c r="A22" s="2" t="s">
        <v>13</v>
      </c>
      <c r="B22" s="19" t="s">
        <v>57</v>
      </c>
      <c r="C22" s="34">
        <f t="shared" si="4"/>
        <v>1422</v>
      </c>
      <c r="D22" s="27">
        <v>58</v>
      </c>
      <c r="E22" s="27">
        <v>127</v>
      </c>
      <c r="F22" s="27">
        <v>115</v>
      </c>
      <c r="G22" s="27">
        <v>300</v>
      </c>
      <c r="H22" s="38">
        <v>103</v>
      </c>
      <c r="I22" s="27">
        <v>113</v>
      </c>
      <c r="J22" s="27">
        <v>109</v>
      </c>
      <c r="K22" s="27">
        <v>105</v>
      </c>
      <c r="L22" s="27">
        <v>111</v>
      </c>
      <c r="M22" s="27">
        <v>98</v>
      </c>
      <c r="N22" s="27">
        <v>74</v>
      </c>
      <c r="O22" s="39">
        <v>713</v>
      </c>
      <c r="P22" s="27">
        <v>101</v>
      </c>
      <c r="Q22" s="27">
        <v>109</v>
      </c>
      <c r="R22" s="27">
        <v>101</v>
      </c>
      <c r="S22" s="27">
        <v>311</v>
      </c>
      <c r="T22" s="38">
        <v>43</v>
      </c>
      <c r="U22" s="27">
        <v>54</v>
      </c>
      <c r="V22" s="39">
        <v>97</v>
      </c>
      <c r="W22" s="40">
        <v>1</v>
      </c>
    </row>
    <row r="23" spans="1:44" s="15" customFormat="1" ht="15" customHeight="1" x14ac:dyDescent="0.25">
      <c r="A23" s="2" t="s">
        <v>14</v>
      </c>
      <c r="B23" s="19" t="s">
        <v>58</v>
      </c>
      <c r="C23" s="34">
        <f t="shared" si="4"/>
        <v>1727</v>
      </c>
      <c r="D23" s="27">
        <v>130</v>
      </c>
      <c r="E23" s="27">
        <v>160</v>
      </c>
      <c r="F23" s="27">
        <v>148</v>
      </c>
      <c r="G23" s="27">
        <v>438</v>
      </c>
      <c r="H23" s="38">
        <v>134</v>
      </c>
      <c r="I23" s="27">
        <v>171</v>
      </c>
      <c r="J23" s="27">
        <v>133</v>
      </c>
      <c r="K23" s="27">
        <v>121</v>
      </c>
      <c r="L23" s="27">
        <v>128</v>
      </c>
      <c r="M23" s="27">
        <v>116</v>
      </c>
      <c r="N23" s="27">
        <v>81</v>
      </c>
      <c r="O23" s="39">
        <v>884</v>
      </c>
      <c r="P23" s="27">
        <v>95</v>
      </c>
      <c r="Q23" s="27">
        <v>132</v>
      </c>
      <c r="R23" s="27">
        <v>130</v>
      </c>
      <c r="S23" s="27">
        <v>357</v>
      </c>
      <c r="T23" s="38">
        <v>30</v>
      </c>
      <c r="U23" s="27">
        <v>18</v>
      </c>
      <c r="V23" s="39">
        <v>48</v>
      </c>
      <c r="W23" s="40">
        <v>0</v>
      </c>
    </row>
    <row r="24" spans="1:44" s="15" customFormat="1" ht="15" customHeight="1" x14ac:dyDescent="0.25">
      <c r="A24" s="2" t="s">
        <v>15</v>
      </c>
      <c r="B24" s="19" t="s">
        <v>59</v>
      </c>
      <c r="C24" s="34">
        <f t="shared" si="4"/>
        <v>2581</v>
      </c>
      <c r="D24" s="27">
        <v>82</v>
      </c>
      <c r="E24" s="27">
        <v>235</v>
      </c>
      <c r="F24" s="27">
        <v>245</v>
      </c>
      <c r="G24" s="27">
        <v>562</v>
      </c>
      <c r="H24" s="38">
        <v>274</v>
      </c>
      <c r="I24" s="27">
        <v>228</v>
      </c>
      <c r="J24" s="27">
        <v>210</v>
      </c>
      <c r="K24" s="27">
        <v>236</v>
      </c>
      <c r="L24" s="27">
        <v>189</v>
      </c>
      <c r="M24" s="27">
        <v>162</v>
      </c>
      <c r="N24" s="27">
        <v>140</v>
      </c>
      <c r="O24" s="39">
        <v>1439</v>
      </c>
      <c r="P24" s="27">
        <v>165</v>
      </c>
      <c r="Q24" s="27">
        <v>149</v>
      </c>
      <c r="R24" s="27">
        <v>219</v>
      </c>
      <c r="S24" s="27">
        <v>533</v>
      </c>
      <c r="T24" s="38">
        <v>25</v>
      </c>
      <c r="U24" s="27">
        <v>22</v>
      </c>
      <c r="V24" s="39">
        <v>47</v>
      </c>
      <c r="W24" s="40">
        <v>0</v>
      </c>
    </row>
    <row r="25" spans="1:44" s="15" customFormat="1" ht="15" customHeight="1" x14ac:dyDescent="0.25">
      <c r="A25" s="2" t="s">
        <v>7</v>
      </c>
      <c r="B25" s="19" t="s">
        <v>60</v>
      </c>
      <c r="C25" s="34">
        <f t="shared" si="4"/>
        <v>3597</v>
      </c>
      <c r="D25" s="27">
        <v>150</v>
      </c>
      <c r="E25" s="27">
        <v>290</v>
      </c>
      <c r="F25" s="27">
        <v>301</v>
      </c>
      <c r="G25" s="27">
        <v>741</v>
      </c>
      <c r="H25" s="38">
        <v>289</v>
      </c>
      <c r="I25" s="27">
        <v>279</v>
      </c>
      <c r="J25" s="27">
        <v>309</v>
      </c>
      <c r="K25" s="27">
        <v>332</v>
      </c>
      <c r="L25" s="27">
        <v>271</v>
      </c>
      <c r="M25" s="27">
        <v>247</v>
      </c>
      <c r="N25" s="27">
        <v>199</v>
      </c>
      <c r="O25" s="39">
        <v>1926</v>
      </c>
      <c r="P25" s="27">
        <v>279</v>
      </c>
      <c r="Q25" s="27">
        <v>277</v>
      </c>
      <c r="R25" s="27">
        <v>273</v>
      </c>
      <c r="S25" s="27">
        <v>829</v>
      </c>
      <c r="T25" s="38">
        <v>56</v>
      </c>
      <c r="U25" s="27">
        <v>45</v>
      </c>
      <c r="V25" s="39">
        <v>101</v>
      </c>
      <c r="W25" s="40">
        <v>0</v>
      </c>
    </row>
    <row r="26" spans="1:44" s="15" customFormat="1" ht="15" customHeight="1" x14ac:dyDescent="0.25">
      <c r="A26" s="2" t="s">
        <v>16</v>
      </c>
      <c r="B26" s="19" t="s">
        <v>61</v>
      </c>
      <c r="C26" s="34">
        <f t="shared" si="4"/>
        <v>2138</v>
      </c>
      <c r="D26" s="27">
        <v>99</v>
      </c>
      <c r="E26" s="27">
        <v>185</v>
      </c>
      <c r="F26" s="27">
        <v>191</v>
      </c>
      <c r="G26" s="27">
        <v>475</v>
      </c>
      <c r="H26" s="38">
        <v>175</v>
      </c>
      <c r="I26" s="27">
        <v>163</v>
      </c>
      <c r="J26" s="27">
        <v>177</v>
      </c>
      <c r="K26" s="27">
        <v>167</v>
      </c>
      <c r="L26" s="27">
        <v>151</v>
      </c>
      <c r="M26" s="27">
        <v>157</v>
      </c>
      <c r="N26" s="27">
        <v>143</v>
      </c>
      <c r="O26" s="39">
        <v>1133</v>
      </c>
      <c r="P26" s="27">
        <v>162</v>
      </c>
      <c r="Q26" s="27">
        <v>162</v>
      </c>
      <c r="R26" s="27">
        <v>173</v>
      </c>
      <c r="S26" s="27">
        <v>497</v>
      </c>
      <c r="T26" s="38">
        <v>18</v>
      </c>
      <c r="U26" s="27">
        <v>11</v>
      </c>
      <c r="V26" s="39">
        <v>29</v>
      </c>
      <c r="W26" s="40">
        <v>4</v>
      </c>
    </row>
    <row r="27" spans="1:44" s="15" customFormat="1" ht="15" customHeight="1" x14ac:dyDescent="0.25">
      <c r="A27" s="2" t="s">
        <v>17</v>
      </c>
      <c r="B27" s="19" t="s">
        <v>62</v>
      </c>
      <c r="C27" s="34">
        <f t="shared" si="4"/>
        <v>3101</v>
      </c>
      <c r="D27" s="27">
        <v>118</v>
      </c>
      <c r="E27" s="27">
        <v>236</v>
      </c>
      <c r="F27" s="27">
        <v>296</v>
      </c>
      <c r="G27" s="27">
        <v>650</v>
      </c>
      <c r="H27" s="38">
        <v>250</v>
      </c>
      <c r="I27" s="27">
        <v>240</v>
      </c>
      <c r="J27" s="27">
        <v>279</v>
      </c>
      <c r="K27" s="27">
        <v>257</v>
      </c>
      <c r="L27" s="27">
        <v>230</v>
      </c>
      <c r="M27" s="27">
        <v>230</v>
      </c>
      <c r="N27" s="27">
        <v>224</v>
      </c>
      <c r="O27" s="39">
        <v>1710</v>
      </c>
      <c r="P27" s="27">
        <v>219</v>
      </c>
      <c r="Q27" s="27">
        <v>223</v>
      </c>
      <c r="R27" s="27">
        <v>215</v>
      </c>
      <c r="S27" s="27">
        <v>657</v>
      </c>
      <c r="T27" s="38">
        <v>25</v>
      </c>
      <c r="U27" s="27">
        <v>40</v>
      </c>
      <c r="V27" s="39">
        <v>65</v>
      </c>
      <c r="W27" s="40">
        <v>19</v>
      </c>
    </row>
    <row r="28" spans="1:44" s="15" customFormat="1" ht="15" customHeight="1" x14ac:dyDescent="0.25">
      <c r="A28" s="2" t="s">
        <v>18</v>
      </c>
      <c r="B28" s="19" t="s">
        <v>63</v>
      </c>
      <c r="C28" s="34">
        <f t="shared" si="4"/>
        <v>2460</v>
      </c>
      <c r="D28" s="27">
        <v>182</v>
      </c>
      <c r="E28" s="27">
        <v>141</v>
      </c>
      <c r="F28" s="27">
        <v>159</v>
      </c>
      <c r="G28" s="27">
        <v>482</v>
      </c>
      <c r="H28" s="38">
        <v>174</v>
      </c>
      <c r="I28" s="27">
        <v>249</v>
      </c>
      <c r="J28" s="27">
        <v>217</v>
      </c>
      <c r="K28" s="27">
        <v>187</v>
      </c>
      <c r="L28" s="27">
        <v>165</v>
      </c>
      <c r="M28" s="27">
        <v>143</v>
      </c>
      <c r="N28" s="27">
        <v>150</v>
      </c>
      <c r="O28" s="39">
        <v>1285</v>
      </c>
      <c r="P28" s="27">
        <v>160</v>
      </c>
      <c r="Q28" s="27">
        <v>192</v>
      </c>
      <c r="R28" s="27">
        <v>171</v>
      </c>
      <c r="S28" s="27">
        <v>523</v>
      </c>
      <c r="T28" s="38">
        <v>39</v>
      </c>
      <c r="U28" s="27">
        <v>50</v>
      </c>
      <c r="V28" s="39">
        <v>89</v>
      </c>
      <c r="W28" s="40">
        <v>81</v>
      </c>
    </row>
    <row r="29" spans="1:44" s="15" customFormat="1" ht="15" customHeight="1" x14ac:dyDescent="0.25">
      <c r="A29" s="3" t="s">
        <v>4</v>
      </c>
      <c r="B29" s="20" t="s">
        <v>64</v>
      </c>
      <c r="C29" s="44">
        <f t="shared" si="4"/>
        <v>5513</v>
      </c>
      <c r="D29" s="28">
        <v>391</v>
      </c>
      <c r="E29" s="28">
        <v>437</v>
      </c>
      <c r="F29" s="28">
        <v>376</v>
      </c>
      <c r="G29" s="28">
        <v>1204</v>
      </c>
      <c r="H29" s="45">
        <v>433</v>
      </c>
      <c r="I29" s="28">
        <v>427</v>
      </c>
      <c r="J29" s="28">
        <v>438</v>
      </c>
      <c r="K29" s="28">
        <v>413</v>
      </c>
      <c r="L29" s="28">
        <v>364</v>
      </c>
      <c r="M29" s="28">
        <v>339</v>
      </c>
      <c r="N29" s="28">
        <v>385</v>
      </c>
      <c r="O29" s="46">
        <v>2799</v>
      </c>
      <c r="P29" s="28">
        <v>351</v>
      </c>
      <c r="Q29" s="28">
        <v>312</v>
      </c>
      <c r="R29" s="28">
        <v>359</v>
      </c>
      <c r="S29" s="28">
        <v>1022</v>
      </c>
      <c r="T29" s="45">
        <v>176</v>
      </c>
      <c r="U29" s="28">
        <v>267</v>
      </c>
      <c r="V29" s="46">
        <v>443</v>
      </c>
      <c r="W29" s="47">
        <v>45</v>
      </c>
      <c r="AM29" s="16"/>
    </row>
    <row r="30" spans="1:44" ht="13.5" x14ac:dyDescent="0.15">
      <c r="B30" s="25" t="s">
        <v>20</v>
      </c>
      <c r="C30" s="4"/>
      <c r="D30" s="5"/>
      <c r="E30" s="4"/>
      <c r="F30" s="4"/>
      <c r="G30" s="4"/>
      <c r="H30" s="4"/>
      <c r="I30" s="4"/>
      <c r="J30" s="4"/>
      <c r="K30" s="6"/>
      <c r="L30" s="11"/>
      <c r="W30" s="7" t="s">
        <v>21</v>
      </c>
    </row>
    <row r="31" spans="1:44" ht="22.5" customHeight="1" x14ac:dyDescent="0.25">
      <c r="B31" s="8"/>
      <c r="C31" s="24"/>
      <c r="D31" s="24"/>
      <c r="E31" s="24"/>
      <c r="F31" s="24"/>
      <c r="G31" s="24"/>
      <c r="H31" s="21"/>
      <c r="I31" s="24"/>
      <c r="J31" s="9"/>
      <c r="K31" s="24"/>
      <c r="L31" s="24"/>
    </row>
    <row r="32" spans="1:44" ht="22.5" customHeight="1" x14ac:dyDescent="0.15"/>
    <row r="33" spans="12:12" x14ac:dyDescent="0.15">
      <c r="L33" s="23"/>
    </row>
    <row r="64" spans="42:44" x14ac:dyDescent="0.15">
      <c r="AP64" s="11" t="s">
        <v>1</v>
      </c>
      <c r="AQ64" s="11" t="s">
        <v>2</v>
      </c>
      <c r="AR64" s="11" t="s">
        <v>3</v>
      </c>
    </row>
    <row r="65" spans="40:44" ht="11.25" x14ac:dyDescent="0.2">
      <c r="AN65" s="15" t="s">
        <v>23</v>
      </c>
      <c r="AO65" s="15"/>
      <c r="AP65" s="29">
        <f>V7</f>
        <v>4191</v>
      </c>
      <c r="AQ65" s="29">
        <f>V8</f>
        <v>2455</v>
      </c>
      <c r="AR65" s="29">
        <f>V9</f>
        <v>1736</v>
      </c>
    </row>
    <row r="66" spans="40:44" ht="11.25" x14ac:dyDescent="0.2">
      <c r="AN66" s="15" t="s">
        <v>67</v>
      </c>
      <c r="AO66" s="15"/>
      <c r="AP66" s="29">
        <f>S7</f>
        <v>16778</v>
      </c>
      <c r="AQ66" s="29">
        <f>S8</f>
        <v>5335</v>
      </c>
      <c r="AR66" s="29">
        <f>S9</f>
        <v>11443</v>
      </c>
    </row>
    <row r="67" spans="40:44" ht="11.25" x14ac:dyDescent="0.2">
      <c r="AN67" s="15" t="s">
        <v>22</v>
      </c>
      <c r="AO67" s="15"/>
      <c r="AP67" s="29">
        <f>O7</f>
        <v>45326</v>
      </c>
      <c r="AQ67" s="29">
        <f>O8</f>
        <v>15433</v>
      </c>
      <c r="AR67" s="29">
        <f>O9</f>
        <v>29893</v>
      </c>
    </row>
    <row r="68" spans="40:44" ht="11.25" x14ac:dyDescent="0.2">
      <c r="AN68" s="15" t="s">
        <v>68</v>
      </c>
      <c r="AO68" s="15"/>
      <c r="AP68" s="29">
        <f>G7</f>
        <v>21000</v>
      </c>
      <c r="AQ68" s="29">
        <f>G8</f>
        <v>7972</v>
      </c>
      <c r="AR68" s="29">
        <f>G9</f>
        <v>13028</v>
      </c>
    </row>
  </sheetData>
  <mergeCells count="28">
    <mergeCell ref="B1:W1"/>
    <mergeCell ref="B2:W2"/>
    <mergeCell ref="D5:D6"/>
    <mergeCell ref="E5:E6"/>
    <mergeCell ref="F5:F6"/>
    <mergeCell ref="G5:G6"/>
    <mergeCell ref="H5:H6"/>
    <mergeCell ref="I5:I6"/>
    <mergeCell ref="V5:V6"/>
    <mergeCell ref="P5:P6"/>
    <mergeCell ref="Q5:Q6"/>
    <mergeCell ref="R5:R6"/>
    <mergeCell ref="S5:S6"/>
    <mergeCell ref="T5:T6"/>
    <mergeCell ref="U5:U6"/>
    <mergeCell ref="J5:J6"/>
    <mergeCell ref="B4:B6"/>
    <mergeCell ref="C4:C6"/>
    <mergeCell ref="W4:W6"/>
    <mergeCell ref="D4:G4"/>
    <mergeCell ref="H4:O4"/>
    <mergeCell ref="P4:S4"/>
    <mergeCell ref="T4:V4"/>
    <mergeCell ref="K5:K6"/>
    <mergeCell ref="L5:L6"/>
    <mergeCell ref="M5:M6"/>
    <mergeCell ref="N5:N6"/>
    <mergeCell ref="O5:O6"/>
  </mergeCells>
  <pageMargins left="0.7" right="0.7" top="0.75" bottom="0.75" header="0.3" footer="0.3"/>
  <pageSetup paperSize="9" scale="65" orientation="landscape" horizontalDpi="4294967295" verticalDpi="4294967295" r:id="rId1"/>
  <rowBreaks count="1" manualBreakCount="1">
    <brk id="30" max="22" man="1"/>
  </rowBreaks>
  <ignoredErrors>
    <ignoredError sqref="G9:W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2018-04-18T05:00:31Z</cp:lastPrinted>
  <dcterms:created xsi:type="dcterms:W3CDTF">2014-03-05T03:36:41Z</dcterms:created>
  <dcterms:modified xsi:type="dcterms:W3CDTF">2018-04-18T05:01:06Z</dcterms:modified>
</cp:coreProperties>
</file>