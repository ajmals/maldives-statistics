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24" sheetId="28" r:id="rId1"/>
  </sheets>
  <definedNames>
    <definedName name="_xlnm.Print_Area" localSheetId="0">'7.24'!$A$1:$Y$48</definedName>
  </definedNames>
  <calcPr calcId="162913"/>
</workbook>
</file>

<file path=xl/calcChain.xml><?xml version="1.0" encoding="utf-8"?>
<calcChain xmlns="http://schemas.openxmlformats.org/spreadsheetml/2006/main">
  <c r="F17" i="28" l="1"/>
  <c r="D23" i="28"/>
  <c r="C23" i="28"/>
  <c r="C22" i="28"/>
  <c r="D21" i="28"/>
  <c r="C21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2" i="28"/>
  <c r="J23" i="28"/>
  <c r="J24" i="28"/>
  <c r="J7" i="28"/>
  <c r="F8" i="28"/>
  <c r="F9" i="28"/>
  <c r="F10" i="28"/>
  <c r="F11" i="28"/>
  <c r="F12" i="28"/>
  <c r="F13" i="28"/>
  <c r="F14" i="28"/>
  <c r="F15" i="28"/>
  <c r="F16" i="28"/>
  <c r="F18" i="28"/>
  <c r="F19" i="28"/>
  <c r="F20" i="28"/>
  <c r="B20" i="28" s="1"/>
  <c r="F21" i="28"/>
  <c r="F22" i="28"/>
  <c r="F23" i="28"/>
  <c r="F24" i="28"/>
  <c r="F7" i="28"/>
  <c r="V8" i="28"/>
  <c r="V9" i="28"/>
  <c r="V10" i="28"/>
  <c r="V11" i="28"/>
  <c r="V12" i="28"/>
  <c r="V13" i="28"/>
  <c r="V14" i="28"/>
  <c r="V15" i="28"/>
  <c r="V16" i="28"/>
  <c r="V17" i="28"/>
  <c r="V18" i="28"/>
  <c r="V19" i="28"/>
  <c r="V22" i="28"/>
  <c r="V23" i="28"/>
  <c r="V24" i="28"/>
  <c r="V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1" i="28"/>
  <c r="R22" i="28"/>
  <c r="R23" i="28"/>
  <c r="R24" i="28"/>
  <c r="R7" i="28"/>
  <c r="N7" i="28"/>
  <c r="C19" i="28"/>
  <c r="D18" i="28"/>
  <c r="D19" i="28"/>
  <c r="C18" i="28"/>
  <c r="D15" i="28"/>
  <c r="C15" i="28"/>
  <c r="D11" i="28"/>
  <c r="C11" i="28"/>
  <c r="D8" i="28"/>
  <c r="D9" i="28"/>
  <c r="C8" i="28"/>
  <c r="C9" i="28"/>
  <c r="D7" i="28"/>
  <c r="C7" i="28"/>
  <c r="B21" i="28" l="1"/>
  <c r="B7" i="28"/>
  <c r="C10" i="28"/>
  <c r="D10" i="28"/>
  <c r="C12" i="28"/>
  <c r="D12" i="28"/>
  <c r="C13" i="28"/>
  <c r="D13" i="28"/>
  <c r="C14" i="28"/>
  <c r="D14" i="28"/>
  <c r="C16" i="28"/>
  <c r="D16" i="28"/>
  <c r="C17" i="28"/>
  <c r="D17" i="28"/>
  <c r="N24" i="28"/>
  <c r="N23" i="28"/>
  <c r="N22" i="28"/>
  <c r="O6" i="28"/>
  <c r="N19" i="28"/>
  <c r="N18" i="28"/>
  <c r="N17" i="28"/>
  <c r="N16" i="28"/>
  <c r="N15" i="28"/>
  <c r="N14" i="28"/>
  <c r="B14" i="28" s="1"/>
  <c r="N13" i="28"/>
  <c r="B13" i="28" s="1"/>
  <c r="N12" i="28"/>
  <c r="N11" i="28"/>
  <c r="N10" i="28"/>
  <c r="N9" i="28"/>
  <c r="N8" i="28"/>
  <c r="W6" i="28"/>
  <c r="X6" i="28"/>
  <c r="T6" i="28"/>
  <c r="S6" i="28"/>
  <c r="P6" i="28"/>
  <c r="L6" i="28"/>
  <c r="K6" i="28"/>
  <c r="J6" i="28" s="1"/>
  <c r="H6" i="28"/>
  <c r="G6" i="28"/>
  <c r="D22" i="28"/>
  <c r="C24" i="28"/>
  <c r="D24" i="28"/>
  <c r="F6" i="28" l="1"/>
  <c r="V6" i="28"/>
  <c r="N6" i="28"/>
  <c r="C6" i="28"/>
  <c r="B22" i="28"/>
  <c r="R6" i="28"/>
  <c r="B15" i="28"/>
  <c r="B12" i="28"/>
  <c r="B11" i="28"/>
  <c r="B24" i="28"/>
  <c r="B18" i="28"/>
  <c r="B17" i="28"/>
  <c r="B8" i="28"/>
  <c r="B16" i="28"/>
  <c r="B19" i="28"/>
  <c r="B9" i="28"/>
  <c r="B10" i="28"/>
  <c r="B23" i="28"/>
  <c r="D6" i="28"/>
  <c r="B6" i="28" l="1"/>
</calcChain>
</file>

<file path=xl/sharedStrings.xml><?xml version="1.0" encoding="utf-8"?>
<sst xmlns="http://schemas.openxmlformats.org/spreadsheetml/2006/main" count="52" uniqueCount="17">
  <si>
    <t>Male</t>
  </si>
  <si>
    <t>Female</t>
  </si>
  <si>
    <t>Total</t>
  </si>
  <si>
    <t>Year</t>
  </si>
  <si>
    <t>NA</t>
  </si>
  <si>
    <t xml:space="preserve">Source: Department of Higher Education </t>
  </si>
  <si>
    <r>
      <t xml:space="preserve">Diploma             </t>
    </r>
    <r>
      <rPr>
        <b/>
        <sz val="10"/>
        <rFont val="A_Randhoo"/>
      </rPr>
      <t/>
    </r>
  </si>
  <si>
    <r>
      <t xml:space="preserve">Degree               </t>
    </r>
    <r>
      <rPr>
        <b/>
        <sz val="10"/>
        <rFont val="A_Randhoo"/>
      </rPr>
      <t/>
    </r>
  </si>
  <si>
    <t xml:space="preserve">Masters      </t>
  </si>
  <si>
    <t xml:space="preserve">PhD               </t>
  </si>
  <si>
    <t>MBBS</t>
  </si>
  <si>
    <t>ތާވަލު 7.24: ސްކޮލަރޝިޕް ލިބުނު ދަރިވަރުންގެ ޢަދަދު، 2000 - 2017</t>
  </si>
  <si>
    <t>Table 7.24 : STUDENTS WHO RECEIVED SCHOLARSHIPS,  2000  - 2017</t>
  </si>
  <si>
    <t>Note: * The data provided for students who receive scholarships are taken from our mastersheet.</t>
  </si>
  <si>
    <t>* NA states data not available</t>
  </si>
  <si>
    <t>* scholarships for some level total amount is written as in gender wise the data is not available currently</t>
  </si>
  <si>
    <t>Bothe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</si>
</sst>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i/>
      <sz val="10"/>
      <color theme="1"/>
      <name val="Calibri"/>
      <family val="2"/>
      <scheme val="minor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/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hair">
        <color theme="1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thin">
        <color theme="0"/>
      </left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1" fillId="0" borderId="0" applyFont="0" applyFill="0" applyBorder="0" applyAlignment="0" applyProtection="0"/>
    <xf numFmtId="164" fontId="2" fillId="0" borderId="0"/>
    <xf numFmtId="0" fontId="12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4" fillId="0" borderId="0"/>
    <xf numFmtId="169" fontId="2" fillId="0" borderId="0"/>
    <xf numFmtId="0" fontId="11" fillId="0" borderId="0"/>
    <xf numFmtId="0" fontId="11" fillId="0" borderId="0"/>
    <xf numFmtId="169" fontId="2" fillId="0" borderId="0"/>
    <xf numFmtId="0" fontId="11" fillId="0" borderId="0"/>
    <xf numFmtId="0" fontId="11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1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96">
    <xf numFmtId="0" fontId="0" fillId="0" borderId="0" xfId="0"/>
    <xf numFmtId="3" fontId="3" fillId="2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Border="1"/>
    <xf numFmtId="165" fontId="6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3" fontId="10" fillId="2" borderId="3" xfId="0" applyNumberFormat="1" applyFont="1" applyFill="1" applyBorder="1" applyAlignment="1">
      <alignment horizontal="right" vertical="center"/>
    </xf>
    <xf numFmtId="0" fontId="0" fillId="2" borderId="0" xfId="0" applyFill="1" applyBorder="1"/>
    <xf numFmtId="165" fontId="7" fillId="2" borderId="13" xfId="0" applyNumberFormat="1" applyFont="1" applyFill="1" applyBorder="1"/>
    <xf numFmtId="165" fontId="4" fillId="2" borderId="13" xfId="0" applyNumberFormat="1" applyFont="1" applyFill="1" applyBorder="1" applyAlignment="1">
      <alignment horizontal="center"/>
    </xf>
    <xf numFmtId="165" fontId="7" fillId="2" borderId="5" xfId="0" applyNumberFormat="1" applyFont="1" applyFill="1" applyBorder="1"/>
    <xf numFmtId="165" fontId="4" fillId="2" borderId="6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right"/>
    </xf>
    <xf numFmtId="165" fontId="3" fillId="2" borderId="16" xfId="0" applyNumberFormat="1" applyFont="1" applyFill="1" applyBorder="1" applyAlignment="1">
      <alignment horizontal="right" vertical="center"/>
    </xf>
    <xf numFmtId="165" fontId="3" fillId="2" borderId="18" xfId="0" applyNumberFormat="1" applyFont="1" applyFill="1" applyBorder="1" applyAlignment="1">
      <alignment horizontal="right" vertical="center"/>
    </xf>
    <xf numFmtId="165" fontId="3" fillId="2" borderId="19" xfId="0" applyNumberFormat="1" applyFont="1" applyFill="1" applyBorder="1" applyAlignment="1">
      <alignment horizontal="right"/>
    </xf>
    <xf numFmtId="165" fontId="4" fillId="2" borderId="5" xfId="0" applyNumberFormat="1" applyFont="1" applyFill="1" applyBorder="1"/>
    <xf numFmtId="165" fontId="4" fillId="2" borderId="0" xfId="0" applyNumberFormat="1" applyFont="1" applyFill="1" applyBorder="1"/>
    <xf numFmtId="165" fontId="3" fillId="2" borderId="9" xfId="0" applyNumberFormat="1" applyFont="1" applyFill="1" applyBorder="1" applyAlignment="1">
      <alignment horizontal="left" vertical="center"/>
    </xf>
    <xf numFmtId="3" fontId="3" fillId="2" borderId="9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horizontal="right" vertical="center"/>
    </xf>
    <xf numFmtId="3" fontId="3" fillId="2" borderId="13" xfId="0" applyNumberFormat="1" applyFont="1" applyFill="1" applyBorder="1" applyAlignment="1">
      <alignment horizontal="right" vertical="center"/>
    </xf>
    <xf numFmtId="3" fontId="3" fillId="2" borderId="20" xfId="0" applyNumberFormat="1" applyFont="1" applyFill="1" applyBorder="1" applyAlignment="1">
      <alignment horizontal="right" vertical="center"/>
    </xf>
    <xf numFmtId="3" fontId="3" fillId="2" borderId="16" xfId="0" applyNumberFormat="1" applyFont="1" applyFill="1" applyBorder="1" applyAlignment="1">
      <alignment horizontal="right" vertical="center"/>
    </xf>
    <xf numFmtId="0" fontId="9" fillId="2" borderId="0" xfId="0" applyFont="1" applyFill="1"/>
    <xf numFmtId="3" fontId="0" fillId="2" borderId="0" xfId="0" applyNumberFormat="1" applyFill="1"/>
    <xf numFmtId="3" fontId="3" fillId="2" borderId="14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3" fontId="3" fillId="2" borderId="19" xfId="0" applyNumberFormat="1" applyFont="1" applyFill="1" applyBorder="1" applyAlignment="1">
      <alignment horizontal="right" vertical="center"/>
    </xf>
    <xf numFmtId="3" fontId="3" fillId="2" borderId="22" xfId="0" applyNumberFormat="1" applyFont="1" applyFill="1" applyBorder="1" applyAlignment="1">
      <alignment horizontal="right" vertical="center"/>
    </xf>
    <xf numFmtId="3" fontId="6" fillId="2" borderId="23" xfId="0" applyNumberFormat="1" applyFont="1" applyFill="1" applyBorder="1" applyAlignment="1">
      <alignment horizontal="right" vertical="center"/>
    </xf>
    <xf numFmtId="3" fontId="6" fillId="2" borderId="24" xfId="0" applyNumberFormat="1" applyFont="1" applyFill="1" applyBorder="1" applyAlignment="1">
      <alignment horizontal="right" vertical="center"/>
    </xf>
    <xf numFmtId="3" fontId="10" fillId="2" borderId="25" xfId="0" applyNumberFormat="1" applyFont="1" applyFill="1" applyBorder="1" applyAlignment="1">
      <alignment horizontal="right" vertical="center"/>
    </xf>
    <xf numFmtId="3" fontId="10" fillId="2" borderId="26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6" fillId="2" borderId="6" xfId="0" applyNumberFormat="1" applyFont="1" applyFill="1" applyBorder="1" applyAlignment="1">
      <alignment horizontal="right" vertical="center"/>
    </xf>
    <xf numFmtId="3" fontId="6" fillId="2" borderId="27" xfId="0" applyNumberFormat="1" applyFont="1" applyFill="1" applyBorder="1" applyAlignment="1">
      <alignment horizontal="right" vertical="center"/>
    </xf>
    <xf numFmtId="165" fontId="3" fillId="2" borderId="29" xfId="0" applyNumberFormat="1" applyFont="1" applyFill="1" applyBorder="1" applyAlignment="1">
      <alignment horizontal="right"/>
    </xf>
    <xf numFmtId="3" fontId="3" fillId="2" borderId="30" xfId="0" applyNumberFormat="1" applyFont="1" applyFill="1" applyBorder="1" applyAlignment="1">
      <alignment horizontal="right" vertical="center"/>
    </xf>
    <xf numFmtId="3" fontId="3" fillId="2" borderId="31" xfId="0" applyNumberFormat="1" applyFont="1" applyFill="1" applyBorder="1" applyAlignment="1">
      <alignment horizontal="right" vertical="center"/>
    </xf>
    <xf numFmtId="3" fontId="6" fillId="2" borderId="32" xfId="0" applyNumberFormat="1" applyFont="1" applyFill="1" applyBorder="1" applyAlignment="1">
      <alignment horizontal="right" vertical="center"/>
    </xf>
    <xf numFmtId="3" fontId="6" fillId="2" borderId="33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3" fontId="3" fillId="2" borderId="29" xfId="0" applyNumberFormat="1" applyFont="1" applyFill="1" applyBorder="1" applyAlignment="1">
      <alignment horizontal="right" vertical="center"/>
    </xf>
    <xf numFmtId="3" fontId="10" fillId="2" borderId="4" xfId="0" applyNumberFormat="1" applyFont="1" applyFill="1" applyBorder="1" applyAlignment="1">
      <alignment horizontal="right" vertical="center"/>
    </xf>
    <xf numFmtId="165" fontId="3" fillId="2" borderId="18" xfId="0" applyNumberFormat="1" applyFont="1" applyFill="1" applyBorder="1" applyAlignment="1">
      <alignment horizontal="right"/>
    </xf>
    <xf numFmtId="3" fontId="0" fillId="2" borderId="17" xfId="0" applyNumberFormat="1" applyFill="1" applyBorder="1"/>
    <xf numFmtId="3" fontId="0" fillId="2" borderId="17" xfId="0" applyNumberFormat="1" applyFont="1" applyFill="1" applyBorder="1"/>
    <xf numFmtId="3" fontId="0" fillId="2" borderId="18" xfId="0" applyNumberFormat="1" applyFont="1" applyFill="1" applyBorder="1"/>
    <xf numFmtId="165" fontId="3" fillId="2" borderId="34" xfId="0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 vertical="center"/>
    </xf>
    <xf numFmtId="3" fontId="3" fillId="2" borderId="34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left" vertical="center"/>
    </xf>
    <xf numFmtId="165" fontId="16" fillId="2" borderId="0" xfId="0" applyNumberFormat="1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165" fontId="3" fillId="2" borderId="14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Border="1" applyAlignment="1">
      <alignment horizontal="right" vertical="center" wrapText="1"/>
    </xf>
    <xf numFmtId="0" fontId="10" fillId="2" borderId="0" xfId="0" applyNumberFormat="1" applyFont="1" applyFill="1" applyBorder="1" applyAlignment="1">
      <alignment horizontal="right" vertical="center" wrapText="1"/>
    </xf>
    <xf numFmtId="165" fontId="6" fillId="2" borderId="12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left" vertical="center" indent="4"/>
    </xf>
    <xf numFmtId="165" fontId="3" fillId="2" borderId="7" xfId="0" applyNumberFormat="1" applyFont="1" applyFill="1" applyBorder="1" applyAlignment="1">
      <alignment horizontal="left" vertical="center" indent="1"/>
    </xf>
    <xf numFmtId="165" fontId="3" fillId="2" borderId="13" xfId="0" applyNumberFormat="1" applyFont="1" applyFill="1" applyBorder="1" applyAlignment="1">
      <alignment horizontal="left" vertical="center" indent="1"/>
    </xf>
    <xf numFmtId="165" fontId="3" fillId="2" borderId="0" xfId="0" applyNumberFormat="1" applyFont="1" applyFill="1" applyBorder="1" applyAlignment="1">
      <alignment horizontal="left" vertical="center" indent="1"/>
    </xf>
    <xf numFmtId="165" fontId="3" fillId="2" borderId="3" xfId="0" applyNumberFormat="1" applyFont="1" applyFill="1" applyBorder="1" applyAlignment="1">
      <alignment horizontal="left" vertical="center" indent="1"/>
    </xf>
    <xf numFmtId="0" fontId="15" fillId="2" borderId="0" xfId="0" applyNumberFormat="1" applyFont="1" applyFill="1" applyBorder="1" applyAlignment="1">
      <alignment horizontal="left" vertical="center" indent="1"/>
    </xf>
    <xf numFmtId="165" fontId="3" fillId="2" borderId="38" xfId="0" applyNumberFormat="1" applyFont="1" applyFill="1" applyBorder="1" applyAlignment="1">
      <alignment horizontal="right" vertical="center"/>
    </xf>
    <xf numFmtId="165" fontId="16" fillId="2" borderId="17" xfId="0" applyNumberFormat="1" applyFont="1" applyFill="1" applyBorder="1" applyAlignment="1">
      <alignment horizontal="center"/>
    </xf>
    <xf numFmtId="165" fontId="16" fillId="2" borderId="0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165" fontId="8" fillId="2" borderId="2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5" fontId="8" fillId="2" borderId="36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left" vertical="center"/>
    </xf>
    <xf numFmtId="165" fontId="3" fillId="2" borderId="21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165" fontId="8" fillId="2" borderId="35" xfId="0" applyNumberFormat="1" applyFont="1" applyFill="1" applyBorder="1" applyAlignment="1">
      <alignment horizontal="center" vertical="center"/>
    </xf>
    <xf numFmtId="165" fontId="8" fillId="2" borderId="37" xfId="0" applyNumberFormat="1" applyFont="1" applyFill="1" applyBorder="1" applyAlignment="1">
      <alignment horizontal="center" vertical="center"/>
    </xf>
    <xf numFmtId="165" fontId="7" fillId="2" borderId="39" xfId="0" applyNumberFormat="1" applyFont="1" applyFill="1" applyBorder="1"/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7.21: Students who recieved</a:t>
            </a:r>
            <a:r>
              <a:rPr lang="en-US" sz="1200" b="1" baseline="0"/>
              <a:t> scholarships, </a:t>
            </a:r>
            <a:r>
              <a:rPr lang="en-US" sz="1200" b="1"/>
              <a:t>2000  - 2017</a:t>
            </a:r>
          </a:p>
        </c:rich>
      </c:tx>
      <c:layout>
        <c:manualLayout>
          <c:xMode val="edge"/>
          <c:yMode val="edge"/>
          <c:x val="0.27111784232883984"/>
          <c:y val="3.716535433070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740270401336468E-2"/>
          <c:y val="0.1625675675675676"/>
          <c:w val="0.94078033079355561"/>
          <c:h val="0.7011173986883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'7.24'!$C$5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'7.24'!$A$7:$A$24</c:f>
              <c:numCache>
                <c:formatCode>General_)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'7.24'!$C$7:$C$24</c:f>
              <c:numCache>
                <c:formatCode>#,##0</c:formatCode>
                <c:ptCount val="18"/>
                <c:pt idx="0">
                  <c:v>90</c:v>
                </c:pt>
                <c:pt idx="1">
                  <c:v>113</c:v>
                </c:pt>
                <c:pt idx="2">
                  <c:v>120</c:v>
                </c:pt>
                <c:pt idx="3">
                  <c:v>146</c:v>
                </c:pt>
                <c:pt idx="4">
                  <c:v>84</c:v>
                </c:pt>
                <c:pt idx="5">
                  <c:v>75</c:v>
                </c:pt>
                <c:pt idx="6">
                  <c:v>133</c:v>
                </c:pt>
                <c:pt idx="7">
                  <c:v>78</c:v>
                </c:pt>
                <c:pt idx="8">
                  <c:v>26</c:v>
                </c:pt>
                <c:pt idx="9">
                  <c:v>31</c:v>
                </c:pt>
                <c:pt idx="10">
                  <c:v>50</c:v>
                </c:pt>
                <c:pt idx="11">
                  <c:v>67</c:v>
                </c:pt>
                <c:pt idx="12">
                  <c:v>45</c:v>
                </c:pt>
                <c:pt idx="13">
                  <c:v>0</c:v>
                </c:pt>
                <c:pt idx="14">
                  <c:v>1</c:v>
                </c:pt>
                <c:pt idx="15">
                  <c:v>81</c:v>
                </c:pt>
                <c:pt idx="16">
                  <c:v>52</c:v>
                </c:pt>
                <c:pt idx="1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8-4552-98AF-3E1812C17816}"/>
            </c:ext>
          </c:extLst>
        </c:ser>
        <c:ser>
          <c:idx val="1"/>
          <c:order val="1"/>
          <c:tx>
            <c:strRef>
              <c:f>'7.24'!$D$5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'7.24'!$A$7:$A$24</c:f>
              <c:numCache>
                <c:formatCode>General_)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'7.24'!$D$7:$D$24</c:f>
              <c:numCache>
                <c:formatCode>#,##0</c:formatCode>
                <c:ptCount val="18"/>
                <c:pt idx="0">
                  <c:v>64</c:v>
                </c:pt>
                <c:pt idx="1">
                  <c:v>73</c:v>
                </c:pt>
                <c:pt idx="2">
                  <c:v>127</c:v>
                </c:pt>
                <c:pt idx="3">
                  <c:v>128</c:v>
                </c:pt>
                <c:pt idx="4">
                  <c:v>59</c:v>
                </c:pt>
                <c:pt idx="5">
                  <c:v>65</c:v>
                </c:pt>
                <c:pt idx="6">
                  <c:v>111</c:v>
                </c:pt>
                <c:pt idx="7">
                  <c:v>74</c:v>
                </c:pt>
                <c:pt idx="8">
                  <c:v>67</c:v>
                </c:pt>
                <c:pt idx="9">
                  <c:v>37</c:v>
                </c:pt>
                <c:pt idx="10">
                  <c:v>58</c:v>
                </c:pt>
                <c:pt idx="11">
                  <c:v>72</c:v>
                </c:pt>
                <c:pt idx="12">
                  <c:v>74</c:v>
                </c:pt>
                <c:pt idx="13">
                  <c:v>0</c:v>
                </c:pt>
                <c:pt idx="14">
                  <c:v>3</c:v>
                </c:pt>
                <c:pt idx="15">
                  <c:v>94</c:v>
                </c:pt>
                <c:pt idx="16">
                  <c:v>53</c:v>
                </c:pt>
                <c:pt idx="1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8-4552-98AF-3E1812C1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06651807"/>
        <c:axId val="2006643071"/>
      </c:barChart>
      <c:catAx>
        <c:axId val="2006651807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643071"/>
        <c:crosses val="autoZero"/>
        <c:auto val="1"/>
        <c:lblAlgn val="ctr"/>
        <c:lblOffset val="100"/>
        <c:noMultiLvlLbl val="0"/>
      </c:catAx>
      <c:valAx>
        <c:axId val="20066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651807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5083834370363691"/>
          <c:y val="0.25947600539702359"/>
          <c:w val="0.22467295117249686"/>
          <c:h val="6.9694895732970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27</xdr:row>
      <xdr:rowOff>152399</xdr:rowOff>
    </xdr:from>
    <xdr:to>
      <xdr:col>22</xdr:col>
      <xdr:colOff>47625</xdr:colOff>
      <xdr:row>46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29</xdr:row>
      <xdr:rowOff>85724</xdr:rowOff>
    </xdr:from>
    <xdr:to>
      <xdr:col>17</xdr:col>
      <xdr:colOff>342900</xdr:colOff>
      <xdr:row>29</xdr:row>
      <xdr:rowOff>85724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4857750" y="5895974"/>
          <a:ext cx="39719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0.70899</cdr:x>
      <cdr:y>0.9156</cdr:y>
    </cdr:from>
    <cdr:to>
      <cdr:x>0.84382</cdr:x>
      <cdr:y>0.97698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10276" y="3409951"/>
          <a:ext cx="11430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/>
            <a:t>Data</a:t>
          </a:r>
          <a:r>
            <a:rPr lang="en-US" sz="1000" baseline="0"/>
            <a:t> not available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76"/>
  <sheetViews>
    <sheetView tabSelected="1" zoomScaleNormal="100" workbookViewId="0">
      <selection activeCell="B4" sqref="B4:X5"/>
    </sheetView>
  </sheetViews>
  <sheetFormatPr defaultRowHeight="15" x14ac:dyDescent="0.25"/>
  <cols>
    <col min="1" max="1" width="10.42578125" style="6" customWidth="1"/>
    <col min="2" max="4" width="8.140625" style="6" customWidth="1"/>
    <col min="5" max="5" width="1.5703125" style="6" customWidth="1"/>
    <col min="6" max="6" width="8.7109375" style="6" customWidth="1"/>
    <col min="7" max="8" width="8.140625" style="6" customWidth="1"/>
    <col min="9" max="9" width="1.5703125" style="6" customWidth="1"/>
    <col min="10" max="10" width="8.85546875" style="6" customWidth="1"/>
    <col min="11" max="12" width="8.140625" style="6" customWidth="1"/>
    <col min="13" max="13" width="1.5703125" style="6" customWidth="1"/>
    <col min="14" max="14" width="9.140625" style="6" customWidth="1"/>
    <col min="15" max="16" width="8.140625" style="6" customWidth="1"/>
    <col min="17" max="17" width="1.5703125" style="6" customWidth="1"/>
    <col min="18" max="18" width="9.140625" style="6" customWidth="1"/>
    <col min="19" max="20" width="8.140625" style="6" customWidth="1"/>
    <col min="21" max="21" width="1.5703125" style="6" customWidth="1"/>
    <col min="22" max="22" width="9" style="6" customWidth="1"/>
    <col min="23" max="24" width="8.140625" style="6" customWidth="1"/>
    <col min="25" max="25" width="1.5703125" style="6" customWidth="1"/>
    <col min="26" max="16384" width="9.140625" style="6"/>
  </cols>
  <sheetData>
    <row r="1" spans="1:38" ht="21" x14ac:dyDescent="0.55000000000000004">
      <c r="A1" s="81" t="s">
        <v>11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x14ac:dyDescent="0.25">
      <c r="A2" s="83" t="s">
        <v>12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Z2" s="4"/>
      <c r="AA2" s="4"/>
      <c r="AB2" s="4"/>
      <c r="AC2" s="4"/>
      <c r="AD2" s="4"/>
      <c r="AE2" s="4"/>
      <c r="AF2" s="4"/>
      <c r="AG2" s="8"/>
      <c r="AH2" s="8"/>
      <c r="AI2" s="8"/>
      <c r="AJ2" s="8"/>
      <c r="AK2" s="8"/>
      <c r="AL2" s="8"/>
    </row>
    <row r="3" spans="1:38" ht="4.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9"/>
      <c r="X3" s="9"/>
      <c r="Y3" s="11"/>
      <c r="Z3" s="4"/>
      <c r="AA3" s="4"/>
      <c r="AB3" s="4"/>
      <c r="AC3" s="4"/>
      <c r="AD3" s="4"/>
      <c r="AE3" s="4"/>
      <c r="AF3" s="4"/>
      <c r="AG3" s="4"/>
      <c r="AH3" s="8"/>
      <c r="AI3" s="8"/>
      <c r="AJ3" s="8"/>
      <c r="AK3" s="8"/>
      <c r="AL3" s="8"/>
    </row>
    <row r="4" spans="1:38" ht="15.75" x14ac:dyDescent="0.25">
      <c r="A4" s="85" t="s">
        <v>3</v>
      </c>
      <c r="B4" s="91" t="s">
        <v>2</v>
      </c>
      <c r="C4" s="92"/>
      <c r="D4" s="92"/>
      <c r="E4" s="92"/>
      <c r="F4" s="93" t="s">
        <v>6</v>
      </c>
      <c r="G4" s="89"/>
      <c r="H4" s="89"/>
      <c r="I4" s="94"/>
      <c r="J4" s="89" t="s">
        <v>7</v>
      </c>
      <c r="K4" s="89"/>
      <c r="L4" s="89"/>
      <c r="M4" s="89"/>
      <c r="N4" s="93" t="s">
        <v>8</v>
      </c>
      <c r="O4" s="89"/>
      <c r="P4" s="89"/>
      <c r="Q4" s="94"/>
      <c r="R4" s="89" t="s">
        <v>9</v>
      </c>
      <c r="S4" s="89"/>
      <c r="T4" s="89"/>
      <c r="U4" s="89"/>
      <c r="V4" s="87" t="s">
        <v>10</v>
      </c>
      <c r="W4" s="88"/>
      <c r="X4" s="88"/>
      <c r="Y4" s="12"/>
      <c r="Z4" s="13"/>
      <c r="AA4" s="8"/>
      <c r="AB4" s="13"/>
      <c r="AC4" s="13"/>
      <c r="AD4" s="13"/>
      <c r="AE4" s="13"/>
      <c r="AF4" s="3"/>
      <c r="AG4" s="3"/>
      <c r="AH4" s="8"/>
      <c r="AI4" s="8"/>
      <c r="AJ4" s="8"/>
      <c r="AK4" s="8"/>
      <c r="AL4" s="8"/>
    </row>
    <row r="5" spans="1:38" x14ac:dyDescent="0.25">
      <c r="A5" s="86"/>
      <c r="B5" s="14" t="s">
        <v>16</v>
      </c>
      <c r="C5" s="15" t="s">
        <v>0</v>
      </c>
      <c r="D5" s="15" t="s">
        <v>1</v>
      </c>
      <c r="E5" s="49"/>
      <c r="F5" s="53" t="s">
        <v>16</v>
      </c>
      <c r="G5" s="15" t="s">
        <v>0</v>
      </c>
      <c r="H5" s="15" t="s">
        <v>1</v>
      </c>
      <c r="I5" s="80"/>
      <c r="J5" s="17" t="s">
        <v>16</v>
      </c>
      <c r="K5" s="15" t="s">
        <v>0</v>
      </c>
      <c r="L5" s="16" t="s">
        <v>1</v>
      </c>
      <c r="M5" s="37"/>
      <c r="N5" s="53" t="s">
        <v>16</v>
      </c>
      <c r="O5" s="15" t="s">
        <v>0</v>
      </c>
      <c r="P5" s="15" t="s">
        <v>1</v>
      </c>
      <c r="Q5" s="80"/>
      <c r="R5" s="17" t="s">
        <v>16</v>
      </c>
      <c r="S5" s="15" t="s">
        <v>0</v>
      </c>
      <c r="T5" s="16" t="s">
        <v>1</v>
      </c>
      <c r="U5" s="37"/>
      <c r="V5" s="41" t="s">
        <v>16</v>
      </c>
      <c r="W5" s="15" t="s">
        <v>0</v>
      </c>
      <c r="X5" s="15" t="s">
        <v>1</v>
      </c>
      <c r="Y5" s="18"/>
      <c r="Z5" s="13"/>
      <c r="AA5" s="13"/>
      <c r="AB5" s="13"/>
      <c r="AC5" s="13"/>
      <c r="AD5" s="13"/>
      <c r="AE5" s="13"/>
      <c r="AF5" s="19"/>
      <c r="AG5" s="19"/>
      <c r="AH5" s="8"/>
      <c r="AI5" s="8"/>
      <c r="AJ5" s="8"/>
      <c r="AK5" s="8"/>
      <c r="AL5" s="8"/>
    </row>
    <row r="6" spans="1:38" x14ac:dyDescent="0.25">
      <c r="A6" s="20" t="s">
        <v>2</v>
      </c>
      <c r="B6" s="24">
        <f>F6+J6+N6+R6+V6</f>
        <v>2454</v>
      </c>
      <c r="C6" s="21">
        <f>SUM(C7:C24)</f>
        <v>1234</v>
      </c>
      <c r="D6" s="21">
        <f t="shared" ref="D6" si="0">SUM(D7:D24)</f>
        <v>1220</v>
      </c>
      <c r="E6" s="28"/>
      <c r="F6" s="54">
        <f>SUM(G6:H6)</f>
        <v>341</v>
      </c>
      <c r="G6" s="21">
        <f>SUM(G7:G24)</f>
        <v>164</v>
      </c>
      <c r="H6" s="21">
        <f>SUM(H7:H24)</f>
        <v>177</v>
      </c>
      <c r="I6" s="32"/>
      <c r="J6" s="29">
        <f>SUM(K6:L6)</f>
        <v>1558</v>
      </c>
      <c r="K6" s="21">
        <f>SUM(K7:K24)</f>
        <v>806</v>
      </c>
      <c r="L6" s="21">
        <f>SUM(L7:L24)</f>
        <v>752</v>
      </c>
      <c r="M6" s="38"/>
      <c r="N6" s="42">
        <f>SUM(O6:P6)</f>
        <v>443</v>
      </c>
      <c r="O6" s="21">
        <f>SUM(O7:O24)</f>
        <v>217</v>
      </c>
      <c r="P6" s="21">
        <f>SUM(P7:P24)</f>
        <v>226</v>
      </c>
      <c r="Q6" s="43"/>
      <c r="R6" s="29">
        <f>SUM(S6:T6)</f>
        <v>40</v>
      </c>
      <c r="S6" s="21">
        <f>SUM(S7:S24)</f>
        <v>21</v>
      </c>
      <c r="T6" s="21">
        <f>SUM(T7:T24)</f>
        <v>19</v>
      </c>
      <c r="U6" s="38"/>
      <c r="V6" s="42">
        <f>SUM(W6:X6)</f>
        <v>72</v>
      </c>
      <c r="W6" s="21">
        <f>SUM(W7:W24)</f>
        <v>26</v>
      </c>
      <c r="X6" s="21">
        <f>SUM(X7:X24)</f>
        <v>46</v>
      </c>
      <c r="Y6" s="18"/>
      <c r="Z6" s="13"/>
      <c r="AA6" s="13"/>
      <c r="AB6" s="13"/>
      <c r="AC6" s="13"/>
      <c r="AD6" s="13"/>
      <c r="AE6" s="13"/>
      <c r="AF6" s="19"/>
      <c r="AG6" s="19"/>
      <c r="AH6" s="8"/>
      <c r="AI6" s="8"/>
      <c r="AJ6" s="8"/>
      <c r="AK6" s="8"/>
      <c r="AL6" s="8"/>
    </row>
    <row r="7" spans="1:38" x14ac:dyDescent="0.25">
      <c r="A7" s="75">
        <v>2000</v>
      </c>
      <c r="B7" s="24">
        <f>F7+J7+N7+R7+V7</f>
        <v>154</v>
      </c>
      <c r="C7" s="24">
        <f>G7+K7+O7+S7+0</f>
        <v>90</v>
      </c>
      <c r="D7" s="24">
        <f>H7+L7+P7+T7+0</f>
        <v>64</v>
      </c>
      <c r="E7" s="28"/>
      <c r="F7" s="54">
        <f>SUM(G7:H7)</f>
        <v>43</v>
      </c>
      <c r="G7" s="59">
        <v>26</v>
      </c>
      <c r="H7" s="59">
        <v>17</v>
      </c>
      <c r="I7" s="33"/>
      <c r="J7" s="29">
        <f>SUM(K7:L7)</f>
        <v>81</v>
      </c>
      <c r="K7" s="59">
        <v>46</v>
      </c>
      <c r="L7" s="59">
        <v>35</v>
      </c>
      <c r="M7" s="39"/>
      <c r="N7" s="42">
        <f>SUM(O7:P7)</f>
        <v>25</v>
      </c>
      <c r="O7" s="59">
        <v>16</v>
      </c>
      <c r="P7" s="59">
        <v>9</v>
      </c>
      <c r="Q7" s="44"/>
      <c r="R7" s="29">
        <f>SUM(S7:T7)</f>
        <v>5</v>
      </c>
      <c r="S7" s="59">
        <v>2</v>
      </c>
      <c r="T7" s="59">
        <v>3</v>
      </c>
      <c r="U7" s="39"/>
      <c r="V7" s="42">
        <f>SUM(W7:X7)</f>
        <v>0</v>
      </c>
      <c r="W7" s="59" t="s">
        <v>4</v>
      </c>
      <c r="X7" s="59" t="s">
        <v>4</v>
      </c>
      <c r="Y7" s="11"/>
      <c r="Z7" s="4"/>
      <c r="AA7" s="4"/>
      <c r="AB7" s="4"/>
      <c r="AC7" s="4"/>
      <c r="AD7" s="4"/>
      <c r="AE7" s="4"/>
      <c r="AF7" s="4"/>
      <c r="AG7" s="4"/>
      <c r="AH7" s="8"/>
      <c r="AI7" s="8"/>
      <c r="AJ7" s="8"/>
      <c r="AK7" s="8"/>
      <c r="AL7" s="8"/>
    </row>
    <row r="8" spans="1:38" x14ac:dyDescent="0.25">
      <c r="A8" s="75">
        <v>2001</v>
      </c>
      <c r="B8" s="24">
        <f t="shared" ref="B8:B19" si="1">F8+J8+N8+R8+V8</f>
        <v>186</v>
      </c>
      <c r="C8" s="24">
        <f t="shared" ref="C8:C9" si="2">G8+K8+O8+S8+0</f>
        <v>113</v>
      </c>
      <c r="D8" s="24">
        <f t="shared" ref="D8:D9" si="3">H8+L8+P8+T8+0</f>
        <v>73</v>
      </c>
      <c r="E8" s="28"/>
      <c r="F8" s="54">
        <f t="shared" ref="F8:F24" si="4">SUM(G8:H8)</f>
        <v>66</v>
      </c>
      <c r="G8" s="59">
        <v>43</v>
      </c>
      <c r="H8" s="59">
        <v>23</v>
      </c>
      <c r="I8" s="33"/>
      <c r="J8" s="29">
        <f t="shared" ref="J8:J24" si="5">SUM(K8:L8)</f>
        <v>96</v>
      </c>
      <c r="K8" s="59">
        <v>54</v>
      </c>
      <c r="L8" s="59">
        <v>42</v>
      </c>
      <c r="M8" s="39"/>
      <c r="N8" s="42">
        <f>SUM(O8:P8)</f>
        <v>21</v>
      </c>
      <c r="O8" s="59">
        <v>13</v>
      </c>
      <c r="P8" s="59">
        <v>8</v>
      </c>
      <c r="Q8" s="44"/>
      <c r="R8" s="29">
        <f t="shared" ref="R8:R24" si="6">SUM(S8:T8)</f>
        <v>3</v>
      </c>
      <c r="S8" s="59">
        <v>3</v>
      </c>
      <c r="T8" s="59">
        <v>0</v>
      </c>
      <c r="U8" s="39"/>
      <c r="V8" s="42">
        <f t="shared" ref="V8:V24" si="7">SUM(W8:X8)</f>
        <v>0</v>
      </c>
      <c r="W8" s="59" t="s">
        <v>4</v>
      </c>
      <c r="X8" s="59" t="s">
        <v>4</v>
      </c>
      <c r="Z8" s="4"/>
      <c r="AA8" s="4"/>
      <c r="AB8" s="4"/>
      <c r="AC8" s="4"/>
      <c r="AD8" s="4"/>
      <c r="AE8" s="4"/>
      <c r="AF8" s="4"/>
      <c r="AG8" s="8"/>
      <c r="AH8" s="8"/>
      <c r="AI8" s="8"/>
      <c r="AJ8" s="8"/>
      <c r="AK8" s="8"/>
      <c r="AL8" s="8"/>
    </row>
    <row r="9" spans="1:38" x14ac:dyDescent="0.25">
      <c r="A9" s="75">
        <v>2002</v>
      </c>
      <c r="B9" s="24">
        <f t="shared" si="1"/>
        <v>247</v>
      </c>
      <c r="C9" s="24">
        <f t="shared" si="2"/>
        <v>120</v>
      </c>
      <c r="D9" s="24">
        <f t="shared" si="3"/>
        <v>127</v>
      </c>
      <c r="E9" s="28"/>
      <c r="F9" s="54">
        <f t="shared" si="4"/>
        <v>75</v>
      </c>
      <c r="G9" s="59">
        <v>23</v>
      </c>
      <c r="H9" s="59">
        <v>52</v>
      </c>
      <c r="I9" s="33"/>
      <c r="J9" s="29">
        <f t="shared" si="5"/>
        <v>142</v>
      </c>
      <c r="K9" s="59">
        <v>80</v>
      </c>
      <c r="L9" s="59">
        <v>62</v>
      </c>
      <c r="M9" s="39"/>
      <c r="N9" s="42">
        <f>SUM(O9:P9)</f>
        <v>28</v>
      </c>
      <c r="O9" s="59">
        <v>15</v>
      </c>
      <c r="P9" s="59">
        <v>13</v>
      </c>
      <c r="Q9" s="44"/>
      <c r="R9" s="29">
        <f t="shared" si="6"/>
        <v>2</v>
      </c>
      <c r="S9" s="59">
        <v>2</v>
      </c>
      <c r="T9" s="59">
        <v>0</v>
      </c>
      <c r="U9" s="39"/>
      <c r="V9" s="42">
        <f t="shared" si="7"/>
        <v>0</v>
      </c>
      <c r="W9" s="59" t="s">
        <v>4</v>
      </c>
      <c r="X9" s="59" t="s">
        <v>4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5">
      <c r="A10" s="75">
        <v>2003</v>
      </c>
      <c r="B10" s="24">
        <f t="shared" si="1"/>
        <v>274</v>
      </c>
      <c r="C10" s="24">
        <f t="shared" ref="C10:C17" si="8">G10+K10+O10+S10+W10</f>
        <v>146</v>
      </c>
      <c r="D10" s="24">
        <f t="shared" ref="D10:D17" si="9">H10+L10+P10+T10+X10</f>
        <v>128</v>
      </c>
      <c r="E10" s="28"/>
      <c r="F10" s="54">
        <f t="shared" si="4"/>
        <v>88</v>
      </c>
      <c r="G10" s="59">
        <v>34</v>
      </c>
      <c r="H10" s="59">
        <v>54</v>
      </c>
      <c r="I10" s="33"/>
      <c r="J10" s="29">
        <f t="shared" si="5"/>
        <v>142</v>
      </c>
      <c r="K10" s="59">
        <v>81</v>
      </c>
      <c r="L10" s="59">
        <v>61</v>
      </c>
      <c r="M10" s="39"/>
      <c r="N10" s="42">
        <f t="shared" ref="N10:N19" si="10">SUM(O10:P10)</f>
        <v>40</v>
      </c>
      <c r="O10" s="59">
        <v>28</v>
      </c>
      <c r="P10" s="59">
        <v>12</v>
      </c>
      <c r="Q10" s="44"/>
      <c r="R10" s="29">
        <f t="shared" si="6"/>
        <v>2</v>
      </c>
      <c r="S10" s="59">
        <v>2</v>
      </c>
      <c r="T10" s="59">
        <v>0</v>
      </c>
      <c r="U10" s="39"/>
      <c r="V10" s="42">
        <f t="shared" si="7"/>
        <v>2</v>
      </c>
      <c r="W10" s="59">
        <v>1</v>
      </c>
      <c r="X10" s="59">
        <v>1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5">
      <c r="A11" s="75">
        <v>2004</v>
      </c>
      <c r="B11" s="24">
        <f t="shared" si="1"/>
        <v>143</v>
      </c>
      <c r="C11" s="24">
        <f>G11+K11+O11+S11+0</f>
        <v>84</v>
      </c>
      <c r="D11" s="24">
        <f>H11+L11+P11+T11+0</f>
        <v>59</v>
      </c>
      <c r="E11" s="28"/>
      <c r="F11" s="54">
        <f t="shared" si="4"/>
        <v>6</v>
      </c>
      <c r="G11" s="59">
        <v>5</v>
      </c>
      <c r="H11" s="59">
        <v>1</v>
      </c>
      <c r="I11" s="33"/>
      <c r="J11" s="29">
        <f t="shared" si="5"/>
        <v>110</v>
      </c>
      <c r="K11" s="59">
        <v>62</v>
      </c>
      <c r="L11" s="59">
        <v>48</v>
      </c>
      <c r="M11" s="39"/>
      <c r="N11" s="42">
        <f>SUM(O11:P11)</f>
        <v>25</v>
      </c>
      <c r="O11" s="59">
        <v>15</v>
      </c>
      <c r="P11" s="59">
        <v>10</v>
      </c>
      <c r="Q11" s="44"/>
      <c r="R11" s="29">
        <f t="shared" si="6"/>
        <v>2</v>
      </c>
      <c r="S11" s="59">
        <v>2</v>
      </c>
      <c r="T11" s="59">
        <v>0</v>
      </c>
      <c r="U11" s="39"/>
      <c r="V11" s="42">
        <f t="shared" si="7"/>
        <v>0</v>
      </c>
      <c r="W11" s="59" t="s">
        <v>4</v>
      </c>
      <c r="X11" s="59" t="s">
        <v>4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x14ac:dyDescent="0.25">
      <c r="A12" s="75">
        <v>2005</v>
      </c>
      <c r="B12" s="24">
        <f t="shared" si="1"/>
        <v>140</v>
      </c>
      <c r="C12" s="24">
        <f t="shared" si="8"/>
        <v>75</v>
      </c>
      <c r="D12" s="24">
        <f t="shared" si="9"/>
        <v>65</v>
      </c>
      <c r="E12" s="28"/>
      <c r="F12" s="54">
        <f t="shared" si="4"/>
        <v>13</v>
      </c>
      <c r="G12" s="59">
        <v>9</v>
      </c>
      <c r="H12" s="59">
        <v>4</v>
      </c>
      <c r="I12" s="33"/>
      <c r="J12" s="29">
        <f t="shared" si="5"/>
        <v>113</v>
      </c>
      <c r="K12" s="59">
        <v>60</v>
      </c>
      <c r="L12" s="59">
        <v>53</v>
      </c>
      <c r="M12" s="39"/>
      <c r="N12" s="42">
        <f t="shared" si="10"/>
        <v>10</v>
      </c>
      <c r="O12" s="59">
        <v>5</v>
      </c>
      <c r="P12" s="59">
        <v>5</v>
      </c>
      <c r="Q12" s="44"/>
      <c r="R12" s="29">
        <f t="shared" si="6"/>
        <v>3</v>
      </c>
      <c r="S12" s="59">
        <v>0</v>
      </c>
      <c r="T12" s="59">
        <v>3</v>
      </c>
      <c r="U12" s="39"/>
      <c r="V12" s="42">
        <f t="shared" si="7"/>
        <v>1</v>
      </c>
      <c r="W12" s="59">
        <v>1</v>
      </c>
      <c r="X12" s="59">
        <v>0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x14ac:dyDescent="0.25">
      <c r="A13" s="75">
        <v>2006</v>
      </c>
      <c r="B13" s="24">
        <f t="shared" si="1"/>
        <v>244</v>
      </c>
      <c r="C13" s="24">
        <f t="shared" si="8"/>
        <v>133</v>
      </c>
      <c r="D13" s="24">
        <f t="shared" si="9"/>
        <v>111</v>
      </c>
      <c r="E13" s="28"/>
      <c r="F13" s="54">
        <f t="shared" si="4"/>
        <v>32</v>
      </c>
      <c r="G13" s="59">
        <v>19</v>
      </c>
      <c r="H13" s="59">
        <v>13</v>
      </c>
      <c r="I13" s="33"/>
      <c r="J13" s="29">
        <f t="shared" si="5"/>
        <v>191</v>
      </c>
      <c r="K13" s="59">
        <v>100</v>
      </c>
      <c r="L13" s="59">
        <v>91</v>
      </c>
      <c r="M13" s="39"/>
      <c r="N13" s="42">
        <f>SUM(O13:P13)</f>
        <v>18</v>
      </c>
      <c r="O13" s="59">
        <v>11</v>
      </c>
      <c r="P13" s="59">
        <v>7</v>
      </c>
      <c r="Q13" s="44"/>
      <c r="R13" s="29">
        <f t="shared" si="6"/>
        <v>2</v>
      </c>
      <c r="S13" s="59">
        <v>2</v>
      </c>
      <c r="T13" s="59">
        <v>0</v>
      </c>
      <c r="U13" s="39"/>
      <c r="V13" s="42">
        <f t="shared" si="7"/>
        <v>1</v>
      </c>
      <c r="W13" s="59">
        <v>1</v>
      </c>
      <c r="X13" s="59">
        <v>0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x14ac:dyDescent="0.25">
      <c r="A14" s="75">
        <v>2007</v>
      </c>
      <c r="B14" s="24">
        <f t="shared" si="1"/>
        <v>152</v>
      </c>
      <c r="C14" s="24">
        <f t="shared" si="8"/>
        <v>78</v>
      </c>
      <c r="D14" s="24">
        <f t="shared" si="9"/>
        <v>74</v>
      </c>
      <c r="E14" s="28"/>
      <c r="F14" s="54">
        <f t="shared" si="4"/>
        <v>2</v>
      </c>
      <c r="G14" s="59">
        <v>0</v>
      </c>
      <c r="H14" s="59">
        <v>2</v>
      </c>
      <c r="I14" s="33"/>
      <c r="J14" s="29">
        <f t="shared" si="5"/>
        <v>138</v>
      </c>
      <c r="K14" s="59">
        <v>72</v>
      </c>
      <c r="L14" s="59">
        <v>66</v>
      </c>
      <c r="M14" s="39"/>
      <c r="N14" s="42">
        <f t="shared" si="10"/>
        <v>9</v>
      </c>
      <c r="O14" s="59">
        <v>5</v>
      </c>
      <c r="P14" s="59">
        <v>4</v>
      </c>
      <c r="Q14" s="44"/>
      <c r="R14" s="29">
        <f t="shared" si="6"/>
        <v>1</v>
      </c>
      <c r="S14" s="59">
        <v>1</v>
      </c>
      <c r="T14" s="59">
        <v>0</v>
      </c>
      <c r="U14" s="39"/>
      <c r="V14" s="42">
        <f t="shared" si="7"/>
        <v>2</v>
      </c>
      <c r="W14" s="59">
        <v>0</v>
      </c>
      <c r="X14" s="59">
        <v>2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25">
      <c r="A15" s="75">
        <v>2008</v>
      </c>
      <c r="B15" s="24">
        <f>F15+J15+N15+R15+V15</f>
        <v>93</v>
      </c>
      <c r="C15" s="24">
        <f>0+K15+O15+S15+W15</f>
        <v>26</v>
      </c>
      <c r="D15" s="24">
        <f>0+L15+P15+T15+X15</f>
        <v>67</v>
      </c>
      <c r="E15" s="28"/>
      <c r="F15" s="54">
        <f t="shared" si="4"/>
        <v>0</v>
      </c>
      <c r="G15" s="59">
        <v>0</v>
      </c>
      <c r="H15" s="59">
        <v>0</v>
      </c>
      <c r="I15" s="33"/>
      <c r="J15" s="29">
        <f t="shared" si="5"/>
        <v>71</v>
      </c>
      <c r="K15" s="59">
        <v>22</v>
      </c>
      <c r="L15" s="59">
        <v>49</v>
      </c>
      <c r="M15" s="39"/>
      <c r="N15" s="42">
        <f>SUM(O15:P15)</f>
        <v>17</v>
      </c>
      <c r="O15" s="59">
        <v>3</v>
      </c>
      <c r="P15" s="59">
        <v>14</v>
      </c>
      <c r="Q15" s="44"/>
      <c r="R15" s="29">
        <f t="shared" si="6"/>
        <v>1</v>
      </c>
      <c r="S15" s="59">
        <v>0</v>
      </c>
      <c r="T15" s="59">
        <v>1</v>
      </c>
      <c r="U15" s="39"/>
      <c r="V15" s="42">
        <f t="shared" si="7"/>
        <v>4</v>
      </c>
      <c r="W15" s="59">
        <v>1</v>
      </c>
      <c r="X15" s="59">
        <v>3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76">
        <v>2009</v>
      </c>
      <c r="B16" s="24">
        <f t="shared" si="1"/>
        <v>68</v>
      </c>
      <c r="C16" s="24">
        <f t="shared" si="8"/>
        <v>31</v>
      </c>
      <c r="D16" s="24">
        <f t="shared" si="9"/>
        <v>37</v>
      </c>
      <c r="E16" s="28"/>
      <c r="F16" s="54">
        <f t="shared" si="4"/>
        <v>6</v>
      </c>
      <c r="G16" s="59">
        <v>3</v>
      </c>
      <c r="H16" s="59">
        <v>3</v>
      </c>
      <c r="I16" s="34"/>
      <c r="J16" s="29">
        <f t="shared" si="5"/>
        <v>46</v>
      </c>
      <c r="K16" s="59">
        <v>19</v>
      </c>
      <c r="L16" s="59">
        <v>27</v>
      </c>
      <c r="M16" s="40"/>
      <c r="N16" s="42">
        <f t="shared" si="10"/>
        <v>11</v>
      </c>
      <c r="O16" s="59">
        <v>5</v>
      </c>
      <c r="P16" s="59">
        <v>6</v>
      </c>
      <c r="Q16" s="45"/>
      <c r="R16" s="29">
        <f t="shared" si="6"/>
        <v>0</v>
      </c>
      <c r="S16" s="59">
        <v>0</v>
      </c>
      <c r="T16" s="59">
        <v>0</v>
      </c>
      <c r="U16" s="40"/>
      <c r="V16" s="42">
        <f t="shared" si="7"/>
        <v>5</v>
      </c>
      <c r="W16" s="59">
        <v>4</v>
      </c>
      <c r="X16" s="59">
        <v>1</v>
      </c>
      <c r="Y16" s="95"/>
      <c r="Z16" s="4"/>
      <c r="AA16" s="8"/>
      <c r="AB16" s="4"/>
      <c r="AC16" s="4"/>
      <c r="AD16" s="4"/>
      <c r="AE16" s="4"/>
      <c r="AF16" s="4"/>
      <c r="AG16" s="4"/>
      <c r="AH16" s="8"/>
      <c r="AI16" s="8"/>
      <c r="AJ16" s="8"/>
      <c r="AK16" s="8"/>
      <c r="AL16" s="8"/>
    </row>
    <row r="17" spans="1:38" x14ac:dyDescent="0.25">
      <c r="A17" s="77">
        <v>2010</v>
      </c>
      <c r="B17" s="24">
        <f t="shared" si="1"/>
        <v>108</v>
      </c>
      <c r="C17" s="24">
        <f t="shared" si="8"/>
        <v>50</v>
      </c>
      <c r="D17" s="24">
        <f t="shared" si="9"/>
        <v>58</v>
      </c>
      <c r="E17" s="28"/>
      <c r="F17" s="54">
        <f>SUM(G17:H17)</f>
        <v>4</v>
      </c>
      <c r="G17" s="59">
        <v>2</v>
      </c>
      <c r="H17" s="59">
        <v>2</v>
      </c>
      <c r="I17" s="35"/>
      <c r="J17" s="29">
        <f t="shared" si="5"/>
        <v>80</v>
      </c>
      <c r="K17" s="59">
        <v>38</v>
      </c>
      <c r="L17" s="59">
        <v>42</v>
      </c>
      <c r="M17" s="30"/>
      <c r="N17" s="42">
        <f t="shared" si="10"/>
        <v>20</v>
      </c>
      <c r="O17" s="59">
        <v>9</v>
      </c>
      <c r="P17" s="59">
        <v>11</v>
      </c>
      <c r="Q17" s="46"/>
      <c r="R17" s="29">
        <f t="shared" si="6"/>
        <v>0</v>
      </c>
      <c r="S17" s="59">
        <v>0</v>
      </c>
      <c r="T17" s="59">
        <v>0</v>
      </c>
      <c r="U17" s="2"/>
      <c r="V17" s="42">
        <f t="shared" si="7"/>
        <v>4</v>
      </c>
      <c r="W17" s="59">
        <v>1</v>
      </c>
      <c r="X17" s="59">
        <v>3</v>
      </c>
      <c r="Y17" s="4"/>
      <c r="Z17" s="4"/>
      <c r="AA17" s="8"/>
      <c r="AB17" s="4"/>
      <c r="AC17" s="4"/>
      <c r="AD17" s="4"/>
      <c r="AE17" s="4"/>
      <c r="AF17" s="4"/>
      <c r="AG17" s="4"/>
      <c r="AH17" s="4"/>
      <c r="AI17" s="8"/>
      <c r="AJ17" s="8"/>
      <c r="AK17" s="8"/>
      <c r="AL17" s="8"/>
    </row>
    <row r="18" spans="1:38" x14ac:dyDescent="0.25">
      <c r="A18" s="77">
        <v>2011</v>
      </c>
      <c r="B18" s="24">
        <f t="shared" si="1"/>
        <v>139</v>
      </c>
      <c r="C18" s="24">
        <f>0+K18+O18+S18+W18</f>
        <v>67</v>
      </c>
      <c r="D18" s="24">
        <f>0+L18+P18+T18+X18</f>
        <v>72</v>
      </c>
      <c r="E18" s="28"/>
      <c r="F18" s="54">
        <f t="shared" si="4"/>
        <v>0</v>
      </c>
      <c r="G18" s="59">
        <v>0</v>
      </c>
      <c r="H18" s="59">
        <v>0</v>
      </c>
      <c r="I18" s="35"/>
      <c r="J18" s="29">
        <f t="shared" si="5"/>
        <v>91</v>
      </c>
      <c r="K18" s="59">
        <v>46</v>
      </c>
      <c r="L18" s="59">
        <v>45</v>
      </c>
      <c r="M18" s="30"/>
      <c r="N18" s="42">
        <f t="shared" si="10"/>
        <v>40</v>
      </c>
      <c r="O18" s="59">
        <v>18</v>
      </c>
      <c r="P18" s="59">
        <v>22</v>
      </c>
      <c r="Q18" s="46"/>
      <c r="R18" s="29">
        <f t="shared" si="6"/>
        <v>4</v>
      </c>
      <c r="S18" s="59">
        <v>1</v>
      </c>
      <c r="T18" s="59">
        <v>3</v>
      </c>
      <c r="U18" s="30"/>
      <c r="V18" s="42">
        <f t="shared" si="7"/>
        <v>4</v>
      </c>
      <c r="W18" s="59">
        <v>2</v>
      </c>
      <c r="X18" s="59">
        <v>2</v>
      </c>
      <c r="Y18" s="4"/>
      <c r="Z18" s="4"/>
      <c r="AA18" s="8"/>
      <c r="AB18" s="4"/>
      <c r="AC18" s="4"/>
      <c r="AD18" s="4"/>
      <c r="AE18" s="4"/>
      <c r="AF18" s="4"/>
      <c r="AG18" s="4"/>
      <c r="AH18" s="4"/>
      <c r="AI18" s="8"/>
      <c r="AJ18" s="8"/>
      <c r="AK18" s="8"/>
      <c r="AL18" s="8"/>
    </row>
    <row r="19" spans="1:38" x14ac:dyDescent="0.25">
      <c r="A19" s="77">
        <v>2012</v>
      </c>
      <c r="B19" s="24">
        <f t="shared" si="1"/>
        <v>119</v>
      </c>
      <c r="C19" s="24">
        <f>0+K19+O19+S19+W19</f>
        <v>45</v>
      </c>
      <c r="D19" s="24">
        <f>0+L19+P19+T19+X19</f>
        <v>74</v>
      </c>
      <c r="E19" s="28"/>
      <c r="F19" s="54">
        <f t="shared" si="4"/>
        <v>0</v>
      </c>
      <c r="G19" s="59">
        <v>0</v>
      </c>
      <c r="H19" s="59">
        <v>0</v>
      </c>
      <c r="I19" s="35"/>
      <c r="J19" s="29">
        <f t="shared" si="5"/>
        <v>69</v>
      </c>
      <c r="K19" s="59">
        <v>32</v>
      </c>
      <c r="L19" s="59">
        <v>37</v>
      </c>
      <c r="M19" s="30"/>
      <c r="N19" s="42">
        <f t="shared" si="10"/>
        <v>37</v>
      </c>
      <c r="O19" s="59">
        <v>10</v>
      </c>
      <c r="P19" s="59">
        <v>27</v>
      </c>
      <c r="Q19" s="46"/>
      <c r="R19" s="29">
        <f t="shared" si="6"/>
        <v>2</v>
      </c>
      <c r="S19" s="59">
        <v>1</v>
      </c>
      <c r="T19" s="59">
        <v>1</v>
      </c>
      <c r="U19" s="46"/>
      <c r="V19" s="29">
        <f t="shared" si="7"/>
        <v>11</v>
      </c>
      <c r="W19" s="59">
        <v>2</v>
      </c>
      <c r="X19" s="59">
        <v>9</v>
      </c>
      <c r="Y19" s="4"/>
      <c r="Z19" s="4"/>
      <c r="AA19" s="8"/>
      <c r="AB19" s="4"/>
      <c r="AC19" s="4"/>
      <c r="AD19" s="4"/>
      <c r="AE19" s="4"/>
      <c r="AF19" s="4"/>
      <c r="AG19" s="4"/>
      <c r="AH19" s="4"/>
      <c r="AI19" s="8"/>
      <c r="AJ19" s="8"/>
      <c r="AK19" s="8"/>
      <c r="AL19" s="8"/>
    </row>
    <row r="20" spans="1:38" x14ac:dyDescent="0.25">
      <c r="A20" s="77">
        <v>2013</v>
      </c>
      <c r="B20" s="25">
        <f>F20+J20+N20+R20+V20</f>
        <v>204</v>
      </c>
      <c r="C20" s="24">
        <v>0</v>
      </c>
      <c r="D20" s="24">
        <v>0</v>
      </c>
      <c r="E20" s="28"/>
      <c r="F20" s="54">
        <f t="shared" si="4"/>
        <v>0</v>
      </c>
      <c r="G20" s="59">
        <v>0</v>
      </c>
      <c r="H20" s="59">
        <v>0</v>
      </c>
      <c r="I20" s="35"/>
      <c r="J20" s="61">
        <v>141</v>
      </c>
      <c r="K20" s="59" t="s">
        <v>4</v>
      </c>
      <c r="L20" s="59" t="s">
        <v>4</v>
      </c>
      <c r="M20" s="30"/>
      <c r="N20" s="42">
        <v>32</v>
      </c>
      <c r="O20" s="59" t="s">
        <v>4</v>
      </c>
      <c r="P20" s="59" t="s">
        <v>4</v>
      </c>
      <c r="Q20" s="46"/>
      <c r="R20" s="29">
        <v>1</v>
      </c>
      <c r="S20" s="59">
        <v>0</v>
      </c>
      <c r="T20" s="59">
        <v>0</v>
      </c>
      <c r="U20" s="46"/>
      <c r="V20" s="61">
        <v>30</v>
      </c>
      <c r="W20" s="59" t="s">
        <v>4</v>
      </c>
      <c r="X20" s="59" t="s">
        <v>4</v>
      </c>
      <c r="Y20" s="4"/>
      <c r="Z20" s="4"/>
      <c r="AA20" s="8"/>
      <c r="AB20" s="4"/>
      <c r="AC20" s="4"/>
      <c r="AD20" s="4"/>
      <c r="AE20" s="4"/>
      <c r="AF20" s="4"/>
      <c r="AG20" s="4"/>
      <c r="AH20" s="4"/>
      <c r="AI20" s="8"/>
      <c r="AJ20" s="8"/>
      <c r="AK20" s="8"/>
      <c r="AL20" s="8"/>
    </row>
    <row r="21" spans="1:38" x14ac:dyDescent="0.25">
      <c r="A21" s="77">
        <v>2014</v>
      </c>
      <c r="B21" s="25">
        <f>F21+J21+N21+R21+V21</f>
        <v>138</v>
      </c>
      <c r="C21" s="24">
        <f>0+0+0+S21+0</f>
        <v>1</v>
      </c>
      <c r="D21" s="24">
        <f>0+0+0+T21+0</f>
        <v>3</v>
      </c>
      <c r="E21" s="28"/>
      <c r="F21" s="54">
        <f t="shared" si="4"/>
        <v>0</v>
      </c>
      <c r="G21" s="59">
        <v>0</v>
      </c>
      <c r="H21" s="59">
        <v>0</v>
      </c>
      <c r="I21" s="35"/>
      <c r="J21" s="61">
        <v>76</v>
      </c>
      <c r="K21" s="59" t="s">
        <v>4</v>
      </c>
      <c r="L21" s="59" t="s">
        <v>4</v>
      </c>
      <c r="M21" s="30"/>
      <c r="N21" s="42">
        <v>30</v>
      </c>
      <c r="O21" s="59" t="s">
        <v>4</v>
      </c>
      <c r="P21" s="59" t="s">
        <v>4</v>
      </c>
      <c r="Q21" s="46"/>
      <c r="R21" s="29">
        <f t="shared" si="6"/>
        <v>4</v>
      </c>
      <c r="S21" s="59">
        <v>1</v>
      </c>
      <c r="T21" s="59">
        <v>3</v>
      </c>
      <c r="U21" s="46"/>
      <c r="V21" s="61">
        <v>28</v>
      </c>
      <c r="W21" s="59" t="s">
        <v>4</v>
      </c>
      <c r="X21" s="59" t="s">
        <v>4</v>
      </c>
      <c r="Y21" s="4"/>
      <c r="Z21" s="4"/>
      <c r="AA21" s="13"/>
      <c r="AB21" s="4"/>
      <c r="AC21" s="4"/>
      <c r="AD21" s="4"/>
      <c r="AE21" s="4"/>
      <c r="AF21" s="4"/>
      <c r="AG21" s="4"/>
      <c r="AH21" s="4"/>
      <c r="AI21" s="8"/>
      <c r="AJ21" s="8"/>
      <c r="AK21" s="8"/>
      <c r="AL21" s="8"/>
    </row>
    <row r="22" spans="1:38" x14ac:dyDescent="0.25">
      <c r="A22" s="77">
        <v>2015</v>
      </c>
      <c r="B22" s="25">
        <f>F22+J22+N22+R22+V22</f>
        <v>175</v>
      </c>
      <c r="C22" s="25">
        <f>G22+K22+O22+S22+W22</f>
        <v>81</v>
      </c>
      <c r="D22" s="25">
        <f t="shared" ref="D22" si="11">H22+L22+P22+T22+X22</f>
        <v>94</v>
      </c>
      <c r="E22" s="50"/>
      <c r="F22" s="54">
        <f t="shared" si="4"/>
        <v>5</v>
      </c>
      <c r="G22" s="59">
        <v>0</v>
      </c>
      <c r="H22" s="59">
        <v>5</v>
      </c>
      <c r="I22" s="35"/>
      <c r="J22" s="29">
        <f t="shared" si="5"/>
        <v>92</v>
      </c>
      <c r="K22" s="59">
        <v>47</v>
      </c>
      <c r="L22" s="59">
        <v>45</v>
      </c>
      <c r="M22" s="30"/>
      <c r="N22" s="42">
        <f>SUM(O22:P22)</f>
        <v>58</v>
      </c>
      <c r="O22" s="59">
        <v>26</v>
      </c>
      <c r="P22" s="59">
        <v>32</v>
      </c>
      <c r="Q22" s="46"/>
      <c r="R22" s="29">
        <f t="shared" si="6"/>
        <v>3</v>
      </c>
      <c r="S22" s="59">
        <v>2</v>
      </c>
      <c r="T22" s="59">
        <v>1</v>
      </c>
      <c r="U22" s="46"/>
      <c r="V22" s="29">
        <f t="shared" si="7"/>
        <v>17</v>
      </c>
      <c r="W22" s="59">
        <v>6</v>
      </c>
      <c r="X22" s="59">
        <v>11</v>
      </c>
      <c r="Y22" s="4"/>
      <c r="Z22" s="4"/>
      <c r="AA22" s="8"/>
      <c r="AB22" s="4"/>
      <c r="AC22" s="4"/>
      <c r="AD22" s="4"/>
      <c r="AE22" s="4"/>
      <c r="AF22" s="4"/>
      <c r="AG22" s="4"/>
      <c r="AH22" s="4"/>
      <c r="AI22" s="8"/>
      <c r="AJ22" s="8"/>
      <c r="AK22" s="8"/>
      <c r="AL22" s="8"/>
    </row>
    <row r="23" spans="1:38" s="8" customFormat="1" x14ac:dyDescent="0.25">
      <c r="A23" s="77">
        <v>2016</v>
      </c>
      <c r="B23" s="25">
        <f>F23+J23+N23+R23+V23</f>
        <v>105</v>
      </c>
      <c r="C23" s="25">
        <f>0+K23+O23+S23+W23</f>
        <v>52</v>
      </c>
      <c r="D23" s="25">
        <f>0+L23+P23+T23+X23</f>
        <v>53</v>
      </c>
      <c r="E23" s="51"/>
      <c r="F23" s="54">
        <f t="shared" si="4"/>
        <v>0</v>
      </c>
      <c r="G23" s="59">
        <v>0</v>
      </c>
      <c r="H23" s="59">
        <v>0</v>
      </c>
      <c r="I23" s="35"/>
      <c r="J23" s="29">
        <f t="shared" si="5"/>
        <v>56</v>
      </c>
      <c r="K23" s="59">
        <v>29</v>
      </c>
      <c r="L23" s="59">
        <v>27</v>
      </c>
      <c r="M23" s="30"/>
      <c r="N23" s="42">
        <f>SUM(O23:P23)</f>
        <v>41</v>
      </c>
      <c r="O23" s="59">
        <v>21</v>
      </c>
      <c r="P23" s="59">
        <v>20</v>
      </c>
      <c r="Q23" s="46"/>
      <c r="R23" s="29">
        <f t="shared" si="6"/>
        <v>3</v>
      </c>
      <c r="S23" s="59">
        <v>1</v>
      </c>
      <c r="T23" s="59">
        <v>2</v>
      </c>
      <c r="U23" s="46"/>
      <c r="V23" s="29">
        <f t="shared" si="7"/>
        <v>5</v>
      </c>
      <c r="W23" s="59">
        <v>1</v>
      </c>
      <c r="X23" s="59">
        <v>4</v>
      </c>
      <c r="Y23" s="4"/>
      <c r="Z23" s="4"/>
      <c r="AB23" s="4"/>
      <c r="AC23" s="4"/>
      <c r="AD23" s="4"/>
      <c r="AE23" s="4"/>
      <c r="AF23" s="4"/>
      <c r="AG23" s="4"/>
      <c r="AH23" s="4"/>
    </row>
    <row r="24" spans="1:38" x14ac:dyDescent="0.25">
      <c r="A24" s="78">
        <v>2017</v>
      </c>
      <c r="B24" s="26">
        <f>F24+J24+N24+R24+V24</f>
        <v>103</v>
      </c>
      <c r="C24" s="26">
        <f t="shared" ref="C24:D24" si="12">G24+K24+O24+S24+W24</f>
        <v>42</v>
      </c>
      <c r="D24" s="26">
        <f t="shared" si="12"/>
        <v>61</v>
      </c>
      <c r="E24" s="52"/>
      <c r="F24" s="55">
        <f t="shared" si="4"/>
        <v>1</v>
      </c>
      <c r="G24" s="64">
        <v>0</v>
      </c>
      <c r="H24" s="64">
        <v>1</v>
      </c>
      <c r="I24" s="36"/>
      <c r="J24" s="31">
        <f t="shared" si="5"/>
        <v>40</v>
      </c>
      <c r="K24" s="64">
        <v>18</v>
      </c>
      <c r="L24" s="64">
        <v>22</v>
      </c>
      <c r="M24" s="7"/>
      <c r="N24" s="47">
        <f>SUM(O24:P24)</f>
        <v>43</v>
      </c>
      <c r="O24" s="64">
        <v>17</v>
      </c>
      <c r="P24" s="64">
        <v>26</v>
      </c>
      <c r="Q24" s="48"/>
      <c r="R24" s="31">
        <f t="shared" si="6"/>
        <v>3</v>
      </c>
      <c r="S24" s="64">
        <v>1</v>
      </c>
      <c r="T24" s="64">
        <v>2</v>
      </c>
      <c r="U24" s="7"/>
      <c r="V24" s="47">
        <f t="shared" si="7"/>
        <v>16</v>
      </c>
      <c r="W24" s="64">
        <v>6</v>
      </c>
      <c r="X24" s="64">
        <v>10</v>
      </c>
      <c r="Y24" s="4"/>
      <c r="Z24" s="4"/>
      <c r="AA24" s="8"/>
      <c r="AB24" s="4"/>
      <c r="AC24" s="4"/>
      <c r="AD24" s="4"/>
      <c r="AE24" s="4"/>
      <c r="AF24" s="4"/>
      <c r="AG24" s="4"/>
      <c r="AH24" s="4"/>
      <c r="AI24" s="8"/>
      <c r="AJ24" s="8"/>
      <c r="AK24" s="8"/>
      <c r="AL24" s="8"/>
    </row>
    <row r="25" spans="1:38" ht="19.5" customHeight="1" x14ac:dyDescent="0.25">
      <c r="A25" s="73" t="s">
        <v>13</v>
      </c>
      <c r="I25" s="23"/>
      <c r="J25" s="2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4"/>
      <c r="Z25" s="4"/>
      <c r="AA25" s="8"/>
      <c r="AB25" s="4"/>
      <c r="AC25" s="4"/>
      <c r="AD25" s="4"/>
      <c r="AE25" s="4"/>
      <c r="AF25" s="4"/>
      <c r="AG25" s="4"/>
      <c r="AH25" s="4"/>
      <c r="AI25" s="8"/>
      <c r="AJ25" s="8"/>
      <c r="AK25" s="8"/>
      <c r="AL25" s="8"/>
    </row>
    <row r="26" spans="1:38" x14ac:dyDescent="0.25">
      <c r="A26" s="74" t="s">
        <v>14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spans="1:38" ht="20.25" customHeight="1" x14ac:dyDescent="0.25">
      <c r="A27" s="74" t="s">
        <v>15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 x14ac:dyDescent="0.25">
      <c r="A28" s="79" t="s">
        <v>5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 ht="21" x14ac:dyDescent="0.55000000000000004">
      <c r="B29" s="57"/>
      <c r="C29" s="57"/>
      <c r="D29" s="57"/>
      <c r="E29" s="57"/>
      <c r="F29" s="57"/>
      <c r="G29" s="57"/>
      <c r="H29" s="57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4"/>
      <c r="V31" s="4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x14ac:dyDescent="0.25">
      <c r="A32" s="67"/>
      <c r="B32" s="68"/>
      <c r="C32" s="3"/>
      <c r="D32" s="56"/>
      <c r="E32" s="56"/>
      <c r="F32" s="56"/>
      <c r="G32" s="67"/>
      <c r="H32" s="67"/>
      <c r="I32" s="69"/>
      <c r="J32" s="69"/>
      <c r="K32" s="67"/>
      <c r="L32" s="67"/>
      <c r="M32" s="69"/>
      <c r="N32" s="69"/>
      <c r="O32" s="67"/>
      <c r="P32" s="56"/>
      <c r="Q32" s="56"/>
      <c r="R32" s="56"/>
      <c r="S32" s="70"/>
      <c r="T32" s="13"/>
      <c r="U32" s="13"/>
      <c r="V32" s="13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x14ac:dyDescent="0.25">
      <c r="A33" s="67"/>
      <c r="B33" s="68"/>
      <c r="C33" s="71"/>
      <c r="D33" s="71"/>
      <c r="E33" s="68"/>
      <c r="F33" s="68"/>
      <c r="G33" s="68"/>
      <c r="H33" s="71"/>
      <c r="I33" s="68"/>
      <c r="J33" s="68"/>
      <c r="K33" s="68"/>
      <c r="L33" s="71"/>
      <c r="M33" s="68"/>
      <c r="N33" s="68"/>
      <c r="O33" s="68"/>
      <c r="P33" s="71"/>
      <c r="Q33" s="68"/>
      <c r="R33" s="68"/>
      <c r="S33" s="68"/>
      <c r="T33" s="71"/>
      <c r="U33" s="68"/>
      <c r="V33" s="6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x14ac:dyDescent="0.25">
      <c r="A34" s="22"/>
      <c r="B34" s="1"/>
      <c r="C34" s="8"/>
      <c r="D34" s="1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0"/>
      <c r="V34" s="6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x14ac:dyDescent="0.25">
      <c r="I35" s="5"/>
      <c r="J35" s="5"/>
      <c r="K35" s="5"/>
      <c r="L35" s="68"/>
      <c r="M35" s="5"/>
      <c r="N35" s="5"/>
      <c r="O35" s="5"/>
      <c r="P35" s="68"/>
      <c r="Q35" s="5"/>
      <c r="R35" s="5"/>
      <c r="S35" s="5"/>
      <c r="T35" s="68"/>
      <c r="U35" s="60"/>
      <c r="V35" s="60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x14ac:dyDescent="0.25">
      <c r="A36" s="22"/>
      <c r="B36" s="1"/>
      <c r="C36" s="8"/>
      <c r="D36" s="1"/>
      <c r="E36" s="5"/>
      <c r="F36" s="5"/>
      <c r="G36" s="5"/>
      <c r="H36" s="68"/>
      <c r="I36" s="5"/>
      <c r="J36" s="5"/>
      <c r="K36" s="5"/>
      <c r="L36" s="68"/>
      <c r="M36" s="5"/>
      <c r="N36" s="5"/>
      <c r="O36" s="5"/>
      <c r="P36" s="68"/>
      <c r="Q36" s="5"/>
      <c r="R36" s="5"/>
      <c r="S36" s="5"/>
      <c r="T36" s="68"/>
      <c r="U36" s="60"/>
      <c r="V36" s="60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x14ac:dyDescent="0.25">
      <c r="A37" s="22"/>
      <c r="B37" s="1"/>
      <c r="C37" s="8"/>
      <c r="D37" s="1"/>
      <c r="E37" s="5"/>
      <c r="F37" s="5"/>
      <c r="G37" s="5"/>
      <c r="H37" s="68"/>
      <c r="I37" s="5"/>
      <c r="J37" s="5"/>
      <c r="K37" s="5"/>
      <c r="L37" s="68"/>
      <c r="M37" s="5"/>
      <c r="N37" s="5"/>
      <c r="O37" s="5"/>
      <c r="P37" s="68"/>
      <c r="Q37" s="5"/>
      <c r="R37" s="5"/>
      <c r="S37" s="5"/>
      <c r="T37" s="68"/>
      <c r="U37" s="60"/>
      <c r="V37" s="60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x14ac:dyDescent="0.25">
      <c r="A38" s="22"/>
      <c r="B38" s="1"/>
      <c r="C38" s="8"/>
      <c r="D38" s="1"/>
      <c r="E38" s="5"/>
      <c r="F38" s="5"/>
      <c r="G38" s="5"/>
      <c r="H38" s="68"/>
      <c r="I38" s="5"/>
      <c r="J38" s="5"/>
      <c r="K38" s="5"/>
      <c r="L38" s="68"/>
      <c r="M38" s="5"/>
      <c r="N38" s="5"/>
      <c r="O38" s="5"/>
      <c r="P38" s="68"/>
      <c r="Q38" s="5"/>
      <c r="R38" s="5"/>
      <c r="S38" s="5"/>
      <c r="T38" s="68"/>
      <c r="U38" s="60"/>
      <c r="V38" s="6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x14ac:dyDescent="0.25">
      <c r="A39" s="22"/>
      <c r="B39" s="1"/>
      <c r="C39" s="8"/>
      <c r="D39" s="1"/>
      <c r="E39" s="5"/>
      <c r="F39" s="5"/>
      <c r="G39" s="5"/>
      <c r="H39" s="68"/>
      <c r="I39" s="5"/>
      <c r="J39" s="5"/>
      <c r="K39" s="5"/>
      <c r="L39" s="68"/>
      <c r="M39" s="5"/>
      <c r="N39" s="5"/>
      <c r="O39" s="5"/>
      <c r="P39" s="68"/>
      <c r="Q39" s="5"/>
      <c r="R39" s="5"/>
      <c r="S39" s="5"/>
      <c r="T39" s="68"/>
      <c r="U39" s="60"/>
      <c r="V39" s="6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38" x14ac:dyDescent="0.25">
      <c r="A40" s="22"/>
      <c r="B40" s="1"/>
      <c r="C40" s="8"/>
      <c r="D40" s="1"/>
      <c r="E40" s="72"/>
      <c r="F40" s="72"/>
      <c r="G40" s="72"/>
      <c r="H40" s="68"/>
      <c r="I40" s="72"/>
      <c r="J40" s="72"/>
      <c r="K40" s="72"/>
      <c r="L40" s="68"/>
      <c r="M40" s="72"/>
      <c r="N40" s="72"/>
      <c r="O40" s="72"/>
      <c r="P40" s="68"/>
      <c r="Q40" s="72"/>
      <c r="R40" s="72"/>
      <c r="S40" s="72"/>
      <c r="T40" s="68"/>
      <c r="U40" s="60"/>
      <c r="V40" s="6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spans="1:38" x14ac:dyDescent="0.25">
      <c r="A41" s="22"/>
      <c r="B41" s="1"/>
      <c r="C41" s="8"/>
      <c r="D41" s="1"/>
      <c r="E41" s="72"/>
      <c r="F41" s="72"/>
      <c r="G41" s="72"/>
      <c r="H41" s="68"/>
      <c r="I41" s="72"/>
      <c r="J41" s="72"/>
      <c r="K41" s="72"/>
      <c r="L41" s="68"/>
      <c r="M41" s="72"/>
      <c r="N41" s="72"/>
      <c r="O41" s="72"/>
      <c r="P41" s="68"/>
      <c r="Q41" s="72"/>
      <c r="R41" s="72"/>
      <c r="S41" s="72"/>
      <c r="T41" s="68"/>
      <c r="U41" s="60"/>
      <c r="V41" s="6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spans="1:38" x14ac:dyDescent="0.25">
      <c r="A42" s="22"/>
      <c r="B42" s="1"/>
      <c r="C42" s="8"/>
      <c r="D42" s="1"/>
      <c r="E42" s="72"/>
      <c r="F42" s="72"/>
      <c r="G42" s="72"/>
      <c r="H42" s="68"/>
      <c r="I42" s="72"/>
      <c r="J42" s="72"/>
      <c r="K42" s="72"/>
      <c r="L42" s="68"/>
      <c r="M42" s="72"/>
      <c r="N42" s="72"/>
      <c r="O42" s="72"/>
      <c r="P42" s="68"/>
      <c r="Q42" s="72"/>
      <c r="R42" s="72"/>
      <c r="S42" s="72"/>
      <c r="T42" s="68"/>
      <c r="U42" s="60"/>
      <c r="V42" s="6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spans="1:38" x14ac:dyDescent="0.25">
      <c r="A43" s="22"/>
      <c r="B43" s="1"/>
      <c r="C43" s="8"/>
      <c r="D43" s="1"/>
      <c r="E43" s="72"/>
      <c r="F43" s="72"/>
      <c r="G43" s="72"/>
      <c r="H43" s="68"/>
      <c r="I43" s="72"/>
      <c r="J43" s="72"/>
      <c r="K43" s="72"/>
      <c r="L43" s="68"/>
      <c r="M43" s="72"/>
      <c r="N43" s="72"/>
      <c r="O43" s="72"/>
      <c r="P43" s="68"/>
      <c r="Q43" s="72"/>
      <c r="R43" s="72"/>
      <c r="S43" s="72"/>
      <c r="T43" s="68"/>
      <c r="U43" s="60"/>
      <c r="V43" s="6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spans="1:38" x14ac:dyDescent="0.25">
      <c r="A44" s="22"/>
      <c r="B44" s="1"/>
      <c r="C44" s="8"/>
      <c r="D44" s="1"/>
      <c r="E44" s="72"/>
      <c r="F44" s="72"/>
      <c r="G44" s="72"/>
      <c r="H44" s="68"/>
      <c r="I44" s="72"/>
      <c r="J44" s="72"/>
      <c r="K44" s="72"/>
      <c r="L44" s="68"/>
      <c r="M44" s="72"/>
      <c r="N44" s="72"/>
      <c r="O44" s="72"/>
      <c r="P44" s="68"/>
      <c r="Q44" s="72"/>
      <c r="R44" s="72"/>
      <c r="S44" s="72"/>
      <c r="T44" s="68"/>
      <c r="U44" s="60"/>
      <c r="V44" s="6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spans="1:38" x14ac:dyDescent="0.25">
      <c r="A45" s="22"/>
      <c r="B45" s="1"/>
      <c r="C45" s="8"/>
      <c r="D45" s="1"/>
      <c r="E45" s="23"/>
      <c r="F45" s="23"/>
      <c r="G45" s="23"/>
      <c r="H45" s="68"/>
      <c r="I45" s="23"/>
      <c r="J45" s="23"/>
      <c r="K45" s="23"/>
      <c r="L45" s="68"/>
      <c r="M45" s="23"/>
      <c r="N45" s="23"/>
      <c r="O45" s="23"/>
      <c r="P45" s="68"/>
      <c r="Q45" s="72"/>
      <c r="R45" s="72"/>
      <c r="S45" s="72"/>
      <c r="T45" s="68"/>
      <c r="U45" s="60"/>
      <c r="V45" s="6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spans="1:38" x14ac:dyDescent="0.25">
      <c r="A46" s="22"/>
      <c r="B46" s="1"/>
      <c r="C46" s="8"/>
      <c r="D46" s="1"/>
      <c r="E46" s="23"/>
      <c r="F46" s="23"/>
      <c r="G46" s="23"/>
      <c r="H46" s="68"/>
      <c r="I46" s="62"/>
      <c r="J46" s="62"/>
      <c r="K46" s="23"/>
      <c r="L46" s="68"/>
      <c r="M46" s="62"/>
      <c r="N46" s="62"/>
      <c r="O46" s="23"/>
      <c r="P46" s="68"/>
      <c r="Q46" s="63"/>
      <c r="R46" s="23"/>
      <c r="S46" s="23"/>
      <c r="T46" s="68"/>
      <c r="U46" s="60"/>
      <c r="V46" s="6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spans="1:38" x14ac:dyDescent="0.25">
      <c r="A47" s="22"/>
      <c r="B47" s="1"/>
      <c r="C47" s="8"/>
      <c r="D47" s="1"/>
      <c r="E47" s="23"/>
      <c r="F47" s="23"/>
      <c r="G47" s="23"/>
      <c r="H47" s="68"/>
      <c r="I47" s="62"/>
      <c r="J47" s="62"/>
      <c r="K47" s="23"/>
      <c r="L47" s="68"/>
      <c r="M47" s="62"/>
      <c r="N47" s="62"/>
      <c r="O47" s="23"/>
      <c r="P47" s="68"/>
      <c r="Q47" s="23"/>
      <c r="R47" s="23"/>
      <c r="S47" s="23"/>
      <c r="T47" s="68"/>
      <c r="U47" s="60"/>
      <c r="V47" s="6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spans="1:38" x14ac:dyDescent="0.25">
      <c r="A48" s="22"/>
      <c r="B48" s="1"/>
      <c r="C48" s="8"/>
      <c r="D48" s="1"/>
      <c r="E48" s="60"/>
      <c r="F48" s="60"/>
      <c r="G48" s="23"/>
      <c r="H48" s="68"/>
      <c r="I48" s="60"/>
      <c r="J48" s="60"/>
      <c r="K48" s="23"/>
      <c r="L48" s="68"/>
      <c r="M48" s="60"/>
      <c r="N48" s="60"/>
      <c r="O48" s="23"/>
      <c r="P48" s="68"/>
      <c r="Q48" s="60"/>
      <c r="R48" s="60"/>
      <c r="S48" s="60"/>
      <c r="T48" s="68"/>
      <c r="U48" s="60"/>
      <c r="V48" s="6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spans="1:44" x14ac:dyDescent="0.25">
      <c r="A49" s="22"/>
      <c r="B49" s="1"/>
      <c r="C49" s="8"/>
      <c r="D49" s="1"/>
      <c r="E49" s="60"/>
      <c r="F49" s="60"/>
      <c r="G49" s="23"/>
      <c r="H49" s="68"/>
      <c r="I49" s="60"/>
      <c r="J49" s="60"/>
      <c r="K49" s="23"/>
      <c r="L49" s="68"/>
      <c r="M49" s="60"/>
      <c r="N49" s="60"/>
      <c r="O49" s="23"/>
      <c r="P49" s="68"/>
      <c r="Q49" s="60"/>
      <c r="R49" s="60"/>
      <c r="S49" s="60"/>
      <c r="T49" s="68"/>
      <c r="U49" s="60"/>
      <c r="V49" s="6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spans="1:44" x14ac:dyDescent="0.25">
      <c r="A50" s="22"/>
      <c r="B50" s="1"/>
      <c r="C50" s="8"/>
      <c r="D50" s="1"/>
      <c r="E50" s="60"/>
      <c r="F50" s="60"/>
      <c r="G50" s="23"/>
      <c r="H50" s="68"/>
      <c r="I50" s="60"/>
      <c r="J50" s="60"/>
      <c r="K50" s="23"/>
      <c r="L50" s="68"/>
      <c r="M50" s="60"/>
      <c r="N50" s="60"/>
      <c r="O50" s="23"/>
      <c r="P50" s="68"/>
      <c r="Q50" s="60"/>
      <c r="R50" s="60"/>
      <c r="S50" s="60"/>
      <c r="T50" s="68"/>
      <c r="U50" s="60"/>
      <c r="V50" s="6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44" x14ac:dyDescent="0.25">
      <c r="A51" s="22"/>
      <c r="B51" s="1"/>
      <c r="C51" s="8"/>
      <c r="D51" s="1"/>
      <c r="E51" s="60"/>
      <c r="F51" s="60"/>
      <c r="G51" s="23"/>
      <c r="H51" s="68"/>
      <c r="I51" s="60"/>
      <c r="J51" s="60"/>
      <c r="K51" s="23"/>
      <c r="L51" s="68"/>
      <c r="M51" s="60"/>
      <c r="N51" s="60"/>
      <c r="O51" s="23"/>
      <c r="P51" s="68"/>
      <c r="Q51" s="60"/>
      <c r="R51" s="60"/>
      <c r="S51" s="60"/>
      <c r="T51" s="68"/>
      <c r="U51" s="60"/>
      <c r="V51" s="60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spans="1:44" x14ac:dyDescent="0.25">
      <c r="A52" s="22"/>
      <c r="B52" s="1"/>
      <c r="C52" s="8"/>
      <c r="D52" s="1"/>
      <c r="E52" s="60"/>
      <c r="F52" s="60"/>
      <c r="G52" s="23"/>
      <c r="H52" s="68"/>
      <c r="I52" s="60"/>
      <c r="J52" s="60"/>
      <c r="K52" s="23"/>
      <c r="L52" s="68"/>
      <c r="M52" s="60"/>
      <c r="N52" s="60"/>
      <c r="O52" s="23"/>
      <c r="P52" s="68"/>
      <c r="Q52" s="60"/>
      <c r="R52" s="60"/>
      <c r="S52" s="60"/>
      <c r="T52" s="68"/>
      <c r="U52" s="60"/>
      <c r="V52" s="60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 spans="1:44" x14ac:dyDescent="0.25">
      <c r="A53" s="90"/>
      <c r="B53" s="90"/>
      <c r="C53" s="90"/>
      <c r="D53" s="90"/>
      <c r="E53" s="90"/>
      <c r="F53" s="90"/>
      <c r="G53" s="23"/>
      <c r="H53" s="23"/>
      <c r="I53" s="13"/>
      <c r="J53" s="13"/>
      <c r="K53" s="23"/>
      <c r="L53" s="23"/>
      <c r="M53" s="13"/>
      <c r="N53" s="13"/>
      <c r="O53" s="23"/>
      <c r="P53" s="23"/>
      <c r="Q53" s="13"/>
      <c r="R53" s="13"/>
      <c r="S53" s="13"/>
      <c r="T53" s="13"/>
      <c r="U53" s="13"/>
      <c r="V53" s="13"/>
      <c r="W53" s="8"/>
      <c r="X53" s="4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spans="1:44" x14ac:dyDescent="0.25">
      <c r="T54" s="8"/>
      <c r="U54" s="8"/>
      <c r="V54" s="8"/>
      <c r="W54" s="4"/>
      <c r="X54" s="4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spans="1:44" x14ac:dyDescent="0.25">
      <c r="T55" s="8"/>
      <c r="U55" s="8"/>
      <c r="V55" s="8"/>
      <c r="W55" s="3"/>
      <c r="X55" s="13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spans="1:44" x14ac:dyDescent="0.25">
      <c r="B56" s="27"/>
      <c r="C56" s="27"/>
      <c r="D56" s="27"/>
      <c r="T56" s="8"/>
      <c r="U56" s="8"/>
      <c r="V56" s="8"/>
      <c r="W56" s="19"/>
      <c r="X56" s="13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 spans="1:44" x14ac:dyDescent="0.25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T57" s="8"/>
      <c r="U57" s="8"/>
      <c r="V57" s="8"/>
      <c r="W57" s="19"/>
      <c r="X57" s="13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spans="1:44" x14ac:dyDescent="0.25">
      <c r="T58" s="8"/>
      <c r="U58" s="8"/>
      <c r="V58" s="8"/>
      <c r="W58" s="4"/>
      <c r="X58" s="4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 spans="1:44" x14ac:dyDescent="0.25">
      <c r="T59" s="8"/>
      <c r="U59" s="8"/>
      <c r="V59" s="8"/>
      <c r="W59" s="8"/>
      <c r="X59" s="4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 spans="1:44" x14ac:dyDescent="0.25"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 spans="1:44" x14ac:dyDescent="0.25"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 spans="1:44" x14ac:dyDescent="0.25"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 spans="1:44" x14ac:dyDescent="0.25"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</row>
    <row r="64" spans="1:44" x14ac:dyDescent="0.25"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</row>
    <row r="65" spans="20:44" x14ac:dyDescent="0.25"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spans="20:44" x14ac:dyDescent="0.25"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spans="20:44" x14ac:dyDescent="0.25">
      <c r="T67" s="8"/>
      <c r="U67" s="8"/>
      <c r="V67" s="8"/>
      <c r="W67" s="4"/>
      <c r="X67" s="4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</row>
    <row r="68" spans="20:44" x14ac:dyDescent="0.25">
      <c r="T68" s="8"/>
      <c r="U68" s="8"/>
      <c r="V68" s="8"/>
      <c r="W68" s="4"/>
      <c r="X68" s="4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</row>
    <row r="69" spans="20:44" x14ac:dyDescent="0.25">
      <c r="T69" s="8"/>
      <c r="U69" s="8"/>
      <c r="V69" s="8"/>
      <c r="W69" s="4"/>
      <c r="X69" s="4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 spans="20:44" x14ac:dyDescent="0.25">
      <c r="T70" s="8"/>
      <c r="U70" s="8"/>
      <c r="V70" s="8"/>
      <c r="W70" s="4"/>
      <c r="X70" s="4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</row>
    <row r="71" spans="20:44" x14ac:dyDescent="0.25">
      <c r="T71" s="8"/>
      <c r="U71" s="8"/>
      <c r="V71" s="8"/>
      <c r="W71" s="4"/>
      <c r="X71" s="4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 spans="20:44" x14ac:dyDescent="0.25">
      <c r="T72" s="8"/>
      <c r="U72" s="8"/>
      <c r="V72" s="8"/>
      <c r="W72" s="4"/>
      <c r="X72" s="4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</row>
    <row r="73" spans="20:44" x14ac:dyDescent="0.25">
      <c r="W73" s="4"/>
      <c r="X73" s="4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spans="20:44" x14ac:dyDescent="0.25">
      <c r="W74" s="4"/>
      <c r="X74" s="4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spans="20:44" x14ac:dyDescent="0.25">
      <c r="W75" s="4"/>
      <c r="X75" s="4"/>
    </row>
    <row r="76" spans="20:44" x14ac:dyDescent="0.25">
      <c r="W76" s="4"/>
      <c r="X76" s="4"/>
    </row>
  </sheetData>
  <mergeCells count="10">
    <mergeCell ref="A53:F53"/>
    <mergeCell ref="B4:E4"/>
    <mergeCell ref="N4:Q4"/>
    <mergeCell ref="F4:I4"/>
    <mergeCell ref="J4:M4"/>
    <mergeCell ref="A1:X1"/>
    <mergeCell ref="A2:X2"/>
    <mergeCell ref="A4:A5"/>
    <mergeCell ref="V4:X4"/>
    <mergeCell ref="R4:U4"/>
  </mergeCells>
  <pageMargins left="0.7" right="0.7" top="0.75" bottom="0.75" header="0.3" footer="0.3"/>
  <pageSetup paperSize="9" scale="68" orientation="landscape" horizontalDpi="4294967295" verticalDpi="4294967295" r:id="rId1"/>
  <colBreaks count="1" manualBreakCount="1">
    <brk id="25" max="47" man="1"/>
  </colBreaks>
  <ignoredErrors>
    <ignoredError sqref="C10:C15 D10:D23 C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7.24</vt:lpstr>
      <vt:lpstr>'7.24'!Print_Area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2018-10-11T06:26:21Z</cp:lastPrinted>
  <dcterms:created xsi:type="dcterms:W3CDTF">2014-03-05T03:36:41Z</dcterms:created>
  <dcterms:modified xsi:type="dcterms:W3CDTF">2018-10-11T06:29:39Z</dcterms:modified>
</cp:coreProperties>
</file>