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23" sheetId="23" r:id="rId1"/>
  </sheets>
  <definedNames>
    <definedName name="_xlnm.Print_Area" localSheetId="0">'7.23'!$A$1:$W$27</definedName>
  </definedNames>
  <calcPr calcId="162913"/>
</workbook>
</file>

<file path=xl/calcChain.xml><?xml version="1.0" encoding="utf-8"?>
<calcChain xmlns="http://schemas.openxmlformats.org/spreadsheetml/2006/main">
  <c r="J21" i="23" l="1"/>
  <c r="J22" i="23"/>
  <c r="P22" i="23" l="1"/>
  <c r="O22" i="23"/>
  <c r="F22" i="23"/>
  <c r="R21" i="23"/>
  <c r="P21" i="23"/>
  <c r="O21" i="23"/>
  <c r="F21" i="23"/>
  <c r="N21" i="23" s="1"/>
  <c r="R20" i="23"/>
  <c r="P20" i="23"/>
  <c r="O20" i="23"/>
  <c r="J20" i="23"/>
  <c r="F20" i="23"/>
  <c r="N20" i="23" s="1"/>
  <c r="R19" i="23"/>
  <c r="P19" i="23"/>
  <c r="O19" i="23"/>
  <c r="J19" i="23"/>
  <c r="F19" i="23"/>
  <c r="P18" i="23"/>
  <c r="O18" i="23"/>
  <c r="J18" i="23"/>
  <c r="F18" i="23"/>
  <c r="R15" i="23"/>
  <c r="P15" i="23"/>
  <c r="O15" i="23"/>
  <c r="J15" i="23"/>
  <c r="F15" i="23"/>
  <c r="R14" i="23"/>
  <c r="P14" i="23"/>
  <c r="O14" i="23"/>
  <c r="J14" i="23"/>
  <c r="F14" i="23"/>
  <c r="N14" i="23" s="1"/>
  <c r="R12" i="23"/>
  <c r="P12" i="23"/>
  <c r="O12" i="23"/>
  <c r="J12" i="23"/>
  <c r="F12" i="23"/>
  <c r="N12" i="23" s="1"/>
  <c r="R11" i="23"/>
  <c r="P11" i="23"/>
  <c r="O11" i="23"/>
  <c r="J11" i="23"/>
  <c r="F11" i="23"/>
  <c r="N11" i="23" s="1"/>
  <c r="R10" i="23"/>
  <c r="P10" i="23"/>
  <c r="O10" i="23"/>
  <c r="J10" i="23"/>
  <c r="F10" i="23"/>
  <c r="R9" i="23"/>
  <c r="P9" i="23"/>
  <c r="O9" i="23"/>
  <c r="J9" i="23"/>
  <c r="F9" i="23"/>
  <c r="N9" i="23" s="1"/>
  <c r="V8" i="23"/>
  <c r="U8" i="23"/>
  <c r="T8" i="23"/>
  <c r="S8" i="23"/>
  <c r="L8" i="23"/>
  <c r="K8" i="23"/>
  <c r="H8" i="23"/>
  <c r="G8" i="23"/>
  <c r="N18" i="23" l="1"/>
  <c r="N15" i="23"/>
  <c r="R8" i="23"/>
  <c r="F8" i="23"/>
  <c r="P8" i="23"/>
  <c r="J8" i="23"/>
  <c r="N8" i="23" s="1"/>
  <c r="O8" i="23"/>
  <c r="N19" i="23"/>
  <c r="N22" i="23"/>
  <c r="N10" i="23"/>
</calcChain>
</file>

<file path=xl/sharedStrings.xml><?xml version="1.0" encoding="utf-8"?>
<sst xmlns="http://schemas.openxmlformats.org/spreadsheetml/2006/main" count="146" uniqueCount="62">
  <si>
    <t>Both Sexes</t>
  </si>
  <si>
    <t>Male</t>
  </si>
  <si>
    <t>Female</t>
  </si>
  <si>
    <t>Total</t>
  </si>
  <si>
    <t>Private</t>
  </si>
  <si>
    <t>ޖުމްލަ</t>
  </si>
  <si>
    <t xml:space="preserve">Total </t>
  </si>
  <si>
    <t>Maldives Polytechnic</t>
  </si>
  <si>
    <t>މޯލްޑިވްސް ޕޮލިޓެކްނިކް</t>
  </si>
  <si>
    <t xml:space="preserve">2017 ،ތާވަލު 7.23 : މަތީ ތަޢުލީމުދޭ މަރްކަޒުތަކުގައި ކިޔަވަމުންދާ އަދި ދަސްވެނިވި ކުދިންގެ އަދަދު </t>
  </si>
  <si>
    <t>TABLE 7.23: STUDENT ENROLMENT AND GRADUATE OUTPUT IN HIGHER EDUCATION INSTITUTIONS IN MALDIVES BY SEX, 2017</t>
  </si>
  <si>
    <t>Institution</t>
  </si>
  <si>
    <t xml:space="preserve">Type of Institution
</t>
  </si>
  <si>
    <t>Students Enrolled</t>
  </si>
  <si>
    <t>Graduate output</t>
  </si>
  <si>
    <r>
      <t>Repeaters</t>
    </r>
    <r>
      <rPr>
        <b/>
        <vertAlign val="superscript"/>
        <sz val="10"/>
        <color theme="1"/>
        <rFont val="Calibri"/>
        <family val="2"/>
        <scheme val="minor"/>
      </rPr>
      <t>2_/</t>
    </r>
  </si>
  <si>
    <t>Dropouts</t>
  </si>
  <si>
    <t>މަރުކަޒު</t>
  </si>
  <si>
    <t>Full time</t>
  </si>
  <si>
    <t>Part time</t>
  </si>
  <si>
    <t>ރިޕީޓްކުރި އަދަދު</t>
  </si>
  <si>
    <t>ވަކިވި އަދަދު</t>
  </si>
  <si>
    <t>ދެޖިންސް</t>
  </si>
  <si>
    <t>ފިރިހެން</t>
  </si>
  <si>
    <t>އަންހެން</t>
  </si>
  <si>
    <t>Villa College</t>
  </si>
  <si>
    <t>College</t>
  </si>
  <si>
    <t>ވިލާ ކޮލެޖް</t>
  </si>
  <si>
    <t>MAPS College</t>
  </si>
  <si>
    <t>މެޕްސް ކޮލެޖް</t>
  </si>
  <si>
    <t>Govt.</t>
  </si>
  <si>
    <t>Polytechnic</t>
  </si>
  <si>
    <t>Mandhu College</t>
  </si>
  <si>
    <t>މަންދު ކޮލެޖް</t>
  </si>
  <si>
    <t>Clique College</t>
  </si>
  <si>
    <t>NA</t>
  </si>
  <si>
    <t>ކްލީކް ކޮލެޖް</t>
  </si>
  <si>
    <t>Islamic University of Maldives</t>
  </si>
  <si>
    <t>University</t>
  </si>
  <si>
    <t>ދިވެހިރާއްޖޭގެ އިސްލާމީ ޔުނިވަރސިޓީ</t>
  </si>
  <si>
    <t>The Maldives National University</t>
  </si>
  <si>
    <t>ދިވެހިރާއްޖޭގެ ޤައުމީ ޔުނިވަރސިޓީ</t>
  </si>
  <si>
    <t>Maldives Business School</t>
  </si>
  <si>
    <t>Na</t>
  </si>
  <si>
    <t>މޯލްޑިވްސްބިޒްނަސް ސްކޫލް</t>
  </si>
  <si>
    <t>AVID College</t>
  </si>
  <si>
    <t>އެވިޑް ކޮލެޖް</t>
  </si>
  <si>
    <t>College of Defence and Securituy Studies</t>
  </si>
  <si>
    <t>_</t>
  </si>
  <si>
    <t>ކޮލެޖް އޮފް ޑިފެންސް އެންޑް ސެކިއުރިޓީ ސްޓަޑީޒް</t>
  </si>
  <si>
    <t>Institute for Security and Law Enforcement Studies / Maldives Police Service</t>
  </si>
  <si>
    <t>އިންސްޓިޓިއުޓް ފޮރ ސެކިއުރިޓީ އެންޑް  ލޯ އެންފޯރސްމަންޓް ސްޓަޑީޒް / މޯލްޑިވްސް ޕޮލިސް ސަރވިސް</t>
  </si>
  <si>
    <t>MIANZ International College</t>
  </si>
  <si>
    <t>މިއާންޒް އިންޓަރނޭޝަނަލް ކޮލެޖް</t>
  </si>
  <si>
    <t>Cyryx College</t>
  </si>
  <si>
    <t>ސައިރިކްސް ކޮލެޖް</t>
  </si>
  <si>
    <t>Zikura International College</t>
  </si>
  <si>
    <t>ޒިކުރާ އިންޓަރނޭޝަނަލް ކޮލެޖް</t>
  </si>
  <si>
    <r>
      <rPr>
        <vertAlign val="superscript"/>
        <sz val="10"/>
        <color theme="1"/>
        <rFont val="Calibri"/>
        <family val="2"/>
        <scheme val="minor"/>
      </rPr>
      <t>1_/</t>
    </r>
    <r>
      <rPr>
        <sz val="10"/>
        <color theme="1"/>
        <rFont val="Calibri"/>
        <family val="2"/>
        <scheme val="minor"/>
      </rPr>
      <t>: Students are allowed to repeat individual subjects not the whole course</t>
    </r>
  </si>
  <si>
    <r>
      <rPr>
        <vertAlign val="superscript"/>
        <sz val="10"/>
        <color theme="1"/>
        <rFont val="Calibri"/>
        <family val="2"/>
        <scheme val="minor"/>
      </rPr>
      <t xml:space="preserve">2_/  </t>
    </r>
    <r>
      <rPr>
        <sz val="10"/>
        <color theme="1"/>
        <rFont val="Calibri"/>
        <family val="2"/>
        <scheme val="minor"/>
      </rPr>
      <t xml:space="preserve">Students who have repeated individual modules due to lack of attendance/ failure of modules      </t>
    </r>
  </si>
  <si>
    <t xml:space="preserve">Note: NA= Data not available </t>
  </si>
  <si>
    <t xml:space="preserve">Source: Department of Higher Education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</si>
</sst>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ourier"/>
      <family val="3"/>
    </font>
    <font>
      <sz val="10"/>
      <color theme="1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sz val="10"/>
      <name val="MS Sans Serif"/>
      <family val="2"/>
    </font>
    <font>
      <b/>
      <sz val="10"/>
      <color theme="1"/>
      <name val="A_Randhoo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vertAlign val="superscript"/>
      <sz val="10"/>
      <color theme="1"/>
      <name val="Calibri"/>
      <family val="2"/>
      <scheme val="minor"/>
    </font>
    <font>
      <b/>
      <i/>
      <sz val="16"/>
      <name val="Helv"/>
    </font>
    <font>
      <b/>
      <sz val="14"/>
      <color theme="1"/>
      <name val="Calibri"/>
      <family val="2"/>
      <scheme val="minor"/>
    </font>
    <font>
      <b/>
      <sz val="10"/>
      <color theme="1"/>
      <name val="Faruma"/>
    </font>
    <font>
      <b/>
      <sz val="11"/>
      <color theme="1"/>
      <name val="Faruma"/>
    </font>
    <font>
      <sz val="11"/>
      <color theme="1"/>
      <name val="Faruma"/>
    </font>
    <font>
      <vertAlign val="superscript"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/>
      </bottom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0" fillId="0" borderId="0" applyFont="0" applyFill="0" applyBorder="0" applyAlignment="0" applyProtection="0"/>
    <xf numFmtId="164" fontId="2" fillId="0" borderId="0"/>
    <xf numFmtId="0" fontId="1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67" fontId="2" fillId="0" borderId="0"/>
    <xf numFmtId="165" fontId="2" fillId="0" borderId="0"/>
    <xf numFmtId="170" fontId="16" fillId="0" borderId="0"/>
    <xf numFmtId="168" fontId="2" fillId="0" borderId="0"/>
    <xf numFmtId="0" fontId="10" fillId="0" borderId="0"/>
    <xf numFmtId="0" fontId="10" fillId="0" borderId="0"/>
    <xf numFmtId="168" fontId="2" fillId="0" borderId="0"/>
    <xf numFmtId="0" fontId="10" fillId="0" borderId="0"/>
    <xf numFmtId="0" fontId="10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10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</cellStyleXfs>
  <cellXfs count="90">
    <xf numFmtId="0" fontId="0" fillId="0" borderId="0" xfId="0"/>
    <xf numFmtId="0" fontId="18" fillId="2" borderId="4" xfId="143" applyNumberFormat="1" applyFont="1" applyFill="1" applyBorder="1" applyAlignment="1">
      <alignment horizontal="right" vertical="center"/>
    </xf>
    <xf numFmtId="0" fontId="8" fillId="2" borderId="8" xfId="143" applyNumberFormat="1" applyFont="1" applyFill="1" applyBorder="1" applyAlignment="1">
      <alignment horizontal="left" vertical="center" wrapText="1"/>
    </xf>
    <xf numFmtId="0" fontId="8" fillId="2" borderId="8" xfId="143" applyNumberFormat="1" applyFont="1" applyFill="1" applyBorder="1" applyAlignment="1">
      <alignment vertical="center" wrapText="1"/>
    </xf>
    <xf numFmtId="0" fontId="8" fillId="2" borderId="8" xfId="143" applyNumberFormat="1" applyFont="1" applyFill="1" applyBorder="1" applyAlignment="1">
      <alignment vertical="center"/>
    </xf>
    <xf numFmtId="3" fontId="8" fillId="2" borderId="8" xfId="0" applyNumberFormat="1" applyFont="1" applyFill="1" applyBorder="1" applyAlignment="1">
      <alignment horizontal="right" vertical="center"/>
    </xf>
    <xf numFmtId="3" fontId="8" fillId="2" borderId="2" xfId="0" applyNumberFormat="1" applyFont="1" applyFill="1" applyBorder="1" applyAlignment="1">
      <alignment horizontal="right" vertical="center"/>
    </xf>
    <xf numFmtId="0" fontId="19" fillId="2" borderId="8" xfId="143" applyNumberFormat="1" applyFont="1" applyFill="1" applyBorder="1" applyAlignment="1">
      <alignment horizontal="right" vertical="center"/>
    </xf>
    <xf numFmtId="0" fontId="8" fillId="2" borderId="0" xfId="143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vertical="center"/>
    </xf>
    <xf numFmtId="37" fontId="7" fillId="2" borderId="4" xfId="1" applyNumberFormat="1" applyFont="1" applyFill="1" applyBorder="1" applyAlignment="1">
      <alignment horizontal="right" vertical="center"/>
    </xf>
    <xf numFmtId="0" fontId="20" fillId="2" borderId="0" xfId="143" applyNumberFormat="1" applyFont="1" applyFill="1" applyBorder="1" applyAlignment="1">
      <alignment horizontal="right" vertical="center" indent="1"/>
    </xf>
    <xf numFmtId="0" fontId="7" fillId="2" borderId="0" xfId="143" applyNumberFormat="1" applyFont="1" applyFill="1" applyBorder="1" applyAlignment="1">
      <alignment horizontal="left" vertical="center"/>
    </xf>
    <xf numFmtId="0" fontId="7" fillId="2" borderId="0" xfId="143" applyNumberFormat="1" applyFont="1" applyFill="1" applyBorder="1" applyAlignment="1" applyProtection="1">
      <alignment horizontal="left" vertical="center" wrapText="1"/>
    </xf>
    <xf numFmtId="37" fontId="7" fillId="3" borderId="0" xfId="1" applyNumberFormat="1" applyFont="1" applyFill="1" applyBorder="1" applyAlignment="1" applyProtection="1">
      <alignment horizontal="right" vertical="center" wrapText="1"/>
    </xf>
    <xf numFmtId="0" fontId="20" fillId="2" borderId="0" xfId="143" applyNumberFormat="1" applyFont="1" applyFill="1" applyBorder="1" applyAlignment="1">
      <alignment horizontal="right" vertical="center" wrapText="1" indent="1"/>
    </xf>
    <xf numFmtId="37" fontId="7" fillId="2" borderId="6" xfId="1" applyNumberFormat="1" applyFont="1" applyFill="1" applyBorder="1" applyAlignment="1">
      <alignment horizontal="right" vertical="center"/>
    </xf>
    <xf numFmtId="0" fontId="20" fillId="2" borderId="6" xfId="143" applyNumberFormat="1" applyFont="1" applyFill="1" applyBorder="1" applyAlignment="1">
      <alignment horizontal="right" vertical="center" indent="1"/>
    </xf>
    <xf numFmtId="0" fontId="1" fillId="2" borderId="0" xfId="0" applyFont="1" applyFill="1" applyBorder="1" applyAlignment="1">
      <alignment horizontal="right" vertical="center"/>
    </xf>
    <xf numFmtId="37" fontId="7" fillId="2" borderId="0" xfId="1" applyNumberFormat="1" applyFont="1" applyFill="1" applyBorder="1" applyAlignment="1" applyProtection="1">
      <alignment horizontal="right" vertical="center" wrapText="1"/>
    </xf>
    <xf numFmtId="37" fontId="7" fillId="2" borderId="0" xfId="1" applyNumberFormat="1" applyFont="1" applyFill="1" applyBorder="1" applyAlignment="1">
      <alignment horizontal="right" vertical="center" wrapText="1"/>
    </xf>
    <xf numFmtId="37" fontId="7" fillId="2" borderId="6" xfId="1" applyNumberFormat="1" applyFont="1" applyFill="1" applyBorder="1" applyAlignment="1">
      <alignment horizontal="right" vertical="center" wrapText="1"/>
    </xf>
    <xf numFmtId="37" fontId="7" fillId="2" borderId="7" xfId="1" applyNumberFormat="1" applyFont="1" applyFill="1" applyBorder="1" applyAlignment="1">
      <alignment horizontal="right" vertical="center"/>
    </xf>
    <xf numFmtId="0" fontId="7" fillId="2" borderId="0" xfId="143" applyNumberFormat="1" applyFont="1" applyFill="1" applyBorder="1"/>
    <xf numFmtId="0" fontId="7" fillId="2" borderId="0" xfId="0" applyNumberFormat="1" applyFont="1" applyFill="1"/>
    <xf numFmtId="165" fontId="5" fillId="2" borderId="0" xfId="143" applyFont="1" applyFill="1"/>
    <xf numFmtId="0" fontId="1" fillId="2" borderId="0" xfId="0" applyNumberFormat="1" applyFont="1" applyFill="1" applyBorder="1"/>
    <xf numFmtId="0" fontId="8" fillId="2" borderId="8" xfId="143" applyNumberFormat="1" applyFont="1" applyFill="1" applyBorder="1" applyAlignment="1">
      <alignment horizontal="center" vertical="center" wrapText="1"/>
    </xf>
    <xf numFmtId="0" fontId="8" fillId="2" borderId="2" xfId="143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/>
    <xf numFmtId="0" fontId="11" fillId="2" borderId="0" xfId="143" applyNumberFormat="1" applyFont="1" applyFill="1" applyBorder="1" applyAlignment="1" applyProtection="1">
      <alignment horizontal="center" vertical="center" wrapText="1"/>
    </xf>
    <xf numFmtId="0" fontId="8" fillId="2" borderId="0" xfId="143" applyNumberFormat="1" applyFont="1" applyFill="1" applyBorder="1" applyAlignment="1">
      <alignment horizontal="center" vertical="center"/>
    </xf>
    <xf numFmtId="0" fontId="8" fillId="2" borderId="4" xfId="143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 vertical="center"/>
    </xf>
    <xf numFmtId="0" fontId="11" fillId="2" borderId="5" xfId="143" applyNumberFormat="1" applyFont="1" applyFill="1" applyBorder="1" applyAlignment="1" applyProtection="1">
      <alignment horizontal="center" vertical="center" wrapText="1"/>
    </xf>
    <xf numFmtId="0" fontId="8" fillId="2" borderId="5" xfId="143" applyNumberFormat="1" applyFont="1" applyFill="1" applyBorder="1" applyAlignment="1">
      <alignment horizontal="right" vertical="center"/>
    </xf>
    <xf numFmtId="0" fontId="8" fillId="2" borderId="0" xfId="143" applyNumberFormat="1" applyFont="1" applyFill="1" applyBorder="1" applyAlignment="1">
      <alignment horizontal="right" vertical="center"/>
    </xf>
    <xf numFmtId="0" fontId="8" fillId="2" borderId="4" xfId="143" applyNumberFormat="1" applyFont="1" applyFill="1" applyBorder="1" applyAlignment="1">
      <alignment horizontal="right" vertical="center"/>
    </xf>
    <xf numFmtId="0" fontId="8" fillId="2" borderId="5" xfId="0" applyNumberFormat="1" applyFont="1" applyFill="1" applyBorder="1" applyAlignment="1">
      <alignment horizontal="center" vertical="center"/>
    </xf>
    <xf numFmtId="0" fontId="7" fillId="2" borderId="6" xfId="143" applyNumberFormat="1" applyFont="1" applyFill="1" applyBorder="1" applyAlignment="1">
      <alignment horizontal="center" vertical="center"/>
    </xf>
    <xf numFmtId="0" fontId="11" fillId="2" borderId="6" xfId="143" applyNumberFormat="1" applyFont="1" applyFill="1" applyBorder="1" applyAlignment="1" applyProtection="1">
      <alignment horizontal="center" vertical="center" wrapText="1"/>
    </xf>
    <xf numFmtId="0" fontId="7" fillId="2" borderId="0" xfId="143" applyNumberFormat="1" applyFont="1" applyFill="1" applyBorder="1" applyAlignment="1">
      <alignment horizontal="center" vertical="center"/>
    </xf>
    <xf numFmtId="0" fontId="7" fillId="2" borderId="0" xfId="143" applyNumberFormat="1" applyFont="1" applyFill="1" applyBorder="1" applyAlignment="1">
      <alignment horizontal="left" vertical="center" wrapText="1"/>
    </xf>
    <xf numFmtId="0" fontId="7" fillId="2" borderId="0" xfId="143" applyNumberFormat="1" applyFont="1" applyFill="1" applyBorder="1" applyAlignment="1" applyProtection="1">
      <alignment horizontal="center" vertical="center" wrapText="1"/>
    </xf>
    <xf numFmtId="37" fontId="7" fillId="2" borderId="0" xfId="1" applyNumberFormat="1" applyFont="1" applyFill="1" applyBorder="1" applyAlignment="1">
      <alignment horizontal="right" vertical="center"/>
    </xf>
    <xf numFmtId="37" fontId="8" fillId="2" borderId="4" xfId="1" applyNumberFormat="1" applyFont="1" applyFill="1" applyBorder="1" applyAlignment="1">
      <alignment horizontal="right" vertical="center"/>
    </xf>
    <xf numFmtId="37" fontId="7" fillId="2" borderId="3" xfId="1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vertical="center"/>
    </xf>
    <xf numFmtId="37" fontId="8" fillId="2" borderId="0" xfId="1" applyNumberFormat="1" applyFont="1" applyFill="1" applyBorder="1" applyAlignment="1">
      <alignment horizontal="right" vertical="center"/>
    </xf>
    <xf numFmtId="0" fontId="7" fillId="2" borderId="0" xfId="143" applyNumberFormat="1" applyFont="1" applyFill="1" applyBorder="1" applyAlignment="1">
      <alignment vertical="center"/>
    </xf>
    <xf numFmtId="0" fontId="6" fillId="2" borderId="0" xfId="143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 wrapText="1"/>
    </xf>
    <xf numFmtId="0" fontId="1" fillId="2" borderId="0" xfId="143" applyNumberFormat="1" applyFont="1" applyFill="1" applyBorder="1" applyAlignment="1">
      <alignment horizontal="right" vertical="center"/>
    </xf>
    <xf numFmtId="0" fontId="1" fillId="2" borderId="0" xfId="143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143" applyNumberFormat="1" applyFont="1" applyFill="1" applyBorder="1" applyAlignment="1">
      <alignment horizontal="center" vertical="center" wrapText="1"/>
    </xf>
    <xf numFmtId="0" fontId="1" fillId="2" borderId="0" xfId="143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center"/>
    </xf>
    <xf numFmtId="0" fontId="1" fillId="2" borderId="0" xfId="143" applyNumberFormat="1" applyFont="1" applyFill="1" applyBorder="1" applyAlignment="1">
      <alignment horizontal="center" vertical="center"/>
    </xf>
    <xf numFmtId="0" fontId="1" fillId="2" borderId="0" xfId="143" applyNumberFormat="1" applyFont="1" applyFill="1" applyBorder="1" applyAlignment="1">
      <alignment vertical="center"/>
    </xf>
    <xf numFmtId="3" fontId="12" fillId="2" borderId="0" xfId="0" applyNumberFormat="1" applyFont="1" applyFill="1" applyBorder="1" applyAlignment="1">
      <alignment horizontal="right" vertical="center" wrapText="1"/>
    </xf>
    <xf numFmtId="0" fontId="7" fillId="2" borderId="6" xfId="143" applyNumberFormat="1" applyFont="1" applyFill="1" applyBorder="1" applyAlignment="1">
      <alignment horizontal="left" vertical="center" wrapText="1"/>
    </xf>
    <xf numFmtId="0" fontId="7" fillId="2" borderId="6" xfId="143" applyNumberFormat="1" applyFont="1" applyFill="1" applyBorder="1" applyAlignment="1" applyProtection="1">
      <alignment horizontal="center" vertical="center" wrapText="1"/>
    </xf>
    <xf numFmtId="0" fontId="18" fillId="2" borderId="0" xfId="143" applyNumberFormat="1" applyFont="1" applyFill="1" applyBorder="1" applyAlignment="1">
      <alignment horizontal="right" vertical="center"/>
    </xf>
    <xf numFmtId="0" fontId="8" fillId="2" borderId="8" xfId="143" applyNumberFormat="1" applyFont="1" applyFill="1" applyBorder="1" applyAlignment="1">
      <alignment horizontal="center" vertical="center"/>
    </xf>
    <xf numFmtId="37" fontId="8" fillId="2" borderId="6" xfId="1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vertical="center"/>
    </xf>
    <xf numFmtId="165" fontId="9" fillId="2" borderId="0" xfId="143" applyNumberFormat="1" applyFont="1" applyFill="1" applyBorder="1" applyAlignment="1">
      <alignment horizontal="center" vertical="center" readingOrder="1"/>
    </xf>
    <xf numFmtId="165" fontId="4" fillId="2" borderId="0" xfId="155" applyNumberFormat="1" applyFont="1" applyFill="1" applyBorder="1" applyAlignment="1">
      <alignment horizontal="center" vertical="center"/>
    </xf>
    <xf numFmtId="0" fontId="17" fillId="2" borderId="6" xfId="143" applyNumberFormat="1" applyFont="1" applyFill="1" applyBorder="1" applyAlignment="1">
      <alignment horizontal="center" vertical="center"/>
    </xf>
    <xf numFmtId="0" fontId="7" fillId="2" borderId="1" xfId="143" applyNumberFormat="1" applyFont="1" applyFill="1" applyBorder="1" applyAlignment="1">
      <alignment horizontal="center" vertical="center"/>
    </xf>
    <xf numFmtId="0" fontId="7" fillId="2" borderId="8" xfId="143" applyNumberFormat="1" applyFont="1" applyFill="1" applyBorder="1" applyAlignment="1">
      <alignment horizontal="center" vertical="center"/>
    </xf>
    <xf numFmtId="0" fontId="8" fillId="2" borderId="8" xfId="143" applyNumberFormat="1" applyFont="1" applyFill="1" applyBorder="1" applyAlignment="1">
      <alignment horizontal="left" vertical="center"/>
    </xf>
    <xf numFmtId="0" fontId="8" fillId="2" borderId="0" xfId="143" applyNumberFormat="1" applyFont="1" applyFill="1" applyBorder="1" applyAlignment="1">
      <alignment horizontal="left" vertical="center"/>
    </xf>
    <xf numFmtId="0" fontId="8" fillId="2" borderId="6" xfId="143" applyNumberFormat="1" applyFont="1" applyFill="1" applyBorder="1" applyAlignment="1">
      <alignment horizontal="left" vertical="center"/>
    </xf>
    <xf numFmtId="0" fontId="8" fillId="2" borderId="8" xfId="143" applyNumberFormat="1" applyFont="1" applyFill="1" applyBorder="1" applyAlignment="1">
      <alignment horizontal="center" vertical="center" wrapText="1"/>
    </xf>
    <xf numFmtId="0" fontId="8" fillId="2" borderId="0" xfId="143" applyNumberFormat="1" applyFont="1" applyFill="1" applyBorder="1" applyAlignment="1">
      <alignment horizontal="center" vertical="center" wrapText="1"/>
    </xf>
    <xf numFmtId="0" fontId="8" fillId="2" borderId="6" xfId="143" applyNumberFormat="1" applyFont="1" applyFill="1" applyBorder="1" applyAlignment="1">
      <alignment horizontal="center" vertical="center" wrapText="1"/>
    </xf>
    <xf numFmtId="0" fontId="8" fillId="2" borderId="1" xfId="143" applyNumberFormat="1" applyFont="1" applyFill="1" applyBorder="1" applyAlignment="1">
      <alignment horizontal="center" vertical="center"/>
    </xf>
    <xf numFmtId="0" fontId="8" fillId="2" borderId="8" xfId="143" applyNumberFormat="1" applyFont="1" applyFill="1" applyBorder="1" applyAlignment="1">
      <alignment horizontal="center" vertical="center"/>
    </xf>
    <xf numFmtId="0" fontId="8" fillId="2" borderId="9" xfId="143" applyNumberFormat="1" applyFont="1" applyFill="1" applyBorder="1" applyAlignment="1">
      <alignment horizontal="center" vertical="center"/>
    </xf>
    <xf numFmtId="0" fontId="8" fillId="2" borderId="0" xfId="143" applyNumberFormat="1" applyFont="1" applyFill="1" applyBorder="1" applyAlignment="1">
      <alignment horizontal="center" vertical="center"/>
    </xf>
    <xf numFmtId="0" fontId="18" fillId="2" borderId="8" xfId="143" applyNumberFormat="1" applyFont="1" applyFill="1" applyBorder="1" applyAlignment="1">
      <alignment horizontal="right" vertical="center"/>
    </xf>
    <xf numFmtId="0" fontId="18" fillId="2" borderId="0" xfId="143" applyNumberFormat="1" applyFont="1" applyFill="1" applyBorder="1" applyAlignment="1">
      <alignment horizontal="right" vertical="center"/>
    </xf>
    <xf numFmtId="0" fontId="18" fillId="2" borderId="6" xfId="143" applyNumberFormat="1" applyFont="1" applyFill="1" applyBorder="1" applyAlignment="1">
      <alignment horizontal="right" vertical="center"/>
    </xf>
    <xf numFmtId="0" fontId="18" fillId="2" borderId="0" xfId="143" applyNumberFormat="1" applyFont="1" applyFill="1" applyBorder="1" applyAlignment="1">
      <alignment horizontal="center" vertical="center" wrapText="1"/>
    </xf>
    <xf numFmtId="0" fontId="7" fillId="2" borderId="0" xfId="143" applyNumberFormat="1" applyFont="1" applyFill="1" applyBorder="1" applyAlignment="1">
      <alignment horizontal="left" vertical="center" wrapText="1"/>
    </xf>
    <xf numFmtId="0" fontId="22" fillId="2" borderId="0" xfId="143" applyNumberFormat="1" applyFont="1" applyFill="1" applyBorder="1" applyAlignment="1">
      <alignment horizontal="left" vertical="center"/>
    </xf>
  </cellXfs>
  <cellStyles count="162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N44"/>
  <sheetViews>
    <sheetView tabSelected="1" zoomScaleNormal="100" workbookViewId="0">
      <selection activeCell="A28" sqref="A28:XFD73"/>
    </sheetView>
  </sheetViews>
  <sheetFormatPr defaultRowHeight="15" x14ac:dyDescent="0.25"/>
  <cols>
    <col min="1" max="1" width="4" style="55" customWidth="1"/>
    <col min="2" max="2" width="34.7109375" style="59" customWidth="1"/>
    <col min="3" max="3" width="10.140625" style="26" customWidth="1"/>
    <col min="4" max="4" width="15.5703125" style="26" customWidth="1"/>
    <col min="5" max="5" width="0.28515625" style="26" customWidth="1"/>
    <col min="6" max="8" width="8.7109375" style="58" customWidth="1"/>
    <col min="9" max="9" width="1.7109375" style="58" customWidth="1"/>
    <col min="10" max="12" width="8.7109375" style="58" customWidth="1"/>
    <col min="13" max="13" width="2.85546875" style="58" customWidth="1"/>
    <col min="14" max="14" width="7.7109375" style="58" customWidth="1"/>
    <col min="15" max="16" width="8.7109375" style="58" customWidth="1"/>
    <col min="17" max="17" width="1.28515625" style="58" customWidth="1"/>
    <col min="18" max="18" width="10" style="58" customWidth="1"/>
    <col min="19" max="20" width="8.7109375" style="58" customWidth="1"/>
    <col min="21" max="21" width="15.5703125" style="58" customWidth="1"/>
    <col min="22" max="22" width="10.7109375" style="58" customWidth="1"/>
    <col min="23" max="23" width="41" style="26" customWidth="1"/>
    <col min="24" max="24" width="25.5703125" style="26" customWidth="1"/>
    <col min="25" max="16384" width="9.140625" style="26"/>
  </cols>
  <sheetData>
    <row r="1" spans="1:66" s="24" customFormat="1" ht="25.5" customHeight="1" x14ac:dyDescent="0.2">
      <c r="A1" s="69" t="s">
        <v>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24" customFormat="1" ht="15.75" customHeight="1" x14ac:dyDescent="0.2">
      <c r="A2" s="70" t="s">
        <v>10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</row>
    <row r="3" spans="1:66" ht="21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</row>
    <row r="4" spans="1:66" s="29" customFormat="1" ht="16.5" customHeight="1" x14ac:dyDescent="0.2">
      <c r="A4" s="72"/>
      <c r="B4" s="74" t="s">
        <v>11</v>
      </c>
      <c r="C4" s="77" t="s">
        <v>12</v>
      </c>
      <c r="D4" s="77"/>
      <c r="E4" s="27"/>
      <c r="F4" s="80" t="s">
        <v>13</v>
      </c>
      <c r="G4" s="80"/>
      <c r="H4" s="80"/>
      <c r="I4" s="80"/>
      <c r="J4" s="80"/>
      <c r="K4" s="80"/>
      <c r="L4" s="80"/>
      <c r="M4" s="80"/>
      <c r="N4" s="80"/>
      <c r="O4" s="80"/>
      <c r="P4" s="80"/>
      <c r="Q4" s="28"/>
      <c r="R4" s="81" t="s">
        <v>14</v>
      </c>
      <c r="S4" s="81"/>
      <c r="T4" s="81"/>
      <c r="U4" s="81" t="s">
        <v>15</v>
      </c>
      <c r="V4" s="81" t="s">
        <v>16</v>
      </c>
      <c r="W4" s="84" t="s">
        <v>17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33" customFormat="1" ht="21.75" customHeight="1" x14ac:dyDescent="0.25">
      <c r="A5" s="72"/>
      <c r="B5" s="75"/>
      <c r="C5" s="78"/>
      <c r="D5" s="78"/>
      <c r="E5" s="30"/>
      <c r="F5" s="83" t="s">
        <v>18</v>
      </c>
      <c r="G5" s="83"/>
      <c r="H5" s="83"/>
      <c r="I5" s="31"/>
      <c r="J5" s="83" t="s">
        <v>19</v>
      </c>
      <c r="K5" s="83"/>
      <c r="L5" s="83"/>
      <c r="M5" s="31"/>
      <c r="N5" s="83" t="s">
        <v>3</v>
      </c>
      <c r="O5" s="83"/>
      <c r="P5" s="83"/>
      <c r="Q5" s="32"/>
      <c r="R5" s="82"/>
      <c r="S5" s="82"/>
      <c r="T5" s="82"/>
      <c r="U5" s="83"/>
      <c r="V5" s="83"/>
      <c r="W5" s="85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</row>
    <row r="6" spans="1:66" s="38" customFormat="1" ht="26.25" customHeight="1" x14ac:dyDescent="0.25">
      <c r="A6" s="73"/>
      <c r="B6" s="75"/>
      <c r="C6" s="78"/>
      <c r="D6" s="78"/>
      <c r="E6" s="34"/>
      <c r="F6" s="35" t="s">
        <v>0</v>
      </c>
      <c r="G6" s="35" t="s">
        <v>1</v>
      </c>
      <c r="H6" s="35" t="s">
        <v>2</v>
      </c>
      <c r="I6" s="36"/>
      <c r="J6" s="35" t="s">
        <v>0</v>
      </c>
      <c r="K6" s="35" t="s">
        <v>1</v>
      </c>
      <c r="L6" s="35" t="s">
        <v>2</v>
      </c>
      <c r="M6" s="36"/>
      <c r="N6" s="35" t="s">
        <v>0</v>
      </c>
      <c r="O6" s="35" t="s">
        <v>1</v>
      </c>
      <c r="P6" s="35" t="s">
        <v>2</v>
      </c>
      <c r="Q6" s="37"/>
      <c r="R6" s="36" t="s">
        <v>0</v>
      </c>
      <c r="S6" s="36" t="s">
        <v>1</v>
      </c>
      <c r="T6" s="36" t="s">
        <v>2</v>
      </c>
      <c r="U6" s="87" t="s">
        <v>20</v>
      </c>
      <c r="V6" s="87" t="s">
        <v>21</v>
      </c>
      <c r="W6" s="85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</row>
    <row r="7" spans="1:66" s="33" customFormat="1" ht="26.25" customHeight="1" x14ac:dyDescent="0.25">
      <c r="A7" s="39"/>
      <c r="B7" s="76"/>
      <c r="C7" s="79"/>
      <c r="D7" s="79"/>
      <c r="E7" s="40"/>
      <c r="F7" s="65" t="s">
        <v>22</v>
      </c>
      <c r="G7" s="65" t="s">
        <v>23</v>
      </c>
      <c r="H7" s="65" t="s">
        <v>24</v>
      </c>
      <c r="I7" s="65"/>
      <c r="J7" s="65" t="s">
        <v>22</v>
      </c>
      <c r="K7" s="65" t="s">
        <v>23</v>
      </c>
      <c r="L7" s="65" t="s">
        <v>24</v>
      </c>
      <c r="M7" s="65"/>
      <c r="N7" s="65" t="s">
        <v>22</v>
      </c>
      <c r="O7" s="65" t="s">
        <v>23</v>
      </c>
      <c r="P7" s="65" t="s">
        <v>24</v>
      </c>
      <c r="Q7" s="1"/>
      <c r="R7" s="65" t="s">
        <v>22</v>
      </c>
      <c r="S7" s="65" t="s">
        <v>23</v>
      </c>
      <c r="T7" s="65" t="s">
        <v>24</v>
      </c>
      <c r="U7" s="87"/>
      <c r="V7" s="87"/>
      <c r="W7" s="86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</row>
    <row r="8" spans="1:66" s="9" customFormat="1" ht="26.25" customHeight="1" x14ac:dyDescent="0.25">
      <c r="A8" s="66"/>
      <c r="B8" s="2" t="s">
        <v>6</v>
      </c>
      <c r="C8" s="3"/>
      <c r="D8" s="4"/>
      <c r="E8" s="4"/>
      <c r="F8" s="5">
        <f>SUM(F9:F22)</f>
        <v>21046</v>
      </c>
      <c r="G8" s="5">
        <f>SUM(G9:G22)</f>
        <v>10060</v>
      </c>
      <c r="H8" s="5">
        <f>SUM(H9:H22)</f>
        <v>10986</v>
      </c>
      <c r="I8" s="5"/>
      <c r="J8" s="5">
        <f>SUM(J9:J22)</f>
        <v>578</v>
      </c>
      <c r="K8" s="5">
        <f>SUM(K9:K22)</f>
        <v>157</v>
      </c>
      <c r="L8" s="5">
        <f t="shared" ref="L8" si="0">SUM(L9:L22)</f>
        <v>421</v>
      </c>
      <c r="M8" s="5"/>
      <c r="N8" s="5">
        <f>F8+J8</f>
        <v>21624</v>
      </c>
      <c r="O8" s="5">
        <f>G8+K8</f>
        <v>10217</v>
      </c>
      <c r="P8" s="5">
        <f t="shared" ref="P8" si="1">H8+L8</f>
        <v>11407</v>
      </c>
      <c r="Q8" s="6"/>
      <c r="R8" s="5">
        <f>SUM(R9:R22)</f>
        <v>7160</v>
      </c>
      <c r="S8" s="5">
        <f t="shared" ref="S8:V8" si="2">SUM(S9:S22)</f>
        <v>3659</v>
      </c>
      <c r="T8" s="5">
        <f t="shared" si="2"/>
        <v>2769</v>
      </c>
      <c r="U8" s="5">
        <f t="shared" si="2"/>
        <v>473</v>
      </c>
      <c r="V8" s="5">
        <f t="shared" si="2"/>
        <v>476</v>
      </c>
      <c r="W8" s="7" t="s">
        <v>5</v>
      </c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</row>
    <row r="9" spans="1:66" s="47" customFormat="1" ht="26.25" customHeight="1" x14ac:dyDescent="0.25">
      <c r="A9" s="41"/>
      <c r="B9" s="42" t="s">
        <v>25</v>
      </c>
      <c r="C9" s="43" t="s">
        <v>4</v>
      </c>
      <c r="D9" s="43" t="s">
        <v>26</v>
      </c>
      <c r="E9" s="43"/>
      <c r="F9" s="44">
        <f>SUM(G9:H9)</f>
        <v>4681</v>
      </c>
      <c r="G9" s="18">
        <v>2227</v>
      </c>
      <c r="H9" s="18">
        <v>2454</v>
      </c>
      <c r="I9" s="44"/>
      <c r="J9" s="44">
        <f>K9+L9</f>
        <v>0</v>
      </c>
      <c r="K9" s="44">
        <v>0</v>
      </c>
      <c r="L9" s="44">
        <v>0</v>
      </c>
      <c r="M9" s="44"/>
      <c r="N9" s="48">
        <f>F9+J9</f>
        <v>4681</v>
      </c>
      <c r="O9" s="44">
        <f>G9+K9</f>
        <v>2227</v>
      </c>
      <c r="P9" s="44">
        <f>H9+L9</f>
        <v>2454</v>
      </c>
      <c r="Q9" s="10"/>
      <c r="R9" s="46">
        <f>S9+T9</f>
        <v>1555</v>
      </c>
      <c r="S9" s="44">
        <v>675</v>
      </c>
      <c r="T9" s="44">
        <v>880</v>
      </c>
      <c r="U9" s="44">
        <v>285</v>
      </c>
      <c r="V9" s="44">
        <v>124</v>
      </c>
      <c r="W9" s="11" t="s">
        <v>27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</row>
    <row r="10" spans="1:66" s="47" customFormat="1" ht="26.25" customHeight="1" x14ac:dyDescent="0.25">
      <c r="A10" s="41"/>
      <c r="B10" s="12" t="s">
        <v>28</v>
      </c>
      <c r="C10" s="43" t="s">
        <v>4</v>
      </c>
      <c r="D10" s="43" t="s">
        <v>26</v>
      </c>
      <c r="E10" s="43"/>
      <c r="F10" s="44">
        <f t="shared" ref="F10:F12" si="3">SUM(G10:H10)</f>
        <v>272</v>
      </c>
      <c r="G10" s="14">
        <v>116</v>
      </c>
      <c r="H10" s="14">
        <v>156</v>
      </c>
      <c r="I10" s="44"/>
      <c r="J10" s="44">
        <f t="shared" ref="J10:J18" si="4">K10+L10</f>
        <v>0</v>
      </c>
      <c r="K10" s="44">
        <v>0</v>
      </c>
      <c r="L10" s="44">
        <v>0</v>
      </c>
      <c r="M10" s="44"/>
      <c r="N10" s="48">
        <f t="shared" ref="N10:P15" si="5">F10+J10</f>
        <v>272</v>
      </c>
      <c r="O10" s="44">
        <f t="shared" si="5"/>
        <v>116</v>
      </c>
      <c r="P10" s="44">
        <f t="shared" si="5"/>
        <v>156</v>
      </c>
      <c r="Q10" s="10"/>
      <c r="R10" s="46">
        <f t="shared" ref="R10:R21" si="6">S10+T10</f>
        <v>31</v>
      </c>
      <c r="S10" s="44">
        <v>13</v>
      </c>
      <c r="T10" s="44">
        <v>18</v>
      </c>
      <c r="U10" s="44">
        <v>0</v>
      </c>
      <c r="V10" s="44">
        <v>13</v>
      </c>
      <c r="W10" s="11" t="s">
        <v>29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</row>
    <row r="11" spans="1:66" s="47" customFormat="1" ht="21" x14ac:dyDescent="0.25">
      <c r="A11" s="41"/>
      <c r="B11" s="42" t="s">
        <v>7</v>
      </c>
      <c r="C11" s="43" t="s">
        <v>30</v>
      </c>
      <c r="D11" s="43" t="s">
        <v>31</v>
      </c>
      <c r="E11" s="43"/>
      <c r="F11" s="44">
        <f t="shared" si="3"/>
        <v>756</v>
      </c>
      <c r="G11" s="19">
        <v>707</v>
      </c>
      <c r="H11" s="19">
        <v>49</v>
      </c>
      <c r="I11" s="44"/>
      <c r="J11" s="44">
        <f t="shared" si="4"/>
        <v>0</v>
      </c>
      <c r="K11" s="44">
        <v>0</v>
      </c>
      <c r="L11" s="44">
        <v>0</v>
      </c>
      <c r="M11" s="44"/>
      <c r="N11" s="48">
        <f t="shared" si="5"/>
        <v>756</v>
      </c>
      <c r="O11" s="44">
        <f t="shared" si="5"/>
        <v>707</v>
      </c>
      <c r="P11" s="44">
        <f t="shared" si="5"/>
        <v>49</v>
      </c>
      <c r="Q11" s="10"/>
      <c r="R11" s="46">
        <f t="shared" si="6"/>
        <v>309</v>
      </c>
      <c r="S11" s="44">
        <v>283</v>
      </c>
      <c r="T11" s="44">
        <v>26</v>
      </c>
      <c r="U11" s="44">
        <v>11</v>
      </c>
      <c r="V11" s="44">
        <v>91</v>
      </c>
      <c r="W11" s="11" t="s">
        <v>8</v>
      </c>
    </row>
    <row r="12" spans="1:66" s="47" customFormat="1" ht="21" x14ac:dyDescent="0.25">
      <c r="A12" s="41"/>
      <c r="B12" s="42" t="s">
        <v>32</v>
      </c>
      <c r="C12" s="43" t="s">
        <v>4</v>
      </c>
      <c r="D12" s="43" t="s">
        <v>26</v>
      </c>
      <c r="E12" s="43"/>
      <c r="F12" s="44">
        <f t="shared" si="3"/>
        <v>473</v>
      </c>
      <c r="G12" s="19">
        <v>164</v>
      </c>
      <c r="H12" s="19">
        <v>309</v>
      </c>
      <c r="I12" s="44"/>
      <c r="J12" s="44">
        <f t="shared" si="4"/>
        <v>0</v>
      </c>
      <c r="K12" s="44">
        <v>0</v>
      </c>
      <c r="L12" s="44">
        <v>0</v>
      </c>
      <c r="M12" s="44"/>
      <c r="N12" s="48">
        <f t="shared" si="5"/>
        <v>473</v>
      </c>
      <c r="O12" s="44">
        <f t="shared" si="5"/>
        <v>164</v>
      </c>
      <c r="P12" s="44">
        <f t="shared" si="5"/>
        <v>309</v>
      </c>
      <c r="Q12" s="10"/>
      <c r="R12" s="46">
        <f t="shared" si="6"/>
        <v>269</v>
      </c>
      <c r="S12" s="44">
        <v>90</v>
      </c>
      <c r="T12" s="44">
        <v>179</v>
      </c>
      <c r="U12" s="44">
        <v>0</v>
      </c>
      <c r="V12" s="44">
        <v>0</v>
      </c>
      <c r="W12" s="11" t="s">
        <v>33</v>
      </c>
    </row>
    <row r="13" spans="1:66" s="47" customFormat="1" ht="21" x14ac:dyDescent="0.25">
      <c r="A13" s="41"/>
      <c r="B13" s="42" t="s">
        <v>34</v>
      </c>
      <c r="C13" s="43" t="s">
        <v>4</v>
      </c>
      <c r="D13" s="43" t="s">
        <v>26</v>
      </c>
      <c r="E13" s="43"/>
      <c r="F13" s="44" t="s">
        <v>35</v>
      </c>
      <c r="G13" s="20" t="s">
        <v>35</v>
      </c>
      <c r="H13" s="20" t="s">
        <v>35</v>
      </c>
      <c r="I13" s="44"/>
      <c r="J13" s="44" t="s">
        <v>35</v>
      </c>
      <c r="K13" s="44" t="s">
        <v>35</v>
      </c>
      <c r="L13" s="44" t="s">
        <v>35</v>
      </c>
      <c r="M13" s="44"/>
      <c r="N13" s="48" t="s">
        <v>35</v>
      </c>
      <c r="O13" s="44" t="s">
        <v>35</v>
      </c>
      <c r="P13" s="44" t="s">
        <v>35</v>
      </c>
      <c r="Q13" s="10"/>
      <c r="R13" s="46" t="s">
        <v>35</v>
      </c>
      <c r="S13" s="44" t="s">
        <v>35</v>
      </c>
      <c r="T13" s="44" t="s">
        <v>35</v>
      </c>
      <c r="U13" s="44" t="s">
        <v>35</v>
      </c>
      <c r="V13" s="44" t="s">
        <v>35</v>
      </c>
      <c r="W13" s="11" t="s">
        <v>36</v>
      </c>
    </row>
    <row r="14" spans="1:66" s="47" customFormat="1" ht="21" x14ac:dyDescent="0.25">
      <c r="A14" s="41"/>
      <c r="B14" s="42" t="s">
        <v>37</v>
      </c>
      <c r="C14" s="43" t="s">
        <v>30</v>
      </c>
      <c r="D14" s="43" t="s">
        <v>38</v>
      </c>
      <c r="E14" s="13"/>
      <c r="F14" s="44">
        <f t="shared" ref="F14:F15" si="7">SUM(G14:H14)</f>
        <v>652</v>
      </c>
      <c r="G14" s="14">
        <v>197</v>
      </c>
      <c r="H14" s="14">
        <v>455</v>
      </c>
      <c r="I14" s="44"/>
      <c r="J14" s="44">
        <f t="shared" si="4"/>
        <v>578</v>
      </c>
      <c r="K14" s="44">
        <v>157</v>
      </c>
      <c r="L14" s="44">
        <v>421</v>
      </c>
      <c r="M14" s="44"/>
      <c r="N14" s="48">
        <f t="shared" si="5"/>
        <v>1230</v>
      </c>
      <c r="O14" s="44">
        <f t="shared" si="5"/>
        <v>354</v>
      </c>
      <c r="P14" s="44">
        <f t="shared" si="5"/>
        <v>876</v>
      </c>
      <c r="Q14" s="10"/>
      <c r="R14" s="46">
        <f t="shared" si="6"/>
        <v>717</v>
      </c>
      <c r="S14" s="44">
        <v>191</v>
      </c>
      <c r="T14" s="44">
        <v>526</v>
      </c>
      <c r="U14" s="44">
        <v>0</v>
      </c>
      <c r="V14" s="44">
        <v>25</v>
      </c>
      <c r="W14" s="11" t="s">
        <v>39</v>
      </c>
    </row>
    <row r="15" spans="1:66" s="47" customFormat="1" ht="29.25" customHeight="1" x14ac:dyDescent="0.25">
      <c r="A15" s="41"/>
      <c r="B15" s="42" t="s">
        <v>40</v>
      </c>
      <c r="C15" s="43" t="s">
        <v>30</v>
      </c>
      <c r="D15" s="43" t="s">
        <v>38</v>
      </c>
      <c r="E15" s="43"/>
      <c r="F15" s="44">
        <f t="shared" si="7"/>
        <v>10609</v>
      </c>
      <c r="G15" s="44">
        <v>4631</v>
      </c>
      <c r="H15" s="44">
        <v>5978</v>
      </c>
      <c r="I15" s="44"/>
      <c r="J15" s="44">
        <f t="shared" si="4"/>
        <v>0</v>
      </c>
      <c r="K15" s="44">
        <v>0</v>
      </c>
      <c r="L15" s="44">
        <v>0</v>
      </c>
      <c r="M15" s="44"/>
      <c r="N15" s="48">
        <f t="shared" si="5"/>
        <v>10609</v>
      </c>
      <c r="O15" s="44">
        <f t="shared" si="5"/>
        <v>4631</v>
      </c>
      <c r="P15" s="44">
        <f t="shared" si="5"/>
        <v>5978</v>
      </c>
      <c r="Q15" s="45"/>
      <c r="R15" s="46">
        <f t="shared" si="6"/>
        <v>2182</v>
      </c>
      <c r="S15" s="44">
        <v>1511</v>
      </c>
      <c r="T15" s="44">
        <v>671</v>
      </c>
      <c r="U15" s="44">
        <v>0</v>
      </c>
      <c r="V15" s="44">
        <v>53</v>
      </c>
      <c r="W15" s="11" t="s">
        <v>41</v>
      </c>
    </row>
    <row r="16" spans="1:66" s="47" customFormat="1" ht="21" x14ac:dyDescent="0.25">
      <c r="A16" s="41"/>
      <c r="B16" s="42" t="s">
        <v>42</v>
      </c>
      <c r="C16" s="43" t="s">
        <v>4</v>
      </c>
      <c r="D16" s="43" t="s">
        <v>26</v>
      </c>
      <c r="E16" s="43"/>
      <c r="F16" s="44" t="s">
        <v>35</v>
      </c>
      <c r="G16" s="14" t="s">
        <v>35</v>
      </c>
      <c r="H16" s="14" t="s">
        <v>35</v>
      </c>
      <c r="I16" s="44"/>
      <c r="J16" s="44" t="s">
        <v>35</v>
      </c>
      <c r="K16" s="44" t="s">
        <v>35</v>
      </c>
      <c r="L16" s="44" t="s">
        <v>35</v>
      </c>
      <c r="M16" s="44"/>
      <c r="N16" s="48" t="s">
        <v>43</v>
      </c>
      <c r="O16" s="44" t="s">
        <v>35</v>
      </c>
      <c r="P16" s="44" t="s">
        <v>35</v>
      </c>
      <c r="Q16" s="10"/>
      <c r="R16" s="46" t="s">
        <v>35</v>
      </c>
      <c r="S16" s="44" t="s">
        <v>35</v>
      </c>
      <c r="T16" s="44" t="s">
        <v>35</v>
      </c>
      <c r="U16" s="44" t="s">
        <v>35</v>
      </c>
      <c r="V16" s="44" t="s">
        <v>35</v>
      </c>
      <c r="W16" s="11" t="s">
        <v>44</v>
      </c>
    </row>
    <row r="17" spans="1:23" s="47" customFormat="1" ht="21" x14ac:dyDescent="0.25">
      <c r="A17" s="41"/>
      <c r="B17" s="42" t="s">
        <v>45</v>
      </c>
      <c r="C17" s="43" t="s">
        <v>4</v>
      </c>
      <c r="D17" s="43" t="s">
        <v>26</v>
      </c>
      <c r="E17" s="49"/>
      <c r="F17" s="44" t="s">
        <v>35</v>
      </c>
      <c r="G17" s="14" t="s">
        <v>35</v>
      </c>
      <c r="H17" s="14" t="s">
        <v>35</v>
      </c>
      <c r="I17" s="44"/>
      <c r="J17" s="44" t="s">
        <v>35</v>
      </c>
      <c r="K17" s="44" t="s">
        <v>35</v>
      </c>
      <c r="L17" s="44" t="s">
        <v>35</v>
      </c>
      <c r="M17" s="44"/>
      <c r="N17" s="48" t="s">
        <v>35</v>
      </c>
      <c r="O17" s="44" t="s">
        <v>35</v>
      </c>
      <c r="P17" s="44" t="s">
        <v>35</v>
      </c>
      <c r="Q17" s="10"/>
      <c r="R17" s="46" t="s">
        <v>35</v>
      </c>
      <c r="S17" s="44" t="s">
        <v>35</v>
      </c>
      <c r="T17" s="44" t="s">
        <v>35</v>
      </c>
      <c r="U17" s="44" t="s">
        <v>35</v>
      </c>
      <c r="V17" s="44" t="s">
        <v>35</v>
      </c>
      <c r="W17" s="11" t="s">
        <v>46</v>
      </c>
    </row>
    <row r="18" spans="1:23" s="47" customFormat="1" ht="31.5" customHeight="1" x14ac:dyDescent="0.25">
      <c r="A18" s="41"/>
      <c r="B18" s="42" t="s">
        <v>47</v>
      </c>
      <c r="C18" s="43" t="s">
        <v>30</v>
      </c>
      <c r="D18" s="43" t="s">
        <v>26</v>
      </c>
      <c r="E18" s="49"/>
      <c r="F18" s="44">
        <f t="shared" ref="F18:F22" si="8">SUM(G18:H18)</f>
        <v>708</v>
      </c>
      <c r="G18" s="44">
        <v>650</v>
      </c>
      <c r="H18" s="14">
        <v>58</v>
      </c>
      <c r="I18" s="14"/>
      <c r="J18" s="44">
        <f t="shared" si="4"/>
        <v>0</v>
      </c>
      <c r="K18" s="44">
        <v>0</v>
      </c>
      <c r="L18" s="44">
        <v>0</v>
      </c>
      <c r="M18" s="44"/>
      <c r="N18" s="48">
        <f>F18+J18</f>
        <v>708</v>
      </c>
      <c r="O18" s="44">
        <f t="shared" ref="O18:P20" si="9">G18+K18</f>
        <v>650</v>
      </c>
      <c r="P18" s="44">
        <f t="shared" si="9"/>
        <v>58</v>
      </c>
      <c r="Q18" s="10"/>
      <c r="R18" s="46">
        <v>687</v>
      </c>
      <c r="S18" s="44" t="s">
        <v>48</v>
      </c>
      <c r="T18" s="44" t="s">
        <v>48</v>
      </c>
      <c r="U18" s="44">
        <v>0</v>
      </c>
      <c r="V18" s="44">
        <v>21</v>
      </c>
      <c r="W18" s="11" t="s">
        <v>49</v>
      </c>
    </row>
    <row r="19" spans="1:23" s="47" customFormat="1" ht="42" customHeight="1" x14ac:dyDescent="0.25">
      <c r="A19" s="41"/>
      <c r="B19" s="52" t="s">
        <v>50</v>
      </c>
      <c r="C19" s="43" t="s">
        <v>30</v>
      </c>
      <c r="D19" s="43" t="s">
        <v>26</v>
      </c>
      <c r="E19" s="49"/>
      <c r="F19" s="44">
        <f t="shared" si="8"/>
        <v>842</v>
      </c>
      <c r="G19" s="20">
        <v>740</v>
      </c>
      <c r="H19" s="20">
        <v>102</v>
      </c>
      <c r="I19" s="44"/>
      <c r="J19" s="44">
        <f>K19+L19</f>
        <v>0</v>
      </c>
      <c r="K19" s="44">
        <v>0</v>
      </c>
      <c r="L19" s="44">
        <v>0</v>
      </c>
      <c r="M19" s="44"/>
      <c r="N19" s="48">
        <f>F19+J19</f>
        <v>842</v>
      </c>
      <c r="O19" s="44">
        <f t="shared" si="9"/>
        <v>740</v>
      </c>
      <c r="P19" s="44">
        <f t="shared" si="9"/>
        <v>102</v>
      </c>
      <c r="Q19" s="10"/>
      <c r="R19" s="46">
        <f t="shared" si="6"/>
        <v>840</v>
      </c>
      <c r="S19" s="44">
        <v>738</v>
      </c>
      <c r="T19" s="44">
        <v>102</v>
      </c>
      <c r="U19" s="44">
        <v>0</v>
      </c>
      <c r="V19" s="44">
        <v>2</v>
      </c>
      <c r="W19" s="15" t="s">
        <v>51</v>
      </c>
    </row>
    <row r="20" spans="1:23" s="47" customFormat="1" ht="21" x14ac:dyDescent="0.25">
      <c r="A20" s="41"/>
      <c r="B20" s="42" t="s">
        <v>52</v>
      </c>
      <c r="C20" s="43" t="s">
        <v>4</v>
      </c>
      <c r="D20" s="43" t="s">
        <v>26</v>
      </c>
      <c r="E20" s="49"/>
      <c r="F20" s="44">
        <f t="shared" si="8"/>
        <v>1194</v>
      </c>
      <c r="G20" s="14">
        <v>293</v>
      </c>
      <c r="H20" s="14">
        <v>901</v>
      </c>
      <c r="I20" s="44"/>
      <c r="J20" s="44">
        <f>K20+L20</f>
        <v>0</v>
      </c>
      <c r="K20" s="44">
        <v>0</v>
      </c>
      <c r="L20" s="44">
        <v>0</v>
      </c>
      <c r="M20" s="44"/>
      <c r="N20" s="48">
        <f>F20+J20</f>
        <v>1194</v>
      </c>
      <c r="O20" s="44">
        <f t="shared" si="9"/>
        <v>293</v>
      </c>
      <c r="P20" s="44">
        <f t="shared" si="9"/>
        <v>901</v>
      </c>
      <c r="Q20" s="10"/>
      <c r="R20" s="44">
        <f t="shared" si="6"/>
        <v>369</v>
      </c>
      <c r="S20" s="44">
        <v>98</v>
      </c>
      <c r="T20" s="44">
        <v>271</v>
      </c>
      <c r="U20" s="44">
        <v>27</v>
      </c>
      <c r="V20" s="44">
        <v>99</v>
      </c>
      <c r="W20" s="11" t="s">
        <v>53</v>
      </c>
    </row>
    <row r="21" spans="1:23" s="47" customFormat="1" ht="21" x14ac:dyDescent="0.25">
      <c r="A21" s="41"/>
      <c r="B21" s="42" t="s">
        <v>54</v>
      </c>
      <c r="C21" s="43" t="s">
        <v>4</v>
      </c>
      <c r="D21" s="43" t="s">
        <v>26</v>
      </c>
      <c r="E21" s="43"/>
      <c r="F21" s="44">
        <f t="shared" si="8"/>
        <v>385</v>
      </c>
      <c r="G21" s="44">
        <v>186</v>
      </c>
      <c r="H21" s="44">
        <v>199</v>
      </c>
      <c r="I21" s="44"/>
      <c r="J21" s="44">
        <f t="shared" ref="J21:J22" si="10">K21+L21</f>
        <v>0</v>
      </c>
      <c r="K21" s="20">
        <v>0</v>
      </c>
      <c r="L21" s="20">
        <v>0</v>
      </c>
      <c r="M21" s="44"/>
      <c r="N21" s="48">
        <f>F21+J21</f>
        <v>385</v>
      </c>
      <c r="O21" s="44">
        <f>G21+K21</f>
        <v>186</v>
      </c>
      <c r="P21" s="44">
        <f>H21+L21</f>
        <v>199</v>
      </c>
      <c r="Q21" s="10"/>
      <c r="R21" s="44">
        <f t="shared" si="6"/>
        <v>156</v>
      </c>
      <c r="S21" s="44">
        <v>60</v>
      </c>
      <c r="T21" s="44">
        <v>96</v>
      </c>
      <c r="U21" s="44">
        <v>150</v>
      </c>
      <c r="V21" s="44">
        <v>0</v>
      </c>
      <c r="W21" s="11" t="s">
        <v>55</v>
      </c>
    </row>
    <row r="22" spans="1:23" s="47" customFormat="1" ht="21" x14ac:dyDescent="0.25">
      <c r="A22" s="39"/>
      <c r="B22" s="63" t="s">
        <v>56</v>
      </c>
      <c r="C22" s="64" t="s">
        <v>4</v>
      </c>
      <c r="D22" s="64" t="s">
        <v>26</v>
      </c>
      <c r="E22" s="64"/>
      <c r="F22" s="16">
        <f t="shared" si="8"/>
        <v>474</v>
      </c>
      <c r="G22" s="16">
        <v>149</v>
      </c>
      <c r="H22" s="16">
        <v>325</v>
      </c>
      <c r="I22" s="16"/>
      <c r="J22" s="16">
        <f t="shared" si="10"/>
        <v>0</v>
      </c>
      <c r="K22" s="21">
        <v>0</v>
      </c>
      <c r="L22" s="21">
        <v>0</v>
      </c>
      <c r="M22" s="16"/>
      <c r="N22" s="67">
        <f>F22+J22</f>
        <v>474</v>
      </c>
      <c r="O22" s="16">
        <f>G22+K22</f>
        <v>149</v>
      </c>
      <c r="P22" s="16">
        <f>H22+L22</f>
        <v>325</v>
      </c>
      <c r="Q22" s="22"/>
      <c r="R22" s="16">
        <v>45</v>
      </c>
      <c r="S22" s="16" t="s">
        <v>48</v>
      </c>
      <c r="T22" s="16" t="s">
        <v>48</v>
      </c>
      <c r="U22" s="16">
        <v>0</v>
      </c>
      <c r="V22" s="16">
        <v>48</v>
      </c>
      <c r="W22" s="17" t="s">
        <v>57</v>
      </c>
    </row>
    <row r="23" spans="1:23" s="51" customFormat="1" ht="18.75" x14ac:dyDescent="0.2">
      <c r="A23" s="49" t="s">
        <v>58</v>
      </c>
      <c r="B23" s="23"/>
      <c r="C23" s="23"/>
      <c r="D23" s="23"/>
      <c r="E23" s="23"/>
      <c r="F23" s="23"/>
      <c r="G23" s="23"/>
      <c r="H23" s="23"/>
      <c r="I23" s="23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50"/>
      <c r="W23" s="41"/>
    </row>
    <row r="24" spans="1:23" s="51" customFormat="1" ht="18.75" customHeight="1" x14ac:dyDescent="0.25">
      <c r="A24" s="88" t="s">
        <v>59</v>
      </c>
      <c r="B24" s="88"/>
      <c r="C24" s="88"/>
      <c r="D24" s="88"/>
      <c r="E24" s="88"/>
      <c r="F24" s="88"/>
      <c r="G24" s="88"/>
      <c r="H24" s="88"/>
      <c r="I24" s="42"/>
      <c r="J24" s="52"/>
      <c r="K24" s="52"/>
      <c r="L24" s="52"/>
      <c r="M24" s="52"/>
      <c r="N24" s="52"/>
      <c r="O24" s="52"/>
      <c r="P24" s="52"/>
      <c r="Q24" s="52"/>
      <c r="R24" s="52"/>
      <c r="S24" s="41"/>
      <c r="T24" s="41"/>
      <c r="U24" s="41"/>
      <c r="V24" s="50"/>
      <c r="W24" s="41"/>
    </row>
    <row r="25" spans="1:23" ht="23.25" x14ac:dyDescent="0.25">
      <c r="A25" s="89" t="s">
        <v>60</v>
      </c>
      <c r="B25" s="89"/>
      <c r="C25" s="89"/>
      <c r="D25" s="89"/>
      <c r="E25" s="89"/>
      <c r="F25" s="89"/>
      <c r="G25" s="89"/>
      <c r="H25" s="53"/>
      <c r="I25" s="53"/>
      <c r="J25" s="53"/>
      <c r="K25" s="53"/>
      <c r="L25" s="53"/>
      <c r="M25" s="53"/>
      <c r="N25" s="53"/>
      <c r="O25" s="68"/>
      <c r="P25" s="53"/>
      <c r="Q25" s="53"/>
      <c r="R25" s="53"/>
      <c r="S25" s="53"/>
      <c r="T25" s="53"/>
      <c r="U25" s="53"/>
      <c r="V25" s="53"/>
      <c r="W25" s="54"/>
    </row>
    <row r="26" spans="1:23" x14ac:dyDescent="0.25">
      <c r="A26" s="89" t="s">
        <v>61</v>
      </c>
      <c r="B26" s="89"/>
      <c r="C26" s="89"/>
      <c r="D26" s="89"/>
      <c r="E26" s="54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54"/>
    </row>
    <row r="27" spans="1:23" ht="21" customHeight="1" x14ac:dyDescent="0.25">
      <c r="B27" s="56"/>
      <c r="C27" s="57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8"/>
      <c r="R27" s="44"/>
      <c r="S27" s="44"/>
      <c r="T27" s="44"/>
      <c r="U27" s="62"/>
      <c r="V27" s="44"/>
    </row>
    <row r="28" spans="1:23" x14ac:dyDescent="0.25">
      <c r="B28" s="60"/>
      <c r="C28" s="61"/>
    </row>
    <row r="29" spans="1:23" x14ac:dyDescent="0.25">
      <c r="B29" s="60"/>
      <c r="C29" s="61"/>
    </row>
    <row r="30" spans="1:23" x14ac:dyDescent="0.25">
      <c r="B30" s="60"/>
      <c r="C30" s="61"/>
    </row>
    <row r="31" spans="1:23" x14ac:dyDescent="0.25">
      <c r="B31" s="60"/>
      <c r="C31" s="61"/>
    </row>
    <row r="32" spans="1:23" x14ac:dyDescent="0.25">
      <c r="B32" s="60"/>
      <c r="C32" s="61"/>
    </row>
    <row r="33" spans="2:3" x14ac:dyDescent="0.25">
      <c r="B33" s="60"/>
      <c r="C33" s="61"/>
    </row>
    <row r="34" spans="2:3" x14ac:dyDescent="0.25">
      <c r="B34" s="60"/>
      <c r="C34" s="61"/>
    </row>
    <row r="35" spans="2:3" x14ac:dyDescent="0.25">
      <c r="B35" s="60"/>
      <c r="C35" s="61"/>
    </row>
    <row r="36" spans="2:3" x14ac:dyDescent="0.25">
      <c r="B36" s="60"/>
      <c r="C36" s="61"/>
    </row>
    <row r="37" spans="2:3" x14ac:dyDescent="0.25">
      <c r="B37" s="60"/>
      <c r="C37" s="61"/>
    </row>
    <row r="38" spans="2:3" x14ac:dyDescent="0.25">
      <c r="B38" s="60"/>
      <c r="C38" s="61"/>
    </row>
    <row r="39" spans="2:3" x14ac:dyDescent="0.25">
      <c r="B39" s="60"/>
      <c r="C39" s="61"/>
    </row>
    <row r="40" spans="2:3" x14ac:dyDescent="0.25">
      <c r="B40" s="60"/>
      <c r="C40" s="61"/>
    </row>
    <row r="41" spans="2:3" x14ac:dyDescent="0.25">
      <c r="B41" s="60"/>
      <c r="C41" s="61"/>
    </row>
    <row r="42" spans="2:3" x14ac:dyDescent="0.25">
      <c r="B42" s="60"/>
      <c r="C42" s="61"/>
    </row>
    <row r="43" spans="2:3" x14ac:dyDescent="0.25">
      <c r="B43" s="60"/>
      <c r="C43" s="61"/>
    </row>
    <row r="44" spans="2:3" x14ac:dyDescent="0.25">
      <c r="B44" s="60"/>
      <c r="C44" s="61"/>
    </row>
  </sheetData>
  <mergeCells count="19">
    <mergeCell ref="A24:H24"/>
    <mergeCell ref="A25:G25"/>
    <mergeCell ref="A26:D26"/>
    <mergeCell ref="A1:W1"/>
    <mergeCell ref="A2:W2"/>
    <mergeCell ref="A3:V3"/>
    <mergeCell ref="A4:A6"/>
    <mergeCell ref="B4:B7"/>
    <mergeCell ref="C4:D7"/>
    <mergeCell ref="F4:P4"/>
    <mergeCell ref="R4:T5"/>
    <mergeCell ref="U4:U5"/>
    <mergeCell ref="V4:V5"/>
    <mergeCell ref="W4:W7"/>
    <mergeCell ref="F5:H5"/>
    <mergeCell ref="J5:L5"/>
    <mergeCell ref="N5:P5"/>
    <mergeCell ref="U6:U7"/>
    <mergeCell ref="V6:V7"/>
  </mergeCells>
  <pageMargins left="0.7" right="0.7" top="0.75" bottom="0.75" header="0.3" footer="0.3"/>
  <pageSetup paperSize="9" scale="54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7.23</vt:lpstr>
      <vt:lpstr>'7.23'!Print_Area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2018-08-28T06:02:12Z</cp:lastPrinted>
  <dcterms:created xsi:type="dcterms:W3CDTF">2014-03-05T03:36:41Z</dcterms:created>
  <dcterms:modified xsi:type="dcterms:W3CDTF">2018-08-28T06:02:25Z</dcterms:modified>
</cp:coreProperties>
</file>