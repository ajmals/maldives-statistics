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7. EDUCATION\"/>
    </mc:Choice>
  </mc:AlternateContent>
  <bookViews>
    <workbookView xWindow="0" yWindow="0" windowWidth="28800" windowHeight="12330" tabRatio="880"/>
  </bookViews>
  <sheets>
    <sheet name="7.7" sheetId="9" r:id="rId1"/>
  </sheets>
  <definedNames>
    <definedName name="_xlnm.Print_Area" localSheetId="0">'7.7'!$A$1:$Q$48</definedName>
  </definedNames>
  <calcPr calcId="162913"/>
</workbook>
</file>

<file path=xl/calcChain.xml><?xml version="1.0" encoding="utf-8"?>
<calcChain xmlns="http://schemas.openxmlformats.org/spreadsheetml/2006/main">
  <c r="E9" i="9" l="1"/>
  <c r="E18" i="9" l="1"/>
  <c r="D18" i="9"/>
  <c r="H22" i="9" l="1"/>
  <c r="H21" i="9"/>
  <c r="H20" i="9"/>
  <c r="H16" i="9"/>
  <c r="J22" i="9"/>
  <c r="N22" i="9" s="1"/>
  <c r="C22" i="9"/>
  <c r="J21" i="9"/>
  <c r="N21" i="9" s="1"/>
  <c r="C21" i="9"/>
  <c r="J20" i="9"/>
  <c r="N20" i="9" s="1"/>
  <c r="C20" i="9"/>
  <c r="J19" i="9"/>
  <c r="N19" i="9" s="1"/>
  <c r="C19" i="9"/>
  <c r="G19" i="9" s="1"/>
  <c r="L18" i="9"/>
  <c r="K18" i="9"/>
  <c r="J17" i="9"/>
  <c r="N17" i="9" s="1"/>
  <c r="C17" i="9"/>
  <c r="J16" i="9"/>
  <c r="N16" i="9" s="1"/>
  <c r="C16" i="9"/>
  <c r="J15" i="9"/>
  <c r="N15" i="9" s="1"/>
  <c r="C15" i="9"/>
  <c r="J14" i="9"/>
  <c r="N14" i="9" s="1"/>
  <c r="C14" i="9"/>
  <c r="L13" i="9"/>
  <c r="K13" i="9"/>
  <c r="E13" i="9"/>
  <c r="D13" i="9"/>
  <c r="C13" i="9" s="1"/>
  <c r="L12" i="9"/>
  <c r="K12" i="9"/>
  <c r="E12" i="9"/>
  <c r="D12" i="9"/>
  <c r="L11" i="9"/>
  <c r="K11" i="9"/>
  <c r="E11" i="9"/>
  <c r="D11" i="9"/>
  <c r="L10" i="9"/>
  <c r="K10" i="9"/>
  <c r="K8" i="9" s="1"/>
  <c r="E10" i="9"/>
  <c r="D10" i="9"/>
  <c r="L9" i="9"/>
  <c r="K9" i="9"/>
  <c r="D9" i="9"/>
  <c r="C10" i="9" l="1"/>
  <c r="J12" i="9"/>
  <c r="J9" i="9"/>
  <c r="N9" i="9"/>
  <c r="N12" i="9"/>
  <c r="J11" i="9"/>
  <c r="E8" i="9"/>
  <c r="C9" i="9"/>
  <c r="C11" i="9"/>
  <c r="C12" i="9"/>
  <c r="B12" i="9"/>
  <c r="B10" i="9"/>
  <c r="H10" i="9" s="1"/>
  <c r="B18" i="9"/>
  <c r="B11" i="9"/>
  <c r="H11" i="9" s="1"/>
  <c r="B13" i="9"/>
  <c r="G14" i="9"/>
  <c r="H15" i="9"/>
  <c r="B9" i="9"/>
  <c r="H14" i="9"/>
  <c r="G20" i="9"/>
  <c r="N11" i="9"/>
  <c r="L8" i="9"/>
  <c r="J13" i="9"/>
  <c r="N13" i="9" s="1"/>
  <c r="G17" i="9"/>
  <c r="H17" i="9"/>
  <c r="H19" i="9"/>
  <c r="D8" i="9"/>
  <c r="J10" i="9"/>
  <c r="N10" i="9" s="1"/>
  <c r="G22" i="9"/>
  <c r="G16" i="9"/>
  <c r="J18" i="9"/>
  <c r="N18" i="9" s="1"/>
  <c r="G21" i="9"/>
  <c r="G15" i="9"/>
  <c r="C8" i="9" l="1"/>
  <c r="H9" i="9"/>
  <c r="G9" i="9"/>
  <c r="G10" i="9"/>
  <c r="B8" i="9"/>
  <c r="G11" i="9"/>
  <c r="G13" i="9"/>
  <c r="H13" i="9"/>
  <c r="H12" i="9"/>
  <c r="G12" i="9"/>
  <c r="J8" i="9"/>
  <c r="N8" i="9" s="1"/>
  <c r="G8" i="9" l="1"/>
  <c r="H8" i="9"/>
  <c r="H18" i="9" l="1"/>
  <c r="C18" i="9"/>
  <c r="G18" i="9" s="1"/>
</calcChain>
</file>

<file path=xl/sharedStrings.xml><?xml version="1.0" encoding="utf-8"?>
<sst xmlns="http://schemas.openxmlformats.org/spreadsheetml/2006/main" count="70" uniqueCount="47">
  <si>
    <t>Total</t>
  </si>
  <si>
    <t>wlcmuj</t>
  </si>
  <si>
    <t>Republic</t>
  </si>
  <si>
    <t>Male'</t>
  </si>
  <si>
    <t>elWm</t>
  </si>
  <si>
    <t>Atolls</t>
  </si>
  <si>
    <t>cawtuLotwa</t>
  </si>
  <si>
    <t>Source: Ministry of Education</t>
  </si>
  <si>
    <t>cnwxEkuaiDea cfoa IrcTcsinim :ctWrwf ivcaed utWmUluAwm</t>
  </si>
  <si>
    <t>Level</t>
  </si>
  <si>
    <t>cniawtcawscnia</t>
  </si>
  <si>
    <t xml:space="preserve">ejcaWriLum </t>
  </si>
  <si>
    <t>Pre - Primary</t>
  </si>
  <si>
    <t>clUkcs Ircp</t>
  </si>
  <si>
    <t>Primary ( 1 - 7)</t>
  </si>
  <si>
    <r>
      <t xml:space="preserve">                   (7 - 1 ) umIluAwt WSwf                     </t>
    </r>
    <r>
      <rPr>
        <sz val="9"/>
        <rFont val="Win Ahamedey PRB"/>
        <family val="2"/>
      </rPr>
      <t xml:space="preserve"> </t>
    </r>
  </si>
  <si>
    <t>Lower Secondary ( 8 - 10)</t>
  </si>
  <si>
    <r>
      <t xml:space="preserve">           (10 - 8 ) umIluAwt IvwnWX                 </t>
    </r>
    <r>
      <rPr>
        <sz val="9"/>
        <rFont val="Win Ahamedey PRB"/>
        <family val="2"/>
      </rPr>
      <t xml:space="preserve"> </t>
    </r>
  </si>
  <si>
    <t>Higher Secondary ( 11 - 12)</t>
  </si>
  <si>
    <r>
      <t xml:space="preserve">          (12 - 11 )  umIluAwt IvwnWXItwm                 </t>
    </r>
    <r>
      <rPr>
        <sz val="9"/>
        <rFont val="Win Ahamedey PRB"/>
        <family val="2"/>
      </rPr>
      <t xml:space="preserve"> </t>
    </r>
  </si>
  <si>
    <t xml:space="preserve">  cnidukWvwyik cnutwbcsin egcnusircawdum</t>
  </si>
  <si>
    <t>Teachers</t>
  </si>
  <si>
    <t>Student Teacher Ratio</t>
  </si>
  <si>
    <t>iawfivedcnIrcmwt</t>
  </si>
  <si>
    <t>Trained</t>
  </si>
  <si>
    <t xml:space="preserve">No. of teachers </t>
  </si>
  <si>
    <t>udwdwa egcnusircawdum EdWvwyik</t>
  </si>
  <si>
    <t>cnIsEdib</t>
  </si>
  <si>
    <t xml:space="preserve"> cnIrcmwt</t>
  </si>
  <si>
    <t>cnusircawdum</t>
  </si>
  <si>
    <t>udwdwa egcnidukWvwyik</t>
  </si>
  <si>
    <t>Wviawfibil</t>
  </si>
  <si>
    <t>Wvuniawfibil</t>
  </si>
  <si>
    <t>cnihevid</t>
  </si>
  <si>
    <t>% of</t>
  </si>
  <si>
    <t xml:space="preserve">cnwt </t>
  </si>
  <si>
    <t>Untrained</t>
  </si>
  <si>
    <t>Local</t>
  </si>
  <si>
    <t>Expatriate</t>
  </si>
  <si>
    <t>expatriate</t>
  </si>
  <si>
    <t xml:space="preserve">            3. Trained : Have MAB ( Maldives Accreditation Board ) accredited advanced certificate or higher teaching qualification.</t>
  </si>
  <si>
    <t>Note :  1. Teachers does not include supervisors, assistant headmasters, headmasters, assistant principals and principals who may teach in addition to their administrative duties.</t>
  </si>
  <si>
    <t xml:space="preserve">            2. Teacherswho teach different levels have been enumerated in the level the teacher takes most periods.</t>
  </si>
  <si>
    <r>
      <t>No. of students</t>
    </r>
    <r>
      <rPr>
        <b/>
        <vertAlign val="superscript"/>
        <sz val="10"/>
        <rFont val="Calibri"/>
        <family val="2"/>
        <scheme val="minor"/>
      </rPr>
      <t>1_/</t>
    </r>
  </si>
  <si>
    <r>
      <t xml:space="preserve">            4. </t>
    </r>
    <r>
      <rPr>
        <i/>
        <vertAlign val="superscript"/>
        <sz val="9"/>
        <rFont val="Calibri"/>
        <family val="2"/>
        <scheme val="minor"/>
      </rPr>
      <t>1_/:</t>
    </r>
    <r>
      <rPr>
        <i/>
        <sz val="9"/>
        <rFont val="Calibri"/>
        <family val="2"/>
        <scheme val="minor"/>
      </rPr>
      <t xml:space="preserve"> Total number of students in this table does not include children with special needs</t>
    </r>
  </si>
  <si>
    <t>2017 ,udwdwa egcnusircawdum EdWvwyik ,iaWncnidukWvwyik iawgukwtitcnwfikea egukwtuLotwa iaWaelWm :7.7 clwvWt</t>
  </si>
  <si>
    <t>Table 7.7 : STUDENTS AND TEACHERS SERVING AT DIFFERENT LEVELS IN MALE' AND ATOLLS,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</si>
</sst>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A_Randhoo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A_Waheed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b/>
      <sz val="9"/>
      <name val="A_Waheed"/>
    </font>
    <font>
      <i/>
      <sz val="9"/>
      <name val="Calibri"/>
      <family val="2"/>
      <scheme val="minor"/>
    </font>
    <font>
      <b/>
      <sz val="9"/>
      <name val="A_Randhoo"/>
    </font>
    <font>
      <b/>
      <sz val="9"/>
      <color theme="1"/>
      <name val="Calibri"/>
      <family val="2"/>
      <scheme val="minor"/>
    </font>
    <font>
      <sz val="9"/>
      <name val="Win Ahamedey PRB"/>
      <family val="2"/>
    </font>
    <font>
      <sz val="10"/>
      <color theme="1"/>
      <name val="Calibri"/>
      <family val="2"/>
      <scheme val="minor"/>
    </font>
    <font>
      <sz val="10"/>
      <name val="A_Utheem"/>
    </font>
    <font>
      <b/>
      <sz val="10"/>
      <color theme="1"/>
      <name val="Calibri"/>
      <family val="2"/>
      <scheme val="minor"/>
    </font>
    <font>
      <b/>
      <sz val="10"/>
      <name val="A_Utheem"/>
    </font>
    <font>
      <sz val="9"/>
      <name val="A_Utheem"/>
    </font>
    <font>
      <sz val="10"/>
      <name val="MS Sans Serif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vertAlign val="superscript"/>
      <sz val="10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162">
    <xf numFmtId="0" fontId="0" fillId="0" borderId="0"/>
    <xf numFmtId="164" fontId="2" fillId="0" borderId="0"/>
    <xf numFmtId="164" fontId="2" fillId="0" borderId="0"/>
    <xf numFmtId="9" fontId="1" fillId="0" borderId="0" applyFont="0" applyFill="0" applyBorder="0" applyAlignment="0" applyProtection="0"/>
    <xf numFmtId="0" fontId="2" fillId="0" borderId="0"/>
    <xf numFmtId="166" fontId="2" fillId="0" borderId="0"/>
    <xf numFmtId="40" fontId="27" fillId="0" borderId="0" applyFont="0" applyFill="0" applyBorder="0" applyAlignment="0" applyProtection="0"/>
    <xf numFmtId="164" fontId="2" fillId="0" borderId="0"/>
    <xf numFmtId="0" fontId="2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30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33" fillId="0" borderId="0"/>
    <xf numFmtId="171" fontId="2" fillId="0" borderId="0"/>
    <xf numFmtId="0" fontId="27" fillId="0" borderId="0"/>
    <xf numFmtId="0" fontId="27" fillId="0" borderId="0"/>
    <xf numFmtId="171" fontId="2" fillId="0" borderId="0"/>
    <xf numFmtId="0" fontId="27" fillId="0" borderId="0"/>
    <xf numFmtId="0" fontId="27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27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82">
    <xf numFmtId="0" fontId="0" fillId="0" borderId="0" xfId="0"/>
    <xf numFmtId="165" fontId="7" fillId="2" borderId="0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 applyProtection="1">
      <alignment horizontal="right" vertical="center"/>
    </xf>
    <xf numFmtId="165" fontId="4" fillId="2" borderId="1" xfId="0" applyNumberFormat="1" applyFont="1" applyFill="1" applyBorder="1" applyAlignment="1" applyProtection="1">
      <alignment horizontal="right" vertical="center" wrapText="1"/>
    </xf>
    <xf numFmtId="165" fontId="18" fillId="2" borderId="0" xfId="0" applyNumberFormat="1" applyFont="1" applyFill="1" applyAlignment="1" applyProtection="1">
      <alignment horizontal="left" vertical="center"/>
    </xf>
    <xf numFmtId="165" fontId="0" fillId="2" borderId="0" xfId="0" applyNumberFormat="1" applyFill="1"/>
    <xf numFmtId="165" fontId="19" fillId="2" borderId="0" xfId="0" applyNumberFormat="1" applyFont="1" applyFill="1" applyBorder="1" applyAlignment="1">
      <alignment horizontal="right" vertical="center"/>
    </xf>
    <xf numFmtId="165" fontId="19" fillId="2" borderId="0" xfId="0" applyNumberFormat="1" applyFont="1" applyFill="1" applyBorder="1" applyAlignment="1">
      <alignment horizontal="right"/>
    </xf>
    <xf numFmtId="165" fontId="14" fillId="2" borderId="0" xfId="0" applyNumberFormat="1" applyFont="1" applyFill="1" applyAlignment="1">
      <alignment horizontal="left"/>
    </xf>
    <xf numFmtId="165" fontId="14" fillId="2" borderId="1" xfId="0" applyNumberFormat="1" applyFont="1" applyFill="1" applyBorder="1" applyAlignment="1">
      <alignment horizontal="left"/>
    </xf>
    <xf numFmtId="165" fontId="0" fillId="2" borderId="0" xfId="0" applyNumberFormat="1" applyFill="1" applyBorder="1"/>
    <xf numFmtId="165" fontId="17" fillId="2" borderId="0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Border="1" applyAlignment="1">
      <alignment horizontal="right" vertical="center"/>
    </xf>
    <xf numFmtId="165" fontId="9" fillId="2" borderId="0" xfId="0" applyNumberFormat="1" applyFont="1" applyFill="1" applyAlignment="1">
      <alignment horizontal="center" vertical="center"/>
    </xf>
    <xf numFmtId="165" fontId="9" fillId="2" borderId="0" xfId="0" applyNumberFormat="1" applyFont="1" applyFill="1" applyAlignment="1">
      <alignment horizontal="left" vertical="center"/>
    </xf>
    <xf numFmtId="165" fontId="7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right" vertical="center"/>
    </xf>
    <xf numFmtId="165" fontId="23" fillId="2" borderId="0" xfId="0" applyNumberFormat="1" applyFont="1" applyFill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165" fontId="6" fillId="2" borderId="2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165" fontId="17" fillId="2" borderId="0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right" vertical="center"/>
    </xf>
    <xf numFmtId="165" fontId="23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 applyProtection="1">
      <alignment horizontal="right" vertical="center"/>
    </xf>
    <xf numFmtId="0" fontId="6" fillId="2" borderId="2" xfId="0" applyNumberFormat="1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 wrapText="1"/>
    </xf>
    <xf numFmtId="165" fontId="9" fillId="2" borderId="1" xfId="0" applyNumberFormat="1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right" vertical="center"/>
    </xf>
    <xf numFmtId="165" fontId="17" fillId="2" borderId="1" xfId="0" applyNumberFormat="1" applyFont="1" applyFill="1" applyBorder="1" applyAlignment="1">
      <alignment horizontal="right" vertical="center"/>
    </xf>
    <xf numFmtId="165" fontId="13" fillId="2" borderId="0" xfId="0" applyNumberFormat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right" vertical="center"/>
    </xf>
    <xf numFmtId="164" fontId="2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Alignment="1">
      <alignment horizontal="right" vertical="center"/>
    </xf>
    <xf numFmtId="165" fontId="25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14" fillId="2" borderId="0" xfId="0" applyNumberFormat="1" applyFont="1" applyFill="1" applyAlignment="1">
      <alignment horizontal="left" vertical="center"/>
    </xf>
    <xf numFmtId="164" fontId="8" fillId="2" borderId="0" xfId="0" applyNumberFormat="1" applyFont="1" applyFill="1" applyAlignment="1">
      <alignment horizontal="right" vertical="center"/>
    </xf>
    <xf numFmtId="164" fontId="22" fillId="2" borderId="0" xfId="0" applyNumberFormat="1" applyFont="1" applyFill="1" applyAlignment="1">
      <alignment horizontal="right" vertical="center"/>
    </xf>
    <xf numFmtId="164" fontId="14" fillId="2" borderId="0" xfId="0" applyNumberFormat="1" applyFont="1" applyFill="1" applyAlignment="1">
      <alignment horizontal="right" vertical="center"/>
    </xf>
    <xf numFmtId="9" fontId="23" fillId="2" borderId="0" xfId="3" applyFont="1" applyFill="1" applyAlignment="1">
      <alignment horizontal="center" vertical="center"/>
    </xf>
    <xf numFmtId="164" fontId="8" fillId="2" borderId="0" xfId="0" applyNumberFormat="1" applyFont="1" applyFill="1" applyBorder="1" applyAlignment="1">
      <alignment horizontal="right" vertical="center"/>
    </xf>
    <xf numFmtId="165" fontId="9" fillId="2" borderId="0" xfId="0" applyNumberFormat="1" applyFont="1" applyFill="1" applyBorder="1" applyAlignment="1">
      <alignment horizontal="center" vertical="center"/>
    </xf>
    <xf numFmtId="165" fontId="14" fillId="2" borderId="0" xfId="0" applyNumberFormat="1" applyFont="1" applyFill="1" applyBorder="1" applyAlignment="1">
      <alignment horizontal="left"/>
    </xf>
    <xf numFmtId="165" fontId="5" fillId="2" borderId="0" xfId="0" applyNumberFormat="1" applyFont="1" applyFill="1" applyBorder="1" applyAlignment="1">
      <alignment horizontal="right" vertical="center"/>
    </xf>
    <xf numFmtId="165" fontId="16" fillId="2" borderId="0" xfId="0" applyNumberFormat="1" applyFont="1" applyFill="1" applyBorder="1" applyAlignment="1">
      <alignment horizontal="left" vertical="center"/>
    </xf>
    <xf numFmtId="164" fontId="9" fillId="2" borderId="0" xfId="0" applyNumberFormat="1" applyFont="1" applyFill="1" applyAlignment="1">
      <alignment horizontal="right" vertical="center"/>
    </xf>
    <xf numFmtId="165" fontId="18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Alignment="1">
      <alignment horizontal="center"/>
    </xf>
    <xf numFmtId="165" fontId="26" fillId="2" borderId="0" xfId="0" applyNumberFormat="1" applyFont="1" applyFill="1" applyAlignment="1">
      <alignment horizontal="right" vertical="center"/>
    </xf>
    <xf numFmtId="165" fontId="16" fillId="2" borderId="0" xfId="0" applyNumberFormat="1" applyFont="1" applyFill="1" applyAlignment="1">
      <alignment horizontal="left" vertical="center"/>
    </xf>
    <xf numFmtId="165" fontId="2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Border="1"/>
    <xf numFmtId="165" fontId="0" fillId="2" borderId="0" xfId="0" applyNumberFormat="1" applyFill="1"/>
    <xf numFmtId="165" fontId="5" fillId="2" borderId="0" xfId="0" applyNumberFormat="1" applyFont="1" applyFill="1" applyBorder="1" applyAlignment="1">
      <alignment horizontal="center" vertical="center"/>
    </xf>
    <xf numFmtId="165" fontId="13" fillId="2" borderId="0" xfId="0" applyNumberFormat="1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/>
    <xf numFmtId="164" fontId="8" fillId="2" borderId="3" xfId="0" applyNumberFormat="1" applyFont="1" applyFill="1" applyBorder="1" applyAlignment="1">
      <alignment horizontal="right" vertical="center"/>
    </xf>
    <xf numFmtId="164" fontId="22" fillId="2" borderId="3" xfId="0" applyNumberFormat="1" applyFont="1" applyFill="1" applyBorder="1" applyAlignment="1">
      <alignment horizontal="right" vertical="center"/>
    </xf>
    <xf numFmtId="164" fontId="14" fillId="2" borderId="3" xfId="0" applyNumberFormat="1" applyFont="1" applyFill="1" applyBorder="1" applyAlignment="1">
      <alignment horizontal="right" vertical="center"/>
    </xf>
    <xf numFmtId="9" fontId="23" fillId="2" borderId="0" xfId="3" applyFont="1" applyFill="1" applyBorder="1" applyAlignment="1">
      <alignment horizontal="center" vertical="center"/>
    </xf>
    <xf numFmtId="3" fontId="22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Border="1"/>
    <xf numFmtId="3" fontId="8" fillId="2" borderId="0" xfId="0" applyNumberFormat="1" applyFont="1" applyFill="1" applyBorder="1" applyAlignment="1">
      <alignment horizontal="right"/>
    </xf>
    <xf numFmtId="3" fontId="22" fillId="2" borderId="3" xfId="0" applyNumberFormat="1" applyFont="1" applyFill="1" applyBorder="1" applyAlignment="1">
      <alignment horizontal="right" vertical="center"/>
    </xf>
    <xf numFmtId="3" fontId="22" fillId="2" borderId="3" xfId="0" applyNumberFormat="1" applyFont="1" applyFill="1" applyBorder="1"/>
    <xf numFmtId="3" fontId="8" fillId="2" borderId="3" xfId="0" applyNumberFormat="1" applyFont="1" applyFill="1" applyBorder="1"/>
    <xf numFmtId="165" fontId="3" fillId="2" borderId="0" xfId="0" applyNumberFormat="1" applyFont="1" applyFill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left"/>
    </xf>
    <xf numFmtId="165" fontId="11" fillId="2" borderId="0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15" fillId="2" borderId="0" xfId="0" applyNumberFormat="1" applyFont="1" applyFill="1" applyAlignment="1">
      <alignment horizontal="right" vertical="center" indent="1"/>
    </xf>
    <xf numFmtId="165" fontId="15" fillId="2" borderId="0" xfId="0" applyNumberFormat="1" applyFont="1" applyFill="1" applyBorder="1" applyAlignment="1">
      <alignment horizontal="right" vertical="center" indent="1"/>
    </xf>
    <xf numFmtId="165" fontId="15" fillId="2" borderId="3" xfId="0" applyNumberFormat="1" applyFont="1" applyFill="1" applyBorder="1" applyAlignment="1">
      <alignment horizontal="right" vertical="center" indent="1"/>
    </xf>
  </cellXfs>
  <cellStyles count="162">
    <cellStyle name="1" xfId="139"/>
    <cellStyle name="Comma 2" xfId="6"/>
    <cellStyle name="Comma 3" xfId="9"/>
    <cellStyle name="Comma 3 2" xfId="157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2"/>
    <cellStyle name="Normal 6 2" xfId="133"/>
    <cellStyle name="Normal 6 2 2" xfId="153"/>
    <cellStyle name="Normal 6 3" xfId="116"/>
    <cellStyle name="Normal 6 3 2" xfId="159"/>
    <cellStyle name="Normal 6 4" xfId="141"/>
    <cellStyle name="Normal 7" xfId="1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Percent" xfId="3" builtinId="5"/>
    <cellStyle name="Percent 2" xfId="10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447785280092613E-2"/>
          <c:y val="0.16464355278535256"/>
          <c:w val="0.87504954621018494"/>
          <c:h val="0.729874926439506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'7.7'!$K$7</c:f>
              <c:strCache>
                <c:ptCount val="1"/>
                <c:pt idx="0">
                  <c:v>Local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'7.7'!$K$9:$K$12</c:f>
              <c:numCache>
                <c:formatCode>#,##0;[Red]#,##0</c:formatCode>
                <c:ptCount val="4"/>
                <c:pt idx="0">
                  <c:v>1320</c:v>
                </c:pt>
                <c:pt idx="1">
                  <c:v>3869</c:v>
                </c:pt>
                <c:pt idx="2">
                  <c:v>1565</c:v>
                </c:pt>
                <c:pt idx="3">
                  <c:v>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6-46FC-BC33-5BDEF8076CF7}"/>
            </c:ext>
          </c:extLst>
        </c:ser>
        <c:ser>
          <c:idx val="1"/>
          <c:order val="1"/>
          <c:tx>
            <c:strRef>
              <c:f>'7.7'!$L$7</c:f>
              <c:strCache>
                <c:ptCount val="1"/>
                <c:pt idx="0">
                  <c:v>Expatriate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'7.7'!$L$9:$L$12</c:f>
              <c:numCache>
                <c:formatCode>#,##0;[Red]#,##0</c:formatCode>
                <c:ptCount val="4"/>
                <c:pt idx="0">
                  <c:v>32</c:v>
                </c:pt>
                <c:pt idx="1">
                  <c:v>591</c:v>
                </c:pt>
                <c:pt idx="2">
                  <c:v>1263</c:v>
                </c:pt>
                <c:pt idx="3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6-46FC-BC33-5BDEF8076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446016"/>
        <c:axId val="143447552"/>
      </c:barChart>
      <c:catAx>
        <c:axId val="14344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43447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344755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;[Red]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344601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0825041925561176"/>
          <c:y val="0.26385929431657124"/>
          <c:w val="0.2485980547643373"/>
          <c:h val="5.9646080779782666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01" r="0.7500000000000101" t="1" header="0.5" footer="0.5"/>
    <c:pageSetup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283346478967445E-2"/>
          <c:y val="0.19470193081803464"/>
          <c:w val="0.89246215172198518"/>
          <c:h val="0.699498964308980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'7.7'!$D$7</c:f>
              <c:strCache>
                <c:ptCount val="1"/>
                <c:pt idx="0">
                  <c:v>Trained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'7.7'!$D$9:$D$12</c:f>
              <c:numCache>
                <c:formatCode>#,##0;[Red]#,##0</c:formatCode>
                <c:ptCount val="4"/>
                <c:pt idx="0">
                  <c:v>1178</c:v>
                </c:pt>
                <c:pt idx="1">
                  <c:v>4020</c:v>
                </c:pt>
                <c:pt idx="2">
                  <c:v>2728</c:v>
                </c:pt>
                <c:pt idx="3">
                  <c:v>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4-451F-A620-8142C254AD60}"/>
            </c:ext>
          </c:extLst>
        </c:ser>
        <c:ser>
          <c:idx val="1"/>
          <c:order val="1"/>
          <c:tx>
            <c:strRef>
              <c:f>'7.7'!$E$7</c:f>
              <c:strCache>
                <c:ptCount val="1"/>
                <c:pt idx="0">
                  <c:v>Untrained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'7.7'!$A$9:$A$12</c:f>
              <c:strCache>
                <c:ptCount val="4"/>
                <c:pt idx="0">
                  <c:v>Pre - Primary</c:v>
                </c:pt>
                <c:pt idx="1">
                  <c:v>Primary ( 1 - 7)</c:v>
                </c:pt>
                <c:pt idx="2">
                  <c:v>Lower Secondary ( 8 - 10)</c:v>
                </c:pt>
                <c:pt idx="3">
                  <c:v>Higher Secondary ( 11 - 12)</c:v>
                </c:pt>
              </c:strCache>
            </c:strRef>
          </c:cat>
          <c:val>
            <c:numRef>
              <c:f>'7.7'!$E$9:$E$12</c:f>
              <c:numCache>
                <c:formatCode>#,##0;[Red]#,##0</c:formatCode>
                <c:ptCount val="4"/>
                <c:pt idx="0">
                  <c:v>174</c:v>
                </c:pt>
                <c:pt idx="1">
                  <c:v>440</c:v>
                </c:pt>
                <c:pt idx="2">
                  <c:v>100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4-451F-A620-8142C254A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494144"/>
        <c:axId val="143500032"/>
      </c:barChart>
      <c:catAx>
        <c:axId val="14349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43500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350003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;[Red]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3494144"/>
        <c:crosses val="autoZero"/>
        <c:crossBetween val="between"/>
      </c:valAx>
      <c:spPr>
        <a:ln w="635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931142454603333"/>
          <c:y val="0.3001979384932239"/>
          <c:w val="0.24790186621553451"/>
          <c:h val="6.827214016096855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0988" r="0.75000000000000988" t="1" header="0.5" footer="0.5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211903</xdr:colOff>
      <xdr:row>29</xdr:row>
      <xdr:rowOff>115803</xdr:rowOff>
    </xdr:from>
    <xdr:to>
      <xdr:col>6</xdr:col>
      <xdr:colOff>695325</xdr:colOff>
      <xdr:row>47</xdr:row>
      <xdr:rowOff>104775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771862</xdr:colOff>
      <xdr:row>29</xdr:row>
      <xdr:rowOff>110239</xdr:rowOff>
    </xdr:from>
    <xdr:to>
      <xdr:col>14</xdr:col>
      <xdr:colOff>1754894</xdr:colOff>
      <xdr:row>47</xdr:row>
      <xdr:rowOff>90157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657225</xdr:colOff>
      <xdr:row>31</xdr:row>
      <xdr:rowOff>114300</xdr:rowOff>
    </xdr:from>
    <xdr:to>
      <xdr:col>14</xdr:col>
      <xdr:colOff>1304925</xdr:colOff>
      <xdr:row>31</xdr:row>
      <xdr:rowOff>114300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6753225" y="6086475"/>
          <a:ext cx="462915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1114425</xdr:colOff>
      <xdr:row>31</xdr:row>
      <xdr:rowOff>133350</xdr:rowOff>
    </xdr:from>
    <xdr:to>
      <xdr:col>6</xdr:col>
      <xdr:colOff>428625</xdr:colOff>
      <xdr:row>31</xdr:row>
      <xdr:rowOff>133350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1114425" y="6105525"/>
          <a:ext cx="462915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0.00978</cdr:x>
      <cdr:y>0.07194</cdr:y>
    </cdr:from>
    <cdr:to>
      <cdr:x>0.12855</cdr:x>
      <cdr:y>0.14185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6682" y="216978"/>
          <a:ext cx="688630" cy="2108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800"/>
            <a:t>In numbers</a:t>
          </a:r>
        </a:p>
      </cdr:txBody>
    </cdr:sp>
  </cdr:relSizeAnchor>
  <cdr:relSizeAnchor xmlns:cdr="http://schemas.openxmlformats.org/drawingml/2006/chartDrawing">
    <cdr:from>
      <cdr:x>0.15984</cdr:x>
      <cdr:y>0.36946</cdr:y>
    </cdr:from>
    <cdr:to>
      <cdr:x>1</cdr:x>
      <cdr:y>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302571" y="979572"/>
          <a:ext cx="3905250" cy="1619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0.15479</cdr:x>
      <cdr:y>0.0464</cdr:y>
    </cdr:from>
    <cdr:to>
      <cdr:x>0.95807</cdr:x>
      <cdr:y>0.12844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897537" y="141372"/>
          <a:ext cx="4657709" cy="2499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7.6: Number of Local and Expatriate Teachers, 2017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0.00262</cdr:x>
      <cdr:y>0.12642</cdr:y>
    </cdr:from>
    <cdr:to>
      <cdr:x>0.10703</cdr:x>
      <cdr:y>0.17346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044" y="380157"/>
          <a:ext cx="599405" cy="141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700"/>
            <a:t>In numbers</a:t>
          </a:r>
        </a:p>
      </cdr:txBody>
    </cdr:sp>
  </cdr:relSizeAnchor>
  <cdr:relSizeAnchor xmlns:cdr="http://schemas.openxmlformats.org/drawingml/2006/chartDrawing">
    <cdr:from>
      <cdr:x>0.11344</cdr:x>
      <cdr:y>0.0322</cdr:y>
    </cdr:from>
    <cdr:to>
      <cdr:x>0.97382</cdr:x>
      <cdr:y>0.10348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629082" y="108837"/>
          <a:ext cx="4771256" cy="240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7.7: Number of Trained and Untrained Teachers, 2017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46"/>
  <sheetViews>
    <sheetView tabSelected="1" view="pageBreakPreview" zoomScale="124" zoomScaleNormal="100" zoomScaleSheetLayoutView="124" workbookViewId="0">
      <selection activeCell="S21" sqref="S21"/>
    </sheetView>
  </sheetViews>
  <sheetFormatPr defaultColWidth="9.140625" defaultRowHeight="12.75"/>
  <cols>
    <col min="1" max="1" width="22.28515625" style="15" customWidth="1"/>
    <col min="2" max="2" width="17.140625" style="14" customWidth="1"/>
    <col min="3" max="3" width="11.5703125" style="14" customWidth="1"/>
    <col min="4" max="5" width="13.28515625" style="14" customWidth="1"/>
    <col min="6" max="6" width="2.140625" style="14" customWidth="1"/>
    <col min="7" max="7" width="11.7109375" style="14" customWidth="1"/>
    <col min="8" max="8" width="18.85546875" style="14" customWidth="1"/>
    <col min="9" max="9" width="8.7109375" style="14" customWidth="1"/>
    <col min="10" max="10" width="8.42578125" style="14" customWidth="1"/>
    <col min="11" max="11" width="9.42578125" style="14" customWidth="1"/>
    <col min="12" max="12" width="11" style="14" bestFit="1" customWidth="1"/>
    <col min="13" max="13" width="2" style="14" customWidth="1"/>
    <col min="14" max="14" width="9.5703125" style="14" customWidth="1"/>
    <col min="15" max="15" width="23" style="14" customWidth="1"/>
    <col min="16" max="16" width="0.140625" style="14" hidden="1" customWidth="1"/>
    <col min="17" max="17" width="1.28515625" style="14" customWidth="1"/>
    <col min="18" max="21" width="9.85546875" style="14" customWidth="1"/>
    <col min="22" max="23" width="11.140625" style="14" customWidth="1"/>
    <col min="24" max="16384" width="9.140625" style="14"/>
  </cols>
  <sheetData>
    <row r="1" spans="1:23" ht="19.5">
      <c r="A1" s="73" t="s">
        <v>45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56">
        <v>2017</v>
      </c>
      <c r="Q1" s="56"/>
      <c r="R1" s="56"/>
      <c r="S1" s="56"/>
      <c r="T1" s="56"/>
      <c r="U1" s="56"/>
      <c r="V1" s="56"/>
      <c r="W1" s="56"/>
    </row>
    <row r="2" spans="1:23" ht="15">
      <c r="A2" s="76" t="s">
        <v>46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23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</row>
    <row r="4" spans="1:23" ht="15.75">
      <c r="C4" s="61" t="s">
        <v>25</v>
      </c>
      <c r="D4" s="77" t="s">
        <v>26</v>
      </c>
      <c r="E4" s="77"/>
      <c r="F4" s="16"/>
      <c r="G4" s="74" t="s">
        <v>20</v>
      </c>
      <c r="H4" s="74"/>
      <c r="I4" s="16"/>
      <c r="K4" s="16"/>
      <c r="L4" s="17"/>
      <c r="M4" s="17"/>
      <c r="N4" s="18" t="s">
        <v>27</v>
      </c>
      <c r="O4" s="6"/>
      <c r="P4" s="19"/>
      <c r="Q4" s="19"/>
      <c r="R4" s="19"/>
      <c r="S4" s="19"/>
      <c r="T4" s="19"/>
      <c r="U4" s="19"/>
      <c r="V4" s="19"/>
      <c r="W4" s="19"/>
    </row>
    <row r="5" spans="1:23" ht="15.75">
      <c r="C5" s="20"/>
      <c r="D5" s="21" t="s">
        <v>28</v>
      </c>
      <c r="E5" s="21" t="s">
        <v>28</v>
      </c>
      <c r="F5" s="16"/>
      <c r="G5" s="78" t="s">
        <v>22</v>
      </c>
      <c r="H5" s="78"/>
      <c r="I5" s="59"/>
      <c r="J5" s="22" t="s">
        <v>21</v>
      </c>
      <c r="K5" s="23"/>
      <c r="L5" s="17" t="s">
        <v>29</v>
      </c>
      <c r="M5" s="24"/>
      <c r="N5" s="25" t="s">
        <v>10</v>
      </c>
      <c r="O5" s="11"/>
      <c r="P5" s="19"/>
      <c r="Q5" s="19"/>
      <c r="R5" s="19"/>
      <c r="S5" s="19"/>
      <c r="T5" s="19"/>
      <c r="U5" s="19"/>
      <c r="V5" s="19"/>
      <c r="W5" s="19"/>
    </row>
    <row r="6" spans="1:23" ht="15.75">
      <c r="A6" s="60" t="s">
        <v>9</v>
      </c>
      <c r="B6" s="18" t="s">
        <v>30</v>
      </c>
      <c r="C6" s="18" t="s">
        <v>1</v>
      </c>
      <c r="D6" s="18" t="s">
        <v>31</v>
      </c>
      <c r="E6" s="18" t="s">
        <v>32</v>
      </c>
      <c r="F6" s="26"/>
      <c r="G6" s="27" t="s">
        <v>1</v>
      </c>
      <c r="H6" s="18" t="s">
        <v>23</v>
      </c>
      <c r="I6" s="16"/>
      <c r="J6" s="27" t="s">
        <v>1</v>
      </c>
      <c r="K6" s="28" t="s">
        <v>33</v>
      </c>
      <c r="L6" s="21" t="s">
        <v>27</v>
      </c>
      <c r="M6" s="1"/>
      <c r="N6" s="29" t="s">
        <v>34</v>
      </c>
      <c r="O6" s="18" t="s">
        <v>35</v>
      </c>
      <c r="P6" s="19"/>
      <c r="Q6" s="19"/>
      <c r="R6" s="19"/>
      <c r="S6" s="19"/>
      <c r="T6" s="19"/>
      <c r="U6" s="19"/>
      <c r="V6" s="19"/>
      <c r="W6" s="19"/>
    </row>
    <row r="7" spans="1:23" ht="15">
      <c r="A7" s="30"/>
      <c r="B7" s="31" t="s">
        <v>43</v>
      </c>
      <c r="C7" s="31" t="s">
        <v>0</v>
      </c>
      <c r="D7" s="31" t="s">
        <v>24</v>
      </c>
      <c r="E7" s="31" t="s">
        <v>36</v>
      </c>
      <c r="F7" s="61"/>
      <c r="G7" s="2" t="s">
        <v>0</v>
      </c>
      <c r="H7" s="2" t="s">
        <v>24</v>
      </c>
      <c r="I7" s="2"/>
      <c r="J7" s="3" t="s">
        <v>0</v>
      </c>
      <c r="K7" s="31" t="s">
        <v>37</v>
      </c>
      <c r="L7" s="31" t="s">
        <v>38</v>
      </c>
      <c r="M7" s="31"/>
      <c r="N7" s="31" t="s">
        <v>39</v>
      </c>
      <c r="O7" s="32"/>
      <c r="P7" s="19"/>
      <c r="Q7" s="19"/>
      <c r="R7" s="19"/>
      <c r="T7" s="19"/>
      <c r="U7" s="19"/>
      <c r="V7" s="19"/>
      <c r="W7" s="19"/>
    </row>
    <row r="8" spans="1:23" s="39" customFormat="1" ht="15">
      <c r="A8" s="33" t="s">
        <v>2</v>
      </c>
      <c r="B8" s="34">
        <f>SUM(B13+B18)</f>
        <v>87295</v>
      </c>
      <c r="C8" s="35">
        <f>SUM(D8+E8)</f>
        <v>9242</v>
      </c>
      <c r="D8" s="34">
        <f>SUM(D9:D12)</f>
        <v>8509</v>
      </c>
      <c r="E8" s="34">
        <f>SUM(E9:E12)</f>
        <v>733</v>
      </c>
      <c r="F8" s="36"/>
      <c r="G8" s="34">
        <f>B8/C8</f>
        <v>9.4454663492750495</v>
      </c>
      <c r="H8" s="34">
        <f t="shared" ref="H8:H22" si="0">B8/D8</f>
        <v>10.25913738394641</v>
      </c>
      <c r="I8" s="34"/>
      <c r="J8" s="35">
        <f>SUM(K8:L8)</f>
        <v>9242</v>
      </c>
      <c r="K8" s="34">
        <f>SUM(K9:K12)</f>
        <v>7075</v>
      </c>
      <c r="L8" s="34">
        <f>SUM(L9:L12)</f>
        <v>2167</v>
      </c>
      <c r="M8" s="37"/>
      <c r="N8" s="34">
        <f>L8/J8*100</f>
        <v>23.447305777970136</v>
      </c>
      <c r="O8" s="7" t="s">
        <v>11</v>
      </c>
      <c r="P8" s="38"/>
      <c r="Q8" s="38"/>
      <c r="R8" s="38"/>
      <c r="T8" s="38"/>
      <c r="U8" s="38"/>
      <c r="V8" s="38"/>
      <c r="W8" s="38"/>
    </row>
    <row r="9" spans="1:23" ht="15">
      <c r="A9" s="40" t="s">
        <v>12</v>
      </c>
      <c r="B9" s="41">
        <f>B14+B19</f>
        <v>21000</v>
      </c>
      <c r="C9" s="42">
        <f>SUM(D9+E9)</f>
        <v>1352</v>
      </c>
      <c r="D9" s="41">
        <f t="shared" ref="D9:E12" si="1">SUM(D14+D19)</f>
        <v>1178</v>
      </c>
      <c r="E9" s="41">
        <f>SUM(E14+E19)</f>
        <v>174</v>
      </c>
      <c r="F9" s="41"/>
      <c r="G9" s="41">
        <f>B9/C9</f>
        <v>15.532544378698224</v>
      </c>
      <c r="H9" s="41">
        <f>B9/D9</f>
        <v>17.826825127334466</v>
      </c>
      <c r="I9" s="41"/>
      <c r="J9" s="42">
        <f t="shared" ref="J9:J22" si="2">SUM(K9:L9)</f>
        <v>1352</v>
      </c>
      <c r="K9" s="41">
        <f t="shared" ref="K9:L12" si="3">SUM(K14+K19)</f>
        <v>1320</v>
      </c>
      <c r="L9" s="41">
        <f t="shared" si="3"/>
        <v>32</v>
      </c>
      <c r="M9" s="43"/>
      <c r="N9" s="41">
        <f t="shared" ref="N9:N22" si="4">L9/J9*100</f>
        <v>2.3668639053254439</v>
      </c>
      <c r="O9" s="79" t="s">
        <v>13</v>
      </c>
      <c r="P9" s="44"/>
      <c r="Q9" s="66"/>
      <c r="R9" s="66"/>
      <c r="T9" s="44"/>
      <c r="U9" s="44"/>
      <c r="V9" s="44"/>
      <c r="W9" s="44"/>
    </row>
    <row r="10" spans="1:23" ht="15">
      <c r="A10" s="8" t="s">
        <v>14</v>
      </c>
      <c r="B10" s="41">
        <f t="shared" ref="B10:B12" si="5">B15+B20</f>
        <v>45326</v>
      </c>
      <c r="C10" s="42">
        <f>SUM(D10+E10)</f>
        <v>4460</v>
      </c>
      <c r="D10" s="41">
        <f t="shared" si="1"/>
        <v>4020</v>
      </c>
      <c r="E10" s="41">
        <f t="shared" si="1"/>
        <v>440</v>
      </c>
      <c r="F10" s="41"/>
      <c r="G10" s="41">
        <f>B10/C10</f>
        <v>10.162780269058295</v>
      </c>
      <c r="H10" s="41">
        <f t="shared" si="0"/>
        <v>11.275124378109453</v>
      </c>
      <c r="I10" s="41"/>
      <c r="J10" s="42">
        <f t="shared" si="2"/>
        <v>4460</v>
      </c>
      <c r="K10" s="41">
        <f t="shared" si="3"/>
        <v>3869</v>
      </c>
      <c r="L10" s="41">
        <f t="shared" si="3"/>
        <v>591</v>
      </c>
      <c r="M10" s="43"/>
      <c r="N10" s="41">
        <f t="shared" si="4"/>
        <v>13.251121076233183</v>
      </c>
      <c r="O10" s="80" t="s">
        <v>15</v>
      </c>
      <c r="P10" s="44"/>
      <c r="Q10" s="66"/>
      <c r="R10" s="66"/>
      <c r="S10" s="66"/>
      <c r="T10" s="44"/>
      <c r="U10" s="44"/>
      <c r="V10" s="44"/>
      <c r="W10" s="44"/>
    </row>
    <row r="11" spans="1:23" ht="15">
      <c r="A11" s="8" t="s">
        <v>16</v>
      </c>
      <c r="B11" s="41">
        <f t="shared" si="5"/>
        <v>16778</v>
      </c>
      <c r="C11" s="42">
        <f t="shared" ref="C11:C12" si="6">SUM(D11+E11)</f>
        <v>2828</v>
      </c>
      <c r="D11" s="41">
        <f t="shared" si="1"/>
        <v>2728</v>
      </c>
      <c r="E11" s="41">
        <f t="shared" si="1"/>
        <v>100</v>
      </c>
      <c r="F11" s="41"/>
      <c r="G11" s="41">
        <f>B11/C11</f>
        <v>5.9328147100424324</v>
      </c>
      <c r="H11" s="41">
        <f t="shared" si="0"/>
        <v>6.1502932551319649</v>
      </c>
      <c r="I11" s="41"/>
      <c r="J11" s="42">
        <f t="shared" si="2"/>
        <v>2828</v>
      </c>
      <c r="K11" s="41">
        <f t="shared" si="3"/>
        <v>1565</v>
      </c>
      <c r="L11" s="41">
        <f t="shared" si="3"/>
        <v>1263</v>
      </c>
      <c r="M11" s="43"/>
      <c r="N11" s="41">
        <f t="shared" si="4"/>
        <v>44.660537482319661</v>
      </c>
      <c r="O11" s="80" t="s">
        <v>17</v>
      </c>
      <c r="P11" s="44"/>
      <c r="Q11" s="66"/>
      <c r="R11" s="66"/>
      <c r="S11" s="66"/>
      <c r="T11" s="44"/>
      <c r="U11" s="44"/>
      <c r="V11" s="44"/>
      <c r="W11" s="44"/>
    </row>
    <row r="12" spans="1:23" ht="15">
      <c r="A12" s="8" t="s">
        <v>18</v>
      </c>
      <c r="B12" s="41">
        <f t="shared" si="5"/>
        <v>4191</v>
      </c>
      <c r="C12" s="42">
        <f t="shared" si="6"/>
        <v>602</v>
      </c>
      <c r="D12" s="41">
        <f t="shared" si="1"/>
        <v>583</v>
      </c>
      <c r="E12" s="41">
        <f t="shared" si="1"/>
        <v>19</v>
      </c>
      <c r="F12" s="41"/>
      <c r="G12" s="41">
        <f t="shared" ref="G12:G22" si="7">B12/C12</f>
        <v>6.9617940199335546</v>
      </c>
      <c r="H12" s="41">
        <f t="shared" si="0"/>
        <v>7.1886792452830193</v>
      </c>
      <c r="I12" s="41"/>
      <c r="J12" s="42">
        <f t="shared" si="2"/>
        <v>602</v>
      </c>
      <c r="K12" s="41">
        <f t="shared" si="3"/>
        <v>321</v>
      </c>
      <c r="L12" s="41">
        <f t="shared" si="3"/>
        <v>281</v>
      </c>
      <c r="M12" s="43"/>
      <c r="N12" s="41">
        <f t="shared" si="4"/>
        <v>46.677740863787378</v>
      </c>
      <c r="O12" s="80" t="s">
        <v>19</v>
      </c>
      <c r="P12" s="44"/>
      <c r="Q12" s="66"/>
      <c r="R12" s="66"/>
      <c r="S12" s="66"/>
      <c r="T12" s="44"/>
      <c r="U12" s="44"/>
      <c r="V12" s="44"/>
      <c r="W12" s="44"/>
    </row>
    <row r="13" spans="1:23" s="39" customFormat="1" ht="15">
      <c r="A13" s="33" t="s">
        <v>3</v>
      </c>
      <c r="B13" s="34">
        <f>SUM(B14:B17)</f>
        <v>31195</v>
      </c>
      <c r="C13" s="35">
        <f>SUM(D13+E13)</f>
        <v>2553</v>
      </c>
      <c r="D13" s="36">
        <f>SUM(D14:D17)</f>
        <v>2508</v>
      </c>
      <c r="E13" s="36">
        <f>SUM(E14:E17)</f>
        <v>45</v>
      </c>
      <c r="F13" s="34"/>
      <c r="G13" s="34">
        <f t="shared" si="7"/>
        <v>12.218958088523307</v>
      </c>
      <c r="H13" s="34">
        <f t="shared" si="0"/>
        <v>12.438197767145136</v>
      </c>
      <c r="I13" s="34"/>
      <c r="J13" s="35">
        <f t="shared" si="2"/>
        <v>2553</v>
      </c>
      <c r="K13" s="35">
        <f>SUM(K14:K17)</f>
        <v>2151</v>
      </c>
      <c r="L13" s="35">
        <f>SUM(L14:L17)</f>
        <v>402</v>
      </c>
      <c r="M13" s="37"/>
      <c r="N13" s="34">
        <f t="shared" si="4"/>
        <v>15.746180963572268</v>
      </c>
      <c r="O13" s="7" t="s">
        <v>4</v>
      </c>
      <c r="P13" s="44"/>
      <c r="Q13" s="66"/>
      <c r="R13" s="66"/>
      <c r="S13" s="66"/>
      <c r="T13" s="19"/>
      <c r="U13" s="19"/>
      <c r="V13" s="19"/>
      <c r="W13" s="19"/>
    </row>
    <row r="14" spans="1:23" ht="15">
      <c r="A14" s="40" t="s">
        <v>12</v>
      </c>
      <c r="B14" s="41">
        <v>7972</v>
      </c>
      <c r="C14" s="42">
        <f t="shared" ref="C14:C22" si="8">SUM(D14+E14)</f>
        <v>590</v>
      </c>
      <c r="D14" s="45">
        <v>590</v>
      </c>
      <c r="E14" s="62">
        <v>0</v>
      </c>
      <c r="F14" s="41"/>
      <c r="G14" s="41">
        <f t="shared" si="7"/>
        <v>13.511864406779662</v>
      </c>
      <c r="H14" s="41">
        <f t="shared" si="0"/>
        <v>13.511864406779662</v>
      </c>
      <c r="I14" s="41"/>
      <c r="J14" s="42">
        <f t="shared" si="2"/>
        <v>590</v>
      </c>
      <c r="K14" s="42">
        <v>560</v>
      </c>
      <c r="L14" s="42">
        <v>30</v>
      </c>
      <c r="M14" s="43"/>
      <c r="N14" s="41">
        <f t="shared" si="4"/>
        <v>5.0847457627118651</v>
      </c>
      <c r="O14" s="79" t="s">
        <v>13</v>
      </c>
      <c r="P14" s="44"/>
      <c r="Q14" s="66"/>
      <c r="R14" s="66"/>
      <c r="S14" s="66"/>
      <c r="T14" s="19"/>
      <c r="U14" s="19"/>
      <c r="V14" s="19"/>
      <c r="W14" s="19"/>
    </row>
    <row r="15" spans="1:23" ht="15">
      <c r="A15" s="8" t="s">
        <v>14</v>
      </c>
      <c r="B15" s="41">
        <v>15433</v>
      </c>
      <c r="C15" s="42">
        <f t="shared" si="8"/>
        <v>1189</v>
      </c>
      <c r="D15" s="45">
        <v>1147</v>
      </c>
      <c r="E15" s="62">
        <v>42</v>
      </c>
      <c r="F15" s="41"/>
      <c r="G15" s="41">
        <f t="shared" si="7"/>
        <v>12.979814970563499</v>
      </c>
      <c r="H15" s="41">
        <f t="shared" si="0"/>
        <v>13.455100261551875</v>
      </c>
      <c r="I15" s="41"/>
      <c r="J15" s="42">
        <f t="shared" si="2"/>
        <v>1189</v>
      </c>
      <c r="K15" s="42">
        <v>1020</v>
      </c>
      <c r="L15" s="42">
        <v>169</v>
      </c>
      <c r="M15" s="43"/>
      <c r="N15" s="41">
        <f t="shared" si="4"/>
        <v>14.213624894869639</v>
      </c>
      <c r="O15" s="80" t="s">
        <v>15</v>
      </c>
      <c r="P15" s="44"/>
      <c r="Q15" s="66"/>
      <c r="R15" s="66"/>
      <c r="S15" s="66"/>
      <c r="T15" s="19"/>
      <c r="U15" s="19"/>
      <c r="V15" s="19"/>
      <c r="W15" s="19"/>
    </row>
    <row r="16" spans="1:23" ht="15">
      <c r="A16" s="8" t="s">
        <v>16</v>
      </c>
      <c r="B16" s="41">
        <v>5335</v>
      </c>
      <c r="C16" s="42">
        <f t="shared" si="8"/>
        <v>600</v>
      </c>
      <c r="D16" s="45">
        <v>598</v>
      </c>
      <c r="E16" s="62">
        <v>2</v>
      </c>
      <c r="F16" s="41"/>
      <c r="G16" s="41">
        <f t="shared" si="7"/>
        <v>8.8916666666666675</v>
      </c>
      <c r="H16" s="41">
        <f t="shared" si="0"/>
        <v>8.9214046822742468</v>
      </c>
      <c r="I16" s="41"/>
      <c r="J16" s="42">
        <f t="shared" si="2"/>
        <v>600</v>
      </c>
      <c r="K16" s="42">
        <v>455</v>
      </c>
      <c r="L16" s="42">
        <v>145</v>
      </c>
      <c r="M16" s="43"/>
      <c r="N16" s="41">
        <f t="shared" si="4"/>
        <v>24.166666666666668</v>
      </c>
      <c r="O16" s="80" t="s">
        <v>17</v>
      </c>
      <c r="P16" s="44"/>
      <c r="Q16" s="66"/>
      <c r="R16" s="66"/>
      <c r="S16" s="66"/>
      <c r="T16" s="19"/>
      <c r="U16" s="19"/>
      <c r="V16" s="19"/>
      <c r="W16" s="19"/>
    </row>
    <row r="17" spans="1:31" s="46" customFormat="1" ht="15.2" customHeight="1">
      <c r="A17" s="8" t="s">
        <v>18</v>
      </c>
      <c r="B17" s="41">
        <v>2455</v>
      </c>
      <c r="C17" s="42">
        <f t="shared" si="8"/>
        <v>174</v>
      </c>
      <c r="D17" s="41">
        <v>173</v>
      </c>
      <c r="E17" s="41">
        <v>1</v>
      </c>
      <c r="F17" s="45"/>
      <c r="G17" s="41">
        <f t="shared" si="7"/>
        <v>14.10919540229885</v>
      </c>
      <c r="H17" s="41">
        <f t="shared" si="0"/>
        <v>14.190751445086706</v>
      </c>
      <c r="I17" s="41"/>
      <c r="J17" s="42">
        <f t="shared" si="2"/>
        <v>174</v>
      </c>
      <c r="K17" s="42">
        <v>116</v>
      </c>
      <c r="L17" s="42">
        <v>58</v>
      </c>
      <c r="M17" s="13"/>
      <c r="N17" s="41">
        <f t="shared" si="4"/>
        <v>33.333333333333329</v>
      </c>
      <c r="O17" s="80" t="s">
        <v>19</v>
      </c>
      <c r="P17" s="19"/>
      <c r="Q17" s="26"/>
      <c r="R17" s="26"/>
      <c r="S17" s="26"/>
      <c r="T17" s="19"/>
      <c r="U17" s="19"/>
      <c r="V17" s="19"/>
      <c r="W17" s="19"/>
    </row>
    <row r="18" spans="1:31" s="39" customFormat="1" ht="14.25" customHeight="1">
      <c r="A18" s="33" t="s">
        <v>5</v>
      </c>
      <c r="B18" s="34">
        <f>SUM(B19:B22)</f>
        <v>56100</v>
      </c>
      <c r="C18" s="35">
        <f t="shared" si="8"/>
        <v>6689</v>
      </c>
      <c r="D18" s="36">
        <f>SUM(D19:D22)</f>
        <v>6001</v>
      </c>
      <c r="E18" s="36">
        <f>SUM(E19:E22)</f>
        <v>688</v>
      </c>
      <c r="F18" s="34"/>
      <c r="G18" s="34">
        <f t="shared" si="7"/>
        <v>8.3869038720287037</v>
      </c>
      <c r="H18" s="34">
        <f t="shared" si="0"/>
        <v>9.3484419263456093</v>
      </c>
      <c r="I18" s="34"/>
      <c r="J18" s="35">
        <f t="shared" si="2"/>
        <v>6689</v>
      </c>
      <c r="K18" s="34">
        <f>SUM(K19:K22)</f>
        <v>4924</v>
      </c>
      <c r="L18" s="34">
        <f>SUM(L19:L22)</f>
        <v>1765</v>
      </c>
      <c r="M18" s="37"/>
      <c r="N18" s="34">
        <f t="shared" si="4"/>
        <v>26.386604873673196</v>
      </c>
      <c r="O18" s="7" t="s">
        <v>6</v>
      </c>
      <c r="P18" s="19"/>
      <c r="Q18" s="26"/>
      <c r="R18" s="26"/>
      <c r="S18" s="26"/>
      <c r="T18" s="19"/>
      <c r="U18" s="19"/>
      <c r="V18" s="19"/>
      <c r="W18" s="19"/>
    </row>
    <row r="19" spans="1:31" ht="13.7" customHeight="1">
      <c r="A19" s="40" t="s">
        <v>12</v>
      </c>
      <c r="B19" s="41">
        <v>13028</v>
      </c>
      <c r="C19" s="42">
        <f t="shared" si="8"/>
        <v>762</v>
      </c>
      <c r="D19" s="45">
        <v>588</v>
      </c>
      <c r="E19" s="45">
        <v>174</v>
      </c>
      <c r="F19" s="41"/>
      <c r="G19" s="41">
        <f>B19/C19</f>
        <v>17.097112860892388</v>
      </c>
      <c r="H19" s="41">
        <f t="shared" si="0"/>
        <v>22.156462585034014</v>
      </c>
      <c r="I19" s="41"/>
      <c r="J19" s="67">
        <f t="shared" si="2"/>
        <v>762</v>
      </c>
      <c r="K19" s="68">
        <v>760</v>
      </c>
      <c r="L19" s="69">
        <v>2</v>
      </c>
      <c r="M19" s="43"/>
      <c r="N19" s="41">
        <f t="shared" si="4"/>
        <v>0.26246719160104987</v>
      </c>
      <c r="O19" s="80" t="s">
        <v>13</v>
      </c>
      <c r="P19" s="19"/>
      <c r="Q19" s="19"/>
      <c r="R19" s="19"/>
      <c r="S19" s="19"/>
      <c r="T19" s="19"/>
      <c r="U19" s="19"/>
      <c r="V19" s="19"/>
      <c r="W19" s="19"/>
    </row>
    <row r="20" spans="1:31" ht="15">
      <c r="A20" s="47" t="s">
        <v>14</v>
      </c>
      <c r="B20" s="41">
        <v>29893</v>
      </c>
      <c r="C20" s="42">
        <f t="shared" si="8"/>
        <v>3271</v>
      </c>
      <c r="D20" s="45">
        <v>2873</v>
      </c>
      <c r="E20" s="45">
        <v>398</v>
      </c>
      <c r="F20" s="45"/>
      <c r="G20" s="41">
        <f t="shared" si="7"/>
        <v>9.1387954753897898</v>
      </c>
      <c r="H20" s="41">
        <f t="shared" si="0"/>
        <v>10.404803341454926</v>
      </c>
      <c r="I20" s="45"/>
      <c r="J20" s="67">
        <f t="shared" si="2"/>
        <v>3271</v>
      </c>
      <c r="K20" s="68">
        <v>2849</v>
      </c>
      <c r="L20" s="57">
        <v>422</v>
      </c>
      <c r="M20" s="13"/>
      <c r="N20" s="41">
        <f t="shared" si="4"/>
        <v>12.901253439315195</v>
      </c>
      <c r="O20" s="80" t="s">
        <v>15</v>
      </c>
      <c r="P20" s="19"/>
      <c r="Q20" s="19"/>
      <c r="R20" s="19"/>
      <c r="S20" s="19"/>
      <c r="T20" s="19"/>
      <c r="U20" s="19"/>
      <c r="V20" s="19"/>
      <c r="W20" s="19"/>
    </row>
    <row r="21" spans="1:31" ht="15">
      <c r="A21" s="47" t="s">
        <v>16</v>
      </c>
      <c r="B21" s="41">
        <v>11443</v>
      </c>
      <c r="C21" s="42">
        <f t="shared" si="8"/>
        <v>2228</v>
      </c>
      <c r="D21" s="45">
        <v>2130</v>
      </c>
      <c r="E21" s="45">
        <v>98</v>
      </c>
      <c r="F21" s="45"/>
      <c r="G21" s="41">
        <f t="shared" si="7"/>
        <v>5.1359964093357275</v>
      </c>
      <c r="H21" s="41">
        <f t="shared" si="0"/>
        <v>5.3723004694835677</v>
      </c>
      <c r="I21" s="45"/>
      <c r="J21" s="67">
        <f t="shared" si="2"/>
        <v>2228</v>
      </c>
      <c r="K21" s="68">
        <v>1110</v>
      </c>
      <c r="L21" s="57">
        <v>1118</v>
      </c>
      <c r="M21" s="13"/>
      <c r="N21" s="41">
        <f t="shared" si="4"/>
        <v>50.179533213644525</v>
      </c>
      <c r="O21" s="80" t="s">
        <v>17</v>
      </c>
      <c r="P21" s="19"/>
      <c r="Q21" s="19"/>
      <c r="R21" s="19"/>
      <c r="S21" s="19"/>
      <c r="T21" s="19"/>
      <c r="U21" s="19"/>
      <c r="V21" s="19"/>
      <c r="W21" s="19"/>
      <c r="X21" s="58"/>
      <c r="Y21" s="48"/>
      <c r="Z21" s="48"/>
      <c r="AA21" s="58"/>
      <c r="AB21" s="58"/>
      <c r="AC21" s="59"/>
      <c r="AD21" s="59"/>
      <c r="AE21" s="58"/>
    </row>
    <row r="22" spans="1:31" s="46" customFormat="1" ht="15">
      <c r="A22" s="9" t="s">
        <v>18</v>
      </c>
      <c r="B22" s="63">
        <v>1736</v>
      </c>
      <c r="C22" s="64">
        <f t="shared" si="8"/>
        <v>428</v>
      </c>
      <c r="D22" s="63">
        <v>410</v>
      </c>
      <c r="E22" s="63">
        <v>18</v>
      </c>
      <c r="F22" s="63"/>
      <c r="G22" s="63">
        <f t="shared" si="7"/>
        <v>4.05607476635514</v>
      </c>
      <c r="H22" s="63">
        <f t="shared" si="0"/>
        <v>4.2341463414634148</v>
      </c>
      <c r="I22" s="63"/>
      <c r="J22" s="70">
        <f t="shared" si="2"/>
        <v>428</v>
      </c>
      <c r="K22" s="71">
        <v>205</v>
      </c>
      <c r="L22" s="72">
        <v>223</v>
      </c>
      <c r="M22" s="65"/>
      <c r="N22" s="63">
        <f t="shared" si="4"/>
        <v>52.10280373831776</v>
      </c>
      <c r="O22" s="81" t="s">
        <v>19</v>
      </c>
      <c r="P22" s="19"/>
      <c r="Q22" s="19"/>
      <c r="R22" s="19"/>
      <c r="S22" s="19"/>
      <c r="T22" s="19"/>
      <c r="U22" s="19"/>
      <c r="V22" s="19"/>
      <c r="W22" s="19"/>
      <c r="X22" s="49"/>
      <c r="Y22" s="50"/>
      <c r="Z22" s="50"/>
      <c r="AA22" s="10"/>
      <c r="AB22" s="49"/>
      <c r="AC22" s="50"/>
      <c r="AD22" s="50"/>
      <c r="AE22" s="10"/>
    </row>
    <row r="23" spans="1:31" ht="15">
      <c r="A23" s="4" t="s">
        <v>7</v>
      </c>
      <c r="D23" s="53"/>
      <c r="E23" s="52"/>
      <c r="G23" s="12"/>
      <c r="O23" s="54" t="s">
        <v>8</v>
      </c>
      <c r="P23" s="19"/>
      <c r="Q23" s="19"/>
      <c r="R23" s="19"/>
      <c r="S23" s="19"/>
      <c r="T23" s="19"/>
      <c r="U23" s="19"/>
      <c r="V23" s="19"/>
      <c r="W23" s="19"/>
      <c r="X23" s="55"/>
      <c r="Y23" s="50"/>
      <c r="Z23" s="41"/>
      <c r="AA23" s="41"/>
      <c r="AB23" s="55"/>
      <c r="AC23" s="50"/>
      <c r="AD23" s="50"/>
      <c r="AE23" s="58"/>
    </row>
    <row r="24" spans="1:31" ht="15">
      <c r="A24" s="51" t="s">
        <v>41</v>
      </c>
      <c r="E24" s="52"/>
      <c r="G24" s="12"/>
      <c r="Z24" s="41"/>
      <c r="AA24" s="41"/>
      <c r="AE24" s="58"/>
    </row>
    <row r="25" spans="1:31" ht="15">
      <c r="A25" s="51" t="s">
        <v>42</v>
      </c>
      <c r="E25" s="52"/>
      <c r="G25" s="12"/>
      <c r="Z25" s="41"/>
      <c r="AA25" s="41"/>
      <c r="AE25" s="58"/>
    </row>
    <row r="26" spans="1:31" ht="15">
      <c r="A26" s="51" t="s">
        <v>40</v>
      </c>
      <c r="F26" s="53"/>
      <c r="G26" s="53"/>
      <c r="H26" s="53"/>
      <c r="I26" s="53"/>
      <c r="J26" s="53"/>
      <c r="K26" s="53"/>
      <c r="L26" s="53"/>
      <c r="M26" s="53"/>
      <c r="N26" s="53"/>
      <c r="X26" s="58"/>
      <c r="Y26" s="58"/>
      <c r="Z26" s="41"/>
      <c r="AA26" s="41"/>
      <c r="AB26" s="58"/>
      <c r="AC26" s="58"/>
      <c r="AD26" s="58"/>
      <c r="AE26" s="58"/>
    </row>
    <row r="27" spans="1:31" ht="15">
      <c r="A27" s="51" t="s">
        <v>44</v>
      </c>
      <c r="X27" s="58"/>
      <c r="Y27" s="58"/>
      <c r="Z27" s="41"/>
      <c r="AA27" s="41"/>
      <c r="AB27" s="58"/>
      <c r="AC27" s="58"/>
      <c r="AD27" s="58"/>
      <c r="AE27" s="58"/>
    </row>
    <row r="28" spans="1:31" ht="15">
      <c r="A28" s="51"/>
      <c r="D28" s="75"/>
      <c r="E28" s="75"/>
      <c r="F28" s="75"/>
      <c r="G28" s="75"/>
      <c r="H28" s="75"/>
      <c r="X28" s="58"/>
      <c r="Y28" s="58"/>
      <c r="Z28" s="58"/>
      <c r="AA28" s="58"/>
      <c r="AB28" s="58"/>
      <c r="AC28" s="58"/>
      <c r="AD28" s="58"/>
      <c r="AE28" s="58"/>
    </row>
    <row r="29" spans="1:31" ht="15" hidden="1">
      <c r="A29" s="51"/>
      <c r="D29" s="75"/>
      <c r="E29" s="75"/>
      <c r="F29" s="75"/>
      <c r="G29" s="75"/>
      <c r="H29" s="75"/>
      <c r="X29" s="5"/>
      <c r="Y29" s="5"/>
      <c r="Z29" s="5"/>
      <c r="AA29" s="5"/>
      <c r="AB29" s="5"/>
      <c r="AC29" s="5"/>
      <c r="AD29" s="5"/>
      <c r="AE29" s="5"/>
    </row>
    <row r="30" spans="1:31" ht="15">
      <c r="X30" s="5"/>
      <c r="Y30" s="5"/>
      <c r="Z30" s="5"/>
      <c r="AA30" s="5"/>
      <c r="AB30" s="5"/>
      <c r="AC30" s="5"/>
      <c r="AD30" s="5"/>
      <c r="AE30" s="5"/>
    </row>
    <row r="31" spans="1:31" ht="15">
      <c r="X31" s="5"/>
      <c r="Y31" s="5"/>
      <c r="Z31" s="5"/>
      <c r="AA31" s="5"/>
      <c r="AB31" s="5"/>
      <c r="AC31" s="5"/>
      <c r="AD31" s="5"/>
      <c r="AE31" s="5"/>
    </row>
    <row r="32" spans="1:31" ht="15">
      <c r="X32" s="58"/>
      <c r="Y32" s="58"/>
      <c r="Z32" s="58"/>
      <c r="AA32" s="58"/>
      <c r="AB32" s="58"/>
      <c r="AC32" s="58"/>
      <c r="AD32" s="58"/>
      <c r="AE32" s="58"/>
    </row>
    <row r="33" spans="24:31" ht="15">
      <c r="X33" s="58"/>
      <c r="Y33" s="58"/>
      <c r="Z33" s="58"/>
      <c r="AA33" s="58"/>
      <c r="AB33" s="58"/>
      <c r="AC33" s="58"/>
      <c r="AD33" s="58"/>
      <c r="AE33" s="58"/>
    </row>
    <row r="34" spans="24:31" ht="15">
      <c r="X34" s="58"/>
      <c r="Y34" s="58"/>
      <c r="Z34" s="58"/>
      <c r="AA34" s="58"/>
      <c r="AB34" s="58"/>
      <c r="AC34" s="58"/>
      <c r="AD34" s="58"/>
      <c r="AE34" s="58"/>
    </row>
    <row r="35" spans="24:31" ht="15">
      <c r="X35" s="58"/>
      <c r="Y35" s="58"/>
      <c r="Z35" s="58"/>
      <c r="AA35" s="58"/>
      <c r="AB35" s="58"/>
      <c r="AC35" s="58"/>
      <c r="AD35" s="58"/>
      <c r="AE35" s="58"/>
    </row>
    <row r="36" spans="24:31" ht="15">
      <c r="X36" s="58"/>
      <c r="Y36" s="58"/>
      <c r="Z36" s="58"/>
      <c r="AA36" s="58"/>
      <c r="AB36" s="58"/>
      <c r="AC36" s="58"/>
      <c r="AD36" s="58"/>
      <c r="AE36" s="58"/>
    </row>
    <row r="37" spans="24:31" ht="15">
      <c r="X37" s="58"/>
      <c r="Y37" s="58"/>
      <c r="Z37" s="58"/>
      <c r="AA37" s="58"/>
      <c r="AB37" s="58"/>
      <c r="AC37" s="58"/>
      <c r="AD37" s="58"/>
      <c r="AE37" s="58"/>
    </row>
    <row r="38" spans="24:31" ht="15">
      <c r="X38" s="58"/>
      <c r="Y38" s="58"/>
      <c r="Z38" s="58"/>
      <c r="AA38" s="58"/>
      <c r="AB38" s="58"/>
      <c r="AC38" s="58"/>
      <c r="AD38" s="58"/>
      <c r="AE38" s="58"/>
    </row>
    <row r="39" spans="24:31" ht="15">
      <c r="X39" s="58"/>
      <c r="Y39" s="58"/>
      <c r="Z39" s="58"/>
      <c r="AA39" s="58"/>
      <c r="AB39" s="58"/>
      <c r="AC39" s="58"/>
      <c r="AD39" s="58"/>
      <c r="AE39" s="58"/>
    </row>
    <row r="40" spans="24:31" ht="15">
      <c r="X40" s="58"/>
      <c r="Y40" s="58"/>
      <c r="Z40" s="58"/>
      <c r="AA40" s="58"/>
      <c r="AB40" s="58"/>
      <c r="AC40" s="58"/>
      <c r="AD40" s="58"/>
      <c r="AE40" s="58"/>
    </row>
    <row r="41" spans="24:31" ht="15">
      <c r="X41" s="58"/>
      <c r="Y41" s="58"/>
      <c r="Z41" s="58"/>
      <c r="AA41" s="58"/>
      <c r="AB41" s="58"/>
      <c r="AC41" s="58"/>
      <c r="AD41" s="58"/>
      <c r="AE41" s="58"/>
    </row>
    <row r="42" spans="24:31" ht="15">
      <c r="X42" s="58"/>
      <c r="Y42" s="58"/>
      <c r="Z42" s="58"/>
      <c r="AA42" s="58"/>
      <c r="AB42" s="58"/>
      <c r="AC42" s="58"/>
      <c r="AD42" s="58"/>
      <c r="AE42" s="58"/>
    </row>
    <row r="43" spans="24:31" ht="15">
      <c r="X43" s="58"/>
      <c r="Y43" s="58"/>
      <c r="Z43" s="58"/>
      <c r="AA43" s="58"/>
      <c r="AB43" s="58"/>
      <c r="AC43" s="58"/>
      <c r="AD43" s="58"/>
      <c r="AE43" s="58"/>
    </row>
    <row r="44" spans="24:31" ht="15">
      <c r="X44" s="58"/>
      <c r="Y44" s="58"/>
      <c r="Z44" s="58"/>
      <c r="AA44" s="58"/>
      <c r="AB44" s="58"/>
      <c r="AC44" s="58"/>
      <c r="AD44" s="58"/>
      <c r="AE44" s="58"/>
    </row>
    <row r="45" spans="24:31" ht="15">
      <c r="X45" s="58"/>
      <c r="Y45" s="58"/>
      <c r="Z45" s="58"/>
      <c r="AA45" s="58"/>
      <c r="AB45" s="58"/>
      <c r="AC45" s="58"/>
      <c r="AD45" s="58"/>
      <c r="AE45" s="58"/>
    </row>
    <row r="46" spans="24:31" ht="15">
      <c r="X46" s="58"/>
      <c r="Y46" s="58"/>
      <c r="Z46" s="58"/>
      <c r="AA46" s="58"/>
      <c r="AB46" s="58"/>
      <c r="AC46" s="58"/>
      <c r="AD46" s="58"/>
      <c r="AE46" s="58"/>
    </row>
  </sheetData>
  <mergeCells count="7">
    <mergeCell ref="D29:H29"/>
    <mergeCell ref="D28:H28"/>
    <mergeCell ref="A1:O1"/>
    <mergeCell ref="A2:O2"/>
    <mergeCell ref="D4:E4"/>
    <mergeCell ref="G4:H4"/>
    <mergeCell ref="G5:H5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7.7</vt:lpstr>
      <vt:lpstr>'7.7'!Print_Area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2018-04-18T04:35:20Z</cp:lastPrinted>
  <dcterms:created xsi:type="dcterms:W3CDTF">2014-03-05T03:36:41Z</dcterms:created>
  <dcterms:modified xsi:type="dcterms:W3CDTF">2018-04-18T04:38:14Z</dcterms:modified>
</cp:coreProperties>
</file>