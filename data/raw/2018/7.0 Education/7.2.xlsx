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2" sheetId="4" r:id="rId1"/>
  </sheets>
  <definedNames>
    <definedName name="_xlnm.Print_Area" localSheetId="0">'7.2'!$A$1:$K$43</definedName>
  </definedNames>
  <calcPr calcId="162913"/>
</workbook>
</file>

<file path=xl/calcChain.xml><?xml version="1.0" encoding="utf-8"?>
<calcChain xmlns="http://schemas.openxmlformats.org/spreadsheetml/2006/main">
  <c r="C12" i="4" l="1"/>
  <c r="B24" i="4"/>
  <c r="B23" i="4"/>
  <c r="B22" i="4"/>
  <c r="C11" i="4"/>
  <c r="B20" i="4"/>
  <c r="C8" i="4"/>
  <c r="D12" i="4"/>
  <c r="D11" i="4"/>
  <c r="D10" i="4"/>
  <c r="B21" i="4"/>
  <c r="D9" i="4"/>
  <c r="D8" i="4"/>
  <c r="B16" i="4"/>
  <c r="B14" i="4"/>
  <c r="C10" i="4"/>
  <c r="C9" i="4"/>
  <c r="C19" i="4"/>
  <c r="D19" i="4"/>
  <c r="B15" i="4"/>
  <c r="D13" i="4"/>
  <c r="B17" i="4"/>
  <c r="C13" i="4"/>
  <c r="B18" i="4"/>
  <c r="P11" i="4" l="1"/>
  <c r="G8" i="4"/>
  <c r="B9" i="4"/>
  <c r="B11" i="4"/>
  <c r="B12" i="4"/>
  <c r="B19" i="4"/>
  <c r="C7" i="4"/>
  <c r="D7" i="4"/>
  <c r="B13" i="4"/>
  <c r="B10" i="4"/>
  <c r="B8" i="4"/>
  <c r="B7" i="4" l="1"/>
  <c r="F8" i="4" s="1"/>
  <c r="I7" i="4" l="1"/>
  <c r="I15" i="4" l="1"/>
  <c r="I18" i="4"/>
  <c r="G19" i="4"/>
  <c r="I14" i="4"/>
  <c r="I17" i="4"/>
  <c r="H23" i="4"/>
  <c r="I16" i="4"/>
  <c r="I21" i="4" l="1"/>
  <c r="H16" i="4"/>
  <c r="G14" i="4"/>
  <c r="G21" i="4"/>
  <c r="H18" i="4"/>
  <c r="G22" i="4"/>
  <c r="H15" i="4"/>
  <c r="G20" i="4"/>
  <c r="H14" i="4"/>
  <c r="G15" i="4"/>
  <c r="H22" i="4"/>
  <c r="G23" i="4"/>
  <c r="H20" i="4"/>
  <c r="H24" i="4"/>
  <c r="G24" i="4"/>
  <c r="H21" i="4"/>
  <c r="I20" i="4"/>
  <c r="H19" i="4"/>
  <c r="I12" i="4"/>
  <c r="H17" i="4"/>
  <c r="I11" i="4"/>
  <c r="G7" i="4"/>
  <c r="I23" i="4"/>
  <c r="I13" i="4"/>
  <c r="F19" i="4"/>
  <c r="H13" i="4"/>
  <c r="I22" i="4"/>
  <c r="I24" i="4"/>
  <c r="G18" i="4"/>
  <c r="G13" i="4"/>
  <c r="G16" i="4"/>
  <c r="G17" i="4"/>
  <c r="H10" i="4"/>
  <c r="I10" i="4"/>
  <c r="F23" i="4" l="1"/>
  <c r="F20" i="4"/>
  <c r="F22" i="4"/>
  <c r="F24" i="4"/>
  <c r="F21" i="4"/>
  <c r="G12" i="4"/>
  <c r="G10" i="4"/>
  <c r="G9" i="4"/>
  <c r="H11" i="4"/>
  <c r="I9" i="4"/>
  <c r="H12" i="4"/>
  <c r="H9" i="4"/>
  <c r="G11" i="4"/>
  <c r="H8" i="4"/>
  <c r="I8" i="4"/>
  <c r="F7" i="4"/>
  <c r="I19" i="4"/>
  <c r="F13" i="4"/>
  <c r="F14" i="4"/>
  <c r="F15" i="4"/>
  <c r="F18" i="4"/>
  <c r="F17" i="4"/>
  <c r="H7" i="4"/>
  <c r="F16" i="4"/>
  <c r="F11" i="4" l="1"/>
  <c r="F9" i="4"/>
  <c r="F12" i="4"/>
  <c r="F10" i="4"/>
  <c r="Q15" i="4" l="1"/>
  <c r="P13" i="4"/>
  <c r="P12" i="4"/>
  <c r="P15" i="4" l="1"/>
  <c r="Q14" i="4"/>
  <c r="Q11" i="4"/>
  <c r="P14" i="4"/>
  <c r="Q12" i="4"/>
  <c r="Q13" i="4"/>
</calcChain>
</file>

<file path=xl/sharedStrings.xml><?xml version="1.0" encoding="utf-8"?>
<sst xmlns="http://schemas.openxmlformats.org/spreadsheetml/2006/main" count="70" uniqueCount="40">
  <si>
    <t>cnehirif</t>
  </si>
  <si>
    <t>cnehcnwa</t>
  </si>
  <si>
    <t>Both Sexes</t>
  </si>
  <si>
    <t>Male</t>
  </si>
  <si>
    <t>Female</t>
  </si>
  <si>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</si>
  <si>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</si>
  <si>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</si>
  <si>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</si>
  <si>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</si>
  <si>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</si>
  <si>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</si>
  <si>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</si>
  <si>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</si>
  <si>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udwdwA egcnidukWvwyik</t>
  </si>
  <si>
    <t>% share</t>
  </si>
  <si>
    <t>cniawtcaws ctogWviawfiheb</t>
  </si>
  <si>
    <t>uscnijed</t>
  </si>
  <si>
    <t>cniawtcawscnia</t>
  </si>
  <si>
    <t xml:space="preserve"> itcnwf</t>
  </si>
  <si>
    <t>% of females</t>
  </si>
  <si>
    <t xml:space="preserve">ejcaWriLum </t>
  </si>
  <si>
    <t>Pre - Primary</t>
  </si>
  <si>
    <t>clUkcs Ircp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</si>
  <si>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</si>
  <si>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</si>
  <si>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</si>
  <si>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r>
      <t xml:space="preserve">           (10 - 8 ) umIluAwt IvwnWX                 </t>
    </r>
    <r>
      <rPr>
        <sz val="9"/>
        <rFont val="Win Ahamedey PRB"/>
        <family val="2"/>
      </rPr>
      <t xml:space="preserve"> </t>
    </r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</si>
  <si>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</si>
  <si>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</si>
  <si>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>Special Classes  1_/</t>
  </si>
  <si>
    <t>1_/  cawtcsWlck wBcaWK</t>
  </si>
  <si>
    <t>Primary</t>
  </si>
  <si>
    <t>Lower Secondary</t>
  </si>
  <si>
    <t>Higher Secondary</t>
  </si>
  <si>
    <t>Special class</t>
  </si>
  <si>
    <t>1_/  For children with special needs.</t>
  </si>
  <si>
    <t>.cawtcsWlck egcniduk WvcnunEb cSwaIhea wBcaWK  1_/</t>
  </si>
  <si>
    <t xml:space="preserve"> 2017 ,cnikwv cscnij udwdwA egcnidukWvwyik iawgItcnwfikea egukwtWsurwdwm :7.2 clwvWt</t>
  </si>
  <si>
    <t>Table 7.2 :  STUDENT ENROLMENT BY EDUCATIONAL LEVEL AND SEX,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</si>
</sst>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10"/>
      <name val="Courier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8"/>
      <name val="A_Randhoo"/>
    </font>
    <font>
      <b/>
      <sz val="9"/>
      <name val="A_Randhoo"/>
    </font>
    <font>
      <sz val="9"/>
      <name val="Akuru-Bodu Bold"/>
      <family val="2"/>
      <charset val="2"/>
    </font>
    <font>
      <b/>
      <sz val="9"/>
      <color theme="1"/>
      <name val="Calibri"/>
      <family val="2"/>
      <scheme val="minor"/>
    </font>
    <font>
      <sz val="9"/>
      <name val="Win Ahamedey PRB"/>
      <family val="2"/>
    </font>
    <font>
      <b/>
      <sz val="9"/>
      <color rgb="FFFF0000"/>
      <name val="Arial"/>
      <family val="2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  <font>
      <b/>
      <i/>
      <sz val="16"/>
      <name val="Helv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21" fillId="0" borderId="0" applyFont="0" applyFill="0" applyBorder="0" applyAlignment="0" applyProtection="0"/>
    <xf numFmtId="164" fontId="2" fillId="0" borderId="0"/>
    <xf numFmtId="0" fontId="2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7" fillId="0" borderId="0"/>
    <xf numFmtId="171" fontId="2" fillId="0" borderId="0"/>
    <xf numFmtId="0" fontId="21" fillId="0" borderId="0"/>
    <xf numFmtId="0" fontId="21" fillId="0" borderId="0"/>
    <xf numFmtId="171" fontId="2" fillId="0" borderId="0"/>
    <xf numFmtId="0" fontId="21" fillId="0" borderId="0"/>
    <xf numFmtId="0" fontId="21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1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66">
    <xf numFmtId="0" fontId="0" fillId="0" borderId="0" xfId="0"/>
    <xf numFmtId="165" fontId="4" fillId="2" borderId="0" xfId="0" applyNumberFormat="1" applyFont="1" applyFill="1"/>
    <xf numFmtId="165" fontId="9" fillId="2" borderId="0" xfId="0" applyNumberFormat="1" applyFont="1" applyFill="1" applyBorder="1" applyAlignment="1">
      <alignment vertical="center"/>
    </xf>
    <xf numFmtId="165" fontId="13" fillId="2" borderId="0" xfId="0" applyNumberFormat="1" applyFont="1" applyFill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0" fillId="2" borderId="0" xfId="0" applyNumberFormat="1" applyFill="1"/>
    <xf numFmtId="165" fontId="0" fillId="2" borderId="1" xfId="0" applyNumberFormat="1" applyFill="1" applyBorder="1"/>
    <xf numFmtId="165" fontId="0" fillId="2" borderId="0" xfId="0" applyNumberFormat="1" applyFill="1" applyBorder="1" applyAlignment="1">
      <alignment vertical="center"/>
    </xf>
    <xf numFmtId="165" fontId="10" fillId="2" borderId="0" xfId="0" applyNumberFormat="1" applyFont="1" applyFill="1" applyBorder="1" applyAlignment="1">
      <alignment vertical="center"/>
    </xf>
    <xf numFmtId="165" fontId="15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Border="1" applyAlignment="1">
      <alignment horizontal="left" vertical="center"/>
    </xf>
    <xf numFmtId="165" fontId="16" fillId="2" borderId="3" xfId="0" applyNumberFormat="1" applyFont="1" applyFill="1" applyBorder="1" applyAlignment="1" applyProtection="1">
      <alignment horizontal="right" vertical="center"/>
    </xf>
    <xf numFmtId="165" fontId="16" fillId="2" borderId="0" xfId="0" applyNumberFormat="1" applyFont="1" applyFill="1" applyBorder="1" applyAlignment="1" applyProtection="1">
      <alignment horizontal="right" vertical="center"/>
    </xf>
    <xf numFmtId="165" fontId="16" fillId="2" borderId="3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 applyProtection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7" fillId="2" borderId="1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 applyProtection="1">
      <alignment horizontal="left"/>
    </xf>
    <xf numFmtId="38" fontId="18" fillId="2" borderId="0" xfId="1" applyNumberFormat="1" applyFont="1" applyFill="1" applyAlignment="1">
      <alignment horizontal="right"/>
    </xf>
    <xf numFmtId="38" fontId="10" fillId="2" borderId="0" xfId="1" applyNumberFormat="1" applyFont="1" applyFill="1" applyBorder="1" applyAlignment="1">
      <alignment horizontal="right"/>
    </xf>
    <xf numFmtId="1" fontId="10" fillId="2" borderId="0" xfId="0" applyNumberFormat="1" applyFont="1" applyFill="1" applyBorder="1" applyAlignment="1" applyProtection="1"/>
    <xf numFmtId="1" fontId="10" fillId="2" borderId="0" xfId="0" applyNumberFormat="1" applyFont="1" applyFill="1" applyBorder="1" applyAlignment="1"/>
    <xf numFmtId="165" fontId="16" fillId="2" borderId="0" xfId="0" applyNumberFormat="1" applyFont="1" applyFill="1" applyBorder="1" applyAlignment="1">
      <alignment horizontal="right"/>
    </xf>
    <xf numFmtId="165" fontId="11" fillId="2" borderId="0" xfId="0" applyNumberFormat="1" applyFont="1" applyFill="1" applyAlignment="1">
      <alignment horizontal="left"/>
    </xf>
    <xf numFmtId="38" fontId="10" fillId="2" borderId="0" xfId="1" applyNumberFormat="1" applyFont="1" applyFill="1" applyAlignment="1" applyProtection="1">
      <alignment horizontal="right"/>
    </xf>
    <xf numFmtId="38" fontId="11" fillId="2" borderId="0" xfId="1" applyNumberFormat="1" applyFont="1" applyFill="1" applyBorder="1" applyAlignment="1">
      <alignment horizontal="right"/>
    </xf>
    <xf numFmtId="1" fontId="11" fillId="2" borderId="0" xfId="0" applyNumberFormat="1" applyFont="1" applyFill="1" applyBorder="1" applyAlignment="1" applyProtection="1"/>
    <xf numFmtId="1" fontId="11" fillId="2" borderId="0" xfId="0" applyNumberFormat="1" applyFont="1" applyFill="1" applyBorder="1" applyAlignment="1"/>
    <xf numFmtId="165" fontId="12" fillId="2" borderId="0" xfId="0" applyNumberFormat="1" applyFont="1" applyFill="1" applyAlignment="1">
      <alignment horizontal="right"/>
    </xf>
    <xf numFmtId="165" fontId="12" fillId="2" borderId="0" xfId="0" applyNumberFormat="1" applyFont="1" applyFill="1" applyBorder="1" applyAlignment="1">
      <alignment horizontal="right"/>
    </xf>
    <xf numFmtId="166" fontId="0" fillId="2" borderId="0" xfId="1" applyNumberFormat="1" applyFont="1" applyFill="1"/>
    <xf numFmtId="0" fontId="10" fillId="2" borderId="0" xfId="0" applyNumberFormat="1" applyFont="1" applyFill="1" applyAlignment="1" applyProtection="1">
      <alignment horizontal="left"/>
    </xf>
    <xf numFmtId="38" fontId="10" fillId="2" borderId="0" xfId="1" applyNumberFormat="1" applyFont="1" applyFill="1" applyBorder="1" applyAlignment="1" applyProtection="1">
      <alignment horizontal="right"/>
    </xf>
    <xf numFmtId="165" fontId="8" fillId="2" borderId="0" xfId="0" applyNumberFormat="1" applyFont="1" applyFill="1"/>
    <xf numFmtId="38" fontId="10" fillId="2" borderId="0" xfId="1" applyNumberFormat="1" applyFont="1" applyFill="1" applyAlignment="1">
      <alignment horizontal="right"/>
    </xf>
    <xf numFmtId="38" fontId="11" fillId="2" borderId="0" xfId="1" applyNumberFormat="1" applyFont="1" applyFill="1" applyBorder="1" applyAlignment="1" applyProtection="1">
      <alignment horizontal="right"/>
    </xf>
    <xf numFmtId="165" fontId="11" fillId="2" borderId="1" xfId="0" applyNumberFormat="1" applyFont="1" applyFill="1" applyBorder="1" applyAlignment="1">
      <alignment horizontal="left"/>
    </xf>
    <xf numFmtId="38" fontId="11" fillId="2" borderId="1" xfId="1" applyNumberFormat="1" applyFont="1" applyFill="1" applyBorder="1" applyAlignment="1" applyProtection="1">
      <alignment horizontal="right"/>
    </xf>
    <xf numFmtId="1" fontId="11" fillId="2" borderId="1" xfId="0" applyNumberFormat="1" applyFont="1" applyFill="1" applyBorder="1" applyAlignment="1"/>
    <xf numFmtId="165" fontId="12" fillId="2" borderId="1" xfId="0" applyNumberFormat="1" applyFont="1" applyFill="1" applyBorder="1" applyAlignment="1">
      <alignment horizontal="right"/>
    </xf>
    <xf numFmtId="165" fontId="14" fillId="2" borderId="0" xfId="0" applyNumberFormat="1" applyFont="1" applyFill="1" applyBorder="1" applyAlignment="1"/>
    <xf numFmtId="165" fontId="5" fillId="2" borderId="0" xfId="0" applyNumberFormat="1" applyFont="1" applyFill="1" applyAlignment="1">
      <alignment horizontal="center" vertical="center"/>
    </xf>
    <xf numFmtId="165" fontId="14" fillId="2" borderId="0" xfId="0" applyNumberFormat="1" applyFont="1" applyFill="1" applyAlignment="1" applyProtection="1">
      <alignment horizontal="left"/>
    </xf>
    <xf numFmtId="38" fontId="13" fillId="2" borderId="0" xfId="1" applyNumberFormat="1" applyFont="1" applyFill="1" applyAlignment="1">
      <alignment horizontal="right"/>
    </xf>
    <xf numFmtId="38" fontId="11" fillId="2" borderId="0" xfId="1" applyNumberFormat="1" applyFont="1" applyFill="1" applyAlignment="1">
      <alignment horizontal="right"/>
    </xf>
    <xf numFmtId="165" fontId="13" fillId="2" borderId="0" xfId="0" applyNumberFormat="1" applyFont="1" applyFill="1" applyAlignment="1">
      <alignment horizontal="left"/>
    </xf>
    <xf numFmtId="165" fontId="0" fillId="2" borderId="0" xfId="0" applyNumberFormat="1" applyFill="1" applyBorder="1"/>
    <xf numFmtId="165" fontId="0" fillId="2" borderId="0" xfId="0" applyNumberFormat="1" applyFill="1" applyAlignment="1"/>
    <xf numFmtId="165" fontId="20" fillId="2" borderId="2" xfId="0" applyNumberFormat="1" applyFont="1" applyFill="1" applyBorder="1" applyAlignment="1">
      <alignment vertical="center"/>
    </xf>
    <xf numFmtId="165" fontId="7" fillId="2" borderId="0" xfId="0" applyNumberFormat="1" applyFont="1" applyFill="1"/>
    <xf numFmtId="165" fontId="22" fillId="2" borderId="0" xfId="0" applyNumberFormat="1" applyFont="1" applyFill="1" applyAlignment="1">
      <alignment horizontal="left" vertical="center"/>
    </xf>
    <xf numFmtId="165" fontId="0" fillId="2" borderId="0" xfId="0" applyNumberFormat="1" applyFill="1"/>
    <xf numFmtId="165" fontId="4" fillId="2" borderId="0" xfId="0" applyNumberFormat="1" applyFont="1" applyFill="1" applyBorder="1"/>
    <xf numFmtId="38" fontId="13" fillId="2" borderId="0" xfId="1" applyNumberFormat="1" applyFont="1" applyFill="1" applyBorder="1" applyAlignment="1">
      <alignment horizontal="right"/>
    </xf>
    <xf numFmtId="0" fontId="26" fillId="2" borderId="0" xfId="0" applyFont="1" applyFill="1" applyBorder="1" applyAlignment="1">
      <alignment horizontal="center" vertical="center"/>
    </xf>
    <xf numFmtId="38" fontId="28" fillId="2" borderId="0" xfId="0" applyNumberFormat="1" applyFont="1" applyFill="1" applyBorder="1" applyAlignment="1">
      <alignment horizontal="center"/>
    </xf>
    <xf numFmtId="167" fontId="26" fillId="2" borderId="0" xfId="0" applyNumberFormat="1" applyFont="1" applyFill="1" applyBorder="1" applyAlignment="1">
      <alignment horizontal="center"/>
    </xf>
    <xf numFmtId="167" fontId="26" fillId="2" borderId="0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 applyProtection="1"/>
    <xf numFmtId="38" fontId="10" fillId="2" borderId="4" xfId="1" applyNumberFormat="1" applyFont="1" applyFill="1" applyBorder="1" applyAlignment="1" applyProtection="1">
      <alignment horizontal="right"/>
    </xf>
    <xf numFmtId="0" fontId="23" fillId="2" borderId="0" xfId="0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center" vertical="center"/>
    </xf>
    <xf numFmtId="165" fontId="10" fillId="2" borderId="0" xfId="0" applyNumberFormat="1" applyFont="1" applyFill="1" applyBorder="1" applyAlignment="1">
      <alignment horizontal="left" vertical="center"/>
    </xf>
    <xf numFmtId="165" fontId="10" fillId="2" borderId="1" xfId="0" applyNumberFormat="1" applyFont="1" applyFill="1" applyBorder="1" applyAlignment="1">
      <alignment horizontal="left" vertic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 7.4: Student enrolment by educational level,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2017</a:t>
            </a:r>
            <a:endParaRPr lang="en-US" sz="1050">
              <a:solidFill>
                <a:schemeClr val="tx1"/>
              </a:solidFill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3807122475734294"/>
          <c:y val="4.71096285378120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561443485159212"/>
          <c:y val="0.15843214720111387"/>
          <c:w val="0.88024413308630534"/>
          <c:h val="0.67048021436345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'7.2'!$P$10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'7.2'!$P$11:$P$15</c:f>
              <c:numCache>
                <c:formatCode>_(* #,##0_);_(* \(#,##0\);_(* "-"??_);_(@_)</c:formatCode>
                <c:ptCount val="5"/>
                <c:pt idx="0">
                  <c:v>10890</c:v>
                </c:pt>
                <c:pt idx="1">
                  <c:v>23215</c:v>
                </c:pt>
                <c:pt idx="2">
                  <c:v>8714</c:v>
                </c:pt>
                <c:pt idx="3">
                  <c:v>1834</c:v>
                </c:pt>
                <c:pt idx="4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B-4DBB-9C1A-C042E8EBADBF}"/>
            </c:ext>
          </c:extLst>
        </c:ser>
        <c:ser>
          <c:idx val="1"/>
          <c:order val="1"/>
          <c:tx>
            <c:strRef>
              <c:f>'7.2'!$Q$10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'7.2'!$Q$11:$Q$15</c:f>
              <c:numCache>
                <c:formatCode>_(* #,##0_);_(* \(#,##0\);_(* "-"??_);_(@_)</c:formatCode>
                <c:ptCount val="5"/>
                <c:pt idx="0">
                  <c:v>10110</c:v>
                </c:pt>
                <c:pt idx="1">
                  <c:v>22111</c:v>
                </c:pt>
                <c:pt idx="2">
                  <c:v>8064</c:v>
                </c:pt>
                <c:pt idx="3">
                  <c:v>2357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B-4DBB-9C1A-C042E8EBA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00256"/>
        <c:axId val="143201792"/>
      </c:barChart>
      <c:catAx>
        <c:axId val="14320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201792"/>
        <c:crosses val="autoZero"/>
        <c:auto val="1"/>
        <c:lblAlgn val="ctr"/>
        <c:lblOffset val="100"/>
        <c:noMultiLvlLbl val="0"/>
      </c:catAx>
      <c:valAx>
        <c:axId val="1432017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20025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60438268943567452"/>
          <c:y val="0.20818426542835988"/>
          <c:w val="0.18544318304390034"/>
          <c:h val="7.423199255265505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1305560</xdr:colOff>
      <xdr:row>26</xdr:row>
      <xdr:rowOff>66675</xdr:rowOff>
    </xdr:from>
    <xdr:to>
      <xdr:col>9</xdr:col>
      <xdr:colOff>485775</xdr:colOff>
      <xdr:row>42</xdr:row>
      <xdr:rowOff>112395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29</xdr:row>
      <xdr:rowOff>66674</xdr:rowOff>
    </xdr:from>
    <xdr:to>
      <xdr:col>14</xdr:col>
      <xdr:colOff>190500</xdr:colOff>
      <xdr:row>29</xdr:row>
      <xdr:rowOff>238125</xdr:rowOff>
    </xdr:to>
    <xdr:sp macro="" textlink="">
      <xdr:nvSpPr>
        <xdr:cNvPr id="4" name="TextBox 3"/>
        <xdr:cNvSpPr txBox="1"/>
      </xdr:nvSpPr>
      <xdr:spPr>
        <a:xfrm>
          <a:off x="8972550" y="4619624"/>
          <a:ext cx="133350" cy="17145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1</xdr:col>
      <xdr:colOff>609600</xdr:colOff>
      <xdr:row>28</xdr:row>
      <xdr:rowOff>38099</xdr:rowOff>
    </xdr:from>
    <xdr:to>
      <xdr:col>8</xdr:col>
      <xdr:colOff>419100</xdr:colOff>
      <xdr:row>28</xdr:row>
      <xdr:rowOff>38099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819400" y="5991224"/>
          <a:ext cx="43719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45"/>
  <sheetViews>
    <sheetView tabSelected="1" zoomScaleNormal="100" zoomScaleSheetLayoutView="100" workbookViewId="0">
      <selection activeCell="L42" sqref="L42"/>
    </sheetView>
  </sheetViews>
  <sheetFormatPr defaultColWidth="26.42578125" defaultRowHeight="15"/>
  <cols>
    <col min="1" max="1" width="33.140625" style="5" customWidth="1"/>
    <col min="2" max="4" width="11.28515625" style="5" customWidth="1"/>
    <col min="5" max="5" width="2.28515625" style="5" customWidth="1"/>
    <col min="6" max="6" width="10.42578125" style="5" customWidth="1"/>
    <col min="7" max="7" width="9.7109375" style="5" customWidth="1"/>
    <col min="8" max="9" width="12.140625" style="5" customWidth="1"/>
    <col min="10" max="10" width="24.7109375" style="5" customWidth="1"/>
    <col min="11" max="11" width="3.140625" style="5" customWidth="1"/>
    <col min="12" max="12" width="58.28515625" style="5" customWidth="1"/>
    <col min="13" max="13" width="58.28515625" style="52" customWidth="1"/>
    <col min="14" max="14" width="26.42578125" style="5"/>
    <col min="15" max="17" width="9.140625" style="5" customWidth="1"/>
    <col min="18" max="32" width="8.7109375" style="5" customWidth="1"/>
    <col min="33" max="16384" width="26.42578125" style="5"/>
  </cols>
  <sheetData>
    <row r="1" spans="1:19" s="52" customFormat="1" ht="19.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L1" s="51"/>
      <c r="M1" s="51"/>
    </row>
    <row r="2" spans="1:19" s="52" customFormat="1">
      <c r="A2" s="63" t="s">
        <v>39</v>
      </c>
      <c r="B2" s="63"/>
      <c r="C2" s="63"/>
      <c r="D2" s="63"/>
      <c r="E2" s="63"/>
      <c r="F2" s="63"/>
      <c r="G2" s="63"/>
      <c r="H2" s="63"/>
      <c r="I2" s="63"/>
      <c r="J2" s="63"/>
    </row>
    <row r="3" spans="1:19" s="52" customFormat="1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51"/>
      <c r="M3" s="51"/>
      <c r="N3" s="7"/>
      <c r="O3" s="7"/>
      <c r="P3" s="7"/>
      <c r="Q3" s="7"/>
      <c r="R3" s="7"/>
      <c r="S3" s="7"/>
    </row>
    <row r="4" spans="1:19" s="52" customFormat="1">
      <c r="A4" s="64" t="s">
        <v>12</v>
      </c>
      <c r="B4" s="8" t="s">
        <v>13</v>
      </c>
      <c r="C4" s="4"/>
      <c r="D4" s="9" t="s">
        <v>14</v>
      </c>
      <c r="E4" s="10"/>
      <c r="F4" s="8" t="s">
        <v>15</v>
      </c>
      <c r="G4" s="11"/>
      <c r="H4" s="9" t="s">
        <v>16</v>
      </c>
      <c r="I4" s="10" t="s">
        <v>1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s="52" customFormat="1">
      <c r="A5" s="64"/>
      <c r="B5" s="12" t="s">
        <v>17</v>
      </c>
      <c r="C5" s="12" t="s">
        <v>0</v>
      </c>
      <c r="D5" s="12" t="s">
        <v>1</v>
      </c>
      <c r="E5" s="13"/>
      <c r="F5" s="12" t="s">
        <v>17</v>
      </c>
      <c r="G5" s="12" t="s">
        <v>0</v>
      </c>
      <c r="H5" s="14" t="s">
        <v>1</v>
      </c>
      <c r="I5" s="10" t="s">
        <v>18</v>
      </c>
      <c r="J5" s="10" t="s">
        <v>19</v>
      </c>
    </row>
    <row r="6" spans="1:19" s="52" customFormat="1">
      <c r="A6" s="65"/>
      <c r="B6" s="15" t="s">
        <v>2</v>
      </c>
      <c r="C6" s="15" t="s">
        <v>3</v>
      </c>
      <c r="D6" s="15" t="s">
        <v>4</v>
      </c>
      <c r="E6" s="15"/>
      <c r="F6" s="15" t="s">
        <v>2</v>
      </c>
      <c r="G6" s="15" t="s">
        <v>3</v>
      </c>
      <c r="H6" s="16" t="s">
        <v>4</v>
      </c>
      <c r="I6" s="16" t="s">
        <v>20</v>
      </c>
      <c r="J6" s="17"/>
    </row>
    <row r="7" spans="1:19" s="52" customFormat="1" ht="17.25">
      <c r="A7" s="18" t="s">
        <v>5</v>
      </c>
      <c r="B7" s="19">
        <f>SUM(B8:B12)</f>
        <v>87776</v>
      </c>
      <c r="C7" s="35">
        <f>SUM(C8:C12)</f>
        <v>44993</v>
      </c>
      <c r="D7" s="35">
        <f>SUM(D8:D12)</f>
        <v>42783</v>
      </c>
      <c r="E7" s="20"/>
      <c r="F7" s="21">
        <f>B7/B7*100</f>
        <v>100</v>
      </c>
      <c r="G7" s="21">
        <f>C7/C7*100</f>
        <v>100</v>
      </c>
      <c r="H7" s="21">
        <f>D7/D7*100</f>
        <v>100</v>
      </c>
      <c r="I7" s="22">
        <f>D7/B7*100</f>
        <v>48.741113744075832</v>
      </c>
      <c r="J7" s="23" t="s">
        <v>21</v>
      </c>
    </row>
    <row r="8" spans="1:19" s="52" customFormat="1" ht="17.25">
      <c r="A8" s="24" t="s">
        <v>22</v>
      </c>
      <c r="B8" s="25">
        <f>SUM(C8:D8)</f>
        <v>21000</v>
      </c>
      <c r="C8" s="45">
        <f>SUM(C14+C20)</f>
        <v>10890</v>
      </c>
      <c r="D8" s="45">
        <f t="shared" ref="C8:D12" si="0">SUM(D14+D20)</f>
        <v>10110</v>
      </c>
      <c r="E8" s="26"/>
      <c r="F8" s="27">
        <f>B8/B7*100</f>
        <v>23.924535180459351</v>
      </c>
      <c r="G8" s="27">
        <f>C8/C7*100</f>
        <v>24.203765030115797</v>
      </c>
      <c r="H8" s="27">
        <f>D8/$D$7*100</f>
        <v>23.630881424865017</v>
      </c>
      <c r="I8" s="28">
        <f t="shared" ref="I8:I17" si="1">D8/B8*100</f>
        <v>48.142857142857146</v>
      </c>
      <c r="J8" s="29" t="s">
        <v>23</v>
      </c>
    </row>
    <row r="9" spans="1:19" s="52" customFormat="1" ht="17.25">
      <c r="A9" s="24" t="s">
        <v>24</v>
      </c>
      <c r="B9" s="25">
        <f>SUM(C9:D9)</f>
        <v>45326</v>
      </c>
      <c r="C9" s="45">
        <f>SUM(C15+C21)</f>
        <v>23215</v>
      </c>
      <c r="D9" s="45">
        <f t="shared" si="0"/>
        <v>22111</v>
      </c>
      <c r="E9" s="26"/>
      <c r="F9" s="27">
        <f>B9/B7*100</f>
        <v>51.638261028071454</v>
      </c>
      <c r="G9" s="27">
        <f>C9/C7*100</f>
        <v>51.596915075678439</v>
      </c>
      <c r="H9" s="27">
        <f t="shared" ref="H9:H11" si="2">D9/$D$7*100</f>
        <v>51.681742748287874</v>
      </c>
      <c r="I9" s="28">
        <f t="shared" si="1"/>
        <v>48.78215593698981</v>
      </c>
      <c r="J9" s="30" t="s">
        <v>25</v>
      </c>
    </row>
    <row r="10" spans="1:19" s="52" customFormat="1" ht="17.25">
      <c r="A10" s="24" t="s">
        <v>26</v>
      </c>
      <c r="B10" s="25">
        <f>SUM(C10:D10)</f>
        <v>16778</v>
      </c>
      <c r="C10" s="45">
        <f t="shared" si="0"/>
        <v>8714</v>
      </c>
      <c r="D10" s="45">
        <f t="shared" si="0"/>
        <v>8064</v>
      </c>
      <c r="E10" s="26"/>
      <c r="F10" s="27">
        <f>B10/B7*100</f>
        <v>19.114564345607</v>
      </c>
      <c r="G10" s="27">
        <f>C10/C7*100</f>
        <v>19.367457160002665</v>
      </c>
      <c r="H10" s="27">
        <f t="shared" si="2"/>
        <v>18.848608091999157</v>
      </c>
      <c r="I10" s="28">
        <f t="shared" si="1"/>
        <v>48.062939563714387</v>
      </c>
      <c r="J10" s="30" t="s">
        <v>27</v>
      </c>
      <c r="P10" s="52" t="s">
        <v>3</v>
      </c>
      <c r="Q10" s="52" t="s">
        <v>4</v>
      </c>
    </row>
    <row r="11" spans="1:19" s="52" customFormat="1" ht="17.25">
      <c r="A11" s="24" t="s">
        <v>28</v>
      </c>
      <c r="B11" s="25">
        <f>SUM(C11:D11)</f>
        <v>4191</v>
      </c>
      <c r="C11" s="45">
        <f>SUM(C17+C23)</f>
        <v>1834</v>
      </c>
      <c r="D11" s="45">
        <f t="shared" si="0"/>
        <v>2357</v>
      </c>
      <c r="E11" s="26"/>
      <c r="F11" s="27">
        <f>B11/B7*100</f>
        <v>4.774653663871673</v>
      </c>
      <c r="G11" s="27">
        <f>C11/C7*100</f>
        <v>4.0761896294979216</v>
      </c>
      <c r="H11" s="27">
        <f t="shared" si="2"/>
        <v>5.5091975784774325</v>
      </c>
      <c r="I11" s="28">
        <f t="shared" si="1"/>
        <v>56.239560963970412</v>
      </c>
      <c r="J11" s="30" t="s">
        <v>29</v>
      </c>
      <c r="O11" s="1" t="s">
        <v>22</v>
      </c>
      <c r="P11" s="31">
        <f>C8</f>
        <v>10890</v>
      </c>
      <c r="Q11" s="31">
        <f>D8</f>
        <v>10110</v>
      </c>
    </row>
    <row r="12" spans="1:19" s="52" customFormat="1" ht="17.25">
      <c r="A12" s="24" t="s">
        <v>30</v>
      </c>
      <c r="B12" s="25">
        <f>SUM(C12:D12)</f>
        <v>481</v>
      </c>
      <c r="C12" s="45">
        <f>SUM(C18+C24)</f>
        <v>340</v>
      </c>
      <c r="D12" s="45">
        <f t="shared" si="0"/>
        <v>141</v>
      </c>
      <c r="E12" s="26"/>
      <c r="F12" s="27">
        <f>B12/B7*100</f>
        <v>0.54798578199052139</v>
      </c>
      <c r="G12" s="27">
        <f>C12/C7*100</f>
        <v>0.75567310470517635</v>
      </c>
      <c r="H12" s="27">
        <f>D12/$D$7*100</f>
        <v>0.32957015637052101</v>
      </c>
      <c r="I12" s="28">
        <f t="shared" si="1"/>
        <v>29.313929313929314</v>
      </c>
      <c r="J12" s="30" t="s">
        <v>31</v>
      </c>
      <c r="O12" s="1" t="s">
        <v>32</v>
      </c>
      <c r="P12" s="31">
        <f t="shared" ref="P12:P15" si="3">C9</f>
        <v>23215</v>
      </c>
      <c r="Q12" s="31">
        <f t="shared" ref="Q12:Q15" si="4">D9</f>
        <v>22111</v>
      </c>
    </row>
    <row r="13" spans="1:19" s="34" customFormat="1" ht="17.25">
      <c r="A13" s="32" t="s">
        <v>6</v>
      </c>
      <c r="B13" s="25">
        <f>SUM(B14:B18)</f>
        <v>31487</v>
      </c>
      <c r="C13" s="35">
        <f>SUM(C14:C18)</f>
        <v>15939</v>
      </c>
      <c r="D13" s="35">
        <f>SUM(D14:D18)</f>
        <v>15548</v>
      </c>
      <c r="E13" s="33"/>
      <c r="F13" s="21">
        <f>B13/B13*100</f>
        <v>100</v>
      </c>
      <c r="G13" s="21">
        <f>C13/C13*100</f>
        <v>100</v>
      </c>
      <c r="H13" s="21">
        <f>D13/D13*100</f>
        <v>100</v>
      </c>
      <c r="I13" s="22">
        <f t="shared" si="1"/>
        <v>49.3791088385683</v>
      </c>
      <c r="J13" s="23" t="s">
        <v>7</v>
      </c>
      <c r="O13" s="1" t="s">
        <v>33</v>
      </c>
      <c r="P13" s="31">
        <f t="shared" si="3"/>
        <v>8714</v>
      </c>
      <c r="Q13" s="31">
        <f t="shared" si="4"/>
        <v>8064</v>
      </c>
    </row>
    <row r="14" spans="1:19" s="52" customFormat="1" ht="17.25">
      <c r="A14" s="24" t="s">
        <v>22</v>
      </c>
      <c r="B14" s="25">
        <f>SUM(C14:D14)</f>
        <v>7972</v>
      </c>
      <c r="C14" s="45">
        <v>4087</v>
      </c>
      <c r="D14" s="45">
        <v>3885</v>
      </c>
      <c r="E14" s="26"/>
      <c r="F14" s="27">
        <f>B14/B13*100</f>
        <v>25.318385365388892</v>
      </c>
      <c r="G14" s="27">
        <f>C14/C13*100</f>
        <v>25.641508250203906</v>
      </c>
      <c r="H14" s="27">
        <f>D14/D13*100</f>
        <v>24.987136609210186</v>
      </c>
      <c r="I14" s="28">
        <f t="shared" si="1"/>
        <v>48.733065730055195</v>
      </c>
      <c r="J14" s="29" t="s">
        <v>23</v>
      </c>
      <c r="O14" s="1" t="s">
        <v>34</v>
      </c>
      <c r="P14" s="31">
        <f t="shared" si="3"/>
        <v>1834</v>
      </c>
      <c r="Q14" s="31">
        <f t="shared" si="4"/>
        <v>2357</v>
      </c>
    </row>
    <row r="15" spans="1:19" s="52" customFormat="1" ht="17.25">
      <c r="A15" s="24" t="s">
        <v>24</v>
      </c>
      <c r="B15" s="35">
        <f>SUM(C15:D15)</f>
        <v>15433</v>
      </c>
      <c r="C15" s="45">
        <v>7868</v>
      </c>
      <c r="D15" s="45">
        <v>7565</v>
      </c>
      <c r="E15" s="26"/>
      <c r="F15" s="27">
        <f>B15/B13*100</f>
        <v>49.013878743608473</v>
      </c>
      <c r="G15" s="27">
        <f>C15/C13*100</f>
        <v>49.363197189284151</v>
      </c>
      <c r="H15" s="27">
        <f>D15/D13*100</f>
        <v>48.65577566246462</v>
      </c>
      <c r="I15" s="28">
        <f t="shared" si="1"/>
        <v>49.018337329099978</v>
      </c>
      <c r="J15" s="30" t="s">
        <v>25</v>
      </c>
      <c r="O15" s="1" t="s">
        <v>35</v>
      </c>
      <c r="P15" s="31">
        <f t="shared" si="3"/>
        <v>340</v>
      </c>
      <c r="Q15" s="31">
        <f t="shared" si="4"/>
        <v>141</v>
      </c>
    </row>
    <row r="16" spans="1:19" s="52" customFormat="1" ht="17.25">
      <c r="A16" s="24" t="s">
        <v>26</v>
      </c>
      <c r="B16" s="25">
        <f>SUM(C16:D16)</f>
        <v>5335</v>
      </c>
      <c r="C16" s="45">
        <v>2659</v>
      </c>
      <c r="D16" s="45">
        <v>2676</v>
      </c>
      <c r="E16" s="26"/>
      <c r="F16" s="27">
        <f>B16/B13*100</f>
        <v>16.943500492266651</v>
      </c>
      <c r="G16" s="27">
        <f>C16/C13*100</f>
        <v>16.68235146496016</v>
      </c>
      <c r="H16" s="27">
        <f>D16/D13*100</f>
        <v>17.211216876768717</v>
      </c>
      <c r="I16" s="28">
        <f t="shared" si="1"/>
        <v>50.159325210871607</v>
      </c>
      <c r="J16" s="30" t="s">
        <v>27</v>
      </c>
    </row>
    <row r="17" spans="1:32" s="52" customFormat="1" ht="17.25">
      <c r="A17" s="24" t="s">
        <v>28</v>
      </c>
      <c r="B17" s="25">
        <f>SUM(C17:D17)</f>
        <v>2455</v>
      </c>
      <c r="C17" s="45">
        <v>1118</v>
      </c>
      <c r="D17" s="45">
        <v>1337</v>
      </c>
      <c r="E17" s="26"/>
      <c r="F17" s="27">
        <f>B17/B13*100</f>
        <v>7.7968685489249525</v>
      </c>
      <c r="G17" s="27">
        <f>C17/C13*100</f>
        <v>7.0142417968504924</v>
      </c>
      <c r="H17" s="27">
        <f>D17/D13*100</f>
        <v>8.5991767429894512</v>
      </c>
      <c r="I17" s="28">
        <f t="shared" si="1"/>
        <v>54.460285132382893</v>
      </c>
      <c r="J17" s="30" t="s">
        <v>29</v>
      </c>
    </row>
    <row r="18" spans="1:32" s="52" customFormat="1" ht="17.25">
      <c r="A18" s="24" t="s">
        <v>30</v>
      </c>
      <c r="B18" s="25">
        <f>SUM(C18:D18)</f>
        <v>292</v>
      </c>
      <c r="C18" s="45">
        <v>207</v>
      </c>
      <c r="D18" s="45">
        <v>85</v>
      </c>
      <c r="E18" s="26"/>
      <c r="F18" s="27">
        <f>B18/B13*100</f>
        <v>0.92736684981103312</v>
      </c>
      <c r="G18" s="27">
        <f>C18/C13*100</f>
        <v>1.2987012987012987</v>
      </c>
      <c r="H18" s="27">
        <f>D18/D13*100</f>
        <v>0.54669410856701828</v>
      </c>
      <c r="I18" s="28">
        <f t="shared" ref="I18" si="5">D18/B18*100</f>
        <v>29.109589041095891</v>
      </c>
      <c r="J18" s="30" t="s">
        <v>31</v>
      </c>
    </row>
    <row r="19" spans="1:32" s="34" customFormat="1" ht="17.25">
      <c r="A19" s="18" t="s">
        <v>8</v>
      </c>
      <c r="B19" s="25">
        <f>SUM(B20:B24)</f>
        <v>56289</v>
      </c>
      <c r="C19" s="35">
        <f>SUM(C20:C24)</f>
        <v>29054</v>
      </c>
      <c r="D19" s="35">
        <f>SUM(D20:D24)</f>
        <v>27235</v>
      </c>
      <c r="E19" s="33"/>
      <c r="F19" s="21">
        <f>B19/B19*100</f>
        <v>100</v>
      </c>
      <c r="G19" s="21">
        <f>C19/C19*100</f>
        <v>100</v>
      </c>
      <c r="H19" s="21">
        <f>D19/D19*100</f>
        <v>100</v>
      </c>
      <c r="I19" s="22">
        <f>D19/B19*100</f>
        <v>48.384231377356144</v>
      </c>
      <c r="J19" s="23" t="s">
        <v>9</v>
      </c>
      <c r="N19" s="52"/>
      <c r="O19" s="50"/>
      <c r="P19" s="50"/>
      <c r="Q19" s="50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</row>
    <row r="20" spans="1:32" s="52" customFormat="1" ht="17.25">
      <c r="A20" s="24" t="s">
        <v>22</v>
      </c>
      <c r="B20" s="25">
        <f>SUM(C20:D20)</f>
        <v>13028</v>
      </c>
      <c r="C20" s="45">
        <v>6803</v>
      </c>
      <c r="D20" s="45">
        <v>6225</v>
      </c>
      <c r="E20" s="36"/>
      <c r="F20" s="27">
        <f>B20/$B$19*100</f>
        <v>23.144841798575211</v>
      </c>
      <c r="G20" s="28">
        <f>C20/C19*100</f>
        <v>23.415020307014526</v>
      </c>
      <c r="H20" s="28">
        <f>D20/D19*100</f>
        <v>22.856618322012118</v>
      </c>
      <c r="I20" s="28">
        <f t="shared" ref="I20:I24" si="6">D20/B20*100</f>
        <v>47.781700951796132</v>
      </c>
      <c r="J20" s="29" t="s">
        <v>23</v>
      </c>
      <c r="N20" s="18"/>
    </row>
    <row r="21" spans="1:32" s="52" customFormat="1" ht="17.25">
      <c r="A21" s="24" t="s">
        <v>24</v>
      </c>
      <c r="B21" s="25">
        <f>SUM(C21:D21)</f>
        <v>29893</v>
      </c>
      <c r="C21" s="45">
        <v>15347</v>
      </c>
      <c r="D21" s="45">
        <v>14546</v>
      </c>
      <c r="E21" s="36"/>
      <c r="F21" s="27">
        <f t="shared" ref="F21:F23" si="7">B21/$B$19*100</f>
        <v>53.106290749524774</v>
      </c>
      <c r="G21" s="28">
        <f>C21/C19*100</f>
        <v>52.822330832243416</v>
      </c>
      <c r="H21" s="28">
        <f>D21/D19*100</f>
        <v>53.409216082247113</v>
      </c>
      <c r="I21" s="28">
        <f>D21/B21*100</f>
        <v>48.660221456528284</v>
      </c>
      <c r="J21" s="30" t="s">
        <v>25</v>
      </c>
      <c r="N21" s="18"/>
    </row>
    <row r="22" spans="1:32" s="52" customFormat="1" ht="17.25">
      <c r="A22" s="24" t="s">
        <v>26</v>
      </c>
      <c r="B22" s="25">
        <f>SUM(C22:D22)</f>
        <v>11443</v>
      </c>
      <c r="C22" s="45">
        <v>6055</v>
      </c>
      <c r="D22" s="45">
        <v>5388</v>
      </c>
      <c r="E22" s="36"/>
      <c r="F22" s="27">
        <f t="shared" si="7"/>
        <v>20.329016326458099</v>
      </c>
      <c r="G22" s="28">
        <f>C22/C19*100</f>
        <v>20.840503889309563</v>
      </c>
      <c r="H22" s="28">
        <f>D22/D19*100</f>
        <v>19.783366991004222</v>
      </c>
      <c r="I22" s="28">
        <f t="shared" si="6"/>
        <v>47.085554487459582</v>
      </c>
      <c r="J22" s="30" t="s">
        <v>27</v>
      </c>
      <c r="N22" s="18"/>
    </row>
    <row r="23" spans="1:32" s="52" customFormat="1" ht="17.25">
      <c r="A23" s="24" t="s">
        <v>28</v>
      </c>
      <c r="B23" s="25">
        <f>SUM(C23:D23)</f>
        <v>1736</v>
      </c>
      <c r="C23" s="45">
        <v>716</v>
      </c>
      <c r="D23" s="45">
        <v>1020</v>
      </c>
      <c r="E23" s="36"/>
      <c r="F23" s="27">
        <f t="shared" si="7"/>
        <v>3.0840839240348914</v>
      </c>
      <c r="G23" s="28">
        <f>C23/C19*100</f>
        <v>2.4643766779100984</v>
      </c>
      <c r="H23" s="28">
        <f>D23/D19*100</f>
        <v>3.745180833486323</v>
      </c>
      <c r="I23" s="28">
        <f t="shared" si="6"/>
        <v>58.755760368663587</v>
      </c>
      <c r="J23" s="30" t="s">
        <v>29</v>
      </c>
    </row>
    <row r="24" spans="1:32" s="52" customFormat="1" ht="17.25">
      <c r="A24" s="37" t="s">
        <v>30</v>
      </c>
      <c r="B24" s="60">
        <f>SUM(C24:D24)</f>
        <v>189</v>
      </c>
      <c r="C24" s="45">
        <v>133</v>
      </c>
      <c r="D24" s="45">
        <v>56</v>
      </c>
      <c r="E24" s="38"/>
      <c r="F24" s="59">
        <f>B24/$B$19*100</f>
        <v>0.33576720140702443</v>
      </c>
      <c r="G24" s="28">
        <f>C24/C19*100</f>
        <v>0.45776829352240656</v>
      </c>
      <c r="H24" s="39">
        <f>D24/D19*100</f>
        <v>0.20561777125022948</v>
      </c>
      <c r="I24" s="39">
        <f t="shared" si="6"/>
        <v>29.629629629629626</v>
      </c>
      <c r="J24" s="40" t="s">
        <v>31</v>
      </c>
    </row>
    <row r="25" spans="1:32" s="52" customFormat="1" ht="18.600000000000001" customHeight="1">
      <c r="A25" s="41" t="s">
        <v>36</v>
      </c>
      <c r="B25" s="49"/>
      <c r="C25" s="49"/>
      <c r="D25" s="49"/>
      <c r="E25" s="49"/>
      <c r="F25" s="49"/>
      <c r="G25" s="49"/>
      <c r="H25" s="49"/>
      <c r="I25" s="4"/>
      <c r="J25" s="30" t="s">
        <v>37</v>
      </c>
      <c r="Q25" s="42"/>
      <c r="R25" s="42"/>
    </row>
    <row r="26" spans="1:32" s="52" customFormat="1" ht="15.75" customHeight="1">
      <c r="A26" s="43" t="s">
        <v>10</v>
      </c>
      <c r="B26" s="3"/>
      <c r="C26" s="3"/>
      <c r="D26" s="3"/>
      <c r="E26" s="48"/>
      <c r="F26" s="3"/>
      <c r="G26" s="3"/>
      <c r="H26" s="3"/>
      <c r="I26" s="3"/>
      <c r="J26" s="30" t="s">
        <v>11</v>
      </c>
      <c r="P26" s="1"/>
      <c r="Q26" s="44"/>
      <c r="R26" s="44"/>
    </row>
    <row r="27" spans="1:32">
      <c r="A27" s="46"/>
      <c r="B27" s="3"/>
      <c r="C27" s="3"/>
      <c r="D27" s="3"/>
      <c r="E27" s="3"/>
      <c r="F27" s="3"/>
      <c r="G27" s="3"/>
      <c r="H27" s="3"/>
      <c r="I27" s="3"/>
      <c r="L27" s="47"/>
      <c r="M27" s="47"/>
      <c r="N27" s="47"/>
      <c r="O27" s="47"/>
      <c r="P27" s="53"/>
      <c r="Q27" s="54"/>
      <c r="R27" s="44"/>
    </row>
    <row r="28" spans="1:32">
      <c r="A28" s="46"/>
      <c r="B28" s="3"/>
      <c r="C28" s="3"/>
      <c r="D28" s="3"/>
      <c r="E28" s="3"/>
      <c r="F28" s="3"/>
      <c r="G28" s="3"/>
      <c r="H28" s="3"/>
      <c r="I28" s="3"/>
      <c r="L28" s="61"/>
      <c r="M28" s="61"/>
      <c r="N28" s="61"/>
      <c r="O28" s="61"/>
      <c r="P28" s="53"/>
      <c r="Q28" s="54"/>
      <c r="R28" s="44"/>
    </row>
    <row r="29" spans="1:32">
      <c r="A29" s="46"/>
      <c r="B29" s="3"/>
      <c r="C29" s="3"/>
      <c r="D29" s="3"/>
      <c r="E29" s="3"/>
      <c r="F29" s="3"/>
      <c r="G29" s="3"/>
      <c r="H29" s="3"/>
      <c r="I29" s="3"/>
      <c r="L29" s="55"/>
      <c r="M29" s="55"/>
      <c r="N29" s="55"/>
      <c r="O29" s="55"/>
      <c r="P29" s="47"/>
      <c r="Q29" s="47"/>
    </row>
    <row r="30" spans="1:32">
      <c r="A30" s="46"/>
      <c r="B30" s="3"/>
      <c r="C30" s="3"/>
      <c r="D30" s="3"/>
      <c r="E30" s="3"/>
      <c r="F30" s="3"/>
      <c r="G30" s="3"/>
      <c r="H30" s="3"/>
      <c r="I30" s="3"/>
      <c r="L30" s="56"/>
      <c r="M30" s="56"/>
      <c r="N30" s="56"/>
      <c r="O30" s="57"/>
      <c r="P30" s="47"/>
      <c r="Q30" s="47"/>
    </row>
    <row r="31" spans="1:32">
      <c r="A31" s="46"/>
      <c r="B31" s="3"/>
      <c r="C31" s="3"/>
      <c r="D31" s="3"/>
      <c r="E31" s="3"/>
      <c r="F31" s="3"/>
      <c r="G31" s="3"/>
      <c r="H31" s="3"/>
      <c r="I31" s="3"/>
      <c r="L31" s="56"/>
      <c r="M31" s="56"/>
      <c r="N31" s="56"/>
      <c r="O31" s="57"/>
      <c r="P31" s="47"/>
      <c r="Q31" s="47"/>
    </row>
    <row r="32" spans="1:32">
      <c r="A32" s="3"/>
      <c r="B32" s="3"/>
      <c r="C32" s="3"/>
      <c r="D32" s="3"/>
      <c r="E32" s="3"/>
      <c r="F32" s="3"/>
      <c r="G32" s="3"/>
      <c r="H32" s="3"/>
      <c r="I32" s="3"/>
      <c r="L32" s="56"/>
      <c r="M32" s="56"/>
      <c r="N32" s="56"/>
      <c r="O32" s="57"/>
      <c r="P32" s="47"/>
      <c r="Q32" s="47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L33" s="56"/>
      <c r="M33" s="56"/>
      <c r="N33" s="56"/>
      <c r="O33" s="57"/>
      <c r="P33" s="47"/>
      <c r="Q33" s="47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L34" s="56"/>
      <c r="M34" s="56"/>
      <c r="N34" s="56"/>
      <c r="O34" s="57"/>
      <c r="P34" s="47"/>
      <c r="Q34" s="47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L35" s="58"/>
      <c r="M35" s="58"/>
      <c r="N35" s="58"/>
      <c r="O35" s="58"/>
      <c r="P35" s="47"/>
      <c r="Q35" s="47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L36" s="47"/>
      <c r="M36" s="47"/>
      <c r="N36" s="47"/>
      <c r="O36" s="47"/>
      <c r="P36" s="47"/>
      <c r="Q36" s="47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L37" s="47"/>
      <c r="M37" s="47"/>
      <c r="N37" s="47"/>
      <c r="O37" s="47"/>
      <c r="P37" s="47"/>
      <c r="Q37" s="47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L38" s="47"/>
      <c r="M38" s="47"/>
      <c r="N38" s="47"/>
      <c r="O38" s="47"/>
      <c r="P38" s="47"/>
      <c r="Q38" s="47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L39" s="47"/>
      <c r="M39" s="47"/>
      <c r="N39" s="47"/>
      <c r="O39" s="47"/>
      <c r="P39" s="47"/>
      <c r="Q39" s="47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L40" s="47"/>
      <c r="M40" s="47"/>
      <c r="N40" s="47"/>
      <c r="O40" s="47"/>
      <c r="P40" s="47"/>
      <c r="Q40" s="47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L41" s="47"/>
      <c r="M41" s="47"/>
      <c r="N41" s="47"/>
      <c r="O41" s="47"/>
      <c r="P41" s="47"/>
      <c r="Q41" s="47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L42" s="47"/>
      <c r="M42" s="47"/>
      <c r="N42" s="47"/>
      <c r="O42" s="47"/>
      <c r="P42" s="47"/>
      <c r="Q42" s="47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L43" s="47"/>
      <c r="M43" s="47"/>
      <c r="N43" s="47"/>
      <c r="O43" s="47"/>
      <c r="P43" s="47"/>
      <c r="Q43" s="47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L44" s="47"/>
      <c r="M44" s="47"/>
      <c r="N44" s="47"/>
      <c r="O44" s="47"/>
      <c r="P44" s="47"/>
      <c r="Q44" s="47"/>
    </row>
    <row r="45" spans="1:17">
      <c r="L45" s="47"/>
      <c r="M45" s="47"/>
      <c r="N45" s="47"/>
      <c r="O45" s="47"/>
      <c r="P45" s="47"/>
      <c r="Q45" s="47"/>
    </row>
  </sheetData>
  <mergeCells count="4">
    <mergeCell ref="L28:O28"/>
    <mergeCell ref="A1:J1"/>
    <mergeCell ref="A2:J2"/>
    <mergeCell ref="A4:A6"/>
  </mergeCells>
  <pageMargins left="0.7" right="0.7" top="0.17" bottom="0.17" header="0.3" footer="0.3"/>
  <pageSetup paperSize="9" scale="79" orientation="landscape" horizontalDpi="4294967295" verticalDpi="4294967295" r:id="rId1"/>
  <rowBreaks count="1" manualBreakCount="1">
    <brk id="43" max="10" man="1"/>
  </rowBreaks>
  <ignoredErrors>
    <ignoredError sqref="B13 B1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2018-04-18T04:10:05Z</cp:lastPrinted>
  <dcterms:created xsi:type="dcterms:W3CDTF">2014-03-05T03:36:41Z</dcterms:created>
  <dcterms:modified xsi:type="dcterms:W3CDTF">2018-04-18T04:10:11Z</dcterms:modified>
</cp:coreProperties>
</file>