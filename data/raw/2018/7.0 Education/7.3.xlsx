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3" sheetId="5" r:id="rId1"/>
  </sheets>
  <definedNames>
    <definedName name="_xlnm.Print_Area" localSheetId="0">'7.3'!$A$1:$S$33</definedName>
  </definedNames>
  <calcPr calcId="162913"/>
</workbook>
</file>

<file path=xl/calcChain.xml><?xml version="1.0" encoding="utf-8"?>
<calcChain xmlns="http://schemas.openxmlformats.org/spreadsheetml/2006/main">
  <c r="J24" i="5" l="1"/>
  <c r="J21" i="5"/>
  <c r="J16" i="5"/>
  <c r="J22" i="5"/>
  <c r="J15" i="5"/>
  <c r="J25" i="5"/>
  <c r="J29" i="5"/>
  <c r="J28" i="5"/>
  <c r="J27" i="5"/>
  <c r="J23" i="5"/>
  <c r="J20" i="5"/>
  <c r="J13" i="5"/>
  <c r="J12" i="5"/>
  <c r="J14" i="5"/>
  <c r="J17" i="5"/>
  <c r="J11" i="5"/>
  <c r="J19" i="5"/>
  <c r="J18" i="5"/>
  <c r="J30" i="5"/>
  <c r="J26" i="5"/>
  <c r="G10" i="5" l="1"/>
  <c r="G8" i="5" s="1"/>
  <c r="N28" i="5"/>
  <c r="R15" i="5"/>
  <c r="N21" i="5"/>
  <c r="R29" i="5"/>
  <c r="N30" i="5"/>
  <c r="N9" i="5"/>
  <c r="R24" i="5"/>
  <c r="N25" i="5"/>
  <c r="R12" i="5"/>
  <c r="F26" i="5"/>
  <c r="N14" i="5"/>
  <c r="R20" i="5"/>
  <c r="R26" i="5"/>
  <c r="N17" i="5"/>
  <c r="F9" i="5"/>
  <c r="R13" i="5"/>
  <c r="R19" i="5"/>
  <c r="N24" i="5"/>
  <c r="N12" i="5"/>
  <c r="N18" i="5"/>
  <c r="N20" i="5"/>
  <c r="N26" i="5"/>
  <c r="R14" i="5"/>
  <c r="R16" i="5"/>
  <c r="N22" i="5"/>
  <c r="N27" i="5"/>
  <c r="R28" i="5"/>
  <c r="R17" i="5"/>
  <c r="N19" i="5"/>
  <c r="R23" i="5"/>
  <c r="N29" i="5"/>
  <c r="N13" i="5"/>
  <c r="N15" i="5"/>
  <c r="N16" i="5"/>
  <c r="R18" i="5"/>
  <c r="R22" i="5"/>
  <c r="N23" i="5"/>
  <c r="B9" i="5"/>
  <c r="J9" i="5"/>
  <c r="H10" i="5"/>
  <c r="H8" i="5" s="1"/>
  <c r="R25" i="5"/>
  <c r="R27" i="5"/>
  <c r="R30" i="5"/>
  <c r="B26" i="5"/>
  <c r="J10" i="5"/>
  <c r="J8" i="5" l="1"/>
  <c r="O10" i="5"/>
  <c r="O8" i="5" s="1"/>
  <c r="B27" i="5"/>
  <c r="F27" i="5"/>
  <c r="F30" i="5"/>
  <c r="B30" i="5"/>
  <c r="B21" i="5"/>
  <c r="F21" i="5"/>
  <c r="F22" i="5"/>
  <c r="B22" i="5"/>
  <c r="F28" i="5"/>
  <c r="B28" i="5"/>
  <c r="P10" i="5"/>
  <c r="R10" i="5" s="1"/>
  <c r="R11" i="5"/>
  <c r="R9" i="5"/>
  <c r="F13" i="5"/>
  <c r="B13" i="5"/>
  <c r="F24" i="5"/>
  <c r="B24" i="5"/>
  <c r="B23" i="5"/>
  <c r="F23" i="5"/>
  <c r="B15" i="5"/>
  <c r="F15" i="5"/>
  <c r="B20" i="5"/>
  <c r="F20" i="5"/>
  <c r="F25" i="5"/>
  <c r="B25" i="5"/>
  <c r="F29" i="5"/>
  <c r="B29" i="5"/>
  <c r="D10" i="5"/>
  <c r="D8" i="5" s="1"/>
  <c r="F8" i="5" s="1"/>
  <c r="B11" i="5"/>
  <c r="F11" i="5"/>
  <c r="K10" i="5"/>
  <c r="K8" i="5" s="1"/>
  <c r="B14" i="5"/>
  <c r="F14" i="5"/>
  <c r="C10" i="5"/>
  <c r="C8" i="5" s="1"/>
  <c r="L10" i="5"/>
  <c r="N11" i="5"/>
  <c r="F18" i="5"/>
  <c r="B18" i="5"/>
  <c r="F12" i="5"/>
  <c r="B12" i="5"/>
  <c r="F17" i="5"/>
  <c r="B17" i="5"/>
  <c r="F16" i="5"/>
  <c r="B16" i="5"/>
  <c r="F19" i="5"/>
  <c r="B19" i="5"/>
  <c r="L8" i="5" l="1"/>
  <c r="N8" i="5" s="1"/>
  <c r="N10" i="5"/>
  <c r="F10" i="5"/>
  <c r="B10" i="5"/>
  <c r="B8" i="5" s="1"/>
  <c r="P8" i="5"/>
  <c r="R8" i="5" s="1"/>
</calcChain>
</file>

<file path=xl/sharedStrings.xml><?xml version="1.0" encoding="utf-8"?>
<sst xmlns="http://schemas.openxmlformats.org/spreadsheetml/2006/main" count="97" uniqueCount="72">
  <si>
    <t>cscnijed</t>
  </si>
  <si>
    <t>Both Sexes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</si>
  <si>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</si>
  <si>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</si>
  <si>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</si>
  <si>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</si>
  <si>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</si>
  <si>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</si>
  <si>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</si>
  <si>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</si>
  <si>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</si>
  <si>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</si>
  <si>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</si>
  <si>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</si>
  <si>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</si>
  <si>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</si>
  <si>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</si>
  <si>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</si>
  <si>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</si>
  <si>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</si>
  <si>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</si>
  <si>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</si>
  <si>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</si>
  <si>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</si>
  <si>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</si>
  <si>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</si>
  <si>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</si>
  <si>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</si>
  <si>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</si>
  <si>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</si>
  <si>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</si>
  <si>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</si>
  <si>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</si>
  <si>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</si>
  <si>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</si>
  <si>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</si>
  <si>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</si>
  <si>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</si>
  <si>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</si>
  <si>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</si>
  <si>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</si>
  <si>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cnwxEkuaiDea cfoa IrcTcsinim :ctWrwf ivcaed utWmUluAwm</t>
  </si>
  <si>
    <t>Pre - Primary</t>
  </si>
  <si>
    <t xml:space="preserve">Both Sexes </t>
  </si>
  <si>
    <t>Locality</t>
  </si>
  <si>
    <t>clUkcsIrcp</t>
  </si>
  <si>
    <t>umIluAwtWSwf</t>
  </si>
  <si>
    <t>umIluAwtIvwnWX</t>
  </si>
  <si>
    <t>umIluAwtIvwnWXItwm</t>
  </si>
  <si>
    <t>Lower Secondary Level</t>
  </si>
  <si>
    <t>Higher Secondary Level</t>
  </si>
  <si>
    <t>egcnidukWvwyik udwdwA</t>
  </si>
  <si>
    <t>udwdwa egclUkcs</t>
  </si>
  <si>
    <t xml:space="preserve">cnehcnwa cnia wtcawscnia  </t>
  </si>
  <si>
    <t xml:space="preserve">cnehcnwa cniawtcawscnia  </t>
  </si>
  <si>
    <t>cnwt</t>
  </si>
  <si>
    <t>No .of schools</t>
  </si>
  <si>
    <t>% of Females</t>
  </si>
  <si>
    <t>Note: Sum of schools in this table does not add up to total number of schools as schools overlap in levels</t>
  </si>
  <si>
    <t>Source : Ministry of Education</t>
  </si>
  <si>
    <t>HA</t>
  </si>
  <si>
    <t>HDh</t>
  </si>
  <si>
    <t>Sh</t>
  </si>
  <si>
    <t>R</t>
  </si>
  <si>
    <t xml:space="preserve">ޚާއްސަ އެހީއަށް ބޭނުންވާ ކްލާސްތަކުގައި ކިޔަވާ ކުދިން ނުހިމެނޭނެއެވެ. </t>
  </si>
  <si>
    <t>Females</t>
  </si>
  <si>
    <t xml:space="preserve"> Primary Level </t>
  </si>
  <si>
    <r>
      <t>No. of Students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</si>
  <si>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        </t>
    </r>
    <r>
      <rPr>
        <i/>
        <vertAlign val="superscript"/>
        <sz val="9"/>
        <color theme="1"/>
        <rFont val="Calibri"/>
        <family val="2"/>
        <scheme val="minor"/>
      </rPr>
      <t xml:space="preserve">  1_/</t>
    </r>
    <r>
      <rPr>
        <i/>
        <sz val="9"/>
        <color theme="1"/>
        <rFont val="Calibri"/>
        <family val="2"/>
        <scheme val="minor"/>
      </rPr>
      <t xml:space="preserve">  Excludes children with special needs.</t>
    </r>
  </si>
  <si>
    <t>ccnehcnwa</t>
  </si>
  <si>
    <t>Table 7.3: STUDENT ENROLMENT IN MALE' AND ATOLLS BY TYPE OF  LEVEL AND INSTITUTION , 2017</t>
  </si>
  <si>
    <t xml:space="preserve">2017 ,cnikwwv cscnij udwdwA egcnidukWvwyik iawgunwtcnwtea iaWnwtcnwtEdWvwyiik cSwkwtitcnwfikea iruh iawgukwtuLotwa iaWaelWm :7.3 clwvWt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</si>
</sst>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i/>
      <sz val="9"/>
      <color theme="1"/>
      <name val="Arial"/>
      <family val="2"/>
    </font>
    <font>
      <sz val="9"/>
      <color theme="1"/>
      <name val="Courier"/>
      <family val="3"/>
    </font>
    <font>
      <sz val="10"/>
      <color theme="1"/>
      <name val="A_Randhoo"/>
    </font>
    <font>
      <b/>
      <sz val="9"/>
      <color theme="1"/>
      <name val="A_Randhoo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Faruma"/>
    </font>
    <font>
      <sz val="8"/>
      <color theme="1"/>
      <name val="A_Randhoo"/>
    </font>
    <font>
      <vertAlign val="superscript"/>
      <sz val="11"/>
      <color theme="1"/>
      <name val="Faruma"/>
    </font>
    <font>
      <sz val="9"/>
      <color theme="1"/>
      <name val="Win Ahamedey PRB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A_Funa"/>
    </font>
    <font>
      <b/>
      <sz val="10"/>
      <color theme="1"/>
      <name val="A_Randhoo"/>
    </font>
    <font>
      <b/>
      <sz val="11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9"/>
      <color theme="1"/>
      <name val="Courier"/>
      <family val="3"/>
    </font>
    <font>
      <b/>
      <vertAlign val="superscript"/>
      <sz val="10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6" fontId="2" fillId="0" borderId="0"/>
    <xf numFmtId="40" fontId="22" fillId="0" borderId="0" applyFont="0" applyFill="0" applyBorder="0" applyAlignment="0" applyProtection="0"/>
    <xf numFmtId="164" fontId="2" fillId="0" borderId="0"/>
    <xf numFmtId="0" fontId="28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3" fillId="0" borderId="0"/>
    <xf numFmtId="171" fontId="2" fillId="0" borderId="0"/>
    <xf numFmtId="0" fontId="22" fillId="0" borderId="0"/>
    <xf numFmtId="0" fontId="22" fillId="0" borderId="0"/>
    <xf numFmtId="171" fontId="2" fillId="0" borderId="0"/>
    <xf numFmtId="0" fontId="22" fillId="0" borderId="0"/>
    <xf numFmtId="0" fontId="2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93">
    <xf numFmtId="0" fontId="0" fillId="0" borderId="0" xfId="0"/>
    <xf numFmtId="165" fontId="7" fillId="2" borderId="1" xfId="0" applyNumberFormat="1" applyFont="1" applyFill="1" applyBorder="1" applyAlignment="1">
      <alignment wrapText="1"/>
    </xf>
    <xf numFmtId="3" fontId="4" fillId="2" borderId="0" xfId="4" applyNumberFormat="1" applyFont="1" applyFill="1" applyAlignment="1">
      <alignment vertical="center"/>
    </xf>
    <xf numFmtId="3" fontId="8" fillId="2" borderId="0" xfId="4" applyNumberFormat="1" applyFont="1" applyFill="1" applyBorder="1" applyAlignment="1">
      <alignment vertical="center"/>
    </xf>
    <xf numFmtId="3" fontId="8" fillId="2" borderId="0" xfId="4" applyNumberFormat="1" applyFont="1" applyFill="1" applyAlignment="1">
      <alignment horizontal="center" vertical="center"/>
    </xf>
    <xf numFmtId="3" fontId="8" fillId="2" borderId="0" xfId="4" applyNumberFormat="1" applyFont="1" applyFill="1"/>
    <xf numFmtId="3" fontId="8" fillId="2" borderId="0" xfId="4" applyNumberFormat="1" applyFont="1" applyFill="1" applyAlignment="1"/>
    <xf numFmtId="3" fontId="8" fillId="2" borderId="0" xfId="4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3" fontId="11" fillId="2" borderId="0" xfId="4" applyNumberFormat="1" applyFont="1" applyFill="1" applyBorder="1" applyAlignment="1">
      <alignment horizontal="right" textRotation="90"/>
    </xf>
    <xf numFmtId="3" fontId="12" fillId="2" borderId="0" xfId="4" applyNumberFormat="1" applyFont="1" applyFill="1" applyBorder="1" applyAlignment="1">
      <alignment horizontal="center" textRotation="90"/>
    </xf>
    <xf numFmtId="3" fontId="11" fillId="2" borderId="0" xfId="4" applyNumberFormat="1" applyFont="1" applyFill="1" applyBorder="1" applyAlignment="1">
      <alignment horizontal="center" textRotation="90"/>
    </xf>
    <xf numFmtId="3" fontId="13" fillId="2" borderId="0" xfId="4" applyNumberFormat="1" applyFont="1" applyFill="1" applyBorder="1" applyAlignment="1">
      <alignment horizontal="center" textRotation="90"/>
    </xf>
    <xf numFmtId="165" fontId="4" fillId="2" borderId="0" xfId="0" applyNumberFormat="1" applyFont="1" applyFill="1" applyBorder="1" applyAlignment="1">
      <alignment vertical="center"/>
    </xf>
    <xf numFmtId="3" fontId="5" fillId="2" borderId="0" xfId="4" applyNumberFormat="1" applyFont="1" applyFill="1" applyBorder="1"/>
    <xf numFmtId="3" fontId="5" fillId="2" borderId="0" xfId="4" applyNumberFormat="1" applyFont="1" applyFill="1" applyBorder="1" applyAlignment="1">
      <alignment horizontal="center"/>
    </xf>
    <xf numFmtId="3" fontId="5" fillId="2" borderId="0" xfId="4" applyNumberFormat="1" applyFont="1" applyFill="1" applyBorder="1" applyAlignment="1"/>
    <xf numFmtId="3" fontId="5" fillId="2" borderId="0" xfId="4" applyNumberFormat="1" applyFont="1" applyFill="1" applyBorder="1" applyAlignment="1">
      <alignment horizontal="right"/>
    </xf>
    <xf numFmtId="165" fontId="14" fillId="2" borderId="0" xfId="0" applyNumberFormat="1" applyFont="1" applyFill="1" applyAlignment="1">
      <alignment horizontal="right"/>
    </xf>
    <xf numFmtId="3" fontId="15" fillId="2" borderId="0" xfId="4" applyNumberFormat="1" applyFont="1" applyFill="1" applyBorder="1" applyAlignment="1">
      <alignment horizontal="right"/>
    </xf>
    <xf numFmtId="165" fontId="16" fillId="2" borderId="0" xfId="0" applyNumberFormat="1" applyFont="1" applyFill="1" applyBorder="1" applyAlignment="1">
      <alignment horizontal="right" vertical="center"/>
    </xf>
    <xf numFmtId="3" fontId="17" fillId="2" borderId="0" xfId="4" applyNumberFormat="1" applyFont="1" applyFill="1" applyBorder="1" applyAlignment="1">
      <alignment horizontal="left"/>
    </xf>
    <xf numFmtId="3" fontId="11" fillId="2" borderId="0" xfId="4" applyNumberFormat="1" applyFont="1" applyFill="1" applyBorder="1" applyAlignment="1">
      <alignment horizontal="center"/>
    </xf>
    <xf numFmtId="3" fontId="15" fillId="2" borderId="0" xfId="4" applyNumberFormat="1" applyFont="1" applyFill="1" applyBorder="1"/>
    <xf numFmtId="165" fontId="14" fillId="2" borderId="0" xfId="0" applyNumberFormat="1" applyFont="1" applyFill="1"/>
    <xf numFmtId="165" fontId="10" fillId="2" borderId="0" xfId="0" applyNumberFormat="1" applyFont="1" applyFill="1" applyBorder="1" applyAlignment="1">
      <alignment wrapText="1" readingOrder="2"/>
    </xf>
    <xf numFmtId="49" fontId="18" fillId="2" borderId="0" xfId="5" applyNumberFormat="1" applyFont="1" applyFill="1" applyBorder="1" applyAlignment="1">
      <alignment horizontal="right" vertical="top"/>
    </xf>
    <xf numFmtId="3" fontId="19" fillId="2" borderId="0" xfId="4" applyNumberFormat="1" applyFont="1" applyFill="1" applyBorder="1"/>
    <xf numFmtId="165" fontId="1" fillId="2" borderId="0" xfId="0" applyNumberFormat="1" applyFont="1" applyFill="1"/>
    <xf numFmtId="3" fontId="24" fillId="2" borderId="0" xfId="4" applyNumberFormat="1" applyFont="1" applyFill="1" applyBorder="1" applyAlignment="1" applyProtection="1">
      <alignment horizontal="center"/>
    </xf>
    <xf numFmtId="3" fontId="15" fillId="2" borderId="2" xfId="4" applyNumberFormat="1" applyFont="1" applyFill="1" applyBorder="1"/>
    <xf numFmtId="165" fontId="1" fillId="2" borderId="0" xfId="0" applyNumberFormat="1" applyFont="1" applyFill="1" applyBorder="1"/>
    <xf numFmtId="165" fontId="9" fillId="2" borderId="0" xfId="0" applyNumberFormat="1" applyFont="1" applyFill="1"/>
    <xf numFmtId="3" fontId="25" fillId="2" borderId="0" xfId="4" applyNumberFormat="1" applyFont="1" applyFill="1" applyBorder="1" applyAlignment="1">
      <alignment horizontal="right" vertical="top" textRotation="90" wrapText="1"/>
    </xf>
    <xf numFmtId="3" fontId="26" fillId="2" borderId="0" xfId="4" applyNumberFormat="1" applyFont="1" applyFill="1" applyBorder="1" applyAlignment="1">
      <alignment horizontal="right" vertical="top"/>
    </xf>
    <xf numFmtId="165" fontId="9" fillId="2" borderId="0" xfId="0" applyNumberFormat="1" applyFont="1" applyFill="1" applyAlignment="1">
      <alignment vertical="top"/>
    </xf>
    <xf numFmtId="3" fontId="21" fillId="2" borderId="1" xfId="4" applyNumberFormat="1" applyFont="1" applyFill="1" applyBorder="1" applyAlignment="1">
      <alignment horizontal="right" textRotation="90" wrapText="1"/>
    </xf>
    <xf numFmtId="165" fontId="7" fillId="2" borderId="0" xfId="0" applyNumberFormat="1" applyFont="1" applyFill="1" applyAlignment="1">
      <alignment wrapText="1"/>
    </xf>
    <xf numFmtId="3" fontId="21" fillId="2" borderId="0" xfId="4" applyNumberFormat="1" applyFont="1" applyFill="1"/>
    <xf numFmtId="38" fontId="21" fillId="2" borderId="6" xfId="1" applyNumberFormat="1" applyFont="1" applyFill="1" applyBorder="1" applyAlignment="1">
      <alignment horizontal="right"/>
    </xf>
    <xf numFmtId="165" fontId="26" fillId="2" borderId="0" xfId="0" applyNumberFormat="1" applyFont="1" applyFill="1" applyAlignment="1">
      <alignment horizontal="right" vertical="center"/>
    </xf>
    <xf numFmtId="3" fontId="21" fillId="2" borderId="0" xfId="4" applyNumberFormat="1" applyFont="1" applyFill="1" applyAlignment="1"/>
    <xf numFmtId="38" fontId="21" fillId="2" borderId="0" xfId="1" applyNumberFormat="1" applyFont="1" applyFill="1" applyBorder="1" applyAlignment="1">
      <alignment horizontal="right"/>
    </xf>
    <xf numFmtId="38" fontId="21" fillId="2" borderId="11" xfId="1" applyNumberFormat="1" applyFont="1" applyFill="1" applyBorder="1" applyAlignment="1">
      <alignment horizontal="right"/>
    </xf>
    <xf numFmtId="38" fontId="21" fillId="2" borderId="8" xfId="1" applyNumberFormat="1" applyFont="1" applyFill="1" applyBorder="1" applyAlignment="1">
      <alignment horizontal="right"/>
    </xf>
    <xf numFmtId="165" fontId="9" fillId="2" borderId="0" xfId="0" applyNumberFormat="1" applyFont="1" applyFill="1" applyBorder="1"/>
    <xf numFmtId="38" fontId="20" fillId="2" borderId="0" xfId="1" applyNumberFormat="1" applyFont="1" applyFill="1" applyBorder="1"/>
    <xf numFmtId="3" fontId="13" fillId="2" borderId="0" xfId="4" applyNumberFormat="1" applyFont="1" applyFill="1" applyBorder="1" applyAlignment="1"/>
    <xf numFmtId="165" fontId="1" fillId="2" borderId="0" xfId="0" applyNumberFormat="1" applyFont="1" applyFill="1" applyBorder="1" applyAlignment="1"/>
    <xf numFmtId="165" fontId="1" fillId="2" borderId="0" xfId="0" applyNumberFormat="1" applyFont="1" applyFill="1" applyAlignment="1"/>
    <xf numFmtId="165" fontId="1" fillId="2" borderId="0" xfId="0" applyNumberFormat="1" applyFont="1" applyFill="1" applyAlignment="1">
      <alignment horizontal="right"/>
    </xf>
    <xf numFmtId="165" fontId="27" fillId="2" borderId="0" xfId="0" applyNumberFormat="1" applyFont="1" applyFill="1" applyAlignment="1">
      <alignment horizontal="center" vertical="center"/>
    </xf>
    <xf numFmtId="49" fontId="13" fillId="2" borderId="0" xfId="5" applyNumberFormat="1" applyFont="1" applyFill="1" applyBorder="1" applyAlignment="1">
      <alignment horizontal="center" vertical="center"/>
    </xf>
    <xf numFmtId="38" fontId="21" fillId="2" borderId="0" xfId="1" applyNumberFormat="1" applyFont="1" applyFill="1" applyBorder="1"/>
    <xf numFmtId="38" fontId="20" fillId="2" borderId="11" xfId="1" applyNumberFormat="1" applyFont="1" applyFill="1" applyBorder="1" applyAlignment="1">
      <alignment horizontal="right"/>
    </xf>
    <xf numFmtId="38" fontId="20" fillId="2" borderId="10" xfId="1" applyNumberFormat="1" applyFont="1" applyFill="1" applyBorder="1" applyAlignment="1">
      <alignment horizontal="right"/>
    </xf>
    <xf numFmtId="38" fontId="21" fillId="2" borderId="8" xfId="1" applyNumberFormat="1" applyFont="1" applyFill="1" applyBorder="1"/>
    <xf numFmtId="38" fontId="21" fillId="2" borderId="16" xfId="1" applyNumberFormat="1" applyFont="1" applyFill="1" applyBorder="1" applyAlignment="1">
      <alignment horizontal="right"/>
    </xf>
    <xf numFmtId="165" fontId="30" fillId="2" borderId="0" xfId="0" applyNumberFormat="1" applyFont="1" applyFill="1"/>
    <xf numFmtId="38" fontId="21" fillId="2" borderId="14" xfId="1" applyNumberFormat="1" applyFont="1" applyFill="1" applyBorder="1" applyAlignment="1">
      <alignment horizontal="right"/>
    </xf>
    <xf numFmtId="38" fontId="21" fillId="2" borderId="7" xfId="1" applyNumberFormat="1" applyFont="1" applyFill="1" applyBorder="1" applyAlignment="1">
      <alignment horizontal="right"/>
    </xf>
    <xf numFmtId="38" fontId="20" fillId="2" borderId="8" xfId="1" applyNumberFormat="1" applyFont="1" applyFill="1" applyBorder="1"/>
    <xf numFmtId="38" fontId="20" fillId="2" borderId="12" xfId="1" applyNumberFormat="1" applyFont="1" applyFill="1" applyBorder="1"/>
    <xf numFmtId="165" fontId="20" fillId="2" borderId="0" xfId="0" applyNumberFormat="1" applyFont="1" applyFill="1" applyAlignment="1" applyProtection="1">
      <alignment horizontal="left" vertical="center" indent="1"/>
    </xf>
    <xf numFmtId="165" fontId="20" fillId="2" borderId="0" xfId="0" applyNumberFormat="1" applyFont="1" applyFill="1" applyBorder="1" applyAlignment="1" applyProtection="1">
      <alignment horizontal="left" vertical="center" indent="1"/>
    </xf>
    <xf numFmtId="165" fontId="20" fillId="2" borderId="1" xfId="0" applyNumberFormat="1" applyFont="1" applyFill="1" applyBorder="1" applyAlignment="1" applyProtection="1">
      <alignment horizontal="left" vertical="center" indent="1"/>
    </xf>
    <xf numFmtId="3" fontId="25" fillId="2" borderId="9" xfId="4" applyNumberFormat="1" applyFont="1" applyFill="1" applyBorder="1" applyAlignment="1">
      <alignment horizontal="center" vertical="center" textRotation="90"/>
    </xf>
    <xf numFmtId="3" fontId="21" fillId="2" borderId="10" xfId="4" applyNumberFormat="1" applyFont="1" applyFill="1" applyBorder="1" applyAlignment="1">
      <alignment horizontal="center" textRotation="90" wrapText="1"/>
    </xf>
    <xf numFmtId="3" fontId="21" fillId="2" borderId="15" xfId="4" applyNumberFormat="1" applyFont="1" applyFill="1" applyBorder="1" applyAlignment="1">
      <alignment horizontal="center" textRotation="90" wrapText="1"/>
    </xf>
    <xf numFmtId="3" fontId="25" fillId="2" borderId="9" xfId="4" applyNumberFormat="1" applyFont="1" applyFill="1" applyBorder="1" applyAlignment="1">
      <alignment horizontal="center" vertical="center" textRotation="90" wrapText="1"/>
    </xf>
    <xf numFmtId="38" fontId="21" fillId="2" borderId="11" xfId="1" applyNumberFormat="1" applyFont="1" applyFill="1" applyBorder="1"/>
    <xf numFmtId="38" fontId="20" fillId="2" borderId="11" xfId="1" applyNumberFormat="1" applyFont="1" applyFill="1" applyBorder="1"/>
    <xf numFmtId="38" fontId="20" fillId="2" borderId="13" xfId="1" applyNumberFormat="1" applyFont="1" applyFill="1" applyBorder="1"/>
    <xf numFmtId="38" fontId="20" fillId="2" borderId="10" xfId="1" applyNumberFormat="1" applyFont="1" applyFill="1" applyBorder="1"/>
    <xf numFmtId="165" fontId="10" fillId="2" borderId="0" xfId="0" applyNumberFormat="1" applyFont="1" applyFill="1" applyAlignment="1">
      <alignment horizontal="right" vertical="center" indent="1"/>
    </xf>
    <xf numFmtId="165" fontId="10" fillId="2" borderId="0" xfId="0" applyNumberFormat="1" applyFont="1" applyFill="1" applyBorder="1" applyAlignment="1">
      <alignment horizontal="right" vertical="center" indent="1"/>
    </xf>
    <xf numFmtId="165" fontId="10" fillId="2" borderId="12" xfId="0" applyNumberFormat="1" applyFont="1" applyFill="1" applyBorder="1" applyAlignment="1">
      <alignment horizontal="right" vertical="center" indent="1"/>
    </xf>
    <xf numFmtId="165" fontId="10" fillId="2" borderId="0" xfId="0" applyNumberFormat="1" applyFont="1" applyFill="1" applyBorder="1" applyAlignment="1">
      <alignment horizontal="right" wrapText="1" readingOrder="2"/>
    </xf>
    <xf numFmtId="49" fontId="13" fillId="2" borderId="0" xfId="5" applyNumberFormat="1" applyFont="1" applyFill="1" applyBorder="1" applyAlignment="1">
      <alignment horizontal="center" vertical="center"/>
    </xf>
    <xf numFmtId="3" fontId="23" fillId="2" borderId="0" xfId="4" applyNumberFormat="1" applyFont="1" applyFill="1" applyAlignment="1">
      <alignment horizontal="center" vertical="center"/>
    </xf>
    <xf numFmtId="3" fontId="24" fillId="2" borderId="0" xfId="4" applyNumberFormat="1" applyFont="1" applyFill="1" applyBorder="1" applyAlignment="1" applyProtection="1">
      <alignment horizontal="center"/>
    </xf>
    <xf numFmtId="3" fontId="21" fillId="2" borderId="2" xfId="4" applyNumberFormat="1" applyFont="1" applyFill="1" applyBorder="1" applyAlignment="1">
      <alignment horizontal="left" vertical="center"/>
    </xf>
    <xf numFmtId="3" fontId="21" fillId="2" borderId="0" xfId="4" applyNumberFormat="1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left" vertical="center"/>
    </xf>
    <xf numFmtId="3" fontId="11" fillId="2" borderId="5" xfId="4" applyNumberFormat="1" applyFont="1" applyFill="1" applyBorder="1" applyAlignment="1">
      <alignment horizontal="center" readingOrder="2"/>
    </xf>
    <xf numFmtId="3" fontId="11" fillId="2" borderId="2" xfId="4" applyNumberFormat="1" applyFont="1" applyFill="1" applyBorder="1" applyAlignment="1">
      <alignment horizontal="center" readingOrder="2"/>
    </xf>
    <xf numFmtId="3" fontId="11" fillId="2" borderId="6" xfId="4" applyNumberFormat="1" applyFont="1" applyFill="1" applyBorder="1" applyAlignment="1">
      <alignment horizontal="center" readingOrder="2"/>
    </xf>
    <xf numFmtId="3" fontId="11" fillId="2" borderId="5" xfId="4" applyNumberFormat="1" applyFont="1" applyFill="1" applyBorder="1" applyAlignment="1">
      <alignment horizontal="center"/>
    </xf>
    <xf numFmtId="3" fontId="11" fillId="2" borderId="2" xfId="4" applyNumberFormat="1" applyFont="1" applyFill="1" applyBorder="1" applyAlignment="1">
      <alignment horizontal="center"/>
    </xf>
    <xf numFmtId="3" fontId="11" fillId="2" borderId="6" xfId="4" applyNumberFormat="1" applyFont="1" applyFill="1" applyBorder="1" applyAlignment="1">
      <alignment horizontal="center"/>
    </xf>
    <xf numFmtId="49" fontId="6" fillId="2" borderId="3" xfId="5" applyNumberFormat="1" applyFont="1" applyFill="1" applyBorder="1" applyAlignment="1">
      <alignment horizontal="center" vertical="center"/>
    </xf>
    <xf numFmtId="49" fontId="6" fillId="2" borderId="1" xfId="5" applyNumberFormat="1" applyFont="1" applyFill="1" applyBorder="1" applyAlignment="1">
      <alignment horizontal="center" vertical="center"/>
    </xf>
    <xf numFmtId="49" fontId="6" fillId="2" borderId="4" xfId="5" applyNumberFormat="1" applyFont="1" applyFill="1" applyBorder="1" applyAlignment="1">
      <alignment horizontal="center" vertical="center"/>
    </xf>
  </cellXfs>
  <cellStyles count="164">
    <cellStyle name="1" xfId="141"/>
    <cellStyle name="Comma" xfId="1" builtinId="3"/>
    <cellStyle name="Comma 2" xfId="8"/>
    <cellStyle name="Comma 3" xfId="11"/>
    <cellStyle name="Comma 3 2" xfId="159"/>
    <cellStyle name="Comma_II-15(Population)" xfId="5"/>
    <cellStyle name="Normal" xfId="0" builtinId="0"/>
    <cellStyle name="Normal - Style1" xfId="146"/>
    <cellStyle name="Normal 10" xfId="21"/>
    <cellStyle name="Normal 10 2" xfId="35"/>
    <cellStyle name="Normal 105 2" xfId="127"/>
    <cellStyle name="Normal 11" xfId="22"/>
    <cellStyle name="Normal 11 2" xfId="36"/>
    <cellStyle name="Normal 12" xfId="23"/>
    <cellStyle name="Normal 12 2" xfId="37"/>
    <cellStyle name="Normal 13" xfId="25"/>
    <cellStyle name="Normal 13 2" xfId="38"/>
    <cellStyle name="Normal 14" xfId="26"/>
    <cellStyle name="Normal 14 2" xfId="39"/>
    <cellStyle name="Normal 15" xfId="27"/>
    <cellStyle name="Normal 15 2" xfId="40"/>
    <cellStyle name="Normal 16" xfId="28"/>
    <cellStyle name="Normal 16 2" xfId="41"/>
    <cellStyle name="Normal 17" xfId="29"/>
    <cellStyle name="Normal 17 2" xfId="42"/>
    <cellStyle name="Normal 18" xfId="30"/>
    <cellStyle name="Normal 18 2" xfId="43"/>
    <cellStyle name="Normal 19" xfId="31"/>
    <cellStyle name="Normal 19 2" xfId="44"/>
    <cellStyle name="Normal 2" xfId="14"/>
    <cellStyle name="Normal 2 10" xfId="45"/>
    <cellStyle name="Normal 2 11" xfId="46"/>
    <cellStyle name="Normal 2 12" xfId="47"/>
    <cellStyle name="Normal 2 13" xfId="48"/>
    <cellStyle name="Normal 2 14" xfId="49"/>
    <cellStyle name="Normal 2 15" xfId="50"/>
    <cellStyle name="Normal 2 16" xfId="51"/>
    <cellStyle name="Normal 2 17" xfId="52"/>
    <cellStyle name="Normal 2 18" xfId="53"/>
    <cellStyle name="Normal 2 19" xfId="54"/>
    <cellStyle name="Normal 2 2" xfId="13"/>
    <cellStyle name="Normal 2 2 10" xfId="55"/>
    <cellStyle name="Normal 2 2 11" xfId="56"/>
    <cellStyle name="Normal 2 2 12" xfId="57"/>
    <cellStyle name="Normal 2 2 13" xfId="58"/>
    <cellStyle name="Normal 2 2 14" xfId="59"/>
    <cellStyle name="Normal 2 2 15" xfId="60"/>
    <cellStyle name="Normal 2 2 16" xfId="61"/>
    <cellStyle name="Normal 2 2 17" xfId="62"/>
    <cellStyle name="Normal 2 2 18" xfId="63"/>
    <cellStyle name="Normal 2 2 19" xfId="64"/>
    <cellStyle name="Normal 2 2 2" xfId="6"/>
    <cellStyle name="Normal 2 2 20" xfId="65"/>
    <cellStyle name="Normal 2 2 21" xfId="66"/>
    <cellStyle name="Normal 2 2 22" xfId="67"/>
    <cellStyle name="Normal 2 2 23" xfId="68"/>
    <cellStyle name="Normal 2 2 24" xfId="69"/>
    <cellStyle name="Normal 2 2 24 2" xfId="70"/>
    <cellStyle name="Normal 2 2 24 2 2" xfId="71"/>
    <cellStyle name="Normal 2 2 25" xfId="72"/>
    <cellStyle name="Normal 2 2 25 2" xfId="73"/>
    <cellStyle name="Normal 2 2 26" xfId="147"/>
    <cellStyle name="Normal 2 2 3" xfId="74"/>
    <cellStyle name="Normal 2 2 4" xfId="75"/>
    <cellStyle name="Normal 2 2 5" xfId="76"/>
    <cellStyle name="Normal 2 2 5 2" xfId="77"/>
    <cellStyle name="Normal 2 2 5 2 2" xfId="78"/>
    <cellStyle name="Normal 2 2 5 2 2 2" xfId="79"/>
    <cellStyle name="Normal 2 2 5 3" xfId="80"/>
    <cellStyle name="Normal 2 2 5 4" xfId="81"/>
    <cellStyle name="Normal 2 2 6" xfId="82"/>
    <cellStyle name="Normal 2 2 7" xfId="83"/>
    <cellStyle name="Normal 2 2 8" xfId="84"/>
    <cellStyle name="Normal 2 2 9" xfId="85"/>
    <cellStyle name="Normal 2 20" xfId="86"/>
    <cellStyle name="Normal 2 21" xfId="87"/>
    <cellStyle name="Normal 2 22" xfId="88"/>
    <cellStyle name="Normal 2 23" xfId="89"/>
    <cellStyle name="Normal 2 24" xfId="90"/>
    <cellStyle name="Normal 2 24 2" xfId="91"/>
    <cellStyle name="Normal 2 24 2 2" xfId="92"/>
    <cellStyle name="Normal 2 25" xfId="93"/>
    <cellStyle name="Normal 2 25 2" xfId="94"/>
    <cellStyle name="Normal 2 26" xfId="145"/>
    <cellStyle name="Normal 2 3" xfId="15"/>
    <cellStyle name="Normal 2 3 2" xfId="95"/>
    <cellStyle name="Normal 2 3 2 2" xfId="96"/>
    <cellStyle name="Normal 2 3 2 2 2" xfId="97"/>
    <cellStyle name="Normal 2 3 3" xfId="98"/>
    <cellStyle name="Normal 2 3 4" xfId="99"/>
    <cellStyle name="Normal 2 3 5" xfId="148"/>
    <cellStyle name="Normal 2 4" xfId="100"/>
    <cellStyle name="Normal 2 4 2" xfId="149"/>
    <cellStyle name="Normal 2 5" xfId="101"/>
    <cellStyle name="Normal 2 5 2" xfId="160"/>
    <cellStyle name="Normal 2 6" xfId="102"/>
    <cellStyle name="Normal 2 7" xfId="103"/>
    <cellStyle name="Normal 2 8" xfId="104"/>
    <cellStyle name="Normal 2 9" xfId="105"/>
    <cellStyle name="Normal 20" xfId="32"/>
    <cellStyle name="Normal 20 2" xfId="106"/>
    <cellStyle name="Normal 21" xfId="33"/>
    <cellStyle name="Normal 21 2" xfId="107"/>
    <cellStyle name="Normal 22" xfId="34"/>
    <cellStyle name="Normal 22 2" xfId="108"/>
    <cellStyle name="Normal 23" xfId="109"/>
    <cellStyle name="Normal 23 2" xfId="110"/>
    <cellStyle name="Normal 24" xfId="134"/>
    <cellStyle name="Normal 25" xfId="16"/>
    <cellStyle name="Normal 25 2" xfId="128"/>
    <cellStyle name="Normal 26" xfId="121"/>
    <cellStyle name="Normal 26 2" xfId="138"/>
    <cellStyle name="Normal 27" xfId="119"/>
    <cellStyle name="Normal 27 2" xfId="137"/>
    <cellStyle name="Normal 28" xfId="122"/>
    <cellStyle name="Normal 28 2" xfId="131"/>
    <cellStyle name="Normal 29" xfId="129"/>
    <cellStyle name="Normal 3" xfId="10"/>
    <cellStyle name="Normal 3 11" xfId="125"/>
    <cellStyle name="Normal 3 12" xfId="123"/>
    <cellStyle name="Normal 3 13" xfId="124"/>
    <cellStyle name="Normal 3 14" xfId="126"/>
    <cellStyle name="Normal 3 2" xfId="111"/>
    <cellStyle name="Normal 3 2 2" xfId="151"/>
    <cellStyle name="Normal 3 3" xfId="112"/>
    <cellStyle name="Normal 3 3 2" xfId="152"/>
    <cellStyle name="Normal 3 4" xfId="150"/>
    <cellStyle name="Normal 30" xfId="136"/>
    <cellStyle name="Normal 31" xfId="133"/>
    <cellStyle name="Normal 32" xfId="130"/>
    <cellStyle name="Normal 33" xfId="140"/>
    <cellStyle name="Normal 34" xfId="132"/>
    <cellStyle name="Normal 35" xfId="139"/>
    <cellStyle name="Normal 4" xfId="17"/>
    <cellStyle name="Normal 4 2" xfId="113"/>
    <cellStyle name="Normal 4 3" xfId="120"/>
    <cellStyle name="Normal 4 3 2" xfId="153"/>
    <cellStyle name="Normal 5" xfId="24"/>
    <cellStyle name="Normal 5 2" xfId="114"/>
    <cellStyle name="Normal 5 3" xfId="154"/>
    <cellStyle name="Normal 6" xfId="3"/>
    <cellStyle name="Normal 6 2" xfId="135"/>
    <cellStyle name="Normal 6 2 2" xfId="155"/>
    <cellStyle name="Normal 6 3" xfId="118"/>
    <cellStyle name="Normal 6 3 2" xfId="161"/>
    <cellStyle name="Normal 6 4" xfId="143"/>
    <cellStyle name="Normal 7" xfId="2"/>
    <cellStyle name="Normal 7 2" xfId="115"/>
    <cellStyle name="Normal 7 2 2" xfId="156"/>
    <cellStyle name="Normal 7 3" xfId="18"/>
    <cellStyle name="Normal 7 3 2" xfId="162"/>
    <cellStyle name="Normal 7 4" xfId="142"/>
    <cellStyle name="Normal 8" xfId="7"/>
    <cellStyle name="Normal 8 2" xfId="9"/>
    <cellStyle name="Normal 8 2 2" xfId="116"/>
    <cellStyle name="Normal 8 2 3" xfId="157"/>
    <cellStyle name="Normal 8 3" xfId="19"/>
    <cellStyle name="Normal 8 3 2" xfId="163"/>
    <cellStyle name="Normal 8 4" xfId="144"/>
    <cellStyle name="Normal 9" xfId="20"/>
    <cellStyle name="Normal 9 2" xfId="117"/>
    <cellStyle name="Normal 9 3" xfId="158"/>
    <cellStyle name="Normal_II-15(Population)" xfId="4"/>
    <cellStyle name="Percent 2" xfId="12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37"/>
  <sheetViews>
    <sheetView tabSelected="1" zoomScaleNormal="100" workbookViewId="0">
      <selection activeCell="Z13" sqref="Z13"/>
    </sheetView>
  </sheetViews>
  <sheetFormatPr defaultColWidth="9.140625" defaultRowHeight="15"/>
  <cols>
    <col min="1" max="1" width="12.85546875" style="28" customWidth="1"/>
    <col min="2" max="2" width="10.42578125" style="31" customWidth="1"/>
    <col min="3" max="3" width="6.42578125" style="28" customWidth="1"/>
    <col min="4" max="4" width="7.140625" style="28" customWidth="1"/>
    <col min="5" max="5" width="8.5703125" style="28" hidden="1" customWidth="1"/>
    <col min="6" max="6" width="7.85546875" style="49" customWidth="1"/>
    <col min="7" max="7" width="9.140625" style="50" customWidth="1"/>
    <col min="8" max="8" width="9.5703125" style="50" customWidth="1"/>
    <col min="9" max="9" width="8.85546875" style="50" hidden="1" customWidth="1"/>
    <col min="10" max="10" width="7.5703125" style="50" customWidth="1"/>
    <col min="11" max="12" width="8.28515625" style="50" customWidth="1"/>
    <col min="13" max="13" width="6.85546875" style="50" hidden="1" customWidth="1"/>
    <col min="14" max="14" width="8.28515625" style="50" customWidth="1"/>
    <col min="15" max="16" width="7.28515625" style="50" customWidth="1"/>
    <col min="17" max="17" width="12.5703125" style="50" hidden="1" customWidth="1"/>
    <col min="18" max="18" width="7.28515625" style="50" customWidth="1"/>
    <col min="19" max="19" width="15.5703125" style="28" customWidth="1"/>
    <col min="20" max="20" width="14.85546875" style="28" bestFit="1" customWidth="1"/>
    <col min="21" max="16384" width="9.140625" style="28"/>
  </cols>
  <sheetData>
    <row r="1" spans="1:20" ht="19.5">
      <c r="A1" s="79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51"/>
    </row>
    <row r="2" spans="1:20" s="31" customFormat="1" ht="15.75">
      <c r="A2" s="80" t="s">
        <v>70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1:20" ht="15.7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20" ht="19.5" customHeight="1">
      <c r="A4" s="81" t="s">
        <v>44</v>
      </c>
      <c r="B4" s="30"/>
      <c r="C4" s="84" t="s">
        <v>45</v>
      </c>
      <c r="D4" s="85"/>
      <c r="E4" s="85"/>
      <c r="F4" s="86"/>
      <c r="G4" s="87" t="s">
        <v>46</v>
      </c>
      <c r="H4" s="88"/>
      <c r="I4" s="88"/>
      <c r="J4" s="89"/>
      <c r="K4" s="87" t="s">
        <v>47</v>
      </c>
      <c r="L4" s="88"/>
      <c r="M4" s="88"/>
      <c r="N4" s="89"/>
      <c r="O4" s="87" t="s">
        <v>48</v>
      </c>
      <c r="P4" s="88"/>
      <c r="Q4" s="88"/>
      <c r="R4" s="89"/>
      <c r="S4" s="30"/>
      <c r="T4" s="51"/>
    </row>
    <row r="5" spans="1:20" s="32" customFormat="1">
      <c r="A5" s="82"/>
      <c r="B5" s="31"/>
      <c r="C5" s="90" t="s">
        <v>42</v>
      </c>
      <c r="D5" s="91"/>
      <c r="E5" s="91"/>
      <c r="F5" s="92"/>
      <c r="G5" s="90" t="s">
        <v>66</v>
      </c>
      <c r="H5" s="91"/>
      <c r="I5" s="91"/>
      <c r="J5" s="92"/>
      <c r="K5" s="90" t="s">
        <v>49</v>
      </c>
      <c r="L5" s="91"/>
      <c r="M5" s="91"/>
      <c r="N5" s="92"/>
      <c r="O5" s="90" t="s">
        <v>50</v>
      </c>
      <c r="P5" s="91"/>
      <c r="Q5" s="91"/>
      <c r="R5" s="92"/>
      <c r="S5" s="27"/>
    </row>
    <row r="6" spans="1:20" s="35" customFormat="1" ht="57" customHeight="1">
      <c r="A6" s="82"/>
      <c r="B6" s="33" t="s">
        <v>51</v>
      </c>
      <c r="C6" s="69" t="s">
        <v>52</v>
      </c>
      <c r="D6" s="66" t="s">
        <v>0</v>
      </c>
      <c r="E6" s="66" t="s">
        <v>69</v>
      </c>
      <c r="F6" s="69" t="s">
        <v>53</v>
      </c>
      <c r="G6" s="66" t="s">
        <v>52</v>
      </c>
      <c r="H6" s="66" t="s">
        <v>0</v>
      </c>
      <c r="I6" s="66" t="s">
        <v>69</v>
      </c>
      <c r="J6" s="69" t="s">
        <v>54</v>
      </c>
      <c r="K6" s="66" t="s">
        <v>52</v>
      </c>
      <c r="L6" s="66" t="s">
        <v>0</v>
      </c>
      <c r="M6" s="66" t="s">
        <v>69</v>
      </c>
      <c r="N6" s="69" t="s">
        <v>54</v>
      </c>
      <c r="O6" s="66" t="s">
        <v>52</v>
      </c>
      <c r="P6" s="66" t="s">
        <v>0</v>
      </c>
      <c r="Q6" s="66" t="s">
        <v>69</v>
      </c>
      <c r="R6" s="69" t="s">
        <v>54</v>
      </c>
      <c r="S6" s="34" t="s">
        <v>55</v>
      </c>
    </row>
    <row r="7" spans="1:20" s="37" customFormat="1" ht="52.5" customHeight="1">
      <c r="A7" s="83"/>
      <c r="B7" s="36" t="s">
        <v>67</v>
      </c>
      <c r="C7" s="67" t="s">
        <v>56</v>
      </c>
      <c r="D7" s="67" t="s">
        <v>1</v>
      </c>
      <c r="E7" s="68" t="s">
        <v>65</v>
      </c>
      <c r="F7" s="67" t="s">
        <v>57</v>
      </c>
      <c r="G7" s="67" t="s">
        <v>56</v>
      </c>
      <c r="H7" s="67" t="s">
        <v>43</v>
      </c>
      <c r="I7" s="67" t="s">
        <v>65</v>
      </c>
      <c r="J7" s="67" t="s">
        <v>57</v>
      </c>
      <c r="K7" s="67" t="s">
        <v>56</v>
      </c>
      <c r="L7" s="67" t="s">
        <v>1</v>
      </c>
      <c r="M7" s="67" t="s">
        <v>65</v>
      </c>
      <c r="N7" s="67" t="s">
        <v>57</v>
      </c>
      <c r="O7" s="67" t="s">
        <v>56</v>
      </c>
      <c r="P7" s="67" t="s">
        <v>1</v>
      </c>
      <c r="Q7" s="67" t="s">
        <v>65</v>
      </c>
      <c r="R7" s="67" t="s">
        <v>57</v>
      </c>
      <c r="S7" s="1"/>
    </row>
    <row r="8" spans="1:20" s="58" customFormat="1" ht="15.75">
      <c r="A8" s="38" t="s">
        <v>2</v>
      </c>
      <c r="B8" s="39">
        <f>SUM(B9:B10)</f>
        <v>87295</v>
      </c>
      <c r="C8" s="57">
        <f t="shared" ref="C8" si="0">SUM(C9:C10)</f>
        <v>332</v>
      </c>
      <c r="D8" s="39">
        <f>SUM(D9:D10)</f>
        <v>21000</v>
      </c>
      <c r="E8" s="59">
        <v>10110</v>
      </c>
      <c r="F8" s="57">
        <f>E8/D8*100</f>
        <v>48.142857142857146</v>
      </c>
      <c r="G8" s="59">
        <f t="shared" ref="G8:I8" si="1">SUM(G9:G10)</f>
        <v>212</v>
      </c>
      <c r="H8" s="57">
        <f t="shared" si="1"/>
        <v>45326</v>
      </c>
      <c r="I8" s="57">
        <v>22111</v>
      </c>
      <c r="J8" s="57">
        <f>I8/H8*100</f>
        <v>48.78215593698981</v>
      </c>
      <c r="K8" s="57">
        <f t="shared" ref="K8:M8" si="2">SUM(K9:K10)</f>
        <v>195</v>
      </c>
      <c r="L8" s="57">
        <f t="shared" si="2"/>
        <v>16778</v>
      </c>
      <c r="M8" s="57">
        <v>8064</v>
      </c>
      <c r="N8" s="57">
        <f>M8/L8*100</f>
        <v>48.062939563714387</v>
      </c>
      <c r="O8" s="57">
        <f t="shared" ref="O8:Q8" si="3">SUM(O9:O10)</f>
        <v>52</v>
      </c>
      <c r="P8" s="57">
        <f t="shared" si="3"/>
        <v>4191</v>
      </c>
      <c r="Q8" s="57">
        <v>2357</v>
      </c>
      <c r="R8" s="57">
        <f>Q8/P8*100</f>
        <v>56.239560963970412</v>
      </c>
      <c r="S8" s="40" t="s">
        <v>3</v>
      </c>
    </row>
    <row r="9" spans="1:20" s="58" customFormat="1" ht="15.75">
      <c r="A9" s="41" t="s">
        <v>4</v>
      </c>
      <c r="B9" s="56">
        <f>D9+H9+L9+P9</f>
        <v>31195</v>
      </c>
      <c r="C9" s="70">
        <v>23</v>
      </c>
      <c r="D9" s="70">
        <v>7972</v>
      </c>
      <c r="E9" s="53">
        <v>3885</v>
      </c>
      <c r="F9" s="43">
        <f>E9/D9*100</f>
        <v>48.733065730055195</v>
      </c>
      <c r="G9" s="70">
        <v>18</v>
      </c>
      <c r="H9" s="70">
        <v>15433</v>
      </c>
      <c r="I9" s="53">
        <v>7565</v>
      </c>
      <c r="J9" s="43">
        <f>I9/H9*100</f>
        <v>49.018337329099978</v>
      </c>
      <c r="K9" s="70">
        <v>17</v>
      </c>
      <c r="L9" s="70">
        <v>5335</v>
      </c>
      <c r="M9" s="53">
        <v>2676</v>
      </c>
      <c r="N9" s="43">
        <f>M9/L9*100</f>
        <v>50.159325210871607</v>
      </c>
      <c r="O9" s="70">
        <v>7</v>
      </c>
      <c r="P9" s="70">
        <v>2455</v>
      </c>
      <c r="Q9" s="53">
        <v>1337</v>
      </c>
      <c r="R9" s="43">
        <f>Q9/P9*100</f>
        <v>54.460285132382893</v>
      </c>
      <c r="S9" s="40" t="s">
        <v>5</v>
      </c>
    </row>
    <row r="10" spans="1:20" s="58" customFormat="1" ht="15.75">
      <c r="A10" s="38" t="s">
        <v>6</v>
      </c>
      <c r="B10" s="44">
        <f>D10+H10+L10+P10</f>
        <v>56100</v>
      </c>
      <c r="C10" s="43">
        <f>SUM(C11:C30)</f>
        <v>309</v>
      </c>
      <c r="D10" s="43">
        <f>SUM(D11:D30)</f>
        <v>13028</v>
      </c>
      <c r="E10" s="60">
        <v>6225</v>
      </c>
      <c r="F10" s="43">
        <f t="shared" ref="F10:F30" si="4">E10/D10*100</f>
        <v>47.781700951796132</v>
      </c>
      <c r="G10" s="42">
        <f t="shared" ref="G10:I10" si="5">SUM(G11:G30)</f>
        <v>194</v>
      </c>
      <c r="H10" s="43">
        <f t="shared" si="5"/>
        <v>29893</v>
      </c>
      <c r="I10" s="43">
        <v>14546</v>
      </c>
      <c r="J10" s="43">
        <f t="shared" ref="J10:J30" si="6">I10/H10*100</f>
        <v>48.660221456528284</v>
      </c>
      <c r="K10" s="43">
        <f t="shared" ref="K10:M10" si="7">SUM(K11:K30)</f>
        <v>178</v>
      </c>
      <c r="L10" s="43">
        <f t="shared" si="7"/>
        <v>11443</v>
      </c>
      <c r="M10" s="43">
        <v>5388</v>
      </c>
      <c r="N10" s="43">
        <f t="shared" ref="N10:N30" si="8">M10/L10*100</f>
        <v>47.085554487459582</v>
      </c>
      <c r="O10" s="43">
        <f t="shared" ref="O10:Q10" si="9">SUM(O11:O30)</f>
        <v>45</v>
      </c>
      <c r="P10" s="43">
        <f t="shared" si="9"/>
        <v>1736</v>
      </c>
      <c r="Q10" s="43">
        <v>1020</v>
      </c>
      <c r="R10" s="43">
        <f t="shared" ref="R10:R20" si="10">Q10/P10*100</f>
        <v>58.755760368663587</v>
      </c>
      <c r="S10" s="40" t="s">
        <v>7</v>
      </c>
    </row>
    <row r="11" spans="1:20" s="32" customFormat="1" ht="15.75">
      <c r="A11" s="63" t="s">
        <v>60</v>
      </c>
      <c r="B11" s="61">
        <f>D11+H11+L11+P11</f>
        <v>3778</v>
      </c>
      <c r="C11" s="71">
        <v>20</v>
      </c>
      <c r="D11" s="71">
        <v>812</v>
      </c>
      <c r="E11" s="46">
        <v>369</v>
      </c>
      <c r="F11" s="54">
        <f t="shared" si="4"/>
        <v>45.443349753694577</v>
      </c>
      <c r="G11" s="71">
        <v>14</v>
      </c>
      <c r="H11" s="71">
        <v>1999</v>
      </c>
      <c r="I11" s="46">
        <v>953</v>
      </c>
      <c r="J11" s="54">
        <f t="shared" si="6"/>
        <v>47.67383691845923</v>
      </c>
      <c r="K11" s="71">
        <v>14</v>
      </c>
      <c r="L11" s="71">
        <v>872</v>
      </c>
      <c r="M11" s="46">
        <v>412</v>
      </c>
      <c r="N11" s="54">
        <f t="shared" si="8"/>
        <v>47.247706422018346</v>
      </c>
      <c r="O11" s="71">
        <v>4</v>
      </c>
      <c r="P11" s="71">
        <v>95</v>
      </c>
      <c r="Q11" s="46">
        <v>42</v>
      </c>
      <c r="R11" s="54">
        <f t="shared" si="10"/>
        <v>44.210526315789473</v>
      </c>
      <c r="S11" s="74" t="s">
        <v>8</v>
      </c>
    </row>
    <row r="12" spans="1:20" s="45" customFormat="1" ht="15.75">
      <c r="A12" s="63" t="s">
        <v>61</v>
      </c>
      <c r="B12" s="61">
        <f t="shared" ref="B12:B30" si="11">D12+H12+L12+P12</f>
        <v>5627</v>
      </c>
      <c r="C12" s="71">
        <v>26</v>
      </c>
      <c r="D12" s="71">
        <v>1482</v>
      </c>
      <c r="E12" s="46">
        <v>725</v>
      </c>
      <c r="F12" s="54">
        <f t="shared" si="4"/>
        <v>48.920377867746289</v>
      </c>
      <c r="G12" s="71">
        <v>14</v>
      </c>
      <c r="H12" s="71">
        <v>2924</v>
      </c>
      <c r="I12" s="46">
        <v>1410</v>
      </c>
      <c r="J12" s="54">
        <f t="shared" si="6"/>
        <v>48.221614227086185</v>
      </c>
      <c r="K12" s="71">
        <v>14</v>
      </c>
      <c r="L12" s="71">
        <v>1078</v>
      </c>
      <c r="M12" s="46">
        <v>517</v>
      </c>
      <c r="N12" s="54">
        <f t="shared" si="8"/>
        <v>47.959183673469383</v>
      </c>
      <c r="O12" s="71">
        <v>3</v>
      </c>
      <c r="P12" s="71">
        <v>143</v>
      </c>
      <c r="Q12" s="46">
        <v>76</v>
      </c>
      <c r="R12" s="54">
        <f t="shared" si="10"/>
        <v>53.146853146853147</v>
      </c>
      <c r="S12" s="74" t="s">
        <v>9</v>
      </c>
    </row>
    <row r="13" spans="1:20" s="45" customFormat="1" ht="15.75">
      <c r="A13" s="63" t="s">
        <v>62</v>
      </c>
      <c r="B13" s="61">
        <f t="shared" si="11"/>
        <v>3691</v>
      </c>
      <c r="C13" s="71">
        <v>19</v>
      </c>
      <c r="D13" s="71">
        <v>802</v>
      </c>
      <c r="E13" s="46">
        <v>376</v>
      </c>
      <c r="F13" s="54">
        <f t="shared" si="4"/>
        <v>46.882793017456358</v>
      </c>
      <c r="G13" s="71">
        <v>14</v>
      </c>
      <c r="H13" s="71">
        <v>1970</v>
      </c>
      <c r="I13" s="46">
        <v>977</v>
      </c>
      <c r="J13" s="54">
        <f>I13/H13*100</f>
        <v>49.593908629441621</v>
      </c>
      <c r="K13" s="71">
        <v>14</v>
      </c>
      <c r="L13" s="71">
        <v>861</v>
      </c>
      <c r="M13" s="46">
        <v>390</v>
      </c>
      <c r="N13" s="54">
        <f t="shared" si="8"/>
        <v>45.296167247386762</v>
      </c>
      <c r="O13" s="71">
        <v>3</v>
      </c>
      <c r="P13" s="71">
        <v>58</v>
      </c>
      <c r="Q13" s="46">
        <v>31</v>
      </c>
      <c r="R13" s="54">
        <f t="shared" si="10"/>
        <v>53.448275862068961</v>
      </c>
      <c r="S13" s="74" t="s">
        <v>10</v>
      </c>
    </row>
    <row r="14" spans="1:20" s="45" customFormat="1" ht="15.75">
      <c r="A14" s="63" t="s">
        <v>39</v>
      </c>
      <c r="B14" s="61">
        <f t="shared" si="11"/>
        <v>2977</v>
      </c>
      <c r="C14" s="71">
        <v>20</v>
      </c>
      <c r="D14" s="71">
        <v>684</v>
      </c>
      <c r="E14" s="46">
        <v>335</v>
      </c>
      <c r="F14" s="54">
        <f t="shared" si="4"/>
        <v>48.976608187134502</v>
      </c>
      <c r="G14" s="71">
        <v>13</v>
      </c>
      <c r="H14" s="71">
        <v>1640</v>
      </c>
      <c r="I14" s="46">
        <v>793</v>
      </c>
      <c r="J14" s="54">
        <f t="shared" si="6"/>
        <v>48.353658536585364</v>
      </c>
      <c r="K14" s="71">
        <v>12</v>
      </c>
      <c r="L14" s="71">
        <v>589</v>
      </c>
      <c r="M14" s="46">
        <v>275</v>
      </c>
      <c r="N14" s="54">
        <f t="shared" si="8"/>
        <v>46.689303904923598</v>
      </c>
      <c r="O14" s="71">
        <v>2</v>
      </c>
      <c r="P14" s="71">
        <v>64</v>
      </c>
      <c r="Q14" s="46">
        <v>43</v>
      </c>
      <c r="R14" s="54">
        <f t="shared" si="10"/>
        <v>67.1875</v>
      </c>
      <c r="S14" s="74" t="s">
        <v>11</v>
      </c>
    </row>
    <row r="15" spans="1:20" s="32" customFormat="1" ht="15.75">
      <c r="A15" s="63" t="s">
        <v>63</v>
      </c>
      <c r="B15" s="61">
        <f t="shared" si="11"/>
        <v>4690</v>
      </c>
      <c r="C15" s="71">
        <v>24</v>
      </c>
      <c r="D15" s="71">
        <v>1123</v>
      </c>
      <c r="E15" s="46">
        <v>541</v>
      </c>
      <c r="F15" s="54">
        <f t="shared" si="4"/>
        <v>48.174532502226178</v>
      </c>
      <c r="G15" s="71">
        <v>16</v>
      </c>
      <c r="H15" s="71">
        <v>2385</v>
      </c>
      <c r="I15" s="46">
        <v>1139</v>
      </c>
      <c r="J15" s="54">
        <f t="shared" si="6"/>
        <v>47.756813417190777</v>
      </c>
      <c r="K15" s="71">
        <v>15</v>
      </c>
      <c r="L15" s="71">
        <v>1005</v>
      </c>
      <c r="M15" s="46">
        <v>463</v>
      </c>
      <c r="N15" s="54">
        <f t="shared" si="8"/>
        <v>46.069651741293534</v>
      </c>
      <c r="O15" s="71">
        <v>6</v>
      </c>
      <c r="P15" s="71">
        <v>177</v>
      </c>
      <c r="Q15" s="46">
        <v>104</v>
      </c>
      <c r="R15" s="54">
        <f t="shared" si="10"/>
        <v>58.757062146892657</v>
      </c>
      <c r="S15" s="74" t="s">
        <v>12</v>
      </c>
    </row>
    <row r="16" spans="1:20" s="32" customFormat="1" ht="15.75">
      <c r="A16" s="63" t="s">
        <v>13</v>
      </c>
      <c r="B16" s="61">
        <f t="shared" si="11"/>
        <v>2569</v>
      </c>
      <c r="C16" s="71">
        <v>22</v>
      </c>
      <c r="D16" s="71">
        <v>598</v>
      </c>
      <c r="E16" s="46">
        <v>294</v>
      </c>
      <c r="F16" s="54">
        <f t="shared" si="4"/>
        <v>49.163879598662206</v>
      </c>
      <c r="G16" s="71">
        <v>12</v>
      </c>
      <c r="H16" s="71">
        <v>1352</v>
      </c>
      <c r="I16" s="46">
        <v>641</v>
      </c>
      <c r="J16" s="54">
        <f t="shared" si="6"/>
        <v>47.411242603550299</v>
      </c>
      <c r="K16" s="71">
        <v>11</v>
      </c>
      <c r="L16" s="71">
        <v>529</v>
      </c>
      <c r="M16" s="46">
        <v>249</v>
      </c>
      <c r="N16" s="54">
        <f t="shared" si="8"/>
        <v>47.069943289224952</v>
      </c>
      <c r="O16" s="71">
        <v>1</v>
      </c>
      <c r="P16" s="71">
        <v>90</v>
      </c>
      <c r="Q16" s="46">
        <v>61</v>
      </c>
      <c r="R16" s="54">
        <f t="shared" si="10"/>
        <v>67.777777777777786</v>
      </c>
      <c r="S16" s="74" t="s">
        <v>14</v>
      </c>
    </row>
    <row r="17" spans="1:24" s="32" customFormat="1" ht="18" customHeight="1">
      <c r="A17" s="63" t="s">
        <v>15</v>
      </c>
      <c r="B17" s="61">
        <f t="shared" si="11"/>
        <v>2037</v>
      </c>
      <c r="C17" s="71">
        <v>6</v>
      </c>
      <c r="D17" s="71">
        <v>457</v>
      </c>
      <c r="E17" s="46">
        <v>216</v>
      </c>
      <c r="F17" s="54">
        <f t="shared" si="4"/>
        <v>47.264770240700223</v>
      </c>
      <c r="G17" s="71">
        <v>4</v>
      </c>
      <c r="H17" s="71">
        <v>1134</v>
      </c>
      <c r="I17" s="46">
        <v>588</v>
      </c>
      <c r="J17" s="54">
        <f t="shared" si="6"/>
        <v>51.851851851851848</v>
      </c>
      <c r="K17" s="71">
        <v>4</v>
      </c>
      <c r="L17" s="71">
        <v>391</v>
      </c>
      <c r="M17" s="46">
        <v>185</v>
      </c>
      <c r="N17" s="54">
        <f t="shared" si="8"/>
        <v>47.314578005115088</v>
      </c>
      <c r="O17" s="71">
        <v>3</v>
      </c>
      <c r="P17" s="71">
        <v>55</v>
      </c>
      <c r="Q17" s="46">
        <v>29</v>
      </c>
      <c r="R17" s="54">
        <f t="shared" si="10"/>
        <v>52.72727272727272</v>
      </c>
      <c r="S17" s="74" t="s">
        <v>16</v>
      </c>
    </row>
    <row r="18" spans="1:24" s="32" customFormat="1" ht="18" customHeight="1">
      <c r="A18" s="63" t="s">
        <v>17</v>
      </c>
      <c r="B18" s="61">
        <f t="shared" si="11"/>
        <v>2784</v>
      </c>
      <c r="C18" s="71">
        <v>16</v>
      </c>
      <c r="D18" s="71">
        <v>763</v>
      </c>
      <c r="E18" s="46">
        <v>369</v>
      </c>
      <c r="F18" s="54">
        <f t="shared" si="4"/>
        <v>48.361730013106161</v>
      </c>
      <c r="G18" s="71">
        <v>9</v>
      </c>
      <c r="H18" s="71">
        <v>1497</v>
      </c>
      <c r="I18" s="46">
        <v>700</v>
      </c>
      <c r="J18" s="54">
        <f t="shared" si="6"/>
        <v>46.760187040748164</v>
      </c>
      <c r="K18" s="71">
        <v>9</v>
      </c>
      <c r="L18" s="71">
        <v>502</v>
      </c>
      <c r="M18" s="46">
        <v>223</v>
      </c>
      <c r="N18" s="54">
        <f t="shared" si="8"/>
        <v>44.422310756972109</v>
      </c>
      <c r="O18" s="71">
        <v>2</v>
      </c>
      <c r="P18" s="71">
        <v>22</v>
      </c>
      <c r="Q18" s="46">
        <v>18</v>
      </c>
      <c r="R18" s="54">
        <f t="shared" si="10"/>
        <v>81.818181818181827</v>
      </c>
      <c r="S18" s="74" t="s">
        <v>18</v>
      </c>
    </row>
    <row r="19" spans="1:24" s="32" customFormat="1" ht="18" customHeight="1">
      <c r="A19" s="63" t="s">
        <v>19</v>
      </c>
      <c r="B19" s="61">
        <f t="shared" si="11"/>
        <v>1771</v>
      </c>
      <c r="C19" s="71">
        <v>13</v>
      </c>
      <c r="D19" s="71">
        <v>459</v>
      </c>
      <c r="E19" s="46">
        <v>213</v>
      </c>
      <c r="F19" s="54">
        <f t="shared" si="4"/>
        <v>46.405228758169933</v>
      </c>
      <c r="G19" s="71">
        <v>8</v>
      </c>
      <c r="H19" s="71">
        <v>993</v>
      </c>
      <c r="I19" s="46">
        <v>476</v>
      </c>
      <c r="J19" s="54">
        <f t="shared" si="6"/>
        <v>47.935548841893258</v>
      </c>
      <c r="K19" s="71">
        <v>8</v>
      </c>
      <c r="L19" s="71">
        <v>295</v>
      </c>
      <c r="M19" s="46">
        <v>156</v>
      </c>
      <c r="N19" s="54">
        <f t="shared" si="8"/>
        <v>52.881355932203391</v>
      </c>
      <c r="O19" s="71">
        <v>1</v>
      </c>
      <c r="P19" s="71">
        <v>24</v>
      </c>
      <c r="Q19" s="46">
        <v>11</v>
      </c>
      <c r="R19" s="54">
        <f t="shared" si="10"/>
        <v>45.833333333333329</v>
      </c>
      <c r="S19" s="74" t="s">
        <v>20</v>
      </c>
    </row>
    <row r="20" spans="1:24" s="32" customFormat="1" ht="18" customHeight="1">
      <c r="A20" s="63" t="s">
        <v>21</v>
      </c>
      <c r="B20" s="61">
        <f t="shared" si="11"/>
        <v>2216</v>
      </c>
      <c r="C20" s="71">
        <v>18</v>
      </c>
      <c r="D20" s="71">
        <v>627</v>
      </c>
      <c r="E20" s="46">
        <v>303</v>
      </c>
      <c r="F20" s="54">
        <f t="shared" si="4"/>
        <v>48.325358851674643</v>
      </c>
      <c r="G20" s="71">
        <v>10</v>
      </c>
      <c r="H20" s="71">
        <v>1223</v>
      </c>
      <c r="I20" s="46">
        <v>587</v>
      </c>
      <c r="J20" s="54">
        <f t="shared" si="6"/>
        <v>47.996729354047424</v>
      </c>
      <c r="K20" s="71">
        <v>10</v>
      </c>
      <c r="L20" s="71">
        <v>332</v>
      </c>
      <c r="M20" s="46">
        <v>156</v>
      </c>
      <c r="N20" s="54">
        <f t="shared" si="8"/>
        <v>46.987951807228917</v>
      </c>
      <c r="O20" s="71">
        <v>2</v>
      </c>
      <c r="P20" s="71">
        <v>34</v>
      </c>
      <c r="Q20" s="46">
        <v>21</v>
      </c>
      <c r="R20" s="54">
        <f t="shared" si="10"/>
        <v>61.764705882352942</v>
      </c>
      <c r="S20" s="74" t="s">
        <v>22</v>
      </c>
    </row>
    <row r="21" spans="1:24" s="32" customFormat="1" ht="18" customHeight="1">
      <c r="A21" s="63" t="s">
        <v>23</v>
      </c>
      <c r="B21" s="61">
        <f t="shared" si="11"/>
        <v>342</v>
      </c>
      <c r="C21" s="71">
        <v>4</v>
      </c>
      <c r="D21" s="71">
        <v>88</v>
      </c>
      <c r="E21" s="46">
        <v>47</v>
      </c>
      <c r="F21" s="54">
        <f t="shared" si="4"/>
        <v>53.409090909090907</v>
      </c>
      <c r="G21" s="71">
        <v>3</v>
      </c>
      <c r="H21" s="71">
        <v>195</v>
      </c>
      <c r="I21" s="46">
        <v>83</v>
      </c>
      <c r="J21" s="54">
        <f t="shared" si="6"/>
        <v>42.564102564102562</v>
      </c>
      <c r="K21" s="71">
        <v>3</v>
      </c>
      <c r="L21" s="71">
        <v>59</v>
      </c>
      <c r="M21" s="46">
        <v>26</v>
      </c>
      <c r="N21" s="54">
        <f t="shared" si="8"/>
        <v>44.067796610169488</v>
      </c>
      <c r="O21" s="71">
        <v>0</v>
      </c>
      <c r="P21" s="71">
        <v>0</v>
      </c>
      <c r="Q21" s="46">
        <v>0</v>
      </c>
      <c r="R21" s="54">
        <v>0</v>
      </c>
      <c r="S21" s="74" t="s">
        <v>24</v>
      </c>
    </row>
    <row r="22" spans="1:24" s="32" customFormat="1" ht="18" customHeight="1">
      <c r="A22" s="63" t="s">
        <v>25</v>
      </c>
      <c r="B22" s="61">
        <f t="shared" si="11"/>
        <v>1229</v>
      </c>
      <c r="C22" s="71">
        <v>11</v>
      </c>
      <c r="D22" s="71">
        <v>281</v>
      </c>
      <c r="E22" s="46">
        <v>125</v>
      </c>
      <c r="F22" s="54">
        <f t="shared" si="4"/>
        <v>44.483985765124558</v>
      </c>
      <c r="G22" s="71">
        <v>8</v>
      </c>
      <c r="H22" s="71">
        <v>692</v>
      </c>
      <c r="I22" s="46">
        <v>348</v>
      </c>
      <c r="J22" s="54">
        <f t="shared" si="6"/>
        <v>50.289017341040463</v>
      </c>
      <c r="K22" s="71">
        <v>5</v>
      </c>
      <c r="L22" s="71">
        <v>201</v>
      </c>
      <c r="M22" s="46">
        <v>87</v>
      </c>
      <c r="N22" s="54">
        <f t="shared" si="8"/>
        <v>43.283582089552233</v>
      </c>
      <c r="O22" s="71">
        <v>3</v>
      </c>
      <c r="P22" s="71">
        <v>55</v>
      </c>
      <c r="Q22" s="46">
        <v>34</v>
      </c>
      <c r="R22" s="54">
        <f t="shared" ref="R22:R30" si="12">Q22/P22*100</f>
        <v>61.818181818181813</v>
      </c>
      <c r="S22" s="74" t="s">
        <v>26</v>
      </c>
    </row>
    <row r="23" spans="1:24" s="32" customFormat="1" ht="18" customHeight="1">
      <c r="A23" s="63" t="s">
        <v>27</v>
      </c>
      <c r="B23" s="61">
        <f t="shared" si="11"/>
        <v>1421</v>
      </c>
      <c r="C23" s="71">
        <v>8</v>
      </c>
      <c r="D23" s="71">
        <v>300</v>
      </c>
      <c r="E23" s="46">
        <v>141</v>
      </c>
      <c r="F23" s="54">
        <f t="shared" si="4"/>
        <v>47</v>
      </c>
      <c r="G23" s="71">
        <v>5</v>
      </c>
      <c r="H23" s="71">
        <v>713</v>
      </c>
      <c r="I23" s="46">
        <v>353</v>
      </c>
      <c r="J23" s="54">
        <f t="shared" si="6"/>
        <v>49.509116409537171</v>
      </c>
      <c r="K23" s="71">
        <v>5</v>
      </c>
      <c r="L23" s="71">
        <v>311</v>
      </c>
      <c r="M23" s="46">
        <v>151</v>
      </c>
      <c r="N23" s="54">
        <f t="shared" si="8"/>
        <v>48.553054662379417</v>
      </c>
      <c r="O23" s="71">
        <v>2</v>
      </c>
      <c r="P23" s="71">
        <v>97</v>
      </c>
      <c r="Q23" s="46">
        <v>59</v>
      </c>
      <c r="R23" s="54">
        <f t="shared" si="12"/>
        <v>60.824742268041234</v>
      </c>
      <c r="S23" s="74" t="s">
        <v>28</v>
      </c>
    </row>
    <row r="24" spans="1:24" s="32" customFormat="1" ht="18" customHeight="1">
      <c r="A24" s="63" t="s">
        <v>29</v>
      </c>
      <c r="B24" s="61">
        <f t="shared" si="11"/>
        <v>1727</v>
      </c>
      <c r="C24" s="71">
        <v>10</v>
      </c>
      <c r="D24" s="71">
        <v>438</v>
      </c>
      <c r="E24" s="46">
        <v>211</v>
      </c>
      <c r="F24" s="54">
        <f t="shared" si="4"/>
        <v>48.173515981735157</v>
      </c>
      <c r="G24" s="71">
        <v>6</v>
      </c>
      <c r="H24" s="71">
        <v>884</v>
      </c>
      <c r="I24" s="46">
        <v>460</v>
      </c>
      <c r="J24" s="54">
        <f t="shared" si="6"/>
        <v>52.036199095022631</v>
      </c>
      <c r="K24" s="71">
        <v>6</v>
      </c>
      <c r="L24" s="71">
        <v>357</v>
      </c>
      <c r="M24" s="46">
        <v>162</v>
      </c>
      <c r="N24" s="54">
        <f t="shared" si="8"/>
        <v>45.378151260504204</v>
      </c>
      <c r="O24" s="71">
        <v>2</v>
      </c>
      <c r="P24" s="71">
        <v>48</v>
      </c>
      <c r="Q24" s="46">
        <v>29</v>
      </c>
      <c r="R24" s="54">
        <f t="shared" si="12"/>
        <v>60.416666666666664</v>
      </c>
      <c r="S24" s="74" t="s">
        <v>30</v>
      </c>
    </row>
    <row r="25" spans="1:24" s="32" customFormat="1" ht="18" customHeight="1">
      <c r="A25" s="63" t="s">
        <v>31</v>
      </c>
      <c r="B25" s="61">
        <f t="shared" si="11"/>
        <v>2581</v>
      </c>
      <c r="C25" s="71">
        <v>17</v>
      </c>
      <c r="D25" s="71">
        <v>562</v>
      </c>
      <c r="E25" s="46">
        <v>269</v>
      </c>
      <c r="F25" s="54">
        <f t="shared" si="4"/>
        <v>47.864768683274022</v>
      </c>
      <c r="G25" s="71">
        <v>13</v>
      </c>
      <c r="H25" s="71">
        <v>1439</v>
      </c>
      <c r="I25" s="46">
        <v>720</v>
      </c>
      <c r="J25" s="54">
        <f t="shared" si="6"/>
        <v>50.034746351633075</v>
      </c>
      <c r="K25" s="71">
        <v>13</v>
      </c>
      <c r="L25" s="71">
        <v>533</v>
      </c>
      <c r="M25" s="46">
        <v>230</v>
      </c>
      <c r="N25" s="54">
        <f t="shared" si="8"/>
        <v>43.151969981238274</v>
      </c>
      <c r="O25" s="71">
        <v>2</v>
      </c>
      <c r="P25" s="71">
        <v>47</v>
      </c>
      <c r="Q25" s="46">
        <v>20</v>
      </c>
      <c r="R25" s="54">
        <f t="shared" si="12"/>
        <v>42.553191489361701</v>
      </c>
      <c r="S25" s="74" t="s">
        <v>32</v>
      </c>
    </row>
    <row r="26" spans="1:24" s="32" customFormat="1" ht="18" customHeight="1">
      <c r="A26" s="63" t="s">
        <v>16</v>
      </c>
      <c r="B26" s="61">
        <f t="shared" si="11"/>
        <v>3597</v>
      </c>
      <c r="C26" s="71">
        <v>21</v>
      </c>
      <c r="D26" s="71">
        <v>741</v>
      </c>
      <c r="E26" s="46">
        <v>350</v>
      </c>
      <c r="F26" s="54">
        <f t="shared" si="4"/>
        <v>47.233468286099864</v>
      </c>
      <c r="G26" s="71">
        <v>13</v>
      </c>
      <c r="H26" s="71">
        <v>1926</v>
      </c>
      <c r="I26" s="46">
        <v>909</v>
      </c>
      <c r="J26" s="54">
        <f t="shared" si="6"/>
        <v>47.196261682242991</v>
      </c>
      <c r="K26" s="71">
        <v>12</v>
      </c>
      <c r="L26" s="71">
        <v>829</v>
      </c>
      <c r="M26" s="46">
        <v>397</v>
      </c>
      <c r="N26" s="54">
        <f t="shared" si="8"/>
        <v>47.889022919179737</v>
      </c>
      <c r="O26" s="71">
        <v>4</v>
      </c>
      <c r="P26" s="71">
        <v>101</v>
      </c>
      <c r="Q26" s="46">
        <v>67</v>
      </c>
      <c r="R26" s="54">
        <f t="shared" si="12"/>
        <v>66.336633663366342</v>
      </c>
      <c r="S26" s="74" t="s">
        <v>33</v>
      </c>
    </row>
    <row r="27" spans="1:24" s="32" customFormat="1" ht="18" customHeight="1">
      <c r="A27" s="63" t="s">
        <v>34</v>
      </c>
      <c r="B27" s="61">
        <f t="shared" si="11"/>
        <v>2134</v>
      </c>
      <c r="C27" s="71">
        <v>14</v>
      </c>
      <c r="D27" s="71">
        <v>475</v>
      </c>
      <c r="E27" s="46">
        <v>232</v>
      </c>
      <c r="F27" s="54">
        <f t="shared" si="4"/>
        <v>48.84210526315789</v>
      </c>
      <c r="G27" s="71">
        <v>9</v>
      </c>
      <c r="H27" s="71">
        <v>1133</v>
      </c>
      <c r="I27" s="46">
        <v>572</v>
      </c>
      <c r="J27" s="54">
        <f t="shared" si="6"/>
        <v>50.485436893203882</v>
      </c>
      <c r="K27" s="71">
        <v>8</v>
      </c>
      <c r="L27" s="71">
        <v>497</v>
      </c>
      <c r="M27" s="46">
        <v>240</v>
      </c>
      <c r="N27" s="54">
        <f t="shared" si="8"/>
        <v>48.289738430583498</v>
      </c>
      <c r="O27" s="71">
        <v>1</v>
      </c>
      <c r="P27" s="71">
        <v>29</v>
      </c>
      <c r="Q27" s="46">
        <v>19</v>
      </c>
      <c r="R27" s="54">
        <f t="shared" si="12"/>
        <v>65.517241379310349</v>
      </c>
      <c r="S27" s="74" t="s">
        <v>35</v>
      </c>
    </row>
    <row r="28" spans="1:24" ht="18" customHeight="1">
      <c r="A28" s="63" t="s">
        <v>36</v>
      </c>
      <c r="B28" s="61">
        <f t="shared" si="11"/>
        <v>3082</v>
      </c>
      <c r="C28" s="71">
        <v>15</v>
      </c>
      <c r="D28" s="71">
        <v>650</v>
      </c>
      <c r="E28" s="46">
        <v>281</v>
      </c>
      <c r="F28" s="54">
        <f t="shared" si="4"/>
        <v>43.230769230769226</v>
      </c>
      <c r="G28" s="71">
        <v>10</v>
      </c>
      <c r="H28" s="71">
        <v>1710</v>
      </c>
      <c r="I28" s="46">
        <v>817</v>
      </c>
      <c r="J28" s="54">
        <f t="shared" si="6"/>
        <v>47.777777777777779</v>
      </c>
      <c r="K28" s="71">
        <v>9</v>
      </c>
      <c r="L28" s="71">
        <v>657</v>
      </c>
      <c r="M28" s="46">
        <v>299</v>
      </c>
      <c r="N28" s="54">
        <f t="shared" si="8"/>
        <v>45.509893455098933</v>
      </c>
      <c r="O28" s="71">
        <v>1</v>
      </c>
      <c r="P28" s="71">
        <v>65</v>
      </c>
      <c r="Q28" s="46">
        <v>48</v>
      </c>
      <c r="R28" s="54">
        <f t="shared" si="12"/>
        <v>73.846153846153854</v>
      </c>
      <c r="S28" s="74" t="s">
        <v>37</v>
      </c>
    </row>
    <row r="29" spans="1:24" ht="18" customHeight="1">
      <c r="A29" s="64" t="s">
        <v>38</v>
      </c>
      <c r="B29" s="61">
        <f t="shared" si="11"/>
        <v>2379</v>
      </c>
      <c r="C29" s="71">
        <v>7</v>
      </c>
      <c r="D29" s="71">
        <v>482</v>
      </c>
      <c r="E29" s="46">
        <v>246</v>
      </c>
      <c r="F29" s="54">
        <f t="shared" si="4"/>
        <v>51.037344398340245</v>
      </c>
      <c r="G29" s="71">
        <v>3</v>
      </c>
      <c r="H29" s="71">
        <v>1285</v>
      </c>
      <c r="I29" s="46">
        <v>615</v>
      </c>
      <c r="J29" s="54">
        <f t="shared" si="6"/>
        <v>47.859922178988327</v>
      </c>
      <c r="K29" s="71">
        <v>1</v>
      </c>
      <c r="L29" s="71">
        <v>523</v>
      </c>
      <c r="M29" s="46">
        <v>281</v>
      </c>
      <c r="N29" s="54">
        <f t="shared" si="8"/>
        <v>53.728489483747609</v>
      </c>
      <c r="O29" s="71">
        <v>1</v>
      </c>
      <c r="P29" s="71">
        <v>89</v>
      </c>
      <c r="Q29" s="46">
        <v>52</v>
      </c>
      <c r="R29" s="54">
        <f t="shared" si="12"/>
        <v>58.426966292134829</v>
      </c>
      <c r="S29" s="75" t="s">
        <v>39</v>
      </c>
    </row>
    <row r="30" spans="1:24" ht="18" customHeight="1">
      <c r="A30" s="65" t="s">
        <v>10</v>
      </c>
      <c r="B30" s="72">
        <f t="shared" si="11"/>
        <v>5468</v>
      </c>
      <c r="C30" s="73">
        <v>18</v>
      </c>
      <c r="D30" s="73">
        <v>1204</v>
      </c>
      <c r="E30" s="62">
        <v>582</v>
      </c>
      <c r="F30" s="55">
        <f t="shared" si="4"/>
        <v>48.338870431893689</v>
      </c>
      <c r="G30" s="73">
        <v>10</v>
      </c>
      <c r="H30" s="73">
        <v>2799</v>
      </c>
      <c r="I30" s="62">
        <v>1405</v>
      </c>
      <c r="J30" s="55">
        <f t="shared" si="6"/>
        <v>50.196498749553406</v>
      </c>
      <c r="K30" s="73">
        <v>5</v>
      </c>
      <c r="L30" s="73">
        <v>1022</v>
      </c>
      <c r="M30" s="62">
        <v>489</v>
      </c>
      <c r="N30" s="55">
        <f t="shared" si="8"/>
        <v>47.847358121330721</v>
      </c>
      <c r="O30" s="73">
        <v>2</v>
      </c>
      <c r="P30" s="73">
        <v>443</v>
      </c>
      <c r="Q30" s="62">
        <v>256</v>
      </c>
      <c r="R30" s="55">
        <f t="shared" si="12"/>
        <v>57.787810383747171</v>
      </c>
      <c r="S30" s="76" t="s">
        <v>40</v>
      </c>
    </row>
    <row r="31" spans="1:24" s="24" customFormat="1" ht="14.25" customHeight="1">
      <c r="A31" s="13" t="s">
        <v>58</v>
      </c>
      <c r="B31" s="14"/>
      <c r="C31" s="15"/>
      <c r="D31" s="14"/>
      <c r="E31" s="14"/>
      <c r="F31" s="16"/>
      <c r="G31" s="17"/>
      <c r="H31" s="8"/>
      <c r="I31" s="8"/>
      <c r="J31" s="17"/>
      <c r="K31" s="17"/>
      <c r="L31" s="18"/>
      <c r="M31" s="18"/>
      <c r="N31" s="19"/>
      <c r="O31" s="19"/>
      <c r="P31" s="18"/>
      <c r="Q31" s="18"/>
      <c r="R31" s="19"/>
      <c r="S31" s="20"/>
      <c r="T31" s="21"/>
      <c r="U31" s="22"/>
      <c r="V31" s="22"/>
      <c r="W31" s="22"/>
      <c r="X31" s="23"/>
    </row>
    <row r="32" spans="1:24" s="24" customFormat="1" ht="14.25" customHeight="1">
      <c r="A32" s="13" t="s">
        <v>68</v>
      </c>
      <c r="B32" s="14"/>
      <c r="C32" s="15"/>
      <c r="D32" s="14"/>
      <c r="E32" s="14"/>
      <c r="F32" s="47"/>
      <c r="G32" s="17"/>
      <c r="H32" s="8"/>
      <c r="I32" s="8"/>
      <c r="J32" s="17"/>
      <c r="K32" s="17"/>
      <c r="L32" s="25"/>
      <c r="M32" s="25"/>
      <c r="N32" s="25"/>
      <c r="O32" s="25"/>
      <c r="P32" s="25"/>
      <c r="Q32" s="25"/>
      <c r="R32" s="25"/>
      <c r="S32" s="20" t="s">
        <v>64</v>
      </c>
      <c r="T32" s="26"/>
      <c r="U32" s="52"/>
      <c r="V32" s="52"/>
      <c r="W32" s="52"/>
      <c r="X32" s="27"/>
    </row>
    <row r="33" spans="1:24" ht="15.75" customHeight="1">
      <c r="A33" s="2" t="s">
        <v>59</v>
      </c>
      <c r="B33" s="3"/>
      <c r="C33" s="4"/>
      <c r="D33" s="5"/>
      <c r="E33" s="5"/>
      <c r="F33" s="6"/>
      <c r="G33" s="7"/>
      <c r="H33" s="8"/>
      <c r="I33" s="8"/>
      <c r="J33" s="7"/>
      <c r="K33" s="7"/>
      <c r="L33" s="77" t="s">
        <v>41</v>
      </c>
      <c r="M33" s="77"/>
      <c r="N33" s="77"/>
      <c r="O33" s="77"/>
      <c r="P33" s="77"/>
      <c r="Q33" s="77"/>
      <c r="R33" s="77"/>
      <c r="S33" s="77"/>
      <c r="T33" s="9"/>
      <c r="U33" s="10"/>
      <c r="V33" s="9"/>
      <c r="W33" s="10"/>
      <c r="X33" s="11"/>
    </row>
    <row r="34" spans="1:24">
      <c r="D34" s="12"/>
      <c r="E34" s="12"/>
      <c r="F34" s="4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52"/>
    </row>
    <row r="35" spans="1:24">
      <c r="B35" s="46"/>
      <c r="C35" s="46"/>
      <c r="D35" s="31"/>
      <c r="E35" s="31"/>
    </row>
    <row r="36" spans="1:24">
      <c r="B36" s="46"/>
      <c r="C36" s="46"/>
      <c r="D36" s="31"/>
      <c r="E36" s="31"/>
    </row>
    <row r="37" spans="1:24">
      <c r="B37" s="46"/>
      <c r="C37" s="46"/>
      <c r="D37" s="31"/>
      <c r="E37" s="31"/>
    </row>
  </sheetData>
  <mergeCells count="15">
    <mergeCell ref="L33:S33"/>
    <mergeCell ref="G34:J34"/>
    <mergeCell ref="K34:N34"/>
    <mergeCell ref="O34:R34"/>
    <mergeCell ref="A1:S1"/>
    <mergeCell ref="A2:S2"/>
    <mergeCell ref="A4:A7"/>
    <mergeCell ref="C4:F4"/>
    <mergeCell ref="G4:J4"/>
    <mergeCell ref="K4:N4"/>
    <mergeCell ref="O4:R4"/>
    <mergeCell ref="C5:F5"/>
    <mergeCell ref="G5:J5"/>
    <mergeCell ref="K5:N5"/>
    <mergeCell ref="O5:R5"/>
  </mergeCells>
  <pageMargins left="0.7" right="0.7" top="0.75" bottom="0.75" header="0.3" footer="0.3"/>
  <pageSetup paperSize="9" scale="77" orientation="landscape" horizontalDpi="4294967295" verticalDpi="4294967295" r:id="rId1"/>
  <ignoredErrors>
    <ignoredError sqref="C10:D10 F11 J11 N11 R11 F10:H10 J10:L10 N10:P10 R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2018-04-18T04:14:44Z</cp:lastPrinted>
  <dcterms:created xsi:type="dcterms:W3CDTF">2014-03-05T03:36:41Z</dcterms:created>
  <dcterms:modified xsi:type="dcterms:W3CDTF">2018-04-18T04:14:56Z</dcterms:modified>
</cp:coreProperties>
</file>