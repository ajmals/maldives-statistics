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4" sheetId="6" r:id="rId1"/>
  </sheets>
  <definedNames>
    <definedName name="_xlnm.Print_Area" localSheetId="0">'7.4'!$A$1:$O$33</definedName>
  </definedNames>
  <calcPr calcId="162913"/>
</workbook>
</file>

<file path=xl/calcChain.xml><?xml version="1.0" encoding="utf-8"?>
<calcChain xmlns="http://schemas.openxmlformats.org/spreadsheetml/2006/main">
  <c r="J11" i="6" l="1"/>
  <c r="H10" i="6"/>
  <c r="I10" i="6"/>
  <c r="G10" i="6"/>
  <c r="F30" i="6" l="1"/>
  <c r="J30" i="6" s="1"/>
  <c r="F29" i="6"/>
  <c r="J29" i="6" s="1"/>
  <c r="F28" i="6"/>
  <c r="J28" i="6" s="1"/>
  <c r="F27" i="6"/>
  <c r="J27" i="6" s="1"/>
  <c r="F26" i="6"/>
  <c r="J26" i="6" s="1"/>
  <c r="F25" i="6"/>
  <c r="J25" i="6" s="1"/>
  <c r="F24" i="6"/>
  <c r="J24" i="6" s="1"/>
  <c r="F23" i="6"/>
  <c r="J23" i="6" s="1"/>
  <c r="F22" i="6"/>
  <c r="J22" i="6" s="1"/>
  <c r="F21" i="6"/>
  <c r="J21" i="6" s="1"/>
  <c r="F20" i="6"/>
  <c r="J20" i="6" s="1"/>
  <c r="F19" i="6"/>
  <c r="J19" i="6" s="1"/>
  <c r="F18" i="6"/>
  <c r="J18" i="6" s="1"/>
  <c r="F17" i="6"/>
  <c r="J17" i="6" s="1"/>
  <c r="F16" i="6"/>
  <c r="J16" i="6" s="1"/>
  <c r="F15" i="6"/>
  <c r="J15" i="6" s="1"/>
  <c r="F14" i="6"/>
  <c r="J14" i="6" s="1"/>
  <c r="F13" i="6"/>
  <c r="J13" i="6" s="1"/>
  <c r="F12" i="6"/>
  <c r="J12" i="6" s="1"/>
  <c r="F11" i="6"/>
  <c r="F9" i="6"/>
  <c r="J9" i="6" s="1"/>
  <c r="H8" i="6"/>
  <c r="G8" i="6" l="1"/>
  <c r="B15" i="6" l="1"/>
  <c r="N15" i="6" s="1"/>
  <c r="B9" i="6"/>
  <c r="N9" i="6" s="1"/>
  <c r="B16" i="6"/>
  <c r="N16" i="6" s="1"/>
  <c r="B14" i="6"/>
  <c r="N14" i="6" s="1"/>
  <c r="B25" i="6"/>
  <c r="N25" i="6" s="1"/>
  <c r="B27" i="6"/>
  <c r="N27" i="6" s="1"/>
  <c r="B30" i="6"/>
  <c r="N30" i="6" s="1"/>
  <c r="B24" i="6"/>
  <c r="N24" i="6" s="1"/>
  <c r="B19" i="6" l="1"/>
  <c r="N19" i="6" s="1"/>
  <c r="L9" i="6"/>
  <c r="L30" i="6"/>
  <c r="L24" i="6"/>
  <c r="B18" i="6"/>
  <c r="N18" i="6" s="1"/>
  <c r="B23" i="6"/>
  <c r="N23" i="6" s="1"/>
  <c r="L14" i="6"/>
  <c r="B11" i="6"/>
  <c r="N11" i="6" s="1"/>
  <c r="C10" i="6"/>
  <c r="B29" i="6"/>
  <c r="N29" i="6" s="1"/>
  <c r="L19" i="6"/>
  <c r="L27" i="6"/>
  <c r="B21" i="6"/>
  <c r="N21" i="6" s="1"/>
  <c r="L15" i="6"/>
  <c r="D10" i="6"/>
  <c r="D8" i="6" s="1"/>
  <c r="B13" i="6"/>
  <c r="N13" i="6" s="1"/>
  <c r="B17" i="6"/>
  <c r="N17" i="6" s="1"/>
  <c r="L16" i="6"/>
  <c r="B28" i="6"/>
  <c r="N28" i="6" s="1"/>
  <c r="B12" i="6"/>
  <c r="N12" i="6" s="1"/>
  <c r="B22" i="6"/>
  <c r="N22" i="6" s="1"/>
  <c r="B26" i="6"/>
  <c r="N26" i="6" s="1"/>
  <c r="L25" i="6"/>
  <c r="B20" i="6"/>
  <c r="N20" i="6" s="1"/>
  <c r="L29" i="6" l="1"/>
  <c r="L17" i="6"/>
  <c r="L12" i="6"/>
  <c r="L13" i="6"/>
  <c r="L21" i="6"/>
  <c r="L20" i="6"/>
  <c r="L23" i="6"/>
  <c r="B10" i="6"/>
  <c r="N10" i="6" s="1"/>
  <c r="C8" i="6"/>
  <c r="B8" i="6" s="1"/>
  <c r="L11" i="6"/>
  <c r="L18" i="6"/>
  <c r="L26" i="6"/>
  <c r="L28" i="6"/>
  <c r="L22" i="6"/>
  <c r="N8" i="6" l="1"/>
  <c r="F10" i="6" l="1"/>
  <c r="J10" i="6" s="1"/>
  <c r="I8" i="6"/>
  <c r="F8" i="6" l="1"/>
  <c r="L8" i="6" s="1"/>
  <c r="L10" i="6"/>
  <c r="J8" i="6" l="1"/>
</calcChain>
</file>

<file path=xl/sharedStrings.xml><?xml version="1.0" encoding="utf-8"?>
<sst xmlns="http://schemas.openxmlformats.org/spreadsheetml/2006/main" count="78" uniqueCount="71">
  <si>
    <t>Total</t>
  </si>
  <si>
    <t xml:space="preserve">  Locality</t>
  </si>
  <si>
    <t>wlcmuj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</si>
  <si>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</si>
  <si>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</si>
  <si>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</si>
  <si>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</si>
  <si>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</si>
  <si>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</si>
  <si>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</si>
  <si>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</si>
  <si>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</si>
  <si>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</si>
  <si>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</si>
  <si>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</si>
  <si>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</si>
  <si>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</si>
  <si>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</si>
  <si>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</si>
  <si>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</si>
  <si>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</si>
  <si>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</si>
  <si>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</si>
  <si>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</si>
  <si>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</si>
  <si>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</si>
  <si>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</si>
  <si>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</si>
  <si>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</si>
  <si>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</si>
  <si>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</si>
  <si>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</si>
  <si>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</si>
  <si>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</si>
  <si>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</si>
  <si>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</si>
  <si>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</si>
  <si>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</si>
  <si>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</si>
  <si>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</si>
  <si>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</si>
  <si>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</si>
  <si>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</si>
  <si>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</si>
  <si>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</si>
  <si>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</si>
  <si>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</si>
  <si>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</si>
  <si>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</si>
  <si>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uscnijed</t>
  </si>
  <si>
    <t>cnwt</t>
  </si>
  <si>
    <t>cnidukWvwyik</t>
  </si>
  <si>
    <t xml:space="preserve"> cnusircawdum</t>
  </si>
  <si>
    <t xml:space="preserve">  cnidukWvwyik cnutwbcsin egcnusircawdum</t>
  </si>
  <si>
    <t>Student Enrolment</t>
  </si>
  <si>
    <t>Teachers</t>
  </si>
  <si>
    <t>iawfivedcnIrcmwt</t>
  </si>
  <si>
    <t>WvuniawfivedcnIrcmwt</t>
  </si>
  <si>
    <t>Both  Sexes</t>
  </si>
  <si>
    <t>Trained</t>
  </si>
  <si>
    <t>Un-trained</t>
  </si>
  <si>
    <t xml:space="preserve"> % for untrained teachers </t>
  </si>
  <si>
    <t>HA</t>
  </si>
  <si>
    <t>HDh</t>
  </si>
  <si>
    <t>Sh</t>
  </si>
  <si>
    <t>R</t>
  </si>
  <si>
    <t xml:space="preserve">Student Teacher Ratio </t>
  </si>
  <si>
    <t>WvuniawfivedcnIrcmwt  cnia %</t>
  </si>
  <si>
    <t>Note: No untrained expatriate teachers</t>
  </si>
  <si>
    <t>2017 ,cnidukWvwyik iaWncnusircawdum ibit iawgunwtcnwt EvedumIluAwt egukwtuLotwa iaWaelWm : 7.4 ulwvWt</t>
  </si>
  <si>
    <t>Table 7.4 : TEACHERS AND STUDENTS OF EDUCATIONAL INSTITUTIONS, BY LOCALITY,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</si>
</sst>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9"/>
      <color theme="1"/>
      <name val="Arial"/>
      <family val="2"/>
    </font>
    <font>
      <sz val="9"/>
      <name val="A_Waheed"/>
    </font>
    <font>
      <i/>
      <sz val="9"/>
      <name val="A_Waheed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2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1"/>
      <name val="A_Waheed"/>
    </font>
    <font>
      <b/>
      <sz val="11"/>
      <name val="A_Waheed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2">
    <xf numFmtId="0" fontId="0" fillId="0" borderId="0"/>
    <xf numFmtId="164" fontId="2" fillId="0" borderId="0"/>
    <xf numFmtId="164" fontId="2" fillId="0" borderId="0"/>
    <xf numFmtId="0" fontId="9" fillId="0" borderId="0"/>
    <xf numFmtId="0" fontId="2" fillId="0" borderId="0"/>
    <xf numFmtId="166" fontId="2" fillId="0" borderId="0"/>
    <xf numFmtId="40" fontId="23" fillId="0" borderId="0" applyFont="0" applyFill="0" applyBorder="0" applyAlignment="0" applyProtection="0"/>
    <xf numFmtId="164" fontId="2" fillId="0" borderId="0"/>
    <xf numFmtId="0" fontId="25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2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2" fillId="0" borderId="0"/>
    <xf numFmtId="171" fontId="2" fillId="0" borderId="0"/>
    <xf numFmtId="0" fontId="23" fillId="0" borderId="0"/>
    <xf numFmtId="0" fontId="23" fillId="0" borderId="0"/>
    <xf numFmtId="171" fontId="2" fillId="0" borderId="0"/>
    <xf numFmtId="0" fontId="23" fillId="0" borderId="0"/>
    <xf numFmtId="0" fontId="23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3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99">
    <xf numFmtId="0" fontId="0" fillId="0" borderId="0" xfId="0"/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 wrapText="1"/>
    </xf>
    <xf numFmtId="165" fontId="3" fillId="2" borderId="0" xfId="0" applyNumberFormat="1" applyFont="1" applyFill="1" applyAlignment="1">
      <alignment vertical="center"/>
    </xf>
    <xf numFmtId="165" fontId="9" fillId="2" borderId="0" xfId="0" applyNumberFormat="1" applyFont="1" applyFill="1" applyAlignment="1"/>
    <xf numFmtId="165" fontId="3" fillId="2" borderId="0" xfId="0" applyNumberFormat="1" applyFont="1" applyFill="1" applyBorder="1" applyAlignment="1">
      <alignment vertical="center"/>
    </xf>
    <xf numFmtId="165" fontId="9" fillId="2" borderId="0" xfId="0" applyNumberFormat="1" applyFont="1" applyFill="1" applyBorder="1" applyAlignment="1"/>
    <xf numFmtId="165" fontId="5" fillId="2" borderId="0" xfId="0" applyNumberFormat="1" applyFont="1" applyFill="1" applyAlignment="1"/>
    <xf numFmtId="165" fontId="5" fillId="2" borderId="1" xfId="0" applyNumberFormat="1" applyFont="1" applyFill="1" applyBorder="1" applyAlignment="1"/>
    <xf numFmtId="165" fontId="5" fillId="2" borderId="0" xfId="0" applyNumberFormat="1" applyFont="1" applyFill="1" applyBorder="1" applyAlignment="1"/>
    <xf numFmtId="165" fontId="14" fillId="2" borderId="0" xfId="0" applyNumberFormat="1" applyFont="1" applyFill="1" applyAlignment="1"/>
    <xf numFmtId="165" fontId="14" fillId="2" borderId="0" xfId="0" applyNumberFormat="1" applyFont="1" applyFill="1" applyAlignment="1">
      <alignment horizontal="right"/>
    </xf>
    <xf numFmtId="1" fontId="14" fillId="2" borderId="0" xfId="0" applyNumberFormat="1" applyFont="1" applyFill="1" applyAlignment="1"/>
    <xf numFmtId="165" fontId="16" fillId="2" borderId="0" xfId="0" applyNumberFormat="1" applyFont="1" applyFill="1" applyAlignment="1"/>
    <xf numFmtId="165" fontId="19" fillId="2" borderId="0" xfId="0" applyNumberFormat="1" applyFont="1" applyFill="1" applyAlignment="1">
      <alignment horizontal="right"/>
    </xf>
    <xf numFmtId="165" fontId="19" fillId="2" borderId="0" xfId="0" applyNumberFormat="1" applyFont="1" applyFill="1" applyAlignment="1"/>
    <xf numFmtId="165" fontId="20" fillId="2" borderId="0" xfId="0" applyNumberFormat="1" applyFont="1" applyFill="1" applyAlignment="1" applyProtection="1">
      <alignment horizontal="right" vertical="center"/>
    </xf>
    <xf numFmtId="165" fontId="19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Alignment="1">
      <alignment horizontal="right"/>
    </xf>
    <xf numFmtId="165" fontId="16" fillId="2" borderId="0" xfId="0" applyNumberFormat="1" applyFont="1" applyFill="1" applyAlignment="1">
      <alignment horizontal="right" vertical="center"/>
    </xf>
    <xf numFmtId="2" fontId="9" fillId="2" borderId="0" xfId="0" applyNumberFormat="1" applyFont="1" applyFill="1" applyAlignment="1">
      <alignment vertical="center"/>
    </xf>
    <xf numFmtId="165" fontId="9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24" fillId="2" borderId="0" xfId="0" applyNumberFormat="1" applyFont="1" applyFill="1" applyAlignment="1">
      <alignment vertical="center"/>
    </xf>
    <xf numFmtId="165" fontId="18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1" fontId="29" fillId="2" borderId="0" xfId="0" applyNumberFormat="1" applyFont="1" applyFill="1" applyAlignment="1"/>
    <xf numFmtId="165" fontId="5" fillId="2" borderId="1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 wrapText="1"/>
    </xf>
    <xf numFmtId="3" fontId="11" fillId="2" borderId="0" xfId="0" applyNumberFormat="1" applyFont="1" applyFill="1" applyBorder="1" applyAlignment="1" applyProtection="1">
      <alignment horizontal="right" vertical="center"/>
    </xf>
    <xf numFmtId="165" fontId="31" fillId="2" borderId="9" xfId="0" applyNumberFormat="1" applyFont="1" applyFill="1" applyBorder="1" applyAlignment="1" applyProtection="1">
      <alignment horizontal="center" vertical="center"/>
    </xf>
    <xf numFmtId="165" fontId="14" fillId="2" borderId="0" xfId="0" applyNumberFormat="1" applyFont="1" applyFill="1" applyBorder="1" applyAlignment="1">
      <alignment horizontal="right"/>
    </xf>
    <xf numFmtId="3" fontId="27" fillId="2" borderId="0" xfId="0" applyNumberFormat="1" applyFont="1" applyFill="1" applyBorder="1" applyAlignment="1" applyProtection="1">
      <alignment horizontal="center"/>
    </xf>
    <xf numFmtId="1" fontId="14" fillId="2" borderId="0" xfId="0" applyNumberFormat="1" applyFont="1" applyFill="1" applyBorder="1" applyAlignment="1"/>
    <xf numFmtId="165" fontId="11" fillId="2" borderId="0" xfId="0" applyNumberFormat="1" applyFont="1" applyFill="1" applyAlignment="1" applyProtection="1">
      <alignment horizontal="left" vertical="center" indent="1"/>
    </xf>
    <xf numFmtId="164" fontId="12" fillId="2" borderId="0" xfId="0" applyNumberFormat="1" applyFont="1" applyFill="1" applyBorder="1" applyAlignment="1" applyProtection="1">
      <alignment horizontal="right" vertical="center"/>
    </xf>
    <xf numFmtId="165" fontId="30" fillId="2" borderId="0" xfId="0" applyNumberFormat="1" applyFont="1" applyFill="1" applyAlignment="1">
      <alignment horizontal="right" vertical="center" indent="1"/>
    </xf>
    <xf numFmtId="1" fontId="28" fillId="2" borderId="0" xfId="0" applyNumberFormat="1" applyFont="1" applyFill="1" applyAlignment="1"/>
    <xf numFmtId="165" fontId="12" fillId="2" borderId="1" xfId="0" applyNumberFormat="1" applyFont="1" applyFill="1" applyBorder="1" applyAlignment="1" applyProtection="1">
      <alignment horizontal="left" vertical="center" indent="1"/>
    </xf>
    <xf numFmtId="165" fontId="30" fillId="2" borderId="12" xfId="0" applyNumberFormat="1" applyFont="1" applyFill="1" applyBorder="1" applyAlignment="1">
      <alignment horizontal="right" vertical="center" indent="1"/>
    </xf>
    <xf numFmtId="165" fontId="6" fillId="2" borderId="2" xfId="0" applyNumberFormat="1" applyFont="1" applyFill="1" applyBorder="1" applyAlignment="1">
      <alignment vertical="center"/>
    </xf>
    <xf numFmtId="165" fontId="6" fillId="2" borderId="0" xfId="0" applyNumberFormat="1" applyFont="1" applyFill="1" applyBorder="1" applyAlignment="1" applyProtection="1">
      <alignment horizontal="right" vertical="center" wrapText="1"/>
    </xf>
    <xf numFmtId="165" fontId="6" fillId="2" borderId="7" xfId="0" applyNumberFormat="1" applyFont="1" applyFill="1" applyBorder="1" applyAlignment="1">
      <alignment horizontal="right" vertical="center"/>
    </xf>
    <xf numFmtId="165" fontId="6" fillId="2" borderId="8" xfId="0" applyNumberFormat="1" applyFont="1" applyFill="1" applyBorder="1" applyAlignment="1">
      <alignment horizontal="right" wrapText="1"/>
    </xf>
    <xf numFmtId="165" fontId="5" fillId="2" borderId="0" xfId="0" applyNumberFormat="1" applyFont="1" applyFill="1" applyAlignment="1">
      <alignment horizontal="right"/>
    </xf>
    <xf numFmtId="165" fontId="4" fillId="2" borderId="3" xfId="0" applyNumberFormat="1" applyFont="1" applyFill="1" applyBorder="1" applyAlignment="1" applyProtection="1">
      <alignment horizontal="right" vertical="center" wrapText="1"/>
    </xf>
    <xf numFmtId="165" fontId="5" fillId="2" borderId="1" xfId="0" applyNumberFormat="1" applyFont="1" applyFill="1" applyBorder="1" applyAlignment="1" applyProtection="1">
      <alignment horizontal="right" vertical="center"/>
    </xf>
    <xf numFmtId="165" fontId="31" fillId="2" borderId="0" xfId="0" applyNumberFormat="1" applyFont="1" applyFill="1" applyAlignment="1">
      <alignment horizontal="right" vertical="center" indent="1"/>
    </xf>
    <xf numFmtId="3" fontId="12" fillId="2" borderId="0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Border="1" applyAlignment="1" applyProtection="1">
      <alignment horizontal="right" vertical="center"/>
    </xf>
    <xf numFmtId="3" fontId="15" fillId="2" borderId="0" xfId="0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Border="1" applyAlignment="1">
      <alignment horizontal="right"/>
    </xf>
    <xf numFmtId="3" fontId="13" fillId="2" borderId="0" xfId="0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 applyBorder="1" applyAlignment="1">
      <alignment horizontal="right" vertical="center" indent="3"/>
    </xf>
    <xf numFmtId="165" fontId="30" fillId="2" borderId="0" xfId="0" applyNumberFormat="1" applyFont="1" applyFill="1" applyBorder="1" applyAlignment="1">
      <alignment horizontal="right" vertical="center" indent="1"/>
    </xf>
    <xf numFmtId="165" fontId="10" fillId="2" borderId="0" xfId="0" applyNumberFormat="1" applyFont="1" applyFill="1" applyBorder="1" applyAlignment="1" applyProtection="1">
      <alignment horizontal="left" vertical="center" indent="1"/>
    </xf>
    <xf numFmtId="165" fontId="17" fillId="2" borderId="0" xfId="0" applyNumberFormat="1" applyFont="1" applyFill="1" applyAlignment="1" applyProtection="1">
      <alignment horizontal="left" vertical="center"/>
    </xf>
    <xf numFmtId="165" fontId="9" fillId="2" borderId="0" xfId="0" applyNumberFormat="1" applyFont="1" applyFill="1" applyAlignment="1">
      <alignment vertical="center"/>
    </xf>
    <xf numFmtId="165" fontId="12" fillId="2" borderId="0" xfId="0" applyNumberFormat="1" applyFont="1" applyFill="1" applyAlignment="1" applyProtection="1">
      <alignment horizontal="left" vertical="center" indent="1"/>
    </xf>
    <xf numFmtId="3" fontId="4" fillId="2" borderId="12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3" fontId="22" fillId="2" borderId="7" xfId="0" applyNumberFormat="1" applyFont="1" applyFill="1" applyBorder="1" applyAlignment="1" applyProtection="1">
      <alignment horizontal="right" vertical="center"/>
    </xf>
    <xf numFmtId="164" fontId="4" fillId="2" borderId="8" xfId="0" applyNumberFormat="1" applyFont="1" applyFill="1" applyBorder="1" applyAlignment="1">
      <alignment horizontal="right" vertical="center" indent="2"/>
    </xf>
    <xf numFmtId="164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1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Alignment="1"/>
    <xf numFmtId="3" fontId="8" fillId="2" borderId="0" xfId="0" applyNumberFormat="1" applyFont="1" applyFill="1" applyBorder="1" applyAlignment="1" applyProtection="1">
      <alignment horizontal="right" vertical="center"/>
    </xf>
    <xf numFmtId="164" fontId="8" fillId="2" borderId="0" xfId="0" applyNumberFormat="1" applyFont="1" applyFill="1" applyBorder="1" applyAlignment="1">
      <alignment vertical="center"/>
    </xf>
    <xf numFmtId="3" fontId="21" fillId="2" borderId="7" xfId="0" applyNumberFormat="1" applyFont="1" applyFill="1" applyBorder="1" applyAlignment="1" applyProtection="1">
      <alignment horizontal="right" vertical="center"/>
    </xf>
    <xf numFmtId="165" fontId="8" fillId="2" borderId="0" xfId="0" applyNumberFormat="1" applyFont="1" applyFill="1" applyAlignment="1"/>
    <xf numFmtId="164" fontId="8" fillId="2" borderId="8" xfId="0" applyNumberFormat="1" applyFont="1" applyFill="1" applyBorder="1" applyAlignment="1">
      <alignment horizontal="right" vertical="center" indent="2"/>
    </xf>
    <xf numFmtId="164" fontId="8" fillId="2" borderId="0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3" fontId="8" fillId="2" borderId="12" xfId="0" applyNumberFormat="1" applyFont="1" applyFill="1" applyBorder="1" applyAlignment="1" applyProtection="1">
      <alignment horizontal="right" vertical="center"/>
    </xf>
    <xf numFmtId="164" fontId="8" fillId="2" borderId="12" xfId="0" applyNumberFormat="1" applyFont="1" applyFill="1" applyBorder="1" applyAlignment="1">
      <alignment vertical="center"/>
    </xf>
    <xf numFmtId="3" fontId="21" fillId="2" borderId="14" xfId="0" applyNumberFormat="1" applyFont="1" applyFill="1" applyBorder="1" applyAlignment="1" applyProtection="1">
      <alignment horizontal="right" vertical="center"/>
    </xf>
    <xf numFmtId="165" fontId="8" fillId="2" borderId="12" xfId="0" applyNumberFormat="1" applyFont="1" applyFill="1" applyBorder="1" applyAlignment="1"/>
    <xf numFmtId="164" fontId="8" fillId="2" borderId="13" xfId="0" applyNumberFormat="1" applyFont="1" applyFill="1" applyBorder="1" applyAlignment="1">
      <alignment horizontal="right" vertical="center" indent="2"/>
    </xf>
    <xf numFmtId="164" fontId="8" fillId="2" borderId="12" xfId="0" applyNumberFormat="1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 applyProtection="1">
      <alignment horizontal="right" vertical="center"/>
    </xf>
    <xf numFmtId="165" fontId="3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 applyProtection="1">
      <alignment horizontal="center" vertical="top"/>
    </xf>
    <xf numFmtId="165" fontId="15" fillId="2" borderId="2" xfId="0" applyNumberFormat="1" applyFont="1" applyFill="1" applyBorder="1" applyAlignment="1" applyProtection="1">
      <alignment horizontal="left" vertical="center"/>
    </xf>
    <xf numFmtId="165" fontId="15" fillId="2" borderId="0" xfId="0" applyNumberFormat="1" applyFont="1" applyFill="1" applyBorder="1" applyAlignment="1" applyProtection="1">
      <alignment horizontal="left" vertical="center"/>
    </xf>
    <xf numFmtId="165" fontId="15" fillId="2" borderId="1" xfId="0" applyNumberFormat="1" applyFont="1" applyFill="1" applyBorder="1" applyAlignment="1" applyProtection="1">
      <alignment horizontal="left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3" fontId="7" fillId="2" borderId="2" xfId="3" applyNumberFormat="1" applyFont="1" applyFill="1" applyBorder="1" applyAlignment="1">
      <alignment horizontal="right" vertical="center" indent="1"/>
    </xf>
    <xf numFmtId="3" fontId="7" fillId="2" borderId="0" xfId="3" applyNumberFormat="1" applyFont="1" applyFill="1" applyBorder="1" applyAlignment="1">
      <alignment horizontal="right" vertical="center" indent="1"/>
    </xf>
    <xf numFmtId="3" fontId="7" fillId="2" borderId="1" xfId="3" applyNumberFormat="1" applyFont="1" applyFill="1" applyBorder="1" applyAlignment="1">
      <alignment horizontal="right" vertical="center" indent="1"/>
    </xf>
    <xf numFmtId="165" fontId="11" fillId="2" borderId="9" xfId="0" applyNumberFormat="1" applyFont="1" applyFill="1" applyBorder="1" applyAlignment="1" applyProtection="1">
      <alignment horizontal="center" vertical="center"/>
    </xf>
    <xf numFmtId="165" fontId="11" fillId="2" borderId="10" xfId="0" applyNumberFormat="1" applyFont="1" applyFill="1" applyBorder="1" applyAlignment="1" applyProtection="1">
      <alignment horizontal="center" vertical="center"/>
    </xf>
    <xf numFmtId="165" fontId="11" fillId="2" borderId="11" xfId="0" applyNumberFormat="1" applyFont="1" applyFill="1" applyBorder="1" applyAlignment="1" applyProtection="1">
      <alignment horizontal="center" vertical="center"/>
    </xf>
    <xf numFmtId="165" fontId="11" fillId="2" borderId="9" xfId="0" applyNumberFormat="1" applyFont="1" applyFill="1" applyBorder="1" applyAlignment="1">
      <alignment horizontal="center" vertical="center"/>
    </xf>
  </cellXfs>
  <cellStyles count="162">
    <cellStyle name="1" xfId="139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2"/>
    <cellStyle name="Normal 6 2" xfId="133"/>
    <cellStyle name="Normal 6 2 2" xfId="153"/>
    <cellStyle name="Normal 6 3" xfId="116"/>
    <cellStyle name="Normal 6 3 2" xfId="159"/>
    <cellStyle name="Normal 6 4" xfId="141"/>
    <cellStyle name="Normal 7" xfId="1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Normal_II-15(Population)" xfId="3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5"/>
  <sheetViews>
    <sheetView tabSelected="1" zoomScaleNormal="100" zoomScaleSheetLayoutView="89" workbookViewId="0">
      <selection activeCell="S13" sqref="S13"/>
    </sheetView>
  </sheetViews>
  <sheetFormatPr defaultColWidth="11.140625" defaultRowHeight="12.75" x14ac:dyDescent="0.2"/>
  <cols>
    <col min="1" max="1" width="10.7109375" style="60" customWidth="1"/>
    <col min="2" max="4" width="12.28515625" style="60" customWidth="1"/>
    <col min="5" max="5" width="0.85546875" style="60" customWidth="1"/>
    <col min="6" max="6" width="8" style="60" customWidth="1"/>
    <col min="7" max="7" width="15" style="60" customWidth="1"/>
    <col min="8" max="8" width="0.7109375" style="60" customWidth="1"/>
    <col min="9" max="9" width="16.42578125" style="60" customWidth="1"/>
    <col min="10" max="10" width="18.42578125" style="21" customWidth="1"/>
    <col min="11" max="11" width="1.42578125" style="60" customWidth="1"/>
    <col min="12" max="12" width="15.7109375" style="21" customWidth="1"/>
    <col min="13" max="13" width="1.7109375" style="21" customWidth="1"/>
    <col min="14" max="14" width="13.5703125" style="21" customWidth="1"/>
    <col min="15" max="15" width="17.28515625" style="4" customWidth="1"/>
    <col min="16" max="16" width="12.7109375" style="4" customWidth="1"/>
    <col min="17" max="16384" width="11.140625" style="4"/>
  </cols>
  <sheetData>
    <row r="1" spans="1:28" ht="18" customHeight="1" x14ac:dyDescent="0.2">
      <c r="A1" s="84" t="s">
        <v>69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2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s="6" customFormat="1" ht="17.25" customHeight="1" x14ac:dyDescent="0.2">
      <c r="A2" s="85" t="s">
        <v>70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s="7" customFormat="1" ht="1.5" customHeight="1" x14ac:dyDescent="0.2">
      <c r="L3" s="8"/>
      <c r="M3" s="9"/>
    </row>
    <row r="4" spans="1:28" s="7" customFormat="1" ht="16.5" customHeight="1" x14ac:dyDescent="0.2">
      <c r="A4" s="86" t="s">
        <v>1</v>
      </c>
      <c r="B4" s="89" t="s">
        <v>51</v>
      </c>
      <c r="C4" s="89"/>
      <c r="D4" s="89"/>
      <c r="E4" s="42"/>
      <c r="F4" s="90" t="s">
        <v>52</v>
      </c>
      <c r="G4" s="89"/>
      <c r="H4" s="89"/>
      <c r="I4" s="89"/>
      <c r="J4" s="91"/>
      <c r="K4" s="42"/>
      <c r="L4" s="89" t="s">
        <v>53</v>
      </c>
      <c r="M4" s="89"/>
      <c r="N4" s="89"/>
      <c r="O4" s="92" t="s">
        <v>50</v>
      </c>
    </row>
    <row r="5" spans="1:28" s="10" customFormat="1" ht="13.7" customHeight="1" x14ac:dyDescent="0.2">
      <c r="A5" s="87"/>
      <c r="B5" s="95" t="s">
        <v>54</v>
      </c>
      <c r="C5" s="95"/>
      <c r="D5" s="95"/>
      <c r="E5" s="32"/>
      <c r="F5" s="96" t="s">
        <v>55</v>
      </c>
      <c r="G5" s="95"/>
      <c r="H5" s="95"/>
      <c r="I5" s="95"/>
      <c r="J5" s="97"/>
      <c r="K5" s="32"/>
      <c r="L5" s="98" t="s">
        <v>66</v>
      </c>
      <c r="M5" s="98"/>
      <c r="N5" s="98"/>
      <c r="O5" s="93"/>
      <c r="P5" s="7"/>
    </row>
    <row r="6" spans="1:28" s="11" customFormat="1" ht="28.5" customHeight="1" x14ac:dyDescent="0.35">
      <c r="A6" s="87"/>
      <c r="B6" s="22" t="s">
        <v>49</v>
      </c>
      <c r="C6" s="43" t="s">
        <v>19</v>
      </c>
      <c r="D6" s="43" t="s">
        <v>20</v>
      </c>
      <c r="E6" s="43"/>
      <c r="F6" s="44" t="s">
        <v>2</v>
      </c>
      <c r="G6" s="22" t="s">
        <v>56</v>
      </c>
      <c r="H6" s="22"/>
      <c r="I6" s="22" t="s">
        <v>57</v>
      </c>
      <c r="J6" s="45" t="s">
        <v>67</v>
      </c>
      <c r="K6" s="23"/>
      <c r="L6" s="23" t="s">
        <v>2</v>
      </c>
      <c r="M6" s="23"/>
      <c r="N6" s="22" t="s">
        <v>56</v>
      </c>
      <c r="O6" s="93"/>
      <c r="P6" s="46"/>
    </row>
    <row r="7" spans="1:28" s="11" customFormat="1" ht="24.2" customHeight="1" x14ac:dyDescent="0.2">
      <c r="A7" s="88"/>
      <c r="B7" s="24" t="s">
        <v>58</v>
      </c>
      <c r="C7" s="24" t="s">
        <v>23</v>
      </c>
      <c r="D7" s="24" t="s">
        <v>24</v>
      </c>
      <c r="E7" s="29"/>
      <c r="F7" s="47" t="s">
        <v>0</v>
      </c>
      <c r="G7" s="2" t="s">
        <v>59</v>
      </c>
      <c r="H7" s="2"/>
      <c r="I7" s="2" t="s">
        <v>60</v>
      </c>
      <c r="J7" s="30" t="s">
        <v>61</v>
      </c>
      <c r="K7" s="48"/>
      <c r="L7" s="1" t="s">
        <v>0</v>
      </c>
      <c r="M7" s="1"/>
      <c r="N7" s="1" t="s">
        <v>59</v>
      </c>
      <c r="O7" s="94"/>
      <c r="P7" s="46"/>
      <c r="Q7" s="33"/>
      <c r="R7" s="33"/>
      <c r="S7" s="33"/>
    </row>
    <row r="8" spans="1:28" s="10" customFormat="1" ht="18" customHeight="1" x14ac:dyDescent="0.2">
      <c r="A8" s="36" t="s">
        <v>3</v>
      </c>
      <c r="B8" s="27">
        <f>SUM(C8:E8)</f>
        <v>87776</v>
      </c>
      <c r="C8" s="63">
        <f>C9+C10</f>
        <v>44993</v>
      </c>
      <c r="D8" s="63">
        <f>D9+D10</f>
        <v>42783</v>
      </c>
      <c r="E8" s="63"/>
      <c r="F8" s="64">
        <f t="shared" ref="F8:F30" si="0">SUM(G8:I8)</f>
        <v>9242</v>
      </c>
      <c r="G8" s="63">
        <f>SUM(G9:G10)</f>
        <v>8509</v>
      </c>
      <c r="H8" s="63">
        <f t="shared" ref="H8" si="1">SUM(H9:H10)</f>
        <v>0</v>
      </c>
      <c r="I8" s="63">
        <f>SUM(I9:I10)</f>
        <v>733</v>
      </c>
      <c r="J8" s="65">
        <f>I8/F8*100</f>
        <v>7.9311837264661333</v>
      </c>
      <c r="K8" s="66"/>
      <c r="L8" s="67">
        <f>B8/F8</f>
        <v>9.497511361177235</v>
      </c>
      <c r="M8" s="67"/>
      <c r="N8" s="67">
        <f>B8/G8</f>
        <v>10.31566576565989</v>
      </c>
      <c r="O8" s="49" t="s">
        <v>4</v>
      </c>
      <c r="P8" s="39"/>
      <c r="Q8" s="33"/>
      <c r="R8" s="33"/>
      <c r="S8" s="33"/>
    </row>
    <row r="9" spans="1:28" s="10" customFormat="1" ht="18" customHeight="1" x14ac:dyDescent="0.25">
      <c r="A9" s="36" t="s">
        <v>5</v>
      </c>
      <c r="B9" s="27">
        <f>SUM(C9:E9)</f>
        <v>31487</v>
      </c>
      <c r="C9" s="27">
        <v>15939</v>
      </c>
      <c r="D9" s="27">
        <v>15548</v>
      </c>
      <c r="E9" s="68"/>
      <c r="F9" s="64">
        <f t="shared" si="0"/>
        <v>2553</v>
      </c>
      <c r="G9" s="69">
        <v>2508</v>
      </c>
      <c r="H9" s="27"/>
      <c r="I9" s="69">
        <v>45</v>
      </c>
      <c r="J9" s="65">
        <f t="shared" ref="J9:J30" si="2">I9/F9*100</f>
        <v>1.762632197414806</v>
      </c>
      <c r="K9" s="66"/>
      <c r="L9" s="67">
        <f t="shared" ref="L9:L30" si="3">B9/F9</f>
        <v>12.333333333333334</v>
      </c>
      <c r="M9" s="67"/>
      <c r="N9" s="67">
        <f t="shared" ref="N9:N30" si="4">B9/G9</f>
        <v>12.554625199362041</v>
      </c>
      <c r="O9" s="49" t="s">
        <v>6</v>
      </c>
      <c r="P9" s="28"/>
      <c r="S9" s="33"/>
    </row>
    <row r="10" spans="1:28" s="10" customFormat="1" ht="18" customHeight="1" x14ac:dyDescent="0.25">
      <c r="A10" s="36" t="s">
        <v>7</v>
      </c>
      <c r="B10" s="27">
        <f>SUM(C10:E10)</f>
        <v>56289</v>
      </c>
      <c r="C10" s="63">
        <f>SUM(C11:C30)</f>
        <v>29054</v>
      </c>
      <c r="D10" s="63">
        <f>SUM(D11:D30)</f>
        <v>27235</v>
      </c>
      <c r="E10" s="63"/>
      <c r="F10" s="64">
        <f t="shared" si="0"/>
        <v>6689</v>
      </c>
      <c r="G10" s="63">
        <f>SUM(G11:G30)</f>
        <v>6001</v>
      </c>
      <c r="H10" s="63">
        <f t="shared" ref="H10:I10" si="5">SUM(H11:H30)</f>
        <v>0</v>
      </c>
      <c r="I10" s="63">
        <f t="shared" si="5"/>
        <v>688</v>
      </c>
      <c r="J10" s="65">
        <f t="shared" si="2"/>
        <v>10.285543429511138</v>
      </c>
      <c r="K10" s="66"/>
      <c r="L10" s="67">
        <f t="shared" si="3"/>
        <v>8.4151592166243088</v>
      </c>
      <c r="M10" s="67"/>
      <c r="N10" s="67">
        <f t="shared" si="4"/>
        <v>9.3799366772204635</v>
      </c>
      <c r="O10" s="49" t="s">
        <v>8</v>
      </c>
      <c r="P10" s="28"/>
      <c r="Q10" s="34"/>
      <c r="R10" s="34"/>
      <c r="S10" s="33"/>
    </row>
    <row r="11" spans="1:28" s="10" customFormat="1" ht="18" customHeight="1" x14ac:dyDescent="0.2">
      <c r="A11" s="61" t="s">
        <v>62</v>
      </c>
      <c r="B11" s="27">
        <f>SUM(C11:E11)</f>
        <v>3783</v>
      </c>
      <c r="C11" s="70">
        <v>2007</v>
      </c>
      <c r="D11" s="70">
        <v>1776</v>
      </c>
      <c r="E11" s="71"/>
      <c r="F11" s="72">
        <f t="shared" si="0"/>
        <v>475</v>
      </c>
      <c r="G11" s="73">
        <v>410</v>
      </c>
      <c r="H11" s="70"/>
      <c r="I11" s="73">
        <v>65</v>
      </c>
      <c r="J11" s="74">
        <f t="shared" si="2"/>
        <v>13.684210526315791</v>
      </c>
      <c r="K11" s="75"/>
      <c r="L11" s="76">
        <f t="shared" si="3"/>
        <v>7.9642105263157896</v>
      </c>
      <c r="M11" s="76"/>
      <c r="N11" s="76">
        <f t="shared" si="4"/>
        <v>9.2268292682926827</v>
      </c>
      <c r="O11" s="38" t="s">
        <v>9</v>
      </c>
      <c r="P11" s="39"/>
      <c r="S11" s="33"/>
    </row>
    <row r="12" spans="1:28" s="10" customFormat="1" ht="18" customHeight="1" x14ac:dyDescent="0.2">
      <c r="A12" s="61" t="s">
        <v>63</v>
      </c>
      <c r="B12" s="27">
        <f t="shared" ref="B12:B20" si="6">SUM(C12:E12)</f>
        <v>5646</v>
      </c>
      <c r="C12" s="70">
        <v>2913</v>
      </c>
      <c r="D12" s="70">
        <v>2733</v>
      </c>
      <c r="E12" s="71"/>
      <c r="F12" s="72">
        <f t="shared" si="0"/>
        <v>606</v>
      </c>
      <c r="G12" s="73">
        <v>526</v>
      </c>
      <c r="H12" s="70"/>
      <c r="I12" s="73">
        <v>80</v>
      </c>
      <c r="J12" s="74">
        <f t="shared" si="2"/>
        <v>13.201320132013199</v>
      </c>
      <c r="K12" s="75"/>
      <c r="L12" s="76">
        <f t="shared" si="3"/>
        <v>9.3168316831683171</v>
      </c>
      <c r="M12" s="76"/>
      <c r="N12" s="76">
        <f t="shared" si="4"/>
        <v>10.733840304182509</v>
      </c>
      <c r="O12" s="38" t="s">
        <v>10</v>
      </c>
      <c r="P12" s="39"/>
      <c r="S12" s="33"/>
    </row>
    <row r="13" spans="1:28" s="10" customFormat="1" ht="18" customHeight="1" x14ac:dyDescent="0.2">
      <c r="A13" s="61" t="s">
        <v>64</v>
      </c>
      <c r="B13" s="27">
        <f t="shared" si="6"/>
        <v>3698</v>
      </c>
      <c r="C13" s="70">
        <v>1922</v>
      </c>
      <c r="D13" s="70">
        <v>1776</v>
      </c>
      <c r="E13" s="71"/>
      <c r="F13" s="72">
        <f t="shared" si="0"/>
        <v>422</v>
      </c>
      <c r="G13" s="73">
        <v>367</v>
      </c>
      <c r="H13" s="70"/>
      <c r="I13" s="73">
        <v>55</v>
      </c>
      <c r="J13" s="74">
        <f t="shared" si="2"/>
        <v>13.033175355450238</v>
      </c>
      <c r="K13" s="75"/>
      <c r="L13" s="76">
        <f t="shared" si="3"/>
        <v>8.7630331753554511</v>
      </c>
      <c r="M13" s="76"/>
      <c r="N13" s="76">
        <f t="shared" si="4"/>
        <v>10.076294277929156</v>
      </c>
      <c r="O13" s="38" t="s">
        <v>11</v>
      </c>
      <c r="P13" s="39"/>
      <c r="S13" s="33"/>
    </row>
    <row r="14" spans="1:28" s="10" customFormat="1" ht="18" customHeight="1" x14ac:dyDescent="0.2">
      <c r="A14" s="61" t="s">
        <v>45</v>
      </c>
      <c r="B14" s="27">
        <f t="shared" si="6"/>
        <v>2977</v>
      </c>
      <c r="C14" s="70">
        <v>1531</v>
      </c>
      <c r="D14" s="70">
        <v>1446</v>
      </c>
      <c r="E14" s="71"/>
      <c r="F14" s="72">
        <f t="shared" si="0"/>
        <v>393</v>
      </c>
      <c r="G14" s="73">
        <v>362</v>
      </c>
      <c r="H14" s="70"/>
      <c r="I14" s="73">
        <v>31</v>
      </c>
      <c r="J14" s="74">
        <f t="shared" si="2"/>
        <v>7.888040712468193</v>
      </c>
      <c r="K14" s="75"/>
      <c r="L14" s="76">
        <f t="shared" si="3"/>
        <v>7.5750636132315519</v>
      </c>
      <c r="M14" s="76"/>
      <c r="N14" s="76">
        <f t="shared" si="4"/>
        <v>8.2237569060773481</v>
      </c>
      <c r="O14" s="38" t="s">
        <v>12</v>
      </c>
      <c r="P14" s="39"/>
      <c r="S14" s="33"/>
    </row>
    <row r="15" spans="1:28" s="10" customFormat="1" ht="18" customHeight="1" x14ac:dyDescent="0.2">
      <c r="A15" s="61" t="s">
        <v>65</v>
      </c>
      <c r="B15" s="27">
        <f t="shared" si="6"/>
        <v>4690</v>
      </c>
      <c r="C15" s="70">
        <v>2443</v>
      </c>
      <c r="D15" s="70">
        <v>2247</v>
      </c>
      <c r="E15" s="71"/>
      <c r="F15" s="72">
        <f t="shared" si="0"/>
        <v>625</v>
      </c>
      <c r="G15" s="73">
        <v>563</v>
      </c>
      <c r="H15" s="70"/>
      <c r="I15" s="73">
        <v>62</v>
      </c>
      <c r="J15" s="74">
        <f t="shared" si="2"/>
        <v>9.92</v>
      </c>
      <c r="K15" s="75"/>
      <c r="L15" s="76">
        <f t="shared" si="3"/>
        <v>7.5039999999999996</v>
      </c>
      <c r="M15" s="76"/>
      <c r="N15" s="76">
        <f t="shared" si="4"/>
        <v>8.3303730017761985</v>
      </c>
      <c r="O15" s="38" t="s">
        <v>13</v>
      </c>
      <c r="P15" s="39"/>
      <c r="S15" s="35"/>
    </row>
    <row r="16" spans="1:28" s="10" customFormat="1" ht="18" customHeight="1" x14ac:dyDescent="0.2">
      <c r="A16" s="61" t="s">
        <v>14</v>
      </c>
      <c r="B16" s="27">
        <f t="shared" si="6"/>
        <v>2569</v>
      </c>
      <c r="C16" s="70">
        <v>1324</v>
      </c>
      <c r="D16" s="70">
        <v>1245</v>
      </c>
      <c r="E16" s="71"/>
      <c r="F16" s="72">
        <f t="shared" si="0"/>
        <v>352</v>
      </c>
      <c r="G16" s="73">
        <v>311</v>
      </c>
      <c r="H16" s="70"/>
      <c r="I16" s="73">
        <v>41</v>
      </c>
      <c r="J16" s="74">
        <f t="shared" si="2"/>
        <v>11.647727272727272</v>
      </c>
      <c r="K16" s="75"/>
      <c r="L16" s="76">
        <f t="shared" si="3"/>
        <v>7.2982954545454541</v>
      </c>
      <c r="M16" s="76"/>
      <c r="N16" s="76">
        <f t="shared" si="4"/>
        <v>8.260450160771704</v>
      </c>
      <c r="O16" s="38" t="s">
        <v>15</v>
      </c>
      <c r="P16" s="39"/>
      <c r="S16" s="35"/>
    </row>
    <row r="17" spans="1:20" s="10" customFormat="1" ht="18" customHeight="1" x14ac:dyDescent="0.2">
      <c r="A17" s="61" t="s">
        <v>17</v>
      </c>
      <c r="B17" s="27">
        <f t="shared" si="6"/>
        <v>2037</v>
      </c>
      <c r="C17" s="70">
        <v>1019</v>
      </c>
      <c r="D17" s="70">
        <v>1018</v>
      </c>
      <c r="E17" s="71"/>
      <c r="F17" s="72">
        <f t="shared" si="0"/>
        <v>196</v>
      </c>
      <c r="G17" s="73">
        <v>170</v>
      </c>
      <c r="H17" s="70"/>
      <c r="I17" s="73">
        <v>26</v>
      </c>
      <c r="J17" s="74">
        <f t="shared" si="2"/>
        <v>13.26530612244898</v>
      </c>
      <c r="K17" s="75"/>
      <c r="L17" s="76">
        <f t="shared" si="3"/>
        <v>10.392857142857142</v>
      </c>
      <c r="M17" s="76"/>
      <c r="N17" s="76">
        <f t="shared" si="4"/>
        <v>11.982352941176471</v>
      </c>
      <c r="O17" s="38" t="s">
        <v>18</v>
      </c>
      <c r="P17" s="39"/>
      <c r="S17" s="12"/>
    </row>
    <row r="18" spans="1:20" s="10" customFormat="1" ht="18" customHeight="1" x14ac:dyDescent="0.2">
      <c r="A18" s="61" t="s">
        <v>21</v>
      </c>
      <c r="B18" s="27">
        <f t="shared" si="6"/>
        <v>2784</v>
      </c>
      <c r="C18" s="70">
        <v>1474</v>
      </c>
      <c r="D18" s="70">
        <v>1310</v>
      </c>
      <c r="E18" s="71"/>
      <c r="F18" s="72">
        <f t="shared" si="0"/>
        <v>308</v>
      </c>
      <c r="G18" s="73">
        <v>294</v>
      </c>
      <c r="H18" s="70"/>
      <c r="I18" s="73">
        <v>14</v>
      </c>
      <c r="J18" s="74">
        <f t="shared" si="2"/>
        <v>4.5454545454545459</v>
      </c>
      <c r="K18" s="75"/>
      <c r="L18" s="76">
        <f t="shared" si="3"/>
        <v>9.0389610389610393</v>
      </c>
      <c r="M18" s="76"/>
      <c r="N18" s="76">
        <f t="shared" si="4"/>
        <v>9.4693877551020407</v>
      </c>
      <c r="O18" s="38" t="s">
        <v>22</v>
      </c>
      <c r="P18" s="39"/>
      <c r="S18" s="12"/>
    </row>
    <row r="19" spans="1:20" s="10" customFormat="1" ht="18" customHeight="1" x14ac:dyDescent="0.2">
      <c r="A19" s="61" t="s">
        <v>25</v>
      </c>
      <c r="B19" s="27">
        <f t="shared" si="6"/>
        <v>1771</v>
      </c>
      <c r="C19" s="70">
        <v>915</v>
      </c>
      <c r="D19" s="70">
        <v>856</v>
      </c>
      <c r="E19" s="71"/>
      <c r="F19" s="72">
        <f t="shared" si="0"/>
        <v>216</v>
      </c>
      <c r="G19" s="73">
        <v>201</v>
      </c>
      <c r="H19" s="70"/>
      <c r="I19" s="73">
        <v>15</v>
      </c>
      <c r="J19" s="74">
        <f t="shared" si="2"/>
        <v>6.9444444444444446</v>
      </c>
      <c r="K19" s="75"/>
      <c r="L19" s="76">
        <f t="shared" si="3"/>
        <v>8.1990740740740744</v>
      </c>
      <c r="M19" s="76"/>
      <c r="N19" s="76">
        <f t="shared" si="4"/>
        <v>8.810945273631841</v>
      </c>
      <c r="O19" s="38" t="s">
        <v>26</v>
      </c>
      <c r="P19" s="39"/>
      <c r="S19" s="12"/>
    </row>
    <row r="20" spans="1:20" s="10" customFormat="1" ht="18" customHeight="1" x14ac:dyDescent="0.2">
      <c r="A20" s="61" t="s">
        <v>27</v>
      </c>
      <c r="B20" s="27">
        <f t="shared" si="6"/>
        <v>2224</v>
      </c>
      <c r="C20" s="70">
        <v>1151</v>
      </c>
      <c r="D20" s="70">
        <v>1073</v>
      </c>
      <c r="E20" s="71"/>
      <c r="F20" s="72">
        <f t="shared" si="0"/>
        <v>284</v>
      </c>
      <c r="G20" s="73">
        <v>257</v>
      </c>
      <c r="H20" s="70"/>
      <c r="I20" s="73">
        <v>27</v>
      </c>
      <c r="J20" s="74">
        <f t="shared" si="2"/>
        <v>9.5070422535211261</v>
      </c>
      <c r="K20" s="75"/>
      <c r="L20" s="76">
        <f t="shared" si="3"/>
        <v>7.830985915492958</v>
      </c>
      <c r="M20" s="76"/>
      <c r="N20" s="76">
        <f t="shared" si="4"/>
        <v>8.6536964980544742</v>
      </c>
      <c r="O20" s="38" t="s">
        <v>28</v>
      </c>
      <c r="P20" s="39"/>
      <c r="S20" s="12"/>
    </row>
    <row r="21" spans="1:20" s="10" customFormat="1" ht="18" customHeight="1" x14ac:dyDescent="0.2">
      <c r="A21" s="61" t="s">
        <v>29</v>
      </c>
      <c r="B21" s="27">
        <f>SUM(C21:E21)</f>
        <v>342</v>
      </c>
      <c r="C21" s="70">
        <v>186</v>
      </c>
      <c r="D21" s="70">
        <v>156</v>
      </c>
      <c r="E21" s="71"/>
      <c r="F21" s="72">
        <f t="shared" si="0"/>
        <v>72</v>
      </c>
      <c r="G21" s="73">
        <v>68</v>
      </c>
      <c r="H21" s="70"/>
      <c r="I21" s="73">
        <v>4</v>
      </c>
      <c r="J21" s="74">
        <f t="shared" si="2"/>
        <v>5.5555555555555554</v>
      </c>
      <c r="K21" s="75"/>
      <c r="L21" s="76">
        <f t="shared" si="3"/>
        <v>4.75</v>
      </c>
      <c r="M21" s="76"/>
      <c r="N21" s="76">
        <f t="shared" si="4"/>
        <v>5.0294117647058822</v>
      </c>
      <c r="O21" s="38" t="s">
        <v>30</v>
      </c>
      <c r="P21" s="39"/>
      <c r="S21" s="12"/>
    </row>
    <row r="22" spans="1:20" s="13" customFormat="1" ht="18" customHeight="1" x14ac:dyDescent="0.2">
      <c r="A22" s="61" t="s">
        <v>31</v>
      </c>
      <c r="B22" s="27">
        <f t="shared" ref="B22:B28" si="7">SUM(C22:E22)</f>
        <v>1229</v>
      </c>
      <c r="C22" s="70">
        <v>635</v>
      </c>
      <c r="D22" s="70">
        <v>594</v>
      </c>
      <c r="E22" s="71"/>
      <c r="F22" s="72">
        <f t="shared" si="0"/>
        <v>178</v>
      </c>
      <c r="G22" s="73">
        <v>171</v>
      </c>
      <c r="H22" s="70"/>
      <c r="I22" s="73">
        <v>7</v>
      </c>
      <c r="J22" s="74">
        <f t="shared" si="2"/>
        <v>3.9325842696629212</v>
      </c>
      <c r="K22" s="75"/>
      <c r="L22" s="76">
        <f t="shared" si="3"/>
        <v>6.904494382022472</v>
      </c>
      <c r="M22" s="76"/>
      <c r="N22" s="76">
        <f t="shared" si="4"/>
        <v>7.1871345029239766</v>
      </c>
      <c r="O22" s="38" t="s">
        <v>32</v>
      </c>
      <c r="P22" s="39"/>
      <c r="S22" s="12"/>
      <c r="T22" s="10"/>
    </row>
    <row r="23" spans="1:20" s="13" customFormat="1" ht="18" customHeight="1" x14ac:dyDescent="0.2">
      <c r="A23" s="61" t="s">
        <v>33</v>
      </c>
      <c r="B23" s="27">
        <f t="shared" si="7"/>
        <v>1422</v>
      </c>
      <c r="C23" s="70">
        <v>718</v>
      </c>
      <c r="D23" s="70">
        <v>704</v>
      </c>
      <c r="E23" s="71"/>
      <c r="F23" s="72">
        <f t="shared" si="0"/>
        <v>161</v>
      </c>
      <c r="G23" s="73">
        <v>152</v>
      </c>
      <c r="H23" s="70"/>
      <c r="I23" s="73">
        <v>9</v>
      </c>
      <c r="J23" s="74">
        <f t="shared" si="2"/>
        <v>5.5900621118012426</v>
      </c>
      <c r="K23" s="75"/>
      <c r="L23" s="76">
        <f t="shared" si="3"/>
        <v>8.8322981366459619</v>
      </c>
      <c r="M23" s="76"/>
      <c r="N23" s="76">
        <f t="shared" si="4"/>
        <v>9.3552631578947363</v>
      </c>
      <c r="O23" s="38" t="s">
        <v>34</v>
      </c>
      <c r="P23" s="39" t="s">
        <v>16</v>
      </c>
      <c r="S23" s="12"/>
      <c r="T23" s="10"/>
    </row>
    <row r="24" spans="1:20" s="13" customFormat="1" ht="18" customHeight="1" x14ac:dyDescent="0.2">
      <c r="A24" s="61" t="s">
        <v>35</v>
      </c>
      <c r="B24" s="27">
        <f t="shared" si="7"/>
        <v>1727</v>
      </c>
      <c r="C24" s="70">
        <v>865</v>
      </c>
      <c r="D24" s="70">
        <v>862</v>
      </c>
      <c r="E24" s="71"/>
      <c r="F24" s="72">
        <f t="shared" si="0"/>
        <v>207</v>
      </c>
      <c r="G24" s="73">
        <v>196</v>
      </c>
      <c r="H24" s="70"/>
      <c r="I24" s="73">
        <v>11</v>
      </c>
      <c r="J24" s="74">
        <f t="shared" si="2"/>
        <v>5.3140096618357484</v>
      </c>
      <c r="K24" s="75"/>
      <c r="L24" s="76">
        <f t="shared" si="3"/>
        <v>8.3429951690821262</v>
      </c>
      <c r="M24" s="76"/>
      <c r="N24" s="76">
        <f t="shared" si="4"/>
        <v>8.8112244897959187</v>
      </c>
      <c r="O24" s="38" t="s">
        <v>36</v>
      </c>
      <c r="P24" s="39"/>
      <c r="S24" s="12"/>
      <c r="T24" s="10"/>
    </row>
    <row r="25" spans="1:20" s="13" customFormat="1" ht="18" customHeight="1" x14ac:dyDescent="0.2">
      <c r="A25" s="61" t="s">
        <v>37</v>
      </c>
      <c r="B25" s="27">
        <f t="shared" si="7"/>
        <v>2581</v>
      </c>
      <c r="C25" s="70">
        <v>1342</v>
      </c>
      <c r="D25" s="70">
        <v>1239</v>
      </c>
      <c r="E25" s="71"/>
      <c r="F25" s="72">
        <f t="shared" si="0"/>
        <v>340</v>
      </c>
      <c r="G25" s="73">
        <v>305</v>
      </c>
      <c r="H25" s="70"/>
      <c r="I25" s="73">
        <v>35</v>
      </c>
      <c r="J25" s="74">
        <f t="shared" si="2"/>
        <v>10.294117647058822</v>
      </c>
      <c r="K25" s="75"/>
      <c r="L25" s="76">
        <f t="shared" si="3"/>
        <v>7.591176470588235</v>
      </c>
      <c r="M25" s="76"/>
      <c r="N25" s="76">
        <f t="shared" si="4"/>
        <v>8.4622950819672127</v>
      </c>
      <c r="O25" s="38" t="s">
        <v>38</v>
      </c>
      <c r="P25" s="39"/>
      <c r="S25" s="12"/>
      <c r="T25" s="10"/>
    </row>
    <row r="26" spans="1:20" s="13" customFormat="1" ht="18" customHeight="1" x14ac:dyDescent="0.2">
      <c r="A26" s="61" t="s">
        <v>18</v>
      </c>
      <c r="B26" s="27">
        <f t="shared" si="7"/>
        <v>3597</v>
      </c>
      <c r="C26" s="70">
        <v>1874</v>
      </c>
      <c r="D26" s="70">
        <v>1723</v>
      </c>
      <c r="E26" s="71"/>
      <c r="F26" s="72">
        <f t="shared" si="0"/>
        <v>385</v>
      </c>
      <c r="G26" s="73">
        <v>363</v>
      </c>
      <c r="H26" s="70"/>
      <c r="I26" s="73">
        <v>22</v>
      </c>
      <c r="J26" s="74">
        <f t="shared" si="2"/>
        <v>5.7142857142857144</v>
      </c>
      <c r="K26" s="75"/>
      <c r="L26" s="76">
        <f t="shared" si="3"/>
        <v>9.3428571428571434</v>
      </c>
      <c r="M26" s="76"/>
      <c r="N26" s="76">
        <f t="shared" si="4"/>
        <v>9.9090909090909083</v>
      </c>
      <c r="O26" s="38" t="s">
        <v>39</v>
      </c>
      <c r="P26" s="39"/>
      <c r="S26" s="12"/>
      <c r="T26" s="10"/>
    </row>
    <row r="27" spans="1:20" s="13" customFormat="1" ht="18" customHeight="1" x14ac:dyDescent="0.2">
      <c r="A27" s="61" t="s">
        <v>40</v>
      </c>
      <c r="B27" s="27">
        <f t="shared" si="7"/>
        <v>2138</v>
      </c>
      <c r="C27" s="70">
        <v>1071</v>
      </c>
      <c r="D27" s="70">
        <v>1067</v>
      </c>
      <c r="E27" s="71"/>
      <c r="F27" s="72">
        <f t="shared" si="0"/>
        <v>289</v>
      </c>
      <c r="G27" s="73">
        <v>238</v>
      </c>
      <c r="H27" s="70"/>
      <c r="I27" s="73">
        <v>51</v>
      </c>
      <c r="J27" s="74">
        <f t="shared" si="2"/>
        <v>17.647058823529413</v>
      </c>
      <c r="K27" s="75"/>
      <c r="L27" s="76">
        <f t="shared" si="3"/>
        <v>7.3979238754325261</v>
      </c>
      <c r="M27" s="76"/>
      <c r="N27" s="76">
        <f t="shared" si="4"/>
        <v>8.9831932773109244</v>
      </c>
      <c r="O27" s="38" t="s">
        <v>41</v>
      </c>
      <c r="P27" s="39"/>
      <c r="S27" s="12"/>
      <c r="T27" s="10"/>
    </row>
    <row r="28" spans="1:20" s="13" customFormat="1" ht="18" customHeight="1" x14ac:dyDescent="0.2">
      <c r="A28" s="61" t="s">
        <v>42</v>
      </c>
      <c r="B28" s="27">
        <f t="shared" si="7"/>
        <v>3101</v>
      </c>
      <c r="C28" s="70">
        <v>1651</v>
      </c>
      <c r="D28" s="70">
        <v>1450</v>
      </c>
      <c r="E28" s="71"/>
      <c r="F28" s="72">
        <f t="shared" si="0"/>
        <v>378</v>
      </c>
      <c r="G28" s="73">
        <v>330</v>
      </c>
      <c r="H28" s="70"/>
      <c r="I28" s="73">
        <v>48</v>
      </c>
      <c r="J28" s="74">
        <f t="shared" si="2"/>
        <v>12.698412698412698</v>
      </c>
      <c r="K28" s="75"/>
      <c r="L28" s="76">
        <f t="shared" si="3"/>
        <v>8.2037037037037042</v>
      </c>
      <c r="M28" s="76"/>
      <c r="N28" s="76">
        <f t="shared" si="4"/>
        <v>9.3969696969696965</v>
      </c>
      <c r="O28" s="38" t="s">
        <v>43</v>
      </c>
      <c r="P28" s="39"/>
      <c r="S28" s="12"/>
      <c r="T28" s="10"/>
    </row>
    <row r="29" spans="1:20" s="13" customFormat="1" ht="18" customHeight="1" x14ac:dyDescent="0.2">
      <c r="A29" s="61" t="s">
        <v>44</v>
      </c>
      <c r="B29" s="27">
        <f>SUM(C29:E29)</f>
        <v>2460</v>
      </c>
      <c r="C29" s="70">
        <v>1244</v>
      </c>
      <c r="D29" s="70">
        <v>1216</v>
      </c>
      <c r="E29" s="71"/>
      <c r="F29" s="72">
        <f t="shared" si="0"/>
        <v>224</v>
      </c>
      <c r="G29" s="73">
        <v>176</v>
      </c>
      <c r="H29" s="70"/>
      <c r="I29" s="73">
        <v>48</v>
      </c>
      <c r="J29" s="74">
        <f t="shared" si="2"/>
        <v>21.428571428571427</v>
      </c>
      <c r="K29" s="75"/>
      <c r="L29" s="76">
        <f t="shared" si="3"/>
        <v>10.982142857142858</v>
      </c>
      <c r="M29" s="76"/>
      <c r="N29" s="76">
        <f t="shared" si="4"/>
        <v>13.977272727272727</v>
      </c>
      <c r="O29" s="38" t="s">
        <v>45</v>
      </c>
      <c r="S29" s="12"/>
      <c r="T29" s="10"/>
    </row>
    <row r="30" spans="1:20" s="13" customFormat="1" ht="18" customHeight="1" x14ac:dyDescent="0.2">
      <c r="A30" s="40" t="s">
        <v>11</v>
      </c>
      <c r="B30" s="62">
        <f>SUM(C30:E30)</f>
        <v>5513</v>
      </c>
      <c r="C30" s="77">
        <v>2769</v>
      </c>
      <c r="D30" s="77">
        <v>2744</v>
      </c>
      <c r="E30" s="78"/>
      <c r="F30" s="79">
        <f t="shared" si="0"/>
        <v>578</v>
      </c>
      <c r="G30" s="80">
        <v>541</v>
      </c>
      <c r="H30" s="77"/>
      <c r="I30" s="80">
        <v>37</v>
      </c>
      <c r="J30" s="81">
        <f t="shared" si="2"/>
        <v>6.4013840830449826</v>
      </c>
      <c r="K30" s="82"/>
      <c r="L30" s="83">
        <f t="shared" si="3"/>
        <v>9.538062283737025</v>
      </c>
      <c r="M30" s="83"/>
      <c r="N30" s="83">
        <f t="shared" si="4"/>
        <v>10.190388170055453</v>
      </c>
      <c r="O30" s="41" t="s">
        <v>46</v>
      </c>
      <c r="P30" s="39"/>
      <c r="S30" s="12"/>
      <c r="T30" s="10"/>
    </row>
    <row r="31" spans="1:20" s="13" customFormat="1" ht="17.25" x14ac:dyDescent="0.25">
      <c r="A31" s="58" t="s">
        <v>68</v>
      </c>
      <c r="B31" s="31"/>
      <c r="C31" s="51"/>
      <c r="D31" s="51"/>
      <c r="E31" s="50"/>
      <c r="F31" s="55"/>
      <c r="G31" s="54"/>
      <c r="H31" s="51"/>
      <c r="I31" s="54"/>
      <c r="J31" s="56"/>
      <c r="K31" s="53"/>
      <c r="L31" s="37"/>
      <c r="M31" s="37"/>
      <c r="N31" s="37"/>
      <c r="O31" s="57"/>
      <c r="P31" s="39"/>
      <c r="S31" s="12"/>
      <c r="T31" s="10"/>
    </row>
    <row r="32" spans="1:20" s="13" customFormat="1" ht="14.25" x14ac:dyDescent="0.35">
      <c r="A32" s="59" t="s">
        <v>47</v>
      </c>
      <c r="C32" s="52"/>
      <c r="D32" s="52"/>
      <c r="E32" s="26"/>
      <c r="F32" s="26"/>
      <c r="G32" s="26"/>
      <c r="H32" s="26"/>
      <c r="I32" s="26"/>
      <c r="J32" s="14"/>
      <c r="K32" s="15"/>
      <c r="L32" s="14"/>
      <c r="M32" s="14"/>
      <c r="N32" s="16"/>
      <c r="O32" s="17" t="s">
        <v>48</v>
      </c>
    </row>
    <row r="33" spans="7:14" s="13" customFormat="1" ht="12" x14ac:dyDescent="0.2">
      <c r="J33" s="18"/>
      <c r="L33" s="18"/>
      <c r="M33" s="18"/>
      <c r="N33" s="19"/>
    </row>
    <row r="35" spans="7:14" x14ac:dyDescent="0.2">
      <c r="G35" s="20"/>
    </row>
  </sheetData>
  <mergeCells count="10">
    <mergeCell ref="A1:O1"/>
    <mergeCell ref="A2:O2"/>
    <mergeCell ref="A4:A7"/>
    <mergeCell ref="B4:D4"/>
    <mergeCell ref="F4:J4"/>
    <mergeCell ref="L4:N4"/>
    <mergeCell ref="O4:O7"/>
    <mergeCell ref="B5:D5"/>
    <mergeCell ref="F5:J5"/>
    <mergeCell ref="L5:N5"/>
  </mergeCells>
  <pageMargins left="0.49" right="0.7" top="0.75" bottom="0.75" header="0.3" footer="0.3"/>
  <pageSetup scale="79" orientation="landscape" horizontalDpi="4294967295" verticalDpi="4294967295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2018-04-18T04:16:27Z</cp:lastPrinted>
  <dcterms:created xsi:type="dcterms:W3CDTF">2014-03-05T03:36:41Z</dcterms:created>
  <dcterms:modified xsi:type="dcterms:W3CDTF">2018-04-18T04:16:32Z</dcterms:modified>
</cp:coreProperties>
</file>