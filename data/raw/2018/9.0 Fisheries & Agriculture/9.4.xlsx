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4" sheetId="9" r:id="rId1"/>
  </sheets>
  <externalReferences>
    <externalReference r:id="rId2"/>
    <externalReference r:id="rId3"/>
  </externalReferences>
  <definedNames>
    <definedName name="_xlnm.Print_Area" localSheetId="0">'9.4'!$A$1:$N$44</definedName>
  </definedNames>
  <calcPr calcId="162913"/>
</workbook>
</file>

<file path=xl/calcChain.xml><?xml version="1.0" encoding="utf-8"?>
<calcChain xmlns="http://schemas.openxmlformats.org/spreadsheetml/2006/main">
  <c r="M20" i="9" l="1"/>
  <c r="M17" i="9"/>
  <c r="M16" i="9"/>
  <c r="M13" i="9"/>
  <c r="M12" i="9"/>
  <c r="M14" i="9"/>
  <c r="M15" i="9"/>
  <c r="M18" i="9"/>
  <c r="M19" i="9"/>
  <c r="M21" i="9"/>
  <c r="M22" i="9"/>
  <c r="M11" i="9"/>
  <c r="M10" i="9"/>
  <c r="D9" i="9" l="1"/>
  <c r="K15" i="9" l="1"/>
  <c r="K9" i="9"/>
  <c r="K16" i="9"/>
  <c r="K17" i="9"/>
  <c r="K14" i="9"/>
  <c r="K18" i="9"/>
  <c r="K12" i="9"/>
  <c r="K19" i="9"/>
  <c r="K13" i="9"/>
  <c r="K11" i="9"/>
  <c r="K20" i="9"/>
  <c r="K22" i="9"/>
  <c r="K10" i="9"/>
  <c r="K21" i="9"/>
  <c r="AJ18" i="9" l="1"/>
  <c r="AJ17" i="9"/>
  <c r="AJ16" i="9"/>
  <c r="AJ15" i="9"/>
  <c r="H19" i="9"/>
  <c r="AI18" i="9"/>
  <c r="AJ14" i="9"/>
  <c r="AI17" i="9"/>
  <c r="AJ13" i="9"/>
  <c r="AI16" i="9"/>
  <c r="AJ12" i="9"/>
  <c r="AI15" i="9"/>
  <c r="AJ11" i="9"/>
  <c r="AI14" i="9"/>
  <c r="AJ10" i="9"/>
  <c r="AI13" i="9"/>
  <c r="AJ9" i="9"/>
  <c r="H13" i="9"/>
  <c r="AI12" i="9"/>
  <c r="AJ8" i="9"/>
  <c r="AI11" i="9"/>
  <c r="AJ7" i="9"/>
  <c r="AI10" i="9"/>
  <c r="AI9" i="9"/>
  <c r="F9" i="9"/>
  <c r="E9" i="9"/>
  <c r="C9" i="9"/>
  <c r="B9" i="9"/>
  <c r="I9" i="9" s="1"/>
  <c r="H20" i="9"/>
  <c r="G19" i="9"/>
  <c r="F21" i="9"/>
  <c r="AI8" i="9"/>
  <c r="AI7" i="9"/>
  <c r="I19" i="9" l="1"/>
  <c r="I13" i="9"/>
  <c r="H11" i="9"/>
  <c r="F20" i="9"/>
  <c r="I17" i="9"/>
  <c r="I14" i="9"/>
  <c r="I11" i="9"/>
  <c r="I10" i="9"/>
  <c r="I22" i="9"/>
  <c r="I20" i="9"/>
  <c r="H15" i="9"/>
  <c r="H17" i="9"/>
  <c r="J9" i="9"/>
  <c r="J19" i="9"/>
  <c r="J12" i="9"/>
  <c r="J20" i="9"/>
  <c r="J13" i="9"/>
  <c r="J21" i="9"/>
  <c r="J14" i="9"/>
  <c r="J22" i="9"/>
  <c r="J15" i="9"/>
  <c r="J11" i="9"/>
  <c r="J16" i="9"/>
  <c r="J10" i="9"/>
  <c r="J18" i="9"/>
  <c r="J17" i="9"/>
  <c r="L11" i="9"/>
  <c r="L10" i="9"/>
  <c r="L9" i="9"/>
  <c r="M9" i="9"/>
  <c r="L13" i="9"/>
  <c r="L15" i="9"/>
  <c r="I15" i="9"/>
  <c r="L12" i="9"/>
  <c r="L20" i="9"/>
  <c r="L21" i="9"/>
  <c r="L22" i="9"/>
  <c r="L14" i="9"/>
  <c r="L16" i="9"/>
  <c r="L17" i="9"/>
  <c r="L19" i="9"/>
  <c r="L18" i="9"/>
  <c r="G10" i="9"/>
  <c r="G12" i="9"/>
  <c r="G14" i="9"/>
  <c r="G16" i="9"/>
  <c r="G18" i="9"/>
  <c r="G21" i="9"/>
  <c r="G20" i="9"/>
  <c r="H10" i="9"/>
  <c r="H12" i="9"/>
  <c r="H14" i="9"/>
  <c r="H16" i="9"/>
  <c r="H18" i="9"/>
  <c r="H21" i="9"/>
  <c r="F22" i="9"/>
  <c r="I12" i="9"/>
  <c r="I16" i="9"/>
  <c r="I18" i="9"/>
  <c r="I21" i="9"/>
  <c r="G22" i="9"/>
  <c r="G9" i="9"/>
  <c r="F11" i="9"/>
  <c r="F13" i="9"/>
  <c r="F15" i="9"/>
  <c r="F17" i="9"/>
  <c r="F19" i="9"/>
  <c r="H22" i="9"/>
  <c r="G11" i="9"/>
  <c r="G13" i="9"/>
  <c r="G15" i="9"/>
  <c r="G17" i="9"/>
  <c r="H9" i="9"/>
  <c r="F12" i="9"/>
  <c r="F14" i="9"/>
  <c r="F16" i="9"/>
  <c r="F18" i="9"/>
</calcChain>
</file>

<file path=xl/sharedStrings.xml><?xml version="1.0" encoding="utf-8"?>
<sst xmlns="http://schemas.openxmlformats.org/spreadsheetml/2006/main" count="44" uniqueCount="31">
  <si>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</si>
  <si>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</si>
  <si>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</si>
  <si>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</si>
  <si>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</si>
  <si>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</si>
  <si>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</si>
  <si>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</si>
  <si>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</si>
  <si>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</si>
  <si>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</si>
  <si>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</si>
  <si>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</si>
  <si>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</si>
  <si>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</si>
  <si>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cniawtcaws ctogWviawfiheb</t>
  </si>
  <si>
    <t>Percentage share</t>
  </si>
  <si>
    <t xml:space="preserve"> rwCclwkircgea cDcnea  czIrwxif cfoa IrcTcsinim :ctWrwf ivcaedutWmUluAwm</t>
  </si>
  <si>
    <t>udwdwA ununEb cswm</t>
  </si>
  <si>
    <t>Fish catch</t>
  </si>
  <si>
    <t>(cnunwTckircTem)</t>
  </si>
  <si>
    <t>(In metric tons)</t>
  </si>
  <si>
    <t xml:space="preserve"> eruvcSwrwhwa wyidim</t>
  </si>
  <si>
    <t>(cnia % ) urwvcnim ivurutia</t>
  </si>
  <si>
    <t>% change over</t>
  </si>
  <si>
    <t>Fish Catch</t>
  </si>
  <si>
    <t>Growth</t>
  </si>
  <si>
    <t>Table  9.4 :  FISH CATCH  BY MONTH, 2014 - 2017</t>
  </si>
  <si>
    <t>2017 - 2014 ,urwvcnim eguhwminEb wtwvun ifih iawguhwmcswmikea : 9.4 ulwvWt</t>
  </si>
  <si>
    <t>Longline</t>
  </si>
  <si>
    <t xml:space="preserve"> previous year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</si>
</sst>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67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2"/>
      <name val="A_Waheed"/>
    </font>
    <font>
      <b/>
      <sz val="9"/>
      <name val="A_Waheed"/>
    </font>
    <font>
      <sz val="9"/>
      <name val="A_Waheed"/>
    </font>
    <font>
      <b/>
      <sz val="11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0" fontId="4" fillId="0" borderId="0"/>
    <xf numFmtId="0" fontId="4" fillId="0" borderId="0"/>
  </cellStyleXfs>
  <cellXfs count="99">
    <xf numFmtId="0" fontId="0" fillId="0" borderId="0" xfId="0"/>
    <xf numFmtId="165" fontId="11" fillId="2" borderId="0" xfId="4" applyFont="1" applyFill="1" applyAlignment="1" applyProtection="1">
      <alignment horizontal="left" vertical="center"/>
    </xf>
    <xf numFmtId="165" fontId="17" fillId="2" borderId="0" xfId="4" applyFont="1" applyFill="1" applyAlignment="1">
      <alignment vertical="center"/>
    </xf>
    <xf numFmtId="1" fontId="9" fillId="2" borderId="2" xfId="4" applyNumberFormat="1" applyFont="1" applyFill="1" applyBorder="1" applyAlignment="1" applyProtection="1">
      <alignment horizontal="right" vertical="center"/>
    </xf>
    <xf numFmtId="165" fontId="10" fillId="2" borderId="0" xfId="4" applyFont="1" applyFill="1" applyAlignment="1">
      <alignment vertical="center"/>
    </xf>
    <xf numFmtId="165" fontId="20" fillId="2" borderId="0" xfId="4" applyFont="1" applyFill="1" applyAlignment="1" applyProtection="1">
      <alignment horizontal="left" vertical="center"/>
    </xf>
    <xf numFmtId="165" fontId="12" fillId="2" borderId="0" xfId="4" applyFont="1" applyFill="1" applyBorder="1" applyAlignment="1">
      <alignment horizontal="right" vertical="center"/>
    </xf>
    <xf numFmtId="165" fontId="17" fillId="2" borderId="0" xfId="4" applyFont="1" applyFill="1" applyBorder="1" applyAlignment="1">
      <alignment vertical="center"/>
    </xf>
    <xf numFmtId="165" fontId="3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4" fillId="2" borderId="0" xfId="4" applyFont="1" applyFill="1" applyAlignment="1" applyProtection="1">
      <alignment horizontal="left" vertical="center"/>
    </xf>
    <xf numFmtId="167" fontId="14" fillId="2" borderId="0" xfId="4" applyNumberFormat="1" applyFont="1" applyFill="1" applyBorder="1" applyAlignment="1">
      <alignment horizontal="right" vertical="center"/>
    </xf>
    <xf numFmtId="167" fontId="7" fillId="2" borderId="0" xfId="4" applyNumberFormat="1" applyFont="1" applyFill="1" applyBorder="1" applyAlignment="1">
      <alignment horizontal="right" vertical="center"/>
    </xf>
    <xf numFmtId="167" fontId="7" fillId="2" borderId="2" xfId="4" applyNumberFormat="1" applyFont="1" applyFill="1" applyBorder="1" applyAlignment="1">
      <alignment horizontal="right" vertical="center"/>
    </xf>
    <xf numFmtId="165" fontId="20" fillId="2" borderId="0" xfId="4" applyFont="1" applyFill="1" applyBorder="1" applyAlignment="1" applyProtection="1">
      <alignment horizontal="left" vertical="center"/>
    </xf>
    <xf numFmtId="165" fontId="4" fillId="2" borderId="0" xfId="4" applyFont="1" applyFill="1" applyAlignment="1">
      <alignment vertical="center"/>
    </xf>
    <xf numFmtId="1" fontId="9" fillId="2" borderId="3" xfId="4" applyNumberFormat="1" applyFont="1" applyFill="1" applyBorder="1" applyAlignment="1" applyProtection="1">
      <alignment horizontal="right" vertical="center"/>
    </xf>
    <xf numFmtId="167" fontId="14" fillId="2" borderId="0" xfId="4" applyNumberFormat="1" applyFont="1" applyFill="1" applyBorder="1" applyAlignment="1" applyProtection="1">
      <alignment horizontal="right" vertical="center"/>
    </xf>
    <xf numFmtId="167" fontId="7" fillId="2" borderId="0" xfId="4" applyNumberFormat="1" applyFont="1" applyFill="1" applyBorder="1" applyAlignment="1" applyProtection="1">
      <alignment horizontal="right" vertical="center"/>
    </xf>
    <xf numFmtId="167" fontId="7" fillId="2" borderId="2" xfId="4" applyNumberFormat="1" applyFont="1" applyFill="1" applyBorder="1" applyAlignment="1" applyProtection="1">
      <alignment horizontal="right" vertical="center"/>
    </xf>
    <xf numFmtId="165" fontId="18" fillId="2" borderId="1" xfId="4" applyFont="1" applyFill="1" applyBorder="1" applyAlignment="1">
      <alignment vertical="center"/>
    </xf>
    <xf numFmtId="165" fontId="4" fillId="2" borderId="0" xfId="4" applyFont="1" applyFill="1" applyAlignment="1">
      <alignment horizontal="right" vertical="center"/>
    </xf>
    <xf numFmtId="165" fontId="16" fillId="2" borderId="0" xfId="4" applyFont="1" applyFill="1" applyAlignment="1">
      <alignment vertical="center"/>
    </xf>
    <xf numFmtId="165" fontId="9" fillId="2" borderId="0" xfId="4" applyFont="1" applyFill="1" applyBorder="1" applyAlignment="1">
      <alignment vertical="center"/>
    </xf>
    <xf numFmtId="165" fontId="14" fillId="2" borderId="0" xfId="4" applyFont="1" applyFill="1" applyAlignment="1" applyProtection="1">
      <alignment vertical="center"/>
    </xf>
    <xf numFmtId="165" fontId="18" fillId="2" borderId="0" xfId="4" applyFont="1" applyFill="1" applyAlignment="1">
      <alignment horizontal="centerContinuous" vertical="center"/>
    </xf>
    <xf numFmtId="167" fontId="17" fillId="2" borderId="0" xfId="4" applyNumberFormat="1" applyFont="1" applyFill="1" applyBorder="1" applyAlignment="1" applyProtection="1">
      <alignment horizontal="right" vertical="center"/>
    </xf>
    <xf numFmtId="165" fontId="9" fillId="2" borderId="0" xfId="4" applyFont="1" applyFill="1" applyBorder="1" applyAlignment="1">
      <alignment horizontal="centerContinuous" vertical="center"/>
    </xf>
    <xf numFmtId="167" fontId="9" fillId="2" borderId="0" xfId="4" applyNumberFormat="1" applyFont="1" applyFill="1" applyBorder="1" applyAlignment="1">
      <alignment horizontal="left" vertical="center"/>
    </xf>
    <xf numFmtId="167" fontId="19" fillId="2" borderId="0" xfId="4" applyNumberFormat="1" applyFont="1" applyFill="1" applyBorder="1" applyAlignment="1" applyProtection="1">
      <alignment horizontal="right" vertical="center"/>
    </xf>
    <xf numFmtId="165" fontId="8" fillId="2" borderId="0" xfId="4" applyFont="1" applyFill="1" applyBorder="1" applyAlignment="1">
      <alignment horizontal="center"/>
    </xf>
    <xf numFmtId="165" fontId="18" fillId="2" borderId="0" xfId="4" applyFont="1" applyFill="1" applyBorder="1" applyAlignment="1">
      <alignment horizontal="right" vertical="center"/>
    </xf>
    <xf numFmtId="165" fontId="18" fillId="2" borderId="0" xfId="4" applyFont="1" applyFill="1" applyBorder="1" applyAlignment="1">
      <alignment horizontal="center" vertical="center"/>
    </xf>
    <xf numFmtId="165" fontId="18" fillId="2" borderId="0" xfId="4" applyFont="1" applyFill="1" applyBorder="1" applyAlignment="1">
      <alignment horizontal="right" vertical="center" wrapText="1"/>
    </xf>
    <xf numFmtId="167" fontId="18" fillId="2" borderId="0" xfId="4" applyNumberFormat="1" applyFont="1" applyFill="1" applyBorder="1" applyAlignment="1">
      <alignment horizontal="right" vertical="center"/>
    </xf>
    <xf numFmtId="167" fontId="18" fillId="2" borderId="0" xfId="4" applyNumberFormat="1" applyFont="1" applyFill="1" applyBorder="1" applyAlignment="1" applyProtection="1">
      <alignment horizontal="right" vertical="center"/>
    </xf>
    <xf numFmtId="165" fontId="17" fillId="2" borderId="0" xfId="4" applyFont="1" applyFill="1"/>
    <xf numFmtId="165" fontId="17" fillId="2" borderId="0" xfId="4" applyFont="1" applyFill="1" applyAlignment="1">
      <alignment horizontal="right"/>
    </xf>
    <xf numFmtId="165" fontId="4" fillId="2" borderId="0" xfId="4" applyFont="1" applyFill="1"/>
    <xf numFmtId="165" fontId="4" fillId="2" borderId="0" xfId="4" applyFont="1" applyFill="1" applyAlignment="1">
      <alignment horizontal="right"/>
    </xf>
    <xf numFmtId="3" fontId="17" fillId="2" borderId="0" xfId="4" applyNumberFormat="1" applyFont="1" applyFill="1" applyAlignment="1">
      <alignment horizontal="right"/>
    </xf>
    <xf numFmtId="166" fontId="17" fillId="2" borderId="0" xfId="4" applyNumberFormat="1" applyFont="1" applyFill="1" applyAlignment="1">
      <alignment horizontal="right"/>
    </xf>
    <xf numFmtId="166" fontId="4" fillId="2" borderId="0" xfId="4" applyNumberFormat="1" applyFont="1" applyFill="1" applyAlignment="1">
      <alignment horizontal="right"/>
    </xf>
    <xf numFmtId="165" fontId="19" fillId="2" borderId="0" xfId="4" applyFont="1" applyFill="1" applyBorder="1" applyAlignment="1" applyProtection="1">
      <alignment horizontal="left" vertical="center"/>
    </xf>
    <xf numFmtId="165" fontId="10" fillId="2" borderId="0" xfId="4" applyFont="1" applyFill="1" applyBorder="1" applyAlignment="1">
      <alignment vertical="center"/>
    </xf>
    <xf numFmtId="165" fontId="18" fillId="2" borderId="0" xfId="4" applyFont="1" applyFill="1" applyBorder="1" applyAlignment="1">
      <alignment vertical="center"/>
    </xf>
    <xf numFmtId="3" fontId="14" fillId="2" borderId="0" xfId="4" applyNumberFormat="1" applyFont="1" applyFill="1" applyBorder="1" applyAlignment="1" applyProtection="1">
      <alignment horizontal="right" vertical="center"/>
    </xf>
    <xf numFmtId="165" fontId="14" fillId="2" borderId="0" xfId="4" applyFont="1" applyFill="1" applyAlignment="1" applyProtection="1">
      <alignment horizontal="center" vertical="center"/>
    </xf>
    <xf numFmtId="165" fontId="8" fillId="2" borderId="0" xfId="4" applyFont="1" applyFill="1" applyAlignment="1">
      <alignment horizontal="center" vertical="center"/>
    </xf>
    <xf numFmtId="165" fontId="8" fillId="2" borderId="0" xfId="4" applyFont="1" applyFill="1" applyBorder="1" applyAlignment="1">
      <alignment horizontal="right" vertical="center"/>
    </xf>
    <xf numFmtId="3" fontId="14" fillId="2" borderId="1" xfId="4" applyNumberFormat="1" applyFont="1" applyFill="1" applyBorder="1" applyAlignment="1">
      <alignment horizontal="right" vertical="center"/>
    </xf>
    <xf numFmtId="167" fontId="14" fillId="2" borderId="1" xfId="4" applyNumberFormat="1" applyFont="1" applyFill="1" applyBorder="1" applyAlignment="1">
      <alignment horizontal="right" vertical="center"/>
    </xf>
    <xf numFmtId="3" fontId="7" fillId="2" borderId="0" xfId="4" applyNumberFormat="1" applyFont="1" applyFill="1" applyBorder="1" applyAlignment="1" applyProtection="1">
      <alignment horizontal="right" vertical="center"/>
    </xf>
    <xf numFmtId="3" fontId="7" fillId="2" borderId="2" xfId="4" applyNumberFormat="1" applyFont="1" applyFill="1" applyBorder="1" applyAlignment="1" applyProtection="1">
      <alignment horizontal="right" vertical="center"/>
    </xf>
    <xf numFmtId="165" fontId="14" fillId="2" borderId="0" xfId="4" applyFont="1" applyFill="1" applyBorder="1" applyAlignment="1" applyProtection="1">
      <alignment vertical="center"/>
    </xf>
    <xf numFmtId="165" fontId="18" fillId="2" borderId="0" xfId="4" applyFont="1" applyFill="1" applyBorder="1" applyAlignment="1">
      <alignment horizontal="centerContinuous" vertical="center"/>
    </xf>
    <xf numFmtId="3" fontId="19" fillId="2" borderId="0" xfId="4" applyNumberFormat="1" applyFont="1" applyFill="1" applyBorder="1" applyAlignment="1" applyProtection="1">
      <alignment horizontal="center" vertical="center"/>
    </xf>
    <xf numFmtId="165" fontId="17" fillId="2" borderId="0" xfId="4" applyFont="1" applyFill="1" applyBorder="1"/>
    <xf numFmtId="165" fontId="16" fillId="2" borderId="0" xfId="4" applyFont="1" applyFill="1" applyAlignment="1">
      <alignment horizontal="center" vertical="center"/>
    </xf>
    <xf numFmtId="43" fontId="17" fillId="2" borderId="0" xfId="1" applyFont="1" applyFill="1" applyAlignment="1">
      <alignment horizontal="right"/>
    </xf>
    <xf numFmtId="165" fontId="24" fillId="2" borderId="0" xfId="4" applyFont="1" applyFill="1" applyBorder="1" applyAlignment="1">
      <alignment horizontal="right" vertical="center"/>
    </xf>
    <xf numFmtId="165" fontId="23" fillId="2" borderId="0" xfId="4" applyFont="1" applyFill="1" applyBorder="1" applyAlignment="1">
      <alignment horizontal="center" vertical="center"/>
    </xf>
    <xf numFmtId="167" fontId="14" fillId="2" borderId="1" xfId="4" applyNumberFormat="1" applyFont="1" applyFill="1" applyBorder="1" applyAlignment="1">
      <alignment horizontal="center" vertical="center"/>
    </xf>
    <xf numFmtId="167" fontId="14" fillId="2" borderId="0" xfId="4" applyNumberFormat="1" applyFont="1" applyFill="1" applyBorder="1" applyAlignment="1">
      <alignment horizontal="center" vertical="center"/>
    </xf>
    <xf numFmtId="167" fontId="7" fillId="2" borderId="0" xfId="4" applyNumberFormat="1" applyFont="1" applyFill="1" applyBorder="1" applyAlignment="1">
      <alignment horizontal="center" vertical="center"/>
    </xf>
    <xf numFmtId="167" fontId="7" fillId="2" borderId="2" xfId="4" applyNumberFormat="1" applyFont="1" applyFill="1" applyBorder="1" applyAlignment="1">
      <alignment horizontal="center" vertical="center"/>
    </xf>
    <xf numFmtId="165" fontId="14" fillId="2" borderId="0" xfId="4" applyFont="1" applyFill="1" applyBorder="1" applyAlignment="1">
      <alignment horizontal="center" vertical="center" wrapText="1"/>
    </xf>
    <xf numFmtId="165" fontId="23" fillId="2" borderId="1" xfId="4" applyFont="1" applyFill="1" applyBorder="1" applyAlignment="1">
      <alignment horizontal="center" vertical="center"/>
    </xf>
    <xf numFmtId="165" fontId="9" fillId="2" borderId="0" xfId="4" applyFont="1" applyFill="1" applyBorder="1" applyAlignment="1" applyProtection="1">
      <alignment horizontal="center" vertical="center"/>
    </xf>
    <xf numFmtId="165" fontId="14" fillId="2" borderId="0" xfId="4" applyFont="1" applyFill="1" applyBorder="1" applyAlignment="1">
      <alignment horizontal="center" vertical="center"/>
    </xf>
    <xf numFmtId="165" fontId="18" fillId="2" borderId="4" xfId="4" applyFont="1" applyFill="1" applyBorder="1" applyAlignment="1">
      <alignment vertical="center"/>
    </xf>
    <xf numFmtId="167" fontId="14" fillId="2" borderId="4" xfId="4" applyNumberFormat="1" applyFont="1" applyFill="1" applyBorder="1" applyAlignment="1">
      <alignment horizontal="right" vertical="center"/>
    </xf>
    <xf numFmtId="166" fontId="18" fillId="2" borderId="0" xfId="4" applyNumberFormat="1" applyFont="1" applyFill="1" applyAlignment="1">
      <alignment vertical="center"/>
    </xf>
    <xf numFmtId="166" fontId="18" fillId="2" borderId="0" xfId="4" applyNumberFormat="1" applyFont="1" applyFill="1" applyBorder="1" applyAlignment="1">
      <alignment vertical="center"/>
    </xf>
    <xf numFmtId="166" fontId="19" fillId="2" borderId="0" xfId="4" applyNumberFormat="1" applyFont="1" applyFill="1" applyBorder="1" applyAlignment="1" applyProtection="1">
      <alignment horizontal="left" vertical="center"/>
    </xf>
    <xf numFmtId="166" fontId="19" fillId="2" borderId="0" xfId="4" applyNumberFormat="1" applyFont="1" applyFill="1" applyBorder="1" applyAlignment="1" applyProtection="1">
      <alignment horizontal="center" vertical="center"/>
    </xf>
    <xf numFmtId="166" fontId="20" fillId="2" borderId="0" xfId="4" applyNumberFormat="1" applyFont="1" applyFill="1" applyBorder="1" applyAlignment="1" applyProtection="1">
      <alignment horizontal="left" vertical="center"/>
    </xf>
    <xf numFmtId="166" fontId="17" fillId="2" borderId="0" xfId="4" applyNumberFormat="1" applyFont="1" applyFill="1" applyBorder="1" applyAlignment="1">
      <alignment vertical="center"/>
    </xf>
    <xf numFmtId="1" fontId="9" fillId="2" borderId="7" xfId="4" applyNumberFormat="1" applyFont="1" applyFill="1" applyBorder="1" applyAlignment="1" applyProtection="1">
      <alignment horizontal="right" vertical="center"/>
    </xf>
    <xf numFmtId="167" fontId="14" fillId="2" borderId="5" xfId="4" applyNumberFormat="1" applyFont="1" applyFill="1" applyBorder="1" applyAlignment="1">
      <alignment horizontal="right" vertical="center"/>
    </xf>
    <xf numFmtId="167" fontId="7" fillId="2" borderId="5" xfId="4" applyNumberFormat="1" applyFont="1" applyFill="1" applyBorder="1" applyAlignment="1">
      <alignment horizontal="right" vertical="center"/>
    </xf>
    <xf numFmtId="167" fontId="7" fillId="2" borderId="6" xfId="4" applyNumberFormat="1" applyFont="1" applyFill="1" applyBorder="1" applyAlignment="1">
      <alignment horizontal="right" vertical="center"/>
    </xf>
    <xf numFmtId="165" fontId="25" fillId="2" borderId="0" xfId="4" applyFont="1" applyFill="1" applyBorder="1" applyAlignment="1">
      <alignment vertical="center"/>
    </xf>
    <xf numFmtId="165" fontId="6" fillId="2" borderId="2" xfId="4" applyFont="1" applyFill="1" applyBorder="1" applyAlignment="1">
      <alignment vertical="center"/>
    </xf>
    <xf numFmtId="165" fontId="22" fillId="2" borderId="0" xfId="4" applyFont="1" applyFill="1" applyAlignment="1">
      <alignment horizontal="center" vertical="center"/>
    </xf>
    <xf numFmtId="165" fontId="9" fillId="2" borderId="1" xfId="4" applyFont="1" applyFill="1" applyBorder="1" applyAlignment="1" applyProtection="1">
      <alignment horizontal="left" vertical="center"/>
    </xf>
    <xf numFmtId="165" fontId="9" fillId="2" borderId="0" xfId="4" applyFont="1" applyFill="1" applyBorder="1" applyAlignment="1" applyProtection="1">
      <alignment horizontal="left" vertical="center"/>
    </xf>
    <xf numFmtId="165" fontId="9" fillId="2" borderId="2" xfId="4" applyFont="1" applyFill="1" applyBorder="1" applyAlignment="1" applyProtection="1">
      <alignment horizontal="left" vertical="center"/>
    </xf>
    <xf numFmtId="165" fontId="6" fillId="2" borderId="2" xfId="4" applyFont="1" applyFill="1" applyBorder="1" applyAlignment="1">
      <alignment horizontal="center" vertical="center"/>
    </xf>
    <xf numFmtId="165" fontId="21" fillId="2" borderId="0" xfId="4" applyFont="1" applyFill="1" applyAlignment="1" applyProtection="1">
      <alignment horizontal="center" vertical="center"/>
    </xf>
    <xf numFmtId="165" fontId="15" fillId="2" borderId="0" xfId="4" applyFont="1" applyFill="1" applyAlignment="1">
      <alignment horizontal="center" vertical="center"/>
    </xf>
    <xf numFmtId="165" fontId="14" fillId="2" borderId="2" xfId="4" applyFont="1" applyFill="1" applyBorder="1" applyAlignment="1" applyProtection="1">
      <alignment horizontal="center" vertical="center"/>
    </xf>
    <xf numFmtId="165" fontId="13" fillId="2" borderId="1" xfId="4" applyFont="1" applyFill="1" applyBorder="1" applyAlignment="1">
      <alignment horizontal="center" vertical="center"/>
    </xf>
    <xf numFmtId="165" fontId="25" fillId="2" borderId="0" xfId="4" applyFont="1" applyFill="1" applyBorder="1" applyAlignment="1">
      <alignment horizontal="center" vertical="center"/>
    </xf>
    <xf numFmtId="165" fontId="25" fillId="2" borderId="5" xfId="4" applyFont="1" applyFill="1" applyBorder="1" applyAlignment="1">
      <alignment horizontal="center" vertical="center"/>
    </xf>
    <xf numFmtId="165" fontId="6" fillId="2" borderId="6" xfId="4" applyFont="1" applyFill="1" applyBorder="1" applyAlignment="1">
      <alignment horizontal="center" vertical="center"/>
    </xf>
    <xf numFmtId="165" fontId="7" fillId="2" borderId="0" xfId="4" applyFont="1" applyFill="1" applyAlignment="1" applyProtection="1">
      <alignment horizontal="left" vertical="center" indent="1"/>
    </xf>
    <xf numFmtId="165" fontId="7" fillId="2" borderId="2" xfId="4" applyFont="1" applyFill="1" applyBorder="1" applyAlignment="1" applyProtection="1">
      <alignment horizontal="left" vertical="center" indent="1"/>
    </xf>
  </cellXfs>
  <cellStyles count="8">
    <cellStyle name="1" xfId="6"/>
    <cellStyle name="Comma" xfId="1" builtinId="3"/>
    <cellStyle name="Comma 2" xfId="2"/>
    <cellStyle name="Normal" xfId="0" builtinId="0"/>
    <cellStyle name="Normal 2" xfId="5"/>
    <cellStyle name="Normal 3_agri planning 2009 year book(final)" xfId="3"/>
    <cellStyle name="Normal 4" xfId="7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2017</a:t>
            </a:r>
          </a:p>
        </c:rich>
      </c:tx>
      <c:layout>
        <c:manualLayout>
          <c:xMode val="edge"/>
          <c:yMode val="edge"/>
          <c:x val="0.18466691582438652"/>
          <c:y val="3.74510397738744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6753930277946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'9.4'!$AI$6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'9.4'!$AH$7:$AH$18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'9.4'!$AI$7:$AI$18</c:f>
              <c:numCache>
                <c:formatCode>_(* #,##0.00_);_(* \(#,##0.00\);_(* "-"??_);_(@_)</c:formatCode>
                <c:ptCount val="12"/>
                <c:pt idx="0">
                  <c:v>15269.129930186487</c:v>
                </c:pt>
                <c:pt idx="1">
                  <c:v>12287.990494745092</c:v>
                </c:pt>
                <c:pt idx="2">
                  <c:v>11587.183879886174</c:v>
                </c:pt>
                <c:pt idx="3">
                  <c:v>14387.158111737806</c:v>
                </c:pt>
                <c:pt idx="4">
                  <c:v>13726.320040759501</c:v>
                </c:pt>
                <c:pt idx="5">
                  <c:v>8073.8650662096888</c:v>
                </c:pt>
                <c:pt idx="6">
                  <c:v>11006.673952147246</c:v>
                </c:pt>
                <c:pt idx="7">
                  <c:v>6875.8681784718392</c:v>
                </c:pt>
                <c:pt idx="8">
                  <c:v>5727.8159043651394</c:v>
                </c:pt>
                <c:pt idx="9">
                  <c:v>11656.856555422492</c:v>
                </c:pt>
                <c:pt idx="10">
                  <c:v>15407.930396345055</c:v>
                </c:pt>
                <c:pt idx="11">
                  <c:v>14617.486741348303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1-41EC-925E-C383D384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3864192"/>
        <c:axId val="83874176"/>
      </c:barChart>
      <c:lineChart>
        <c:grouping val="standard"/>
        <c:varyColors val="0"/>
        <c:ser>
          <c:idx val="1"/>
          <c:order val="1"/>
          <c:tx>
            <c:strRef>
              <c:f>'9.4'!$AJ$6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'9.4'!$AH$7:$AH$18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'9.4'!$AJ$7:$AJ$18</c:f>
              <c:numCache>
                <c:formatCode>#,##0</c:formatCode>
                <c:ptCount val="12"/>
                <c:pt idx="0">
                  <c:v>65.206805156039266</c:v>
                </c:pt>
                <c:pt idx="1">
                  <c:v>28.257577053527815</c:v>
                </c:pt>
                <c:pt idx="2">
                  <c:v>4.5669468509559126</c:v>
                </c:pt>
                <c:pt idx="3">
                  <c:v>-10.574283954846839</c:v>
                </c:pt>
                <c:pt idx="4">
                  <c:v>24.464603878100448</c:v>
                </c:pt>
                <c:pt idx="5">
                  <c:v>140.19024242898908</c:v>
                </c:pt>
                <c:pt idx="6">
                  <c:v>154.66716300907987</c:v>
                </c:pt>
                <c:pt idx="7">
                  <c:v>2.7967492710180011</c:v>
                </c:pt>
                <c:pt idx="8">
                  <c:v>-19.629327616097015</c:v>
                </c:pt>
                <c:pt idx="9">
                  <c:v>-32.127340941824656</c:v>
                </c:pt>
                <c:pt idx="10">
                  <c:v>-3.5157212679494698</c:v>
                </c:pt>
                <c:pt idx="11">
                  <c:v>-6.8066062055114438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1-41EC-925E-C383D384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75712"/>
        <c:axId val="83877248"/>
      </c:lineChart>
      <c:catAx>
        <c:axId val="838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41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3874176"/>
        <c:scaling>
          <c:orientation val="minMax"/>
          <c:max val="1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64192"/>
        <c:crosses val="autoZero"/>
        <c:crossBetween val="between"/>
      </c:valAx>
      <c:catAx>
        <c:axId val="838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3877248"/>
        <c:crosses val="autoZero"/>
        <c:auto val="0"/>
        <c:lblAlgn val="ctr"/>
        <c:lblOffset val="100"/>
        <c:noMultiLvlLbl val="0"/>
      </c:catAx>
      <c:valAx>
        <c:axId val="83877248"/>
        <c:scaling>
          <c:orientation val="minMax"/>
          <c:max val="1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7571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449427242059992"/>
          <c:y val="0.21744229086748773"/>
          <c:w val="0.15949561058463319"/>
          <c:h val="0.15455481526347667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64848</xdr:colOff>
      <xdr:row>26</xdr:row>
      <xdr:rowOff>59055</xdr:rowOff>
    </xdr:from>
    <xdr:to>
      <xdr:col>5</xdr:col>
      <xdr:colOff>0</xdr:colOff>
      <xdr:row>28</xdr:row>
      <xdr:rowOff>9593</xdr:rowOff>
    </xdr:to>
    <xdr:sp macro="" textlink="">
      <xdr:nvSpPr>
        <xdr:cNvPr id="7" name="TextBox 6"/>
        <xdr:cNvSpPr txBox="1"/>
      </xdr:nvSpPr>
      <xdr:spPr>
        <a:xfrm>
          <a:off x="3017598" y="4583430"/>
          <a:ext cx="6973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2</xdr:col>
      <xdr:colOff>571578</xdr:colOff>
      <xdr:row>26</xdr:row>
      <xdr:rowOff>68580</xdr:rowOff>
    </xdr:from>
    <xdr:to>
      <xdr:col>5</xdr:col>
      <xdr:colOff>0</xdr:colOff>
      <xdr:row>28</xdr:row>
      <xdr:rowOff>19118</xdr:rowOff>
    </xdr:to>
    <xdr:sp macro="" textlink="">
      <xdr:nvSpPr>
        <xdr:cNvPr id="8" name="TextBox 7"/>
        <xdr:cNvSpPr txBox="1"/>
      </xdr:nvSpPr>
      <xdr:spPr>
        <a:xfrm>
          <a:off x="2933778" y="4592955"/>
          <a:ext cx="1272606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2</xdr:col>
      <xdr:colOff>33766</xdr:colOff>
      <xdr:row>26</xdr:row>
      <xdr:rowOff>116794</xdr:rowOff>
    </xdr:from>
    <xdr:to>
      <xdr:col>4</xdr:col>
      <xdr:colOff>260573</xdr:colOff>
      <xdr:row>27</xdr:row>
      <xdr:rowOff>112747</xdr:rowOff>
    </xdr:to>
    <xdr:sp macro="" textlink="">
      <xdr:nvSpPr>
        <xdr:cNvPr id="10" name="TextBox 9"/>
        <xdr:cNvSpPr txBox="1"/>
      </xdr:nvSpPr>
      <xdr:spPr>
        <a:xfrm>
          <a:off x="1214866" y="5907994"/>
          <a:ext cx="81735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12</xdr:col>
      <xdr:colOff>1343025</xdr:colOff>
      <xdr:row>43</xdr:row>
      <xdr:rowOff>47625</xdr:rowOff>
    </xdr:to>
    <xdr:graphicFrame macro="">
      <xdr:nvGraphicFramePr>
        <xdr:cNvPr id="1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666752</xdr:colOff>
      <xdr:row>26</xdr:row>
      <xdr:rowOff>95250</xdr:rowOff>
    </xdr:from>
    <xdr:to>
      <xdr:col>12</xdr:col>
      <xdr:colOff>1343025</xdr:colOff>
      <xdr:row>27</xdr:row>
      <xdr:rowOff>85725</xdr:rowOff>
    </xdr:to>
    <xdr:sp macro="" textlink="">
      <xdr:nvSpPr>
        <xdr:cNvPr id="15" name="TextBox 14"/>
        <xdr:cNvSpPr txBox="1"/>
      </xdr:nvSpPr>
      <xdr:spPr>
        <a:xfrm>
          <a:off x="6600827" y="5867400"/>
          <a:ext cx="676273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Percent</a:t>
          </a:r>
          <a:endParaRPr lang="en-US" sz="1000"/>
        </a:p>
      </xdr:txBody>
    </xdr:sp>
    <xdr:clientData/>
  </xdr:twoCellAnchor>
  <xdr:twoCellAnchor>
    <xdr:from>
      <xdr:col>0</xdr:col>
      <xdr:colOff>217248</xdr:colOff>
      <xdr:row>26</xdr:row>
      <xdr:rowOff>30480</xdr:rowOff>
    </xdr:from>
    <xdr:to>
      <xdr:col>1</xdr:col>
      <xdr:colOff>476408</xdr:colOff>
      <xdr:row>27</xdr:row>
      <xdr:rowOff>133418</xdr:rowOff>
    </xdr:to>
    <xdr:sp macro="" textlink="">
      <xdr:nvSpPr>
        <xdr:cNvPr id="11" name="TextBox 10"/>
        <xdr:cNvSpPr txBox="1"/>
      </xdr:nvSpPr>
      <xdr:spPr>
        <a:xfrm>
          <a:off x="217248" y="5802630"/>
          <a:ext cx="8497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2</xdr:col>
      <xdr:colOff>104775</xdr:colOff>
      <xdr:row>27</xdr:row>
      <xdr:rowOff>1</xdr:rowOff>
    </xdr:from>
    <xdr:to>
      <xdr:col>12</xdr:col>
      <xdr:colOff>590550</xdr:colOff>
      <xdr:row>27</xdr:row>
      <xdr:rowOff>1</xdr:rowOff>
    </xdr:to>
    <xdr:sp macro="" textlink="">
      <xdr:nvSpPr>
        <xdr:cNvPr id="16" name="Line 4"/>
        <xdr:cNvSpPr>
          <a:spLocks noChangeShapeType="1"/>
        </xdr:cNvSpPr>
      </xdr:nvSpPr>
      <xdr:spPr bwMode="auto">
        <a:xfrm>
          <a:off x="1438275" y="5924551"/>
          <a:ext cx="50863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P63"/>
  <sheetViews>
    <sheetView tabSelected="1" view="pageBreakPreview" zoomScaleNormal="100" zoomScaleSheetLayoutView="100" workbookViewId="0">
      <selection activeCell="AA16" sqref="AA16"/>
    </sheetView>
  </sheetViews>
  <sheetFormatPr defaultColWidth="8.85546875" defaultRowHeight="12.75" x14ac:dyDescent="0.2"/>
  <cols>
    <col min="1" max="1" width="10.42578125" style="39" customWidth="1"/>
    <col min="2" max="4" width="11.140625" style="40" customWidth="1"/>
    <col min="5" max="5" width="8.42578125" style="40" customWidth="1"/>
    <col min="6" max="7" width="7.85546875" style="40" hidden="1" customWidth="1"/>
    <col min="8" max="8" width="6.42578125" style="40" hidden="1" customWidth="1"/>
    <col min="9" max="12" width="9.5703125" style="40" customWidth="1"/>
    <col min="13" max="13" width="21" style="40" customWidth="1"/>
    <col min="14" max="16" width="3.28515625" style="40" customWidth="1"/>
    <col min="17" max="34" width="8.85546875" style="39"/>
    <col min="35" max="35" width="10" style="39" bestFit="1" customWidth="1"/>
    <col min="36" max="16384" width="8.85546875" style="39"/>
  </cols>
  <sheetData>
    <row r="1" spans="1:42" s="8" customFormat="1" ht="19.5" x14ac:dyDescent="0.25">
      <c r="A1" s="85" t="s">
        <v>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59"/>
      <c r="O1" s="59"/>
      <c r="P1" s="59"/>
      <c r="Q1" s="23"/>
      <c r="R1" s="23"/>
      <c r="S1" s="23"/>
    </row>
    <row r="2" spans="1:42" s="10" customFormat="1" ht="15.75" x14ac:dyDescent="0.25">
      <c r="A2" s="90" t="s">
        <v>27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8"/>
      <c r="O2" s="48"/>
      <c r="P2" s="48"/>
      <c r="Q2" s="25"/>
      <c r="R2" s="25"/>
      <c r="S2" s="55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</row>
    <row r="3" spans="1:42" s="9" customFormat="1" ht="15.75" x14ac:dyDescent="0.25">
      <c r="A3" s="91" t="s">
        <v>20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49"/>
      <c r="O3" s="49"/>
      <c r="P3" s="49"/>
      <c r="Q3" s="26"/>
      <c r="R3" s="26"/>
      <c r="S3" s="56"/>
      <c r="T3" s="46"/>
      <c r="U3" s="46"/>
      <c r="V3" s="46"/>
      <c r="W3" s="46"/>
      <c r="X3" s="46"/>
      <c r="Y3" s="46"/>
      <c r="Z3" s="46"/>
      <c r="AA3" s="46"/>
      <c r="AB3" s="27"/>
      <c r="AC3" s="46"/>
      <c r="AD3" s="46"/>
      <c r="AE3" s="46"/>
      <c r="AF3" s="46"/>
      <c r="AG3" s="46"/>
      <c r="AH3" s="46"/>
      <c r="AI3" s="46"/>
      <c r="AJ3" s="46"/>
    </row>
    <row r="4" spans="1:42" s="10" customFormat="1" x14ac:dyDescent="0.2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69"/>
      <c r="O4" s="69"/>
      <c r="P4" s="69"/>
      <c r="Q4" s="28"/>
      <c r="R4" s="28"/>
      <c r="S4" s="28"/>
      <c r="T4" s="44"/>
      <c r="U4" s="57"/>
      <c r="V4" s="29"/>
      <c r="W4" s="29"/>
      <c r="X4" s="29"/>
      <c r="Y4" s="29"/>
      <c r="Z4" s="29"/>
      <c r="AA4" s="29"/>
      <c r="AB4" s="24"/>
      <c r="AC4" s="24"/>
      <c r="AD4" s="30"/>
      <c r="AE4" s="24"/>
      <c r="AF4" s="24"/>
      <c r="AG4" s="24"/>
      <c r="AH4" s="24"/>
      <c r="AI4" s="24"/>
      <c r="AJ4" s="24"/>
    </row>
    <row r="5" spans="1:42" s="9" customFormat="1" ht="13.5" customHeight="1" x14ac:dyDescent="0.4">
      <c r="A5" s="86" t="s">
        <v>0</v>
      </c>
      <c r="B5" s="93"/>
      <c r="C5" s="93"/>
      <c r="D5" s="93"/>
      <c r="E5" s="93"/>
      <c r="F5" s="21"/>
      <c r="G5" s="21"/>
      <c r="H5" s="21"/>
      <c r="I5" s="71"/>
      <c r="J5" s="21"/>
      <c r="K5" s="21"/>
      <c r="L5" s="21"/>
      <c r="M5" s="68" t="s">
        <v>22</v>
      </c>
      <c r="N5" s="50"/>
      <c r="O5" s="50"/>
      <c r="P5" s="50"/>
      <c r="Q5" s="31"/>
      <c r="S5" s="7"/>
      <c r="T5" s="44"/>
      <c r="U5" s="57"/>
      <c r="V5" s="29"/>
      <c r="W5" s="29"/>
      <c r="X5" s="29"/>
      <c r="Y5" s="29"/>
      <c r="Z5" s="29"/>
      <c r="AA5" s="29"/>
      <c r="AB5" s="46"/>
      <c r="AC5" s="46"/>
      <c r="AD5" s="27"/>
      <c r="AE5" s="46"/>
      <c r="AF5" s="46"/>
      <c r="AG5" s="40"/>
      <c r="AH5" s="40"/>
      <c r="AI5" s="39"/>
      <c r="AJ5" s="39"/>
    </row>
    <row r="6" spans="1:42" s="2" customFormat="1" ht="20.45" customHeight="1" x14ac:dyDescent="0.2">
      <c r="A6" s="87"/>
      <c r="B6" s="94" t="s">
        <v>18</v>
      </c>
      <c r="C6" s="94"/>
      <c r="D6" s="94"/>
      <c r="E6" s="94"/>
      <c r="F6" s="83"/>
      <c r="G6" s="83"/>
      <c r="H6" s="83"/>
      <c r="I6" s="95" t="s">
        <v>15</v>
      </c>
      <c r="J6" s="94"/>
      <c r="K6" s="94"/>
      <c r="L6" s="94"/>
      <c r="M6" s="62" t="s">
        <v>23</v>
      </c>
      <c r="N6" s="50"/>
      <c r="O6" s="50"/>
      <c r="P6" s="50"/>
      <c r="S6" s="7"/>
      <c r="T6" s="44"/>
      <c r="U6" s="57"/>
      <c r="V6" s="29"/>
      <c r="W6" s="29"/>
      <c r="X6" s="29"/>
      <c r="Y6" s="29"/>
      <c r="Z6" s="29"/>
      <c r="AA6" s="29"/>
      <c r="AB6" s="7"/>
      <c r="AC6" s="7"/>
      <c r="AD6" s="27"/>
      <c r="AE6" s="7"/>
      <c r="AF6" s="7"/>
      <c r="AG6" s="40"/>
      <c r="AH6" s="38" t="s">
        <v>0</v>
      </c>
      <c r="AI6" s="24" t="s">
        <v>25</v>
      </c>
      <c r="AJ6" s="24" t="s">
        <v>26</v>
      </c>
    </row>
    <row r="7" spans="1:42" s="2" customFormat="1" ht="15" x14ac:dyDescent="0.2">
      <c r="A7" s="87"/>
      <c r="B7" s="89" t="s">
        <v>19</v>
      </c>
      <c r="C7" s="89"/>
      <c r="D7" s="89"/>
      <c r="E7" s="89"/>
      <c r="F7" s="84"/>
      <c r="G7" s="84"/>
      <c r="H7" s="84"/>
      <c r="I7" s="96" t="s">
        <v>16</v>
      </c>
      <c r="J7" s="89"/>
      <c r="K7" s="89"/>
      <c r="L7" s="89"/>
      <c r="M7" s="70" t="s">
        <v>24</v>
      </c>
      <c r="N7" s="32"/>
      <c r="O7" s="32"/>
      <c r="P7" s="32"/>
      <c r="Q7" s="33"/>
      <c r="S7" s="50"/>
      <c r="T7" s="44"/>
      <c r="U7" s="57"/>
      <c r="V7" s="29"/>
      <c r="W7" s="29"/>
      <c r="X7" s="29"/>
      <c r="Y7" s="29"/>
      <c r="Z7" s="29"/>
      <c r="AA7" s="29"/>
      <c r="AB7" s="7"/>
      <c r="AC7" s="7"/>
      <c r="AD7" s="27"/>
      <c r="AE7" s="7"/>
      <c r="AF7" s="7"/>
      <c r="AG7" s="40"/>
      <c r="AH7" s="39" t="s">
        <v>2</v>
      </c>
      <c r="AI7" s="60">
        <f t="shared" ref="AI7:AI18" si="0">E11</f>
        <v>15269.129930186487</v>
      </c>
      <c r="AJ7" s="41">
        <f>M11</f>
        <v>65.206805156039266</v>
      </c>
    </row>
    <row r="8" spans="1:42" s="2" customFormat="1" ht="18" customHeight="1" x14ac:dyDescent="0.2">
      <c r="A8" s="88"/>
      <c r="B8" s="17">
        <v>2014</v>
      </c>
      <c r="C8" s="17">
        <v>2015</v>
      </c>
      <c r="D8" s="17">
        <v>2016</v>
      </c>
      <c r="E8" s="17">
        <v>2017</v>
      </c>
      <c r="F8" s="3">
        <v>2011</v>
      </c>
      <c r="G8" s="3">
        <v>2012</v>
      </c>
      <c r="H8" s="3">
        <v>2013</v>
      </c>
      <c r="I8" s="79">
        <v>2014</v>
      </c>
      <c r="J8" s="3">
        <v>2015</v>
      </c>
      <c r="K8" s="3">
        <v>2016</v>
      </c>
      <c r="L8" s="3">
        <v>2017</v>
      </c>
      <c r="M8" s="67" t="s">
        <v>30</v>
      </c>
      <c r="N8" s="34"/>
      <c r="O8" s="34"/>
      <c r="P8" s="34"/>
      <c r="Q8" s="9"/>
      <c r="R8" s="9"/>
      <c r="S8" s="46"/>
      <c r="T8" s="44"/>
      <c r="U8" s="57"/>
      <c r="V8" s="29"/>
      <c r="W8" s="29"/>
      <c r="X8" s="29"/>
      <c r="Y8" s="29"/>
      <c r="Z8" s="29"/>
      <c r="AA8" s="29"/>
      <c r="AB8" s="7"/>
      <c r="AC8" s="7"/>
      <c r="AD8" s="27"/>
      <c r="AE8" s="7"/>
      <c r="AF8" s="7"/>
      <c r="AG8" s="40"/>
      <c r="AH8" s="39" t="s">
        <v>3</v>
      </c>
      <c r="AI8" s="60">
        <f t="shared" si="0"/>
        <v>12287.990494745092</v>
      </c>
      <c r="AJ8" s="41">
        <f t="shared" ref="AJ8:AJ18" si="1">M12</f>
        <v>28.257577053527815</v>
      </c>
    </row>
    <row r="9" spans="1:42" s="2" customFormat="1" ht="19.5" customHeight="1" x14ac:dyDescent="0.2">
      <c r="A9" s="11" t="s">
        <v>1</v>
      </c>
      <c r="B9" s="51">
        <f t="shared" ref="B9:E9" si="2">SUM(B10:B22)</f>
        <v>128683.22700000019</v>
      </c>
      <c r="C9" s="51">
        <f t="shared" si="2"/>
        <v>127351.81848143281</v>
      </c>
      <c r="D9" s="51">
        <f t="shared" si="2"/>
        <v>129190.99510655216</v>
      </c>
      <c r="E9" s="51">
        <f t="shared" si="2"/>
        <v>143159.96433162483</v>
      </c>
      <c r="F9" s="52" t="e">
        <f>#REF!/#REF!*100</f>
        <v>#REF!</v>
      </c>
      <c r="G9" s="52" t="e">
        <f>#REF!/#REF!*100</f>
        <v>#REF!</v>
      </c>
      <c r="H9" s="52" t="e">
        <f>#REF!/#REF!*100</f>
        <v>#REF!</v>
      </c>
      <c r="I9" s="72">
        <f>B9/B9*100</f>
        <v>100</v>
      </c>
      <c r="J9" s="52">
        <f t="shared" ref="J9:L9" si="3">C9/C9*100</f>
        <v>100</v>
      </c>
      <c r="K9" s="52">
        <f t="shared" si="3"/>
        <v>100</v>
      </c>
      <c r="L9" s="52">
        <f t="shared" si="3"/>
        <v>100</v>
      </c>
      <c r="M9" s="63">
        <f t="shared" ref="M9:M22" si="4">((E9-D9)/D9)*100</f>
        <v>10.812649297694128</v>
      </c>
      <c r="N9" s="35"/>
      <c r="O9" s="35"/>
      <c r="P9" s="35"/>
      <c r="Q9" s="73"/>
      <c r="R9" s="73"/>
      <c r="S9" s="74"/>
      <c r="T9" s="75"/>
      <c r="U9" s="76"/>
      <c r="V9" s="29"/>
      <c r="W9" s="29"/>
      <c r="X9" s="29"/>
      <c r="Y9" s="29"/>
      <c r="Z9" s="29"/>
      <c r="AA9" s="29"/>
      <c r="AB9" s="7"/>
      <c r="AC9" s="7"/>
      <c r="AD9" s="27"/>
      <c r="AE9" s="7"/>
      <c r="AF9" s="7"/>
      <c r="AG9" s="22"/>
      <c r="AH9" s="16" t="s">
        <v>4</v>
      </c>
      <c r="AI9" s="60">
        <f t="shared" si="0"/>
        <v>11587.183879886174</v>
      </c>
      <c r="AJ9" s="41">
        <f t="shared" si="1"/>
        <v>4.5669468509559126</v>
      </c>
    </row>
    <row r="10" spans="1:42" s="2" customFormat="1" ht="19.5" customHeight="1" x14ac:dyDescent="0.2">
      <c r="A10" s="11" t="s">
        <v>29</v>
      </c>
      <c r="B10" s="47">
        <v>2123.2380000000007</v>
      </c>
      <c r="C10" s="47">
        <v>483.87768999999992</v>
      </c>
      <c r="D10" s="47">
        <v>1841.9949999999999</v>
      </c>
      <c r="E10" s="47">
        <v>2535.6850800000002</v>
      </c>
      <c r="F10" s="18">
        <v>0</v>
      </c>
      <c r="G10" s="18" t="e">
        <f>(#REF!/#REF!)*100</f>
        <v>#REF!</v>
      </c>
      <c r="H10" s="12" t="e">
        <f>#REF!/#REF!*100</f>
        <v>#REF!</v>
      </c>
      <c r="I10" s="80">
        <f t="shared" ref="I10:I22" si="5">B10/$B$9*100</f>
        <v>1.6499726106495587</v>
      </c>
      <c r="J10" s="12">
        <f>C10/$C$9*100</f>
        <v>0.37995349871705725</v>
      </c>
      <c r="K10" s="12">
        <f t="shared" ref="K10:K22" si="6">D10/$D$9*100</f>
        <v>1.4257920983430676</v>
      </c>
      <c r="L10" s="12">
        <f t="shared" ref="L10:L22" si="7">E10/$E$9*100</f>
        <v>1.7712250012344084</v>
      </c>
      <c r="M10" s="64">
        <f t="shared" si="4"/>
        <v>37.659715688696245</v>
      </c>
      <c r="N10" s="36"/>
      <c r="P10" s="36"/>
      <c r="Q10" s="73"/>
      <c r="R10" s="73"/>
      <c r="S10" s="74"/>
      <c r="T10" s="75"/>
      <c r="U10" s="76"/>
      <c r="V10" s="29"/>
      <c r="W10" s="29"/>
      <c r="X10" s="29"/>
      <c r="Y10" s="29"/>
      <c r="Z10" s="29"/>
      <c r="AA10" s="29"/>
      <c r="AB10" s="7"/>
      <c r="AC10" s="7"/>
      <c r="AD10" s="27"/>
      <c r="AE10" s="7"/>
      <c r="AF10" s="7"/>
      <c r="AG10" s="22"/>
      <c r="AH10" s="16" t="s">
        <v>5</v>
      </c>
      <c r="AI10" s="60">
        <f t="shared" si="0"/>
        <v>14387.158111737806</v>
      </c>
      <c r="AJ10" s="41">
        <f t="shared" si="1"/>
        <v>-10.574283954846839</v>
      </c>
    </row>
    <row r="11" spans="1:42" s="2" customFormat="1" ht="19.5" customHeight="1" x14ac:dyDescent="0.2">
      <c r="A11" s="97" t="s">
        <v>2</v>
      </c>
      <c r="B11" s="53">
        <v>15131.434517689773</v>
      </c>
      <c r="C11" s="53">
        <v>19265.18476859192</v>
      </c>
      <c r="D11" s="53">
        <v>9242.4340000792708</v>
      </c>
      <c r="E11" s="53">
        <v>15269.129930186487</v>
      </c>
      <c r="F11" s="19" t="e">
        <f>(#REF!/#REF!)*100</f>
        <v>#REF!</v>
      </c>
      <c r="G11" s="19" t="e">
        <f>(#REF!/#REF!)*100</f>
        <v>#REF!</v>
      </c>
      <c r="H11" s="13" t="e">
        <f>#REF!/#REF!*100</f>
        <v>#REF!</v>
      </c>
      <c r="I11" s="81">
        <f t="shared" si="5"/>
        <v>11.758668841658556</v>
      </c>
      <c r="J11" s="13">
        <f>C11/$C$9*100</f>
        <v>15.12753017453039</v>
      </c>
      <c r="K11" s="13">
        <f t="shared" si="6"/>
        <v>7.1540853079244711</v>
      </c>
      <c r="L11" s="13">
        <f t="shared" si="7"/>
        <v>10.665782155977704</v>
      </c>
      <c r="M11" s="65">
        <f t="shared" si="4"/>
        <v>65.206805156039266</v>
      </c>
      <c r="N11" s="27"/>
      <c r="P11" s="27"/>
      <c r="Q11" s="73"/>
      <c r="R11" s="73"/>
      <c r="S11" s="74"/>
      <c r="T11" s="75"/>
      <c r="U11" s="76"/>
      <c r="V11" s="29"/>
      <c r="W11" s="29"/>
      <c r="X11" s="29"/>
      <c r="Y11" s="29"/>
      <c r="Z11" s="29"/>
      <c r="AA11" s="29"/>
      <c r="AB11" s="7"/>
      <c r="AC11" s="7"/>
      <c r="AD11" s="27"/>
      <c r="AE11" s="7"/>
      <c r="AF11" s="7"/>
      <c r="AG11" s="22"/>
      <c r="AH11" s="16" t="s">
        <v>6</v>
      </c>
      <c r="AI11" s="60">
        <f t="shared" si="0"/>
        <v>13726.320040759501</v>
      </c>
      <c r="AJ11" s="41">
        <f t="shared" si="1"/>
        <v>24.464603878100448</v>
      </c>
    </row>
    <row r="12" spans="1:42" s="2" customFormat="1" ht="19.5" customHeight="1" x14ac:dyDescent="0.2">
      <c r="A12" s="97" t="s">
        <v>3</v>
      </c>
      <c r="B12" s="53">
        <v>9148.580069118716</v>
      </c>
      <c r="C12" s="53">
        <v>10330.090111195375</v>
      </c>
      <c r="D12" s="53">
        <v>9580.713106420797</v>
      </c>
      <c r="E12" s="53">
        <v>12287.990494745092</v>
      </c>
      <c r="F12" s="19" t="e">
        <f>(#REF!/#REF!)*100</f>
        <v>#REF!</v>
      </c>
      <c r="G12" s="19" t="e">
        <f>(#REF!/#REF!)*100</f>
        <v>#REF!</v>
      </c>
      <c r="H12" s="13" t="e">
        <f>#REF!/#REF!*100</f>
        <v>#REF!</v>
      </c>
      <c r="I12" s="81">
        <f t="shared" si="5"/>
        <v>7.1093803616835798</v>
      </c>
      <c r="J12" s="13">
        <f t="shared" ref="J12:J22" si="8">C12/$C$9*100</f>
        <v>8.1114586618183591</v>
      </c>
      <c r="K12" s="13">
        <f t="shared" si="6"/>
        <v>7.4159294914625935</v>
      </c>
      <c r="L12" s="13">
        <f t="shared" si="7"/>
        <v>8.5833986842022476</v>
      </c>
      <c r="M12" s="65">
        <f t="shared" si="4"/>
        <v>28.257577053527815</v>
      </c>
      <c r="N12" s="27"/>
      <c r="P12" s="27"/>
      <c r="Q12" s="73"/>
      <c r="R12" s="73"/>
      <c r="S12" s="74"/>
      <c r="T12" s="75"/>
      <c r="U12" s="76"/>
      <c r="V12" s="29"/>
      <c r="W12" s="29"/>
      <c r="X12" s="29"/>
      <c r="Y12" s="29"/>
      <c r="Z12" s="29"/>
      <c r="AA12" s="29"/>
      <c r="AB12" s="7"/>
      <c r="AC12" s="7"/>
      <c r="AD12" s="27"/>
      <c r="AE12" s="7"/>
      <c r="AF12" s="7"/>
      <c r="AG12" s="22"/>
      <c r="AH12" s="16" t="s">
        <v>7</v>
      </c>
      <c r="AI12" s="60">
        <f t="shared" si="0"/>
        <v>8073.8650662096888</v>
      </c>
      <c r="AJ12" s="41">
        <f t="shared" si="1"/>
        <v>140.19024242898908</v>
      </c>
    </row>
    <row r="13" spans="1:42" s="2" customFormat="1" ht="19.5" customHeight="1" x14ac:dyDescent="0.2">
      <c r="A13" s="97" t="s">
        <v>4</v>
      </c>
      <c r="B13" s="53">
        <v>8322.4547200830148</v>
      </c>
      <c r="C13" s="53">
        <v>9499.19719825022</v>
      </c>
      <c r="D13" s="53">
        <v>11081.115236540205</v>
      </c>
      <c r="E13" s="53">
        <v>11587.183879886174</v>
      </c>
      <c r="F13" s="19" t="e">
        <f>(#REF!/#REF!)*100</f>
        <v>#REF!</v>
      </c>
      <c r="G13" s="19" t="e">
        <f>(#REF!/#REF!)*100</f>
        <v>#REF!</v>
      </c>
      <c r="H13" s="13" t="e">
        <f>#REF!/#REF!*100</f>
        <v>#REF!</v>
      </c>
      <c r="I13" s="81">
        <f t="shared" si="5"/>
        <v>6.4673966561959171</v>
      </c>
      <c r="J13" s="13">
        <f t="shared" si="8"/>
        <v>7.4590196759814233</v>
      </c>
      <c r="K13" s="13">
        <f t="shared" si="6"/>
        <v>8.5773123950325587</v>
      </c>
      <c r="L13" s="13">
        <f t="shared" si="7"/>
        <v>8.0938717287222044</v>
      </c>
      <c r="M13" s="65">
        <f t="shared" si="4"/>
        <v>4.5669468509559126</v>
      </c>
      <c r="N13" s="27"/>
      <c r="P13" s="27"/>
      <c r="Q13" s="73"/>
      <c r="R13" s="73"/>
      <c r="S13" s="74"/>
      <c r="T13" s="75"/>
      <c r="U13" s="76"/>
      <c r="V13" s="29"/>
      <c r="W13" s="29"/>
      <c r="X13" s="29"/>
      <c r="Y13" s="29"/>
      <c r="Z13" s="29"/>
      <c r="AA13" s="29"/>
      <c r="AB13" s="7"/>
      <c r="AC13" s="7"/>
      <c r="AD13" s="27"/>
      <c r="AE13" s="7"/>
      <c r="AF13" s="7"/>
      <c r="AG13" s="22"/>
      <c r="AH13" s="16" t="s">
        <v>8</v>
      </c>
      <c r="AI13" s="60">
        <f t="shared" si="0"/>
        <v>11006.673952147246</v>
      </c>
      <c r="AJ13" s="41">
        <f t="shared" si="1"/>
        <v>154.66716300907987</v>
      </c>
    </row>
    <row r="14" spans="1:42" s="2" customFormat="1" ht="19.5" customHeight="1" x14ac:dyDescent="0.2">
      <c r="A14" s="97" t="s">
        <v>5</v>
      </c>
      <c r="B14" s="53">
        <v>16024.174764017633</v>
      </c>
      <c r="C14" s="53">
        <v>16827.028232918994</v>
      </c>
      <c r="D14" s="53">
        <v>16088.390172322903</v>
      </c>
      <c r="E14" s="53">
        <v>14387.158111737806</v>
      </c>
      <c r="F14" s="19" t="e">
        <f>(#REF!/#REF!)*100</f>
        <v>#REF!</v>
      </c>
      <c r="G14" s="19" t="e">
        <f>(#REF!/#REF!)*100</f>
        <v>#REF!</v>
      </c>
      <c r="H14" s="13" t="e">
        <f>#REF!/#REF!*100</f>
        <v>#REF!</v>
      </c>
      <c r="I14" s="81">
        <f t="shared" si="5"/>
        <v>12.452419120650129</v>
      </c>
      <c r="J14" s="13">
        <f t="shared" si="8"/>
        <v>13.21302548606503</v>
      </c>
      <c r="K14" s="13">
        <f t="shared" si="6"/>
        <v>12.453182328268134</v>
      </c>
      <c r="L14" s="13">
        <f t="shared" si="7"/>
        <v>10.049707806863154</v>
      </c>
      <c r="M14" s="65">
        <f t="shared" si="4"/>
        <v>-10.574283954846839</v>
      </c>
      <c r="N14" s="27"/>
      <c r="P14" s="27"/>
      <c r="Q14" s="73"/>
      <c r="R14" s="73"/>
      <c r="S14" s="74"/>
      <c r="T14" s="75"/>
      <c r="U14" s="76"/>
      <c r="V14" s="29"/>
      <c r="W14" s="29"/>
      <c r="X14" s="29"/>
      <c r="Y14" s="29"/>
      <c r="Z14" s="29"/>
      <c r="AA14" s="29"/>
      <c r="AB14" s="7"/>
      <c r="AC14" s="7"/>
      <c r="AD14" s="27"/>
      <c r="AE14" s="7"/>
      <c r="AF14" s="7"/>
      <c r="AG14" s="22"/>
      <c r="AH14" s="16" t="s">
        <v>9</v>
      </c>
      <c r="AI14" s="60">
        <f t="shared" si="0"/>
        <v>6875.8681784718392</v>
      </c>
      <c r="AJ14" s="41">
        <f t="shared" si="1"/>
        <v>2.7967492710180011</v>
      </c>
    </row>
    <row r="15" spans="1:42" s="2" customFormat="1" ht="19.5" customHeight="1" x14ac:dyDescent="0.2">
      <c r="A15" s="97" t="s">
        <v>6</v>
      </c>
      <c r="B15" s="53">
        <v>12472.820144779125</v>
      </c>
      <c r="C15" s="53">
        <v>9222.1582113244549</v>
      </c>
      <c r="D15" s="53">
        <v>11028.292071055752</v>
      </c>
      <c r="E15" s="53">
        <v>13726.320040759501</v>
      </c>
      <c r="F15" s="19" t="e">
        <f>(#REF!/#REF!)*100</f>
        <v>#REF!</v>
      </c>
      <c r="G15" s="19" t="e">
        <f>(#REF!/#REF!)*100</f>
        <v>#REF!</v>
      </c>
      <c r="H15" s="13" t="e">
        <f>#REF!/#REF!*100</f>
        <v>#REF!</v>
      </c>
      <c r="I15" s="81">
        <f t="shared" si="5"/>
        <v>9.692654152027993</v>
      </c>
      <c r="J15" s="13">
        <f t="shared" si="8"/>
        <v>7.241481371284066</v>
      </c>
      <c r="K15" s="13">
        <f t="shared" si="6"/>
        <v>8.5364247422662913</v>
      </c>
      <c r="L15" s="13">
        <f t="shared" si="7"/>
        <v>9.588099651214625</v>
      </c>
      <c r="M15" s="65">
        <f t="shared" si="4"/>
        <v>24.464603878100448</v>
      </c>
      <c r="N15" s="27"/>
      <c r="P15" s="27"/>
      <c r="Q15" s="73"/>
      <c r="R15" s="73"/>
      <c r="S15" s="74"/>
      <c r="T15" s="75"/>
      <c r="U15" s="76"/>
      <c r="V15" s="29"/>
      <c r="W15" s="29"/>
      <c r="X15" s="29"/>
      <c r="Y15" s="29"/>
      <c r="Z15" s="29"/>
      <c r="AA15" s="29"/>
      <c r="AB15" s="7"/>
      <c r="AC15" s="7"/>
      <c r="AD15" s="27"/>
      <c r="AE15" s="7"/>
      <c r="AF15" s="7"/>
      <c r="AG15" s="22"/>
      <c r="AH15" s="16" t="s">
        <v>10</v>
      </c>
      <c r="AI15" s="60">
        <f t="shared" si="0"/>
        <v>5727.8159043651394</v>
      </c>
      <c r="AJ15" s="41">
        <f t="shared" si="1"/>
        <v>-19.629327616097015</v>
      </c>
    </row>
    <row r="16" spans="1:42" s="2" customFormat="1" ht="19.5" customHeight="1" x14ac:dyDescent="0.2">
      <c r="A16" s="97" t="s">
        <v>7</v>
      </c>
      <c r="B16" s="53">
        <v>10574.246900258211</v>
      </c>
      <c r="C16" s="53">
        <v>6655.2379402207025</v>
      </c>
      <c r="D16" s="53">
        <v>3361.4459041135619</v>
      </c>
      <c r="E16" s="53">
        <v>8073.8650662096888</v>
      </c>
      <c r="F16" s="19" t="e">
        <f>(#REF!/#REF!)*100</f>
        <v>#REF!</v>
      </c>
      <c r="G16" s="19" t="e">
        <f>(#REF!/#REF!)*100</f>
        <v>#REF!</v>
      </c>
      <c r="H16" s="13" t="e">
        <f>#REF!/#REF!*100</f>
        <v>#REF!</v>
      </c>
      <c r="I16" s="81">
        <f t="shared" si="5"/>
        <v>8.2172689842928754</v>
      </c>
      <c r="J16" s="13">
        <f t="shared" si="8"/>
        <v>5.225868008465854</v>
      </c>
      <c r="K16" s="13">
        <f t="shared" si="6"/>
        <v>2.6019196626987511</v>
      </c>
      <c r="L16" s="13">
        <f t="shared" si="7"/>
        <v>5.6397506830239736</v>
      </c>
      <c r="M16" s="65">
        <f t="shared" si="4"/>
        <v>140.19024242898908</v>
      </c>
      <c r="N16" s="27"/>
      <c r="P16" s="27"/>
      <c r="Q16" s="73"/>
      <c r="R16" s="73"/>
      <c r="S16" s="74"/>
      <c r="T16" s="77"/>
      <c r="U16" s="77"/>
      <c r="V16" s="7"/>
      <c r="W16" s="7"/>
      <c r="X16" s="7"/>
      <c r="Y16" s="7"/>
      <c r="Z16" s="7"/>
      <c r="AA16" s="7"/>
      <c r="AB16" s="45"/>
      <c r="AC16" s="45"/>
      <c r="AD16" s="45"/>
      <c r="AE16" s="45"/>
      <c r="AF16" s="45"/>
      <c r="AG16" s="22"/>
      <c r="AH16" s="16" t="s">
        <v>11</v>
      </c>
      <c r="AI16" s="60">
        <f t="shared" si="0"/>
        <v>11656.856555422492</v>
      </c>
      <c r="AJ16" s="41">
        <f t="shared" si="1"/>
        <v>-32.127340941824656</v>
      </c>
      <c r="AK16" s="4"/>
      <c r="AL16" s="4"/>
      <c r="AM16" s="4"/>
      <c r="AN16" s="4"/>
      <c r="AO16" s="4"/>
      <c r="AP16" s="4"/>
    </row>
    <row r="17" spans="1:36" s="2" customFormat="1" ht="19.5" customHeight="1" x14ac:dyDescent="0.2">
      <c r="A17" s="97" t="s">
        <v>8</v>
      </c>
      <c r="B17" s="53">
        <v>5943.6414964833157</v>
      </c>
      <c r="C17" s="53">
        <v>5704.0809713741492</v>
      </c>
      <c r="D17" s="53">
        <v>4321.9839660894231</v>
      </c>
      <c r="E17" s="53">
        <v>11006.673952147246</v>
      </c>
      <c r="F17" s="19" t="e">
        <f>(#REF!/#REF!)*100</f>
        <v>#REF!</v>
      </c>
      <c r="G17" s="19" t="e">
        <f>(#REF!/#REF!)*100</f>
        <v>#REF!</v>
      </c>
      <c r="H17" s="13" t="e">
        <f>#REF!/#REF!*100</f>
        <v>#REF!</v>
      </c>
      <c r="I17" s="81">
        <f t="shared" si="5"/>
        <v>4.6188160143693837</v>
      </c>
      <c r="J17" s="13">
        <f t="shared" si="8"/>
        <v>4.4789945203693913</v>
      </c>
      <c r="K17" s="13">
        <f t="shared" si="6"/>
        <v>3.3454219951822526</v>
      </c>
      <c r="L17" s="13">
        <f t="shared" si="7"/>
        <v>7.6883743325408274</v>
      </c>
      <c r="M17" s="65">
        <f t="shared" si="4"/>
        <v>154.66716300907987</v>
      </c>
      <c r="N17" s="27"/>
      <c r="P17" s="27"/>
      <c r="Q17" s="73"/>
      <c r="R17" s="73"/>
      <c r="S17" s="74"/>
      <c r="T17" s="78"/>
      <c r="U17" s="78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22"/>
      <c r="AH17" s="16" t="s">
        <v>12</v>
      </c>
      <c r="AI17" s="60">
        <f t="shared" si="0"/>
        <v>15407.930396345055</v>
      </c>
      <c r="AJ17" s="41">
        <f t="shared" si="1"/>
        <v>-3.5157212679494698</v>
      </c>
    </row>
    <row r="18" spans="1:36" s="2" customFormat="1" ht="19.5" customHeight="1" x14ac:dyDescent="0.2">
      <c r="A18" s="97" t="s">
        <v>9</v>
      </c>
      <c r="B18" s="53">
        <v>8151.8591659124086</v>
      </c>
      <c r="C18" s="53">
        <v>7504.2493873128051</v>
      </c>
      <c r="D18" s="53">
        <v>6688.7992346372639</v>
      </c>
      <c r="E18" s="53">
        <v>6875.8681784718392</v>
      </c>
      <c r="F18" s="19" t="e">
        <f>(#REF!/#REF!)*100</f>
        <v>#REF!</v>
      </c>
      <c r="G18" s="19" t="e">
        <f>(#REF!/#REF!)*100</f>
        <v>#REF!</v>
      </c>
      <c r="H18" s="13" t="e">
        <f>#REF!/#REF!*100</f>
        <v>#REF!</v>
      </c>
      <c r="I18" s="81">
        <f t="shared" si="5"/>
        <v>6.3348265006692728</v>
      </c>
      <c r="J18" s="13">
        <f t="shared" si="8"/>
        <v>5.8925341442273034</v>
      </c>
      <c r="K18" s="13">
        <f t="shared" si="6"/>
        <v>5.1774500452764372</v>
      </c>
      <c r="L18" s="13">
        <f t="shared" si="7"/>
        <v>4.8029267194731498</v>
      </c>
      <c r="M18" s="65">
        <f t="shared" si="4"/>
        <v>2.7967492710180011</v>
      </c>
      <c r="N18" s="27"/>
      <c r="P18" s="27"/>
      <c r="Q18" s="73"/>
      <c r="R18" s="73"/>
      <c r="S18" s="74"/>
      <c r="T18" s="78"/>
      <c r="U18" s="78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22"/>
      <c r="AH18" s="16" t="s">
        <v>13</v>
      </c>
      <c r="AI18" s="60">
        <f t="shared" si="0"/>
        <v>14617.486741348303</v>
      </c>
      <c r="AJ18" s="41">
        <f t="shared" si="1"/>
        <v>-6.8066062055114438</v>
      </c>
    </row>
    <row r="19" spans="1:36" s="2" customFormat="1" ht="19.5" customHeight="1" x14ac:dyDescent="0.25">
      <c r="A19" s="97" t="s">
        <v>10</v>
      </c>
      <c r="B19" s="53">
        <v>10124.88573889277</v>
      </c>
      <c r="C19" s="53">
        <v>5918.2329632135288</v>
      </c>
      <c r="D19" s="53">
        <v>7126.7487685126462</v>
      </c>
      <c r="E19" s="53">
        <v>5727.8159043651394</v>
      </c>
      <c r="F19" s="19" t="e">
        <f>(#REF!/#REF!)*100</f>
        <v>#REF!</v>
      </c>
      <c r="G19" s="19" t="e">
        <f>(#REF!/#REF!)*100</f>
        <v>#REF!</v>
      </c>
      <c r="H19" s="13" t="e">
        <f>#REF!/#REF!*100</f>
        <v>#REF!</v>
      </c>
      <c r="I19" s="81">
        <f t="shared" si="5"/>
        <v>7.868069502867499</v>
      </c>
      <c r="J19" s="13">
        <f t="shared" si="8"/>
        <v>4.6471523012263658</v>
      </c>
      <c r="K19" s="13">
        <f t="shared" si="6"/>
        <v>5.5164438996965357</v>
      </c>
      <c r="L19" s="13">
        <f t="shared" si="7"/>
        <v>4.000990033147021</v>
      </c>
      <c r="M19" s="65">
        <f t="shared" si="4"/>
        <v>-19.629327616097015</v>
      </c>
      <c r="N19" s="27"/>
      <c r="P19" s="27"/>
      <c r="Q19" s="73"/>
      <c r="R19" s="73"/>
      <c r="S19" s="74"/>
      <c r="T19" s="78"/>
      <c r="U19" s="78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s="2" customFormat="1" ht="19.5" customHeight="1" x14ac:dyDescent="0.25">
      <c r="A20" s="97" t="s">
        <v>11</v>
      </c>
      <c r="B20" s="53">
        <v>8516.499470765677</v>
      </c>
      <c r="C20" s="53">
        <v>14335.29545602639</v>
      </c>
      <c r="D20" s="53">
        <v>17174.598309801167</v>
      </c>
      <c r="E20" s="53">
        <v>11656.856555422492</v>
      </c>
      <c r="F20" s="19" t="e">
        <f>(#REF!/#REF!)*100</f>
        <v>#REF!</v>
      </c>
      <c r="G20" s="19" t="e">
        <f>(#REF!/#REF!)*100</f>
        <v>#REF!</v>
      </c>
      <c r="H20" s="13" t="e">
        <f>#REF!/#REF!*100</f>
        <v>#REF!</v>
      </c>
      <c r="I20" s="81">
        <f t="shared" si="5"/>
        <v>6.6181892304936252</v>
      </c>
      <c r="J20" s="13">
        <f t="shared" si="8"/>
        <v>11.256451322771175</v>
      </c>
      <c r="K20" s="13">
        <f t="shared" si="6"/>
        <v>13.293959300829105</v>
      </c>
      <c r="L20" s="13">
        <f t="shared" si="7"/>
        <v>8.1425394382048122</v>
      </c>
      <c r="M20" s="65">
        <f t="shared" si="4"/>
        <v>-32.127340941824656</v>
      </c>
      <c r="N20" s="27"/>
      <c r="P20" s="27"/>
      <c r="Q20" s="73"/>
      <c r="R20" s="73"/>
      <c r="S20" s="74"/>
      <c r="T20" s="78"/>
      <c r="U20" s="78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s="2" customFormat="1" ht="19.5" customHeight="1" x14ac:dyDescent="0.25">
      <c r="A21" s="97" t="s">
        <v>12</v>
      </c>
      <c r="B21" s="53">
        <v>10254.910819876141</v>
      </c>
      <c r="C21" s="53">
        <v>12611.911178464577</v>
      </c>
      <c r="D21" s="53">
        <v>15969.368894941832</v>
      </c>
      <c r="E21" s="53">
        <v>15407.930396345055</v>
      </c>
      <c r="F21" s="19" t="e">
        <f>(#REF!/#REF!)*100</f>
        <v>#REF!</v>
      </c>
      <c r="G21" s="19" t="e">
        <f>(#REF!/#REF!)*100</f>
        <v>#REF!</v>
      </c>
      <c r="H21" s="13" t="e">
        <f>#REF!/#REF!*100</f>
        <v>#REF!</v>
      </c>
      <c r="I21" s="81">
        <f t="shared" si="5"/>
        <v>7.9691122603539668</v>
      </c>
      <c r="J21" s="13">
        <f t="shared" si="8"/>
        <v>9.9032046254630615</v>
      </c>
      <c r="K21" s="13">
        <f t="shared" si="6"/>
        <v>12.361054175463902</v>
      </c>
      <c r="L21" s="13">
        <f t="shared" si="7"/>
        <v>10.762736962306827</v>
      </c>
      <c r="M21" s="65">
        <f t="shared" si="4"/>
        <v>-3.5157212679494698</v>
      </c>
      <c r="N21" s="27"/>
      <c r="P21" s="27"/>
      <c r="Q21" s="73"/>
      <c r="R21" s="73"/>
      <c r="S21" s="78"/>
      <c r="T21" s="78"/>
      <c r="U21" s="78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s="2" customFormat="1" ht="19.5" customHeight="1" x14ac:dyDescent="0.25">
      <c r="A22" s="98" t="s">
        <v>13</v>
      </c>
      <c r="B22" s="54">
        <v>11894.48119212342</v>
      </c>
      <c r="C22" s="54">
        <v>8995.2743725397049</v>
      </c>
      <c r="D22" s="54">
        <v>15685.110442037339</v>
      </c>
      <c r="E22" s="54">
        <v>14617.486741348303</v>
      </c>
      <c r="F22" s="20" t="e">
        <f>(#REF!/#REF!)*100</f>
        <v>#REF!</v>
      </c>
      <c r="G22" s="20" t="e">
        <f>(#REF!/#REF!)*100</f>
        <v>#REF!</v>
      </c>
      <c r="H22" s="14" t="e">
        <f>#REF!/#REF!*100</f>
        <v>#REF!</v>
      </c>
      <c r="I22" s="82">
        <f t="shared" si="5"/>
        <v>9.2432257640876543</v>
      </c>
      <c r="J22" s="14">
        <f t="shared" si="8"/>
        <v>7.0633262090805298</v>
      </c>
      <c r="K22" s="14">
        <f t="shared" si="6"/>
        <v>12.1410245575559</v>
      </c>
      <c r="L22" s="14">
        <f t="shared" si="7"/>
        <v>10.210596803089047</v>
      </c>
      <c r="M22" s="66">
        <f t="shared" si="4"/>
        <v>-6.8066062055114438</v>
      </c>
      <c r="N22" s="27"/>
      <c r="P22" s="27"/>
      <c r="Q22" s="73"/>
      <c r="R22" s="73"/>
      <c r="S22" s="78"/>
      <c r="T22" s="78"/>
      <c r="U22" s="78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s="37" customFormat="1" ht="15" x14ac:dyDescent="0.2">
      <c r="A23" s="1" t="s">
        <v>14</v>
      </c>
      <c r="B23" s="15"/>
      <c r="C23" s="15"/>
      <c r="D23" s="15"/>
      <c r="E23" s="15"/>
      <c r="F23" s="5"/>
      <c r="G23" s="5"/>
      <c r="H23" s="5"/>
      <c r="I23" s="5"/>
      <c r="J23" s="5"/>
      <c r="K23" s="5"/>
      <c r="L23" s="5"/>
      <c r="M23" s="61" t="s">
        <v>17</v>
      </c>
      <c r="N23" s="6"/>
      <c r="O23" s="6"/>
      <c r="P23" s="6"/>
      <c r="Q23" s="5"/>
      <c r="R23" s="2"/>
      <c r="S23" s="7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</row>
    <row r="24" spans="1:36" s="37" customFormat="1" ht="12" x14ac:dyDescent="0.2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36" s="37" customFormat="1" ht="12" x14ac:dyDescent="0.2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36" s="37" customFormat="1" ht="12" x14ac:dyDescent="0.2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36" s="37" customFormat="1" ht="12" x14ac:dyDescent="0.2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36" s="37" customFormat="1" ht="12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36" x14ac:dyDescent="0.2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7"/>
      <c r="R29" s="37"/>
      <c r="S29" s="37"/>
    </row>
    <row r="30" spans="1:36" x14ac:dyDescent="0.2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7"/>
      <c r="R30" s="37"/>
      <c r="S30" s="37"/>
    </row>
    <row r="31" spans="1:36" x14ac:dyDescent="0.2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7"/>
      <c r="R31" s="37"/>
      <c r="S31" s="37"/>
    </row>
    <row r="32" spans="1:36" x14ac:dyDescent="0.2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7"/>
      <c r="R32" s="37"/>
      <c r="S32" s="37"/>
    </row>
    <row r="33" spans="1:19" x14ac:dyDescent="0.2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7"/>
      <c r="R33" s="37"/>
      <c r="S33" s="37"/>
    </row>
    <row r="34" spans="1:19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7"/>
      <c r="R34" s="37"/>
      <c r="S34" s="37"/>
    </row>
    <row r="35" spans="1:19" x14ac:dyDescent="0.2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7"/>
      <c r="R35" s="37"/>
      <c r="S35" s="37"/>
    </row>
    <row r="36" spans="1:19" x14ac:dyDescent="0.2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 spans="1:19" x14ac:dyDescent="0.2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 spans="1:19" x14ac:dyDescent="0.2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spans="1:19" x14ac:dyDescent="0.2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 spans="1:19" x14ac:dyDescent="0.2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9" x14ac:dyDescent="0.2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9" x14ac:dyDescent="0.2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1:19" x14ac:dyDescent="0.2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1:19" x14ac:dyDescent="0.2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spans="1:19" x14ac:dyDescent="0.2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 spans="1:19" x14ac:dyDescent="0.2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19" x14ac:dyDescent="0.2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</row>
    <row r="48" spans="1:19" x14ac:dyDescent="0.2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2:12" x14ac:dyDescent="0.2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2:12" x14ac:dyDescent="0.2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2:12" x14ac:dyDescent="0.2">
      <c r="B51" s="24"/>
      <c r="C51" s="24"/>
      <c r="D51" s="24"/>
      <c r="E51" s="24"/>
      <c r="F51" s="38"/>
      <c r="G51" s="38"/>
      <c r="H51" s="38"/>
      <c r="I51" s="38"/>
      <c r="J51" s="38"/>
      <c r="K51" s="38"/>
      <c r="L51" s="38"/>
    </row>
    <row r="52" spans="2:12" x14ac:dyDescent="0.2">
      <c r="B52" s="42"/>
      <c r="C52" s="42"/>
      <c r="D52" s="42"/>
      <c r="E52" s="42"/>
      <c r="F52" s="38"/>
      <c r="G52" s="38"/>
      <c r="H52" s="38"/>
      <c r="I52" s="38"/>
      <c r="J52" s="38"/>
      <c r="K52" s="38"/>
      <c r="L52" s="38"/>
    </row>
    <row r="53" spans="2:12" x14ac:dyDescent="0.2">
      <c r="B53" s="42"/>
      <c r="C53" s="42"/>
      <c r="D53" s="42"/>
      <c r="E53" s="42"/>
      <c r="F53" s="38"/>
      <c r="G53" s="38"/>
      <c r="H53" s="38"/>
      <c r="I53" s="38"/>
      <c r="J53" s="38"/>
      <c r="K53" s="38"/>
      <c r="L53" s="38"/>
    </row>
    <row r="54" spans="2:12" x14ac:dyDescent="0.2">
      <c r="B54" s="42"/>
      <c r="C54" s="42"/>
      <c r="D54" s="42"/>
      <c r="E54" s="42"/>
      <c r="F54" s="38"/>
      <c r="G54" s="38"/>
      <c r="H54" s="38"/>
      <c r="I54" s="38"/>
      <c r="J54" s="38"/>
      <c r="K54" s="38"/>
      <c r="L54" s="38"/>
    </row>
    <row r="55" spans="2:12" x14ac:dyDescent="0.2">
      <c r="B55" s="42"/>
      <c r="C55" s="42"/>
      <c r="D55" s="42"/>
      <c r="E55" s="42"/>
      <c r="F55" s="38"/>
      <c r="G55" s="38"/>
      <c r="H55" s="38"/>
      <c r="I55" s="38"/>
      <c r="J55" s="38"/>
      <c r="K55" s="38"/>
      <c r="L55" s="38"/>
    </row>
    <row r="56" spans="2:12" x14ac:dyDescent="0.2">
      <c r="B56" s="42"/>
      <c r="C56" s="42"/>
      <c r="D56" s="42"/>
      <c r="E56" s="42"/>
      <c r="F56" s="38"/>
      <c r="G56" s="38"/>
      <c r="H56" s="38"/>
      <c r="I56" s="38"/>
      <c r="J56" s="38"/>
      <c r="K56" s="38"/>
      <c r="L56" s="38"/>
    </row>
    <row r="57" spans="2:12" x14ac:dyDescent="0.2">
      <c r="B57" s="42"/>
      <c r="C57" s="42"/>
      <c r="D57" s="42"/>
      <c r="E57" s="42"/>
      <c r="F57" s="38"/>
      <c r="G57" s="38"/>
      <c r="H57" s="38"/>
      <c r="I57" s="38"/>
      <c r="J57" s="38"/>
      <c r="K57" s="38"/>
      <c r="L57" s="38"/>
    </row>
    <row r="58" spans="2:12" x14ac:dyDescent="0.2">
      <c r="B58" s="42"/>
      <c r="C58" s="42"/>
      <c r="D58" s="42"/>
      <c r="E58" s="42"/>
      <c r="F58" s="38"/>
      <c r="G58" s="38"/>
      <c r="H58" s="38"/>
      <c r="I58" s="38"/>
      <c r="J58" s="38"/>
      <c r="K58" s="38"/>
      <c r="L58" s="38"/>
    </row>
    <row r="59" spans="2:12" x14ac:dyDescent="0.2">
      <c r="B59" s="43"/>
      <c r="C59" s="43"/>
      <c r="D59" s="43"/>
      <c r="E59" s="43"/>
    </row>
    <row r="60" spans="2:12" x14ac:dyDescent="0.2">
      <c r="B60" s="43"/>
      <c r="C60" s="43"/>
      <c r="D60" s="43"/>
      <c r="E60" s="43"/>
    </row>
    <row r="61" spans="2:12" x14ac:dyDescent="0.2">
      <c r="B61" s="43"/>
      <c r="C61" s="43"/>
      <c r="D61" s="43"/>
      <c r="E61" s="43"/>
    </row>
    <row r="62" spans="2:12" x14ac:dyDescent="0.2">
      <c r="B62" s="43"/>
      <c r="C62" s="43"/>
      <c r="D62" s="43"/>
      <c r="E62" s="43"/>
    </row>
    <row r="63" spans="2:12" x14ac:dyDescent="0.2">
      <c r="B63" s="43"/>
      <c r="C63" s="43"/>
      <c r="D63" s="43"/>
      <c r="E63" s="43"/>
    </row>
  </sheetData>
  <mergeCells count="10">
    <mergeCell ref="A5:A8"/>
    <mergeCell ref="A1:M1"/>
    <mergeCell ref="A2:M2"/>
    <mergeCell ref="A3:M3"/>
    <mergeCell ref="A4:M4"/>
    <mergeCell ref="B5:E5"/>
    <mergeCell ref="I6:L6"/>
    <mergeCell ref="I7:L7"/>
    <mergeCell ref="B6:E6"/>
    <mergeCell ref="B7:E7"/>
  </mergeCells>
  <pageMargins left="0.5" right="0.16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2017-01-23T07:36:10Z</cp:lastPrinted>
  <dcterms:created xsi:type="dcterms:W3CDTF">2014-03-04T03:52:57Z</dcterms:created>
  <dcterms:modified xsi:type="dcterms:W3CDTF">2018-11-21T07:46:31Z</dcterms:modified>
</cp:coreProperties>
</file>