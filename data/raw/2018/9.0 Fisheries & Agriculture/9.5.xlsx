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770" windowHeight="12165" tabRatio="898"/>
  </bookViews>
  <sheets>
    <sheet name="9.5" sheetId="10" r:id="rId1"/>
  </sheets>
  <externalReferences>
    <externalReference r:id="rId2"/>
    <externalReference r:id="rId3"/>
  </externalReferences>
  <definedNames>
    <definedName name="_xlnm.Print_Area" localSheetId="0">'9.5'!$A$1:$K$23</definedName>
  </definedNames>
  <calcPr calcId="162913"/>
</workbook>
</file>

<file path=xl/calcChain.xml><?xml version="1.0" encoding="utf-8"?>
<calcChain xmlns="http://schemas.openxmlformats.org/spreadsheetml/2006/main">
  <c r="F8" i="10" l="1"/>
  <c r="B21" i="10" l="1"/>
  <c r="B20" i="10"/>
  <c r="B19" i="10"/>
  <c r="B18" i="10"/>
  <c r="B17" i="10"/>
  <c r="B16" i="10"/>
  <c r="B15" i="10"/>
  <c r="B14" i="10"/>
  <c r="B13" i="10"/>
  <c r="B12" i="10"/>
  <c r="B11" i="10"/>
  <c r="B10" i="10"/>
  <c r="B9" i="10"/>
  <c r="J8" i="10"/>
  <c r="I8" i="10"/>
  <c r="H8" i="10"/>
  <c r="G8" i="10"/>
  <c r="E8" i="10"/>
  <c r="D8" i="10"/>
  <c r="C8" i="10"/>
  <c r="B8" i="10" l="1"/>
</calcChain>
</file>

<file path=xl/sharedStrings.xml><?xml version="1.0" encoding="utf-8"?>
<sst xmlns="http://schemas.openxmlformats.org/spreadsheetml/2006/main" count="68" uniqueCount="56">
  <si>
    <t>Month</t>
  </si>
  <si>
    <t>Total</t>
  </si>
  <si>
    <t>January</t>
  </si>
  <si>
    <t>February</t>
  </si>
  <si>
    <t>March</t>
  </si>
  <si>
    <t>-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</si>
  <si>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</si>
  <si>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</si>
  <si>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</si>
  <si>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</si>
  <si>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</si>
  <si>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</si>
  <si>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</si>
  <si>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</si>
  <si>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</si>
  <si>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Ministry of Fisheries  and Agriculture</t>
  </si>
  <si>
    <t>wlcmuj</t>
  </si>
  <si>
    <t>Irwaunej</t>
  </si>
  <si>
    <t>Irwaurcbef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</si>
  <si>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</si>
  <si>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</si>
  <si>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</si>
  <si>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</si>
  <si>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</si>
  <si>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</si>
  <si>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</si>
  <si>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</si>
  <si>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</si>
  <si>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 xml:space="preserve"> rwCclwkircgea cDcnea  czIrwxif cfoa IrcTcsinim :ctWrwf ivcaedutWmUluAwm</t>
  </si>
  <si>
    <t>(cnunwT ckircTem)</t>
  </si>
  <si>
    <t>ilencnwk</t>
  </si>
  <si>
    <t>ilencnwk uDobOl</t>
  </si>
  <si>
    <t>cswm iSov</t>
  </si>
  <si>
    <t>iTcawl</t>
  </si>
  <si>
    <t>iDnogWr</t>
  </si>
  <si>
    <t>cswmurwf cnehinehea</t>
  </si>
  <si>
    <t>Yellowfin tuna</t>
  </si>
  <si>
    <t>Bigeye tuna</t>
  </si>
  <si>
    <t>Dogtooth tuna</t>
  </si>
  <si>
    <t>Frigate tuna</t>
  </si>
  <si>
    <t>Other marine fish</t>
  </si>
  <si>
    <t>Skipjack</t>
  </si>
  <si>
    <t>(In metric tons)</t>
  </si>
  <si>
    <t>cswm</t>
  </si>
  <si>
    <t xml:space="preserve">    Type of fish</t>
  </si>
  <si>
    <t>ctwvWbeguhwm</t>
  </si>
  <si>
    <t xml:space="preserve">        wlcmuj</t>
  </si>
  <si>
    <t xml:space="preserve">       cswmwlibuLwk</t>
  </si>
  <si>
    <t>Little tuna</t>
  </si>
  <si>
    <t>cCrWm</t>
  </si>
  <si>
    <t>Albacore tuna</t>
  </si>
  <si>
    <t>ilencnwk ugid ctwfcnwk</t>
  </si>
  <si>
    <t>Table 9.5 :  MONTHLY FISH CATCH BY TYPE ,  2017</t>
  </si>
  <si>
    <t>2017 ,urwvcnim iaWtwvcaWb eguhwminEb wtwvun ifih iawguhwmcswmikea :9.5 ulwvWt</t>
  </si>
  <si>
    <t>Longline</t>
  </si>
  <si>
    <t>cnwkirev cswmunEl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</si>
</sst>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mmmm\ d\,\ yyyy;@"/>
    <numFmt numFmtId="165" formatCode="General_)"/>
    <numFmt numFmtId="168" formatCode="_(* #,##0.0_);_(* \(#,##0.0\);_(* \-??_);_(@_)"/>
  </numFmts>
  <fonts count="3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9"/>
      <name val="Courier"/>
      <family val="3"/>
    </font>
    <font>
      <i/>
      <sz val="9"/>
      <name val="Calibri"/>
      <family val="2"/>
    </font>
    <font>
      <sz val="9"/>
      <name val="A_Randhoo"/>
    </font>
    <font>
      <b/>
      <sz val="10"/>
      <name val="Calibri"/>
      <family val="2"/>
    </font>
    <font>
      <b/>
      <sz val="10"/>
      <name val="A_Randhoo"/>
    </font>
    <font>
      <sz val="10"/>
      <name val="A_Randhoo"/>
    </font>
    <font>
      <b/>
      <sz val="9"/>
      <name val="Calibri"/>
      <family val="2"/>
      <scheme val="minor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sz val="9"/>
      <name val="Win Ahamedey PRB"/>
      <family val="2"/>
    </font>
    <font>
      <b/>
      <sz val="10"/>
      <name val="A_Faseyha"/>
    </font>
    <font>
      <sz val="10"/>
      <name val="Win Ahamedey PRB"/>
      <family val="2"/>
    </font>
    <font>
      <i/>
      <sz val="10"/>
      <name val="Arial"/>
      <family val="2"/>
    </font>
    <font>
      <b/>
      <sz val="12"/>
      <name val="A_Waheed"/>
    </font>
    <font>
      <b/>
      <sz val="10"/>
      <name val="A_Waheed"/>
    </font>
    <font>
      <sz val="10"/>
      <name val="A_Waheed"/>
    </font>
    <font>
      <sz val="9"/>
      <name val="A_Waheed"/>
    </font>
    <font>
      <sz val="11"/>
      <color indexed="8"/>
      <name val="Calibri"/>
      <family val="2"/>
    </font>
    <font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5" fontId="1" fillId="0" borderId="0"/>
    <xf numFmtId="0" fontId="1" fillId="0" borderId="0"/>
    <xf numFmtId="0" fontId="3" fillId="0" borderId="0" applyFill="0" applyBorder="0" applyAlignment="0" applyProtection="0"/>
    <xf numFmtId="0" fontId="3" fillId="0" borderId="0"/>
    <xf numFmtId="0" fontId="3" fillId="0" borderId="0"/>
  </cellStyleXfs>
  <cellXfs count="62">
    <xf numFmtId="0" fontId="0" fillId="0" borderId="0" xfId="0"/>
    <xf numFmtId="165" fontId="10" fillId="2" borderId="0" xfId="3" applyFont="1" applyFill="1" applyAlignment="1" applyProtection="1">
      <alignment horizontal="left" vertical="center"/>
    </xf>
    <xf numFmtId="38" fontId="7" fillId="2" borderId="2" xfId="1" applyNumberFormat="1" applyFont="1" applyFill="1" applyBorder="1" applyAlignment="1">
      <alignment horizontal="right"/>
    </xf>
    <xf numFmtId="165" fontId="1" fillId="2" borderId="0" xfId="3" applyFont="1" applyFill="1" applyAlignment="1">
      <alignment vertical="center"/>
    </xf>
    <xf numFmtId="165" fontId="17" fillId="2" borderId="0" xfId="3" applyFont="1" applyFill="1" applyAlignment="1">
      <alignment vertical="center"/>
    </xf>
    <xf numFmtId="165" fontId="9" fillId="2" borderId="0" xfId="3" applyFont="1" applyFill="1" applyAlignment="1">
      <alignment vertical="center"/>
    </xf>
    <xf numFmtId="165" fontId="20" fillId="2" borderId="0" xfId="3" applyFont="1" applyFill="1" applyAlignment="1" applyProtection="1">
      <alignment horizontal="left" vertical="center"/>
    </xf>
    <xf numFmtId="165" fontId="2" fillId="2" borderId="0" xfId="3" applyFont="1" applyFill="1" applyAlignment="1">
      <alignment vertical="center"/>
    </xf>
    <xf numFmtId="165" fontId="18" fillId="2" borderId="0" xfId="3" applyFont="1" applyFill="1" applyAlignment="1">
      <alignment vertical="center"/>
    </xf>
    <xf numFmtId="165" fontId="19" fillId="2" borderId="0" xfId="3" applyFont="1" applyFill="1" applyAlignment="1">
      <alignment vertical="center"/>
    </xf>
    <xf numFmtId="165" fontId="8" fillId="2" borderId="0" xfId="3" applyFont="1" applyFill="1" applyAlignment="1">
      <alignment vertical="center"/>
    </xf>
    <xf numFmtId="165" fontId="9" fillId="2" borderId="0" xfId="3" applyFont="1" applyFill="1" applyAlignment="1">
      <alignment horizontal="right" vertical="center"/>
    </xf>
    <xf numFmtId="165" fontId="18" fillId="2" borderId="0" xfId="3" applyFont="1" applyFill="1" applyAlignment="1">
      <alignment horizontal="right" vertical="center"/>
    </xf>
    <xf numFmtId="165" fontId="3" fillId="2" borderId="0" xfId="3" applyFont="1" applyFill="1" applyAlignment="1">
      <alignment vertical="center"/>
    </xf>
    <xf numFmtId="165" fontId="19" fillId="2" borderId="0" xfId="3" applyFont="1" applyFill="1" applyBorder="1" applyAlignment="1">
      <alignment horizontal="right" vertical="center"/>
    </xf>
    <xf numFmtId="165" fontId="21" fillId="2" borderId="0" xfId="3" applyFont="1" applyFill="1" applyBorder="1"/>
    <xf numFmtId="165" fontId="3" fillId="2" borderId="0" xfId="0" applyNumberFormat="1" applyFont="1" applyFill="1"/>
    <xf numFmtId="165" fontId="3" fillId="2" borderId="0" xfId="3" applyFont="1" applyFill="1" applyAlignment="1">
      <alignment horizontal="right" vertical="center"/>
    </xf>
    <xf numFmtId="165" fontId="18" fillId="2" borderId="0" xfId="3" applyFont="1" applyFill="1" applyAlignment="1">
      <alignment horizontal="centerContinuous" vertical="center"/>
    </xf>
    <xf numFmtId="165" fontId="2" fillId="2" borderId="0" xfId="3" applyFont="1" applyFill="1" applyAlignment="1" applyProtection="1">
      <alignment horizontal="center" vertical="center"/>
    </xf>
    <xf numFmtId="165" fontId="17" fillId="2" borderId="0" xfId="3" applyFont="1" applyFill="1" applyAlignment="1">
      <alignment horizontal="centerContinuous" vertical="center"/>
    </xf>
    <xf numFmtId="165" fontId="1" fillId="2" borderId="1" xfId="3" applyFont="1" applyFill="1" applyBorder="1" applyAlignment="1">
      <alignment vertical="center"/>
    </xf>
    <xf numFmtId="165" fontId="23" fillId="2" borderId="1" xfId="3" applyFont="1" applyFill="1" applyBorder="1"/>
    <xf numFmtId="165" fontId="23" fillId="2" borderId="0" xfId="3" applyFont="1" applyFill="1" applyBorder="1"/>
    <xf numFmtId="165" fontId="2" fillId="2" borderId="0" xfId="3" applyFont="1" applyFill="1" applyBorder="1" applyAlignment="1" applyProtection="1">
      <alignment horizontal="left" vertical="center"/>
    </xf>
    <xf numFmtId="165" fontId="13" fillId="2" borderId="0" xfId="0" applyNumberFormat="1" applyFont="1" applyFill="1" applyAlignment="1">
      <alignment horizontal="right"/>
    </xf>
    <xf numFmtId="165" fontId="12" fillId="2" borderId="2" xfId="3" applyFont="1" applyFill="1" applyBorder="1" applyAlignment="1" applyProtection="1">
      <alignment horizontal="left" vertical="center"/>
    </xf>
    <xf numFmtId="165" fontId="12" fillId="2" borderId="2" xfId="3" applyFont="1" applyFill="1" applyBorder="1" applyAlignment="1" applyProtection="1">
      <alignment horizontal="right" vertical="center"/>
    </xf>
    <xf numFmtId="165" fontId="12" fillId="2" borderId="2" xfId="3" applyFont="1" applyFill="1" applyBorder="1" applyAlignment="1" applyProtection="1">
      <alignment horizontal="right" vertical="center" wrapText="1"/>
    </xf>
    <xf numFmtId="165" fontId="12" fillId="2" borderId="0" xfId="3" applyFont="1" applyFill="1" applyBorder="1" applyAlignment="1">
      <alignment vertical="center"/>
    </xf>
    <xf numFmtId="165" fontId="14" fillId="2" borderId="0" xfId="0" applyNumberFormat="1" applyFont="1" applyFill="1" applyAlignment="1">
      <alignment horizontal="right"/>
    </xf>
    <xf numFmtId="0" fontId="0" fillId="2" borderId="0" xfId="0" applyNumberFormat="1" applyFill="1"/>
    <xf numFmtId="168" fontId="18" fillId="2" borderId="0" xfId="5" applyNumberFormat="1" applyFont="1" applyFill="1" applyBorder="1" applyAlignment="1" applyProtection="1">
      <alignment horizontal="right" vertical="top" shrinkToFit="1"/>
    </xf>
    <xf numFmtId="165" fontId="14" fillId="2" borderId="0" xfId="0" applyNumberFormat="1" applyFont="1" applyFill="1" applyBorder="1" applyAlignment="1">
      <alignment horizontal="right"/>
    </xf>
    <xf numFmtId="165" fontId="24" fillId="2" borderId="0" xfId="3" applyFont="1" applyFill="1" applyAlignment="1" applyProtection="1">
      <alignment horizontal="left" vertical="center"/>
    </xf>
    <xf numFmtId="165" fontId="11" fillId="2" borderId="0" xfId="0" applyNumberFormat="1" applyFont="1" applyFill="1" applyAlignment="1">
      <alignment horizontal="right"/>
    </xf>
    <xf numFmtId="165" fontId="17" fillId="2" borderId="0" xfId="3" applyFont="1" applyFill="1" applyAlignment="1" applyProtection="1">
      <alignment horizontal="left" vertical="center"/>
    </xf>
    <xf numFmtId="3" fontId="17" fillId="2" borderId="0" xfId="3" applyNumberFormat="1" applyFont="1" applyFill="1"/>
    <xf numFmtId="38" fontId="5" fillId="2" borderId="0" xfId="1" applyNumberFormat="1" applyFont="1" applyFill="1" applyBorder="1" applyAlignment="1" applyProtection="1">
      <alignment horizontal="right" vertical="center"/>
      <protection hidden="1"/>
    </xf>
    <xf numFmtId="38" fontId="5" fillId="2" borderId="0" xfId="1" applyNumberFormat="1" applyFont="1" applyFill="1" applyBorder="1" applyAlignment="1">
      <alignment horizontal="right" vertical="center"/>
    </xf>
    <xf numFmtId="38" fontId="5" fillId="2" borderId="2" xfId="1" applyNumberFormat="1" applyFont="1" applyFill="1" applyBorder="1" applyAlignment="1" applyProtection="1">
      <alignment horizontal="right" vertical="center"/>
      <protection hidden="1"/>
    </xf>
    <xf numFmtId="165" fontId="16" fillId="2" borderId="0" xfId="3" applyFont="1" applyFill="1" applyAlignment="1">
      <alignment horizontal="center" vertical="center"/>
    </xf>
    <xf numFmtId="165" fontId="26" fillId="2" borderId="0" xfId="0" applyNumberFormat="1" applyFont="1" applyFill="1" applyAlignment="1">
      <alignment horizontal="right"/>
    </xf>
    <xf numFmtId="165" fontId="26" fillId="2" borderId="0" xfId="3" applyFont="1" applyFill="1" applyAlignment="1">
      <alignment horizontal="right" vertical="center"/>
    </xf>
    <xf numFmtId="165" fontId="27" fillId="2" borderId="2" xfId="3" applyFont="1" applyFill="1" applyBorder="1" applyAlignment="1">
      <alignment horizontal="right" vertical="center"/>
    </xf>
    <xf numFmtId="165" fontId="28" fillId="2" borderId="0" xfId="0" applyNumberFormat="1" applyFont="1" applyFill="1" applyAlignment="1">
      <alignment horizontal="right"/>
    </xf>
    <xf numFmtId="165" fontId="26" fillId="2" borderId="0" xfId="0" applyNumberFormat="1" applyFont="1" applyFill="1" applyAlignment="1">
      <alignment horizontal="right" vertical="center" wrapText="1"/>
    </xf>
    <xf numFmtId="165" fontId="27" fillId="2" borderId="0" xfId="3" applyFont="1" applyFill="1" applyAlignment="1">
      <alignment vertical="center"/>
    </xf>
    <xf numFmtId="0" fontId="15" fillId="2" borderId="2" xfId="0" applyFont="1" applyFill="1" applyBorder="1" applyAlignment="1">
      <alignment horizontal="right" vertical="center"/>
    </xf>
    <xf numFmtId="38" fontId="7" fillId="2" borderId="0" xfId="1" applyNumberFormat="1" applyFont="1" applyFill="1" applyBorder="1" applyAlignment="1">
      <alignment horizontal="right"/>
    </xf>
    <xf numFmtId="165" fontId="27" fillId="2" borderId="0" xfId="0" applyNumberFormat="1" applyFont="1" applyFill="1" applyAlignment="1">
      <alignment horizontal="right" indent="2"/>
    </xf>
    <xf numFmtId="165" fontId="27" fillId="2" borderId="2" xfId="0" applyNumberFormat="1" applyFont="1" applyFill="1" applyBorder="1" applyAlignment="1">
      <alignment horizontal="right" indent="2"/>
    </xf>
    <xf numFmtId="165" fontId="6" fillId="2" borderId="0" xfId="3" applyFont="1" applyFill="1" applyAlignment="1" applyProtection="1">
      <alignment horizontal="left" vertical="center" indent="2"/>
    </xf>
    <xf numFmtId="165" fontId="6" fillId="2" borderId="2" xfId="3" applyFont="1" applyFill="1" applyBorder="1" applyAlignment="1" applyProtection="1">
      <alignment horizontal="left" vertical="center" indent="2"/>
    </xf>
    <xf numFmtId="38" fontId="30" fillId="2" borderId="0" xfId="1" applyNumberFormat="1" applyFont="1" applyFill="1" applyBorder="1" applyAlignment="1">
      <alignment horizontal="right" vertical="center" indent="1"/>
    </xf>
    <xf numFmtId="38" fontId="30" fillId="2" borderId="2" xfId="1" applyNumberFormat="1" applyFont="1" applyFill="1" applyBorder="1" applyAlignment="1">
      <alignment horizontal="right" vertical="center" indent="1"/>
    </xf>
    <xf numFmtId="165" fontId="25" fillId="2" borderId="0" xfId="3" applyFont="1" applyFill="1" applyAlignment="1">
      <alignment horizontal="center" vertical="center"/>
    </xf>
    <xf numFmtId="165" fontId="5" fillId="2" borderId="0" xfId="3" applyFont="1" applyFill="1" applyAlignment="1" applyProtection="1">
      <alignment horizontal="center" vertical="center"/>
    </xf>
    <xf numFmtId="165" fontId="22" fillId="2" borderId="0" xfId="3" applyFont="1" applyFill="1" applyAlignment="1">
      <alignment horizontal="center" vertical="center" wrapText="1"/>
    </xf>
    <xf numFmtId="165" fontId="8" fillId="2" borderId="2" xfId="3" applyFont="1" applyFill="1" applyBorder="1" applyAlignment="1" applyProtection="1">
      <alignment horizontal="center" vertical="center"/>
    </xf>
    <xf numFmtId="165" fontId="12" fillId="2" borderId="3" xfId="3" applyFont="1" applyFill="1" applyBorder="1" applyAlignment="1" applyProtection="1">
      <alignment horizontal="right" vertical="center" indent="2"/>
    </xf>
    <xf numFmtId="165" fontId="26" fillId="2" borderId="3" xfId="0" applyNumberFormat="1" applyFont="1" applyFill="1" applyBorder="1" applyAlignment="1">
      <alignment horizontal="left" vertical="center"/>
    </xf>
  </cellXfs>
  <cellStyles count="8">
    <cellStyle name="1" xfId="6"/>
    <cellStyle name="Comma 2" xfId="1"/>
    <cellStyle name="Comma_Statindicators" xfId="5"/>
    <cellStyle name="Normal" xfId="0" builtinId="0"/>
    <cellStyle name="Normal 2" xfId="4"/>
    <cellStyle name="Normal 3_agri planning 2009 year book(final)" xfId="2"/>
    <cellStyle name="Normal 4" xfId="7"/>
    <cellStyle name="Normal_Fish &amp;  Agri - 8" xfId="3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25"/>
  <sheetViews>
    <sheetView tabSelected="1" zoomScaleNormal="100" workbookViewId="0">
      <selection activeCell="Q34" sqref="Q34"/>
    </sheetView>
  </sheetViews>
  <sheetFormatPr defaultColWidth="12.28515625" defaultRowHeight="12.75"/>
  <cols>
    <col min="1" max="4" width="12.28515625" style="13"/>
    <col min="5" max="6" width="12.28515625" style="17"/>
    <col min="7" max="7" width="12.28515625" style="13"/>
    <col min="8" max="9" width="12.28515625" style="17"/>
    <col min="10" max="10" width="13.85546875" style="13" customWidth="1"/>
    <col min="11" max="11" width="26.42578125" style="13" customWidth="1"/>
    <col min="12" max="16384" width="12.28515625" style="13"/>
  </cols>
  <sheetData>
    <row r="1" spans="1:42" s="7" customFormat="1" ht="19.5">
      <c r="A1" s="56" t="s">
        <v>53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41"/>
      <c r="M1" s="41"/>
      <c r="N1" s="41"/>
      <c r="O1" s="41"/>
      <c r="P1" s="41"/>
      <c r="Q1" s="41"/>
      <c r="R1" s="41"/>
      <c r="S1" s="41"/>
      <c r="T1" s="4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2" s="8" customFormat="1" ht="15">
      <c r="A2" s="57" t="s">
        <v>52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19"/>
      <c r="M2" s="19"/>
      <c r="N2" s="19"/>
      <c r="O2" s="19"/>
      <c r="P2" s="19"/>
      <c r="Q2" s="19"/>
      <c r="R2" s="19"/>
      <c r="S2" s="19"/>
      <c r="T2" s="1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2" s="12" customFormat="1" ht="15.75" customHeight="1">
      <c r="A3" s="58" t="s">
        <v>29</v>
      </c>
      <c r="B3" s="58"/>
      <c r="C3" s="58"/>
      <c r="D3" s="58"/>
      <c r="E3" s="58"/>
      <c r="F3" s="58"/>
      <c r="G3" s="58"/>
      <c r="H3" s="58"/>
      <c r="I3" s="58"/>
      <c r="J3" s="58"/>
      <c r="K3" s="58"/>
      <c r="M3" s="20"/>
      <c r="N3" s="20"/>
      <c r="O3" s="20"/>
      <c r="P3" s="20"/>
      <c r="Q3" s="20"/>
      <c r="R3" s="20"/>
      <c r="S3" s="20"/>
      <c r="T3" s="2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2" s="8" customFormat="1" ht="12">
      <c r="A4" s="59" t="s">
        <v>42</v>
      </c>
      <c r="B4" s="59"/>
      <c r="C4" s="59"/>
      <c r="D4" s="59"/>
      <c r="E4" s="59"/>
      <c r="F4" s="59"/>
      <c r="G4" s="59"/>
      <c r="H4" s="59"/>
      <c r="I4" s="59"/>
      <c r="J4" s="59"/>
      <c r="K4" s="59"/>
      <c r="M4" s="18"/>
      <c r="N4" s="18"/>
      <c r="O4" s="18"/>
      <c r="P4" s="18"/>
      <c r="Q4" s="18"/>
      <c r="R4" s="18"/>
      <c r="S4" s="18"/>
      <c r="T4" s="18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2" s="8" customFormat="1" ht="17.25" customHeight="1">
      <c r="A5" s="21"/>
      <c r="C5" s="60" t="s">
        <v>44</v>
      </c>
      <c r="D5" s="60"/>
      <c r="E5" s="60"/>
      <c r="F5" s="60"/>
      <c r="G5" s="60"/>
      <c r="H5" s="61" t="s">
        <v>45</v>
      </c>
      <c r="I5" s="61"/>
      <c r="J5" s="61"/>
      <c r="K5" s="22"/>
      <c r="L5" s="23"/>
      <c r="M5" s="15"/>
      <c r="N5" s="15"/>
      <c r="O5" s="15"/>
      <c r="P5" s="15"/>
      <c r="Q5" s="15"/>
      <c r="R5" s="15"/>
      <c r="S5" s="15"/>
      <c r="T5" s="15"/>
      <c r="U5" s="15"/>
      <c r="V5" s="1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s="4" customFormat="1" ht="30">
      <c r="A6" s="24"/>
      <c r="B6" s="42" t="s">
        <v>46</v>
      </c>
      <c r="C6" s="46" t="s">
        <v>47</v>
      </c>
      <c r="D6" s="46" t="s">
        <v>30</v>
      </c>
      <c r="E6" s="46" t="s">
        <v>31</v>
      </c>
      <c r="F6" s="46" t="s">
        <v>51</v>
      </c>
      <c r="G6" s="46" t="s">
        <v>32</v>
      </c>
      <c r="H6" s="46" t="s">
        <v>33</v>
      </c>
      <c r="I6" s="46" t="s">
        <v>34</v>
      </c>
      <c r="J6" s="46" t="s">
        <v>35</v>
      </c>
      <c r="K6" s="42" t="s">
        <v>43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2" s="10" customFormat="1" ht="25.5">
      <c r="A7" s="26" t="s">
        <v>0</v>
      </c>
      <c r="B7" s="27" t="s">
        <v>1</v>
      </c>
      <c r="C7" s="28" t="s">
        <v>41</v>
      </c>
      <c r="D7" s="27" t="s">
        <v>36</v>
      </c>
      <c r="E7" s="27" t="s">
        <v>37</v>
      </c>
      <c r="F7" s="48" t="s">
        <v>50</v>
      </c>
      <c r="G7" s="27" t="s">
        <v>38</v>
      </c>
      <c r="H7" s="27" t="s">
        <v>48</v>
      </c>
      <c r="I7" s="28" t="s">
        <v>39</v>
      </c>
      <c r="J7" s="28" t="s">
        <v>40</v>
      </c>
      <c r="K7" s="44"/>
      <c r="L7" s="25"/>
      <c r="M7" s="14"/>
      <c r="N7" s="14"/>
      <c r="O7" s="14"/>
      <c r="P7" s="14"/>
      <c r="Q7" s="14"/>
      <c r="R7" s="14"/>
      <c r="S7" s="14"/>
      <c r="T7" s="14"/>
      <c r="U7" s="14"/>
      <c r="V7" s="14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42" s="8" customFormat="1" ht="15.75">
      <c r="A8" s="29" t="s">
        <v>1</v>
      </c>
      <c r="B8" s="38">
        <f t="shared" ref="B8:B21" si="0">SUM(C8:J8)</f>
        <v>143159.9643316248</v>
      </c>
      <c r="C8" s="38">
        <f t="shared" ref="C8:J8" si="1">SUM(C9:C21)</f>
        <v>89683.148024090813</v>
      </c>
      <c r="D8" s="38">
        <f t="shared" si="1"/>
        <v>49376.811349197931</v>
      </c>
      <c r="E8" s="38">
        <f t="shared" si="1"/>
        <v>1074.1737564163373</v>
      </c>
      <c r="F8" s="38">
        <f t="shared" si="1"/>
        <v>3.4710000000000005</v>
      </c>
      <c r="G8" s="38">
        <f t="shared" si="1"/>
        <v>21.806846050809384</v>
      </c>
      <c r="H8" s="38">
        <f t="shared" si="1"/>
        <v>161.34417921404571</v>
      </c>
      <c r="I8" s="38">
        <f t="shared" si="1"/>
        <v>345.28287397791439</v>
      </c>
      <c r="J8" s="38">
        <f t="shared" si="1"/>
        <v>2493.9263026769768</v>
      </c>
      <c r="K8" s="42" t="s">
        <v>16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2" s="8" customFormat="1" ht="15.75">
      <c r="A9" s="29" t="s">
        <v>54</v>
      </c>
      <c r="B9" s="38">
        <f t="shared" si="0"/>
        <v>2535.6850800000002</v>
      </c>
      <c r="C9" s="39">
        <v>1.1520000000000001</v>
      </c>
      <c r="D9" s="39">
        <v>1269.1838000000002</v>
      </c>
      <c r="E9" s="39">
        <v>691.97395999999981</v>
      </c>
      <c r="F9" s="39">
        <v>3.4710000000000005</v>
      </c>
      <c r="G9" s="39">
        <v>0</v>
      </c>
      <c r="H9" s="39">
        <v>0</v>
      </c>
      <c r="I9" s="39">
        <v>0</v>
      </c>
      <c r="J9" s="39">
        <v>569.90431999999998</v>
      </c>
      <c r="K9" s="43" t="s">
        <v>55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2" s="8" customFormat="1" ht="17.25">
      <c r="A10" s="52" t="s">
        <v>2</v>
      </c>
      <c r="B10" s="38">
        <f t="shared" si="0"/>
        <v>15269.129930186487</v>
      </c>
      <c r="C10" s="49">
        <v>9843.2818916466495</v>
      </c>
      <c r="D10" s="49">
        <v>5193.8788078393072</v>
      </c>
      <c r="E10" s="49">
        <v>35.112999916170388</v>
      </c>
      <c r="F10" s="54" t="s">
        <v>5</v>
      </c>
      <c r="G10" s="49">
        <v>1.0893635558298573</v>
      </c>
      <c r="H10" s="49">
        <v>25.429870902788693</v>
      </c>
      <c r="I10" s="49">
        <v>27.27176141064545</v>
      </c>
      <c r="J10" s="49">
        <v>143.06523491509563</v>
      </c>
      <c r="K10" s="50" t="s">
        <v>17</v>
      </c>
      <c r="L10" s="25"/>
      <c r="M10" s="25"/>
      <c r="N10" s="30"/>
      <c r="O10" s="30"/>
      <c r="P10" s="30"/>
      <c r="Q10" s="30"/>
      <c r="R10" s="30"/>
      <c r="S10" s="30"/>
      <c r="T10" s="30"/>
      <c r="U10" s="30"/>
      <c r="V10" s="30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2" s="8" customFormat="1" ht="17.25">
      <c r="A11" s="52" t="s">
        <v>3</v>
      </c>
      <c r="B11" s="38">
        <f t="shared" si="0"/>
        <v>12287.990494745092</v>
      </c>
      <c r="C11" s="49">
        <v>8356.223630886383</v>
      </c>
      <c r="D11" s="49">
        <v>3651.1270338066142</v>
      </c>
      <c r="E11" s="49">
        <v>57.291049507168545</v>
      </c>
      <c r="F11" s="54" t="s">
        <v>5</v>
      </c>
      <c r="G11" s="49">
        <v>1.770054192681672</v>
      </c>
      <c r="H11" s="49">
        <v>18.47338248981859</v>
      </c>
      <c r="I11" s="49">
        <v>35.523704196245909</v>
      </c>
      <c r="J11" s="49">
        <v>167.58163966617852</v>
      </c>
      <c r="K11" s="50" t="s">
        <v>18</v>
      </c>
      <c r="L11" s="25"/>
      <c r="M11" s="25"/>
      <c r="N11" s="30"/>
      <c r="O11" s="30"/>
      <c r="P11" s="30"/>
      <c r="Q11" s="30"/>
      <c r="R11" s="30"/>
      <c r="S11" s="30"/>
      <c r="T11" s="30"/>
      <c r="U11" s="30"/>
      <c r="V11" s="30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2" s="8" customFormat="1" ht="17.25">
      <c r="A12" s="52" t="s">
        <v>4</v>
      </c>
      <c r="B12" s="38">
        <f t="shared" si="0"/>
        <v>11587.183879886174</v>
      </c>
      <c r="C12" s="49">
        <v>5886.7057377004285</v>
      </c>
      <c r="D12" s="49">
        <v>5311.3879504597826</v>
      </c>
      <c r="E12" s="49">
        <v>47.587385279783085</v>
      </c>
      <c r="F12" s="54" t="s">
        <v>5</v>
      </c>
      <c r="G12" s="49">
        <v>1.9706049337617237</v>
      </c>
      <c r="H12" s="49">
        <v>16.586248030244871</v>
      </c>
      <c r="I12" s="49">
        <v>25.25984597892829</v>
      </c>
      <c r="J12" s="49">
        <v>297.68610750324467</v>
      </c>
      <c r="K12" s="50" t="s">
        <v>49</v>
      </c>
      <c r="L12" s="25"/>
      <c r="M12" s="25"/>
      <c r="N12" s="30"/>
      <c r="O12" s="30"/>
      <c r="P12" s="30"/>
      <c r="Q12" s="30"/>
      <c r="R12" s="30"/>
      <c r="S12" s="30"/>
      <c r="T12" s="30"/>
      <c r="U12" s="30"/>
      <c r="V12" s="30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2" s="8" customFormat="1" ht="17.25">
      <c r="A13" s="52" t="s">
        <v>6</v>
      </c>
      <c r="B13" s="38">
        <f t="shared" si="0"/>
        <v>14387.158111737806</v>
      </c>
      <c r="C13" s="49">
        <v>9210.0747821217865</v>
      </c>
      <c r="D13" s="49">
        <v>4974.1794413737107</v>
      </c>
      <c r="E13" s="49">
        <v>62.434806677490513</v>
      </c>
      <c r="F13" s="54" t="s">
        <v>5</v>
      </c>
      <c r="G13" s="49">
        <v>1.9307163885745313</v>
      </c>
      <c r="H13" s="49">
        <v>11.443026400575885</v>
      </c>
      <c r="I13" s="49">
        <v>14.529033246053544</v>
      </c>
      <c r="J13" s="49">
        <v>112.56630552961558</v>
      </c>
      <c r="K13" s="50" t="s">
        <v>19</v>
      </c>
      <c r="L13" s="30"/>
      <c r="M13" s="25"/>
      <c r="N13" s="30"/>
      <c r="O13" s="30"/>
      <c r="P13" s="30"/>
      <c r="Q13" s="30"/>
      <c r="R13" s="30"/>
      <c r="S13" s="30"/>
      <c r="T13" s="30"/>
      <c r="U13" s="30"/>
      <c r="V13" s="30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s="8" customFormat="1" ht="17.25">
      <c r="A14" s="52" t="s">
        <v>7</v>
      </c>
      <c r="B14" s="38">
        <f t="shared" si="0"/>
        <v>13726.320040759501</v>
      </c>
      <c r="C14" s="49">
        <v>10260.148397946052</v>
      </c>
      <c r="D14" s="49">
        <v>3324.7462518446864</v>
      </c>
      <c r="E14" s="49">
        <v>16.00343206445422</v>
      </c>
      <c r="F14" s="54" t="s">
        <v>5</v>
      </c>
      <c r="G14" s="49">
        <v>2.2509327652161608</v>
      </c>
      <c r="H14" s="49">
        <v>14.859960435754697</v>
      </c>
      <c r="I14" s="49">
        <v>34.706358358289819</v>
      </c>
      <c r="J14" s="49">
        <v>73.604707345048524</v>
      </c>
      <c r="K14" s="50" t="s">
        <v>20</v>
      </c>
      <c r="L14" s="30"/>
      <c r="M14" s="25"/>
      <c r="N14" s="30"/>
      <c r="O14" s="30"/>
      <c r="P14" s="30"/>
      <c r="Q14" s="30"/>
      <c r="R14" s="30"/>
      <c r="S14" s="30"/>
      <c r="T14" s="30"/>
      <c r="U14" s="30"/>
      <c r="V14" s="30"/>
      <c r="W14" s="5"/>
      <c r="X14" s="5"/>
      <c r="Y14" s="5"/>
      <c r="Z14" s="5"/>
      <c r="AA14" s="5"/>
      <c r="AB14" s="31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s="8" customFormat="1" ht="17.25">
      <c r="A15" s="52" t="s">
        <v>8</v>
      </c>
      <c r="B15" s="38">
        <f t="shared" si="0"/>
        <v>8073.8650662096888</v>
      </c>
      <c r="C15" s="49">
        <v>5968.2101867506135</v>
      </c>
      <c r="D15" s="49">
        <v>1934.6861113650948</v>
      </c>
      <c r="E15" s="49">
        <v>36.863663843830508</v>
      </c>
      <c r="F15" s="54" t="s">
        <v>5</v>
      </c>
      <c r="G15" s="49">
        <v>4.4250431471088394</v>
      </c>
      <c r="H15" s="49">
        <v>14.059788832531984</v>
      </c>
      <c r="I15" s="49">
        <v>67.752171353972102</v>
      </c>
      <c r="J15" s="49">
        <v>47.868100916537941</v>
      </c>
      <c r="K15" s="50" t="s">
        <v>21</v>
      </c>
      <c r="L15" s="30"/>
      <c r="M15" s="25"/>
      <c r="N15" s="30"/>
      <c r="O15" s="30"/>
      <c r="P15" s="30"/>
      <c r="Q15" s="30"/>
      <c r="R15" s="30"/>
      <c r="S15" s="30"/>
      <c r="T15" s="30"/>
      <c r="U15" s="30"/>
      <c r="V15" s="30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s="4" customFormat="1" ht="17.25">
      <c r="A16" s="52" t="s">
        <v>9</v>
      </c>
      <c r="B16" s="38">
        <f t="shared" si="0"/>
        <v>11006.673952147246</v>
      </c>
      <c r="C16" s="49">
        <v>7186.1241822441143</v>
      </c>
      <c r="D16" s="49">
        <v>3401.6410070239981</v>
      </c>
      <c r="E16" s="49">
        <v>12.611059031636032</v>
      </c>
      <c r="F16" s="54" t="s">
        <v>5</v>
      </c>
      <c r="G16" s="49">
        <v>1.6721795216205051</v>
      </c>
      <c r="H16" s="49">
        <v>12.938662175904922</v>
      </c>
      <c r="I16" s="49">
        <v>43.106221165626167</v>
      </c>
      <c r="J16" s="49">
        <v>348.58064098434647</v>
      </c>
      <c r="K16" s="50" t="s">
        <v>22</v>
      </c>
      <c r="L16" s="30"/>
      <c r="M16" s="25"/>
      <c r="N16" s="30"/>
      <c r="O16" s="30"/>
      <c r="P16" s="30"/>
      <c r="Q16" s="30"/>
      <c r="R16" s="30"/>
      <c r="S16" s="30"/>
      <c r="T16" s="30"/>
      <c r="U16" s="30"/>
      <c r="V16" s="30"/>
      <c r="W16" s="6"/>
      <c r="X16" s="6"/>
      <c r="Y16" s="32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27" s="4" customFormat="1" ht="17.25">
      <c r="A17" s="52" t="s">
        <v>10</v>
      </c>
      <c r="B17" s="38">
        <f t="shared" si="0"/>
        <v>6875.8681784718392</v>
      </c>
      <c r="C17" s="49">
        <v>4072.181874284498</v>
      </c>
      <c r="D17" s="49">
        <v>2619.4638836789104</v>
      </c>
      <c r="E17" s="49">
        <v>5.3437169699918341</v>
      </c>
      <c r="F17" s="54" t="s">
        <v>5</v>
      </c>
      <c r="G17" s="49">
        <v>1.8374584472803999</v>
      </c>
      <c r="H17" s="49">
        <v>16.550422207252669</v>
      </c>
      <c r="I17" s="49">
        <v>41.19120165825953</v>
      </c>
      <c r="J17" s="49">
        <v>119.2996212256472</v>
      </c>
      <c r="K17" s="50" t="s">
        <v>23</v>
      </c>
      <c r="L17" s="30"/>
      <c r="M17" s="25"/>
      <c r="N17" s="30"/>
      <c r="O17" s="30"/>
      <c r="P17" s="30"/>
      <c r="Q17" s="30"/>
      <c r="R17" s="30"/>
      <c r="S17" s="30"/>
      <c r="T17" s="30"/>
      <c r="U17" s="30"/>
      <c r="V17" s="30"/>
    </row>
    <row r="18" spans="1:27" s="4" customFormat="1" ht="17.25">
      <c r="A18" s="52" t="s">
        <v>11</v>
      </c>
      <c r="B18" s="38">
        <f t="shared" si="0"/>
        <v>5727.8159043651394</v>
      </c>
      <c r="C18" s="49">
        <v>2657.6967587701251</v>
      </c>
      <c r="D18" s="49">
        <v>2910.5271076621539</v>
      </c>
      <c r="E18" s="49">
        <v>4.7053709785632769</v>
      </c>
      <c r="F18" s="54" t="s">
        <v>5</v>
      </c>
      <c r="G18" s="49">
        <v>0.92149926150042172</v>
      </c>
      <c r="H18" s="49">
        <v>9.2142539382414927</v>
      </c>
      <c r="I18" s="49">
        <v>15.528832244402899</v>
      </c>
      <c r="J18" s="49">
        <v>129.22208151015204</v>
      </c>
      <c r="K18" s="50" t="s">
        <v>24</v>
      </c>
      <c r="L18" s="30"/>
      <c r="M18" s="25"/>
      <c r="N18" s="30"/>
      <c r="O18" s="30"/>
      <c r="P18" s="30"/>
      <c r="Q18" s="30"/>
      <c r="R18" s="30"/>
      <c r="S18" s="30"/>
      <c r="T18" s="30"/>
      <c r="U18" s="30"/>
      <c r="V18" s="30"/>
    </row>
    <row r="19" spans="1:27" s="4" customFormat="1" ht="17.25">
      <c r="A19" s="52" t="s">
        <v>12</v>
      </c>
      <c r="B19" s="38">
        <f t="shared" si="0"/>
        <v>11656.856555422492</v>
      </c>
      <c r="C19" s="49">
        <v>7125.4900848449706</v>
      </c>
      <c r="D19" s="49">
        <v>4231.5818931928852</v>
      </c>
      <c r="E19" s="49">
        <v>23.497307822307349</v>
      </c>
      <c r="F19" s="54" t="s">
        <v>5</v>
      </c>
      <c r="G19" s="49">
        <v>0.58909471827381676</v>
      </c>
      <c r="H19" s="49">
        <v>4.3112869256490685</v>
      </c>
      <c r="I19" s="49">
        <v>11.203879798643406</v>
      </c>
      <c r="J19" s="49">
        <v>260.18300811976059</v>
      </c>
      <c r="K19" s="50" t="s">
        <v>25</v>
      </c>
      <c r="L19" s="30"/>
      <c r="M19" s="25"/>
      <c r="N19" s="30"/>
      <c r="O19" s="30"/>
      <c r="P19" s="30"/>
      <c r="Q19" s="30"/>
      <c r="R19" s="30"/>
      <c r="S19" s="30"/>
      <c r="T19" s="30"/>
      <c r="U19" s="30"/>
      <c r="V19" s="30"/>
    </row>
    <row r="20" spans="1:27" s="4" customFormat="1" ht="17.25">
      <c r="A20" s="52" t="s">
        <v>13</v>
      </c>
      <c r="B20" s="38">
        <f t="shared" si="0"/>
        <v>15407.930396345055</v>
      </c>
      <c r="C20" s="49">
        <v>8937.1872169591261</v>
      </c>
      <c r="D20" s="49">
        <v>6267.0181595872546</v>
      </c>
      <c r="E20" s="49">
        <v>38.387184666952443</v>
      </c>
      <c r="F20" s="54" t="s">
        <v>5</v>
      </c>
      <c r="G20" s="49">
        <v>0.78669075230296537</v>
      </c>
      <c r="H20" s="49">
        <v>9.7126760838907202</v>
      </c>
      <c r="I20" s="49">
        <v>8.5150963823215289</v>
      </c>
      <c r="J20" s="49">
        <v>146.32337191320747</v>
      </c>
      <c r="K20" s="50" t="s">
        <v>26</v>
      </c>
      <c r="L20" s="30"/>
      <c r="M20" s="25"/>
      <c r="N20" s="30"/>
      <c r="O20" s="30"/>
      <c r="P20" s="30"/>
      <c r="Q20" s="30"/>
      <c r="R20" s="30"/>
      <c r="S20" s="30"/>
      <c r="T20" s="30"/>
      <c r="U20" s="30"/>
      <c r="V20" s="30"/>
    </row>
    <row r="21" spans="1:27" s="4" customFormat="1" ht="17.25">
      <c r="A21" s="53" t="s">
        <v>14</v>
      </c>
      <c r="B21" s="40">
        <f t="shared" si="0"/>
        <v>14617.486741348303</v>
      </c>
      <c r="C21" s="2">
        <v>10178.671279936065</v>
      </c>
      <c r="D21" s="2">
        <v>4287.389901363531</v>
      </c>
      <c r="E21" s="2">
        <v>42.361819657989237</v>
      </c>
      <c r="F21" s="55" t="s">
        <v>5</v>
      </c>
      <c r="G21" s="2">
        <v>2.5632083666584884</v>
      </c>
      <c r="H21" s="2">
        <v>7.7646007913921338</v>
      </c>
      <c r="I21" s="2">
        <v>20.694768184525699</v>
      </c>
      <c r="J21" s="2">
        <v>78.04116304814147</v>
      </c>
      <c r="K21" s="51" t="s">
        <v>27</v>
      </c>
      <c r="L21" s="33"/>
      <c r="M21" s="25"/>
      <c r="N21" s="33"/>
      <c r="O21" s="33"/>
      <c r="P21" s="33"/>
      <c r="Q21" s="33"/>
      <c r="R21" s="33"/>
      <c r="S21" s="33"/>
      <c r="T21" s="33"/>
      <c r="U21" s="33"/>
      <c r="V21" s="33"/>
    </row>
    <row r="22" spans="1:27" s="4" customFormat="1" ht="15.75">
      <c r="A22" s="1" t="s">
        <v>15</v>
      </c>
      <c r="B22" s="34"/>
      <c r="C22" s="34"/>
      <c r="D22" s="34"/>
      <c r="E22" s="34"/>
      <c r="F22" s="34"/>
      <c r="G22" s="34"/>
      <c r="H22" s="34"/>
      <c r="I22" s="34"/>
      <c r="K22" s="45" t="s">
        <v>28</v>
      </c>
      <c r="L22" s="30"/>
      <c r="M22" s="30"/>
      <c r="N22" s="30"/>
      <c r="O22" s="30"/>
      <c r="P22" s="30"/>
      <c r="Q22" s="30"/>
      <c r="R22" s="30"/>
      <c r="S22" s="30"/>
      <c r="T22" s="30"/>
    </row>
    <row r="23" spans="1:27" s="4" customFormat="1" ht="15.75">
      <c r="A23" s="1"/>
      <c r="B23" s="34"/>
      <c r="C23" s="34"/>
      <c r="D23" s="34"/>
      <c r="E23" s="34"/>
      <c r="F23" s="34"/>
      <c r="G23" s="34"/>
      <c r="H23" s="34"/>
      <c r="I23" s="34"/>
      <c r="K23" s="35"/>
      <c r="L23" s="30"/>
      <c r="M23" s="30"/>
      <c r="N23" s="30"/>
      <c r="O23" s="30"/>
      <c r="P23" s="30"/>
      <c r="Q23" s="30"/>
      <c r="R23" s="30"/>
      <c r="S23" s="30"/>
      <c r="T23" s="30"/>
    </row>
    <row r="24" spans="1:27" s="4" customFormat="1" ht="15.75">
      <c r="A24" s="1"/>
      <c r="B24" s="34"/>
      <c r="C24" s="34"/>
      <c r="D24" s="34"/>
      <c r="E24" s="34"/>
      <c r="F24" s="34"/>
      <c r="G24" s="34"/>
      <c r="H24" s="34"/>
      <c r="I24" s="34"/>
      <c r="K24" s="35"/>
      <c r="L24" s="30"/>
      <c r="M24" s="30"/>
      <c r="N24" s="30"/>
      <c r="O24" s="30"/>
      <c r="P24" s="30"/>
      <c r="Q24" s="30"/>
      <c r="R24" s="30"/>
      <c r="S24" s="30"/>
      <c r="T24" s="30"/>
    </row>
    <row r="25" spans="1:27" ht="15">
      <c r="K25" s="47"/>
      <c r="U25" s="36"/>
      <c r="V25" s="37"/>
      <c r="W25" s="37"/>
      <c r="X25" s="37"/>
      <c r="Y25" s="37"/>
      <c r="Z25" s="16"/>
      <c r="AA25" s="16"/>
    </row>
  </sheetData>
  <mergeCells count="6">
    <mergeCell ref="A1:K1"/>
    <mergeCell ref="A2:K2"/>
    <mergeCell ref="A3:K3"/>
    <mergeCell ref="A4:K4"/>
    <mergeCell ref="C5:G5"/>
    <mergeCell ref="H5:J5"/>
  </mergeCells>
  <pageMargins left="0.25" right="0.16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9.5</vt:lpstr>
      <vt:lpstr>'9.5'!Print_Area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2018-12-05T06:48:56Z</cp:lastPrinted>
  <dcterms:created xsi:type="dcterms:W3CDTF">2014-03-04T03:52:57Z</dcterms:created>
  <dcterms:modified xsi:type="dcterms:W3CDTF">2018-12-05T06:49:05Z</dcterms:modified>
</cp:coreProperties>
</file>