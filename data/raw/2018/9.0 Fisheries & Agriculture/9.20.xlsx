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20" sheetId="34" r:id="rId1"/>
  </sheets>
  <externalReferences>
    <externalReference r:id="rId2"/>
    <externalReference r:id="rId3"/>
  </externalReferences>
  <calcPr calcId="162913"/>
</workbook>
</file>

<file path=xl/calcChain.xml><?xml version="1.0" encoding="utf-8"?>
<calcChain xmlns="http://schemas.openxmlformats.org/spreadsheetml/2006/main">
  <c r="B23" i="34" l="1"/>
  <c r="B16" i="34"/>
  <c r="B13" i="34"/>
  <c r="B8" i="34"/>
  <c r="B9" i="34"/>
  <c r="B10" i="34"/>
  <c r="B11" i="34"/>
  <c r="B12" i="34"/>
  <c r="B14" i="34"/>
  <c r="B15" i="34"/>
  <c r="B17" i="34"/>
  <c r="B18" i="34"/>
  <c r="B19" i="34"/>
  <c r="B20" i="34"/>
  <c r="B21" i="34"/>
  <c r="B22" i="34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C7" i="34"/>
  <c r="B7" i="34" l="1"/>
</calcChain>
</file>

<file path=xl/sharedStrings.xml><?xml version="1.0" encoding="utf-8"?>
<sst xmlns="http://schemas.openxmlformats.org/spreadsheetml/2006/main" count="150" uniqueCount="84">
  <si>
    <t>Total</t>
  </si>
  <si>
    <t>-</t>
  </si>
  <si>
    <t>ah</t>
  </si>
  <si>
    <t>dh</t>
  </si>
  <si>
    <t>S</t>
  </si>
  <si>
    <t>n</t>
  </si>
  <si>
    <t>r</t>
  </si>
  <si>
    <t>b</t>
  </si>
  <si>
    <t>L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</si>
  <si>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</si>
  <si>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</si>
  <si>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</si>
  <si>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</si>
  <si>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</si>
  <si>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</si>
  <si>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</si>
  <si>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</si>
  <si>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</si>
  <si>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</si>
  <si>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</si>
  <si>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N</t>
  </si>
  <si>
    <t>s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</si>
  <si>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</si>
  <si>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</si>
  <si>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</si>
  <si>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</si>
  <si>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</si>
  <si>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>B</t>
  </si>
  <si>
    <t>Lh</t>
  </si>
  <si>
    <t>K</t>
  </si>
  <si>
    <t xml:space="preserve"> 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</si>
  <si>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</si>
  <si>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</si>
  <si>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</si>
  <si>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</si>
  <si>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</si>
  <si>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</si>
  <si>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</si>
  <si>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</si>
  <si>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</si>
  <si>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</si>
  <si>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އެހެނިހެން</t>
  </si>
  <si>
    <t>ޖުމްލަ</t>
  </si>
  <si>
    <t>ދަނޑުވެރިކަމުގެ ބާވަތްތައް</t>
  </si>
  <si>
    <t>ފަތްކެޔޮ</t>
  </si>
  <si>
    <t>ގިތެޔޮމިރުސް</t>
  </si>
  <si>
    <t>ކިއުކަމްބަރ</t>
  </si>
  <si>
    <t>އަނބު</t>
  </si>
  <si>
    <t>ފަޅޯ</t>
  </si>
  <si>
    <t>ބަރަބޯ</t>
  </si>
  <si>
    <t>ކަރާ</t>
  </si>
  <si>
    <t>Agricultural Crops</t>
  </si>
  <si>
    <t>އުފެއްދުނު އަތޮޅުތައް</t>
  </si>
  <si>
    <t>Watermelon</t>
  </si>
  <si>
    <t>Coconut (young)</t>
  </si>
  <si>
    <t>ކުރުނބާ</t>
  </si>
  <si>
    <t>Pumpkin</t>
  </si>
  <si>
    <t>Cucumber</t>
  </si>
  <si>
    <t>Banana</t>
  </si>
  <si>
    <t>Brinjal</t>
  </si>
  <si>
    <t>ބަށި</t>
  </si>
  <si>
    <t>Coconut</t>
  </si>
  <si>
    <t>ކާށި</t>
  </si>
  <si>
    <t>Bottle gourd</t>
  </si>
  <si>
    <t>Butternut</t>
  </si>
  <si>
    <t>ބަޓާނާ</t>
  </si>
  <si>
    <t>Chinese Cabbage</t>
  </si>
  <si>
    <t>ޗައިނީޒް ކެބެޖް</t>
  </si>
  <si>
    <t>Mango</t>
  </si>
  <si>
    <t>Wax gourd</t>
  </si>
  <si>
    <t>ފުފޫ</t>
  </si>
  <si>
    <t>Others</t>
  </si>
  <si>
    <t>Source:  Agriculture Data Management Unit/Min. Fisheries and Agriculture</t>
  </si>
  <si>
    <t>މައުލޫމާތު ދެއްވި ފަރާތް: އެގްރިކަލްޗަރ ޑާޓާ މެނޭޖްމަންޓް ޔުނިޓް/ މިނިސްޓްރީ އޮފް ފިޝަރީޒް އެންޑް އެގްރިކަލްޗަރ</t>
  </si>
  <si>
    <t>Producing by Atolls</t>
  </si>
  <si>
    <t>Betel leaf</t>
  </si>
  <si>
    <t>ބިލެއް</t>
  </si>
  <si>
    <t>Chilly</t>
  </si>
  <si>
    <t>Papaya</t>
  </si>
  <si>
    <t>ދިއްސާ</t>
  </si>
  <si>
    <t>ތާވަލު 9.20:  އަތޮޅުތަކުން މާލެ މާރުކޭޓަށް ވިއްކި ދަނޑުވެރިކަމުގެ ތަކެތި ، 2017</t>
  </si>
  <si>
    <t xml:space="preserve">       Table 9.20: AGRICULTURAL PRODUCTS TRADED IN MALE' MARKET BY ATOLLS, 2017</t>
  </si>
  <si>
    <t xml:space="preserve">            (Value in MVR)  (ރުފިޔާއިން)</t>
  </si>
  <si>
    <t>ނޯޓް:  ރ، ޅ، ވ އަދި ދ ގެ މައުލޫމާތު ނެތީ އެ އަތޮޅު ތަކުން މާލެއަށް ތަރުކަރީ އަދި މޭވާ ވިއްކަން ގެނެސްފައި ނުވާތީއެވެ.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</si>
</sst>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mmmm\ d\,\ yyyy;@"/>
    <numFmt numFmtId="165" formatCode="General_)"/>
  </numFmts>
  <fonts count="24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1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sz val="10"/>
      <name val="Calibri"/>
      <family val="2"/>
      <scheme val="minor"/>
    </font>
    <font>
      <sz val="11"/>
      <name val="Courier"/>
      <family val="3"/>
    </font>
    <font>
      <sz val="10"/>
      <name val="Faruma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10"/>
      <color theme="1"/>
      <name val="Faruma"/>
    </font>
    <font>
      <sz val="10"/>
      <color indexed="8"/>
      <name val="Faruma"/>
    </font>
    <font>
      <sz val="10"/>
      <color indexed="8"/>
      <name val="Calibri"/>
      <family val="2"/>
      <scheme val="minor"/>
    </font>
    <font>
      <i/>
      <sz val="10"/>
      <name val="Calibri"/>
      <family val="2"/>
    </font>
    <font>
      <sz val="10"/>
      <color indexed="8"/>
      <name val="Calibri"/>
      <family val="2"/>
    </font>
    <font>
      <b/>
      <sz val="12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0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4" fontId="1" fillId="0" borderId="0"/>
    <xf numFmtId="0" fontId="1" fillId="0" borderId="0"/>
    <xf numFmtId="0" fontId="14" fillId="0" borderId="0"/>
    <xf numFmtId="164" fontId="1" fillId="0" borderId="0"/>
    <xf numFmtId="0" fontId="3" fillId="0" borderId="0"/>
    <xf numFmtId="43" fontId="14" fillId="0" borderId="0" applyFont="0" applyFill="0" applyBorder="0" applyAlignment="0" applyProtection="0"/>
    <xf numFmtId="0" fontId="3" fillId="0" borderId="0"/>
  </cellStyleXfs>
  <cellXfs count="56">
    <xf numFmtId="0" fontId="0" fillId="0" borderId="0" xfId="0"/>
    <xf numFmtId="3" fontId="16" fillId="2" borderId="1" xfId="2" applyNumberFormat="1" applyFont="1" applyFill="1" applyBorder="1" applyAlignment="1">
      <alignment horizontal="right"/>
    </xf>
    <xf numFmtId="3" fontId="5" fillId="2" borderId="1" xfId="2" applyNumberFormat="1" applyFont="1" applyFill="1" applyBorder="1" applyAlignment="1">
      <alignment horizontal="right"/>
    </xf>
    <xf numFmtId="3" fontId="20" fillId="2" borderId="0" xfId="8" applyNumberFormat="1" applyFont="1" applyFill="1" applyBorder="1" applyAlignment="1">
      <alignment horizontal="right" vertical="center"/>
    </xf>
    <xf numFmtId="0" fontId="21" fillId="2" borderId="0" xfId="2" applyNumberFormat="1" applyFont="1" applyFill="1" applyBorder="1" applyAlignment="1">
      <alignment vertical="center"/>
    </xf>
    <xf numFmtId="3" fontId="16" fillId="2" borderId="0" xfId="2" applyNumberFormat="1" applyFont="1" applyFill="1" applyBorder="1" applyAlignment="1">
      <alignment horizontal="right"/>
    </xf>
    <xf numFmtId="3" fontId="14" fillId="2" borderId="0" xfId="2" applyNumberFormat="1" applyFont="1" applyFill="1" applyBorder="1" applyAlignment="1">
      <alignment horizontal="right"/>
    </xf>
    <xf numFmtId="3" fontId="14" fillId="2" borderId="0" xfId="1" applyNumberFormat="1" applyFont="1" applyFill="1" applyBorder="1" applyAlignment="1">
      <alignment horizontal="right"/>
    </xf>
    <xf numFmtId="165" fontId="12" fillId="2" borderId="0" xfId="2" applyNumberFormat="1" applyFont="1" applyFill="1"/>
    <xf numFmtId="0" fontId="16" fillId="2" borderId="3" xfId="2" applyNumberFormat="1" applyFont="1" applyFill="1" applyBorder="1" applyAlignment="1">
      <alignment vertical="center"/>
    </xf>
    <xf numFmtId="0" fontId="1" fillId="2" borderId="3" xfId="2" applyNumberFormat="1" applyFont="1" applyFill="1" applyBorder="1" applyAlignment="1">
      <alignment vertical="center"/>
    </xf>
    <xf numFmtId="0" fontId="9" fillId="2" borderId="0" xfId="0" applyFont="1" applyFill="1" applyBorder="1" applyAlignment="1" applyProtection="1">
      <alignment horizontal="right" vertical="center"/>
    </xf>
    <xf numFmtId="165" fontId="1" fillId="2" borderId="0" xfId="3" applyNumberFormat="1" applyFill="1"/>
    <xf numFmtId="165" fontId="10" fillId="2" borderId="0" xfId="3" applyNumberFormat="1" applyFont="1" applyFill="1"/>
    <xf numFmtId="0" fontId="1" fillId="2" borderId="0" xfId="3" applyNumberFormat="1" applyFont="1" applyFill="1" applyAlignment="1">
      <alignment vertical="center"/>
    </xf>
    <xf numFmtId="0" fontId="1" fillId="2" borderId="1" xfId="3" applyNumberFormat="1" applyFont="1" applyFill="1" applyBorder="1" applyAlignment="1">
      <alignment vertical="center"/>
    </xf>
    <xf numFmtId="165" fontId="10" fillId="2" borderId="0" xfId="3" applyNumberFormat="1" applyFont="1" applyFill="1" applyAlignment="1">
      <alignment horizontal="center"/>
    </xf>
    <xf numFmtId="0" fontId="2" fillId="2" borderId="0" xfId="3" applyNumberFormat="1" applyFont="1" applyFill="1" applyAlignment="1">
      <alignment horizontal="center" vertical="center"/>
    </xf>
    <xf numFmtId="0" fontId="8" fillId="2" borderId="0" xfId="0" applyFont="1" applyFill="1" applyBorder="1" applyAlignment="1">
      <alignment horizontal="right" vertical="center"/>
    </xf>
    <xf numFmtId="0" fontId="6" fillId="2" borderId="0" xfId="3" applyNumberFormat="1" applyFont="1" applyFill="1" applyAlignment="1">
      <alignment horizontal="center" vertical="center"/>
    </xf>
    <xf numFmtId="0" fontId="16" fillId="2" borderId="1" xfId="3" applyNumberFormat="1" applyFont="1" applyFill="1" applyBorder="1" applyAlignment="1">
      <alignment vertical="center"/>
    </xf>
    <xf numFmtId="0" fontId="6" fillId="2" borderId="2" xfId="3" applyNumberFormat="1" applyFont="1" applyFill="1" applyBorder="1" applyAlignment="1">
      <alignment vertical="center"/>
    </xf>
    <xf numFmtId="0" fontId="6" fillId="2" borderId="0" xfId="3" applyNumberFormat="1" applyFont="1" applyFill="1" applyAlignment="1">
      <alignment vertical="center"/>
    </xf>
    <xf numFmtId="0" fontId="3" fillId="2" borderId="0" xfId="3" applyNumberFormat="1" applyFont="1" applyFill="1" applyAlignment="1">
      <alignment vertical="center"/>
    </xf>
    <xf numFmtId="0" fontId="13" fillId="2" borderId="0" xfId="6" applyNumberFormat="1" applyFont="1" applyFill="1" applyBorder="1" applyAlignment="1">
      <alignment horizontal="right" vertical="center"/>
    </xf>
    <xf numFmtId="38" fontId="1" fillId="2" borderId="0" xfId="1" applyNumberFormat="1" applyFont="1" applyFill="1"/>
    <xf numFmtId="165" fontId="1" fillId="2" borderId="0" xfId="3" applyNumberFormat="1" applyFont="1" applyFill="1"/>
    <xf numFmtId="3" fontId="20" fillId="2" borderId="2" xfId="8" applyNumberFormat="1" applyFont="1" applyFill="1" applyBorder="1" applyAlignment="1">
      <alignment horizontal="right" vertical="center"/>
    </xf>
    <xf numFmtId="0" fontId="6" fillId="2" borderId="0" xfId="2" applyNumberFormat="1" applyFont="1" applyFill="1" applyBorder="1" applyAlignment="1">
      <alignment vertical="center"/>
    </xf>
    <xf numFmtId="0" fontId="19" fillId="2" borderId="0" xfId="6" applyNumberFormat="1" applyFont="1" applyFill="1" applyBorder="1" applyAlignment="1">
      <alignment horizontal="right" vertical="center"/>
    </xf>
    <xf numFmtId="3" fontId="16" fillId="2" borderId="2" xfId="2" applyNumberFormat="1" applyFont="1" applyFill="1" applyBorder="1" applyAlignment="1">
      <alignment horizontal="right"/>
    </xf>
    <xf numFmtId="3" fontId="6" fillId="2" borderId="0" xfId="3" applyNumberFormat="1" applyFont="1" applyFill="1" applyAlignment="1">
      <alignment vertical="center"/>
    </xf>
    <xf numFmtId="3" fontId="7" fillId="2" borderId="0" xfId="1" applyNumberFormat="1" applyFont="1" applyFill="1" applyBorder="1" applyAlignment="1">
      <alignment horizontal="right"/>
    </xf>
    <xf numFmtId="3" fontId="6" fillId="2" borderId="0" xfId="1" applyNumberFormat="1" applyFont="1" applyFill="1" applyBorder="1" applyAlignment="1">
      <alignment horizontal="right"/>
    </xf>
    <xf numFmtId="3" fontId="11" fillId="2" borderId="0" xfId="3" applyNumberFormat="1" applyFont="1" applyFill="1"/>
    <xf numFmtId="3" fontId="6" fillId="2" borderId="0" xfId="1" quotePrefix="1" applyNumberFormat="1" applyFont="1" applyFill="1" applyBorder="1" applyAlignment="1">
      <alignment horizontal="right"/>
    </xf>
    <xf numFmtId="3" fontId="14" fillId="2" borderId="2" xfId="2" applyNumberFormat="1" applyFont="1" applyFill="1" applyBorder="1" applyAlignment="1">
      <alignment horizontal="right"/>
    </xf>
    <xf numFmtId="3" fontId="14" fillId="2" borderId="2" xfId="1" applyNumberFormat="1" applyFont="1" applyFill="1" applyBorder="1" applyAlignment="1">
      <alignment horizontal="right"/>
    </xf>
    <xf numFmtId="3" fontId="7" fillId="2" borderId="2" xfId="1" applyNumberFormat="1" applyFont="1" applyFill="1" applyBorder="1" applyAlignment="1">
      <alignment horizontal="right"/>
    </xf>
    <xf numFmtId="3" fontId="6" fillId="2" borderId="2" xfId="1" applyNumberFormat="1" applyFont="1" applyFill="1" applyBorder="1" applyAlignment="1">
      <alignment horizontal="right"/>
    </xf>
    <xf numFmtId="0" fontId="15" fillId="2" borderId="1" xfId="3" applyNumberFormat="1" applyFont="1" applyFill="1" applyBorder="1" applyAlignment="1">
      <alignment vertical="center"/>
    </xf>
    <xf numFmtId="0" fontId="17" fillId="2" borderId="0" xfId="3" applyNumberFormat="1" applyFont="1" applyFill="1" applyBorder="1" applyAlignment="1">
      <alignment horizontal="right" vertical="center" indent="4"/>
    </xf>
    <xf numFmtId="0" fontId="17" fillId="2" borderId="2" xfId="3" applyNumberFormat="1" applyFont="1" applyFill="1" applyBorder="1" applyAlignment="1">
      <alignment horizontal="right" vertical="center" indent="4"/>
    </xf>
    <xf numFmtId="0" fontId="22" fillId="2" borderId="0" xfId="5" applyNumberFormat="1" applyFont="1" applyFill="1" applyBorder="1" applyAlignment="1">
      <alignment horizontal="left" vertical="center" indent="2"/>
    </xf>
    <xf numFmtId="0" fontId="22" fillId="2" borderId="0" xfId="5" applyFont="1" applyFill="1" applyBorder="1" applyAlignment="1">
      <alignment horizontal="left" indent="2"/>
    </xf>
    <xf numFmtId="0" fontId="6" fillId="2" borderId="0" xfId="2" applyNumberFormat="1" applyFont="1" applyFill="1" applyBorder="1" applyAlignment="1">
      <alignment horizontal="left" vertical="center" indent="2"/>
    </xf>
    <xf numFmtId="0" fontId="18" fillId="2" borderId="0" xfId="2" applyNumberFormat="1" applyFont="1" applyFill="1" applyAlignment="1">
      <alignment horizontal="right" vertical="center"/>
    </xf>
    <xf numFmtId="0" fontId="16" fillId="2" borderId="1" xfId="2" applyNumberFormat="1" applyFont="1" applyFill="1" applyBorder="1" applyAlignment="1">
      <alignment horizontal="right" vertical="center"/>
    </xf>
    <xf numFmtId="0" fontId="16" fillId="2" borderId="0" xfId="2" applyNumberFormat="1" applyFont="1" applyFill="1" applyBorder="1" applyAlignment="1">
      <alignment horizontal="right" vertical="center"/>
    </xf>
    <xf numFmtId="0" fontId="16" fillId="2" borderId="3" xfId="2" applyNumberFormat="1" applyFont="1" applyFill="1" applyBorder="1" applyAlignment="1">
      <alignment horizontal="center" vertical="center"/>
    </xf>
    <xf numFmtId="0" fontId="15" fillId="2" borderId="3" xfId="2" applyNumberFormat="1" applyFont="1" applyFill="1" applyBorder="1" applyAlignment="1">
      <alignment horizontal="center" vertical="center"/>
    </xf>
    <xf numFmtId="0" fontId="23" fillId="2" borderId="0" xfId="3" applyNumberFormat="1" applyFont="1" applyFill="1" applyAlignment="1">
      <alignment horizontal="center" vertical="center"/>
    </xf>
    <xf numFmtId="0" fontId="16" fillId="2" borderId="0" xfId="3" applyNumberFormat="1" applyFont="1" applyFill="1" applyAlignment="1">
      <alignment horizontal="center" vertical="center"/>
    </xf>
    <xf numFmtId="0" fontId="15" fillId="2" borderId="0" xfId="3" applyNumberFormat="1" applyFont="1" applyFill="1" applyAlignment="1">
      <alignment horizontal="center" vertical="center"/>
    </xf>
    <xf numFmtId="0" fontId="15" fillId="2" borderId="1" xfId="3" applyNumberFormat="1" applyFont="1" applyFill="1" applyBorder="1" applyAlignment="1">
      <alignment horizontal="center" vertical="center"/>
    </xf>
    <xf numFmtId="0" fontId="15" fillId="2" borderId="0" xfId="3" applyNumberFormat="1" applyFont="1" applyFill="1" applyBorder="1" applyAlignment="1">
      <alignment horizontal="center" vertical="center"/>
    </xf>
  </cellXfs>
  <cellStyles count="10">
    <cellStyle name="1" xfId="7"/>
    <cellStyle name="Comma 2" xfId="1"/>
    <cellStyle name="Comma_agri planning 2009 year book(final)" xfId="8"/>
    <cellStyle name="Normal" xfId="0" builtinId="0"/>
    <cellStyle name="Normal 2" xfId="4"/>
    <cellStyle name="Normal 2_agri planning 2009 year book(final)" xfId="6"/>
    <cellStyle name="Normal 3_agri planning 2009 year book(final)" xfId="3"/>
    <cellStyle name="Normal 4" xfId="9"/>
    <cellStyle name="Normal 4_agri planning 2009 year book(final)" xfId="2"/>
    <cellStyle name="Normal_agri planning 2009 year book(final)" xfId="5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27"/>
  <sheetViews>
    <sheetView tabSelected="1" zoomScaleNormal="100" workbookViewId="0">
      <selection activeCell="A3" sqref="A3:W3"/>
    </sheetView>
  </sheetViews>
  <sheetFormatPr defaultColWidth="11.28515625" defaultRowHeight="12" x14ac:dyDescent="0.15"/>
  <cols>
    <col min="1" max="1" width="18.28515625" style="12" customWidth="1"/>
    <col min="2" max="2" width="14.28515625" style="25" customWidth="1"/>
    <col min="3" max="6" width="10.7109375" style="25" customWidth="1"/>
    <col min="7" max="7" width="10.7109375" style="25" hidden="1" customWidth="1"/>
    <col min="8" max="8" width="10.7109375" style="25" customWidth="1"/>
    <col min="9" max="9" width="10.7109375" style="25" hidden="1" customWidth="1"/>
    <col min="10" max="12" width="10.7109375" style="25" customWidth="1"/>
    <col min="13" max="13" width="10.7109375" style="25" hidden="1" customWidth="1"/>
    <col min="14" max="14" width="10.7109375" style="25" customWidth="1"/>
    <col min="15" max="15" width="10.7109375" style="26" customWidth="1"/>
    <col min="16" max="16" width="10.7109375" style="26" hidden="1" customWidth="1"/>
    <col min="17" max="22" width="10.7109375" style="26" customWidth="1"/>
    <col min="23" max="23" width="24" style="12" customWidth="1"/>
    <col min="24" max="16384" width="11.28515625" style="12"/>
  </cols>
  <sheetData>
    <row r="1" spans="1:23" ht="21.75" x14ac:dyDescent="0.15">
      <c r="A1" s="51" t="s">
        <v>80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3" s="13" customFormat="1" ht="17.25" customHeight="1" x14ac:dyDescent="0.15">
      <c r="A2" s="52" t="s">
        <v>81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1:23" s="13" customFormat="1" ht="21" x14ac:dyDescent="0.15">
      <c r="A3" s="53" t="s">
        <v>82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</row>
    <row r="4" spans="1:23" s="16" customFormat="1" ht="21" x14ac:dyDescent="0.15">
      <c r="A4" s="15"/>
      <c r="B4" s="47" t="s">
        <v>0</v>
      </c>
      <c r="C4" s="49" t="s">
        <v>74</v>
      </c>
      <c r="D4" s="49"/>
      <c r="E4" s="49"/>
      <c r="F4" s="49"/>
      <c r="G4" s="49"/>
      <c r="H4" s="9"/>
      <c r="I4" s="10"/>
      <c r="J4" s="10"/>
      <c r="K4" s="10"/>
      <c r="L4" s="10"/>
      <c r="M4" s="10"/>
      <c r="N4" s="10"/>
      <c r="O4" s="10"/>
      <c r="P4" s="50" t="s">
        <v>52</v>
      </c>
      <c r="Q4" s="50"/>
      <c r="R4" s="50"/>
      <c r="S4" s="50"/>
      <c r="T4" s="50"/>
      <c r="U4" s="50"/>
      <c r="V4" s="50"/>
      <c r="W4" s="54" t="s">
        <v>43</v>
      </c>
    </row>
    <row r="5" spans="1:23" s="16" customFormat="1" ht="12.75" customHeight="1" x14ac:dyDescent="0.15">
      <c r="A5" s="17" t="s">
        <v>51</v>
      </c>
      <c r="B5" s="48"/>
      <c r="C5" s="18" t="s">
        <v>2</v>
      </c>
      <c r="D5" s="18" t="s">
        <v>3</v>
      </c>
      <c r="E5" s="18" t="s">
        <v>4</v>
      </c>
      <c r="F5" s="18" t="s">
        <v>5</v>
      </c>
      <c r="G5" s="18" t="s">
        <v>6</v>
      </c>
      <c r="H5" s="18" t="s">
        <v>7</v>
      </c>
      <c r="I5" s="18" t="s">
        <v>8</v>
      </c>
      <c r="J5" s="18" t="s">
        <v>9</v>
      </c>
      <c r="K5" s="18" t="s">
        <v>10</v>
      </c>
      <c r="L5" s="18" t="s">
        <v>11</v>
      </c>
      <c r="M5" s="18" t="s">
        <v>12</v>
      </c>
      <c r="N5" s="18" t="s">
        <v>13</v>
      </c>
      <c r="O5" s="18" t="s">
        <v>14</v>
      </c>
      <c r="P5" s="18" t="s">
        <v>15</v>
      </c>
      <c r="Q5" s="18" t="s">
        <v>16</v>
      </c>
      <c r="R5" s="18" t="s">
        <v>17</v>
      </c>
      <c r="S5" s="18" t="s">
        <v>18</v>
      </c>
      <c r="T5" s="18" t="s">
        <v>19</v>
      </c>
      <c r="U5" s="18" t="s">
        <v>20</v>
      </c>
      <c r="V5" s="18" t="s">
        <v>21</v>
      </c>
      <c r="W5" s="55"/>
    </row>
    <row r="6" spans="1:23" s="13" customFormat="1" ht="12.75" x14ac:dyDescent="0.15">
      <c r="A6" s="19"/>
      <c r="B6" s="48"/>
      <c r="C6" s="11" t="s">
        <v>22</v>
      </c>
      <c r="D6" s="11" t="s">
        <v>23</v>
      </c>
      <c r="E6" s="11" t="s">
        <v>24</v>
      </c>
      <c r="F6" s="11" t="s">
        <v>25</v>
      </c>
      <c r="G6" s="11" t="s">
        <v>26</v>
      </c>
      <c r="H6" s="11" t="s">
        <v>27</v>
      </c>
      <c r="I6" s="11" t="s">
        <v>28</v>
      </c>
      <c r="J6" s="11" t="s">
        <v>29</v>
      </c>
      <c r="K6" s="11" t="s">
        <v>30</v>
      </c>
      <c r="L6" s="11" t="s">
        <v>31</v>
      </c>
      <c r="M6" s="11" t="s">
        <v>32</v>
      </c>
      <c r="N6" s="11" t="s">
        <v>33</v>
      </c>
      <c r="O6" s="11" t="s">
        <v>34</v>
      </c>
      <c r="P6" s="11" t="s">
        <v>35</v>
      </c>
      <c r="Q6" s="11" t="s">
        <v>36</v>
      </c>
      <c r="R6" s="11" t="s">
        <v>37</v>
      </c>
      <c r="S6" s="11" t="s">
        <v>38</v>
      </c>
      <c r="T6" s="11" t="s">
        <v>39</v>
      </c>
      <c r="U6" s="11" t="s">
        <v>40</v>
      </c>
      <c r="V6" s="11" t="s">
        <v>4</v>
      </c>
      <c r="W6" s="55"/>
    </row>
    <row r="7" spans="1:23" s="13" customFormat="1" ht="21" x14ac:dyDescent="0.25">
      <c r="A7" s="20" t="s">
        <v>0</v>
      </c>
      <c r="B7" s="1">
        <f>SUM(C7:V7)</f>
        <v>64080018</v>
      </c>
      <c r="C7" s="2">
        <f>SUM(C8:C23)</f>
        <v>697217.5</v>
      </c>
      <c r="D7" s="2">
        <f t="shared" ref="D7:V7" si="0">SUM(D8:D23)</f>
        <v>57670</v>
      </c>
      <c r="E7" s="2">
        <f t="shared" si="0"/>
        <v>4453766.5</v>
      </c>
      <c r="F7" s="2">
        <f t="shared" si="0"/>
        <v>149520</v>
      </c>
      <c r="G7" s="2">
        <f t="shared" si="0"/>
        <v>0</v>
      </c>
      <c r="H7" s="2">
        <f t="shared" si="0"/>
        <v>492875</v>
      </c>
      <c r="I7" s="2">
        <f t="shared" si="0"/>
        <v>0</v>
      </c>
      <c r="J7" s="2">
        <f t="shared" si="0"/>
        <v>11076498</v>
      </c>
      <c r="K7" s="2">
        <f t="shared" si="0"/>
        <v>28445182</v>
      </c>
      <c r="L7" s="2">
        <f t="shared" si="0"/>
        <v>214928</v>
      </c>
      <c r="M7" s="2">
        <f t="shared" si="0"/>
        <v>0</v>
      </c>
      <c r="N7" s="2">
        <f t="shared" si="0"/>
        <v>191010</v>
      </c>
      <c r="O7" s="2">
        <f t="shared" si="0"/>
        <v>24705</v>
      </c>
      <c r="P7" s="2">
        <f t="shared" si="0"/>
        <v>0</v>
      </c>
      <c r="Q7" s="2">
        <f t="shared" si="0"/>
        <v>9349071</v>
      </c>
      <c r="R7" s="2">
        <f t="shared" si="0"/>
        <v>6521615</v>
      </c>
      <c r="S7" s="2">
        <f t="shared" si="0"/>
        <v>168895</v>
      </c>
      <c r="T7" s="2">
        <f t="shared" si="0"/>
        <v>464600</v>
      </c>
      <c r="U7" s="2">
        <f t="shared" si="0"/>
        <v>1562315</v>
      </c>
      <c r="V7" s="2">
        <f t="shared" si="0"/>
        <v>210150</v>
      </c>
      <c r="W7" s="40" t="s">
        <v>42</v>
      </c>
    </row>
    <row r="8" spans="1:23" s="13" customFormat="1" ht="21" x14ac:dyDescent="0.25">
      <c r="A8" s="43" t="s">
        <v>75</v>
      </c>
      <c r="B8" s="5">
        <f>SUM(C8:V8)</f>
        <v>10454350</v>
      </c>
      <c r="C8" s="6">
        <v>0</v>
      </c>
      <c r="D8" s="6">
        <v>1600</v>
      </c>
      <c r="E8" s="6">
        <v>0</v>
      </c>
      <c r="F8" s="6">
        <v>0</v>
      </c>
      <c r="G8" s="3" t="s">
        <v>1</v>
      </c>
      <c r="H8" s="7">
        <v>0</v>
      </c>
      <c r="I8" s="3" t="s">
        <v>1</v>
      </c>
      <c r="J8" s="32">
        <v>0</v>
      </c>
      <c r="K8" s="7">
        <v>10452750</v>
      </c>
      <c r="L8" s="32">
        <v>0</v>
      </c>
      <c r="M8" s="3" t="s">
        <v>1</v>
      </c>
      <c r="N8" s="32">
        <v>0</v>
      </c>
      <c r="O8" s="32">
        <v>0</v>
      </c>
      <c r="P8" s="33" t="s">
        <v>1</v>
      </c>
      <c r="Q8" s="33">
        <v>0</v>
      </c>
      <c r="R8" s="33">
        <v>0</v>
      </c>
      <c r="S8" s="33">
        <v>0</v>
      </c>
      <c r="T8" s="33">
        <v>0</v>
      </c>
      <c r="U8" s="33">
        <v>0</v>
      </c>
      <c r="V8" s="33">
        <v>0</v>
      </c>
      <c r="W8" s="41" t="s">
        <v>76</v>
      </c>
    </row>
    <row r="9" spans="1:23" s="13" customFormat="1" ht="21" x14ac:dyDescent="0.25">
      <c r="A9" s="43" t="s">
        <v>53</v>
      </c>
      <c r="B9" s="5">
        <f t="shared" ref="B9:B22" si="1">SUM(C9:V9)</f>
        <v>4171919</v>
      </c>
      <c r="C9" s="6">
        <v>6210</v>
      </c>
      <c r="D9" s="6">
        <v>1200</v>
      </c>
      <c r="E9" s="6">
        <v>409650</v>
      </c>
      <c r="F9" s="6">
        <v>0</v>
      </c>
      <c r="G9" s="3" t="s">
        <v>1</v>
      </c>
      <c r="H9" s="7">
        <v>55960</v>
      </c>
      <c r="I9" s="3" t="s">
        <v>1</v>
      </c>
      <c r="J9" s="32">
        <v>323530</v>
      </c>
      <c r="K9" s="7">
        <v>1964000</v>
      </c>
      <c r="L9" s="32">
        <v>10000</v>
      </c>
      <c r="M9" s="3" t="s">
        <v>1</v>
      </c>
      <c r="N9" s="32">
        <v>0</v>
      </c>
      <c r="O9" s="32">
        <v>0</v>
      </c>
      <c r="P9" s="33" t="s">
        <v>1</v>
      </c>
      <c r="Q9" s="33">
        <v>317874</v>
      </c>
      <c r="R9" s="33">
        <v>1079995</v>
      </c>
      <c r="S9" s="33">
        <v>0</v>
      </c>
      <c r="T9" s="3">
        <v>3500</v>
      </c>
      <c r="U9" s="33">
        <v>0</v>
      </c>
      <c r="V9" s="33">
        <v>0</v>
      </c>
      <c r="W9" s="41" t="s">
        <v>50</v>
      </c>
    </row>
    <row r="10" spans="1:23" s="13" customFormat="1" ht="21" x14ac:dyDescent="0.25">
      <c r="A10" s="44" t="s">
        <v>57</v>
      </c>
      <c r="B10" s="5">
        <f t="shared" si="1"/>
        <v>1428706</v>
      </c>
      <c r="C10" s="6">
        <v>0</v>
      </c>
      <c r="D10" s="6">
        <v>520</v>
      </c>
      <c r="E10" s="6">
        <v>176920</v>
      </c>
      <c r="F10" s="6">
        <v>0</v>
      </c>
      <c r="G10" s="3" t="s">
        <v>1</v>
      </c>
      <c r="H10" s="7">
        <v>37000</v>
      </c>
      <c r="I10" s="3" t="s">
        <v>1</v>
      </c>
      <c r="J10" s="32">
        <v>135770</v>
      </c>
      <c r="K10" s="7">
        <v>921450</v>
      </c>
      <c r="L10" s="32">
        <v>103068</v>
      </c>
      <c r="M10" s="3" t="s">
        <v>1</v>
      </c>
      <c r="N10" s="32">
        <v>0</v>
      </c>
      <c r="O10" s="33">
        <v>180</v>
      </c>
      <c r="P10" s="33" t="s">
        <v>1</v>
      </c>
      <c r="Q10" s="33">
        <v>22088</v>
      </c>
      <c r="R10" s="33">
        <v>31710</v>
      </c>
      <c r="S10" s="33">
        <v>0</v>
      </c>
      <c r="T10" s="33">
        <v>0</v>
      </c>
      <c r="U10" s="33">
        <v>0</v>
      </c>
      <c r="V10" s="33">
        <v>0</v>
      </c>
      <c r="W10" s="41" t="s">
        <v>46</v>
      </c>
    </row>
    <row r="11" spans="1:23" s="13" customFormat="1" ht="21" x14ac:dyDescent="0.25">
      <c r="A11" s="44" t="s">
        <v>77</v>
      </c>
      <c r="B11" s="5">
        <f t="shared" si="1"/>
        <v>7836130</v>
      </c>
      <c r="C11" s="6">
        <v>27000</v>
      </c>
      <c r="D11" s="6">
        <v>9000</v>
      </c>
      <c r="E11" s="6">
        <v>175945</v>
      </c>
      <c r="F11" s="6">
        <v>0</v>
      </c>
      <c r="G11" s="3" t="s">
        <v>1</v>
      </c>
      <c r="H11" s="7">
        <v>4800</v>
      </c>
      <c r="I11" s="3" t="s">
        <v>1</v>
      </c>
      <c r="J11" s="32">
        <v>440960</v>
      </c>
      <c r="K11" s="7">
        <v>729770</v>
      </c>
      <c r="L11" s="32">
        <v>0</v>
      </c>
      <c r="M11" s="3" t="s">
        <v>1</v>
      </c>
      <c r="N11" s="32">
        <v>13500</v>
      </c>
      <c r="O11" s="33">
        <v>0</v>
      </c>
      <c r="P11" s="33" t="s">
        <v>1</v>
      </c>
      <c r="Q11" s="34">
        <v>4807205</v>
      </c>
      <c r="R11" s="33">
        <v>1627950</v>
      </c>
      <c r="S11" s="33">
        <v>0</v>
      </c>
      <c r="T11" s="33">
        <v>0</v>
      </c>
      <c r="U11" s="33">
        <v>0</v>
      </c>
      <c r="V11" s="33">
        <v>0</v>
      </c>
      <c r="W11" s="41" t="s">
        <v>45</v>
      </c>
    </row>
    <row r="12" spans="1:23" s="13" customFormat="1" ht="21" x14ac:dyDescent="0.25">
      <c r="A12" s="43" t="s">
        <v>78</v>
      </c>
      <c r="B12" s="5">
        <f t="shared" si="1"/>
        <v>6106924</v>
      </c>
      <c r="C12" s="6">
        <v>0</v>
      </c>
      <c r="D12" s="6">
        <v>0</v>
      </c>
      <c r="E12" s="6">
        <v>0</v>
      </c>
      <c r="F12" s="6">
        <v>0</v>
      </c>
      <c r="G12" s="3" t="s">
        <v>1</v>
      </c>
      <c r="H12" s="7">
        <v>0</v>
      </c>
      <c r="I12" s="3" t="s">
        <v>1</v>
      </c>
      <c r="J12" s="32">
        <v>187124</v>
      </c>
      <c r="K12" s="7">
        <v>5919620</v>
      </c>
      <c r="L12" s="32">
        <v>0</v>
      </c>
      <c r="M12" s="3" t="s">
        <v>1</v>
      </c>
      <c r="N12" s="32">
        <v>0</v>
      </c>
      <c r="O12" s="33">
        <v>0</v>
      </c>
      <c r="P12" s="35" t="s">
        <v>1</v>
      </c>
      <c r="Q12" s="33">
        <v>0</v>
      </c>
      <c r="R12" s="33">
        <v>180</v>
      </c>
      <c r="S12" s="33">
        <v>0</v>
      </c>
      <c r="T12" s="33">
        <v>0</v>
      </c>
      <c r="U12" s="33">
        <v>0</v>
      </c>
      <c r="V12" s="33">
        <v>0</v>
      </c>
      <c r="W12" s="41" t="s">
        <v>48</v>
      </c>
    </row>
    <row r="13" spans="1:23" s="13" customFormat="1" ht="21" x14ac:dyDescent="0.25">
      <c r="A13" s="43" t="s">
        <v>56</v>
      </c>
      <c r="B13" s="5">
        <f>SUM(C13:V13)</f>
        <v>1158530</v>
      </c>
      <c r="C13" s="6">
        <v>990</v>
      </c>
      <c r="D13" s="6">
        <v>0</v>
      </c>
      <c r="E13" s="6">
        <v>112535</v>
      </c>
      <c r="F13" s="6">
        <v>0</v>
      </c>
      <c r="G13" s="3" t="s">
        <v>1</v>
      </c>
      <c r="H13" s="7">
        <v>28250</v>
      </c>
      <c r="I13" s="3" t="s">
        <v>1</v>
      </c>
      <c r="J13" s="32">
        <v>203160</v>
      </c>
      <c r="K13" s="7">
        <v>506220</v>
      </c>
      <c r="L13" s="32">
        <v>0</v>
      </c>
      <c r="M13" s="3" t="s">
        <v>1</v>
      </c>
      <c r="N13" s="32">
        <v>0</v>
      </c>
      <c r="O13" s="33">
        <v>0</v>
      </c>
      <c r="P13" s="33" t="s">
        <v>1</v>
      </c>
      <c r="Q13" s="33">
        <v>25725</v>
      </c>
      <c r="R13" s="33">
        <v>280050</v>
      </c>
      <c r="S13" s="33">
        <v>0</v>
      </c>
      <c r="T13" s="3">
        <v>1600</v>
      </c>
      <c r="U13" s="33">
        <v>0</v>
      </c>
      <c r="V13" s="33">
        <v>0</v>
      </c>
      <c r="W13" s="41" t="s">
        <v>49</v>
      </c>
    </row>
    <row r="14" spans="1:23" s="13" customFormat="1" ht="21" x14ac:dyDescent="0.25">
      <c r="A14" s="43" t="s">
        <v>58</v>
      </c>
      <c r="B14" s="5">
        <f t="shared" si="1"/>
        <v>9572639</v>
      </c>
      <c r="C14" s="6">
        <v>130680</v>
      </c>
      <c r="D14" s="6">
        <v>21200</v>
      </c>
      <c r="E14" s="6">
        <v>945669</v>
      </c>
      <c r="F14" s="6">
        <v>47300</v>
      </c>
      <c r="G14" s="3" t="s">
        <v>1</v>
      </c>
      <c r="H14" s="7">
        <v>24685</v>
      </c>
      <c r="I14" s="3" t="s">
        <v>1</v>
      </c>
      <c r="J14" s="32">
        <v>5629505</v>
      </c>
      <c r="K14" s="7">
        <v>829835</v>
      </c>
      <c r="L14" s="32">
        <v>0</v>
      </c>
      <c r="M14" s="3" t="s">
        <v>1</v>
      </c>
      <c r="N14" s="32">
        <v>8890</v>
      </c>
      <c r="O14" s="33">
        <v>4200</v>
      </c>
      <c r="P14" s="33" t="s">
        <v>1</v>
      </c>
      <c r="Q14" s="33">
        <v>98040</v>
      </c>
      <c r="R14" s="33">
        <v>984420</v>
      </c>
      <c r="S14" s="33">
        <v>29475</v>
      </c>
      <c r="T14" s="3">
        <v>188900</v>
      </c>
      <c r="U14" s="33">
        <v>575090</v>
      </c>
      <c r="V14" s="33">
        <v>54750</v>
      </c>
      <c r="W14" s="41" t="s">
        <v>44</v>
      </c>
    </row>
    <row r="15" spans="1:23" s="13" customFormat="1" ht="21" x14ac:dyDescent="0.25">
      <c r="A15" s="45" t="s">
        <v>54</v>
      </c>
      <c r="B15" s="5">
        <f t="shared" si="1"/>
        <v>3406596</v>
      </c>
      <c r="C15" s="6">
        <v>191000</v>
      </c>
      <c r="D15" s="6">
        <v>2700</v>
      </c>
      <c r="E15" s="6">
        <v>419947</v>
      </c>
      <c r="F15" s="6">
        <v>21000</v>
      </c>
      <c r="G15" s="3" t="s">
        <v>1</v>
      </c>
      <c r="H15" s="7">
        <v>69685</v>
      </c>
      <c r="I15" s="3" t="s">
        <v>1</v>
      </c>
      <c r="J15" s="32">
        <v>994160</v>
      </c>
      <c r="K15" s="7">
        <v>224965</v>
      </c>
      <c r="L15" s="32">
        <v>0</v>
      </c>
      <c r="M15" s="3" t="s">
        <v>1</v>
      </c>
      <c r="N15" s="32">
        <v>68340</v>
      </c>
      <c r="O15" s="33">
        <v>12000</v>
      </c>
      <c r="P15" s="33" t="s">
        <v>1</v>
      </c>
      <c r="Q15" s="33">
        <v>95150</v>
      </c>
      <c r="R15" s="33">
        <v>699579</v>
      </c>
      <c r="S15" s="33">
        <v>53920</v>
      </c>
      <c r="T15" s="3">
        <v>97000</v>
      </c>
      <c r="U15" s="33">
        <v>404750</v>
      </c>
      <c r="V15" s="33">
        <v>52400</v>
      </c>
      <c r="W15" s="41" t="s">
        <v>55</v>
      </c>
    </row>
    <row r="16" spans="1:23" s="13" customFormat="1" ht="21" x14ac:dyDescent="0.25">
      <c r="A16" s="43" t="s">
        <v>59</v>
      </c>
      <c r="B16" s="5">
        <f>SUM(C16:V16)</f>
        <v>1424136</v>
      </c>
      <c r="C16" s="6">
        <v>0</v>
      </c>
      <c r="D16" s="6">
        <v>0</v>
      </c>
      <c r="E16" s="6">
        <v>95101</v>
      </c>
      <c r="F16" s="6">
        <v>0</v>
      </c>
      <c r="G16" s="3" t="s">
        <v>1</v>
      </c>
      <c r="H16" s="7">
        <v>36450</v>
      </c>
      <c r="I16" s="3" t="s">
        <v>1</v>
      </c>
      <c r="J16" s="32">
        <v>376875</v>
      </c>
      <c r="K16" s="7">
        <v>679660</v>
      </c>
      <c r="L16" s="32">
        <v>80900</v>
      </c>
      <c r="M16" s="3" t="s">
        <v>1</v>
      </c>
      <c r="N16" s="32">
        <v>0</v>
      </c>
      <c r="O16" s="33">
        <v>3125</v>
      </c>
      <c r="P16" s="33" t="s">
        <v>1</v>
      </c>
      <c r="Q16" s="33">
        <v>25855</v>
      </c>
      <c r="R16" s="33">
        <v>124170</v>
      </c>
      <c r="S16" s="33">
        <v>0</v>
      </c>
      <c r="T16" s="3">
        <v>2000</v>
      </c>
      <c r="U16" s="33">
        <v>0</v>
      </c>
      <c r="V16" s="33">
        <v>0</v>
      </c>
      <c r="W16" s="41" t="s">
        <v>60</v>
      </c>
    </row>
    <row r="17" spans="1:23" s="13" customFormat="1" ht="21" x14ac:dyDescent="0.25">
      <c r="A17" s="44" t="s">
        <v>66</v>
      </c>
      <c r="B17" s="5">
        <f t="shared" si="1"/>
        <v>1629590</v>
      </c>
      <c r="C17" s="6">
        <v>0</v>
      </c>
      <c r="D17" s="6">
        <v>0</v>
      </c>
      <c r="E17" s="6">
        <v>7500</v>
      </c>
      <c r="F17" s="6">
        <v>0</v>
      </c>
      <c r="G17" s="3" t="s">
        <v>1</v>
      </c>
      <c r="H17" s="7">
        <v>0</v>
      </c>
      <c r="I17" s="3" t="s">
        <v>1</v>
      </c>
      <c r="J17" s="32">
        <v>217450</v>
      </c>
      <c r="K17" s="7">
        <v>1404640</v>
      </c>
      <c r="L17" s="32">
        <v>0</v>
      </c>
      <c r="M17" s="3" t="s">
        <v>1</v>
      </c>
      <c r="N17" s="32">
        <v>0</v>
      </c>
      <c r="O17" s="33">
        <v>0</v>
      </c>
      <c r="P17" s="33" t="s">
        <v>1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41" t="s">
        <v>67</v>
      </c>
    </row>
    <row r="18" spans="1:23" s="13" customFormat="1" ht="21" x14ac:dyDescent="0.25">
      <c r="A18" s="45" t="s">
        <v>61</v>
      </c>
      <c r="B18" s="5">
        <f t="shared" si="1"/>
        <v>6743471.5</v>
      </c>
      <c r="C18" s="6">
        <v>284752.5</v>
      </c>
      <c r="D18" s="6">
        <v>13450</v>
      </c>
      <c r="E18" s="6">
        <v>234837</v>
      </c>
      <c r="F18" s="6">
        <v>6750</v>
      </c>
      <c r="G18" s="3" t="s">
        <v>1</v>
      </c>
      <c r="H18" s="7">
        <v>54060</v>
      </c>
      <c r="I18" s="3" t="s">
        <v>1</v>
      </c>
      <c r="J18" s="32">
        <v>297609</v>
      </c>
      <c r="K18" s="7">
        <v>81332</v>
      </c>
      <c r="L18" s="32">
        <v>3640</v>
      </c>
      <c r="M18" s="3" t="s">
        <v>1</v>
      </c>
      <c r="N18" s="32">
        <v>94880</v>
      </c>
      <c r="O18" s="33">
        <v>600</v>
      </c>
      <c r="P18" s="33" t="s">
        <v>1</v>
      </c>
      <c r="Q18" s="33">
        <v>3753754</v>
      </c>
      <c r="R18" s="33">
        <v>1403067</v>
      </c>
      <c r="S18" s="33">
        <v>80500</v>
      </c>
      <c r="T18" s="3">
        <v>160200</v>
      </c>
      <c r="U18" s="33">
        <v>175540</v>
      </c>
      <c r="V18" s="33">
        <v>98500</v>
      </c>
      <c r="W18" s="41" t="s">
        <v>62</v>
      </c>
    </row>
    <row r="19" spans="1:23" s="13" customFormat="1" ht="21" x14ac:dyDescent="0.25">
      <c r="A19" s="43" t="s">
        <v>64</v>
      </c>
      <c r="B19" s="5">
        <f t="shared" si="1"/>
        <v>340605</v>
      </c>
      <c r="C19" s="6">
        <v>27000</v>
      </c>
      <c r="D19" s="6">
        <v>2000</v>
      </c>
      <c r="E19" s="6">
        <v>15200</v>
      </c>
      <c r="F19" s="6">
        <v>0</v>
      </c>
      <c r="G19" s="3" t="s">
        <v>1</v>
      </c>
      <c r="H19" s="7">
        <v>148850</v>
      </c>
      <c r="I19" s="3" t="s">
        <v>1</v>
      </c>
      <c r="J19" s="32">
        <v>6000</v>
      </c>
      <c r="K19" s="7">
        <v>1100</v>
      </c>
      <c r="L19" s="32">
        <v>0</v>
      </c>
      <c r="M19" s="3" t="s">
        <v>1</v>
      </c>
      <c r="N19" s="32">
        <v>0</v>
      </c>
      <c r="O19" s="32">
        <v>0</v>
      </c>
      <c r="P19" s="33" t="s">
        <v>1</v>
      </c>
      <c r="Q19" s="33">
        <v>95875</v>
      </c>
      <c r="R19" s="33">
        <v>44580</v>
      </c>
      <c r="S19" s="33">
        <v>0</v>
      </c>
      <c r="T19" s="3">
        <v>0</v>
      </c>
      <c r="U19" s="3">
        <v>0</v>
      </c>
      <c r="V19" s="3">
        <v>0</v>
      </c>
      <c r="W19" s="41" t="s">
        <v>65</v>
      </c>
    </row>
    <row r="20" spans="1:23" s="13" customFormat="1" ht="21" x14ac:dyDescent="0.25">
      <c r="A20" s="44" t="s">
        <v>68</v>
      </c>
      <c r="B20" s="5">
        <f t="shared" si="1"/>
        <v>869155</v>
      </c>
      <c r="C20" s="6">
        <v>0</v>
      </c>
      <c r="D20" s="6">
        <v>0</v>
      </c>
      <c r="E20" s="6">
        <v>292310</v>
      </c>
      <c r="F20" s="6">
        <v>0</v>
      </c>
      <c r="G20" s="3" t="s">
        <v>1</v>
      </c>
      <c r="H20" s="7">
        <v>0</v>
      </c>
      <c r="I20" s="3" t="s">
        <v>1</v>
      </c>
      <c r="J20" s="32">
        <v>103800</v>
      </c>
      <c r="K20" s="7">
        <v>36150</v>
      </c>
      <c r="L20" s="32">
        <v>0</v>
      </c>
      <c r="M20" s="3" t="s">
        <v>1</v>
      </c>
      <c r="N20" s="32">
        <v>0</v>
      </c>
      <c r="O20" s="32">
        <v>0</v>
      </c>
      <c r="P20" s="33" t="s">
        <v>1</v>
      </c>
      <c r="Q20" s="33">
        <v>11200</v>
      </c>
      <c r="R20" s="33">
        <v>112920</v>
      </c>
      <c r="S20" s="33">
        <v>5000</v>
      </c>
      <c r="T20" s="3">
        <v>11400</v>
      </c>
      <c r="U20" s="33">
        <v>291875</v>
      </c>
      <c r="V20" s="33">
        <v>4500</v>
      </c>
      <c r="W20" s="41" t="s">
        <v>47</v>
      </c>
    </row>
    <row r="21" spans="1:23" s="13" customFormat="1" ht="21" x14ac:dyDescent="0.25">
      <c r="A21" s="43" t="s">
        <v>63</v>
      </c>
      <c r="B21" s="5">
        <f t="shared" si="1"/>
        <v>303690</v>
      </c>
      <c r="C21" s="6">
        <v>0</v>
      </c>
      <c r="D21" s="6">
        <v>0</v>
      </c>
      <c r="E21" s="6">
        <v>0</v>
      </c>
      <c r="F21" s="6">
        <v>0</v>
      </c>
      <c r="G21" s="3" t="s">
        <v>1</v>
      </c>
      <c r="H21" s="7">
        <v>0</v>
      </c>
      <c r="I21" s="3" t="s">
        <v>1</v>
      </c>
      <c r="J21" s="32">
        <v>90430</v>
      </c>
      <c r="K21" s="7">
        <v>196660</v>
      </c>
      <c r="L21" s="32">
        <v>0</v>
      </c>
      <c r="M21" s="3" t="s">
        <v>1</v>
      </c>
      <c r="N21" s="32">
        <v>0</v>
      </c>
      <c r="O21" s="32">
        <v>0</v>
      </c>
      <c r="P21" s="33" t="s">
        <v>1</v>
      </c>
      <c r="Q21" s="33">
        <v>0</v>
      </c>
      <c r="R21" s="33">
        <v>16600</v>
      </c>
      <c r="S21" s="33">
        <v>0</v>
      </c>
      <c r="T21" s="3">
        <v>0</v>
      </c>
      <c r="U21" s="3">
        <v>0</v>
      </c>
      <c r="V21" s="3">
        <v>0</v>
      </c>
      <c r="W21" s="41" t="s">
        <v>79</v>
      </c>
    </row>
    <row r="22" spans="1:23" s="13" customFormat="1" ht="21" x14ac:dyDescent="0.25">
      <c r="A22" s="43" t="s">
        <v>69</v>
      </c>
      <c r="B22" s="5">
        <f t="shared" si="1"/>
        <v>655500</v>
      </c>
      <c r="C22" s="6">
        <v>0</v>
      </c>
      <c r="D22" s="6">
        <v>0</v>
      </c>
      <c r="E22" s="6">
        <v>600</v>
      </c>
      <c r="F22" s="6">
        <v>0</v>
      </c>
      <c r="G22" s="3" t="s">
        <v>1</v>
      </c>
      <c r="H22" s="7">
        <v>0</v>
      </c>
      <c r="I22" s="3" t="s">
        <v>1</v>
      </c>
      <c r="J22" s="32">
        <v>252070</v>
      </c>
      <c r="K22" s="7">
        <v>402830</v>
      </c>
      <c r="L22" s="32">
        <v>0</v>
      </c>
      <c r="M22" s="3" t="s">
        <v>1</v>
      </c>
      <c r="N22" s="32">
        <v>0</v>
      </c>
      <c r="O22" s="32">
        <v>0</v>
      </c>
      <c r="P22" s="33" t="s">
        <v>1</v>
      </c>
      <c r="Q22" s="33">
        <v>0</v>
      </c>
      <c r="R22" s="33" t="s">
        <v>1</v>
      </c>
      <c r="S22" s="33">
        <v>0</v>
      </c>
      <c r="T22" s="3">
        <v>0</v>
      </c>
      <c r="U22" s="3">
        <v>0</v>
      </c>
      <c r="V22" s="3">
        <v>0</v>
      </c>
      <c r="W22" s="41" t="s">
        <v>70</v>
      </c>
    </row>
    <row r="23" spans="1:23" s="8" customFormat="1" ht="12.75" customHeight="1" x14ac:dyDescent="0.25">
      <c r="A23" s="21" t="s">
        <v>71</v>
      </c>
      <c r="B23" s="30">
        <f>SUM(C23:V23)</f>
        <v>7978076.5</v>
      </c>
      <c r="C23" s="36">
        <v>29585</v>
      </c>
      <c r="D23" s="36">
        <v>6000</v>
      </c>
      <c r="E23" s="36">
        <v>1567552.5</v>
      </c>
      <c r="F23" s="36">
        <v>74470</v>
      </c>
      <c r="G23" s="27" t="s">
        <v>1</v>
      </c>
      <c r="H23" s="37">
        <v>33135</v>
      </c>
      <c r="I23" s="27" t="s">
        <v>1</v>
      </c>
      <c r="J23" s="38">
        <v>1818055</v>
      </c>
      <c r="K23" s="37">
        <v>4094200</v>
      </c>
      <c r="L23" s="38">
        <v>17320</v>
      </c>
      <c r="M23" s="27" t="s">
        <v>1</v>
      </c>
      <c r="N23" s="38">
        <v>5400</v>
      </c>
      <c r="O23" s="39">
        <v>4600</v>
      </c>
      <c r="P23" s="39" t="s">
        <v>1</v>
      </c>
      <c r="Q23" s="39">
        <v>96305</v>
      </c>
      <c r="R23" s="39">
        <v>116394</v>
      </c>
      <c r="S23" s="39">
        <v>0</v>
      </c>
      <c r="T23" s="27">
        <v>0</v>
      </c>
      <c r="U23" s="39">
        <v>115060</v>
      </c>
      <c r="V23" s="39">
        <v>0</v>
      </c>
      <c r="W23" s="42" t="s">
        <v>41</v>
      </c>
    </row>
    <row r="24" spans="1:23" s="8" customFormat="1" ht="19.5" customHeight="1" x14ac:dyDescent="0.15">
      <c r="A24" s="4" t="s">
        <v>72</v>
      </c>
      <c r="B24" s="22"/>
      <c r="C24" s="22"/>
      <c r="D24" s="22"/>
      <c r="E24" s="23"/>
      <c r="F24" s="23"/>
      <c r="G24" s="23"/>
      <c r="H24" s="23"/>
      <c r="I24" s="14"/>
      <c r="J24" s="14"/>
      <c r="K24" s="14"/>
      <c r="L24" s="14"/>
      <c r="M24" s="14"/>
      <c r="N24" s="24"/>
      <c r="O24" s="13"/>
      <c r="P24" s="13"/>
      <c r="Q24" s="13"/>
      <c r="R24" s="13"/>
      <c r="S24" s="13"/>
      <c r="T24" s="13"/>
      <c r="U24" s="13"/>
      <c r="V24" s="13"/>
      <c r="W24" s="46" t="s">
        <v>83</v>
      </c>
    </row>
    <row r="25" spans="1:23" s="8" customFormat="1" ht="12.75" customHeight="1" x14ac:dyDescent="0.15">
      <c r="A25" s="28"/>
      <c r="B25" s="31"/>
      <c r="C25" s="22"/>
      <c r="D25" s="22"/>
      <c r="E25" s="23"/>
      <c r="F25" s="23"/>
      <c r="G25" s="23"/>
      <c r="H25" s="23"/>
      <c r="I25" s="14"/>
      <c r="J25" s="14"/>
      <c r="K25" s="14"/>
      <c r="L25" s="14"/>
      <c r="M25" s="14"/>
      <c r="N25" s="24"/>
      <c r="O25" s="13"/>
      <c r="P25" s="13"/>
      <c r="Q25" s="13"/>
      <c r="R25" s="13"/>
      <c r="S25" s="13"/>
      <c r="T25" s="13"/>
      <c r="U25" s="13"/>
      <c r="V25" s="13"/>
      <c r="W25" s="29" t="s">
        <v>73</v>
      </c>
    </row>
    <row r="26" spans="1:23" s="8" customFormat="1" ht="12.75" customHeight="1" x14ac:dyDescent="0.15">
      <c r="A26" s="28"/>
      <c r="B26" s="31"/>
      <c r="C26" s="22"/>
      <c r="D26" s="22"/>
      <c r="E26" s="23"/>
      <c r="F26" s="23"/>
      <c r="G26" s="23"/>
      <c r="H26" s="23"/>
      <c r="I26" s="14"/>
      <c r="J26" s="14"/>
      <c r="K26" s="14"/>
      <c r="L26" s="14"/>
      <c r="M26" s="14"/>
      <c r="N26" s="24"/>
      <c r="O26" s="13"/>
      <c r="P26" s="13"/>
      <c r="Q26" s="13"/>
      <c r="R26" s="13"/>
      <c r="S26" s="13"/>
      <c r="T26" s="13"/>
      <c r="U26" s="13"/>
      <c r="V26" s="13"/>
    </row>
    <row r="27" spans="1:23" s="8" customFormat="1" ht="12.75" customHeight="1" x14ac:dyDescent="0.15">
      <c r="A27" s="28"/>
      <c r="B27" s="31"/>
      <c r="C27" s="22"/>
      <c r="D27" s="22"/>
      <c r="E27" s="23"/>
      <c r="F27" s="23"/>
      <c r="G27" s="23"/>
      <c r="H27" s="23"/>
      <c r="I27" s="14"/>
      <c r="J27" s="14"/>
      <c r="K27" s="14"/>
      <c r="L27" s="14"/>
      <c r="M27" s="14"/>
      <c r="N27" s="24"/>
      <c r="O27" s="13"/>
      <c r="P27" s="13"/>
      <c r="Q27" s="13"/>
      <c r="R27" s="13"/>
      <c r="S27" s="13"/>
      <c r="T27" s="13"/>
      <c r="U27" s="13"/>
      <c r="V27" s="13"/>
      <c r="W27" s="29"/>
    </row>
  </sheetData>
  <mergeCells count="7">
    <mergeCell ref="A1:W1"/>
    <mergeCell ref="A2:W2"/>
    <mergeCell ref="A3:W3"/>
    <mergeCell ref="B4:B6"/>
    <mergeCell ref="C4:G4"/>
    <mergeCell ref="P4:V4"/>
    <mergeCell ref="W4:W6"/>
  </mergeCells>
  <pageMargins left="0.7" right="0.7" top="0.75" bottom="0.75" header="0.3" footer="0.3"/>
  <pageSetup paperSize="9" scale="5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9.20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2019-04-28T05:53:45Z</cp:lastPrinted>
  <dcterms:created xsi:type="dcterms:W3CDTF">2014-03-04T03:52:57Z</dcterms:created>
  <dcterms:modified xsi:type="dcterms:W3CDTF">2019-04-28T05:53:51Z</dcterms:modified>
</cp:coreProperties>
</file>