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ileserver\ST4\Dissemination\Publications\Statistical Year Book\YEARBOOK 2018\FINAL\web\9. FISHERIES AND AGRICULTURE\"/>
    </mc:Choice>
  </mc:AlternateContent>
  <bookViews>
    <workbookView xWindow="0" yWindow="0" windowWidth="28800" windowHeight="12330" tabRatio="736"/>
  </bookViews>
  <sheets>
    <sheet name="9.2" sheetId="7" r:id="rId1"/>
  </sheets>
  <definedNames>
    <definedName name="_xlnm.Print_Area" localSheetId="0">'9.2'!$A$1:$L$34</definedName>
  </definedNames>
  <calcPr calcId="162913"/>
</workbook>
</file>

<file path=xl/calcChain.xml><?xml version="1.0" encoding="utf-8"?>
<calcChain xmlns="http://schemas.openxmlformats.org/spreadsheetml/2006/main">
  <c r="I11" i="7" l="1"/>
  <c r="J31" i="7" l="1"/>
  <c r="J11" i="7"/>
  <c r="I31" i="7"/>
  <c r="J30" i="7"/>
  <c r="I30" i="7"/>
  <c r="J29" i="7"/>
  <c r="I29" i="7"/>
  <c r="J28" i="7"/>
  <c r="I28" i="7"/>
  <c r="J27" i="7"/>
  <c r="I27" i="7"/>
  <c r="J26" i="7"/>
  <c r="I26" i="7"/>
  <c r="J25" i="7"/>
  <c r="I25" i="7"/>
  <c r="J24" i="7"/>
  <c r="I24" i="7"/>
  <c r="J23" i="7"/>
  <c r="I23" i="7"/>
  <c r="J22" i="7"/>
  <c r="I22" i="7"/>
  <c r="J21" i="7"/>
  <c r="I21" i="7"/>
  <c r="J20" i="7"/>
  <c r="I20" i="7"/>
  <c r="J19" i="7"/>
  <c r="I19" i="7"/>
  <c r="J18" i="7"/>
  <c r="I18" i="7"/>
  <c r="J17" i="7"/>
  <c r="I17" i="7"/>
  <c r="J16" i="7"/>
  <c r="I16" i="7"/>
  <c r="J15" i="7"/>
  <c r="I15" i="7"/>
  <c r="J14" i="7"/>
  <c r="I14" i="7"/>
  <c r="J13" i="7"/>
  <c r="I13" i="7"/>
  <c r="J12" i="7"/>
  <c r="I12" i="7"/>
  <c r="D10" i="7"/>
  <c r="D8" i="7" s="1"/>
  <c r="C10" i="7"/>
  <c r="C8" i="7" s="1"/>
  <c r="F27" i="7" s="1"/>
  <c r="B10" i="7"/>
  <c r="J9" i="7"/>
  <c r="I9" i="7"/>
  <c r="J10" i="7" l="1"/>
  <c r="I10" i="7"/>
  <c r="G24" i="7"/>
  <c r="G14" i="7"/>
  <c r="G19" i="7"/>
  <c r="G12" i="7"/>
  <c r="G11" i="7"/>
  <c r="G8" i="7"/>
  <c r="G27" i="7"/>
  <c r="G9" i="7"/>
  <c r="G28" i="7"/>
  <c r="F17" i="7"/>
  <c r="F14" i="7"/>
  <c r="F12" i="7"/>
  <c r="F30" i="7"/>
  <c r="G10" i="7"/>
  <c r="F16" i="7"/>
  <c r="B8" i="7"/>
  <c r="I8" i="7" s="1"/>
  <c r="F9" i="7"/>
  <c r="F22" i="7"/>
  <c r="F10" i="7"/>
  <c r="F13" i="7"/>
  <c r="J8" i="7"/>
  <c r="G22" i="7"/>
  <c r="F25" i="7"/>
  <c r="G30" i="7"/>
  <c r="G17" i="7"/>
  <c r="F20" i="7"/>
  <c r="G25" i="7"/>
  <c r="F28" i="7"/>
  <c r="F15" i="7"/>
  <c r="G20" i="7"/>
  <c r="F23" i="7"/>
  <c r="F31" i="7"/>
  <c r="G15" i="7"/>
  <c r="F18" i="7"/>
  <c r="G23" i="7"/>
  <c r="F26" i="7"/>
  <c r="G31" i="7"/>
  <c r="F8" i="7"/>
  <c r="G18" i="7"/>
  <c r="F21" i="7"/>
  <c r="G26" i="7"/>
  <c r="F29" i="7"/>
  <c r="G13" i="7"/>
  <c r="G21" i="7"/>
  <c r="F24" i="7"/>
  <c r="G29" i="7"/>
  <c r="F11" i="7"/>
  <c r="G16" i="7"/>
  <c r="F19" i="7"/>
  <c r="E12" i="7" l="1"/>
  <c r="E26" i="7"/>
  <c r="E9" i="7"/>
  <c r="E24" i="7"/>
  <c r="E29" i="7"/>
  <c r="E23" i="7"/>
  <c r="E27" i="7"/>
  <c r="E21" i="7"/>
  <c r="E18" i="7"/>
  <c r="E28" i="7"/>
  <c r="E22" i="7"/>
  <c r="E16" i="7"/>
  <c r="E31" i="7"/>
  <c r="E10" i="7"/>
  <c r="E19" i="7"/>
  <c r="E13" i="7"/>
  <c r="E30" i="7"/>
  <c r="E14" i="7"/>
  <c r="E11" i="7"/>
  <c r="E20" i="7"/>
  <c r="E25" i="7"/>
  <c r="E8" i="7"/>
  <c r="E17" i="7"/>
  <c r="E15" i="7"/>
</calcChain>
</file>

<file path=xl/sharedStrings.xml><?xml version="1.0" encoding="utf-8"?>
<sst xmlns="http://schemas.openxmlformats.org/spreadsheetml/2006/main" count="63" uniqueCount="62">
  <si>
    <t>ah</t>
  </si>
  <si>
    <t>dh</t>
  </si>
  <si>
    <t>S</t>
  </si>
  <si>
    <t>n</t>
  </si>
  <si>
    <t>r</t>
  </si>
  <si>
    <t>b</t>
  </si>
  <si>
    <t>L</t>
  </si>
  <si>
    <t>k</t>
  </si>
  <si>
    <t xml:space="preserve"> aa</t>
  </si>
  <si>
    <t>da</t>
  </si>
  <si>
    <t>v</t>
  </si>
  <si>
    <t>m</t>
  </si>
  <si>
    <t>f</t>
  </si>
  <si>
    <t>d</t>
  </si>
  <si>
    <t>t</t>
  </si>
  <si>
    <t>l</t>
  </si>
  <si>
    <t>ag</t>
  </si>
  <si>
    <t>dg</t>
  </si>
  <si>
    <t>N</t>
  </si>
  <si>
    <t>s</t>
  </si>
  <si>
    <t xml:space="preserve"> HA</t>
  </si>
  <si>
    <t xml:space="preserve"> HDh</t>
  </si>
  <si>
    <t xml:space="preserve"> Sh</t>
  </si>
  <si>
    <t xml:space="preserve"> N</t>
  </si>
  <si>
    <t xml:space="preserve"> R</t>
  </si>
  <si>
    <t>B</t>
  </si>
  <si>
    <t>Lh</t>
  </si>
  <si>
    <t>K</t>
  </si>
  <si>
    <t>ADh</t>
  </si>
  <si>
    <t>V</t>
  </si>
  <si>
    <t>M</t>
  </si>
  <si>
    <t>F</t>
  </si>
  <si>
    <t>Dh</t>
  </si>
  <si>
    <t>Th</t>
  </si>
  <si>
    <t xml:space="preserve"> L</t>
  </si>
  <si>
    <t>GA</t>
  </si>
  <si>
    <t>GDh</t>
  </si>
  <si>
    <t>Gn</t>
  </si>
  <si>
    <t>Source: Ministry of Fisheries  and Agriculture</t>
  </si>
  <si>
    <t>(cnuhWh cnwT ckircTem )</t>
  </si>
  <si>
    <t>(In '000 metric tons)</t>
  </si>
  <si>
    <t>cniawtcaws ctogWviawfiheb</t>
  </si>
  <si>
    <t>Percentage share</t>
  </si>
  <si>
    <t xml:space="preserve"> rwCclwkircgea cDcnea  czIrwxif cfoa IrcTcsinim :ctWrwf ivcaedutWmUluAwm</t>
  </si>
  <si>
    <t xml:space="preserve"> Locality</t>
  </si>
  <si>
    <t>udwdwA ununEb cswm</t>
  </si>
  <si>
    <t>cnwt</t>
  </si>
  <si>
    <t>Fish catch</t>
  </si>
  <si>
    <t>Republic</t>
  </si>
  <si>
    <t>ejcaWriLum</t>
  </si>
  <si>
    <t>Male'</t>
  </si>
  <si>
    <t>elWm</t>
  </si>
  <si>
    <t>Atolls</t>
  </si>
  <si>
    <t>cawtuLotwa</t>
  </si>
  <si>
    <t>AA</t>
  </si>
  <si>
    <r>
      <t>Note:</t>
    </r>
    <r>
      <rPr>
        <b/>
        <i/>
        <vertAlign val="superscript"/>
        <sz val="9"/>
        <rFont val="Calibri"/>
        <family val="2"/>
      </rPr>
      <t xml:space="preserve"> </t>
    </r>
    <r>
      <rPr>
        <i/>
        <sz val="9"/>
        <rFont val="Calibri"/>
        <family val="2"/>
      </rPr>
      <t>Fish catch data for 2010 shows a substantial upward revision from 94.3 to 116.7 thousand metric tons, based on the fish collection data by vessel, newly available at the MOFA. Some vessesls had not reported catch data while reporting collection. Hence this ajustment could not be  brought to previous years catch data to make it consistent.</t>
    </r>
  </si>
  <si>
    <r>
      <t>2017 - 2015 ,urwvcnim eguhwm inEb wtwvun ifih cnutogegunwt</t>
    </r>
    <r>
      <rPr>
        <b/>
        <sz val="10"/>
        <rFont val="A_Waheed"/>
      </rPr>
      <t xml:space="preserve"> : </t>
    </r>
    <r>
      <rPr>
        <b/>
        <sz val="12"/>
        <rFont val="A_Waheed"/>
      </rPr>
      <t>9.2 ulwvWt</t>
    </r>
  </si>
  <si>
    <t>Table 9.2 :  FISH CATCH BY LOCALITY, 2015 -  2017</t>
  </si>
  <si>
    <t xml:space="preserve">% change over  previous year </t>
  </si>
  <si>
    <t>(cnia % ) urwvcnim ivurutia eruvcSwrwhwa wyidim</t>
  </si>
  <si>
    <t>Longline</t>
  </si>
  <si>
    <t>cnwkirev cswmunEl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</si>
</sst>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409]mmmm\ d\,\ yyyy;@"/>
    <numFmt numFmtId="165" formatCode="General_)"/>
    <numFmt numFmtId="166" formatCode="#,##0.0"/>
    <numFmt numFmtId="167" formatCode="_(* #,##0.0_);_(* \(#,##0.0\);_(* &quot;-&quot;??_);_(@_)"/>
  </numFmts>
  <fonts count="23" x14ac:knownFonts="1">
    <font>
      <sz val="11"/>
      <color theme="1"/>
      <name val="Calibri"/>
      <family val="2"/>
      <scheme val="minor"/>
    </font>
    <font>
      <sz val="11"/>
      <color theme="1"/>
      <name val="Calibri"/>
      <family val="2"/>
      <scheme val="minor"/>
    </font>
    <font>
      <sz val="10"/>
      <name val="Courier"/>
      <family val="3"/>
    </font>
    <font>
      <b/>
      <sz val="10"/>
      <name val="Arial"/>
      <family val="2"/>
    </font>
    <font>
      <sz val="10"/>
      <name val="Arial"/>
      <family val="2"/>
    </font>
    <font>
      <sz val="10"/>
      <name val="MS Sans Serif"/>
      <family val="2"/>
    </font>
    <font>
      <sz val="10"/>
      <name val="Calibri"/>
      <family val="2"/>
    </font>
    <font>
      <b/>
      <sz val="9"/>
      <name val="A_Randhoo"/>
    </font>
    <font>
      <b/>
      <sz val="9"/>
      <name val="Calibri"/>
      <family val="2"/>
    </font>
    <font>
      <sz val="9"/>
      <name val="Courier"/>
      <family val="3"/>
    </font>
    <font>
      <i/>
      <sz val="9"/>
      <name val="Calibri"/>
      <family val="2"/>
    </font>
    <font>
      <i/>
      <sz val="9"/>
      <name val="Calibri"/>
      <family val="2"/>
      <scheme val="minor"/>
    </font>
    <font>
      <b/>
      <sz val="10"/>
      <name val="Calibri"/>
      <family val="2"/>
    </font>
    <font>
      <sz val="9"/>
      <name val="Arial"/>
      <family val="2"/>
    </font>
    <font>
      <b/>
      <sz val="9"/>
      <name val="Arial"/>
      <family val="2"/>
    </font>
    <font>
      <sz val="9"/>
      <name val="Calibri"/>
      <family val="2"/>
    </font>
    <font>
      <i/>
      <sz val="9"/>
      <name val="Arial"/>
      <family val="2"/>
    </font>
    <font>
      <b/>
      <i/>
      <vertAlign val="superscript"/>
      <sz val="9"/>
      <name val="Calibri"/>
      <family val="2"/>
    </font>
    <font>
      <b/>
      <sz val="12"/>
      <name val="A_Waheed"/>
    </font>
    <font>
      <b/>
      <sz val="10"/>
      <name val="A_Waheed"/>
    </font>
    <font>
      <sz val="10"/>
      <name val="A_Waheed"/>
    </font>
    <font>
      <b/>
      <sz val="9"/>
      <name val="A_Waheed"/>
    </font>
    <font>
      <sz val="9"/>
      <name val="A_Waheed"/>
    </font>
  </fonts>
  <fills count="3">
    <fill>
      <patternFill patternType="none"/>
    </fill>
    <fill>
      <patternFill patternType="gray125"/>
    </fill>
    <fill>
      <patternFill patternType="solid">
        <fgColor theme="0"/>
        <bgColor indexed="64"/>
      </patternFill>
    </fill>
  </fills>
  <borders count="10">
    <border>
      <left/>
      <right/>
      <top/>
      <bottom/>
      <diagonal/>
    </border>
    <border>
      <left/>
      <right/>
      <top style="thin">
        <color indexed="64"/>
      </top>
      <bottom/>
      <diagonal/>
    </border>
    <border>
      <left/>
      <right/>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right style="hair">
        <color indexed="64"/>
      </right>
      <top/>
      <bottom/>
      <diagonal/>
    </border>
    <border>
      <left style="hair">
        <color indexed="64"/>
      </left>
      <right/>
      <top style="thin">
        <color indexed="64"/>
      </top>
      <bottom/>
      <diagonal/>
    </border>
    <border>
      <left/>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s>
  <cellStyleXfs count="8">
    <xf numFmtId="0" fontId="0" fillId="0" borderId="0"/>
    <xf numFmtId="43" fontId="1" fillId="0" borderId="0" applyFont="0" applyFill="0" applyBorder="0" applyAlignment="0" applyProtection="0"/>
    <xf numFmtId="40" fontId="5" fillId="0" borderId="0" applyFont="0" applyFill="0" applyBorder="0" applyAlignment="0" applyProtection="0"/>
    <xf numFmtId="164" fontId="2" fillId="0" borderId="0"/>
    <xf numFmtId="165" fontId="2" fillId="0" borderId="0"/>
    <xf numFmtId="0" fontId="2" fillId="0" borderId="0"/>
    <xf numFmtId="0" fontId="4" fillId="0" borderId="0"/>
    <xf numFmtId="0" fontId="4" fillId="0" borderId="0"/>
  </cellStyleXfs>
  <cellXfs count="73">
    <xf numFmtId="0" fontId="0" fillId="0" borderId="0" xfId="0"/>
    <xf numFmtId="165" fontId="10" fillId="2" borderId="0" xfId="4" applyFont="1" applyFill="1" applyAlignment="1" applyProtection="1">
      <alignment horizontal="left" vertical="center"/>
    </xf>
    <xf numFmtId="165" fontId="2" fillId="2" borderId="0" xfId="4" applyFont="1" applyFill="1" applyAlignment="1">
      <alignment vertical="center"/>
    </xf>
    <xf numFmtId="165" fontId="13" fillId="2" borderId="0" xfId="4" applyFont="1" applyFill="1" applyAlignment="1">
      <alignment vertical="center"/>
    </xf>
    <xf numFmtId="165" fontId="9" fillId="2" borderId="0" xfId="4" applyFont="1" applyFill="1" applyAlignment="1">
      <alignment vertical="center"/>
    </xf>
    <xf numFmtId="165" fontId="16" fillId="2" borderId="0" xfId="4" applyFont="1" applyFill="1" applyAlignment="1" applyProtection="1">
      <alignment horizontal="left" vertical="center"/>
    </xf>
    <xf numFmtId="165" fontId="13" fillId="2" borderId="0" xfId="4" applyFont="1" applyFill="1" applyAlignment="1">
      <alignment horizontal="left" vertical="center"/>
    </xf>
    <xf numFmtId="165" fontId="11" fillId="2" borderId="0" xfId="4" applyFont="1" applyFill="1" applyBorder="1" applyAlignment="1">
      <alignment horizontal="left" vertical="top"/>
    </xf>
    <xf numFmtId="165" fontId="13" fillId="2" borderId="0" xfId="4" applyFont="1" applyFill="1" applyBorder="1" applyAlignment="1">
      <alignment vertical="center"/>
    </xf>
    <xf numFmtId="165" fontId="3" fillId="2" borderId="0" xfId="4" applyFont="1" applyFill="1" applyAlignment="1">
      <alignment vertical="center"/>
    </xf>
    <xf numFmtId="165" fontId="14" fillId="2" borderId="0" xfId="4" applyFont="1" applyFill="1" applyAlignment="1">
      <alignment vertical="center"/>
    </xf>
    <xf numFmtId="165" fontId="13" fillId="2" borderId="0" xfId="4" applyFont="1" applyFill="1" applyBorder="1" applyAlignment="1">
      <alignment horizontal="centerContinuous" vertical="center"/>
    </xf>
    <xf numFmtId="165" fontId="8" fillId="2" borderId="2" xfId="4" applyFont="1" applyFill="1" applyBorder="1" applyAlignment="1" applyProtection="1">
      <alignment horizontal="centerContinuous" vertical="center"/>
    </xf>
    <xf numFmtId="165" fontId="14" fillId="2" borderId="2" xfId="4" applyFont="1" applyFill="1" applyBorder="1" applyAlignment="1">
      <alignment horizontal="centerContinuous" vertical="center"/>
    </xf>
    <xf numFmtId="165" fontId="15" fillId="2" borderId="0" xfId="4" applyFont="1" applyFill="1" applyAlignment="1">
      <alignment vertical="center"/>
    </xf>
    <xf numFmtId="165" fontId="8" fillId="2" borderId="0" xfId="4" applyFont="1" applyFill="1" applyAlignment="1">
      <alignment vertical="center"/>
    </xf>
    <xf numFmtId="165" fontId="12" fillId="2" borderId="0" xfId="4" applyFont="1" applyFill="1" applyAlignment="1" applyProtection="1">
      <alignment horizontal="left" vertical="center"/>
    </xf>
    <xf numFmtId="166" fontId="12" fillId="2" borderId="0" xfId="4" applyNumberFormat="1" applyFont="1" applyFill="1" applyBorder="1" applyAlignment="1" applyProtection="1">
      <alignment horizontal="right"/>
    </xf>
    <xf numFmtId="166" fontId="12" fillId="2" borderId="0" xfId="4" applyNumberFormat="1" applyFont="1" applyFill="1" applyBorder="1" applyAlignment="1">
      <alignment horizontal="right" vertical="center"/>
    </xf>
    <xf numFmtId="166" fontId="3" fillId="2" borderId="0" xfId="4" applyNumberFormat="1" applyFont="1" applyFill="1" applyBorder="1" applyAlignment="1">
      <alignment horizontal="right" vertical="center"/>
    </xf>
    <xf numFmtId="166" fontId="6" fillId="2" borderId="0" xfId="4" applyNumberFormat="1" applyFont="1" applyFill="1" applyBorder="1" applyAlignment="1" applyProtection="1">
      <alignment horizontal="right"/>
    </xf>
    <xf numFmtId="166" fontId="6" fillId="2" borderId="0" xfId="4" applyNumberFormat="1" applyFont="1" applyFill="1" applyBorder="1" applyAlignment="1">
      <alignment horizontal="right" vertical="center"/>
    </xf>
    <xf numFmtId="166" fontId="4" fillId="2" borderId="0" xfId="4" applyNumberFormat="1" applyFont="1" applyFill="1" applyBorder="1" applyAlignment="1">
      <alignment horizontal="right" vertical="center"/>
    </xf>
    <xf numFmtId="166" fontId="6" fillId="2" borderId="2" xfId="4" applyNumberFormat="1" applyFont="1" applyFill="1" applyBorder="1" applyAlignment="1">
      <alignment horizontal="right" vertical="center"/>
    </xf>
    <xf numFmtId="166" fontId="6" fillId="2" borderId="2" xfId="4" applyNumberFormat="1" applyFont="1" applyFill="1" applyBorder="1" applyAlignment="1" applyProtection="1">
      <alignment horizontal="right"/>
    </xf>
    <xf numFmtId="166" fontId="4" fillId="2" borderId="2" xfId="4" applyNumberFormat="1" applyFont="1" applyFill="1" applyBorder="1" applyAlignment="1">
      <alignment horizontal="right" vertical="center"/>
    </xf>
    <xf numFmtId="165" fontId="16" fillId="2" borderId="0" xfId="4" applyFont="1" applyFill="1" applyBorder="1" applyAlignment="1" applyProtection="1">
      <alignment horizontal="left" vertical="center"/>
    </xf>
    <xf numFmtId="165" fontId="13" fillId="2" borderId="0" xfId="4" applyFont="1" applyFill="1" applyBorder="1" applyAlignment="1">
      <alignment horizontal="left" vertical="center"/>
    </xf>
    <xf numFmtId="166" fontId="12" fillId="2" borderId="0" xfId="4" applyNumberFormat="1" applyFont="1" applyFill="1" applyBorder="1" applyAlignment="1">
      <alignment horizontal="left" vertical="center"/>
    </xf>
    <xf numFmtId="165" fontId="4" fillId="2" borderId="0" xfId="4" applyFont="1" applyFill="1" applyAlignment="1">
      <alignment vertical="center"/>
    </xf>
    <xf numFmtId="165" fontId="4" fillId="2" borderId="0" xfId="4" applyFont="1" applyFill="1" applyBorder="1" applyAlignment="1">
      <alignment vertical="center"/>
    </xf>
    <xf numFmtId="165" fontId="3" fillId="2" borderId="0" xfId="4" applyFont="1" applyFill="1" applyAlignment="1">
      <alignment horizontal="right" vertical="center"/>
    </xf>
    <xf numFmtId="1" fontId="12" fillId="2" borderId="2" xfId="4" applyNumberFormat="1" applyFont="1" applyFill="1" applyBorder="1" applyAlignment="1" applyProtection="1">
      <alignment horizontal="right" vertical="center"/>
    </xf>
    <xf numFmtId="165" fontId="3" fillId="2" borderId="2" xfId="4" applyFont="1" applyFill="1" applyBorder="1" applyAlignment="1">
      <alignment horizontal="right" vertical="center" wrapText="1"/>
    </xf>
    <xf numFmtId="165" fontId="2" fillId="2" borderId="0" xfId="4" applyFont="1" applyFill="1" applyAlignment="1">
      <alignment horizontal="right" vertical="center"/>
    </xf>
    <xf numFmtId="165" fontId="7" fillId="2" borderId="1" xfId="4" applyFont="1" applyFill="1" applyBorder="1" applyAlignment="1">
      <alignment horizontal="center" vertical="center"/>
    </xf>
    <xf numFmtId="165" fontId="6" fillId="2" borderId="0" xfId="0" applyNumberFormat="1" applyFont="1" applyFill="1" applyAlignment="1" applyProtection="1">
      <alignment horizontal="left" vertical="center" indent="1"/>
    </xf>
    <xf numFmtId="165" fontId="6" fillId="2" borderId="2" xfId="0" applyNumberFormat="1" applyFont="1" applyFill="1" applyBorder="1" applyAlignment="1" applyProtection="1">
      <alignment horizontal="left" vertical="center" indent="1"/>
    </xf>
    <xf numFmtId="165" fontId="22" fillId="2" borderId="0" xfId="4" applyFont="1" applyFill="1" applyBorder="1" applyAlignment="1">
      <alignment horizontal="right" vertical="center"/>
    </xf>
    <xf numFmtId="165" fontId="21" fillId="2" borderId="0" xfId="4" applyFont="1" applyFill="1" applyBorder="1" applyAlignment="1">
      <alignment horizontal="center" vertical="center"/>
    </xf>
    <xf numFmtId="165" fontId="19" fillId="2" borderId="0" xfId="4" applyFont="1" applyFill="1" applyAlignment="1">
      <alignment horizontal="right" vertical="center" indent="1"/>
    </xf>
    <xf numFmtId="165" fontId="21" fillId="2" borderId="0" xfId="4" applyFont="1" applyFill="1" applyBorder="1" applyAlignment="1">
      <alignment horizontal="centerContinuous" vertical="center" wrapText="1"/>
    </xf>
    <xf numFmtId="165" fontId="20" fillId="2" borderId="0" xfId="0" applyNumberFormat="1" applyFont="1" applyFill="1" applyAlignment="1">
      <alignment horizontal="right" vertical="center" indent="3"/>
    </xf>
    <xf numFmtId="165" fontId="20" fillId="2" borderId="2" xfId="0" applyNumberFormat="1" applyFont="1" applyFill="1" applyBorder="1" applyAlignment="1">
      <alignment horizontal="right" vertical="center" indent="3"/>
    </xf>
    <xf numFmtId="165" fontId="12" fillId="2" borderId="0" xfId="4" applyFont="1" applyFill="1" applyBorder="1" applyAlignment="1">
      <alignment horizontal="center" vertical="center" wrapText="1"/>
    </xf>
    <xf numFmtId="165" fontId="8" fillId="2" borderId="0" xfId="4" applyFont="1" applyFill="1" applyBorder="1" applyAlignment="1">
      <alignment horizontal="center" vertical="center" wrapText="1"/>
    </xf>
    <xf numFmtId="166" fontId="12" fillId="2" borderId="5" xfId="4" applyNumberFormat="1" applyFont="1" applyFill="1" applyBorder="1" applyAlignment="1" applyProtection="1">
      <alignment horizontal="right"/>
    </xf>
    <xf numFmtId="166" fontId="12" fillId="2" borderId="5" xfId="4" applyNumberFormat="1" applyFont="1" applyFill="1" applyBorder="1" applyAlignment="1">
      <alignment horizontal="right" vertical="center"/>
    </xf>
    <xf numFmtId="167" fontId="9" fillId="2" borderId="0" xfId="1" applyNumberFormat="1" applyFont="1" applyFill="1" applyAlignment="1">
      <alignment vertical="center"/>
    </xf>
    <xf numFmtId="167" fontId="13" fillId="2" borderId="0" xfId="1" applyNumberFormat="1" applyFont="1" applyFill="1" applyAlignment="1">
      <alignment vertical="center"/>
    </xf>
    <xf numFmtId="167" fontId="16" fillId="2" borderId="0" xfId="1" applyNumberFormat="1" applyFont="1" applyFill="1" applyAlignment="1" applyProtection="1">
      <alignment horizontal="left" vertical="center"/>
    </xf>
    <xf numFmtId="166" fontId="6" fillId="2" borderId="5" xfId="4" applyNumberFormat="1" applyFont="1" applyFill="1" applyBorder="1" applyAlignment="1" applyProtection="1">
      <alignment horizontal="right"/>
    </xf>
    <xf numFmtId="166" fontId="6" fillId="2" borderId="4" xfId="4" applyNumberFormat="1" applyFont="1" applyFill="1" applyBorder="1" applyAlignment="1" applyProtection="1">
      <alignment horizontal="right"/>
    </xf>
    <xf numFmtId="165" fontId="10" fillId="2" borderId="0" xfId="4" applyFont="1" applyFill="1" applyAlignment="1" applyProtection="1">
      <alignment horizontal="left" vertical="center" wrapText="1"/>
    </xf>
    <xf numFmtId="165" fontId="12" fillId="2" borderId="8" xfId="4" applyFont="1" applyFill="1" applyBorder="1" applyAlignment="1">
      <alignment horizontal="center" vertical="center"/>
    </xf>
    <xf numFmtId="165" fontId="12" fillId="2" borderId="7" xfId="4" applyFont="1" applyFill="1" applyBorder="1" applyAlignment="1">
      <alignment horizontal="center" vertical="center"/>
    </xf>
    <xf numFmtId="165" fontId="21" fillId="2" borderId="6" xfId="4" applyFont="1" applyFill="1" applyBorder="1" applyAlignment="1">
      <alignment horizontal="center" vertical="center"/>
    </xf>
    <xf numFmtId="165" fontId="21" fillId="2" borderId="1" xfId="4" applyFont="1" applyFill="1" applyBorder="1" applyAlignment="1">
      <alignment horizontal="center" vertical="center"/>
    </xf>
    <xf numFmtId="165" fontId="18" fillId="2" borderId="0" xfId="4" applyFont="1" applyFill="1" applyAlignment="1">
      <alignment horizontal="center" vertical="center"/>
    </xf>
    <xf numFmtId="165" fontId="12" fillId="2" borderId="0" xfId="4" applyFont="1" applyFill="1" applyBorder="1" applyAlignment="1" applyProtection="1">
      <alignment horizontal="center" vertical="center"/>
    </xf>
    <xf numFmtId="165" fontId="8" fillId="2" borderId="1" xfId="4" applyFont="1" applyFill="1" applyBorder="1" applyAlignment="1" applyProtection="1">
      <alignment horizontal="left" vertical="center"/>
    </xf>
    <xf numFmtId="165" fontId="8" fillId="2" borderId="0" xfId="4" applyFont="1" applyFill="1" applyBorder="1" applyAlignment="1" applyProtection="1">
      <alignment horizontal="left" vertical="center"/>
    </xf>
    <xf numFmtId="165" fontId="8" fillId="2" borderId="2" xfId="4" applyFont="1" applyFill="1" applyBorder="1" applyAlignment="1" applyProtection="1">
      <alignment horizontal="left" vertical="center"/>
    </xf>
    <xf numFmtId="165" fontId="21" fillId="2" borderId="1" xfId="4" applyFont="1" applyFill="1" applyBorder="1" applyAlignment="1">
      <alignment horizontal="right" vertical="center"/>
    </xf>
    <xf numFmtId="165" fontId="21" fillId="2" borderId="0" xfId="4" applyFont="1" applyFill="1" applyBorder="1" applyAlignment="1">
      <alignment horizontal="right" vertical="center"/>
    </xf>
    <xf numFmtId="165" fontId="21" fillId="2" borderId="2" xfId="4" applyFont="1" applyFill="1" applyBorder="1" applyAlignment="1">
      <alignment horizontal="right" vertical="center"/>
    </xf>
    <xf numFmtId="165" fontId="21" fillId="2" borderId="3" xfId="4" applyFont="1" applyFill="1" applyBorder="1" applyAlignment="1">
      <alignment horizontal="center" vertical="center"/>
    </xf>
    <xf numFmtId="165" fontId="8" fillId="2" borderId="8" xfId="4" applyFont="1" applyFill="1" applyBorder="1" applyAlignment="1">
      <alignment horizontal="center" vertical="center"/>
    </xf>
    <xf numFmtId="165" fontId="8" fillId="2" borderId="7" xfId="4" applyFont="1" applyFill="1" applyBorder="1" applyAlignment="1">
      <alignment horizontal="center" vertical="center"/>
    </xf>
    <xf numFmtId="165" fontId="8" fillId="2" borderId="9" xfId="4" applyFont="1" applyFill="1" applyBorder="1" applyAlignment="1">
      <alignment horizontal="center" vertical="center"/>
    </xf>
    <xf numFmtId="1" fontId="12" fillId="2" borderId="4" xfId="4" applyNumberFormat="1" applyFont="1" applyFill="1" applyBorder="1" applyAlignment="1" applyProtection="1">
      <alignment horizontal="right" vertical="center"/>
    </xf>
    <xf numFmtId="165" fontId="12" fillId="2" borderId="2" xfId="4" applyFont="1" applyFill="1" applyBorder="1" applyAlignment="1">
      <alignment horizontal="right" vertical="center" wrapText="1"/>
    </xf>
    <xf numFmtId="165" fontId="12" fillId="2" borderId="4" xfId="4" applyFont="1" applyFill="1" applyBorder="1" applyAlignment="1">
      <alignment horizontal="right" vertical="center" wrapText="1"/>
    </xf>
  </cellXfs>
  <cellStyles count="8">
    <cellStyle name="1" xfId="6"/>
    <cellStyle name="Comma" xfId="1" builtinId="3"/>
    <cellStyle name="Comma 2" xfId="2"/>
    <cellStyle name="Normal" xfId="0" builtinId="0"/>
    <cellStyle name="Normal 2" xfId="5"/>
    <cellStyle name="Normal 3_agri planning 2009 year book(final)" xfId="3"/>
    <cellStyle name="Normal 4" xfId="7"/>
    <cellStyle name="Normal_Fish &amp;  Agri - 8" xfId="4"/>
  </cellStyles>
  <dxfs count="0"/>
  <tableStyles count="0" defaultTableStyle="TableStyleMedium9" defaultPivotStyle="PivotStyleLight16"/>
  <colors>
    <mruColors>
      <color rgb="FF33CCCC"/>
      <color rgb="FFFF9900"/>
      <color rgb="FF009900"/>
      <color rgb="FF1C706E"/>
      <color rgb="FF81E1DF"/>
      <color rgb="FFFF3399"/>
      <color rgb="FFE8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C67"/>
  <sheetViews>
    <sheetView tabSelected="1" zoomScaleNormal="100" workbookViewId="0">
      <selection activeCell="Q16" sqref="Q16"/>
    </sheetView>
  </sheetViews>
  <sheetFormatPr defaultColWidth="8.85546875" defaultRowHeight="12.75" x14ac:dyDescent="0.25"/>
  <cols>
    <col min="1" max="1" width="7.85546875" style="29" customWidth="1"/>
    <col min="2" max="4" width="9.28515625" style="29" customWidth="1"/>
    <col min="5" max="7" width="10" style="30" customWidth="1"/>
    <col min="8" max="10" width="10.5703125" style="29" customWidth="1"/>
    <col min="11" max="11" width="8.85546875" style="29"/>
    <col min="12" max="12" width="13" style="29" customWidth="1"/>
    <col min="13" max="14" width="10.140625" style="29" bestFit="1" customWidth="1"/>
    <col min="15" max="16384" width="8.85546875" style="29"/>
  </cols>
  <sheetData>
    <row r="1" spans="1:29" s="9" customFormat="1" ht="18.75" x14ac:dyDescent="0.25">
      <c r="A1" s="58" t="s">
        <v>56</v>
      </c>
      <c r="B1" s="58"/>
      <c r="C1" s="58"/>
      <c r="D1" s="58"/>
      <c r="E1" s="58"/>
      <c r="F1" s="58"/>
      <c r="G1" s="58"/>
      <c r="H1" s="58"/>
      <c r="I1" s="58"/>
      <c r="J1" s="58"/>
      <c r="K1" s="58"/>
      <c r="L1" s="58"/>
      <c r="M1" s="2"/>
      <c r="N1" s="2"/>
      <c r="O1" s="2"/>
      <c r="P1" s="2"/>
      <c r="Q1" s="2"/>
      <c r="R1" s="2"/>
      <c r="S1" s="2"/>
      <c r="T1" s="2"/>
      <c r="U1" s="2"/>
      <c r="V1" s="2"/>
      <c r="W1" s="2"/>
      <c r="X1" s="2"/>
      <c r="Y1" s="2"/>
      <c r="Z1" s="2"/>
      <c r="AA1" s="2"/>
      <c r="AB1" s="2"/>
      <c r="AC1" s="2"/>
    </row>
    <row r="2" spans="1:29" s="10" customFormat="1" x14ac:dyDescent="0.25">
      <c r="A2" s="59" t="s">
        <v>57</v>
      </c>
      <c r="B2" s="59"/>
      <c r="C2" s="59"/>
      <c r="D2" s="59"/>
      <c r="E2" s="59"/>
      <c r="F2" s="59"/>
      <c r="G2" s="59"/>
      <c r="H2" s="59"/>
      <c r="I2" s="59"/>
      <c r="J2" s="59"/>
      <c r="K2" s="59"/>
      <c r="L2" s="59"/>
      <c r="M2" s="4"/>
      <c r="N2" s="4"/>
      <c r="O2" s="4"/>
      <c r="P2" s="4"/>
      <c r="Q2" s="4"/>
      <c r="R2" s="4"/>
      <c r="S2" s="4"/>
      <c r="T2" s="4"/>
      <c r="U2" s="4"/>
      <c r="V2" s="4"/>
      <c r="W2" s="4"/>
      <c r="X2" s="4"/>
      <c r="Y2" s="4"/>
      <c r="Z2" s="4"/>
      <c r="AA2" s="4"/>
      <c r="AB2" s="4"/>
      <c r="AC2" s="4"/>
    </row>
    <row r="3" spans="1:29" s="10" customFormat="1" ht="14.25" x14ac:dyDescent="0.25">
      <c r="A3" s="41" t="s">
        <v>39</v>
      </c>
      <c r="B3" s="11"/>
      <c r="C3" s="11"/>
      <c r="D3" s="11"/>
      <c r="E3" s="11"/>
      <c r="F3" s="11"/>
      <c r="G3" s="11"/>
      <c r="H3" s="11"/>
      <c r="I3" s="11"/>
      <c r="J3" s="11"/>
      <c r="K3" s="11"/>
      <c r="L3" s="11"/>
      <c r="M3" s="4"/>
      <c r="N3" s="4"/>
      <c r="O3" s="4"/>
      <c r="P3" s="4"/>
      <c r="Q3" s="4"/>
      <c r="R3" s="4"/>
      <c r="S3" s="4"/>
      <c r="T3" s="4"/>
      <c r="U3" s="4"/>
      <c r="V3" s="4"/>
      <c r="W3" s="4"/>
      <c r="X3" s="4"/>
      <c r="Y3" s="4"/>
      <c r="Z3" s="4"/>
      <c r="AA3" s="4"/>
      <c r="AB3" s="4"/>
      <c r="AC3" s="4"/>
    </row>
    <row r="4" spans="1:29" s="10" customFormat="1" ht="12" x14ac:dyDescent="0.25">
      <c r="A4" s="12" t="s">
        <v>40</v>
      </c>
      <c r="B4" s="13"/>
      <c r="C4" s="13"/>
      <c r="D4" s="13"/>
      <c r="E4" s="13"/>
      <c r="F4" s="13"/>
      <c r="G4" s="13"/>
      <c r="H4" s="13"/>
      <c r="I4" s="13"/>
      <c r="J4" s="13"/>
      <c r="K4" s="13"/>
      <c r="L4" s="13"/>
      <c r="M4" s="4"/>
      <c r="N4" s="4"/>
      <c r="O4" s="4"/>
      <c r="P4" s="4"/>
      <c r="Q4" s="4"/>
      <c r="R4" s="4"/>
      <c r="S4" s="4"/>
      <c r="T4" s="4"/>
      <c r="U4" s="4"/>
      <c r="V4" s="4"/>
      <c r="W4" s="4"/>
      <c r="X4" s="4"/>
      <c r="Y4" s="4"/>
      <c r="Z4" s="4"/>
      <c r="AA4" s="4"/>
      <c r="AB4" s="4"/>
      <c r="AC4" s="4"/>
    </row>
    <row r="5" spans="1:29" s="10" customFormat="1" ht="15" x14ac:dyDescent="0.25">
      <c r="A5" s="60" t="s">
        <v>44</v>
      </c>
      <c r="B5" s="57" t="s">
        <v>45</v>
      </c>
      <c r="C5" s="57"/>
      <c r="D5" s="66"/>
      <c r="E5" s="56" t="s">
        <v>41</v>
      </c>
      <c r="F5" s="57"/>
      <c r="G5" s="66"/>
      <c r="H5" s="56" t="s">
        <v>59</v>
      </c>
      <c r="I5" s="57"/>
      <c r="J5" s="57"/>
      <c r="K5" s="35"/>
      <c r="L5" s="63" t="s">
        <v>46</v>
      </c>
      <c r="M5" s="4"/>
      <c r="N5" s="4"/>
      <c r="O5" s="4"/>
      <c r="P5" s="4"/>
      <c r="Q5" s="4"/>
      <c r="R5" s="4"/>
      <c r="S5" s="4"/>
      <c r="T5" s="4"/>
      <c r="U5" s="4"/>
      <c r="V5" s="4"/>
      <c r="W5" s="4"/>
      <c r="X5" s="4"/>
      <c r="Y5" s="4"/>
      <c r="Z5" s="4"/>
      <c r="AA5" s="4"/>
      <c r="AB5" s="4"/>
      <c r="AC5" s="4"/>
    </row>
    <row r="6" spans="1:29" s="15" customFormat="1" ht="12" customHeight="1" x14ac:dyDescent="0.25">
      <c r="A6" s="61"/>
      <c r="B6" s="68" t="s">
        <v>47</v>
      </c>
      <c r="C6" s="68"/>
      <c r="D6" s="69"/>
      <c r="E6" s="67" t="s">
        <v>42</v>
      </c>
      <c r="F6" s="68"/>
      <c r="G6" s="69"/>
      <c r="H6" s="54" t="s">
        <v>58</v>
      </c>
      <c r="I6" s="55"/>
      <c r="J6" s="55"/>
      <c r="K6" s="45"/>
      <c r="L6" s="64"/>
      <c r="O6" s="14"/>
      <c r="P6" s="14"/>
      <c r="Q6" s="14"/>
      <c r="R6" s="14"/>
      <c r="S6" s="14"/>
      <c r="T6" s="14"/>
      <c r="U6" s="14"/>
      <c r="V6" s="14"/>
      <c r="W6" s="14"/>
      <c r="X6" s="14"/>
      <c r="Y6" s="14"/>
      <c r="Z6" s="14"/>
      <c r="AA6" s="14"/>
      <c r="AB6" s="14"/>
      <c r="AC6" s="14"/>
    </row>
    <row r="7" spans="1:29" s="31" customFormat="1" x14ac:dyDescent="0.25">
      <c r="A7" s="62"/>
      <c r="B7" s="32">
        <v>2015</v>
      </c>
      <c r="C7" s="32">
        <v>2016</v>
      </c>
      <c r="D7" s="70">
        <v>2017</v>
      </c>
      <c r="E7" s="71">
        <v>2015</v>
      </c>
      <c r="F7" s="71">
        <v>2016</v>
      </c>
      <c r="G7" s="72">
        <v>2017</v>
      </c>
      <c r="H7" s="71">
        <v>2015</v>
      </c>
      <c r="I7" s="71">
        <v>2016</v>
      </c>
      <c r="J7" s="71">
        <v>2017</v>
      </c>
      <c r="K7" s="33"/>
      <c r="L7" s="65"/>
      <c r="M7" s="34"/>
      <c r="N7" s="44"/>
      <c r="O7" s="34"/>
      <c r="P7" s="34"/>
      <c r="Q7" s="34"/>
      <c r="R7" s="34"/>
      <c r="S7" s="34"/>
      <c r="T7" s="34"/>
      <c r="U7" s="34"/>
      <c r="V7" s="34"/>
      <c r="W7" s="34"/>
      <c r="X7" s="34"/>
      <c r="Y7" s="34"/>
      <c r="Z7" s="34"/>
      <c r="AA7" s="34"/>
      <c r="AB7" s="34"/>
      <c r="AC7" s="34"/>
    </row>
    <row r="8" spans="1:29" s="10" customFormat="1" ht="15" x14ac:dyDescent="0.2">
      <c r="A8" s="16" t="s">
        <v>48</v>
      </c>
      <c r="B8" s="17">
        <f>B9+B10+B11</f>
        <v>127.35181848143279</v>
      </c>
      <c r="C8" s="17">
        <f>C9+C10+C11</f>
        <v>129.19099510655224</v>
      </c>
      <c r="D8" s="46">
        <f>D9+D10+D11</f>
        <v>143.15996433162485</v>
      </c>
      <c r="E8" s="17">
        <f>(B8/$B$8)*100</f>
        <v>100</v>
      </c>
      <c r="F8" s="17">
        <f t="shared" ref="F8:F13" si="0">(C8/$C$8)*100</f>
        <v>100</v>
      </c>
      <c r="G8" s="46">
        <f>(D8/$D$8)*100</f>
        <v>100</v>
      </c>
      <c r="H8" s="18">
        <v>-1.0346402943154343</v>
      </c>
      <c r="I8" s="18">
        <f>((C8-B8)/B8)*100</f>
        <v>1.4441698964727321</v>
      </c>
      <c r="J8" s="18">
        <f>((D8-C8)/C8)*100</f>
        <v>10.81264929769408</v>
      </c>
      <c r="K8" s="19"/>
      <c r="L8" s="40" t="s">
        <v>49</v>
      </c>
      <c r="M8" s="4"/>
      <c r="N8" s="4"/>
      <c r="O8" s="4"/>
      <c r="P8" s="4"/>
      <c r="Q8" s="4"/>
      <c r="R8" s="4"/>
      <c r="S8" s="4"/>
      <c r="T8" s="4"/>
      <c r="U8" s="4"/>
      <c r="V8" s="4"/>
      <c r="W8" s="4"/>
      <c r="X8" s="4"/>
      <c r="Y8" s="4"/>
      <c r="Z8" s="4"/>
      <c r="AA8" s="4"/>
      <c r="AB8" s="4"/>
      <c r="AC8" s="4"/>
    </row>
    <row r="9" spans="1:29" s="10" customFormat="1" ht="15" x14ac:dyDescent="0.2">
      <c r="A9" s="16" t="s">
        <v>50</v>
      </c>
      <c r="B9" s="17">
        <v>14.788513434148374</v>
      </c>
      <c r="C9" s="17">
        <v>19.525542058911476</v>
      </c>
      <c r="D9" s="46">
        <v>25.501210143903222</v>
      </c>
      <c r="E9" s="17">
        <f t="shared" ref="E9:E31" si="1">(B9/$B$8)*100</f>
        <v>11.612330008702985</v>
      </c>
      <c r="F9" s="17">
        <f t="shared" si="0"/>
        <v>15.113702036900861</v>
      </c>
      <c r="G9" s="46">
        <f>(D9/$D$8)*100</f>
        <v>17.813087802139009</v>
      </c>
      <c r="H9" s="18">
        <v>-14.036579658681037</v>
      </c>
      <c r="I9" s="18">
        <f t="shared" ref="I9:J31" si="2">((C9-B9)/B9)*100</f>
        <v>32.031810674254515</v>
      </c>
      <c r="J9" s="18">
        <f t="shared" si="2"/>
        <v>30.604364616164116</v>
      </c>
      <c r="K9" s="19"/>
      <c r="L9" s="40" t="s">
        <v>51</v>
      </c>
      <c r="M9" s="48"/>
      <c r="N9" s="48"/>
      <c r="O9" s="4"/>
      <c r="P9" s="4"/>
      <c r="Q9" s="4"/>
      <c r="R9" s="4"/>
      <c r="S9" s="4"/>
      <c r="T9" s="4"/>
      <c r="U9" s="4"/>
      <c r="V9" s="4"/>
      <c r="W9" s="4"/>
      <c r="X9" s="4"/>
      <c r="Y9" s="4"/>
      <c r="Z9" s="4"/>
      <c r="AA9" s="4"/>
      <c r="AB9" s="4"/>
      <c r="AC9" s="4"/>
    </row>
    <row r="10" spans="1:29" s="10" customFormat="1" ht="15" x14ac:dyDescent="0.2">
      <c r="A10" s="16" t="s">
        <v>52</v>
      </c>
      <c r="B10" s="18">
        <f>SUM(B12:B31)</f>
        <v>112.07942735728442</v>
      </c>
      <c r="C10" s="18">
        <f>SUM(C12:C31)</f>
        <v>107.82345804764077</v>
      </c>
      <c r="D10" s="47">
        <f>SUM(D12:D31)</f>
        <v>115.12306910772161</v>
      </c>
      <c r="E10" s="17">
        <f t="shared" si="1"/>
        <v>88.007716492579959</v>
      </c>
      <c r="F10" s="17">
        <f t="shared" si="0"/>
        <v>83.460505864756087</v>
      </c>
      <c r="G10" s="46">
        <f>(D10/$D$8)*100</f>
        <v>80.415687196626578</v>
      </c>
      <c r="H10" s="18">
        <v>2.4897430954286954</v>
      </c>
      <c r="I10" s="18">
        <f>((C10-B10)/B10)*100</f>
        <v>-3.7972796703150147</v>
      </c>
      <c r="J10" s="18">
        <f t="shared" si="2"/>
        <v>6.7699656385121418</v>
      </c>
      <c r="K10" s="19"/>
      <c r="L10" s="40" t="s">
        <v>53</v>
      </c>
      <c r="M10" s="48"/>
      <c r="N10" s="48"/>
      <c r="O10" s="4"/>
      <c r="P10" s="4"/>
      <c r="R10" s="4"/>
      <c r="S10" s="4"/>
      <c r="T10" s="4"/>
      <c r="U10" s="4"/>
      <c r="V10" s="4"/>
      <c r="W10" s="4"/>
      <c r="X10" s="4"/>
      <c r="Y10" s="4"/>
      <c r="Z10" s="4"/>
      <c r="AA10" s="4"/>
      <c r="AB10" s="4"/>
      <c r="AC10" s="4"/>
    </row>
    <row r="11" spans="1:29" s="10" customFormat="1" ht="15" x14ac:dyDescent="0.2">
      <c r="A11" s="16" t="s">
        <v>60</v>
      </c>
      <c r="B11" s="17">
        <v>0.48387768999999992</v>
      </c>
      <c r="C11" s="17">
        <v>1.841995</v>
      </c>
      <c r="D11" s="46">
        <v>2.5356850800000004</v>
      </c>
      <c r="E11" s="17">
        <f t="shared" si="1"/>
        <v>0.37995349871705736</v>
      </c>
      <c r="F11" s="17">
        <f t="shared" si="0"/>
        <v>1.425792098343067</v>
      </c>
      <c r="G11" s="46">
        <f>(D11/$D$8)*100</f>
        <v>1.771225001234408</v>
      </c>
      <c r="H11" s="18">
        <v>-77.210388566896427</v>
      </c>
      <c r="I11" s="18">
        <f>((C11-B11)/B11)*100</f>
        <v>280.67367809414822</v>
      </c>
      <c r="J11" s="18">
        <f>((D11-C11)/C11)*100</f>
        <v>37.659715688696238</v>
      </c>
      <c r="K11" s="19"/>
      <c r="L11" s="40" t="s">
        <v>61</v>
      </c>
      <c r="M11" s="48"/>
      <c r="N11" s="48"/>
      <c r="O11" s="4"/>
      <c r="P11" s="4"/>
      <c r="Q11" s="39"/>
      <c r="R11" s="4"/>
      <c r="S11" s="4"/>
      <c r="T11" s="4"/>
      <c r="U11" s="4"/>
      <c r="V11" s="4"/>
      <c r="W11" s="4"/>
      <c r="X11" s="4"/>
      <c r="Y11" s="4"/>
      <c r="Z11" s="4"/>
      <c r="AA11" s="4"/>
      <c r="AB11" s="4"/>
      <c r="AC11" s="4"/>
    </row>
    <row r="12" spans="1:29" s="10" customFormat="1" ht="15" x14ac:dyDescent="0.2">
      <c r="A12" s="36" t="s">
        <v>20</v>
      </c>
      <c r="B12" s="20">
        <v>3.4878232343030295</v>
      </c>
      <c r="C12" s="20">
        <v>5.4555677523293342</v>
      </c>
      <c r="D12" s="51">
        <v>3.5486896117828475</v>
      </c>
      <c r="E12" s="20">
        <f t="shared" si="1"/>
        <v>2.7387306093407182</v>
      </c>
      <c r="F12" s="20">
        <f t="shared" si="0"/>
        <v>4.2228699824084268</v>
      </c>
      <c r="G12" s="51">
        <f>(D12/$D$8)*100</f>
        <v>2.4788282313080474</v>
      </c>
      <c r="H12" s="21">
        <v>-3.4448553716181411</v>
      </c>
      <c r="I12" s="21">
        <f t="shared" si="2"/>
        <v>56.417552892972758</v>
      </c>
      <c r="J12" s="21">
        <f>((D12-C12)/C12)*100</f>
        <v>-34.952881663550365</v>
      </c>
      <c r="K12" s="22"/>
      <c r="L12" s="42" t="s">
        <v>0</v>
      </c>
      <c r="M12" s="48"/>
      <c r="N12" s="48"/>
      <c r="O12" s="4"/>
      <c r="P12" s="4"/>
      <c r="Q12" s="4"/>
      <c r="R12" s="4"/>
      <c r="S12" s="4"/>
      <c r="T12" s="4"/>
      <c r="U12" s="4"/>
      <c r="V12" s="4"/>
      <c r="W12" s="4"/>
      <c r="X12" s="4"/>
      <c r="Y12" s="4"/>
      <c r="Z12" s="4"/>
      <c r="AA12" s="4"/>
      <c r="AB12" s="4"/>
      <c r="AC12" s="4"/>
    </row>
    <row r="13" spans="1:29" s="10" customFormat="1" ht="15" x14ac:dyDescent="0.2">
      <c r="A13" s="36" t="s">
        <v>21</v>
      </c>
      <c r="B13" s="20">
        <v>2.1431918991752941</v>
      </c>
      <c r="C13" s="20">
        <v>3.4027214464188993</v>
      </c>
      <c r="D13" s="51">
        <v>2.6651350675685075</v>
      </c>
      <c r="E13" s="20">
        <f t="shared" si="1"/>
        <v>1.6828906918889108</v>
      </c>
      <c r="F13" s="20">
        <f t="shared" si="0"/>
        <v>2.6338689036433638</v>
      </c>
      <c r="G13" s="51">
        <f t="shared" ref="G13:G31" si="3">(D13/$D$8)*100</f>
        <v>1.8616483176782712</v>
      </c>
      <c r="H13" s="21">
        <v>-28.228074839023392</v>
      </c>
      <c r="I13" s="21">
        <f t="shared" si="2"/>
        <v>58.768864688611202</v>
      </c>
      <c r="J13" s="21">
        <f t="shared" si="2"/>
        <v>-21.676366710141508</v>
      </c>
      <c r="K13" s="22"/>
      <c r="L13" s="42" t="s">
        <v>1</v>
      </c>
      <c r="M13" s="48"/>
      <c r="N13" s="48"/>
      <c r="O13" s="4"/>
      <c r="P13" s="4"/>
      <c r="Q13" s="4"/>
      <c r="R13" s="4"/>
      <c r="S13" s="4"/>
      <c r="T13" s="4"/>
      <c r="U13" s="4"/>
      <c r="V13" s="4"/>
      <c r="W13" s="4"/>
      <c r="X13" s="4"/>
      <c r="Y13" s="4"/>
      <c r="Z13" s="4"/>
      <c r="AA13" s="4"/>
      <c r="AB13" s="4"/>
      <c r="AC13" s="4"/>
    </row>
    <row r="14" spans="1:29" s="10" customFormat="1" ht="15" x14ac:dyDescent="0.2">
      <c r="A14" s="36" t="s">
        <v>22</v>
      </c>
      <c r="B14" s="20">
        <v>2.543805271979108</v>
      </c>
      <c r="C14" s="20">
        <v>3.1284374683669443</v>
      </c>
      <c r="D14" s="51">
        <v>3.2212989848185964</v>
      </c>
      <c r="E14" s="20">
        <f>(B14/$B$8)*100</f>
        <v>1.9974628570772872</v>
      </c>
      <c r="F14" s="20">
        <f t="shared" ref="F14:F31" si="4">(C14/$C$8)*100</f>
        <v>2.4215600056232387</v>
      </c>
      <c r="G14" s="51">
        <f>(D14/$D$8)*100</f>
        <v>2.2501395553274759</v>
      </c>
      <c r="H14" s="21">
        <v>21.024150235527749</v>
      </c>
      <c r="I14" s="21">
        <f t="shared" si="2"/>
        <v>22.98258450942615</v>
      </c>
      <c r="J14" s="21">
        <f t="shared" si="2"/>
        <v>2.9683034227347442</v>
      </c>
      <c r="K14" s="22"/>
      <c r="L14" s="42" t="s">
        <v>2</v>
      </c>
      <c r="M14" s="48"/>
      <c r="N14" s="48"/>
      <c r="O14" s="4"/>
      <c r="P14" s="4"/>
      <c r="Q14" s="4"/>
      <c r="R14" s="4"/>
      <c r="S14" s="4"/>
      <c r="T14" s="4"/>
      <c r="U14" s="4"/>
      <c r="V14" s="4"/>
      <c r="W14" s="4"/>
      <c r="X14" s="4"/>
      <c r="Y14" s="4"/>
      <c r="Z14" s="4"/>
      <c r="AA14" s="4"/>
      <c r="AB14" s="4"/>
      <c r="AC14" s="4"/>
    </row>
    <row r="15" spans="1:29" s="10" customFormat="1" ht="15" x14ac:dyDescent="0.2">
      <c r="A15" s="36" t="s">
        <v>23</v>
      </c>
      <c r="B15" s="20">
        <v>1.6440892896197707</v>
      </c>
      <c r="C15" s="20">
        <v>2.0282570049295896</v>
      </c>
      <c r="D15" s="51">
        <v>2.0373695496846889</v>
      </c>
      <c r="E15" s="20">
        <f t="shared" si="1"/>
        <v>1.2909821855896546</v>
      </c>
      <c r="F15" s="20">
        <f t="shared" si="4"/>
        <v>1.5699677854921341</v>
      </c>
      <c r="G15" s="51">
        <f t="shared" si="3"/>
        <v>1.4231419791116993</v>
      </c>
      <c r="H15" s="21">
        <v>12.852415379320711</v>
      </c>
      <c r="I15" s="21">
        <f t="shared" si="2"/>
        <v>23.366596798320209</v>
      </c>
      <c r="J15" s="21">
        <f t="shared" si="2"/>
        <v>0.44927958996081963</v>
      </c>
      <c r="K15" s="22"/>
      <c r="L15" s="42" t="s">
        <v>3</v>
      </c>
      <c r="M15" s="48"/>
      <c r="N15" s="48"/>
      <c r="O15" s="4"/>
      <c r="P15" s="4"/>
      <c r="Q15" s="4"/>
      <c r="R15" s="4"/>
      <c r="S15" s="4"/>
      <c r="T15" s="4"/>
      <c r="U15" s="4"/>
      <c r="V15" s="4"/>
      <c r="W15" s="4"/>
      <c r="X15" s="4"/>
      <c r="Y15" s="4"/>
      <c r="Z15" s="4"/>
      <c r="AA15" s="4"/>
      <c r="AB15" s="4"/>
      <c r="AC15" s="4"/>
    </row>
    <row r="16" spans="1:29" s="10" customFormat="1" ht="15" x14ac:dyDescent="0.2">
      <c r="A16" s="36" t="s">
        <v>24</v>
      </c>
      <c r="B16" s="20">
        <v>4.7879967742133633</v>
      </c>
      <c r="C16" s="20">
        <v>6.4831043342321335</v>
      </c>
      <c r="D16" s="51">
        <v>4.7365105807719861</v>
      </c>
      <c r="E16" s="20">
        <f t="shared" si="1"/>
        <v>3.7596610957788781</v>
      </c>
      <c r="F16" s="20">
        <f t="shared" si="4"/>
        <v>5.0182323689705264</v>
      </c>
      <c r="G16" s="51">
        <f t="shared" si="3"/>
        <v>3.3085441190806892</v>
      </c>
      <c r="H16" s="21">
        <v>-11.534235089339372</v>
      </c>
      <c r="I16" s="21">
        <f t="shared" si="2"/>
        <v>35.403272808120576</v>
      </c>
      <c r="J16" s="21">
        <f t="shared" si="2"/>
        <v>-26.940700988533699</v>
      </c>
      <c r="K16" s="22"/>
      <c r="L16" s="42" t="s">
        <v>4</v>
      </c>
      <c r="M16" s="48"/>
      <c r="N16" s="48"/>
      <c r="O16" s="4"/>
      <c r="P16" s="4"/>
      <c r="Q16" s="4"/>
      <c r="R16" s="4"/>
      <c r="S16" s="4"/>
      <c r="T16" s="4"/>
      <c r="U16" s="4"/>
      <c r="V16" s="4"/>
      <c r="W16" s="4"/>
      <c r="X16" s="4"/>
      <c r="Y16" s="4"/>
      <c r="Z16" s="4"/>
      <c r="AA16" s="4"/>
      <c r="AB16" s="4"/>
      <c r="AC16" s="4"/>
    </row>
    <row r="17" spans="1:29" s="3" customFormat="1" ht="15" x14ac:dyDescent="0.2">
      <c r="A17" s="36" t="s">
        <v>25</v>
      </c>
      <c r="B17" s="20">
        <v>3.8495688450349665</v>
      </c>
      <c r="C17" s="20">
        <v>1.8292509133074131</v>
      </c>
      <c r="D17" s="51">
        <v>1.6092743994481875</v>
      </c>
      <c r="E17" s="20">
        <f t="shared" si="1"/>
        <v>3.022782784681016</v>
      </c>
      <c r="F17" s="20">
        <f>(C17/$C$8)*100</f>
        <v>1.4159275666223567</v>
      </c>
      <c r="G17" s="51">
        <f t="shared" si="3"/>
        <v>1.1241092486725981</v>
      </c>
      <c r="H17" s="21">
        <v>18.294024759320354</v>
      </c>
      <c r="I17" s="21">
        <f t="shared" si="2"/>
        <v>-52.481667767373111</v>
      </c>
      <c r="J17" s="21">
        <f t="shared" si="2"/>
        <v>-12.025497008581109</v>
      </c>
      <c r="K17" s="22"/>
      <c r="L17" s="42" t="s">
        <v>5</v>
      </c>
      <c r="M17" s="48"/>
      <c r="N17" s="48"/>
      <c r="O17" s="4"/>
      <c r="P17" s="4"/>
      <c r="Q17" s="4"/>
      <c r="R17" s="4"/>
      <c r="S17" s="4"/>
      <c r="T17" s="4"/>
      <c r="U17" s="4"/>
      <c r="V17" s="4"/>
      <c r="W17" s="4"/>
      <c r="X17" s="4"/>
      <c r="Y17" s="4"/>
      <c r="Z17" s="4"/>
      <c r="AA17" s="4"/>
      <c r="AB17" s="4"/>
      <c r="AC17" s="4"/>
    </row>
    <row r="18" spans="1:29" s="3" customFormat="1" ht="15" x14ac:dyDescent="0.2">
      <c r="A18" s="36" t="s">
        <v>26</v>
      </c>
      <c r="B18" s="20">
        <v>4.9655628535871399</v>
      </c>
      <c r="C18" s="20">
        <v>5.9191232883164666</v>
      </c>
      <c r="D18" s="51">
        <v>3.28562210783848</v>
      </c>
      <c r="E18" s="20">
        <f t="shared" si="1"/>
        <v>3.8990906551609958</v>
      </c>
      <c r="F18" s="20">
        <f t="shared" si="4"/>
        <v>4.5816841053314743</v>
      </c>
      <c r="G18" s="51">
        <f t="shared" si="3"/>
        <v>2.2950704990589799</v>
      </c>
      <c r="H18" s="21">
        <v>-24.346773579308579</v>
      </c>
      <c r="I18" s="21">
        <f t="shared" si="2"/>
        <v>19.203471244764756</v>
      </c>
      <c r="J18" s="21">
        <f t="shared" si="2"/>
        <v>-44.491406112053028</v>
      </c>
      <c r="K18" s="22"/>
      <c r="L18" s="42" t="s">
        <v>6</v>
      </c>
      <c r="M18" s="48"/>
      <c r="N18" s="48"/>
      <c r="O18" s="4"/>
      <c r="P18" s="4"/>
      <c r="Q18" s="4"/>
      <c r="R18" s="4"/>
      <c r="S18" s="4"/>
      <c r="T18" s="4"/>
      <c r="U18" s="4"/>
      <c r="V18" s="4"/>
      <c r="W18" s="4"/>
      <c r="X18" s="4"/>
      <c r="Y18" s="4"/>
      <c r="Z18" s="4"/>
      <c r="AA18" s="4"/>
      <c r="AB18" s="4"/>
      <c r="AC18" s="4"/>
    </row>
    <row r="19" spans="1:29" s="3" customFormat="1" ht="15" x14ac:dyDescent="0.2">
      <c r="A19" s="36" t="s">
        <v>27</v>
      </c>
      <c r="B19" s="20">
        <v>3.2643403035589014</v>
      </c>
      <c r="C19" s="20">
        <v>4.2727470002415435</v>
      </c>
      <c r="D19" s="51">
        <v>3.3523710822809956</v>
      </c>
      <c r="E19" s="20">
        <f t="shared" si="1"/>
        <v>2.56324592964868</v>
      </c>
      <c r="F19" s="20">
        <f t="shared" si="4"/>
        <v>3.3073102322011922</v>
      </c>
      <c r="G19" s="51">
        <f t="shared" si="3"/>
        <v>2.3416959468607788</v>
      </c>
      <c r="H19" s="21">
        <v>-0.39174771120535068</v>
      </c>
      <c r="I19" s="21">
        <f t="shared" si="2"/>
        <v>30.891592263932804</v>
      </c>
      <c r="J19" s="21">
        <f t="shared" si="2"/>
        <v>-21.540613518856087</v>
      </c>
      <c r="K19" s="22"/>
      <c r="L19" s="42" t="s">
        <v>7</v>
      </c>
      <c r="M19" s="48"/>
      <c r="N19" s="48"/>
      <c r="O19" s="4"/>
      <c r="P19" s="4"/>
      <c r="Q19" s="4"/>
      <c r="R19" s="4"/>
      <c r="S19" s="4"/>
      <c r="T19" s="4"/>
      <c r="U19" s="4"/>
      <c r="V19" s="4"/>
      <c r="W19" s="4"/>
      <c r="X19" s="4"/>
      <c r="Y19" s="4"/>
      <c r="Z19" s="4"/>
      <c r="AA19" s="4"/>
      <c r="AB19" s="4"/>
      <c r="AC19" s="4"/>
    </row>
    <row r="20" spans="1:29" s="3" customFormat="1" ht="15" x14ac:dyDescent="0.2">
      <c r="A20" s="36" t="s">
        <v>54</v>
      </c>
      <c r="B20" s="20">
        <v>2.9063640120344196</v>
      </c>
      <c r="C20" s="20">
        <v>2.7524573718329695</v>
      </c>
      <c r="D20" s="51">
        <v>2.3493707511765831</v>
      </c>
      <c r="E20" s="20">
        <f>(B20/$B$8)*100</f>
        <v>2.2821535229653214</v>
      </c>
      <c r="F20" s="20">
        <f t="shared" si="4"/>
        <v>2.1305334551861286</v>
      </c>
      <c r="G20" s="51">
        <f t="shared" si="3"/>
        <v>1.6410808441767639</v>
      </c>
      <c r="H20" s="21">
        <v>8.1686280636115303</v>
      </c>
      <c r="I20" s="21">
        <f t="shared" si="2"/>
        <v>-5.2955046086507727</v>
      </c>
      <c r="J20" s="21">
        <f t="shared" si="2"/>
        <v>-14.644609023970284</v>
      </c>
      <c r="K20" s="22"/>
      <c r="L20" s="42" t="s">
        <v>8</v>
      </c>
      <c r="M20" s="48"/>
      <c r="N20" s="48"/>
      <c r="O20" s="4"/>
      <c r="P20" s="4"/>
      <c r="Q20" s="4"/>
      <c r="R20" s="4"/>
      <c r="S20" s="4"/>
      <c r="T20" s="4"/>
      <c r="U20" s="4"/>
      <c r="V20" s="4"/>
      <c r="W20" s="4"/>
      <c r="X20" s="4"/>
      <c r="Y20" s="4"/>
      <c r="Z20" s="4"/>
      <c r="AA20" s="4"/>
      <c r="AB20" s="4"/>
      <c r="AC20" s="4"/>
    </row>
    <row r="21" spans="1:29" s="3" customFormat="1" ht="15" x14ac:dyDescent="0.2">
      <c r="A21" s="36" t="s">
        <v>28</v>
      </c>
      <c r="B21" s="20">
        <v>3.9660017230785827</v>
      </c>
      <c r="C21" s="20">
        <v>4.0751871960090158</v>
      </c>
      <c r="D21" s="51">
        <v>3.0697628263915906</v>
      </c>
      <c r="E21" s="20">
        <f t="shared" si="1"/>
        <v>3.1142089452431372</v>
      </c>
      <c r="F21" s="20">
        <f t="shared" si="4"/>
        <v>3.154389508841497</v>
      </c>
      <c r="G21" s="51">
        <f t="shared" si="3"/>
        <v>2.1442886219785557</v>
      </c>
      <c r="H21" s="21">
        <v>-18.335265250008032</v>
      </c>
      <c r="I21" s="21">
        <f t="shared" si="2"/>
        <v>2.7530364471369575</v>
      </c>
      <c r="J21" s="21">
        <f t="shared" si="2"/>
        <v>-24.671857297796652</v>
      </c>
      <c r="K21" s="22"/>
      <c r="L21" s="42" t="s">
        <v>9</v>
      </c>
      <c r="M21" s="48"/>
      <c r="N21" s="48"/>
      <c r="O21" s="4"/>
      <c r="P21" s="4"/>
      <c r="Q21" s="4"/>
      <c r="R21" s="4"/>
      <c r="S21" s="4"/>
      <c r="T21" s="4"/>
      <c r="U21" s="4"/>
      <c r="V21" s="4"/>
      <c r="W21" s="4"/>
      <c r="X21" s="4"/>
      <c r="Y21" s="4"/>
      <c r="Z21" s="4"/>
      <c r="AA21" s="4"/>
      <c r="AB21" s="4"/>
      <c r="AC21" s="4"/>
    </row>
    <row r="22" spans="1:29" s="3" customFormat="1" ht="15" x14ac:dyDescent="0.2">
      <c r="A22" s="36" t="s">
        <v>29</v>
      </c>
      <c r="B22" s="20">
        <v>0.30394247344899167</v>
      </c>
      <c r="C22" s="20">
        <v>0.31269729273595998</v>
      </c>
      <c r="D22" s="51">
        <v>0.24041875105324056</v>
      </c>
      <c r="E22" s="20">
        <f t="shared" si="1"/>
        <v>0.23866363046343531</v>
      </c>
      <c r="F22" s="20">
        <f t="shared" si="4"/>
        <v>0.24204263809413196</v>
      </c>
      <c r="G22" s="51">
        <f t="shared" si="3"/>
        <v>0.16793714092881393</v>
      </c>
      <c r="H22" s="21">
        <v>-60.945567907635976</v>
      </c>
      <c r="I22" s="21">
        <f t="shared" si="2"/>
        <v>2.8804198332739968</v>
      </c>
      <c r="J22" s="21">
        <f t="shared" si="2"/>
        <v>-23.114540279615099</v>
      </c>
      <c r="K22" s="22"/>
      <c r="L22" s="42" t="s">
        <v>10</v>
      </c>
      <c r="M22" s="48"/>
      <c r="N22" s="48"/>
      <c r="O22" s="4"/>
      <c r="P22" s="4"/>
      <c r="Q22" s="4"/>
      <c r="R22" s="4"/>
      <c r="S22" s="4"/>
      <c r="T22" s="4"/>
      <c r="U22" s="4"/>
      <c r="V22" s="4"/>
      <c r="W22" s="4"/>
      <c r="X22" s="4"/>
      <c r="Y22" s="4"/>
      <c r="Z22" s="4"/>
      <c r="AA22" s="4"/>
      <c r="AB22" s="4"/>
      <c r="AC22" s="4"/>
    </row>
    <row r="23" spans="1:29" s="3" customFormat="1" ht="15" x14ac:dyDescent="0.2">
      <c r="A23" s="36" t="s">
        <v>30</v>
      </c>
      <c r="B23" s="20">
        <v>3.8464425361310637</v>
      </c>
      <c r="C23" s="20">
        <v>2.2948781910587521</v>
      </c>
      <c r="D23" s="51">
        <v>3.3034787321652641</v>
      </c>
      <c r="E23" s="20">
        <f t="shared" si="1"/>
        <v>3.0203279246396111</v>
      </c>
      <c r="F23" s="20">
        <f t="shared" si="4"/>
        <v>1.7763453166112826</v>
      </c>
      <c r="G23" s="51">
        <f t="shared" si="3"/>
        <v>2.3075436960244526</v>
      </c>
      <c r="H23" s="21">
        <v>6.3422293791924256</v>
      </c>
      <c r="I23" s="21">
        <f t="shared" si="2"/>
        <v>-40.337645252668956</v>
      </c>
      <c r="J23" s="21">
        <f t="shared" si="2"/>
        <v>43.950068680603465</v>
      </c>
      <c r="K23" s="22"/>
      <c r="L23" s="42" t="s">
        <v>11</v>
      </c>
      <c r="M23" s="48"/>
      <c r="N23" s="48"/>
      <c r="O23" s="4"/>
      <c r="P23" s="4"/>
      <c r="Q23" s="4"/>
      <c r="R23" s="4"/>
      <c r="S23" s="4"/>
      <c r="T23" s="4"/>
      <c r="U23" s="4"/>
      <c r="V23" s="4"/>
      <c r="W23" s="4"/>
      <c r="X23" s="4"/>
      <c r="Y23" s="4"/>
      <c r="Z23" s="4"/>
      <c r="AA23" s="4"/>
      <c r="AB23" s="4"/>
      <c r="AC23" s="4"/>
    </row>
    <row r="24" spans="1:29" s="3" customFormat="1" ht="15" x14ac:dyDescent="0.2">
      <c r="A24" s="36" t="s">
        <v>31</v>
      </c>
      <c r="B24" s="20">
        <v>3.8642766938192219</v>
      </c>
      <c r="C24" s="20">
        <v>3.5967076673388623</v>
      </c>
      <c r="D24" s="51">
        <v>2.9696042037139136</v>
      </c>
      <c r="E24" s="20">
        <f t="shared" si="1"/>
        <v>3.0343317746833844</v>
      </c>
      <c r="F24" s="20">
        <f t="shared" si="4"/>
        <v>2.7840235028551508</v>
      </c>
      <c r="G24" s="51">
        <f t="shared" si="3"/>
        <v>2.074325889628565</v>
      </c>
      <c r="H24" s="21">
        <v>35.30865061243945</v>
      </c>
      <c r="I24" s="21">
        <f t="shared" si="2"/>
        <v>-6.9241684196250004</v>
      </c>
      <c r="J24" s="21">
        <f t="shared" si="2"/>
        <v>-17.435486050745151</v>
      </c>
      <c r="K24" s="22"/>
      <c r="L24" s="42" t="s">
        <v>12</v>
      </c>
      <c r="M24" s="48"/>
      <c r="N24" s="48"/>
      <c r="O24" s="4"/>
      <c r="P24" s="4"/>
      <c r="Q24" s="4"/>
      <c r="R24" s="4"/>
      <c r="S24" s="4"/>
      <c r="T24" s="4"/>
      <c r="U24" s="4"/>
      <c r="V24" s="4"/>
      <c r="W24" s="4"/>
      <c r="X24" s="4"/>
      <c r="Y24" s="4"/>
      <c r="Z24" s="4"/>
      <c r="AA24" s="4"/>
      <c r="AB24" s="4"/>
      <c r="AC24" s="4"/>
    </row>
    <row r="25" spans="1:29" s="3" customFormat="1" ht="15" x14ac:dyDescent="0.2">
      <c r="A25" s="36" t="s">
        <v>32</v>
      </c>
      <c r="B25" s="20">
        <v>8.2203993305057246</v>
      </c>
      <c r="C25" s="20">
        <v>7.1836101718072625</v>
      </c>
      <c r="D25" s="51">
        <v>8.3901824668277172</v>
      </c>
      <c r="E25" s="20">
        <f t="shared" si="1"/>
        <v>6.4548739299739282</v>
      </c>
      <c r="F25" s="20">
        <f t="shared" si="4"/>
        <v>5.560457341382401</v>
      </c>
      <c r="G25" s="51">
        <f t="shared" si="3"/>
        <v>5.8607044965393849</v>
      </c>
      <c r="H25" s="21">
        <v>47.889822400545242</v>
      </c>
      <c r="I25" s="21">
        <f t="shared" si="2"/>
        <v>-12.612394082255346</v>
      </c>
      <c r="J25" s="21">
        <f t="shared" si="2"/>
        <v>16.796182785025813</v>
      </c>
      <c r="K25" s="22"/>
      <c r="L25" s="42" t="s">
        <v>13</v>
      </c>
      <c r="M25" s="48"/>
      <c r="N25" s="48"/>
      <c r="O25" s="4"/>
      <c r="P25" s="4"/>
      <c r="Q25" s="4"/>
      <c r="R25" s="4"/>
      <c r="S25" s="4"/>
      <c r="T25" s="4"/>
      <c r="U25" s="4"/>
      <c r="V25" s="4"/>
      <c r="W25" s="4"/>
      <c r="X25" s="4"/>
      <c r="Y25" s="4"/>
      <c r="Z25" s="4"/>
      <c r="AA25" s="4"/>
      <c r="AB25" s="4"/>
      <c r="AC25" s="4"/>
    </row>
    <row r="26" spans="1:29" s="3" customFormat="1" ht="15" x14ac:dyDescent="0.2">
      <c r="A26" s="36" t="s">
        <v>33</v>
      </c>
      <c r="B26" s="20">
        <v>3.5789821165928566</v>
      </c>
      <c r="C26" s="20">
        <v>4.117024274419717</v>
      </c>
      <c r="D26" s="51">
        <v>5.7942599899738356</v>
      </c>
      <c r="E26" s="20">
        <f t="shared" si="1"/>
        <v>2.8103109631800454</v>
      </c>
      <c r="F26" s="20">
        <f t="shared" si="4"/>
        <v>3.1867734055490002</v>
      </c>
      <c r="G26" s="51">
        <f t="shared" si="3"/>
        <v>4.0474025102099374</v>
      </c>
      <c r="H26" s="21">
        <v>-6.6053746037123569</v>
      </c>
      <c r="I26" s="21">
        <f t="shared" si="2"/>
        <v>15.033384920600534</v>
      </c>
      <c r="J26" s="21">
        <f t="shared" si="2"/>
        <v>40.739029059781785</v>
      </c>
      <c r="K26" s="22"/>
      <c r="L26" s="42" t="s">
        <v>14</v>
      </c>
      <c r="M26" s="49"/>
      <c r="N26" s="50"/>
      <c r="O26" s="4"/>
      <c r="P26" s="4"/>
      <c r="Q26" s="4"/>
      <c r="R26" s="4"/>
      <c r="S26" s="4"/>
      <c r="T26" s="4"/>
      <c r="U26" s="4"/>
      <c r="V26" s="4"/>
      <c r="W26" s="4"/>
      <c r="X26" s="4"/>
      <c r="Y26" s="4"/>
      <c r="Z26" s="4"/>
      <c r="AA26" s="4"/>
      <c r="AB26" s="4"/>
      <c r="AC26" s="4"/>
    </row>
    <row r="27" spans="1:29" s="3" customFormat="1" ht="15" x14ac:dyDescent="0.2">
      <c r="A27" s="36" t="s">
        <v>34</v>
      </c>
      <c r="B27" s="20">
        <v>12.555886331006292</v>
      </c>
      <c r="C27" s="20">
        <v>10.779729136313419</v>
      </c>
      <c r="D27" s="51">
        <v>12.223952593290209</v>
      </c>
      <c r="E27" s="20">
        <f t="shared" si="1"/>
        <v>9.8592124405643045</v>
      </c>
      <c r="F27" s="20">
        <f t="shared" si="4"/>
        <v>8.3440251601302968</v>
      </c>
      <c r="G27" s="51">
        <f t="shared" si="3"/>
        <v>8.5386669732425098</v>
      </c>
      <c r="H27" s="21">
        <v>-14.414918846150441</v>
      </c>
      <c r="I27" s="21">
        <f t="shared" si="2"/>
        <v>-14.1460120605482</v>
      </c>
      <c r="J27" s="21">
        <f t="shared" si="2"/>
        <v>13.397585771535466</v>
      </c>
      <c r="K27" s="22"/>
      <c r="L27" s="42" t="s">
        <v>15</v>
      </c>
      <c r="M27" s="49"/>
      <c r="N27" s="49"/>
      <c r="O27" s="4"/>
      <c r="P27" s="4"/>
    </row>
    <row r="28" spans="1:29" s="3" customFormat="1" ht="15" x14ac:dyDescent="0.2">
      <c r="A28" s="36" t="s">
        <v>35</v>
      </c>
      <c r="B28" s="20">
        <v>20.006961722130814</v>
      </c>
      <c r="C28" s="20">
        <v>17.591605791181756</v>
      </c>
      <c r="D28" s="51">
        <v>24.21426468123731</v>
      </c>
      <c r="E28" s="20">
        <f t="shared" si="1"/>
        <v>15.709992963349576</v>
      </c>
      <c r="F28" s="20">
        <f t="shared" si="4"/>
        <v>13.616743006486489</v>
      </c>
      <c r="G28" s="51">
        <f>(D28/$D$8)*100</f>
        <v>16.914131541096118</v>
      </c>
      <c r="H28" s="21">
        <v>2.1966837377800648</v>
      </c>
      <c r="I28" s="21">
        <f t="shared" si="2"/>
        <v>-12.07257735829673</v>
      </c>
      <c r="J28" s="21">
        <f t="shared" si="2"/>
        <v>37.646699048789124</v>
      </c>
      <c r="K28" s="22"/>
      <c r="L28" s="42" t="s">
        <v>16</v>
      </c>
      <c r="M28" s="49"/>
      <c r="N28" s="49"/>
      <c r="O28" s="4"/>
      <c r="P28" s="4"/>
    </row>
    <row r="29" spans="1:29" s="3" customFormat="1" ht="15" x14ac:dyDescent="0.2">
      <c r="A29" s="36" t="s">
        <v>36</v>
      </c>
      <c r="B29" s="20">
        <v>12.824944463209524</v>
      </c>
      <c r="C29" s="20">
        <v>8.5205992519975222</v>
      </c>
      <c r="D29" s="51">
        <v>13.637841725925478</v>
      </c>
      <c r="E29" s="20">
        <f t="shared" si="1"/>
        <v>10.070483968063112</v>
      </c>
      <c r="F29" s="20">
        <f t="shared" si="4"/>
        <v>6.5953507401735152</v>
      </c>
      <c r="G29" s="51">
        <f t="shared" si="3"/>
        <v>9.5262958394805928</v>
      </c>
      <c r="H29" s="21">
        <v>22.311240205568982</v>
      </c>
      <c r="I29" s="21">
        <f t="shared" si="2"/>
        <v>-33.562291232993083</v>
      </c>
      <c r="J29" s="21">
        <f t="shared" si="2"/>
        <v>60.057307268949387</v>
      </c>
      <c r="K29" s="22"/>
      <c r="L29" s="42" t="s">
        <v>17</v>
      </c>
      <c r="M29" s="49"/>
      <c r="N29" s="49"/>
      <c r="O29" s="4"/>
      <c r="P29" s="4"/>
    </row>
    <row r="30" spans="1:29" s="3" customFormat="1" ht="15" x14ac:dyDescent="0.2">
      <c r="A30" s="36" t="s">
        <v>37</v>
      </c>
      <c r="B30" s="20">
        <v>4.1757914603981243</v>
      </c>
      <c r="C30" s="20">
        <v>3.7228406026800092</v>
      </c>
      <c r="D30" s="51">
        <v>5.0960265002171319</v>
      </c>
      <c r="E30" s="20">
        <f t="shared" si="1"/>
        <v>3.2789413690287685</v>
      </c>
      <c r="F30" s="20">
        <f t="shared" si="4"/>
        <v>2.8816564185526552</v>
      </c>
      <c r="G30" s="51">
        <f t="shared" si="3"/>
        <v>3.5596729323097422</v>
      </c>
      <c r="H30" s="21">
        <v>1.0975022322203518</v>
      </c>
      <c r="I30" s="21">
        <f t="shared" si="2"/>
        <v>-10.84706604756863</v>
      </c>
      <c r="J30" s="21">
        <f t="shared" si="2"/>
        <v>36.88543357318575</v>
      </c>
      <c r="K30" s="22"/>
      <c r="L30" s="42" t="s">
        <v>18</v>
      </c>
      <c r="M30" s="49"/>
      <c r="N30" s="49"/>
      <c r="O30" s="4"/>
      <c r="P30" s="4"/>
    </row>
    <row r="31" spans="1:29" s="3" customFormat="1" ht="15" x14ac:dyDescent="0.2">
      <c r="A31" s="37" t="s">
        <v>2</v>
      </c>
      <c r="B31" s="24">
        <v>9.1430560234572287</v>
      </c>
      <c r="C31" s="24">
        <v>10.356911892123186</v>
      </c>
      <c r="D31" s="52">
        <v>9.3776345015550255</v>
      </c>
      <c r="E31" s="24">
        <f t="shared" si="1"/>
        <v>7.1793682512591976</v>
      </c>
      <c r="F31" s="24">
        <f t="shared" si="4"/>
        <v>8.0167444206008067</v>
      </c>
      <c r="G31" s="52">
        <f t="shared" si="3"/>
        <v>6.5504588139125799</v>
      </c>
      <c r="H31" s="23">
        <v>19.615117831430698</v>
      </c>
      <c r="I31" s="23">
        <f t="shared" si="2"/>
        <v>13.276259770821866</v>
      </c>
      <c r="J31" s="23">
        <f>((D31-C31)/C31)*100</f>
        <v>-9.455302900789734</v>
      </c>
      <c r="K31" s="25"/>
      <c r="L31" s="43" t="s">
        <v>19</v>
      </c>
      <c r="M31" s="49"/>
      <c r="N31" s="49"/>
      <c r="O31" s="4"/>
      <c r="P31" s="4"/>
    </row>
    <row r="32" spans="1:29" s="3" customFormat="1" ht="14.25" x14ac:dyDescent="0.25">
      <c r="A32" s="1" t="s">
        <v>38</v>
      </c>
      <c r="B32" s="5"/>
      <c r="C32" s="5"/>
      <c r="D32" s="5"/>
      <c r="E32" s="26"/>
      <c r="F32" s="26"/>
      <c r="G32" s="26"/>
      <c r="H32" s="5"/>
      <c r="I32" s="5"/>
      <c r="J32" s="5"/>
      <c r="K32" s="5"/>
      <c r="L32" s="38" t="s">
        <v>43</v>
      </c>
      <c r="O32" s="4"/>
      <c r="P32" s="4"/>
    </row>
    <row r="33" spans="1:16" s="6" customFormat="1" ht="37.5" customHeight="1" x14ac:dyDescent="0.25">
      <c r="A33" s="53" t="s">
        <v>55</v>
      </c>
      <c r="B33" s="53"/>
      <c r="C33" s="53"/>
      <c r="D33" s="53"/>
      <c r="E33" s="53"/>
      <c r="F33" s="53"/>
      <c r="G33" s="53"/>
      <c r="H33" s="53"/>
      <c r="I33" s="53"/>
      <c r="J33" s="53"/>
      <c r="K33" s="53"/>
      <c r="L33" s="53"/>
      <c r="O33" s="4"/>
      <c r="P33" s="4"/>
    </row>
    <row r="34" spans="1:16" s="6" customFormat="1" x14ac:dyDescent="0.25">
      <c r="A34" s="7"/>
      <c r="E34" s="27"/>
      <c r="F34" s="27"/>
      <c r="G34" s="27"/>
      <c r="H34" s="28"/>
      <c r="I34" s="28"/>
      <c r="J34" s="28"/>
    </row>
    <row r="35" spans="1:16" s="3" customFormat="1" ht="12" x14ac:dyDescent="0.25">
      <c r="E35" s="8"/>
      <c r="F35" s="8"/>
      <c r="G35" s="8"/>
    </row>
    <row r="36" spans="1:16" s="3" customFormat="1" ht="12" x14ac:dyDescent="0.25">
      <c r="E36" s="8"/>
      <c r="F36" s="8"/>
      <c r="G36" s="8"/>
    </row>
    <row r="37" spans="1:16" s="3" customFormat="1" ht="12" x14ac:dyDescent="0.25">
      <c r="E37" s="8"/>
      <c r="F37" s="8"/>
      <c r="G37" s="8"/>
    </row>
    <row r="38" spans="1:16" s="3" customFormat="1" ht="12" x14ac:dyDescent="0.25">
      <c r="E38" s="8"/>
      <c r="F38" s="8"/>
      <c r="G38" s="8"/>
    </row>
    <row r="39" spans="1:16" s="3" customFormat="1" ht="12" x14ac:dyDescent="0.25">
      <c r="E39" s="8"/>
      <c r="F39" s="8"/>
      <c r="G39" s="8"/>
    </row>
    <row r="40" spans="1:16" s="3" customFormat="1" ht="12" x14ac:dyDescent="0.25">
      <c r="E40" s="8"/>
      <c r="F40" s="8"/>
      <c r="G40" s="8"/>
    </row>
    <row r="41" spans="1:16" s="3" customFormat="1" ht="12" x14ac:dyDescent="0.25">
      <c r="E41" s="8"/>
      <c r="F41" s="8"/>
      <c r="G41" s="8"/>
    </row>
    <row r="42" spans="1:16" s="3" customFormat="1" ht="12" x14ac:dyDescent="0.25">
      <c r="E42" s="8"/>
      <c r="F42" s="8"/>
      <c r="G42" s="8"/>
    </row>
    <row r="43" spans="1:16" s="3" customFormat="1" ht="12" x14ac:dyDescent="0.25">
      <c r="E43" s="8"/>
      <c r="F43" s="8"/>
      <c r="G43" s="8"/>
    </row>
    <row r="44" spans="1:16" s="3" customFormat="1" ht="12" x14ac:dyDescent="0.25">
      <c r="E44" s="8"/>
      <c r="F44" s="8"/>
      <c r="G44" s="8"/>
    </row>
    <row r="45" spans="1:16" s="3" customFormat="1" ht="12" x14ac:dyDescent="0.25">
      <c r="E45" s="8"/>
      <c r="F45" s="8"/>
      <c r="G45" s="8"/>
    </row>
    <row r="46" spans="1:16" s="3" customFormat="1" ht="12" x14ac:dyDescent="0.25">
      <c r="E46" s="8"/>
      <c r="F46" s="8"/>
      <c r="G46" s="8"/>
    </row>
    <row r="47" spans="1:16" s="3" customFormat="1" ht="12" x14ac:dyDescent="0.25">
      <c r="E47" s="8"/>
      <c r="F47" s="8"/>
      <c r="G47" s="8"/>
    </row>
    <row r="48" spans="1:16" s="3" customFormat="1" ht="12" x14ac:dyDescent="0.25">
      <c r="E48" s="8"/>
      <c r="F48" s="8"/>
      <c r="G48" s="8"/>
    </row>
    <row r="49" spans="1:12" s="3" customFormat="1" ht="12" x14ac:dyDescent="0.25">
      <c r="E49" s="8"/>
      <c r="F49" s="8"/>
      <c r="G49" s="8"/>
    </row>
    <row r="50" spans="1:12" s="3" customFormat="1" ht="12" x14ac:dyDescent="0.25">
      <c r="E50" s="8"/>
      <c r="F50" s="8"/>
      <c r="G50" s="8"/>
    </row>
    <row r="51" spans="1:12" s="3" customFormat="1" ht="12" x14ac:dyDescent="0.25">
      <c r="E51" s="8"/>
      <c r="F51" s="8"/>
      <c r="G51" s="8"/>
    </row>
    <row r="52" spans="1:12" s="3" customFormat="1" ht="12" x14ac:dyDescent="0.25">
      <c r="E52" s="8"/>
      <c r="F52" s="8"/>
      <c r="G52" s="8"/>
    </row>
    <row r="53" spans="1:12" s="3" customFormat="1" ht="12" x14ac:dyDescent="0.25">
      <c r="E53" s="8"/>
      <c r="F53" s="8"/>
      <c r="G53" s="8"/>
    </row>
    <row r="54" spans="1:12" s="3" customFormat="1" ht="12" x14ac:dyDescent="0.25">
      <c r="E54" s="8"/>
      <c r="F54" s="8"/>
      <c r="G54" s="8"/>
    </row>
    <row r="55" spans="1:12" s="3" customFormat="1" ht="12" x14ac:dyDescent="0.25">
      <c r="E55" s="8"/>
      <c r="F55" s="8"/>
      <c r="G55" s="8"/>
    </row>
    <row r="56" spans="1:12" s="3" customFormat="1" ht="12" x14ac:dyDescent="0.25">
      <c r="E56" s="8"/>
      <c r="F56" s="8"/>
      <c r="G56" s="8"/>
    </row>
    <row r="57" spans="1:12" s="3" customFormat="1" ht="12" x14ac:dyDescent="0.25">
      <c r="E57" s="8"/>
      <c r="F57" s="8"/>
      <c r="G57" s="8"/>
    </row>
    <row r="58" spans="1:12" s="3" customFormat="1" ht="12" x14ac:dyDescent="0.25">
      <c r="E58" s="8"/>
      <c r="F58" s="8"/>
      <c r="G58" s="8"/>
    </row>
    <row r="59" spans="1:12" s="3" customFormat="1" ht="12" x14ac:dyDescent="0.25">
      <c r="E59" s="8"/>
      <c r="F59" s="8"/>
      <c r="G59" s="8"/>
    </row>
    <row r="60" spans="1:12" s="3" customFormat="1" ht="12" x14ac:dyDescent="0.25">
      <c r="E60" s="8"/>
      <c r="F60" s="8"/>
      <c r="G60" s="8"/>
    </row>
    <row r="61" spans="1:12" s="3" customFormat="1" ht="12" x14ac:dyDescent="0.25">
      <c r="E61" s="8"/>
      <c r="F61" s="8"/>
      <c r="G61" s="8"/>
    </row>
    <row r="62" spans="1:12" x14ac:dyDescent="0.25">
      <c r="A62" s="3"/>
      <c r="B62" s="3"/>
      <c r="C62" s="3"/>
      <c r="D62" s="3"/>
      <c r="E62" s="8"/>
      <c r="F62" s="8"/>
      <c r="G62" s="8"/>
      <c r="H62" s="3"/>
      <c r="I62" s="3"/>
      <c r="J62" s="3"/>
      <c r="K62" s="3"/>
      <c r="L62" s="3"/>
    </row>
    <row r="63" spans="1:12" x14ac:dyDescent="0.25">
      <c r="A63" s="3"/>
      <c r="B63" s="3"/>
      <c r="C63" s="3"/>
      <c r="D63" s="3"/>
      <c r="E63" s="8"/>
      <c r="F63" s="8"/>
      <c r="G63" s="8"/>
      <c r="H63" s="3"/>
      <c r="I63" s="3"/>
      <c r="J63" s="3"/>
      <c r="K63" s="3"/>
      <c r="L63" s="3"/>
    </row>
    <row r="64" spans="1:12" x14ac:dyDescent="0.25">
      <c r="A64" s="3"/>
      <c r="B64" s="3"/>
      <c r="C64" s="3"/>
      <c r="D64" s="3"/>
      <c r="E64" s="8"/>
      <c r="F64" s="8"/>
      <c r="G64" s="8"/>
      <c r="H64" s="3"/>
      <c r="I64" s="3"/>
      <c r="J64" s="3"/>
      <c r="K64" s="3"/>
      <c r="L64" s="3"/>
    </row>
    <row r="65" spans="1:12" x14ac:dyDescent="0.25">
      <c r="A65" s="3"/>
      <c r="B65" s="3"/>
      <c r="C65" s="3"/>
      <c r="D65" s="3"/>
      <c r="E65" s="8"/>
      <c r="F65" s="8"/>
      <c r="G65" s="8"/>
      <c r="H65" s="3"/>
      <c r="I65" s="3"/>
      <c r="J65" s="3"/>
      <c r="K65" s="3"/>
      <c r="L65" s="3"/>
    </row>
    <row r="66" spans="1:12" x14ac:dyDescent="0.25">
      <c r="A66" s="3"/>
      <c r="B66" s="3"/>
      <c r="C66" s="3"/>
      <c r="D66" s="3"/>
      <c r="E66" s="8"/>
      <c r="F66" s="8"/>
      <c r="G66" s="8"/>
      <c r="H66" s="3"/>
      <c r="I66" s="3"/>
      <c r="J66" s="3"/>
      <c r="K66" s="3"/>
      <c r="L66" s="3"/>
    </row>
    <row r="67" spans="1:12" x14ac:dyDescent="0.25">
      <c r="A67" s="3"/>
      <c r="B67" s="3"/>
      <c r="C67" s="3"/>
      <c r="D67" s="3"/>
      <c r="E67" s="8"/>
      <c r="F67" s="8"/>
      <c r="G67" s="8"/>
      <c r="H67" s="3"/>
      <c r="I67" s="3"/>
      <c r="J67" s="3"/>
      <c r="K67" s="3"/>
      <c r="L67" s="3"/>
    </row>
  </sheetData>
  <mergeCells count="11">
    <mergeCell ref="A33:L33"/>
    <mergeCell ref="H6:J6"/>
    <mergeCell ref="H5:J5"/>
    <mergeCell ref="A1:L1"/>
    <mergeCell ref="A2:L2"/>
    <mergeCell ref="A5:A7"/>
    <mergeCell ref="L5:L7"/>
    <mergeCell ref="B5:D5"/>
    <mergeCell ref="B6:D6"/>
    <mergeCell ref="E5:G5"/>
    <mergeCell ref="E6:G6"/>
  </mergeCells>
  <pageMargins left="0.38" right="0.17" top="0.41" bottom="0.27" header="0.3" footer="0.17"/>
  <pageSetup paperSize="9" scale="95" orientation="landscape" r:id="rId1"/>
  <ignoredErrors>
    <ignoredError sqref="B10:D10 J10:K10 E10"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9.2</vt:lpstr>
      <vt:lpstr>'9.2'!Print_Area</vt:lpstr>
    </vt:vector>
  </TitlesOfParts>
  <Company>Department of National Planning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2018-11-21T07:23:20Z</cp:lastPrinted>
  <dcterms:created xsi:type="dcterms:W3CDTF">2014-03-04T03:52:57Z</dcterms:created>
  <dcterms:modified xsi:type="dcterms:W3CDTF">2018-11-21T07:23:49Z</dcterms:modified>
</cp:coreProperties>
</file>