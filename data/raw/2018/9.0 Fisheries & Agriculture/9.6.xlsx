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6" sheetId="11" r:id="rId1"/>
  </sheets>
  <externalReferences>
    <externalReference r:id="rId2"/>
    <externalReference r:id="rId3"/>
  </externalReferences>
  <definedNames>
    <definedName name="_xlnm.Print_Area" localSheetId="0">'9.6'!$A$1:$P$51</definedName>
  </definedNames>
  <calcPr calcId="162913"/>
</workbook>
</file>

<file path=xl/calcChain.xml><?xml version="1.0" encoding="utf-8"?>
<calcChain xmlns="http://schemas.openxmlformats.org/spreadsheetml/2006/main">
  <c r="F39" i="11" l="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O10" i="11"/>
  <c r="N10" i="11"/>
  <c r="M10" i="11"/>
  <c r="L10" i="11"/>
  <c r="K10" i="11"/>
  <c r="J10" i="11"/>
  <c r="I10" i="11"/>
  <c r="H10" i="11"/>
  <c r="G10" i="11"/>
  <c r="O9" i="11"/>
  <c r="N9" i="11"/>
  <c r="M9" i="11"/>
  <c r="L9" i="11"/>
  <c r="K9" i="11"/>
  <c r="K6" i="11" s="1"/>
  <c r="J9" i="11"/>
  <c r="I9" i="11"/>
  <c r="H9" i="11"/>
  <c r="G9" i="11"/>
  <c r="O8" i="11"/>
  <c r="N8" i="11"/>
  <c r="M8" i="11"/>
  <c r="L8" i="11"/>
  <c r="L6" i="11" s="1"/>
  <c r="K8" i="11"/>
  <c r="J8" i="11"/>
  <c r="I8" i="11"/>
  <c r="H8" i="11"/>
  <c r="G8" i="11"/>
  <c r="F8" i="11"/>
  <c r="E8" i="11"/>
  <c r="D8" i="11"/>
  <c r="C8" i="11"/>
  <c r="O7" i="11"/>
  <c r="O6" i="11" s="1"/>
  <c r="N7" i="11"/>
  <c r="M7" i="11"/>
  <c r="M6" i="11" s="1"/>
  <c r="L7" i="11"/>
  <c r="K7" i="11"/>
  <c r="J7" i="11"/>
  <c r="I7" i="11"/>
  <c r="I6" i="11" s="1"/>
  <c r="H7" i="11"/>
  <c r="G7" i="11"/>
  <c r="G6" i="11" s="1"/>
  <c r="F7" i="11"/>
  <c r="E7" i="11"/>
  <c r="E6" i="11" s="1"/>
  <c r="D7" i="11"/>
  <c r="C7" i="11"/>
  <c r="N6" i="11"/>
  <c r="J6" i="11"/>
  <c r="H6" i="11"/>
  <c r="F6" i="11"/>
  <c r="D6" i="11"/>
  <c r="C6" i="11"/>
</calcChain>
</file>

<file path=xl/sharedStrings.xml><?xml version="1.0" encoding="utf-8"?>
<sst xmlns="http://schemas.openxmlformats.org/spreadsheetml/2006/main" count="72" uniqueCount="34">
  <si>
    <t>-</t>
  </si>
  <si>
    <t>Source: Ministry of Fisheries  and Agriculture</t>
  </si>
  <si>
    <t xml:space="preserve"> rwCclwkircgea cDcnea  czIrwxif cfoa IrcTcsinim :ctWrwf ivcaedutWmUluAwm</t>
  </si>
  <si>
    <t>EEZ</t>
  </si>
  <si>
    <t>(cnunwT ckircTem)</t>
  </si>
  <si>
    <t>cswmwlibuLwk</t>
  </si>
  <si>
    <t>ilencnwk</t>
  </si>
  <si>
    <t>ilencnwk uDobOl</t>
  </si>
  <si>
    <t>cswmurwf cnehinehea</t>
  </si>
  <si>
    <t>Yellowfin tuna</t>
  </si>
  <si>
    <t>Bigeye tuna</t>
  </si>
  <si>
    <t>Skipjack</t>
  </si>
  <si>
    <t>Other tuna related species</t>
  </si>
  <si>
    <t>Other Marine Fishes</t>
  </si>
  <si>
    <t>(In metric tons)</t>
  </si>
  <si>
    <t>Type of vessel &amp; species</t>
  </si>
  <si>
    <t>ctwvWb eguhwm iaWdnwLua</t>
  </si>
  <si>
    <t>All Vessels</t>
  </si>
  <si>
    <t>urwhwf udnwLua Whiruh</t>
  </si>
  <si>
    <t>cswm iSov idwa iDnogWr ,iTcawl</t>
  </si>
  <si>
    <t>Mechanised Masdhoni</t>
  </si>
  <si>
    <t>inOd cswm iLea unIjcnia</t>
  </si>
  <si>
    <t>Sail Masdhoni</t>
  </si>
  <si>
    <t>Vadhu dhoni</t>
  </si>
  <si>
    <t>Rowing Boats</t>
  </si>
  <si>
    <t>Miscellaneous</t>
  </si>
  <si>
    <t>Albacore</t>
  </si>
  <si>
    <t>ilencnwk ugid ctwfcnwk</t>
  </si>
  <si>
    <t>2017 - 2013 ,cswminEb wtwvun ifih cnutog egutwvWb eguhwm iaWncnutog egudnwLua : 9.6 ulwvWt</t>
  </si>
  <si>
    <t>Table 9.6 :  FISH CATCH BY TYPE OF VESSELS AND SPECIES, 2013 - 2017</t>
  </si>
  <si>
    <t>Other vessels</t>
  </si>
  <si>
    <t>inOdcswm cnehinehea</t>
  </si>
  <si>
    <t>Longline vessels</t>
  </si>
  <si>
    <t>udnwLua egumwkirevcswm unEl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</si>
</sst>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[$-409]mmmm\ d\,\ yyyy;@"/>
    <numFmt numFmtId="165" formatCode="General_)"/>
    <numFmt numFmtId="166" formatCode="0.0"/>
    <numFmt numFmtId="169" formatCode="#,##0.0_);[Red]\(#,##0.0\)"/>
    <numFmt numFmtId="170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b/>
      <sz val="10"/>
      <name val="Calibri"/>
      <family val="2"/>
    </font>
    <font>
      <sz val="10"/>
      <name val="Faruma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b/>
      <sz val="12"/>
      <name val="Calibri"/>
      <family val="2"/>
    </font>
    <font>
      <b/>
      <sz val="10"/>
      <name val="A_Faseyha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A_Waheed"/>
    </font>
    <font>
      <b/>
      <sz val="10"/>
      <name val="A_Waheed"/>
    </font>
    <font>
      <sz val="10"/>
      <name val="A_Waheed"/>
    </font>
    <font>
      <b/>
      <sz val="9"/>
      <name val="A_Waheed"/>
    </font>
    <font>
      <sz val="9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164" fontId="2" fillId="0" borderId="0"/>
    <xf numFmtId="165" fontId="2" fillId="0" borderId="0"/>
    <xf numFmtId="0" fontId="2" fillId="0" borderId="0"/>
    <xf numFmtId="9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4" fillId="0" borderId="0"/>
    <xf numFmtId="0" fontId="4" fillId="0" borderId="0"/>
  </cellStyleXfs>
  <cellXfs count="71">
    <xf numFmtId="0" fontId="0" fillId="0" borderId="0" xfId="0"/>
    <xf numFmtId="165" fontId="11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3" fillId="2" borderId="0" xfId="4" applyFont="1" applyFill="1" applyAlignment="1">
      <alignment vertical="center"/>
    </xf>
    <xf numFmtId="165" fontId="15" fillId="2" borderId="0" xfId="4" applyFont="1" applyFill="1" applyAlignment="1">
      <alignment vertical="center"/>
    </xf>
    <xf numFmtId="165" fontId="16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12" fillId="2" borderId="0" xfId="4" applyFont="1" applyFill="1" applyAlignment="1" applyProtection="1">
      <alignment horizontal="left" vertical="center"/>
    </xf>
    <xf numFmtId="165" fontId="4" fillId="2" borderId="0" xfId="4" applyFont="1" applyFill="1" applyAlignment="1">
      <alignment vertical="center"/>
    </xf>
    <xf numFmtId="165" fontId="5" fillId="2" borderId="0" xfId="4" applyFont="1" applyFill="1" applyAlignment="1" applyProtection="1">
      <alignment horizontal="left" vertical="center"/>
    </xf>
    <xf numFmtId="1" fontId="4" fillId="2" borderId="0" xfId="4" applyNumberFormat="1" applyFont="1" applyFill="1" applyAlignment="1">
      <alignment vertical="center"/>
    </xf>
    <xf numFmtId="165" fontId="8" fillId="2" borderId="0" xfId="4" applyFont="1" applyFill="1" applyAlignment="1">
      <alignment horizontal="centerContinuous" vertical="center"/>
    </xf>
    <xf numFmtId="165" fontId="7" fillId="2" borderId="0" xfId="4" applyFont="1" applyFill="1" applyAlignment="1" applyProtection="1">
      <alignment horizontal="left" vertical="center"/>
    </xf>
    <xf numFmtId="165" fontId="7" fillId="2" borderId="1" xfId="4" applyFont="1" applyFill="1" applyBorder="1" applyAlignment="1" applyProtection="1">
      <alignment horizontal="left" vertical="center"/>
    </xf>
    <xf numFmtId="165" fontId="16" fillId="2" borderId="0" xfId="4" applyFont="1" applyFill="1" applyAlignment="1">
      <alignment horizontal="right" vertical="center"/>
    </xf>
    <xf numFmtId="165" fontId="8" fillId="2" borderId="0" xfId="4" applyFont="1" applyFill="1" applyAlignment="1">
      <alignment horizontal="right" vertical="center"/>
    </xf>
    <xf numFmtId="165" fontId="8" fillId="2" borderId="0" xfId="4" applyFont="1" applyFill="1" applyAlignment="1" applyProtection="1">
      <alignment horizontal="centerContinuous" vertical="center"/>
    </xf>
    <xf numFmtId="165" fontId="19" fillId="2" borderId="0" xfId="4" applyFont="1" applyFill="1" applyAlignment="1">
      <alignment horizontal="centerContinuous" vertical="center"/>
    </xf>
    <xf numFmtId="165" fontId="5" fillId="2" borderId="0" xfId="4" applyFont="1" applyFill="1" applyAlignment="1">
      <alignment horizontal="centerContinuous" vertical="center"/>
    </xf>
    <xf numFmtId="165" fontId="5" fillId="2" borderId="2" xfId="4" applyFont="1" applyFill="1" applyBorder="1" applyAlignment="1" applyProtection="1">
      <alignment horizontal="right" vertical="center"/>
    </xf>
    <xf numFmtId="38" fontId="12" fillId="2" borderId="0" xfId="7" applyNumberFormat="1" applyFont="1" applyFill="1" applyAlignment="1" applyProtection="1">
      <alignment horizontal="right" vertical="center"/>
    </xf>
    <xf numFmtId="38" fontId="5" fillId="2" borderId="0" xfId="7" applyNumberFormat="1" applyFont="1" applyFill="1" applyAlignment="1" applyProtection="1">
      <alignment horizontal="right" vertical="center"/>
    </xf>
    <xf numFmtId="38" fontId="5" fillId="2" borderId="0" xfId="2" applyNumberFormat="1" applyFont="1" applyFill="1" applyAlignment="1" applyProtection="1">
      <alignment horizontal="right" vertical="center"/>
    </xf>
    <xf numFmtId="9" fontId="9" fillId="2" borderId="0" xfId="6" applyFont="1" applyFill="1" applyAlignment="1">
      <alignment vertical="center"/>
    </xf>
    <xf numFmtId="38" fontId="7" fillId="2" borderId="0" xfId="7" applyNumberFormat="1" applyFont="1" applyFill="1" applyAlignment="1" applyProtection="1">
      <alignment horizontal="right" vertical="center"/>
      <protection locked="0"/>
    </xf>
    <xf numFmtId="38" fontId="10" fillId="2" borderId="0" xfId="7" applyNumberFormat="1" applyFont="1" applyFill="1" applyAlignment="1" applyProtection="1">
      <alignment horizontal="right" vertical="center"/>
      <protection locked="0"/>
    </xf>
    <xf numFmtId="38" fontId="10" fillId="2" borderId="0" xfId="2" applyNumberFormat="1" applyFont="1" applyFill="1" applyAlignment="1" applyProtection="1">
      <alignment horizontal="right" vertical="center"/>
      <protection locked="0"/>
    </xf>
    <xf numFmtId="165" fontId="12" fillId="2" borderId="0" xfId="4" applyFont="1" applyFill="1" applyAlignment="1">
      <alignment horizontal="left" vertical="center"/>
    </xf>
    <xf numFmtId="165" fontId="7" fillId="2" borderId="0" xfId="4" applyFont="1" applyFill="1" applyAlignment="1">
      <alignment horizontal="left" vertical="center"/>
    </xf>
    <xf numFmtId="38" fontId="12" fillId="2" borderId="0" xfId="7" applyNumberFormat="1" applyFont="1" applyFill="1" applyBorder="1" applyAlignment="1" applyProtection="1">
      <alignment horizontal="right" vertical="center"/>
    </xf>
    <xf numFmtId="38" fontId="10" fillId="2" borderId="0" xfId="7" applyNumberFormat="1" applyFont="1" applyFill="1" applyAlignment="1" applyProtection="1">
      <alignment horizontal="right" vertical="center"/>
    </xf>
    <xf numFmtId="169" fontId="14" fillId="2" borderId="0" xfId="7" applyNumberFormat="1" applyFont="1" applyFill="1" applyAlignment="1" applyProtection="1">
      <alignment horizontal="right" vertical="center"/>
    </xf>
    <xf numFmtId="169" fontId="14" fillId="2" borderId="0" xfId="2" applyNumberFormat="1" applyFont="1" applyFill="1" applyAlignment="1" applyProtection="1">
      <alignment horizontal="right" vertical="center"/>
    </xf>
    <xf numFmtId="38" fontId="7" fillId="2" borderId="1" xfId="7" applyNumberFormat="1" applyFont="1" applyFill="1" applyBorder="1" applyAlignment="1" applyProtection="1">
      <alignment horizontal="right" vertical="center"/>
      <protection locked="0"/>
    </xf>
    <xf numFmtId="38" fontId="10" fillId="2" borderId="1" xfId="7" applyNumberFormat="1" applyFont="1" applyFill="1" applyBorder="1" applyAlignment="1" applyProtection="1">
      <alignment horizontal="right" vertical="center"/>
      <protection locked="0"/>
    </xf>
    <xf numFmtId="165" fontId="20" fillId="2" borderId="0" xfId="4" applyFont="1" applyFill="1" applyAlignment="1" applyProtection="1">
      <alignment horizontal="left" vertical="center"/>
    </xf>
    <xf numFmtId="165" fontId="7" fillId="2" borderId="0" xfId="4" applyFont="1" applyFill="1" applyAlignment="1">
      <alignment vertical="center"/>
    </xf>
    <xf numFmtId="165" fontId="10" fillId="2" borderId="0" xfId="4" applyFont="1" applyFill="1" applyAlignment="1">
      <alignment vertical="center"/>
    </xf>
    <xf numFmtId="1" fontId="13" fillId="2" borderId="0" xfId="4" applyNumberFormat="1" applyFont="1" applyFill="1" applyAlignment="1">
      <alignment vertical="center" readingOrder="2"/>
    </xf>
    <xf numFmtId="38" fontId="8" fillId="2" borderId="0" xfId="7" applyNumberFormat="1" applyFont="1" applyFill="1" applyAlignment="1" applyProtection="1">
      <alignment horizontal="right" vertical="center"/>
    </xf>
    <xf numFmtId="165" fontId="5" fillId="2" borderId="0" xfId="4" applyFont="1" applyFill="1" applyAlignment="1">
      <alignment vertical="center"/>
    </xf>
    <xf numFmtId="165" fontId="5" fillId="2" borderId="0" xfId="4" applyFont="1" applyFill="1" applyAlignment="1">
      <alignment horizontal="left" vertical="center"/>
    </xf>
    <xf numFmtId="165" fontId="12" fillId="2" borderId="2" xfId="4" applyFont="1" applyFill="1" applyBorder="1" applyAlignment="1" applyProtection="1">
      <alignment horizontal="left" vertical="center"/>
    </xf>
    <xf numFmtId="165" fontId="12" fillId="2" borderId="2" xfId="4" applyFont="1" applyFill="1" applyBorder="1" applyAlignment="1" applyProtection="1">
      <alignment horizontal="right" vertical="center"/>
    </xf>
    <xf numFmtId="1" fontId="9" fillId="2" borderId="0" xfId="4" applyNumberFormat="1" applyFont="1" applyFill="1" applyAlignment="1">
      <alignment vertical="center"/>
    </xf>
    <xf numFmtId="1" fontId="0" fillId="2" borderId="0" xfId="4" applyNumberFormat="1" applyFont="1" applyFill="1" applyAlignment="1">
      <alignment vertical="center"/>
    </xf>
    <xf numFmtId="166" fontId="9" fillId="2" borderId="0" xfId="4" applyNumberFormat="1" applyFont="1" applyFill="1" applyAlignment="1">
      <alignment vertical="center"/>
    </xf>
    <xf numFmtId="165" fontId="23" fillId="2" borderId="0" xfId="0" applyNumberFormat="1" applyFont="1" applyFill="1" applyAlignment="1">
      <alignment horizontal="right" vertical="center"/>
    </xf>
    <xf numFmtId="165" fontId="24" fillId="2" borderId="0" xfId="4" applyFont="1" applyFill="1" applyAlignment="1">
      <alignment horizontal="right" vertical="center"/>
    </xf>
    <xf numFmtId="165" fontId="25" fillId="2" borderId="0" xfId="4" applyFont="1" applyFill="1" applyBorder="1" applyAlignment="1">
      <alignment horizontal="right" vertical="center"/>
    </xf>
    <xf numFmtId="165" fontId="22" fillId="2" borderId="2" xfId="4" applyFont="1" applyFill="1" applyBorder="1" applyAlignment="1">
      <alignment horizontal="right" vertical="center"/>
    </xf>
    <xf numFmtId="165" fontId="25" fillId="2" borderId="0" xfId="4" applyFont="1" applyFill="1" applyAlignment="1">
      <alignment horizontal="right" vertical="center"/>
    </xf>
    <xf numFmtId="165" fontId="25" fillId="2" borderId="1" xfId="4" applyFont="1" applyFill="1" applyBorder="1" applyAlignment="1">
      <alignment horizontal="right" vertical="center"/>
    </xf>
    <xf numFmtId="165" fontId="22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170" fontId="9" fillId="2" borderId="0" xfId="1" applyNumberFormat="1" applyFont="1" applyFill="1" applyAlignment="1">
      <alignment vertical="center"/>
    </xf>
    <xf numFmtId="170" fontId="9" fillId="2" borderId="0" xfId="4" applyNumberFormat="1" applyFont="1" applyFill="1" applyAlignment="1">
      <alignment vertical="center"/>
    </xf>
    <xf numFmtId="165" fontId="7" fillId="2" borderId="3" xfId="4" applyFont="1" applyFill="1" applyBorder="1" applyAlignment="1" applyProtection="1">
      <alignment horizontal="left" vertical="center"/>
    </xf>
    <xf numFmtId="38" fontId="7" fillId="2" borderId="3" xfId="7" applyNumberFormat="1" applyFont="1" applyFill="1" applyBorder="1" applyAlignment="1" applyProtection="1">
      <alignment horizontal="right" vertical="center"/>
      <protection locked="0"/>
    </xf>
    <xf numFmtId="38" fontId="10" fillId="2" borderId="3" xfId="7" applyNumberFormat="1" applyFont="1" applyFill="1" applyBorder="1" applyAlignment="1" applyProtection="1">
      <alignment horizontal="right" vertical="center"/>
      <protection locked="0"/>
    </xf>
    <xf numFmtId="38" fontId="10" fillId="2" borderId="3" xfId="2" applyNumberFormat="1" applyFont="1" applyFill="1" applyBorder="1" applyAlignment="1" applyProtection="1">
      <alignment horizontal="right" vertical="center"/>
      <protection locked="0"/>
    </xf>
    <xf numFmtId="165" fontId="25" fillId="2" borderId="3" xfId="4" applyFont="1" applyFill="1" applyBorder="1" applyAlignment="1">
      <alignment horizontal="right" vertical="center"/>
    </xf>
    <xf numFmtId="165" fontId="12" fillId="2" borderId="3" xfId="4" applyFont="1" applyFill="1" applyBorder="1" applyAlignment="1" applyProtection="1">
      <alignment horizontal="left" vertical="center"/>
    </xf>
    <xf numFmtId="38" fontId="12" fillId="2" borderId="3" xfId="7" applyNumberFormat="1" applyFont="1" applyFill="1" applyBorder="1" applyAlignment="1" applyProtection="1">
      <alignment horizontal="right" vertical="center"/>
    </xf>
    <xf numFmtId="38" fontId="5" fillId="2" borderId="3" xfId="2" applyNumberFormat="1" applyFont="1" applyFill="1" applyBorder="1" applyAlignment="1" applyProtection="1">
      <alignment horizontal="right" vertical="center"/>
    </xf>
    <xf numFmtId="165" fontId="24" fillId="2" borderId="3" xfId="4" applyFont="1" applyFill="1" applyBorder="1" applyAlignment="1">
      <alignment horizontal="right" vertical="center"/>
    </xf>
    <xf numFmtId="165" fontId="21" fillId="2" borderId="0" xfId="4" applyFont="1" applyFill="1" applyAlignment="1">
      <alignment horizontal="center" vertical="center"/>
    </xf>
    <xf numFmtId="165" fontId="17" fillId="2" borderId="0" xfId="4" applyFont="1" applyFill="1" applyAlignment="1" applyProtection="1">
      <alignment horizontal="center" vertical="center"/>
    </xf>
    <xf numFmtId="165" fontId="18" fillId="2" borderId="0" xfId="4" applyFont="1" applyFill="1" applyAlignment="1">
      <alignment horizontal="center" vertical="center" wrapText="1"/>
    </xf>
  </cellXfs>
  <cellStyles count="10">
    <cellStyle name="1" xfId="8"/>
    <cellStyle name="Comma" xfId="1" builtinId="3"/>
    <cellStyle name="Comma 2" xfId="2"/>
    <cellStyle name="Comma_Fish &amp;  Agri - 8" xfId="7"/>
    <cellStyle name="Normal" xfId="0" builtinId="0"/>
    <cellStyle name="Normal 2" xfId="5"/>
    <cellStyle name="Normal 3_agri planning 2009 year book(final)" xfId="3"/>
    <cellStyle name="Normal 4" xfId="9"/>
    <cellStyle name="Normal_Fish &amp;  Agri - 8" xfId="4"/>
    <cellStyle name="Percent" xfId="6" builtinId="5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94444444444444"/>
          <c:y val="0.2824973267230485"/>
          <c:w val="0.81388888888888888"/>
          <c:h val="0.6905197498460841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68C-4D58-AD6E-04471FFBF6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68C-4D58-AD6E-04471FFBF698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E68C-4D58-AD6E-04471FFBF6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68C-4D58-AD6E-04471FFBF6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68C-4D58-AD6E-04471FFBF698}"/>
              </c:ext>
            </c:extLst>
          </c:dPt>
          <c:dPt>
            <c:idx val="5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68C-4D58-AD6E-04471FFBF698}"/>
              </c:ext>
            </c:extLst>
          </c:dPt>
          <c:dLbls>
            <c:dLbl>
              <c:idx val="0"/>
              <c:layout>
                <c:manualLayout>
                  <c:x val="-0.26848611365439784"/>
                  <c:y val="-8.998858838297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68C-4D58-AD6E-04471FFBF698}"/>
                </c:ext>
              </c:extLst>
            </c:dLbl>
            <c:dLbl>
              <c:idx val="1"/>
              <c:layout>
                <c:manualLayout>
                  <c:x val="0.21733748397729349"/>
                  <c:y val="3.48450872988702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68C-4D58-AD6E-04471FFBF698}"/>
                </c:ext>
              </c:extLst>
            </c:dLbl>
            <c:dLbl>
              <c:idx val="2"/>
              <c:layout>
                <c:manualLayout>
                  <c:x val="-2.8978346456692915E-2"/>
                  <c:y val="-4.99983798321506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68C-4D58-AD6E-04471FFBF6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8C-4D58-AD6E-04471FFBF69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8C-4D58-AD6E-04471FFBF698}"/>
                </c:ext>
              </c:extLst>
            </c:dLbl>
            <c:dLbl>
              <c:idx val="5"/>
              <c:layout>
                <c:manualLayout>
                  <c:x val="0.13162945329508222"/>
                  <c:y val="1.745863288828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68C-4D58-AD6E-04471FFBF6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'9.6'!$A$7:$A$12</c:f>
              <c:strCache>
                <c:ptCount val="6"/>
                <c:pt idx="0">
                  <c:v>Skipjack</c:v>
                </c:pt>
                <c:pt idx="1">
                  <c:v>Yellowfin tuna</c:v>
                </c:pt>
                <c:pt idx="2">
                  <c:v>Bigeye tuna</c:v>
                </c:pt>
                <c:pt idx="3">
                  <c:v>Albacore</c:v>
                </c:pt>
                <c:pt idx="4">
                  <c:v>Other tuna related species</c:v>
                </c:pt>
                <c:pt idx="5">
                  <c:v>Other Marine Fishes</c:v>
                </c:pt>
              </c:strCache>
            </c:strRef>
          </c:cat>
          <c:val>
            <c:numRef>
              <c:f>'9.6'!$O$7:$O$12</c:f>
              <c:numCache>
                <c:formatCode>#,##0_);[Red]\(#,##0\)</c:formatCode>
                <c:ptCount val="6"/>
                <c:pt idx="0">
                  <c:v>89683.148024090726</c:v>
                </c:pt>
                <c:pt idx="1">
                  <c:v>49376.811349197844</c:v>
                </c:pt>
                <c:pt idx="2">
                  <c:v>1074.1737564163373</c:v>
                </c:pt>
                <c:pt idx="3">
                  <c:v>3.4710000000000005</c:v>
                </c:pt>
                <c:pt idx="4">
                  <c:v>528.43389924277017</c:v>
                </c:pt>
                <c:pt idx="5">
                  <c:v>2493.9263026769804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C-4D58-AD6E-04471FFBF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35</xdr:row>
      <xdr:rowOff>0</xdr:rowOff>
    </xdr:from>
    <xdr:to>
      <xdr:col>15</xdr:col>
      <xdr:colOff>809624</xdr:colOff>
      <xdr:row>50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1533525</xdr:colOff>
      <xdr:row>36</xdr:row>
      <xdr:rowOff>85725</xdr:rowOff>
    </xdr:from>
    <xdr:to>
      <xdr:col>14</xdr:col>
      <xdr:colOff>590550</xdr:colOff>
      <xdr:row>36</xdr:row>
      <xdr:rowOff>95250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533525" y="6800850"/>
          <a:ext cx="4095750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V51"/>
  <sheetViews>
    <sheetView tabSelected="1" topLeftCell="A2" zoomScaleNormal="100" workbookViewId="0">
      <selection activeCell="AB55" sqref="AB55"/>
    </sheetView>
  </sheetViews>
  <sheetFormatPr defaultColWidth="8.85546875" defaultRowHeight="12.75" x14ac:dyDescent="0.25"/>
  <cols>
    <col min="1" max="1" width="24.7109375" style="9" customWidth="1"/>
    <col min="2" max="2" width="0" style="9" hidden="1" customWidth="1"/>
    <col min="3" max="6" width="0" style="38" hidden="1" customWidth="1"/>
    <col min="7" max="7" width="12.7109375" style="38" hidden="1" customWidth="1"/>
    <col min="8" max="8" width="13" style="38" hidden="1" customWidth="1"/>
    <col min="9" max="9" width="13.28515625" style="38" hidden="1" customWidth="1"/>
    <col min="10" max="10" width="13" style="38" hidden="1" customWidth="1"/>
    <col min="11" max="15" width="12.7109375" style="38" customWidth="1"/>
    <col min="16" max="16" width="26.5703125" style="11" customWidth="1"/>
    <col min="17" max="17" width="13.7109375" style="9" bestFit="1" customWidth="1"/>
    <col min="18" max="18" width="10.140625" style="9" bestFit="1" customWidth="1"/>
    <col min="19" max="27" width="7.7109375" style="9" customWidth="1"/>
    <col min="28" max="33" width="8.85546875" style="9"/>
    <col min="34" max="34" width="22.28515625" style="9" bestFit="1" customWidth="1"/>
    <col min="35" max="16384" width="8.85546875" style="9"/>
  </cols>
  <sheetData>
    <row r="1" spans="1:48" s="4" customFormat="1" ht="18.75" x14ac:dyDescent="0.25">
      <c r="A1" s="68" t="s">
        <v>28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s="16" customFormat="1" ht="15.75" x14ac:dyDescent="0.25">
      <c r="A2" s="69" t="s">
        <v>29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s="5" customFormat="1" ht="15.75" x14ac:dyDescent="0.25">
      <c r="A3" s="70" t="s">
        <v>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s="7" customFormat="1" x14ac:dyDescent="0.25">
      <c r="A4" s="17" t="s">
        <v>14</v>
      </c>
      <c r="B4" s="12"/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s="4" customFormat="1" ht="15" x14ac:dyDescent="0.25">
      <c r="A5" s="43" t="s">
        <v>15</v>
      </c>
      <c r="B5" s="44">
        <v>2001</v>
      </c>
      <c r="C5" s="20">
        <v>2005</v>
      </c>
      <c r="D5" s="20">
        <v>2006</v>
      </c>
      <c r="E5" s="20">
        <v>2007</v>
      </c>
      <c r="F5" s="20">
        <v>2008</v>
      </c>
      <c r="G5" s="20">
        <v>2009</v>
      </c>
      <c r="H5" s="20">
        <v>2010</v>
      </c>
      <c r="I5" s="20">
        <v>2011</v>
      </c>
      <c r="J5" s="20">
        <v>2012</v>
      </c>
      <c r="K5" s="20">
        <v>2013</v>
      </c>
      <c r="L5" s="20">
        <v>2014</v>
      </c>
      <c r="M5" s="20">
        <v>2015</v>
      </c>
      <c r="N5" s="20">
        <v>2016</v>
      </c>
      <c r="O5" s="20">
        <v>2017</v>
      </c>
      <c r="P5" s="51" t="s">
        <v>16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s="5" customFormat="1" ht="14.25" x14ac:dyDescent="0.25">
      <c r="A6" s="8" t="s">
        <v>17</v>
      </c>
      <c r="B6" s="21">
        <v>127183.61479999998</v>
      </c>
      <c r="C6" s="22" t="e">
        <f t="shared" ref="C6:I6" si="0">SUM(C7:C12)</f>
        <v>#REF!</v>
      </c>
      <c r="D6" s="22" t="e">
        <f t="shared" si="0"/>
        <v>#REF!</v>
      </c>
      <c r="E6" s="22" t="e">
        <f t="shared" si="0"/>
        <v>#REF!</v>
      </c>
      <c r="F6" s="22" t="e">
        <f t="shared" si="0"/>
        <v>#REF!</v>
      </c>
      <c r="G6" s="22" t="e">
        <f t="shared" si="0"/>
        <v>#REF!</v>
      </c>
      <c r="H6" s="22" t="e">
        <f t="shared" si="0"/>
        <v>#REF!</v>
      </c>
      <c r="I6" s="22" t="e">
        <f t="shared" si="0"/>
        <v>#REF!</v>
      </c>
      <c r="J6" s="23" t="e">
        <f t="shared" ref="J6:O6" si="1">SUM(J7:J12)</f>
        <v>#REF!</v>
      </c>
      <c r="K6" s="22">
        <f>SUM(K7:K12)</f>
        <v>129843.14697257294</v>
      </c>
      <c r="L6" s="22">
        <f t="shared" si="1"/>
        <v>128683.22700000007</v>
      </c>
      <c r="M6" s="22">
        <f t="shared" si="1"/>
        <v>127351.81848143297</v>
      </c>
      <c r="N6" s="22">
        <f t="shared" si="1"/>
        <v>129190.99510655231</v>
      </c>
      <c r="O6" s="22">
        <f t="shared" si="1"/>
        <v>143159.96433162465</v>
      </c>
      <c r="P6" s="49" t="s">
        <v>18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s="5" customFormat="1" ht="14.25" x14ac:dyDescent="0.25">
      <c r="A7" s="8" t="s">
        <v>11</v>
      </c>
      <c r="B7" s="21">
        <v>88043.980999999985</v>
      </c>
      <c r="C7" s="23" t="e">
        <f>C14+#REF!+#REF!+#REF!+C28+Q28+#REF!</f>
        <v>#REF!</v>
      </c>
      <c r="D7" s="23" t="e">
        <f>D14+#REF!+#REF!+#REF!+D28+AF28+#REF!</f>
        <v>#REF!</v>
      </c>
      <c r="E7" s="23" t="e">
        <f>E14+#REF!+#REF!+#REF!+E28+AG28+#REF!</f>
        <v>#REF!</v>
      </c>
      <c r="F7" s="23" t="e">
        <f>F14+#REF!+#REF!+#REF!+F28+AH28+#REF!</f>
        <v>#REF!</v>
      </c>
      <c r="G7" s="23" t="e">
        <f>G14+#REF!+#REF!+#REF!+G28+AI28+#REF!</f>
        <v>#REF!</v>
      </c>
      <c r="H7" s="23" t="e">
        <f>H14+#REF!+#REF!+#REF!+H28+AJ28+#REF!</f>
        <v>#REF!</v>
      </c>
      <c r="I7" s="23" t="e">
        <f>I14+#REF!+#REF!+#REF!+I28+AK28+#REF!</f>
        <v>#REF!</v>
      </c>
      <c r="J7" s="23" t="e">
        <f>J14+#REF!+#REF!+#REF!+J28+AL28+#REF!</f>
        <v>#REF!</v>
      </c>
      <c r="K7" s="23">
        <f t="shared" ref="K7:O12" si="2">K14+K21+K28</f>
        <v>74421.630037020906</v>
      </c>
      <c r="L7" s="23">
        <f t="shared" si="2"/>
        <v>68521.958485088442</v>
      </c>
      <c r="M7" s="23">
        <f t="shared" si="2"/>
        <v>69244.324399131321</v>
      </c>
      <c r="N7" s="23">
        <f t="shared" si="2"/>
        <v>69589.480938961424</v>
      </c>
      <c r="O7" s="23">
        <f t="shared" si="2"/>
        <v>89683.148024090726</v>
      </c>
      <c r="P7" s="49" t="s">
        <v>5</v>
      </c>
      <c r="Q7" s="57"/>
      <c r="R7" s="58"/>
      <c r="S7" s="3"/>
      <c r="T7" s="3"/>
      <c r="U7" s="3"/>
      <c r="V7" s="3"/>
      <c r="W7" s="3"/>
      <c r="X7" s="3"/>
      <c r="Y7" s="3"/>
      <c r="Z7" s="3"/>
      <c r="AA7" s="24"/>
      <c r="AB7" s="24"/>
      <c r="AC7" s="24"/>
      <c r="AD7" s="24"/>
      <c r="AE7" s="24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s="5" customFormat="1" ht="14.25" x14ac:dyDescent="0.25">
      <c r="A8" s="8" t="s">
        <v>9</v>
      </c>
      <c r="B8" s="21">
        <v>15246.67</v>
      </c>
      <c r="C8" s="23" t="e">
        <f>C15+#REF!+#REF!+#REF!+C29+Q29+#REF!</f>
        <v>#REF!</v>
      </c>
      <c r="D8" s="23" t="e">
        <f>D15+#REF!+#REF!+#REF!+D29+AF29+#REF!</f>
        <v>#REF!</v>
      </c>
      <c r="E8" s="23" t="e">
        <f>E15+#REF!+#REF!+#REF!+E29+AG29+#REF!</f>
        <v>#REF!</v>
      </c>
      <c r="F8" s="23" t="e">
        <f>F15+#REF!+#REF!+#REF!+F29+AH29+#REF!</f>
        <v>#REF!</v>
      </c>
      <c r="G8" s="23" t="e">
        <f>G15+#REF!+#REF!+#REF!+G29+AI29+#REF!</f>
        <v>#REF!</v>
      </c>
      <c r="H8" s="23" t="e">
        <f>H15+#REF!+#REF!+#REF!+H29+AJ29+#REF!</f>
        <v>#REF!</v>
      </c>
      <c r="I8" s="23" t="e">
        <f>I15+#REF!+#REF!+#REF!+I29+AK29+#REF!</f>
        <v>#REF!</v>
      </c>
      <c r="J8" s="23" t="e">
        <f>J15+#REF!+#REF!+#REF!+J29+AL29+#REF!</f>
        <v>#REF!</v>
      </c>
      <c r="K8" s="23">
        <f t="shared" si="2"/>
        <v>47146.416175683713</v>
      </c>
      <c r="L8" s="23">
        <f t="shared" si="2"/>
        <v>49100.552219018806</v>
      </c>
      <c r="M8" s="23">
        <f t="shared" si="2"/>
        <v>51472.456475638181</v>
      </c>
      <c r="N8" s="23">
        <f t="shared" si="2"/>
        <v>53705.451966179055</v>
      </c>
      <c r="O8" s="23">
        <f t="shared" si="2"/>
        <v>49376.811349197844</v>
      </c>
      <c r="P8" s="49" t="s">
        <v>6</v>
      </c>
      <c r="Q8" s="57"/>
      <c r="R8" s="58"/>
      <c r="S8" s="3"/>
      <c r="T8" s="3"/>
      <c r="U8" s="3"/>
      <c r="V8" s="3"/>
      <c r="W8" s="3"/>
      <c r="X8" s="3"/>
      <c r="Y8" s="3"/>
      <c r="Z8" s="3"/>
      <c r="AA8" s="24"/>
      <c r="AB8" s="24"/>
      <c r="AC8" s="24"/>
      <c r="AD8" s="24"/>
      <c r="AE8" s="24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s="5" customFormat="1" ht="15" x14ac:dyDescent="0.25">
      <c r="A9" s="8" t="s">
        <v>10</v>
      </c>
      <c r="B9" s="21"/>
      <c r="C9" s="23"/>
      <c r="D9" s="23"/>
      <c r="E9" s="23"/>
      <c r="F9" s="23"/>
      <c r="G9" s="23" t="e">
        <f>G16+#REF!+#REF!+#REF!+G30+AI30+#REF!</f>
        <v>#REF!</v>
      </c>
      <c r="H9" s="23" t="e">
        <f>H16+#REF!+#REF!+#REF!+H30+AJ30+#REF!</f>
        <v>#REF!</v>
      </c>
      <c r="I9" s="23" t="e">
        <f>I16+#REF!+#REF!+#REF!+I30+AK30+#REF!</f>
        <v>#REF!</v>
      </c>
      <c r="J9" s="23" t="e">
        <f>J16+#REF!+#REF!+#REF!+J30+AL30+#REF!</f>
        <v>#REF!</v>
      </c>
      <c r="K9" s="23">
        <f t="shared" si="2"/>
        <v>0</v>
      </c>
      <c r="L9" s="23">
        <f t="shared" si="2"/>
        <v>2334.0795325544514</v>
      </c>
      <c r="M9" s="23">
        <f t="shared" si="2"/>
        <v>1828.2678227461424</v>
      </c>
      <c r="N9" s="23">
        <f t="shared" si="2"/>
        <v>2480.0423404201283</v>
      </c>
      <c r="O9" s="23">
        <f t="shared" si="2"/>
        <v>1074.1737564163373</v>
      </c>
      <c r="P9" s="54" t="s">
        <v>7</v>
      </c>
      <c r="Q9" s="57"/>
      <c r="R9" s="58"/>
      <c r="S9" s="3"/>
      <c r="T9" s="3"/>
      <c r="U9" s="3"/>
      <c r="V9" s="3"/>
      <c r="W9" s="3"/>
      <c r="X9" s="3"/>
      <c r="Y9" s="3"/>
      <c r="Z9" s="3"/>
      <c r="AA9" s="24"/>
      <c r="AB9" s="24"/>
      <c r="AC9" s="24"/>
      <c r="AD9" s="24"/>
      <c r="AE9" s="24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s="5" customFormat="1" ht="15" x14ac:dyDescent="0.2">
      <c r="A10" s="56" t="s">
        <v>26</v>
      </c>
      <c r="B10" s="21"/>
      <c r="C10" s="23"/>
      <c r="D10" s="23"/>
      <c r="E10" s="23"/>
      <c r="F10" s="23"/>
      <c r="G10" s="23" t="e">
        <f>G17+#REF!+#REF!+#REF!+G31+AI31+#REF!</f>
        <v>#REF!</v>
      </c>
      <c r="H10" s="23" t="e">
        <f>H17+#REF!+#REF!+#REF!+H31+AJ31+#REF!</f>
        <v>#REF!</v>
      </c>
      <c r="I10" s="23" t="e">
        <f>I17+#REF!+#REF!+#REF!+I31+AK31+#REF!</f>
        <v>#REF!</v>
      </c>
      <c r="J10" s="23" t="e">
        <f>J17+#REF!+#REF!+#REF!+J31+AL31+#REF!</f>
        <v>#REF!</v>
      </c>
      <c r="K10" s="23">
        <f t="shared" si="2"/>
        <v>0</v>
      </c>
      <c r="L10" s="23">
        <f t="shared" si="2"/>
        <v>0</v>
      </c>
      <c r="M10" s="23">
        <f t="shared" si="2"/>
        <v>1.2469999999999999</v>
      </c>
      <c r="N10" s="23">
        <f t="shared" si="2"/>
        <v>15.290000000000001</v>
      </c>
      <c r="O10" s="23">
        <f t="shared" si="2"/>
        <v>3.4710000000000005</v>
      </c>
      <c r="P10" s="54" t="s">
        <v>27</v>
      </c>
      <c r="Q10" s="57"/>
      <c r="R10" s="58"/>
      <c r="S10" s="3"/>
      <c r="T10" s="3"/>
      <c r="U10" s="3"/>
      <c r="V10" s="3"/>
      <c r="W10" s="3"/>
      <c r="X10" s="3"/>
      <c r="Y10" s="3"/>
      <c r="Z10" s="3"/>
      <c r="AA10" s="24"/>
      <c r="AB10" s="24"/>
      <c r="AC10" s="24"/>
      <c r="AD10" s="24"/>
      <c r="AE10" s="24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s="5" customFormat="1" ht="14.25" x14ac:dyDescent="0.25">
      <c r="A11" s="8" t="s">
        <v>12</v>
      </c>
      <c r="B11" s="21">
        <v>6777.5630000000001</v>
      </c>
      <c r="C11" s="23" t="e">
        <f>C18+#REF!+#REF!+#REF!+C32+Q32+#REF!</f>
        <v>#REF!</v>
      </c>
      <c r="D11" s="23" t="e">
        <f>D18+#REF!+#REF!+#REF!+D32+AF32+#REF!</f>
        <v>#REF!</v>
      </c>
      <c r="E11" s="23" t="e">
        <f>E18+#REF!+#REF!+#REF!+E32+AG32+#REF!</f>
        <v>#REF!</v>
      </c>
      <c r="F11" s="23" t="e">
        <f>F18+#REF!+#REF!+#REF!+F32+AH32+#REF!</f>
        <v>#REF!</v>
      </c>
      <c r="G11" s="23" t="e">
        <f>G18+#REF!+#REF!+#REF!+G32+AI32+#REF!</f>
        <v>#REF!</v>
      </c>
      <c r="H11" s="23" t="e">
        <f>H18+#REF!+#REF!+#REF!+H32+AJ32+#REF!</f>
        <v>#REF!</v>
      </c>
      <c r="I11" s="23" t="e">
        <f>I18+#REF!+#REF!+#REF!+I32+AK32+#REF!</f>
        <v>#REF!</v>
      </c>
      <c r="J11" s="23" t="e">
        <f>J18+#REF!+#REF!+#REF!+J32+AL32+#REF!</f>
        <v>#REF!</v>
      </c>
      <c r="K11" s="23">
        <f t="shared" si="2"/>
        <v>1664.0466762930218</v>
      </c>
      <c r="L11" s="23">
        <f t="shared" si="2"/>
        <v>1590.1763812155898</v>
      </c>
      <c r="M11" s="23">
        <f t="shared" si="2"/>
        <v>388.14185000950374</v>
      </c>
      <c r="N11" s="23">
        <f t="shared" si="2"/>
        <v>184.62584430785094</v>
      </c>
      <c r="O11" s="23">
        <f t="shared" si="2"/>
        <v>528.43389924277017</v>
      </c>
      <c r="P11" s="49" t="s">
        <v>19</v>
      </c>
      <c r="Q11" s="57"/>
      <c r="R11" s="58"/>
      <c r="S11" s="3"/>
      <c r="T11" s="3"/>
      <c r="U11" s="3"/>
      <c r="V11" s="3"/>
      <c r="W11" s="3"/>
      <c r="X11" s="3"/>
      <c r="Y11" s="3"/>
      <c r="Z11" s="3"/>
      <c r="AA11" s="24"/>
      <c r="AB11" s="24"/>
      <c r="AC11" s="24"/>
      <c r="AD11" s="24"/>
      <c r="AE11" s="24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s="5" customFormat="1" ht="14.25" x14ac:dyDescent="0.25">
      <c r="A12" s="64" t="s">
        <v>13</v>
      </c>
      <c r="B12" s="65">
        <v>17115.400799999999</v>
      </c>
      <c r="C12" s="66" t="e">
        <f>C19+#REF!+#REF!+#REF!+C33+Q33+#REF!</f>
        <v>#REF!</v>
      </c>
      <c r="D12" s="66" t="e">
        <f>D19+#REF!+#REF!+#REF!+D33+AF33+#REF!</f>
        <v>#REF!</v>
      </c>
      <c r="E12" s="66" t="e">
        <f>E19+#REF!+#REF!+#REF!+E33+AG33+#REF!</f>
        <v>#REF!</v>
      </c>
      <c r="F12" s="66" t="e">
        <f>F19+#REF!+#REF!+#REF!+F33+AH33+#REF!</f>
        <v>#REF!</v>
      </c>
      <c r="G12" s="66" t="e">
        <f>G19+#REF!+#REF!+#REF!+G33+AI33+#REF!</f>
        <v>#REF!</v>
      </c>
      <c r="H12" s="66" t="e">
        <f>H19+#REF!+#REF!+#REF!+H33+AJ33+#REF!</f>
        <v>#REF!</v>
      </c>
      <c r="I12" s="66" t="e">
        <f>I19+#REF!+#REF!+#REF!+I33+AK33+#REF!</f>
        <v>#REF!</v>
      </c>
      <c r="J12" s="66" t="e">
        <f>J19+#REF!+#REF!+#REF!+J33+AL33+#REF!</f>
        <v>#REF!</v>
      </c>
      <c r="K12" s="66">
        <f t="shared" si="2"/>
        <v>6611.0540835753118</v>
      </c>
      <c r="L12" s="66">
        <f t="shared" si="2"/>
        <v>7136.4603821227938</v>
      </c>
      <c r="M12" s="66">
        <f t="shared" si="2"/>
        <v>4417.3809339078243</v>
      </c>
      <c r="N12" s="66">
        <f t="shared" si="2"/>
        <v>3216.1040166838497</v>
      </c>
      <c r="O12" s="66">
        <f t="shared" si="2"/>
        <v>2493.9263026769804</v>
      </c>
      <c r="P12" s="67" t="s">
        <v>8</v>
      </c>
      <c r="Q12" s="57"/>
      <c r="R12" s="58"/>
      <c r="S12" s="3"/>
      <c r="T12" s="3"/>
      <c r="U12" s="3"/>
      <c r="V12" s="3"/>
      <c r="W12" s="3"/>
      <c r="X12" s="3"/>
      <c r="Y12" s="3"/>
      <c r="Z12" s="3"/>
      <c r="AA12" s="24"/>
      <c r="AB12" s="24"/>
      <c r="AC12" s="24"/>
      <c r="AD12" s="24"/>
      <c r="AE12" s="24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s="5" customFormat="1" ht="14.25" x14ac:dyDescent="0.25">
      <c r="A13" s="8" t="s">
        <v>20</v>
      </c>
      <c r="B13" s="21">
        <v>123441.52179999999</v>
      </c>
      <c r="C13" s="22" t="e">
        <f>SUM(C7:C12)</f>
        <v>#REF!</v>
      </c>
      <c r="D13" s="22">
        <f t="shared" ref="D13:O13" si="3">SUM(D14:D19)</f>
        <v>179098.81922800001</v>
      </c>
      <c r="E13" s="22">
        <f t="shared" si="3"/>
        <v>138531.81159499998</v>
      </c>
      <c r="F13" s="22">
        <f t="shared" si="3"/>
        <v>123326.2542388</v>
      </c>
      <c r="G13" s="22">
        <f t="shared" si="3"/>
        <v>106772.492109</v>
      </c>
      <c r="H13" s="22">
        <f t="shared" si="3"/>
        <v>109453.65800629825</v>
      </c>
      <c r="I13" s="22">
        <f t="shared" si="3"/>
        <v>114902.46807111595</v>
      </c>
      <c r="J13" s="22">
        <f t="shared" si="3"/>
        <v>116940.02259357934</v>
      </c>
      <c r="K13" s="22">
        <f t="shared" si="3"/>
        <v>127749.7519243329</v>
      </c>
      <c r="L13" s="22">
        <f t="shared" si="3"/>
        <v>125719.12905590361</v>
      </c>
      <c r="M13" s="22">
        <f t="shared" si="3"/>
        <v>126033.20197139472</v>
      </c>
      <c r="N13" s="22">
        <f t="shared" si="3"/>
        <v>126998.75543939034</v>
      </c>
      <c r="O13" s="22">
        <f t="shared" si="3"/>
        <v>140592.52760031726</v>
      </c>
      <c r="P13" s="49" t="s">
        <v>21</v>
      </c>
      <c r="Q13" s="57"/>
      <c r="R13" s="58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s="5" customFormat="1" ht="14.25" x14ac:dyDescent="0.25">
      <c r="A14" s="13" t="s">
        <v>11</v>
      </c>
      <c r="B14" s="25">
        <v>87847.14</v>
      </c>
      <c r="C14" s="26">
        <v>131059.01283817913</v>
      </c>
      <c r="D14" s="26">
        <v>137538.1894</v>
      </c>
      <c r="E14" s="26">
        <v>95867.160529999994</v>
      </c>
      <c r="F14" s="27">
        <v>81988.624779999998</v>
      </c>
      <c r="G14" s="27">
        <v>59828.945319999999</v>
      </c>
      <c r="H14" s="27">
        <v>68277.277675476245</v>
      </c>
      <c r="I14" s="27">
        <v>54422.884471610952</v>
      </c>
      <c r="J14" s="27">
        <v>51815.356512558494</v>
      </c>
      <c r="K14" s="27">
        <v>74320.951139064913</v>
      </c>
      <c r="L14" s="27">
        <v>68264.06166711259</v>
      </c>
      <c r="M14" s="27">
        <v>68993.039348680875</v>
      </c>
      <c r="N14" s="27">
        <v>69296.858985614817</v>
      </c>
      <c r="O14" s="27">
        <v>89674.12634652984</v>
      </c>
      <c r="P14" s="52" t="s">
        <v>5</v>
      </c>
      <c r="Q14" s="57"/>
      <c r="R14" s="58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s="5" customFormat="1" ht="14.25" x14ac:dyDescent="0.25">
      <c r="A15" s="13" t="s">
        <v>9</v>
      </c>
      <c r="B15" s="25">
        <v>14539.53</v>
      </c>
      <c r="C15" s="26">
        <v>21460.484190571817</v>
      </c>
      <c r="D15" s="26">
        <v>19627.635699999999</v>
      </c>
      <c r="E15" s="26">
        <v>21449.080109999999</v>
      </c>
      <c r="F15" s="27">
        <v>21301.63421</v>
      </c>
      <c r="G15" s="27">
        <v>18860.525280000002</v>
      </c>
      <c r="H15" s="27">
        <v>16212.205000281998</v>
      </c>
      <c r="I15" s="27">
        <v>33476.492815308986</v>
      </c>
      <c r="J15" s="27">
        <v>44130.616418938866</v>
      </c>
      <c r="K15" s="27">
        <v>45560.500756431487</v>
      </c>
      <c r="L15" s="27">
        <v>48392.262881971219</v>
      </c>
      <c r="M15" s="27">
        <v>50839.521094786913</v>
      </c>
      <c r="N15" s="27">
        <v>52923.722126591507</v>
      </c>
      <c r="O15" s="27">
        <v>48084.267819922592</v>
      </c>
      <c r="P15" s="52" t="s">
        <v>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8"/>
      <c r="AI15" s="3"/>
      <c r="AJ15" s="3"/>
      <c r="AK15" s="3"/>
      <c r="AL15" s="8"/>
      <c r="AM15" s="22"/>
      <c r="AN15" s="47"/>
      <c r="AO15" s="3"/>
      <c r="AP15" s="3"/>
      <c r="AQ15" s="3"/>
      <c r="AR15" s="3"/>
      <c r="AS15" s="3"/>
      <c r="AT15" s="3"/>
      <c r="AU15" s="3"/>
      <c r="AV15" s="3"/>
    </row>
    <row r="16" spans="1:48" s="5" customFormat="1" ht="15" x14ac:dyDescent="0.25">
      <c r="A16" s="13" t="s">
        <v>10</v>
      </c>
      <c r="B16" s="25"/>
      <c r="C16" s="26"/>
      <c r="D16" s="26"/>
      <c r="E16" s="26"/>
      <c r="F16" s="27"/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832.08553255445054</v>
      </c>
      <c r="M16" s="27">
        <v>1597.0517227461426</v>
      </c>
      <c r="N16" s="27">
        <v>1850.7364661923034</v>
      </c>
      <c r="O16" s="27">
        <v>382.19979641633751</v>
      </c>
      <c r="P16" s="48" t="s">
        <v>7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8"/>
      <c r="AI16" s="3"/>
      <c r="AJ16" s="3"/>
      <c r="AK16" s="3"/>
      <c r="AL16" s="8"/>
      <c r="AM16" s="22"/>
      <c r="AN16" s="47"/>
      <c r="AO16" s="3"/>
      <c r="AP16" s="3"/>
      <c r="AQ16" s="3"/>
      <c r="AR16" s="3"/>
      <c r="AS16" s="3"/>
      <c r="AT16" s="3"/>
      <c r="AU16" s="3"/>
      <c r="AV16" s="3"/>
    </row>
    <row r="17" spans="1:48" s="5" customFormat="1" ht="15" x14ac:dyDescent="0.2">
      <c r="A17" s="55" t="s">
        <v>26</v>
      </c>
      <c r="B17" s="25"/>
      <c r="C17" s="26"/>
      <c r="D17" s="26"/>
      <c r="E17" s="26"/>
      <c r="F17" s="27"/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48" t="s">
        <v>27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8"/>
      <c r="AI17" s="3"/>
      <c r="AJ17" s="3"/>
      <c r="AK17" s="3"/>
      <c r="AL17" s="8"/>
      <c r="AM17" s="22"/>
      <c r="AN17" s="47"/>
      <c r="AO17" s="3"/>
      <c r="AP17" s="3"/>
      <c r="AQ17" s="3"/>
      <c r="AR17" s="3"/>
      <c r="AS17" s="3"/>
      <c r="AT17" s="3"/>
      <c r="AU17" s="3"/>
      <c r="AV17" s="3"/>
    </row>
    <row r="18" spans="1:48" s="5" customFormat="1" ht="14.25" x14ac:dyDescent="0.25">
      <c r="A18" s="13" t="s">
        <v>12</v>
      </c>
      <c r="B18" s="25">
        <v>6485.2039999999997</v>
      </c>
      <c r="C18" s="26">
        <v>8093.4694342817056</v>
      </c>
      <c r="D18" s="26">
        <v>5580.3521579999997</v>
      </c>
      <c r="E18" s="26">
        <v>6842.8306849999999</v>
      </c>
      <c r="F18" s="27">
        <v>6333.590475</v>
      </c>
      <c r="G18" s="27">
        <v>8375.7986290000008</v>
      </c>
      <c r="H18" s="27">
        <v>6891.0496869969984</v>
      </c>
      <c r="I18" s="27">
        <v>4864.9074575819986</v>
      </c>
      <c r="J18" s="27">
        <v>2458.4200803633976</v>
      </c>
      <c r="K18" s="27">
        <v>1633.567275997812</v>
      </c>
      <c r="L18" s="27">
        <v>1578.9184695880226</v>
      </c>
      <c r="M18" s="27">
        <v>382.14671124456078</v>
      </c>
      <c r="N18" s="27">
        <v>184.62584430785094</v>
      </c>
      <c r="O18" s="27">
        <v>528.43389924277017</v>
      </c>
      <c r="P18" s="52" t="s">
        <v>19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8"/>
      <c r="AI18" s="3"/>
      <c r="AJ18" s="3"/>
      <c r="AK18" s="3"/>
      <c r="AL18" s="8"/>
      <c r="AM18" s="22"/>
      <c r="AN18" s="47"/>
      <c r="AO18" s="3"/>
      <c r="AP18" s="3"/>
      <c r="AQ18" s="3"/>
      <c r="AR18" s="3"/>
      <c r="AS18" s="3"/>
      <c r="AT18" s="3"/>
      <c r="AU18" s="3"/>
      <c r="AV18" s="3"/>
    </row>
    <row r="19" spans="1:48" s="5" customFormat="1" ht="14.25" x14ac:dyDescent="0.25">
      <c r="A19" s="59" t="s">
        <v>13</v>
      </c>
      <c r="B19" s="60">
        <v>14569.647799999999</v>
      </c>
      <c r="C19" s="61">
        <v>19358.525576055014</v>
      </c>
      <c r="D19" s="61">
        <v>16352.641970000001</v>
      </c>
      <c r="E19" s="61">
        <v>14372.74027</v>
      </c>
      <c r="F19" s="62">
        <v>13702.404773800001</v>
      </c>
      <c r="G19" s="62">
        <v>19707.222880000001</v>
      </c>
      <c r="H19" s="62">
        <v>18073.125643543015</v>
      </c>
      <c r="I19" s="62">
        <v>22138.183326613998</v>
      </c>
      <c r="J19" s="62">
        <v>18535.629581718593</v>
      </c>
      <c r="K19" s="62">
        <v>6234.7327528386877</v>
      </c>
      <c r="L19" s="62">
        <v>6651.8005046773324</v>
      </c>
      <c r="M19" s="62">
        <v>4221.4430939362337</v>
      </c>
      <c r="N19" s="62">
        <v>2742.8120166838498</v>
      </c>
      <c r="O19" s="62">
        <v>1923.4997382057331</v>
      </c>
      <c r="P19" s="63" t="s">
        <v>8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8"/>
      <c r="AI19" s="3"/>
      <c r="AJ19" s="3"/>
      <c r="AK19" s="3"/>
      <c r="AL19" s="8"/>
      <c r="AM19" s="22"/>
      <c r="AN19" s="47"/>
      <c r="AO19" s="3"/>
      <c r="AP19" s="3"/>
      <c r="AQ19" s="3"/>
      <c r="AR19" s="3"/>
      <c r="AS19" s="3"/>
      <c r="AT19" s="3"/>
      <c r="AU19" s="3"/>
      <c r="AV19" s="3"/>
    </row>
    <row r="20" spans="1:48" s="5" customFormat="1" ht="14.25" x14ac:dyDescent="0.25">
      <c r="A20" s="8" t="s">
        <v>30</v>
      </c>
      <c r="B20" s="21">
        <v>429.96600000000001</v>
      </c>
      <c r="C20" s="22">
        <f>SUM(C21:C26)</f>
        <v>58.925099017143246</v>
      </c>
      <c r="D20" s="22">
        <f t="shared" ref="D20:O20" si="4">SUM(D21:D26)</f>
        <v>69.595798700000003</v>
      </c>
      <c r="E20" s="22">
        <f t="shared" si="4"/>
        <v>231.71674548999999</v>
      </c>
      <c r="F20" s="22">
        <f t="shared" si="4"/>
        <v>5911.7731307599997</v>
      </c>
      <c r="G20" s="22">
        <f t="shared" si="4"/>
        <v>7132.3696824999997</v>
      </c>
      <c r="H20" s="22">
        <f t="shared" si="4"/>
        <v>5020.7373510580001</v>
      </c>
      <c r="I20" s="22">
        <f t="shared" si="4"/>
        <v>2404.4193284139997</v>
      </c>
      <c r="J20" s="22">
        <f t="shared" si="4"/>
        <v>1005.9614987606687</v>
      </c>
      <c r="K20" s="22">
        <f t="shared" si="4"/>
        <v>492.97239824004771</v>
      </c>
      <c r="L20" s="22">
        <f t="shared" si="4"/>
        <v>840.85994409647162</v>
      </c>
      <c r="M20" s="22">
        <f t="shared" si="4"/>
        <v>834.73882003824372</v>
      </c>
      <c r="N20" s="22">
        <f t="shared" si="4"/>
        <v>350.24466716197429</v>
      </c>
      <c r="O20" s="22">
        <f t="shared" si="4"/>
        <v>31.751651307386688</v>
      </c>
      <c r="P20" s="49" t="s">
        <v>31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8"/>
      <c r="AI20" s="3"/>
      <c r="AJ20" s="3"/>
      <c r="AK20" s="3"/>
      <c r="AL20" s="8"/>
      <c r="AM20" s="22"/>
      <c r="AN20" s="47"/>
      <c r="AO20" s="3"/>
      <c r="AP20" s="3"/>
      <c r="AQ20" s="3"/>
      <c r="AR20" s="3"/>
      <c r="AS20" s="3"/>
      <c r="AT20" s="3"/>
      <c r="AU20" s="3"/>
      <c r="AV20" s="3"/>
    </row>
    <row r="21" spans="1:48" s="5" customFormat="1" ht="14.25" x14ac:dyDescent="0.25">
      <c r="A21" s="13" t="s">
        <v>11</v>
      </c>
      <c r="B21" s="25">
        <v>157.41200000000001</v>
      </c>
      <c r="C21" s="26">
        <v>28.089599071979521</v>
      </c>
      <c r="D21" s="26">
        <v>31.27739871</v>
      </c>
      <c r="E21" s="26">
        <v>174.49349509999999</v>
      </c>
      <c r="F21" s="27">
        <v>4254.2962399999997</v>
      </c>
      <c r="G21" s="27">
        <v>5966.0160379999998</v>
      </c>
      <c r="H21" s="27">
        <v>4546.45069642</v>
      </c>
      <c r="I21" s="27">
        <v>1956.0335058009998</v>
      </c>
      <c r="J21" s="27">
        <v>905.66866325578246</v>
      </c>
      <c r="K21" s="27">
        <v>74.834397955989857</v>
      </c>
      <c r="L21" s="27">
        <v>257.56381797585459</v>
      </c>
      <c r="M21" s="27">
        <v>250.95905045044441</v>
      </c>
      <c r="N21" s="27">
        <v>290.20995334660569</v>
      </c>
      <c r="O21" s="27">
        <v>7.8696775608898752</v>
      </c>
      <c r="P21" s="52" t="s">
        <v>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8"/>
      <c r="AI21" s="3"/>
      <c r="AJ21" s="3"/>
      <c r="AK21" s="3"/>
      <c r="AL21" s="8"/>
      <c r="AM21" s="22"/>
      <c r="AN21" s="47"/>
      <c r="AO21" s="3"/>
      <c r="AP21" s="3"/>
      <c r="AQ21" s="3"/>
      <c r="AR21" s="3"/>
      <c r="AS21" s="3"/>
      <c r="AT21" s="3"/>
      <c r="AU21" s="3"/>
      <c r="AV21" s="3"/>
    </row>
    <row r="22" spans="1:48" s="5" customFormat="1" ht="14.25" x14ac:dyDescent="0.25">
      <c r="A22" s="13" t="s">
        <v>9</v>
      </c>
      <c r="B22" s="25">
        <v>24.353000000000002</v>
      </c>
      <c r="C22" s="26">
        <v>8.6059995746612543</v>
      </c>
      <c r="D22" s="26">
        <v>13.64219952</v>
      </c>
      <c r="E22" s="26">
        <v>20.61539952</v>
      </c>
      <c r="F22" s="27">
        <v>1286.2701850000001</v>
      </c>
      <c r="G22" s="27">
        <v>657.33698560000005</v>
      </c>
      <c r="H22" s="27">
        <v>279.00243961700028</v>
      </c>
      <c r="I22" s="27">
        <v>393.20454459599989</v>
      </c>
      <c r="J22" s="27">
        <v>85.784520867374269</v>
      </c>
      <c r="K22" s="27">
        <v>283.11389925222397</v>
      </c>
      <c r="L22" s="27">
        <v>515.8723370475883</v>
      </c>
      <c r="M22" s="27">
        <v>520.86879085126566</v>
      </c>
      <c r="N22" s="27">
        <v>54.944839587543285</v>
      </c>
      <c r="O22" s="27">
        <v>23.359729275249677</v>
      </c>
      <c r="P22" s="52" t="s">
        <v>6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8"/>
      <c r="AI22" s="3"/>
      <c r="AJ22" s="3"/>
      <c r="AK22" s="3"/>
      <c r="AL22" s="8"/>
      <c r="AM22" s="22"/>
      <c r="AN22" s="47"/>
      <c r="AO22" s="3"/>
      <c r="AP22" s="3"/>
      <c r="AQ22" s="3"/>
      <c r="AR22" s="3"/>
      <c r="AS22" s="3"/>
      <c r="AT22" s="3"/>
      <c r="AU22" s="3"/>
      <c r="AV22" s="3"/>
    </row>
    <row r="23" spans="1:48" s="5" customFormat="1" ht="15" x14ac:dyDescent="0.25">
      <c r="A23" s="13" t="s">
        <v>10</v>
      </c>
      <c r="B23" s="25"/>
      <c r="C23" s="26"/>
      <c r="D23" s="26"/>
      <c r="E23" s="26"/>
      <c r="F23" s="27"/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5.089874227825316</v>
      </c>
      <c r="O23" s="27">
        <v>0</v>
      </c>
      <c r="P23" s="48" t="s">
        <v>7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8"/>
      <c r="AI23" s="3"/>
      <c r="AJ23" s="3"/>
      <c r="AK23" s="3"/>
      <c r="AL23" s="8"/>
      <c r="AM23" s="22"/>
      <c r="AN23" s="47"/>
      <c r="AO23" s="3"/>
      <c r="AP23" s="3"/>
      <c r="AQ23" s="3"/>
      <c r="AR23" s="3"/>
      <c r="AS23" s="3"/>
      <c r="AT23" s="3"/>
      <c r="AU23" s="3"/>
      <c r="AV23" s="3"/>
    </row>
    <row r="24" spans="1:48" s="5" customFormat="1" ht="15" x14ac:dyDescent="0.2">
      <c r="A24" s="55" t="s">
        <v>26</v>
      </c>
      <c r="B24" s="25"/>
      <c r="C24" s="26"/>
      <c r="D24" s="26"/>
      <c r="E24" s="26"/>
      <c r="F24" s="27"/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48" t="s">
        <v>27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8"/>
      <c r="AI24" s="3"/>
      <c r="AJ24" s="3"/>
      <c r="AK24" s="3"/>
      <c r="AL24" s="8"/>
      <c r="AM24" s="22"/>
      <c r="AN24" s="47"/>
      <c r="AO24" s="3"/>
      <c r="AP24" s="3"/>
      <c r="AQ24" s="3"/>
      <c r="AR24" s="3"/>
      <c r="AS24" s="3"/>
      <c r="AT24" s="3"/>
      <c r="AU24" s="3"/>
      <c r="AV24" s="3"/>
    </row>
    <row r="25" spans="1:48" s="5" customFormat="1" ht="14.25" x14ac:dyDescent="0.25">
      <c r="A25" s="13" t="s">
        <v>12</v>
      </c>
      <c r="B25" s="25">
        <v>89.188999999999993</v>
      </c>
      <c r="C25" s="26">
        <v>14.053500182628632</v>
      </c>
      <c r="D25" s="26">
        <v>10.215200210000001</v>
      </c>
      <c r="E25" s="26">
        <v>23.694000679999998</v>
      </c>
      <c r="F25" s="27">
        <v>156.36760495999999</v>
      </c>
      <c r="G25" s="27">
        <v>237.0726071</v>
      </c>
      <c r="H25" s="27">
        <v>84.076735112000009</v>
      </c>
      <c r="I25" s="27">
        <v>15.668938939</v>
      </c>
      <c r="J25" s="27">
        <v>1.793792020538612</v>
      </c>
      <c r="K25" s="27">
        <v>28.987400295209881</v>
      </c>
      <c r="L25" s="27">
        <v>11.257911627567223</v>
      </c>
      <c r="M25" s="27">
        <v>5.9951387649429648</v>
      </c>
      <c r="N25" s="27">
        <v>0</v>
      </c>
      <c r="O25" s="27">
        <v>0</v>
      </c>
      <c r="P25" s="52" t="s">
        <v>19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8"/>
      <c r="AI25" s="3"/>
      <c r="AJ25" s="3"/>
      <c r="AK25" s="3"/>
      <c r="AL25" s="8"/>
      <c r="AM25" s="22"/>
      <c r="AN25" s="47"/>
      <c r="AO25" s="3"/>
      <c r="AP25" s="3"/>
      <c r="AQ25" s="3"/>
      <c r="AR25" s="3"/>
      <c r="AS25" s="3"/>
      <c r="AT25" s="3"/>
      <c r="AU25" s="3"/>
      <c r="AV25" s="3"/>
    </row>
    <row r="26" spans="1:48" s="5" customFormat="1" ht="14.25" x14ac:dyDescent="0.25">
      <c r="A26" s="59" t="s">
        <v>13</v>
      </c>
      <c r="B26" s="60">
        <v>159.012</v>
      </c>
      <c r="C26" s="61">
        <v>8.1760001878738393</v>
      </c>
      <c r="D26" s="61">
        <v>14.46100026</v>
      </c>
      <c r="E26" s="61">
        <v>12.91385019</v>
      </c>
      <c r="F26" s="62">
        <v>214.83910080000001</v>
      </c>
      <c r="G26" s="62">
        <v>271.94405180000001</v>
      </c>
      <c r="H26" s="62">
        <v>111.207479909</v>
      </c>
      <c r="I26" s="62">
        <v>39.512339077999989</v>
      </c>
      <c r="J26" s="62">
        <v>12.714522616973507</v>
      </c>
      <c r="K26" s="62">
        <v>106.03670073662398</v>
      </c>
      <c r="L26" s="62">
        <v>56.165877445461554</v>
      </c>
      <c r="M26" s="62">
        <v>56.915839971590572</v>
      </c>
      <c r="N26" s="62">
        <v>0</v>
      </c>
      <c r="O26" s="62">
        <v>0.5222444712471328</v>
      </c>
      <c r="P26" s="63" t="s">
        <v>8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8"/>
      <c r="AI26" s="3"/>
      <c r="AJ26" s="3"/>
      <c r="AK26" s="3"/>
      <c r="AL26" s="8"/>
      <c r="AM26" s="22"/>
      <c r="AN26" s="47"/>
      <c r="AO26" s="3"/>
      <c r="AP26" s="3"/>
      <c r="AQ26" s="3"/>
      <c r="AR26" s="3"/>
      <c r="AS26" s="3"/>
      <c r="AT26" s="3"/>
      <c r="AU26" s="3"/>
      <c r="AV26" s="3"/>
    </row>
    <row r="27" spans="1:48" s="5" customFormat="1" ht="14.25" x14ac:dyDescent="0.25">
      <c r="A27" s="28" t="s">
        <v>32</v>
      </c>
      <c r="B27" s="21">
        <v>2212.69</v>
      </c>
      <c r="C27" s="22">
        <f t="shared" ref="C27:N27" si="5">SUM(C28:C33)</f>
        <v>3011.2780008999998</v>
      </c>
      <c r="D27" s="22">
        <f t="shared" si="5"/>
        <v>3177.06800204</v>
      </c>
      <c r="E27" s="22">
        <f t="shared" si="5"/>
        <v>3047.8236006000002</v>
      </c>
      <c r="F27" s="22">
        <f t="shared" si="5"/>
        <v>1349.825001405</v>
      </c>
      <c r="G27" s="22">
        <f t="shared" si="5"/>
        <v>1337.8850005019999</v>
      </c>
      <c r="H27" s="22">
        <f t="shared" si="5"/>
        <v>0</v>
      </c>
      <c r="I27" s="22">
        <f t="shared" si="5"/>
        <v>0</v>
      </c>
      <c r="J27" s="22">
        <f t="shared" si="5"/>
        <v>134.74387105900715</v>
      </c>
      <c r="K27" s="22">
        <f t="shared" si="5"/>
        <v>1600.4226500000002</v>
      </c>
      <c r="L27" s="22">
        <f t="shared" si="5"/>
        <v>2123.2380000000007</v>
      </c>
      <c r="M27" s="22">
        <f t="shared" si="5"/>
        <v>483.87768999999992</v>
      </c>
      <c r="N27" s="22">
        <f t="shared" si="5"/>
        <v>1841.9949999999999</v>
      </c>
      <c r="O27" s="22">
        <f>SUM(O28:O33)</f>
        <v>2535.6850800000002</v>
      </c>
      <c r="P27" s="49" t="s">
        <v>33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s="5" customFormat="1" ht="14.25" x14ac:dyDescent="0.25">
      <c r="A28" s="29" t="s">
        <v>11</v>
      </c>
      <c r="B28" s="30" t="s">
        <v>0</v>
      </c>
      <c r="C28" s="31">
        <v>0.2</v>
      </c>
      <c r="D28" s="31">
        <v>0.2</v>
      </c>
      <c r="E28" s="31">
        <v>0</v>
      </c>
      <c r="F28" s="31">
        <v>9.9000001000000004E-2</v>
      </c>
      <c r="G28" s="31">
        <v>1.597</v>
      </c>
      <c r="H28" s="31">
        <v>0</v>
      </c>
      <c r="I28" s="31">
        <v>0</v>
      </c>
      <c r="J28" s="31">
        <v>0</v>
      </c>
      <c r="K28" s="31">
        <v>25.8445</v>
      </c>
      <c r="L28" s="31">
        <v>0.33300000000000007</v>
      </c>
      <c r="M28" s="31">
        <v>0.32600000000000001</v>
      </c>
      <c r="N28" s="31">
        <v>2.4120000000000004</v>
      </c>
      <c r="O28" s="31">
        <v>1.1520000000000001</v>
      </c>
      <c r="P28" s="49" t="s">
        <v>5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s="5" customFormat="1" ht="14.25" x14ac:dyDescent="0.25">
      <c r="A29" s="13" t="s">
        <v>9</v>
      </c>
      <c r="B29" s="25">
        <v>667.65800000000002</v>
      </c>
      <c r="C29" s="26">
        <v>2860.9250010000001</v>
      </c>
      <c r="D29" s="26">
        <v>3083.443002</v>
      </c>
      <c r="E29" s="26">
        <v>2792.3116</v>
      </c>
      <c r="F29" s="26">
        <v>1080.7790010000001</v>
      </c>
      <c r="G29" s="26">
        <v>1095.0540000000001</v>
      </c>
      <c r="H29" s="26">
        <v>0</v>
      </c>
      <c r="I29" s="26">
        <v>0</v>
      </c>
      <c r="J29" s="26">
        <v>113.2043318935259</v>
      </c>
      <c r="K29" s="26">
        <v>1302.8015200000002</v>
      </c>
      <c r="L29" s="26">
        <v>192.41699999999997</v>
      </c>
      <c r="M29" s="26">
        <v>112.06659000000001</v>
      </c>
      <c r="N29" s="26">
        <v>726.78499999999997</v>
      </c>
      <c r="O29" s="26">
        <v>1269.1838000000002</v>
      </c>
      <c r="P29" s="52" t="s">
        <v>6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s="5" customFormat="1" ht="15" x14ac:dyDescent="0.25">
      <c r="A30" s="13" t="s">
        <v>10</v>
      </c>
      <c r="B30" s="25"/>
      <c r="C30" s="26"/>
      <c r="D30" s="26"/>
      <c r="E30" s="26"/>
      <c r="F30" s="26"/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1501.9940000000006</v>
      </c>
      <c r="M30" s="26">
        <v>231.21609999999993</v>
      </c>
      <c r="N30" s="26">
        <v>624.21599999999989</v>
      </c>
      <c r="O30" s="26">
        <v>691.97395999999981</v>
      </c>
      <c r="P30" s="48" t="s">
        <v>7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s="5" customFormat="1" ht="15" x14ac:dyDescent="0.2">
      <c r="A31" s="55" t="s">
        <v>26</v>
      </c>
      <c r="B31" s="25"/>
      <c r="C31" s="26"/>
      <c r="D31" s="26"/>
      <c r="E31" s="26"/>
      <c r="F31" s="26"/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1.2469999999999999</v>
      </c>
      <c r="N31" s="26">
        <v>15.290000000000001</v>
      </c>
      <c r="O31" s="26">
        <v>3.4710000000000005</v>
      </c>
      <c r="P31" s="48" t="s">
        <v>27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s="5" customFormat="1" ht="14.25" x14ac:dyDescent="0.25">
      <c r="A32" s="13" t="s">
        <v>12</v>
      </c>
      <c r="B32" s="25"/>
      <c r="C32" s="26">
        <v>0</v>
      </c>
      <c r="D32" s="26">
        <v>0</v>
      </c>
      <c r="E32" s="26">
        <v>0</v>
      </c>
      <c r="F32" s="26">
        <v>0.15200000399999999</v>
      </c>
      <c r="G32" s="26">
        <v>8.9000001999999995E-2</v>
      </c>
      <c r="H32" s="26">
        <v>0</v>
      </c>
      <c r="I32" s="26">
        <v>0</v>
      </c>
      <c r="J32" s="26">
        <v>0</v>
      </c>
      <c r="K32" s="26">
        <v>1.4919999999999998</v>
      </c>
      <c r="L32" s="26">
        <v>0</v>
      </c>
      <c r="M32" s="26">
        <v>0</v>
      </c>
      <c r="N32" s="26">
        <v>0</v>
      </c>
      <c r="O32" s="26">
        <v>0</v>
      </c>
      <c r="P32" s="52" t="s">
        <v>19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s="5" customFormat="1" ht="14.25" x14ac:dyDescent="0.25">
      <c r="A33" s="14" t="s">
        <v>13</v>
      </c>
      <c r="B33" s="34">
        <v>1545.0320000000002</v>
      </c>
      <c r="C33" s="35">
        <v>150.1529999</v>
      </c>
      <c r="D33" s="35">
        <v>93.42500004</v>
      </c>
      <c r="E33" s="35">
        <v>255.51200059999999</v>
      </c>
      <c r="F33" s="35">
        <v>268.79500039999999</v>
      </c>
      <c r="G33" s="35">
        <v>241.14500050000001</v>
      </c>
      <c r="H33" s="35">
        <v>0</v>
      </c>
      <c r="I33" s="35">
        <v>0</v>
      </c>
      <c r="J33" s="35">
        <v>21.539539165481248</v>
      </c>
      <c r="K33" s="35">
        <v>270.28463000000005</v>
      </c>
      <c r="L33" s="35">
        <v>428.49399999999997</v>
      </c>
      <c r="M33" s="35">
        <v>139.02200000000002</v>
      </c>
      <c r="N33" s="35">
        <v>473.29199999999992</v>
      </c>
      <c r="O33" s="35">
        <v>569.90431999999998</v>
      </c>
      <c r="P33" s="53" t="s">
        <v>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ht="14.25" x14ac:dyDescent="0.25">
      <c r="A34" s="1" t="s">
        <v>1</v>
      </c>
      <c r="B34" s="1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50" t="s">
        <v>2</v>
      </c>
    </row>
    <row r="35" spans="1:48" x14ac:dyDescent="0.25">
      <c r="A35" s="37"/>
      <c r="B35" s="37"/>
    </row>
    <row r="36" spans="1:48" ht="18.75" x14ac:dyDescent="0.25">
      <c r="A36" s="37"/>
      <c r="B36" s="37"/>
      <c r="P36" s="39"/>
    </row>
    <row r="37" spans="1:48" ht="18.75" x14ac:dyDescent="0.25">
      <c r="A37" s="37"/>
      <c r="B37" s="37"/>
      <c r="P37" s="39"/>
    </row>
    <row r="38" spans="1:48" ht="18.75" x14ac:dyDescent="0.25">
      <c r="P38" s="39"/>
    </row>
    <row r="39" spans="1:48" s="5" customFormat="1" ht="18.75" x14ac:dyDescent="0.25">
      <c r="B39" s="40">
        <v>127183.61479999998</v>
      </c>
      <c r="C39" s="22"/>
      <c r="D39" s="22"/>
      <c r="E39" s="10" t="s">
        <v>17</v>
      </c>
      <c r="F39" s="22">
        <f>SUM(F40:F45)</f>
        <v>120000.92939572007</v>
      </c>
      <c r="G39" s="22"/>
      <c r="H39" s="22"/>
      <c r="I39" s="22"/>
      <c r="J39" s="41"/>
      <c r="K39" s="41"/>
      <c r="L39" s="41"/>
      <c r="M39" s="41"/>
      <c r="N39" s="41"/>
      <c r="O39" s="41"/>
      <c r="P39" s="3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s="5" customFormat="1" ht="18.75" x14ac:dyDescent="0.25">
      <c r="B40" s="40">
        <v>123441.52179999999</v>
      </c>
      <c r="C40" s="22"/>
      <c r="D40" s="22"/>
      <c r="E40" s="10" t="s">
        <v>20</v>
      </c>
      <c r="F40" s="22">
        <v>116940.02259357934</v>
      </c>
      <c r="G40" s="22"/>
      <c r="H40" s="22"/>
      <c r="I40" s="22"/>
      <c r="J40" s="41"/>
      <c r="K40" s="41"/>
      <c r="L40" s="41"/>
      <c r="M40" s="41"/>
      <c r="N40" s="41"/>
      <c r="O40" s="41"/>
      <c r="P40" s="39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I40" s="8"/>
      <c r="AJ40" s="45"/>
      <c r="AK40" s="22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s="5" customFormat="1" ht="18.75" x14ac:dyDescent="0.25">
      <c r="B41" s="40">
        <v>429.96600000000001</v>
      </c>
      <c r="C41" s="22"/>
      <c r="D41" s="22"/>
      <c r="E41" s="10" t="s">
        <v>22</v>
      </c>
      <c r="F41" s="22">
        <v>1005.9614987606687</v>
      </c>
      <c r="G41" s="22"/>
      <c r="H41" s="22"/>
      <c r="I41" s="22"/>
      <c r="J41" s="41"/>
      <c r="K41" s="41"/>
      <c r="L41" s="41"/>
      <c r="M41" s="41"/>
      <c r="N41" s="41"/>
      <c r="O41" s="41"/>
      <c r="P41" s="3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I41" s="8"/>
      <c r="AJ41" s="46"/>
      <c r="AK41" s="2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s="5" customFormat="1" ht="18.75" x14ac:dyDescent="0.25">
      <c r="B42" s="40">
        <v>494.35300000000001</v>
      </c>
      <c r="C42" s="22"/>
      <c r="D42" s="22"/>
      <c r="E42" s="10" t="s">
        <v>23</v>
      </c>
      <c r="F42" s="22">
        <v>677.87643155977037</v>
      </c>
      <c r="G42" s="22"/>
      <c r="H42" s="22"/>
      <c r="I42" s="22"/>
      <c r="J42" s="41"/>
      <c r="K42" s="41"/>
      <c r="L42" s="41"/>
      <c r="M42" s="41"/>
      <c r="N42" s="41"/>
      <c r="O42" s="41"/>
      <c r="P42" s="3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I42" s="8"/>
      <c r="AJ42" s="45"/>
      <c r="AK42" s="2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s="5" customFormat="1" ht="18.75" x14ac:dyDescent="0.25">
      <c r="B43" s="40">
        <v>73.063000000000002</v>
      </c>
      <c r="C43" s="22"/>
      <c r="D43" s="22"/>
      <c r="E43" s="10" t="s">
        <v>24</v>
      </c>
      <c r="F43" s="22">
        <v>1060.6535379842462</v>
      </c>
      <c r="G43" s="22"/>
      <c r="H43" s="22"/>
      <c r="I43" s="22"/>
      <c r="J43" s="41"/>
      <c r="K43" s="41"/>
      <c r="L43" s="41"/>
      <c r="M43" s="41"/>
      <c r="N43" s="41"/>
      <c r="O43" s="41"/>
      <c r="P43" s="39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I43" s="8"/>
      <c r="AJ43" s="45"/>
      <c r="AK43" s="2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s="5" customFormat="1" ht="18.75" x14ac:dyDescent="0.25">
      <c r="B44" s="40">
        <v>2212.69</v>
      </c>
      <c r="C44" s="22"/>
      <c r="D44" s="22"/>
      <c r="E44" s="42" t="s">
        <v>3</v>
      </c>
      <c r="F44" s="22">
        <v>134.74387105900715</v>
      </c>
      <c r="G44" s="22"/>
      <c r="H44" s="22"/>
      <c r="I44" s="22"/>
      <c r="J44" s="41"/>
      <c r="K44" s="41"/>
      <c r="L44" s="41"/>
      <c r="M44" s="41"/>
      <c r="N44" s="41"/>
      <c r="O44" s="41"/>
      <c r="P44" s="39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I44" s="8"/>
      <c r="AJ44" s="45"/>
      <c r="AK44" s="2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s="5" customFormat="1" ht="18.75" x14ac:dyDescent="0.25">
      <c r="B45" s="40">
        <v>532.16600000000005</v>
      </c>
      <c r="C45" s="22"/>
      <c r="D45" s="22"/>
      <c r="E45" s="10" t="s">
        <v>25</v>
      </c>
      <c r="F45" s="22">
        <v>181.67146277704833</v>
      </c>
      <c r="G45" s="22"/>
      <c r="H45" s="22"/>
      <c r="I45" s="22"/>
      <c r="J45" s="41"/>
      <c r="K45" s="41"/>
      <c r="L45" s="41"/>
      <c r="M45" s="41"/>
      <c r="N45" s="41"/>
      <c r="O45" s="41"/>
      <c r="P45" s="39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J45" s="45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ht="18.75" x14ac:dyDescent="0.25">
      <c r="P46" s="39"/>
      <c r="AI46" s="8"/>
      <c r="AJ46" s="11"/>
      <c r="AK46" s="22"/>
    </row>
    <row r="47" spans="1:48" ht="18.75" x14ac:dyDescent="0.25">
      <c r="P47" s="39"/>
      <c r="AI47" s="8"/>
      <c r="AJ47" s="11"/>
      <c r="AK47" s="3"/>
    </row>
    <row r="48" spans="1:48" ht="18.75" x14ac:dyDescent="0.25">
      <c r="P48" s="39"/>
      <c r="AI48" s="8"/>
      <c r="AJ48" s="11"/>
      <c r="AK48" s="3"/>
    </row>
    <row r="49" spans="16:37" ht="18.75" x14ac:dyDescent="0.25">
      <c r="P49" s="39"/>
      <c r="AI49" s="8"/>
      <c r="AJ49" s="11"/>
      <c r="AK49" s="3"/>
    </row>
    <row r="50" spans="16:37" x14ac:dyDescent="0.25">
      <c r="AI50" s="28"/>
      <c r="AJ50" s="11"/>
      <c r="AK50" s="3"/>
    </row>
    <row r="51" spans="16:37" x14ac:dyDescent="0.25">
      <c r="AI51" s="8"/>
      <c r="AJ51" s="11"/>
      <c r="AK51" s="3"/>
    </row>
  </sheetData>
  <mergeCells count="3">
    <mergeCell ref="A1:P1"/>
    <mergeCell ref="A2:P2"/>
    <mergeCell ref="A3:P3"/>
  </mergeCells>
  <pageMargins left="0.18" right="0.22" top="0.75" bottom="0.75" header="0.3" footer="0.3"/>
  <pageSetup scale="88" orientation="portrait" r:id="rId1"/>
  <rowBreaks count="1" manualBreakCount="1">
    <brk id="56" max="16383" man="1"/>
  </rowBreaks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2018-12-05T06:50:02Z</cp:lastPrinted>
  <dcterms:created xsi:type="dcterms:W3CDTF">2014-03-04T03:52:57Z</dcterms:created>
  <dcterms:modified xsi:type="dcterms:W3CDTF">2018-12-05T06:50:12Z</dcterms:modified>
</cp:coreProperties>
</file>