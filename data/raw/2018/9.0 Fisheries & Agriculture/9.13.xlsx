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13" sheetId="26" r:id="rId1"/>
  </sheets>
  <externalReferences>
    <externalReference r:id="rId2"/>
    <externalReference r:id="rId3"/>
  </externalReferences>
  <definedNames>
    <definedName name="_xlnm.Print_Area" localSheetId="0">'9.13'!$A$1:$I$31</definedName>
  </definedNames>
  <calcPr calcId="162913"/>
</workbook>
</file>

<file path=xl/calcChain.xml><?xml version="1.0" encoding="utf-8"?>
<calcChain xmlns="http://schemas.openxmlformats.org/spreadsheetml/2006/main">
  <c r="B29" i="26" l="1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H7" i="26"/>
  <c r="G7" i="26"/>
  <c r="F7" i="26"/>
  <c r="E7" i="26"/>
  <c r="D7" i="26"/>
  <c r="C7" i="26"/>
  <c r="B7" i="26" l="1"/>
</calcChain>
</file>

<file path=xl/sharedStrings.xml><?xml version="1.0" encoding="utf-8"?>
<sst xmlns="http://schemas.openxmlformats.org/spreadsheetml/2006/main" count="68" uniqueCount="67">
  <si>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</si>
  <si>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</si>
  <si>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</si>
  <si>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</si>
  <si>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</si>
  <si>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</si>
  <si>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</si>
  <si>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</si>
  <si>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</si>
  <si>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</si>
  <si>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</si>
  <si>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</si>
  <si>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</si>
  <si>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</si>
  <si>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</si>
  <si>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</si>
  <si>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</si>
  <si>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</si>
  <si>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</si>
  <si>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</si>
  <si>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ފާގަ</t>
  </si>
  <si>
    <t>ކަދޫ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</si>
  <si>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</si>
  <si>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</si>
  <si>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</si>
  <si>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</si>
  <si>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</si>
  <si>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</si>
  <si>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</si>
  <si>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</si>
  <si>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</si>
  <si>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</si>
  <si>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</si>
  <si>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</si>
  <si>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</si>
  <si>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</si>
  <si>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</si>
  <si>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</si>
  <si>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</si>
  <si>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</si>
  <si>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</si>
  <si>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</si>
  <si>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</si>
  <si>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ޗިޗަންޑާ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</si>
  <si>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</si>
  <si>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</si>
  <si>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</si>
  <si>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</si>
  <si>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</si>
  <si>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(cniaOlik )</t>
  </si>
  <si>
    <t>(In kgs)</t>
  </si>
  <si>
    <t>Agricultural Crops</t>
  </si>
  <si>
    <t>Bitter Gourd ( Fresh Or Chilled )</t>
  </si>
  <si>
    <t>Bottle Gourd ( Fresh Or Chilled )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</si>
  <si>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</si>
  <si>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</si>
  <si>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</si>
  <si>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</si>
  <si>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</si>
  <si>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</si>
  <si>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</si>
  <si>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</si>
  <si>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</si>
  <si>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Snake Gourd ( Fresh Or Chilled )</t>
  </si>
  <si>
    <t>Sweet Potato ( Fresh , Chilled Or Frozen )</t>
  </si>
  <si>
    <t>2017 ,cawtctwvWb egumwkirevuDnwd Wdcawh cSokumcaWa iawgEjcaWr cniaeret egukwtctwvWb unuveruk cTrOpcmia cSwaejcaWr  : 9.13 ulwvWt</t>
  </si>
  <si>
    <t>Table 9.13: IMPORTS OF FRESH AGRICULTURAL CROPS MAINLY PRODUCED IN MALDIVES,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</si>
</sst>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General_)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/>
      <top/>
      <bottom style="thin">
        <color indexed="9"/>
      </bottom>
      <diagonal/>
    </border>
  </borders>
  <cellStyleXfs count="9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5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2" fillId="0" borderId="0"/>
  </cellStyleXfs>
  <cellXfs count="41">
    <xf numFmtId="0" fontId="0" fillId="0" borderId="0" xfId="0"/>
    <xf numFmtId="38" fontId="5" fillId="2" borderId="2" xfId="1" applyNumberFormat="1" applyFont="1" applyFill="1" applyBorder="1"/>
    <xf numFmtId="38" fontId="3" fillId="2" borderId="0" xfId="1" applyNumberFormat="1" applyFont="1" applyFill="1" applyBorder="1"/>
    <xf numFmtId="38" fontId="5" fillId="2" borderId="0" xfId="1" applyNumberFormat="1" applyFont="1" applyFill="1" applyBorder="1"/>
    <xf numFmtId="165" fontId="10" fillId="2" borderId="4" xfId="6" applyNumberFormat="1" applyFill="1" applyBorder="1"/>
    <xf numFmtId="165" fontId="10" fillId="2" borderId="4" xfId="6" applyNumberFormat="1" applyFont="1" applyFill="1" applyBorder="1"/>
    <xf numFmtId="2" fontId="14" fillId="2" borderId="3" xfId="6" applyNumberFormat="1" applyFont="1" applyFill="1" applyBorder="1" applyAlignment="1">
      <alignment horizontal="right" vertical="center"/>
    </xf>
    <xf numFmtId="0" fontId="15" fillId="2" borderId="2" xfId="6" applyNumberFormat="1" applyFont="1" applyFill="1" applyBorder="1" applyAlignment="1">
      <alignment horizontal="right" vertical="center"/>
    </xf>
    <xf numFmtId="165" fontId="1" fillId="2" borderId="4" xfId="6" applyNumberFormat="1" applyFont="1" applyFill="1" applyBorder="1"/>
    <xf numFmtId="0" fontId="13" fillId="2" borderId="1" xfId="6" applyNumberFormat="1" applyFont="1" applyFill="1" applyBorder="1" applyAlignment="1">
      <alignment horizontal="left" vertical="center"/>
    </xf>
    <xf numFmtId="38" fontId="15" fillId="2" borderId="1" xfId="6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0" fontId="16" fillId="2" borderId="10" xfId="6" applyNumberFormat="1" applyFont="1" applyFill="1" applyBorder="1" applyAlignment="1">
      <alignment vertical="center"/>
    </xf>
    <xf numFmtId="0" fontId="16" fillId="2" borderId="12" xfId="6" applyNumberFormat="1" applyFont="1" applyFill="1" applyBorder="1" applyAlignment="1">
      <alignment vertical="center"/>
    </xf>
    <xf numFmtId="0" fontId="17" fillId="2" borderId="13" xfId="6" applyNumberFormat="1" applyFont="1" applyFill="1" applyBorder="1" applyAlignment="1">
      <alignment horizontal="left" vertical="center"/>
    </xf>
    <xf numFmtId="38" fontId="3" fillId="2" borderId="2" xfId="1" applyNumberFormat="1" applyFont="1" applyFill="1" applyBorder="1"/>
    <xf numFmtId="165" fontId="7" fillId="2" borderId="15" xfId="3" applyFont="1" applyFill="1" applyBorder="1" applyAlignment="1">
      <alignment horizontal="right" vertical="center" indent="1"/>
    </xf>
    <xf numFmtId="165" fontId="9" fillId="2" borderId="15" xfId="3" applyFont="1" applyFill="1" applyBorder="1" applyAlignment="1" applyProtection="1">
      <alignment horizontal="left" vertical="center"/>
    </xf>
    <xf numFmtId="165" fontId="10" fillId="2" borderId="0" xfId="6" applyNumberFormat="1" applyFill="1" applyBorder="1"/>
    <xf numFmtId="1" fontId="5" fillId="2" borderId="0" xfId="0" applyNumberFormat="1" applyFont="1" applyFill="1" applyBorder="1" applyAlignment="1">
      <alignment horizontal="left" indent="1"/>
    </xf>
    <xf numFmtId="0" fontId="17" fillId="2" borderId="11" xfId="6" applyNumberFormat="1" applyFont="1" applyFill="1" applyBorder="1" applyAlignment="1">
      <alignment horizontal="left" vertical="center" indent="1"/>
    </xf>
    <xf numFmtId="0" fontId="17" fillId="2" borderId="13" xfId="6" applyNumberFormat="1" applyFont="1" applyFill="1" applyBorder="1" applyAlignment="1">
      <alignment horizontal="left" vertical="center" indent="1"/>
    </xf>
    <xf numFmtId="0" fontId="17" fillId="2" borderId="14" xfId="6" applyNumberFormat="1" applyFont="1" applyFill="1" applyBorder="1" applyAlignment="1">
      <alignment horizontal="left" vertical="center" indent="1"/>
    </xf>
    <xf numFmtId="165" fontId="6" fillId="2" borderId="15" xfId="3" applyFont="1" applyFill="1" applyBorder="1" applyAlignment="1" applyProtection="1">
      <alignment horizontal="left" vertical="center"/>
    </xf>
    <xf numFmtId="165" fontId="7" fillId="2" borderId="15" xfId="3" applyFont="1" applyFill="1" applyBorder="1" applyAlignment="1">
      <alignment horizontal="left" vertical="center" indent="1"/>
    </xf>
    <xf numFmtId="0" fontId="17" fillId="2" borderId="18" xfId="6" applyNumberFormat="1" applyFont="1" applyFill="1" applyBorder="1" applyAlignment="1">
      <alignment horizontal="left" vertical="center"/>
    </xf>
    <xf numFmtId="0" fontId="17" fillId="2" borderId="16" xfId="6" applyNumberFormat="1" applyFont="1" applyFill="1" applyBorder="1" applyAlignment="1">
      <alignment horizontal="left" vertical="center"/>
    </xf>
    <xf numFmtId="0" fontId="12" fillId="2" borderId="7" xfId="6" applyNumberFormat="1" applyFont="1" applyFill="1" applyBorder="1" applyAlignment="1">
      <alignment horizontal="right" vertical="center"/>
    </xf>
    <xf numFmtId="0" fontId="16" fillId="2" borderId="17" xfId="6" applyNumberFormat="1" applyFont="1" applyFill="1" applyBorder="1" applyAlignment="1">
      <alignment horizontal="right" vertical="center" indent="1"/>
    </xf>
    <xf numFmtId="0" fontId="16" fillId="2" borderId="0" xfId="6" applyNumberFormat="1" applyFont="1" applyFill="1" applyBorder="1" applyAlignment="1">
      <alignment horizontal="right" vertical="center" indent="1"/>
    </xf>
    <xf numFmtId="0" fontId="16" fillId="2" borderId="9" xfId="6" applyNumberFormat="1" applyFont="1" applyFill="1" applyBorder="1" applyAlignment="1">
      <alignment horizontal="right" vertical="center" indent="1"/>
    </xf>
    <xf numFmtId="165" fontId="11" fillId="2" borderId="4" xfId="6" applyNumberFormat="1" applyFont="1" applyFill="1" applyBorder="1"/>
    <xf numFmtId="0" fontId="8" fillId="2" borderId="4" xfId="5" applyFont="1" applyFill="1" applyBorder="1" applyAlignment="1">
      <alignment horizontal="center" vertical="center"/>
    </xf>
    <xf numFmtId="0" fontId="11" fillId="2" borderId="4" xfId="6" applyNumberFormat="1" applyFont="1" applyFill="1" applyBorder="1" applyAlignment="1">
      <alignment horizontal="center" vertical="center"/>
    </xf>
    <xf numFmtId="0" fontId="13" fillId="2" borderId="5" xfId="6" applyNumberFormat="1" applyFont="1" applyFill="1" applyBorder="1" applyAlignment="1">
      <alignment horizontal="center" vertical="center"/>
    </xf>
    <xf numFmtId="0" fontId="13" fillId="2" borderId="6" xfId="6" applyNumberFormat="1" applyFont="1" applyFill="1" applyBorder="1" applyAlignment="1">
      <alignment horizontal="left" vertical="center"/>
    </xf>
    <xf numFmtId="0" fontId="13" fillId="2" borderId="8" xfId="6" applyNumberFormat="1" applyFont="1" applyFill="1" applyBorder="1" applyAlignment="1">
      <alignment horizontal="left" vertical="center"/>
    </xf>
    <xf numFmtId="0" fontId="12" fillId="2" borderId="7" xfId="6" applyNumberFormat="1" applyFont="1" applyFill="1" applyBorder="1" applyAlignment="1">
      <alignment horizontal="right" vertical="center"/>
    </xf>
    <xf numFmtId="0" fontId="12" fillId="2" borderId="9" xfId="6" applyNumberFormat="1" applyFont="1" applyFill="1" applyBorder="1" applyAlignment="1">
      <alignment horizontal="right" vertical="center"/>
    </xf>
    <xf numFmtId="0" fontId="18" fillId="2" borderId="4" xfId="6" applyNumberFormat="1" applyFont="1" applyFill="1" applyBorder="1" applyAlignment="1">
      <alignment horizontal="center" vertical="center"/>
    </xf>
    <xf numFmtId="0" fontId="14" fillId="2" borderId="4" xfId="6" applyNumberFormat="1" applyFont="1" applyFill="1" applyBorder="1" applyAlignment="1">
      <alignment horizontal="center" vertical="center"/>
    </xf>
  </cellXfs>
  <cellStyles count="9">
    <cellStyle name="1" xfId="7"/>
    <cellStyle name="Comma 2" xfId="1"/>
    <cellStyle name="Normal" xfId="0" builtinId="0"/>
    <cellStyle name="Normal 2" xfId="4"/>
    <cellStyle name="Normal 3_agri planning 2009 year book(final)" xfId="2"/>
    <cellStyle name="Normal 4" xfId="8"/>
    <cellStyle name="Normal_agri planning 2009 year book(final)" xfId="6"/>
    <cellStyle name="Normal_Fish &amp;  Agri - 8" xfId="3"/>
    <cellStyle name="Normal_mmifco" xfId="5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32"/>
  <sheetViews>
    <sheetView tabSelected="1" zoomScaleNormal="100" workbookViewId="0">
      <selection activeCell="G17" sqref="G17"/>
    </sheetView>
  </sheetViews>
  <sheetFormatPr defaultColWidth="8.85546875" defaultRowHeight="15" x14ac:dyDescent="0.25"/>
  <cols>
    <col min="1" max="1" width="40.85546875" style="4" customWidth="1"/>
    <col min="2" max="8" width="15.7109375" style="4" customWidth="1"/>
    <col min="9" max="9" width="24.5703125" style="4" customWidth="1"/>
    <col min="10" max="16384" width="8.85546875" style="4"/>
  </cols>
  <sheetData>
    <row r="1" spans="1:46" ht="18" x14ac:dyDescent="0.25">
      <c r="A1" s="32" t="s">
        <v>65</v>
      </c>
      <c r="B1" s="32"/>
      <c r="C1" s="32"/>
      <c r="D1" s="32"/>
      <c r="E1" s="32"/>
      <c r="F1" s="32"/>
      <c r="G1" s="32"/>
      <c r="H1" s="32"/>
      <c r="I1" s="32"/>
    </row>
    <row r="2" spans="1:46" s="5" customFormat="1" ht="15.75" x14ac:dyDescent="0.25">
      <c r="A2" s="33" t="s">
        <v>66</v>
      </c>
      <c r="B2" s="33"/>
      <c r="C2" s="33"/>
      <c r="D2" s="33"/>
      <c r="E2" s="33"/>
      <c r="F2" s="33"/>
      <c r="G2" s="33"/>
      <c r="H2" s="33"/>
      <c r="I2" s="33"/>
    </row>
    <row r="3" spans="1:46" ht="18.75" x14ac:dyDescent="0.25">
      <c r="A3" s="39" t="s">
        <v>49</v>
      </c>
      <c r="B3" s="39"/>
      <c r="C3" s="40"/>
      <c r="D3" s="40"/>
      <c r="E3" s="40"/>
      <c r="F3" s="40"/>
      <c r="G3" s="40"/>
      <c r="H3" s="40"/>
      <c r="I3" s="40"/>
    </row>
    <row r="4" spans="1:46" x14ac:dyDescent="0.25">
      <c r="A4" s="34" t="s">
        <v>50</v>
      </c>
      <c r="B4" s="34"/>
      <c r="C4" s="34"/>
      <c r="D4" s="34"/>
      <c r="E4" s="34"/>
      <c r="F4" s="34"/>
      <c r="G4" s="34"/>
      <c r="H4" s="34"/>
      <c r="I4" s="34"/>
    </row>
    <row r="5" spans="1:46" ht="18.75" x14ac:dyDescent="0.25">
      <c r="A5" s="35" t="s">
        <v>51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37" t="s">
        <v>8</v>
      </c>
    </row>
    <row r="6" spans="1:46" x14ac:dyDescent="0.25">
      <c r="A6" s="36"/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38"/>
    </row>
    <row r="7" spans="1:46" ht="21" x14ac:dyDescent="0.25">
      <c r="A7" s="9" t="s">
        <v>0</v>
      </c>
      <c r="B7" s="10">
        <f>SUM(B8:B29)</f>
        <v>15938208.059949454</v>
      </c>
      <c r="C7" s="10">
        <f t="shared" ref="C7:H7" si="0">SUM(C8:C29)</f>
        <v>10292237.882999998</v>
      </c>
      <c r="D7" s="10">
        <f t="shared" si="0"/>
        <v>2212286.8169999998</v>
      </c>
      <c r="E7" s="10">
        <f t="shared" si="0"/>
        <v>1230556.1965694525</v>
      </c>
      <c r="F7" s="10">
        <f t="shared" si="0"/>
        <v>343075.45350000006</v>
      </c>
      <c r="G7" s="10">
        <f t="shared" si="0"/>
        <v>866583.12500000023</v>
      </c>
      <c r="H7" s="10">
        <f t="shared" si="0"/>
        <v>993468.58487999998</v>
      </c>
      <c r="I7" s="27" t="s">
        <v>1</v>
      </c>
      <c r="J7" s="8"/>
      <c r="K7" s="8"/>
      <c r="AO7" s="18"/>
      <c r="AP7" s="18"/>
      <c r="AQ7" s="18"/>
      <c r="AR7" s="18"/>
      <c r="AS7" s="18"/>
      <c r="AT7" s="18"/>
    </row>
    <row r="8" spans="1:46" ht="21" x14ac:dyDescent="0.25">
      <c r="A8" s="19" t="s">
        <v>16</v>
      </c>
      <c r="B8" s="2">
        <f t="shared" ref="B8:B29" si="1">SUM(C8:H8)</f>
        <v>1661962.929</v>
      </c>
      <c r="C8" s="3">
        <v>1501972.07</v>
      </c>
      <c r="D8" s="3">
        <v>100507.83899999999</v>
      </c>
      <c r="E8" s="3">
        <v>45998.009999999995</v>
      </c>
      <c r="F8" s="3">
        <v>434.90000000000003</v>
      </c>
      <c r="G8" s="3">
        <v>5971.8</v>
      </c>
      <c r="H8" s="3">
        <v>7078.31</v>
      </c>
      <c r="I8" s="28" t="s">
        <v>17</v>
      </c>
      <c r="J8" s="11"/>
      <c r="K8" s="12"/>
    </row>
    <row r="9" spans="1:46" ht="21" x14ac:dyDescent="0.25">
      <c r="A9" s="20" t="s">
        <v>18</v>
      </c>
      <c r="B9" s="2">
        <f t="shared" si="1"/>
        <v>782552.92472727248</v>
      </c>
      <c r="C9" s="3">
        <v>416974.2</v>
      </c>
      <c r="D9" s="3">
        <v>149376.639</v>
      </c>
      <c r="E9" s="3">
        <v>80266.063727272413</v>
      </c>
      <c r="F9" s="3">
        <v>2414.3580000000002</v>
      </c>
      <c r="G9" s="3">
        <v>28613.314000000002</v>
      </c>
      <c r="H9" s="3">
        <v>104908.34999999998</v>
      </c>
      <c r="I9" s="29" t="s">
        <v>19</v>
      </c>
      <c r="J9" s="25"/>
      <c r="K9" s="12"/>
    </row>
    <row r="10" spans="1:46" ht="21" x14ac:dyDescent="0.25">
      <c r="A10" s="21" t="s">
        <v>52</v>
      </c>
      <c r="B10" s="2">
        <f t="shared" si="1"/>
        <v>161049.26499999998</v>
      </c>
      <c r="C10" s="3">
        <v>86417.600000000006</v>
      </c>
      <c r="D10" s="3">
        <v>69758.565000000002</v>
      </c>
      <c r="E10" s="3">
        <v>3144.5</v>
      </c>
      <c r="F10" s="3">
        <v>33.299999999999997</v>
      </c>
      <c r="G10" s="3">
        <v>439.3</v>
      </c>
      <c r="H10" s="3">
        <v>1256</v>
      </c>
      <c r="I10" s="29" t="s">
        <v>20</v>
      </c>
      <c r="J10" s="26"/>
      <c r="K10" s="12"/>
      <c r="O10" s="31"/>
    </row>
    <row r="11" spans="1:46" ht="21" x14ac:dyDescent="0.25">
      <c r="A11" s="21" t="s">
        <v>53</v>
      </c>
      <c r="B11" s="2">
        <f t="shared" si="1"/>
        <v>28113.579999999998</v>
      </c>
      <c r="C11" s="3">
        <v>11293.1</v>
      </c>
      <c r="D11" s="3">
        <v>14495.75</v>
      </c>
      <c r="E11" s="3">
        <v>1588.17</v>
      </c>
      <c r="F11" s="3"/>
      <c r="G11" s="3">
        <v>285.56</v>
      </c>
      <c r="H11" s="3">
        <v>451</v>
      </c>
      <c r="I11" s="29" t="s">
        <v>21</v>
      </c>
      <c r="J11" s="26"/>
      <c r="K11" s="12"/>
    </row>
    <row r="12" spans="1:46" ht="21" x14ac:dyDescent="0.25">
      <c r="A12" s="21" t="s">
        <v>54</v>
      </c>
      <c r="B12" s="2">
        <f t="shared" si="1"/>
        <v>11289.869999999999</v>
      </c>
      <c r="C12" s="3">
        <v>30</v>
      </c>
      <c r="D12" s="3">
        <v>9731.869999999999</v>
      </c>
      <c r="E12" s="3">
        <v>1334.5</v>
      </c>
      <c r="F12" s="3">
        <v>2</v>
      </c>
      <c r="G12" s="3">
        <v>139</v>
      </c>
      <c r="H12" s="3">
        <v>52.5</v>
      </c>
      <c r="I12" s="29" t="s">
        <v>22</v>
      </c>
      <c r="J12" s="26"/>
      <c r="K12" s="12"/>
    </row>
    <row r="13" spans="1:46" ht="21" x14ac:dyDescent="0.25">
      <c r="A13" s="21" t="s">
        <v>55</v>
      </c>
      <c r="B13" s="2">
        <f t="shared" si="1"/>
        <v>4146127.8809999996</v>
      </c>
      <c r="C13" s="3">
        <v>3599879.19</v>
      </c>
      <c r="D13" s="3">
        <v>240082.584</v>
      </c>
      <c r="E13" s="3">
        <v>155257.99</v>
      </c>
      <c r="F13" s="3">
        <v>27325.427</v>
      </c>
      <c r="G13" s="3">
        <v>12599.67</v>
      </c>
      <c r="H13" s="3">
        <v>110983.02</v>
      </c>
      <c r="I13" s="29" t="s">
        <v>23</v>
      </c>
      <c r="J13" s="26"/>
      <c r="K13" s="12"/>
    </row>
    <row r="14" spans="1:46" ht="21" x14ac:dyDescent="0.25">
      <c r="A14" s="21" t="s">
        <v>24</v>
      </c>
      <c r="B14" s="2">
        <f t="shared" si="1"/>
        <v>83964.549999999988</v>
      </c>
      <c r="C14" s="3">
        <v>3880.6</v>
      </c>
      <c r="D14" s="3">
        <v>13758.51</v>
      </c>
      <c r="E14" s="3">
        <v>15057.2</v>
      </c>
      <c r="F14" s="3">
        <v>12816.35</v>
      </c>
      <c r="G14" s="3">
        <v>21959.489999999998</v>
      </c>
      <c r="H14" s="3">
        <v>16492.400000000001</v>
      </c>
      <c r="I14" s="29" t="s">
        <v>25</v>
      </c>
      <c r="J14" s="26"/>
      <c r="K14" s="12"/>
    </row>
    <row r="15" spans="1:46" ht="21" x14ac:dyDescent="0.25">
      <c r="A15" s="21" t="s">
        <v>56</v>
      </c>
      <c r="B15" s="2">
        <f t="shared" si="1"/>
        <v>104798.94799999999</v>
      </c>
      <c r="C15" s="3">
        <v>4111</v>
      </c>
      <c r="D15" s="3">
        <v>99313.999999999985</v>
      </c>
      <c r="E15" s="3">
        <v>1280.548</v>
      </c>
      <c r="F15" s="3"/>
      <c r="G15" s="3">
        <v>38.799999999999997</v>
      </c>
      <c r="H15" s="3">
        <v>54.6</v>
      </c>
      <c r="I15" s="29" t="s">
        <v>26</v>
      </c>
      <c r="J15" s="26"/>
      <c r="K15" s="12"/>
    </row>
    <row r="16" spans="1:46" ht="21" x14ac:dyDescent="0.25">
      <c r="A16" s="21" t="s">
        <v>57</v>
      </c>
      <c r="B16" s="2">
        <f t="shared" si="1"/>
        <v>464866.45288763463</v>
      </c>
      <c r="C16" s="3">
        <v>284048.88</v>
      </c>
      <c r="D16" s="3">
        <v>48027.270000000004</v>
      </c>
      <c r="E16" s="3">
        <v>43156.479387634608</v>
      </c>
      <c r="F16" s="3">
        <v>506.24</v>
      </c>
      <c r="G16" s="3">
        <v>23364.270999999997</v>
      </c>
      <c r="H16" s="3">
        <v>65763.3125</v>
      </c>
      <c r="I16" s="29" t="s">
        <v>27</v>
      </c>
      <c r="J16" s="26"/>
      <c r="K16" s="12"/>
    </row>
    <row r="17" spans="1:11" ht="21" x14ac:dyDescent="0.25">
      <c r="A17" s="21" t="s">
        <v>58</v>
      </c>
      <c r="B17" s="2">
        <f t="shared" si="1"/>
        <v>668634.41700000002</v>
      </c>
      <c r="C17" s="3">
        <v>106831.37</v>
      </c>
      <c r="D17" s="3">
        <v>353467.62</v>
      </c>
      <c r="E17" s="3">
        <v>129265.28</v>
      </c>
      <c r="F17" s="3">
        <v>14306.427</v>
      </c>
      <c r="G17" s="3">
        <v>9723.989999999998</v>
      </c>
      <c r="H17" s="3">
        <v>55039.729999999996</v>
      </c>
      <c r="I17" s="29" t="s">
        <v>28</v>
      </c>
      <c r="J17" s="26"/>
      <c r="K17" s="12"/>
    </row>
    <row r="18" spans="1:11" ht="21" x14ac:dyDescent="0.25">
      <c r="A18" s="21" t="s">
        <v>59</v>
      </c>
      <c r="B18" s="2">
        <f t="shared" si="1"/>
        <v>116221.37</v>
      </c>
      <c r="C18" s="3">
        <v>84605.79</v>
      </c>
      <c r="D18" s="3">
        <v>26664.409999999996</v>
      </c>
      <c r="E18" s="3">
        <v>4176.57</v>
      </c>
      <c r="F18" s="3">
        <v>10</v>
      </c>
      <c r="G18" s="3">
        <v>541.6</v>
      </c>
      <c r="H18" s="3">
        <v>223</v>
      </c>
      <c r="I18" s="29" t="s">
        <v>29</v>
      </c>
      <c r="J18" s="26"/>
      <c r="K18" s="12"/>
    </row>
    <row r="19" spans="1:11" ht="21" x14ac:dyDescent="0.25">
      <c r="A19" s="21" t="s">
        <v>60</v>
      </c>
      <c r="B19" s="2">
        <f t="shared" si="1"/>
        <v>359224.68</v>
      </c>
      <c r="C19" s="3">
        <v>75560.509999999995</v>
      </c>
      <c r="D19" s="3">
        <v>99398.299999999988</v>
      </c>
      <c r="E19" s="3">
        <v>24095.479999999996</v>
      </c>
      <c r="F19" s="3">
        <v>50</v>
      </c>
      <c r="G19" s="3">
        <v>110088.33</v>
      </c>
      <c r="H19" s="3">
        <v>50032.06</v>
      </c>
      <c r="I19" s="29" t="s">
        <v>30</v>
      </c>
      <c r="J19" s="26"/>
      <c r="K19" s="12"/>
    </row>
    <row r="20" spans="1:11" ht="21" x14ac:dyDescent="0.25">
      <c r="A20" s="21" t="s">
        <v>31</v>
      </c>
      <c r="B20" s="2">
        <f t="shared" si="1"/>
        <v>636138.69237999991</v>
      </c>
      <c r="C20" s="3">
        <v>28029.16</v>
      </c>
      <c r="D20" s="3">
        <v>48554.852999999996</v>
      </c>
      <c r="E20" s="3">
        <v>255123.36499999999</v>
      </c>
      <c r="F20" s="3">
        <v>86516.801999999996</v>
      </c>
      <c r="G20" s="3">
        <v>39513.619999999995</v>
      </c>
      <c r="H20" s="3">
        <v>178400.89237999998</v>
      </c>
      <c r="I20" s="29" t="s">
        <v>32</v>
      </c>
      <c r="J20" s="26"/>
      <c r="K20" s="12"/>
    </row>
    <row r="21" spans="1:11" ht="21" x14ac:dyDescent="0.25">
      <c r="A21" s="21" t="s">
        <v>61</v>
      </c>
      <c r="B21" s="2">
        <f t="shared" si="1"/>
        <v>931314.69699999993</v>
      </c>
      <c r="C21" s="3">
        <v>197417.37999999998</v>
      </c>
      <c r="D21" s="3">
        <v>149424.36199999999</v>
      </c>
      <c r="E21" s="3">
        <v>76594.424999999988</v>
      </c>
      <c r="F21" s="3">
        <v>14534.9</v>
      </c>
      <c r="G21" s="3">
        <v>303024.44</v>
      </c>
      <c r="H21" s="3">
        <v>190319.18999999994</v>
      </c>
      <c r="I21" s="29" t="s">
        <v>33</v>
      </c>
      <c r="J21" s="26"/>
      <c r="K21" s="12"/>
    </row>
    <row r="22" spans="1:11" ht="21" x14ac:dyDescent="0.25">
      <c r="A22" s="21" t="s">
        <v>34</v>
      </c>
      <c r="B22" s="2">
        <f t="shared" si="1"/>
        <v>771916.00000000012</v>
      </c>
      <c r="C22" s="3">
        <v>274972.14500000002</v>
      </c>
      <c r="D22" s="3">
        <v>29907.3</v>
      </c>
      <c r="E22" s="3">
        <v>254541.3</v>
      </c>
      <c r="F22" s="3">
        <v>52579.325000000012</v>
      </c>
      <c r="G22" s="3">
        <v>100730.32000000002</v>
      </c>
      <c r="H22" s="3">
        <v>59185.609999999993</v>
      </c>
      <c r="I22" s="29" t="s">
        <v>35</v>
      </c>
      <c r="J22" s="26"/>
      <c r="K22" s="12"/>
    </row>
    <row r="23" spans="1:11" ht="21" x14ac:dyDescent="0.25">
      <c r="A23" s="21" t="s">
        <v>36</v>
      </c>
      <c r="B23" s="2">
        <f t="shared" si="1"/>
        <v>150611.61599999998</v>
      </c>
      <c r="C23" s="3">
        <v>2825.25</v>
      </c>
      <c r="D23" s="3">
        <v>113031.476</v>
      </c>
      <c r="E23" s="3">
        <v>3336</v>
      </c>
      <c r="F23" s="3">
        <v>104.3</v>
      </c>
      <c r="G23" s="3">
        <v>30545.79</v>
      </c>
      <c r="H23" s="3">
        <v>768.8</v>
      </c>
      <c r="I23" s="29" t="s">
        <v>37</v>
      </c>
      <c r="J23" s="26"/>
      <c r="K23" s="12"/>
    </row>
    <row r="24" spans="1:11" ht="21" x14ac:dyDescent="0.25">
      <c r="A24" s="21" t="s">
        <v>62</v>
      </c>
      <c r="B24" s="2">
        <f t="shared" si="1"/>
        <v>335789.24599999998</v>
      </c>
      <c r="C24" s="3">
        <v>8073</v>
      </c>
      <c r="D24" s="3">
        <v>266642.886</v>
      </c>
      <c r="E24" s="3">
        <v>28460.23</v>
      </c>
      <c r="F24" s="3">
        <v>1037.5700000000002</v>
      </c>
      <c r="G24" s="3">
        <v>24021.39</v>
      </c>
      <c r="H24" s="3">
        <v>7554.170000000001</v>
      </c>
      <c r="I24" s="29" t="s">
        <v>38</v>
      </c>
      <c r="J24" s="26"/>
      <c r="K24" s="12"/>
    </row>
    <row r="25" spans="1:11" ht="21" x14ac:dyDescent="0.25">
      <c r="A25" s="21" t="s">
        <v>39</v>
      </c>
      <c r="B25" s="2">
        <f t="shared" si="1"/>
        <v>647865.04450000008</v>
      </c>
      <c r="C25" s="3">
        <v>538424.54</v>
      </c>
      <c r="D25" s="3">
        <v>68137.077999999994</v>
      </c>
      <c r="E25" s="3">
        <v>19845.300000000003</v>
      </c>
      <c r="F25" s="3">
        <v>18511.0965</v>
      </c>
      <c r="G25" s="3">
        <v>631.5</v>
      </c>
      <c r="H25" s="3">
        <v>2315.5300000000002</v>
      </c>
      <c r="I25" s="29" t="s">
        <v>40</v>
      </c>
      <c r="J25" s="26"/>
      <c r="K25" s="12"/>
    </row>
    <row r="26" spans="1:11" ht="21" x14ac:dyDescent="0.25">
      <c r="A26" s="21" t="s">
        <v>41</v>
      </c>
      <c r="B26" s="2">
        <f t="shared" si="1"/>
        <v>7152.6554545452809</v>
      </c>
      <c r="C26" s="3">
        <v>1418.8</v>
      </c>
      <c r="D26" s="3">
        <v>92.35</v>
      </c>
      <c r="E26" s="3">
        <v>1791.4454545452802</v>
      </c>
      <c r="F26" s="3">
        <v>9.26</v>
      </c>
      <c r="G26" s="3">
        <v>3743.5000000000005</v>
      </c>
      <c r="H26" s="3">
        <v>97.3</v>
      </c>
      <c r="I26" s="29" t="s">
        <v>42</v>
      </c>
      <c r="J26" s="26"/>
      <c r="K26" s="12"/>
    </row>
    <row r="27" spans="1:11" ht="21" x14ac:dyDescent="0.25">
      <c r="A27" s="21" t="s">
        <v>63</v>
      </c>
      <c r="B27" s="2">
        <f t="shared" si="1"/>
        <v>40571.956000000006</v>
      </c>
      <c r="C27" s="3">
        <v>4452.3</v>
      </c>
      <c r="D27" s="3">
        <v>34993.466</v>
      </c>
      <c r="E27" s="3">
        <v>806</v>
      </c>
      <c r="F27" s="3">
        <v>30</v>
      </c>
      <c r="G27" s="3">
        <v>47</v>
      </c>
      <c r="H27" s="3">
        <v>243.19</v>
      </c>
      <c r="I27" s="29" t="s">
        <v>43</v>
      </c>
      <c r="J27" s="26"/>
      <c r="K27" s="12"/>
    </row>
    <row r="28" spans="1:11" ht="21" x14ac:dyDescent="0.25">
      <c r="A28" s="21" t="s">
        <v>64</v>
      </c>
      <c r="B28" s="2">
        <f t="shared" si="1"/>
        <v>385812.74800000014</v>
      </c>
      <c r="C28" s="3">
        <v>97391.3</v>
      </c>
      <c r="D28" s="3">
        <v>197798.81500000003</v>
      </c>
      <c r="E28" s="3">
        <v>11931.079999999998</v>
      </c>
      <c r="F28" s="3">
        <v>23479.553000000004</v>
      </c>
      <c r="G28" s="3">
        <v>2844.9</v>
      </c>
      <c r="H28" s="3">
        <v>52367.100000000006</v>
      </c>
      <c r="I28" s="29" t="s">
        <v>44</v>
      </c>
      <c r="J28" s="26"/>
      <c r="K28" s="12"/>
    </row>
    <row r="29" spans="1:11" ht="21" x14ac:dyDescent="0.25">
      <c r="A29" s="22" t="s">
        <v>45</v>
      </c>
      <c r="B29" s="15">
        <f t="shared" si="1"/>
        <v>3442228.5369999995</v>
      </c>
      <c r="C29" s="1">
        <v>2963629.6979999999</v>
      </c>
      <c r="D29" s="1">
        <v>79120.873999999996</v>
      </c>
      <c r="E29" s="1">
        <v>73506.259999999995</v>
      </c>
      <c r="F29" s="1">
        <v>88373.645000000004</v>
      </c>
      <c r="G29" s="1">
        <v>147715.54</v>
      </c>
      <c r="H29" s="1">
        <v>89882.52</v>
      </c>
      <c r="I29" s="30" t="s">
        <v>46</v>
      </c>
      <c r="J29" s="14"/>
      <c r="K29" s="12"/>
    </row>
    <row r="30" spans="1:11" s="8" customFormat="1" ht="21" x14ac:dyDescent="0.15">
      <c r="A30" s="23" t="s">
        <v>47</v>
      </c>
      <c r="B30" s="23"/>
      <c r="C30" s="17"/>
      <c r="D30" s="17"/>
      <c r="E30" s="17"/>
      <c r="F30" s="17"/>
      <c r="G30" s="17"/>
      <c r="H30" s="24"/>
      <c r="I30" s="16" t="s">
        <v>48</v>
      </c>
      <c r="J30" s="14"/>
      <c r="K30" s="12"/>
    </row>
    <row r="31" spans="1:11" s="8" customFormat="1" ht="21" x14ac:dyDescent="0.15">
      <c r="A31" s="23"/>
      <c r="B31" s="23"/>
      <c r="C31" s="17"/>
      <c r="D31" s="17"/>
      <c r="E31" s="17"/>
      <c r="F31" s="17"/>
      <c r="G31" s="17"/>
      <c r="H31" s="24"/>
      <c r="J31" s="14"/>
      <c r="K31" s="13"/>
    </row>
    <row r="32" spans="1:11" ht="21" x14ac:dyDescent="0.25">
      <c r="J32" s="14"/>
      <c r="K32" s="13"/>
    </row>
  </sheetData>
  <mergeCells count="6"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2018-12-05T07:15:32Z</cp:lastPrinted>
  <dcterms:created xsi:type="dcterms:W3CDTF">2014-03-04T03:52:57Z</dcterms:created>
  <dcterms:modified xsi:type="dcterms:W3CDTF">2018-12-05T07:15:40Z</dcterms:modified>
</cp:coreProperties>
</file>