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8" sheetId="32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G19" i="32" l="1"/>
  <c r="G15" i="32"/>
  <c r="G16" i="32"/>
  <c r="G8" i="32"/>
  <c r="G9" i="32"/>
  <c r="G10" i="32"/>
  <c r="G11" i="32"/>
  <c r="G12" i="32"/>
  <c r="G13" i="32"/>
  <c r="G14" i="32"/>
  <c r="G17" i="32"/>
  <c r="G18" i="32"/>
  <c r="F7" i="32" l="1"/>
  <c r="E7" i="32" l="1"/>
  <c r="G7" i="32" s="1"/>
  <c r="D7" i="32"/>
  <c r="C7" i="32"/>
  <c r="B7" i="32"/>
</calcChain>
</file>

<file path=xl/sharedStrings.xml><?xml version="1.0" encoding="utf-8"?>
<sst xmlns="http://schemas.openxmlformats.org/spreadsheetml/2006/main" count="42" uniqueCount="40">
  <si>
    <t>Month</t>
  </si>
  <si>
    <t>% change over previous year</t>
  </si>
  <si>
    <t>Total</t>
  </si>
  <si>
    <t>January</t>
  </si>
  <si>
    <t>February</t>
  </si>
  <si>
    <t>March</t>
  </si>
  <si>
    <t>-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</si>
  <si>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</si>
  <si>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</si>
  <si>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</si>
  <si>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</si>
  <si>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</si>
  <si>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</si>
  <si>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</si>
  <si>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</si>
  <si>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</si>
  <si>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and Agriculture</t>
  </si>
  <si>
    <t>ޖުމްލަ</t>
  </si>
  <si>
    <t>މަޢުލޫމާތު ދެއްވި ފަރާތް: މިނިސްޓްރީ އޮފް ފިޝަރީޒް އެންޑް އެގްރިކަލްޗަރ</t>
  </si>
  <si>
    <t>މަސް</t>
  </si>
  <si>
    <t>ޖެނުއަރީ</t>
  </si>
  <si>
    <t>ފެބްރުއަރީ</t>
  </si>
  <si>
    <t>މާރޗް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</si>
  <si>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</si>
  <si>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</si>
  <si>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</si>
  <si>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</si>
  <si>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</si>
  <si>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</si>
  <si>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</si>
  <si>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</si>
  <si>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t xml:space="preserve"> Value in '000 (MVR) </t>
  </si>
  <si>
    <t xml:space="preserve">އާމްދަނީ ރުފިޔާ (' 000 ރުފިޔާއިން)    </t>
  </si>
  <si>
    <t xml:space="preserve">ކުރީ އަހަރަށް ވުރެން އިތުރު ވިމިންވަރު </t>
  </si>
  <si>
    <t>އޭޕްރިލް</t>
  </si>
  <si>
    <t xml:space="preserve">    މައުލޫމާތު ނެތް</t>
  </si>
  <si>
    <t xml:space="preserve">            ތާވަލް 9.18: މާލެ މާރުކޭޓަށް ވިއްކި ދަނޑުވެރިކަމުގެ ތަކެތިން ލިބުނު އާމްދަނީ، 2013 -2017   </t>
  </si>
  <si>
    <t>Table 9.18: VALUE OF AGRICULTURAL PRODUCTS TRADED IN MALE' MARKET , 2013 - 2017</t>
  </si>
  <si>
    <r>
      <t xml:space="preserve">   (</t>
    </r>
    <r>
      <rPr>
        <b/>
        <sz val="11"/>
        <color theme="1"/>
        <rFont val="Faruma"/>
      </rPr>
      <t>ރުފިޔާއިން /</t>
    </r>
    <r>
      <rPr>
        <b/>
        <sz val="11"/>
        <color theme="1"/>
        <rFont val="Calibri"/>
        <family val="2"/>
      </rPr>
      <t xml:space="preserve"> In rufiyaa)</t>
    </r>
  </si>
  <si>
    <r>
      <rPr>
        <i/>
        <vertAlign val="subscript"/>
        <sz val="10"/>
        <color theme="1"/>
        <rFont val="Calibri"/>
        <family val="2"/>
      </rPr>
      <t xml:space="preserve">       </t>
    </r>
    <r>
      <rPr>
        <i/>
        <sz val="10"/>
        <color theme="1"/>
        <rFont val="Calibri"/>
        <family val="2"/>
      </rPr>
      <t xml:space="preserve">:-Data not available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</si>
</sst>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\ d\,\ yyyy;@"/>
    <numFmt numFmtId="165" formatCode="General_)"/>
    <numFmt numFmtId="166" formatCode="0.0"/>
    <numFmt numFmtId="170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Faruma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Courier"/>
      <family val="3"/>
    </font>
    <font>
      <b/>
      <sz val="9"/>
      <color theme="1"/>
      <name val="Faruma"/>
    </font>
    <font>
      <b/>
      <sz val="10"/>
      <color theme="1"/>
      <name val="Calibri"/>
      <family val="2"/>
    </font>
    <font>
      <sz val="16"/>
      <color theme="1"/>
      <name val="Faruma"/>
    </font>
    <font>
      <b/>
      <sz val="20"/>
      <color theme="1"/>
      <name val="Faruma"/>
    </font>
    <font>
      <i/>
      <sz val="10"/>
      <color theme="1"/>
      <name val="Calibri"/>
      <family val="2"/>
    </font>
    <font>
      <i/>
      <vertAlign val="subscript"/>
      <sz val="10"/>
      <color theme="1"/>
      <name val="Calibri"/>
      <family val="2"/>
    </font>
    <font>
      <sz val="11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0" fontId="4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4" fontId="2" fillId="0" borderId="0"/>
    <xf numFmtId="0" fontId="3" fillId="0" borderId="0"/>
    <xf numFmtId="43" fontId="8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3" fontId="9" fillId="2" borderId="0" xfId="8" applyNumberFormat="1" applyFont="1" applyFill="1" applyBorder="1" applyAlignment="1">
      <alignment horizontal="right" vertical="center"/>
    </xf>
    <xf numFmtId="3" fontId="7" fillId="2" borderId="0" xfId="8" applyNumberFormat="1" applyFont="1" applyFill="1" applyBorder="1" applyAlignment="1">
      <alignment horizontal="right" vertical="center"/>
    </xf>
    <xf numFmtId="166" fontId="14" fillId="2" borderId="0" xfId="6" applyNumberFormat="1" applyFont="1" applyFill="1" applyBorder="1" applyAlignment="1">
      <alignment horizontal="right" vertical="center"/>
    </xf>
    <xf numFmtId="3" fontId="13" fillId="2" borderId="0" xfId="6" applyNumberFormat="1" applyFont="1" applyFill="1" applyBorder="1" applyAlignment="1">
      <alignment horizontal="right" vertical="center"/>
    </xf>
    <xf numFmtId="3" fontId="7" fillId="2" borderId="2" xfId="8" applyNumberFormat="1" applyFont="1" applyFill="1" applyBorder="1" applyAlignment="1">
      <alignment horizontal="right" vertical="center"/>
    </xf>
    <xf numFmtId="1" fontId="12" fillId="2" borderId="0" xfId="6" applyNumberFormat="1" applyFont="1" applyFill="1"/>
    <xf numFmtId="170" fontId="13" fillId="2" borderId="0" xfId="1" applyNumberFormat="1" applyFont="1" applyFill="1" applyAlignment="1">
      <alignment vertical="center"/>
    </xf>
    <xf numFmtId="0" fontId="15" fillId="2" borderId="0" xfId="6" applyNumberFormat="1" applyFont="1" applyFill="1" applyAlignment="1">
      <alignment horizontal="center" vertical="center"/>
    </xf>
    <xf numFmtId="0" fontId="16" fillId="2" borderId="0" xfId="6" applyNumberFormat="1" applyFont="1" applyFill="1"/>
    <xf numFmtId="165" fontId="17" fillId="2" borderId="0" xfId="6" applyNumberFormat="1" applyFont="1" applyFill="1"/>
    <xf numFmtId="0" fontId="18" fillId="2" borderId="0" xfId="6" applyNumberFormat="1" applyFont="1" applyFill="1" applyAlignment="1">
      <alignment horizontal="center" vertical="center"/>
    </xf>
    <xf numFmtId="165" fontId="12" fillId="2" borderId="0" xfId="6" applyNumberFormat="1" applyFont="1" applyFill="1"/>
    <xf numFmtId="0" fontId="16" fillId="2" borderId="0" xfId="6" applyNumberFormat="1" applyFont="1" applyFill="1" applyAlignment="1">
      <alignment horizontal="center" vertical="center"/>
    </xf>
    <xf numFmtId="0" fontId="16" fillId="2" borderId="0" xfId="6" applyNumberFormat="1" applyFont="1" applyFill="1" applyAlignment="1">
      <alignment vertical="center"/>
    </xf>
    <xf numFmtId="0" fontId="6" fillId="2" borderId="0" xfId="6" applyNumberFormat="1" applyFont="1" applyFill="1" applyAlignment="1">
      <alignment horizontal="left" vertical="center"/>
    </xf>
    <xf numFmtId="0" fontId="16" fillId="2" borderId="0" xfId="6" applyNumberFormat="1" applyFont="1" applyFill="1" applyBorder="1" applyAlignment="1">
      <alignment vertical="center"/>
    </xf>
    <xf numFmtId="0" fontId="10" fillId="2" borderId="1" xfId="6" applyNumberFormat="1" applyFont="1" applyFill="1" applyBorder="1" applyAlignment="1">
      <alignment horizontal="center" vertical="center" wrapText="1"/>
    </xf>
    <xf numFmtId="0" fontId="16" fillId="2" borderId="0" xfId="6" applyNumberFormat="1" applyFont="1" applyFill="1" applyAlignment="1">
      <alignment horizontal="right" vertical="center"/>
    </xf>
    <xf numFmtId="0" fontId="16" fillId="2" borderId="0" xfId="6" applyNumberFormat="1" applyFont="1" applyFill="1" applyAlignment="1">
      <alignment horizontal="right"/>
    </xf>
    <xf numFmtId="0" fontId="16" fillId="2" borderId="0" xfId="6" applyNumberFormat="1" applyFont="1" applyFill="1" applyBorder="1" applyAlignment="1">
      <alignment horizontal="right"/>
    </xf>
    <xf numFmtId="165" fontId="12" fillId="2" borderId="0" xfId="6" applyNumberFormat="1" applyFont="1" applyFill="1" applyBorder="1"/>
    <xf numFmtId="0" fontId="6" fillId="2" borderId="4" xfId="6" applyNumberFormat="1" applyFont="1" applyFill="1" applyBorder="1" applyAlignment="1">
      <alignment horizontal="right" vertical="center"/>
    </xf>
    <xf numFmtId="0" fontId="21" fillId="2" borderId="0" xfId="6" applyNumberFormat="1" applyFont="1" applyFill="1" applyBorder="1" applyAlignment="1">
      <alignment horizontal="center" vertical="center" wrapText="1"/>
    </xf>
    <xf numFmtId="0" fontId="16" fillId="2" borderId="0" xfId="6" applyNumberFormat="1" applyFont="1" applyFill="1" applyBorder="1"/>
    <xf numFmtId="0" fontId="6" fillId="2" borderId="0" xfId="6" applyNumberFormat="1" applyFont="1" applyFill="1" applyBorder="1" applyAlignment="1">
      <alignment horizontal="left" vertical="center"/>
    </xf>
    <xf numFmtId="166" fontId="14" fillId="2" borderId="1" xfId="6" applyNumberFormat="1" applyFont="1" applyFill="1" applyBorder="1" applyAlignment="1">
      <alignment horizontal="center" vertical="center"/>
    </xf>
    <xf numFmtId="0" fontId="15" fillId="2" borderId="0" xfId="6" applyNumberFormat="1" applyFont="1" applyFill="1" applyBorder="1" applyAlignment="1">
      <alignment vertical="center"/>
    </xf>
    <xf numFmtId="0" fontId="6" fillId="2" borderId="0" xfId="6" applyNumberFormat="1" applyFont="1" applyFill="1" applyBorder="1" applyAlignment="1">
      <alignment horizontal="center"/>
    </xf>
    <xf numFmtId="0" fontId="13" fillId="2" borderId="0" xfId="6" applyNumberFormat="1" applyFont="1" applyFill="1" applyAlignment="1">
      <alignment horizontal="left" vertical="center"/>
    </xf>
    <xf numFmtId="166" fontId="14" fillId="2" borderId="0" xfId="6" applyNumberFormat="1" applyFont="1" applyFill="1" applyBorder="1" applyAlignment="1">
      <alignment horizontal="center" vertical="center"/>
    </xf>
    <xf numFmtId="0" fontId="15" fillId="2" borderId="0" xfId="6" applyNumberFormat="1" applyFont="1" applyFill="1" applyAlignment="1">
      <alignment vertical="center"/>
    </xf>
    <xf numFmtId="0" fontId="22" fillId="2" borderId="0" xfId="6" applyNumberFormat="1" applyFont="1" applyFill="1" applyAlignment="1">
      <alignment horizontal="center" vertical="center"/>
    </xf>
    <xf numFmtId="0" fontId="16" fillId="2" borderId="0" xfId="6" applyNumberFormat="1" applyFont="1" applyFill="1" applyBorder="1" applyAlignment="1">
      <alignment horizontal="left" vertical="center"/>
    </xf>
    <xf numFmtId="170" fontId="14" fillId="2" borderId="0" xfId="2" applyNumberFormat="1" applyFont="1" applyFill="1" applyBorder="1"/>
    <xf numFmtId="170" fontId="14" fillId="2" borderId="0" xfId="8" applyNumberFormat="1" applyFont="1" applyFill="1" applyBorder="1" applyAlignment="1">
      <alignment horizontal="left"/>
    </xf>
    <xf numFmtId="0" fontId="23" fillId="2" borderId="0" xfId="6" applyNumberFormat="1" applyFont="1" applyFill="1" applyAlignment="1">
      <alignment vertical="center" wrapText="1"/>
    </xf>
    <xf numFmtId="0" fontId="13" fillId="2" borderId="2" xfId="6" applyNumberFormat="1" applyFont="1" applyFill="1" applyBorder="1" applyAlignment="1">
      <alignment horizontal="left" vertical="center"/>
    </xf>
    <xf numFmtId="166" fontId="14" fillId="2" borderId="2" xfId="6" applyNumberFormat="1" applyFont="1" applyFill="1" applyBorder="1" applyAlignment="1">
      <alignment horizontal="center" vertical="center"/>
    </xf>
    <xf numFmtId="0" fontId="15" fillId="2" borderId="2" xfId="6" applyNumberFormat="1" applyFont="1" applyFill="1" applyBorder="1" applyAlignment="1">
      <alignment vertical="center"/>
    </xf>
    <xf numFmtId="0" fontId="24" fillId="2" borderId="0" xfId="3" applyNumberFormat="1" applyFont="1" applyFill="1" applyBorder="1" applyAlignment="1">
      <alignment vertical="center"/>
    </xf>
    <xf numFmtId="3" fontId="14" fillId="2" borderId="0" xfId="2" applyNumberFormat="1" applyFont="1" applyFill="1" applyBorder="1" applyAlignment="1">
      <alignment horizontal="right"/>
    </xf>
    <xf numFmtId="0" fontId="15" fillId="2" borderId="0" xfId="3" applyNumberFormat="1" applyFont="1" applyFill="1" applyBorder="1" applyAlignment="1">
      <alignment vertical="center"/>
    </xf>
    <xf numFmtId="165" fontId="26" fillId="2" borderId="0" xfId="3" applyNumberFormat="1" applyFont="1" applyFill="1"/>
    <xf numFmtId="165" fontId="26" fillId="2" borderId="0" xfId="3" applyNumberFormat="1" applyFont="1" applyFill="1" applyBorder="1"/>
    <xf numFmtId="0" fontId="24" fillId="2" borderId="0" xfId="6" applyNumberFormat="1" applyFont="1" applyFill="1" applyAlignment="1">
      <alignment horizontal="left" vertical="center"/>
    </xf>
    <xf numFmtId="0" fontId="13" fillId="2" borderId="0" xfId="6" applyNumberFormat="1" applyFont="1" applyFill="1" applyAlignment="1">
      <alignment vertical="center"/>
    </xf>
    <xf numFmtId="0" fontId="13" fillId="2" borderId="0" xfId="6" applyNumberFormat="1" applyFont="1" applyFill="1" applyAlignment="1">
      <alignment horizontal="right" vertical="center"/>
    </xf>
    <xf numFmtId="0" fontId="11" fillId="2" borderId="0" xfId="6" applyNumberFormat="1" applyFont="1" applyFill="1" applyAlignment="1">
      <alignment horizontal="right" vertical="center"/>
    </xf>
    <xf numFmtId="0" fontId="16" fillId="2" borderId="0" xfId="6" applyNumberFormat="1" applyFont="1" applyFill="1" applyAlignment="1">
      <alignment horizontal="left"/>
    </xf>
    <xf numFmtId="170" fontId="7" fillId="2" borderId="0" xfId="1" applyNumberFormat="1" applyFont="1" applyFill="1" applyAlignment="1">
      <alignment horizontal="right" vertical="center"/>
    </xf>
    <xf numFmtId="3" fontId="14" fillId="2" borderId="0" xfId="6" applyNumberFormat="1" applyFont="1" applyFill="1" applyBorder="1" applyAlignment="1">
      <alignment horizontal="right" vertical="center"/>
    </xf>
    <xf numFmtId="0" fontId="10" fillId="2" borderId="0" xfId="6" applyNumberFormat="1" applyFont="1" applyFill="1" applyAlignment="1">
      <alignment horizontal="center" vertical="center"/>
    </xf>
    <xf numFmtId="0" fontId="6" fillId="2" borderId="0" xfId="6" applyNumberFormat="1" applyFont="1" applyFill="1" applyAlignment="1">
      <alignment horizontal="center" vertical="center"/>
    </xf>
    <xf numFmtId="0" fontId="19" fillId="2" borderId="0" xfId="6" applyNumberFormat="1" applyFont="1" applyFill="1" applyAlignment="1">
      <alignment horizontal="center" vertical="center"/>
    </xf>
    <xf numFmtId="0" fontId="9" fillId="2" borderId="1" xfId="6" applyNumberFormat="1" applyFont="1" applyFill="1" applyBorder="1" applyAlignment="1">
      <alignment horizontal="left" vertical="center"/>
    </xf>
    <xf numFmtId="0" fontId="9" fillId="2" borderId="2" xfId="6" applyNumberFormat="1" applyFont="1" applyFill="1" applyBorder="1" applyAlignment="1">
      <alignment horizontal="left" vertical="center"/>
    </xf>
    <xf numFmtId="0" fontId="9" fillId="2" borderId="3" xfId="6" applyNumberFormat="1" applyFont="1" applyFill="1" applyBorder="1" applyAlignment="1">
      <alignment horizontal="right" vertical="center"/>
    </xf>
    <xf numFmtId="0" fontId="10" fillId="2" borderId="1" xfId="6" applyNumberFormat="1" applyFont="1" applyFill="1" applyBorder="1" applyAlignment="1">
      <alignment horizontal="right" vertical="center"/>
    </xf>
    <xf numFmtId="0" fontId="10" fillId="2" borderId="2" xfId="6" applyNumberFormat="1" applyFont="1" applyFill="1" applyBorder="1" applyAlignment="1">
      <alignment horizontal="right" vertical="center"/>
    </xf>
    <xf numFmtId="0" fontId="20" fillId="2" borderId="3" xfId="6" applyNumberFormat="1" applyFont="1" applyFill="1" applyBorder="1" applyAlignment="1">
      <alignment horizontal="left" vertical="center"/>
    </xf>
  </cellXfs>
  <cellStyles count="10">
    <cellStyle name="1" xfId="7"/>
    <cellStyle name="Comma" xfId="1" builtinId="3"/>
    <cellStyle name="Comma 2" xfId="2"/>
    <cellStyle name="Comma_agri planning 2009 year book(final)" xfId="8"/>
    <cellStyle name="Normal" xfId="0" builtinId="0"/>
    <cellStyle name="Normal 2" xfId="5"/>
    <cellStyle name="Normal 2_agri planning 2009 year book(final)" xfId="6"/>
    <cellStyle name="Normal 3_agri planning 2009 year book(final)" xfId="4"/>
    <cellStyle name="Normal 4" xfId="9"/>
    <cellStyle name="Normal 4_agri planning 2009 year book(final)" xfId="3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9.4: Value of Agricultural Products Traded in Male' Market,  2016 - 2017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3094196558765"/>
          <c:y val="3.02049622437971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01939714800607"/>
          <c:y val="0.17171296296296296"/>
          <c:w val="0.87308791529263974"/>
          <c:h val="0.71933435403907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'9.18'!$E$6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'9.18'!$E$8:$E$19</c:f>
              <c:numCache>
                <c:formatCode>#,##0</c:formatCode>
                <c:ptCount val="12"/>
                <c:pt idx="0">
                  <c:v>6955911</c:v>
                </c:pt>
                <c:pt idx="1">
                  <c:v>8760849</c:v>
                </c:pt>
                <c:pt idx="2">
                  <c:v>4695175</c:v>
                </c:pt>
                <c:pt idx="3">
                  <c:v>7632635</c:v>
                </c:pt>
                <c:pt idx="4">
                  <c:v>4402140</c:v>
                </c:pt>
                <c:pt idx="5">
                  <c:v>17783645</c:v>
                </c:pt>
                <c:pt idx="6">
                  <c:v>3498845</c:v>
                </c:pt>
                <c:pt idx="7">
                  <c:v>1213770</c:v>
                </c:pt>
                <c:pt idx="8">
                  <c:v>4420818</c:v>
                </c:pt>
                <c:pt idx="9">
                  <c:v>3415419</c:v>
                </c:pt>
                <c:pt idx="10">
                  <c:v>1232500</c:v>
                </c:pt>
                <c:pt idx="11">
                  <c:v>1016000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0-415A-896E-76FB68A3CCE1}"/>
            </c:ext>
          </c:extLst>
        </c:ser>
        <c:ser>
          <c:idx val="1"/>
          <c:order val="1"/>
          <c:tx>
            <c:strRef>
              <c:f>'9.18'!$F$6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'9.18'!$A$8:$A$19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'9.18'!$F$8:$F$19</c:f>
              <c:numCache>
                <c:formatCode>#,##0</c:formatCode>
                <c:ptCount val="12"/>
                <c:pt idx="0">
                  <c:v>8451496</c:v>
                </c:pt>
                <c:pt idx="1">
                  <c:v>8453823.5</c:v>
                </c:pt>
                <c:pt idx="2">
                  <c:v>7567492</c:v>
                </c:pt>
                <c:pt idx="3">
                  <c:v>7684767</c:v>
                </c:pt>
                <c:pt idx="4">
                  <c:v>4452678</c:v>
                </c:pt>
                <c:pt idx="5">
                  <c:v>8162327.5</c:v>
                </c:pt>
                <c:pt idx="6">
                  <c:v>3507629</c:v>
                </c:pt>
                <c:pt idx="7">
                  <c:v>4520327</c:v>
                </c:pt>
                <c:pt idx="8">
                  <c:v>247465</c:v>
                </c:pt>
                <c:pt idx="9">
                  <c:v>3873070</c:v>
                </c:pt>
                <c:pt idx="10">
                  <c:v>2455632.5</c:v>
                </c:pt>
                <c:pt idx="11">
                  <c:v>4703310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0-415A-896E-76FB68A3C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3"/>
        <c:axId val="1437268880"/>
        <c:axId val="1437274704"/>
      </c:barChart>
      <c:catAx>
        <c:axId val="143726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274704"/>
        <c:crosses val="autoZero"/>
        <c:auto val="1"/>
        <c:lblAlgn val="ctr"/>
        <c:lblOffset val="100"/>
        <c:noMultiLvlLbl val="0"/>
      </c:catAx>
      <c:valAx>
        <c:axId val="1437274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268880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251627520918859"/>
          <c:y val="0.21354111986001745"/>
          <c:w val="0.1282120076870733"/>
          <c:h val="7.28160436256147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54534</xdr:colOff>
      <xdr:row>19</xdr:row>
      <xdr:rowOff>124394</xdr:rowOff>
    </xdr:from>
    <xdr:to>
      <xdr:col>0</xdr:col>
      <xdr:colOff>131502</xdr:colOff>
      <xdr:row>19</xdr:row>
      <xdr:rowOff>124397</xdr:rowOff>
    </xdr:to>
    <xdr:cxnSp macro="">
      <xdr:nvCxnSpPr>
        <xdr:cNvPr id="7" name="Straight Connector 6"/>
        <xdr:cNvCxnSpPr/>
      </xdr:nvCxnSpPr>
      <xdr:spPr>
        <a:xfrm flipV="1">
          <a:off x="54534" y="5201219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683146</xdr:colOff>
      <xdr:row>19</xdr:row>
      <xdr:rowOff>105400</xdr:rowOff>
    </xdr:from>
    <xdr:to>
      <xdr:col>7</xdr:col>
      <xdr:colOff>760114</xdr:colOff>
      <xdr:row>19</xdr:row>
      <xdr:rowOff>105403</xdr:rowOff>
    </xdr:to>
    <xdr:cxnSp macro="">
      <xdr:nvCxnSpPr>
        <xdr:cNvPr id="8" name="Straight Connector 7"/>
        <xdr:cNvCxnSpPr/>
      </xdr:nvCxnSpPr>
      <xdr:spPr>
        <a:xfrm flipV="1">
          <a:off x="10732021" y="5182225"/>
          <a:ext cx="76968" cy="3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381000</xdr:colOff>
      <xdr:row>43</xdr:row>
      <xdr:rowOff>0</xdr:rowOff>
    </xdr:from>
    <xdr:to>
      <xdr:col>0</xdr:col>
      <xdr:colOff>457200</xdr:colOff>
      <xdr:row>44</xdr:row>
      <xdr:rowOff>47625</xdr:rowOff>
    </xdr:to>
    <xdr:sp macro="" textlink="">
      <xdr:nvSpPr>
        <xdr:cNvPr id="9" name="Text Box 3"/>
        <xdr:cNvSpPr txBox="1">
          <a:spLocks noChangeArrowheads="1"/>
        </xdr:cNvSpPr>
      </xdr:nvSpPr>
      <xdr:spPr bwMode="auto">
        <a:xfrm>
          <a:off x="381000" y="94202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590550</xdr:colOff>
      <xdr:row>21</xdr:row>
      <xdr:rowOff>123824</xdr:rowOff>
    </xdr:from>
    <xdr:to>
      <xdr:col>7</xdr:col>
      <xdr:colOff>771525</xdr:colOff>
      <xdr:row>37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0.00712</cdr:x>
      <cdr:y>0.07767</cdr:y>
    </cdr:from>
    <cdr:to>
      <cdr:x>0.10399</cdr:x>
      <cdr:y>0.15534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625" y="228601"/>
          <a:ext cx="647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43"/>
  <sheetViews>
    <sheetView tabSelected="1" zoomScaleNormal="100" workbookViewId="0">
      <selection activeCell="M15" sqref="M15"/>
    </sheetView>
  </sheetViews>
  <sheetFormatPr defaultColWidth="13.28515625" defaultRowHeight="12.75" x14ac:dyDescent="0.2"/>
  <cols>
    <col min="1" max="1" width="10.5703125" style="12" customWidth="1"/>
    <col min="2" max="3" width="13.28515625" style="12" customWidth="1"/>
    <col min="4" max="4" width="14.5703125" style="12" customWidth="1"/>
    <col min="5" max="6" width="13.28515625" style="12" customWidth="1"/>
    <col min="7" max="7" width="19.28515625" style="12" customWidth="1"/>
    <col min="8" max="8" width="13.28515625" style="12"/>
    <col min="9" max="9" width="6.5703125" style="12" customWidth="1"/>
    <col min="10" max="16384" width="13.28515625" style="12"/>
  </cols>
  <sheetData>
    <row r="1" spans="1:18" s="10" customFormat="1" ht="21" x14ac:dyDescent="0.2">
      <c r="A1" s="52" t="s">
        <v>36</v>
      </c>
      <c r="B1" s="52"/>
      <c r="C1" s="52"/>
      <c r="D1" s="52"/>
      <c r="E1" s="52"/>
      <c r="F1" s="52"/>
      <c r="G1" s="52"/>
      <c r="H1" s="52"/>
      <c r="I1" s="8"/>
      <c r="J1" s="9"/>
      <c r="K1" s="9"/>
      <c r="L1" s="9"/>
    </row>
    <row r="2" spans="1:18" ht="15.75" x14ac:dyDescent="0.2">
      <c r="A2" s="53" t="s">
        <v>37</v>
      </c>
      <c r="B2" s="53"/>
      <c r="C2" s="53"/>
      <c r="D2" s="53"/>
      <c r="E2" s="53"/>
      <c r="F2" s="53"/>
      <c r="G2" s="53"/>
      <c r="H2" s="53"/>
      <c r="I2" s="11"/>
      <c r="J2" s="9"/>
      <c r="K2" s="9"/>
      <c r="L2" s="9"/>
    </row>
    <row r="3" spans="1:18" ht="21" x14ac:dyDescent="0.2">
      <c r="A3" s="54" t="s">
        <v>38</v>
      </c>
      <c r="B3" s="54"/>
      <c r="C3" s="54"/>
      <c r="D3" s="54"/>
      <c r="E3" s="54"/>
      <c r="F3" s="54"/>
      <c r="G3" s="54"/>
      <c r="H3" s="54"/>
      <c r="I3" s="13"/>
      <c r="J3" s="9"/>
      <c r="K3" s="9"/>
      <c r="L3" s="9"/>
    </row>
    <row r="4" spans="1:18" s="10" customFormat="1" ht="15" hidden="1" x14ac:dyDescent="0.2">
      <c r="A4" s="14"/>
      <c r="B4" s="15"/>
      <c r="C4" s="15"/>
      <c r="D4" s="15"/>
      <c r="E4" s="15"/>
      <c r="F4" s="15"/>
      <c r="G4" s="16"/>
      <c r="H4" s="14"/>
      <c r="I4" s="14"/>
      <c r="J4" s="9"/>
      <c r="K4" s="9"/>
      <c r="L4" s="9"/>
    </row>
    <row r="5" spans="1:18" ht="37.5" x14ac:dyDescent="0.2">
      <c r="A5" s="55" t="s">
        <v>0</v>
      </c>
      <c r="B5" s="57" t="s">
        <v>31</v>
      </c>
      <c r="C5" s="57"/>
      <c r="D5" s="60" t="s">
        <v>32</v>
      </c>
      <c r="E5" s="60"/>
      <c r="F5" s="60"/>
      <c r="G5" s="17" t="s">
        <v>33</v>
      </c>
      <c r="H5" s="58" t="s">
        <v>19</v>
      </c>
      <c r="I5" s="18"/>
      <c r="J5" s="19"/>
      <c r="K5" s="20"/>
      <c r="L5" s="20"/>
      <c r="M5" s="21"/>
      <c r="N5" s="21"/>
      <c r="O5" s="21"/>
      <c r="P5" s="21"/>
      <c r="Q5" s="21"/>
      <c r="R5" s="21"/>
    </row>
    <row r="6" spans="1:18" ht="25.5" x14ac:dyDescent="0.2">
      <c r="A6" s="56"/>
      <c r="B6" s="22">
        <v>2013</v>
      </c>
      <c r="C6" s="22">
        <v>2014</v>
      </c>
      <c r="D6" s="22">
        <v>2015</v>
      </c>
      <c r="E6" s="22">
        <v>2016</v>
      </c>
      <c r="F6" s="22">
        <v>2017</v>
      </c>
      <c r="G6" s="23" t="s">
        <v>1</v>
      </c>
      <c r="H6" s="59"/>
      <c r="I6" s="16"/>
      <c r="J6" s="9"/>
      <c r="K6" s="24"/>
      <c r="L6" s="24"/>
      <c r="M6" s="21"/>
      <c r="N6" s="21"/>
      <c r="O6" s="21"/>
      <c r="P6" s="21"/>
      <c r="Q6" s="21"/>
      <c r="R6" s="21"/>
    </row>
    <row r="7" spans="1:18" ht="24.75" customHeight="1" x14ac:dyDescent="0.25">
      <c r="A7" s="25" t="s">
        <v>2</v>
      </c>
      <c r="B7" s="1">
        <f t="shared" ref="B7:E7" si="0">SUM(B8:B19)</f>
        <v>34592.806499999999</v>
      </c>
      <c r="C7" s="1">
        <f>SUM(C8:C19)</f>
        <v>33026.041000000005</v>
      </c>
      <c r="D7" s="1">
        <f t="shared" si="0"/>
        <v>71262366</v>
      </c>
      <c r="E7" s="1">
        <f t="shared" si="0"/>
        <v>65027707</v>
      </c>
      <c r="F7" s="1">
        <f>SUM(F8:F19)</f>
        <v>64080017.5</v>
      </c>
      <c r="G7" s="26">
        <f>(F7-E7)/E7*100</f>
        <v>-1.4573626285177177</v>
      </c>
      <c r="H7" s="27" t="s">
        <v>17</v>
      </c>
      <c r="I7" s="27"/>
      <c r="K7" s="24"/>
      <c r="L7" s="28"/>
      <c r="M7" s="28"/>
      <c r="N7" s="21"/>
      <c r="O7" s="28"/>
      <c r="P7" s="28"/>
      <c r="Q7" s="21"/>
      <c r="R7" s="21"/>
    </row>
    <row r="8" spans="1:18" ht="24.75" customHeight="1" x14ac:dyDescent="0.25">
      <c r="A8" s="29" t="s">
        <v>3</v>
      </c>
      <c r="B8" s="2">
        <v>5494.0505000000003</v>
      </c>
      <c r="C8" s="2">
        <v>3075.7</v>
      </c>
      <c r="D8" s="2">
        <v>4503717</v>
      </c>
      <c r="E8" s="2">
        <v>6955911</v>
      </c>
      <c r="F8" s="2">
        <v>8451496</v>
      </c>
      <c r="G8" s="30">
        <f t="shared" ref="G8:G18" si="1">(F8-E8)/E8*100</f>
        <v>21.500922021572734</v>
      </c>
      <c r="H8" s="31" t="s">
        <v>20</v>
      </c>
      <c r="I8" s="32"/>
      <c r="K8" s="33"/>
      <c r="L8" s="34"/>
      <c r="M8" s="35"/>
      <c r="N8" s="35"/>
      <c r="O8" s="2"/>
      <c r="P8" s="2"/>
      <c r="Q8" s="2"/>
      <c r="R8" s="21"/>
    </row>
    <row r="9" spans="1:18" ht="24.75" customHeight="1" x14ac:dyDescent="0.25">
      <c r="A9" s="29" t="s">
        <v>4</v>
      </c>
      <c r="B9" s="2">
        <v>6652.4795000000004</v>
      </c>
      <c r="C9" s="2">
        <v>2827.83</v>
      </c>
      <c r="D9" s="2">
        <v>5279878</v>
      </c>
      <c r="E9" s="2">
        <v>8760849</v>
      </c>
      <c r="F9" s="2">
        <v>8453823.5</v>
      </c>
      <c r="G9" s="30">
        <f t="shared" si="1"/>
        <v>-3.5045176557660112</v>
      </c>
      <c r="H9" s="31" t="s">
        <v>21</v>
      </c>
      <c r="I9" s="31"/>
      <c r="K9" s="33"/>
      <c r="L9" s="34"/>
      <c r="M9" s="35"/>
      <c r="N9" s="35"/>
      <c r="O9" s="2"/>
      <c r="P9" s="2"/>
      <c r="Q9" s="2"/>
      <c r="R9" s="21"/>
    </row>
    <row r="10" spans="1:18" ht="24.75" customHeight="1" x14ac:dyDescent="0.25">
      <c r="A10" s="29" t="s">
        <v>5</v>
      </c>
      <c r="B10" s="2">
        <v>2169.9749999999999</v>
      </c>
      <c r="C10" s="2">
        <v>4973.7240000000002</v>
      </c>
      <c r="D10" s="2">
        <v>9522054</v>
      </c>
      <c r="E10" s="2">
        <v>4695175</v>
      </c>
      <c r="F10" s="2">
        <v>7567492</v>
      </c>
      <c r="G10" s="30">
        <f t="shared" si="1"/>
        <v>61.175930609615193</v>
      </c>
      <c r="H10" s="31" t="s">
        <v>22</v>
      </c>
      <c r="I10" s="36"/>
      <c r="K10" s="33"/>
      <c r="L10" s="34"/>
      <c r="M10" s="35"/>
      <c r="N10" s="35"/>
      <c r="O10" s="2"/>
      <c r="P10" s="2"/>
      <c r="Q10" s="2"/>
      <c r="R10" s="21"/>
    </row>
    <row r="11" spans="1:18" ht="24.75" customHeight="1" x14ac:dyDescent="0.25">
      <c r="A11" s="29" t="s">
        <v>7</v>
      </c>
      <c r="B11" s="2">
        <v>4903.4449999999997</v>
      </c>
      <c r="C11" s="2">
        <v>3393.68</v>
      </c>
      <c r="D11" s="2">
        <v>7013786</v>
      </c>
      <c r="E11" s="2">
        <v>7632635</v>
      </c>
      <c r="F11" s="2">
        <v>7684767</v>
      </c>
      <c r="G11" s="30">
        <f t="shared" si="1"/>
        <v>0.68301445044863274</v>
      </c>
      <c r="H11" s="31" t="s">
        <v>34</v>
      </c>
      <c r="I11" s="36"/>
      <c r="K11" s="33"/>
      <c r="L11" s="34"/>
      <c r="M11" s="35"/>
      <c r="N11" s="35"/>
      <c r="O11" s="2"/>
      <c r="P11" s="2"/>
      <c r="Q11" s="2"/>
      <c r="R11" s="21"/>
    </row>
    <row r="12" spans="1:18" ht="24.75" customHeight="1" x14ac:dyDescent="0.25">
      <c r="A12" s="29" t="s">
        <v>8</v>
      </c>
      <c r="B12" s="2">
        <v>1682.45</v>
      </c>
      <c r="C12" s="2">
        <v>1162.385</v>
      </c>
      <c r="D12" s="2">
        <v>6975749</v>
      </c>
      <c r="E12" s="2">
        <v>4402140</v>
      </c>
      <c r="F12" s="2">
        <v>4452678</v>
      </c>
      <c r="G12" s="30">
        <f t="shared" si="1"/>
        <v>1.1480325478062943</v>
      </c>
      <c r="H12" s="31" t="s">
        <v>23</v>
      </c>
      <c r="I12" s="36"/>
      <c r="K12" s="33"/>
      <c r="L12" s="34"/>
      <c r="M12" s="35"/>
      <c r="N12" s="35"/>
      <c r="O12" s="2"/>
      <c r="P12" s="2"/>
      <c r="Q12" s="2"/>
      <c r="R12" s="21"/>
    </row>
    <row r="13" spans="1:18" ht="24.75" customHeight="1" x14ac:dyDescent="0.25">
      <c r="A13" s="29" t="s">
        <v>9</v>
      </c>
      <c r="B13" s="2">
        <v>629.17499999999995</v>
      </c>
      <c r="C13" s="2">
        <v>135.19999999999999</v>
      </c>
      <c r="D13" s="2">
        <v>13550741</v>
      </c>
      <c r="E13" s="2">
        <v>17783645</v>
      </c>
      <c r="F13" s="2">
        <v>8162327.5</v>
      </c>
      <c r="G13" s="30">
        <f t="shared" si="1"/>
        <v>-54.102055568473162</v>
      </c>
      <c r="H13" s="31" t="s">
        <v>24</v>
      </c>
      <c r="I13" s="36"/>
      <c r="K13" s="33"/>
      <c r="L13" s="34"/>
      <c r="M13" s="35"/>
      <c r="N13" s="35"/>
      <c r="O13" s="2"/>
      <c r="P13" s="2"/>
      <c r="Q13" s="2"/>
      <c r="R13" s="21"/>
    </row>
    <row r="14" spans="1:18" ht="24.75" customHeight="1" x14ac:dyDescent="0.25">
      <c r="A14" s="29" t="s">
        <v>10</v>
      </c>
      <c r="B14" s="51" t="s">
        <v>6</v>
      </c>
      <c r="C14" s="51">
        <v>10021.85</v>
      </c>
      <c r="D14" s="51">
        <v>8491785</v>
      </c>
      <c r="E14" s="4">
        <v>3498845</v>
      </c>
      <c r="F14" s="4">
        <v>3507629</v>
      </c>
      <c r="G14" s="30">
        <f t="shared" si="1"/>
        <v>0.25105427648266787</v>
      </c>
      <c r="H14" s="31" t="s">
        <v>25</v>
      </c>
      <c r="I14" s="36"/>
      <c r="K14" s="33"/>
      <c r="L14" s="34"/>
      <c r="M14" s="35"/>
      <c r="N14" s="35"/>
      <c r="O14" s="2"/>
      <c r="P14" s="2"/>
      <c r="Q14" s="2"/>
      <c r="R14" s="21"/>
    </row>
    <row r="15" spans="1:18" ht="24.75" customHeight="1" x14ac:dyDescent="0.25">
      <c r="A15" s="29" t="s">
        <v>11</v>
      </c>
      <c r="B15" s="51" t="s">
        <v>6</v>
      </c>
      <c r="C15" s="51">
        <v>921.5</v>
      </c>
      <c r="D15" s="51">
        <v>3681699</v>
      </c>
      <c r="E15" s="4">
        <v>1213770</v>
      </c>
      <c r="F15" s="4">
        <v>4520327</v>
      </c>
      <c r="G15" s="30">
        <f>(F15-E15)/E15*100</f>
        <v>272.42039266088301</v>
      </c>
      <c r="H15" s="31" t="s">
        <v>26</v>
      </c>
      <c r="I15" s="36"/>
      <c r="K15" s="33"/>
      <c r="L15" s="34"/>
      <c r="M15" s="35"/>
      <c r="N15" s="35"/>
      <c r="O15" s="2"/>
      <c r="P15" s="2"/>
      <c r="Q15" s="2"/>
      <c r="R15" s="21"/>
    </row>
    <row r="16" spans="1:18" ht="24.75" customHeight="1" x14ac:dyDescent="0.25">
      <c r="A16" s="29" t="s">
        <v>12</v>
      </c>
      <c r="B16" s="2">
        <v>7582.9790000000003</v>
      </c>
      <c r="C16" s="2">
        <v>1818.71</v>
      </c>
      <c r="D16" s="2">
        <v>2366820</v>
      </c>
      <c r="E16" s="2">
        <v>4420818</v>
      </c>
      <c r="F16" s="2">
        <v>247465</v>
      </c>
      <c r="G16" s="30">
        <f>(F16-E16)/E16*100</f>
        <v>-94.40228030197126</v>
      </c>
      <c r="H16" s="31" t="s">
        <v>27</v>
      </c>
      <c r="I16" s="36"/>
      <c r="K16" s="33"/>
      <c r="L16" s="34"/>
      <c r="M16" s="35"/>
      <c r="N16" s="35"/>
      <c r="O16" s="2"/>
      <c r="P16" s="2"/>
      <c r="Q16" s="2"/>
      <c r="R16" s="21"/>
    </row>
    <row r="17" spans="1:18" ht="24.75" customHeight="1" x14ac:dyDescent="0.25">
      <c r="A17" s="29" t="s">
        <v>13</v>
      </c>
      <c r="B17" s="2">
        <v>3918.48</v>
      </c>
      <c r="C17" s="2">
        <v>1463.45</v>
      </c>
      <c r="D17" s="2">
        <v>4383745</v>
      </c>
      <c r="E17" s="2">
        <v>3415419</v>
      </c>
      <c r="F17" s="2">
        <v>3873070</v>
      </c>
      <c r="G17" s="30">
        <f t="shared" si="1"/>
        <v>13.399556540500596</v>
      </c>
      <c r="H17" s="31" t="s">
        <v>28</v>
      </c>
      <c r="I17" s="36"/>
      <c r="K17" s="33"/>
      <c r="L17" s="34"/>
      <c r="M17" s="35"/>
      <c r="N17" s="35"/>
      <c r="O17" s="2"/>
      <c r="P17" s="2"/>
      <c r="Q17" s="2"/>
      <c r="R17" s="21"/>
    </row>
    <row r="18" spans="1:18" ht="24.75" customHeight="1" x14ac:dyDescent="0.25">
      <c r="A18" s="29" t="s">
        <v>14</v>
      </c>
      <c r="B18" s="2">
        <v>386.66500000000002</v>
      </c>
      <c r="C18" s="2">
        <v>2034.43</v>
      </c>
      <c r="D18" s="51" t="s">
        <v>6</v>
      </c>
      <c r="E18" s="2">
        <v>1232500</v>
      </c>
      <c r="F18" s="2">
        <v>2455632.5</v>
      </c>
      <c r="G18" s="30">
        <f t="shared" si="1"/>
        <v>99.239959432048693</v>
      </c>
      <c r="H18" s="31" t="s">
        <v>29</v>
      </c>
      <c r="I18" s="36"/>
      <c r="K18" s="33"/>
      <c r="L18" s="34"/>
      <c r="M18" s="35"/>
      <c r="N18" s="35"/>
      <c r="O18" s="2"/>
      <c r="P18" s="2"/>
      <c r="Q18" s="2"/>
      <c r="R18" s="21"/>
    </row>
    <row r="19" spans="1:18" ht="24.75" customHeight="1" x14ac:dyDescent="0.25">
      <c r="A19" s="37" t="s">
        <v>15</v>
      </c>
      <c r="B19" s="5">
        <v>1173.1075000000001</v>
      </c>
      <c r="C19" s="5">
        <v>1197.5820000000001</v>
      </c>
      <c r="D19" s="5">
        <v>5492392</v>
      </c>
      <c r="E19" s="5">
        <v>1016000</v>
      </c>
      <c r="F19" s="5">
        <v>4703310</v>
      </c>
      <c r="G19" s="38">
        <f>(F19-E19)/E19*100</f>
        <v>362.92421259842519</v>
      </c>
      <c r="H19" s="39" t="s">
        <v>30</v>
      </c>
      <c r="I19" s="31"/>
      <c r="K19" s="33"/>
      <c r="L19" s="34"/>
      <c r="M19" s="35"/>
      <c r="N19" s="35"/>
      <c r="O19" s="2"/>
      <c r="P19" s="2"/>
      <c r="Q19" s="2"/>
      <c r="R19" s="21"/>
    </row>
    <row r="20" spans="1:18" s="43" customFormat="1" ht="21" x14ac:dyDescent="0.25">
      <c r="A20" s="40" t="s">
        <v>39</v>
      </c>
      <c r="B20" s="41"/>
      <c r="C20" s="41"/>
      <c r="D20" s="41"/>
      <c r="E20" s="41"/>
      <c r="F20" s="41"/>
      <c r="G20" s="41"/>
      <c r="H20" s="42" t="s">
        <v>35</v>
      </c>
      <c r="I20" s="41"/>
      <c r="K20" s="44"/>
      <c r="L20" s="44"/>
      <c r="M20" s="35"/>
      <c r="N20" s="44"/>
      <c r="O20" s="44"/>
      <c r="P20" s="44"/>
      <c r="Q20" s="44"/>
      <c r="R20" s="44"/>
    </row>
    <row r="21" spans="1:18" ht="18.75" x14ac:dyDescent="0.25">
      <c r="A21" s="45" t="s">
        <v>16</v>
      </c>
      <c r="B21" s="6"/>
      <c r="C21" s="6"/>
      <c r="D21" s="6"/>
      <c r="E21" s="6"/>
      <c r="F21" s="46"/>
      <c r="G21" s="47"/>
      <c r="H21" s="48" t="s">
        <v>18</v>
      </c>
      <c r="I21" s="48"/>
      <c r="J21" s="49"/>
      <c r="K21" s="20"/>
      <c r="L21" s="20"/>
      <c r="M21" s="35"/>
      <c r="N21" s="21"/>
      <c r="O21" s="21"/>
      <c r="P21" s="21"/>
      <c r="Q21" s="21"/>
      <c r="R21" s="21"/>
    </row>
    <row r="22" spans="1:18" ht="15" x14ac:dyDescent="0.25">
      <c r="A22" s="50"/>
      <c r="B22" s="7"/>
      <c r="C22" s="7"/>
      <c r="D22" s="7"/>
      <c r="E22" s="7"/>
      <c r="F22" s="7"/>
      <c r="G22" s="14"/>
      <c r="H22" s="18"/>
      <c r="I22" s="18"/>
      <c r="J22" s="19"/>
      <c r="K22" s="20"/>
      <c r="L22" s="20"/>
      <c r="M22" s="35"/>
      <c r="N22" s="33"/>
      <c r="O22" s="2"/>
      <c r="P22" s="2"/>
      <c r="Q22" s="2"/>
      <c r="R22" s="21"/>
    </row>
    <row r="23" spans="1:18" ht="15" x14ac:dyDescent="0.25">
      <c r="A23" s="50"/>
      <c r="B23" s="7"/>
      <c r="C23" s="7"/>
      <c r="D23" s="7"/>
      <c r="E23" s="7"/>
      <c r="F23" s="7"/>
      <c r="G23" s="14"/>
      <c r="H23" s="18"/>
      <c r="I23" s="18"/>
      <c r="J23" s="19"/>
      <c r="K23" s="20"/>
      <c r="L23" s="20"/>
      <c r="M23" s="35"/>
      <c r="N23" s="33"/>
      <c r="O23" s="2"/>
      <c r="P23" s="2"/>
      <c r="Q23" s="2"/>
      <c r="R23" s="21"/>
    </row>
    <row r="24" spans="1:18" ht="15" x14ac:dyDescent="0.25">
      <c r="A24" s="50"/>
      <c r="B24" s="7"/>
      <c r="C24" s="7"/>
      <c r="D24" s="7"/>
      <c r="E24" s="7"/>
      <c r="F24" s="7"/>
      <c r="G24" s="14"/>
      <c r="H24" s="18"/>
      <c r="I24" s="18"/>
      <c r="J24" s="19"/>
      <c r="K24" s="20"/>
      <c r="L24" s="20"/>
      <c r="M24" s="35"/>
      <c r="N24" s="33"/>
      <c r="O24" s="2"/>
      <c r="P24" s="3"/>
      <c r="Q24" s="2"/>
      <c r="R24" s="21"/>
    </row>
    <row r="25" spans="1:18" ht="15" x14ac:dyDescent="0.25">
      <c r="A25" s="50"/>
      <c r="B25" s="18"/>
      <c r="C25" s="18"/>
      <c r="D25" s="18"/>
      <c r="E25" s="18"/>
      <c r="F25" s="18"/>
      <c r="G25" s="14"/>
      <c r="H25" s="18"/>
      <c r="I25" s="18"/>
      <c r="J25" s="19"/>
      <c r="K25" s="20"/>
      <c r="L25" s="20"/>
      <c r="M25" s="35"/>
      <c r="N25" s="33"/>
      <c r="O25" s="2"/>
      <c r="P25" s="2"/>
      <c r="Q25" s="3"/>
      <c r="R25" s="21"/>
    </row>
    <row r="26" spans="1:18" ht="15" x14ac:dyDescent="0.25">
      <c r="A26" s="50"/>
      <c r="B26" s="18"/>
      <c r="C26" s="18"/>
      <c r="D26" s="18"/>
      <c r="E26" s="18"/>
      <c r="F26" s="18"/>
      <c r="G26" s="14"/>
      <c r="H26" s="18"/>
      <c r="I26" s="18"/>
      <c r="J26" s="19"/>
      <c r="K26" s="20"/>
      <c r="L26" s="20"/>
      <c r="M26" s="35"/>
      <c r="N26" s="33"/>
      <c r="O26" s="2"/>
      <c r="P26" s="2"/>
      <c r="Q26" s="3"/>
      <c r="R26" s="21"/>
    </row>
    <row r="27" spans="1:18" ht="15" x14ac:dyDescent="0.25">
      <c r="A27" s="50"/>
      <c r="B27" s="18"/>
      <c r="C27" s="18"/>
      <c r="D27" s="18"/>
      <c r="E27" s="18"/>
      <c r="F27" s="18"/>
      <c r="G27" s="14"/>
      <c r="H27" s="18"/>
      <c r="I27" s="18"/>
      <c r="J27" s="19"/>
      <c r="K27" s="20"/>
      <c r="L27" s="20"/>
      <c r="M27" s="35"/>
      <c r="N27" s="33"/>
      <c r="O27" s="2"/>
      <c r="P27" s="3"/>
      <c r="Q27" s="2"/>
      <c r="R27" s="21"/>
    </row>
    <row r="28" spans="1:18" ht="15" x14ac:dyDescent="0.25">
      <c r="A28" s="50"/>
      <c r="B28" s="18"/>
      <c r="C28" s="18"/>
      <c r="D28" s="18"/>
      <c r="E28" s="18"/>
      <c r="F28" s="18"/>
      <c r="G28" s="14"/>
      <c r="H28" s="18"/>
      <c r="I28" s="18"/>
      <c r="J28" s="19"/>
      <c r="K28" s="20"/>
      <c r="L28" s="20"/>
      <c r="M28" s="35"/>
      <c r="N28" s="33"/>
      <c r="O28" s="2"/>
      <c r="P28" s="2"/>
      <c r="Q28" s="2"/>
      <c r="R28" s="21"/>
    </row>
    <row r="29" spans="1:18" ht="15" x14ac:dyDescent="0.25">
      <c r="A29" s="50"/>
      <c r="B29" s="18"/>
      <c r="C29" s="18"/>
      <c r="D29" s="18"/>
      <c r="E29" s="18"/>
      <c r="F29" s="18"/>
      <c r="G29" s="14"/>
      <c r="H29" s="18"/>
      <c r="I29" s="18"/>
      <c r="J29" s="19"/>
      <c r="K29" s="20"/>
      <c r="L29" s="20"/>
      <c r="M29" s="35"/>
      <c r="N29" s="33"/>
      <c r="O29" s="2"/>
      <c r="P29" s="2"/>
      <c r="Q29" s="2"/>
      <c r="R29" s="21"/>
    </row>
    <row r="30" spans="1:18" ht="15" x14ac:dyDescent="0.25">
      <c r="A30" s="50"/>
      <c r="B30" s="18"/>
      <c r="C30" s="18"/>
      <c r="D30" s="18"/>
      <c r="E30" s="18"/>
      <c r="F30" s="18"/>
      <c r="G30" s="14"/>
      <c r="H30" s="18"/>
      <c r="I30" s="18"/>
      <c r="J30" s="19"/>
      <c r="K30" s="20"/>
      <c r="L30" s="20"/>
      <c r="M30" s="35"/>
      <c r="N30" s="33"/>
      <c r="O30" s="2"/>
      <c r="P30" s="2"/>
      <c r="Q30" s="2"/>
      <c r="R30" s="21"/>
    </row>
    <row r="31" spans="1:18" ht="15" x14ac:dyDescent="0.25">
      <c r="A31" s="50"/>
      <c r="B31" s="18"/>
      <c r="C31" s="18"/>
      <c r="D31" s="18"/>
      <c r="E31" s="18"/>
      <c r="F31" s="18"/>
      <c r="G31" s="14"/>
      <c r="H31" s="18"/>
      <c r="I31" s="18"/>
      <c r="J31" s="19"/>
      <c r="K31" s="20"/>
      <c r="L31" s="20"/>
      <c r="M31" s="35"/>
      <c r="N31" s="21"/>
      <c r="O31" s="21"/>
      <c r="P31" s="21"/>
      <c r="Q31" s="21"/>
      <c r="R31" s="21"/>
    </row>
    <row r="32" spans="1:18" ht="15" x14ac:dyDescent="0.25">
      <c r="A32" s="50"/>
      <c r="B32" s="18"/>
      <c r="C32" s="18"/>
      <c r="D32" s="18"/>
      <c r="E32" s="18"/>
      <c r="F32" s="18"/>
      <c r="G32" s="14"/>
      <c r="H32" s="18"/>
      <c r="I32" s="18"/>
      <c r="J32" s="19"/>
      <c r="K32" s="20"/>
      <c r="L32" s="20"/>
      <c r="M32" s="35"/>
      <c r="N32" s="21"/>
      <c r="O32" s="21"/>
      <c r="P32" s="21"/>
      <c r="Q32" s="21"/>
      <c r="R32" s="21"/>
    </row>
    <row r="33" spans="1:18" ht="15" x14ac:dyDescent="0.25">
      <c r="A33" s="50"/>
      <c r="B33" s="18"/>
      <c r="C33" s="18"/>
      <c r="D33" s="18"/>
      <c r="E33" s="18"/>
      <c r="F33" s="18"/>
      <c r="G33" s="18"/>
      <c r="H33" s="18"/>
      <c r="I33" s="18"/>
      <c r="J33" s="19"/>
      <c r="K33" s="24"/>
      <c r="L33" s="20"/>
      <c r="M33" s="35"/>
      <c r="N33" s="21"/>
      <c r="O33" s="21"/>
      <c r="P33" s="21"/>
      <c r="Q33" s="21"/>
      <c r="R33" s="21"/>
    </row>
    <row r="34" spans="1:18" x14ac:dyDescent="0.2">
      <c r="A34" s="50"/>
      <c r="B34" s="18"/>
      <c r="C34" s="18"/>
      <c r="D34" s="18"/>
      <c r="E34" s="18"/>
      <c r="F34" s="18"/>
      <c r="G34" s="18"/>
      <c r="H34" s="18"/>
      <c r="I34" s="18"/>
      <c r="J34" s="19"/>
      <c r="K34" s="20"/>
      <c r="L34" s="20"/>
      <c r="M34" s="21"/>
      <c r="N34" s="21"/>
      <c r="O34" s="21"/>
      <c r="P34" s="21"/>
      <c r="Q34" s="21"/>
      <c r="R34" s="21"/>
    </row>
    <row r="35" spans="1:18" x14ac:dyDescent="0.2">
      <c r="A35" s="50"/>
      <c r="B35" s="18"/>
      <c r="C35" s="18"/>
      <c r="D35" s="18"/>
      <c r="E35" s="18"/>
      <c r="F35" s="18"/>
      <c r="G35" s="18"/>
      <c r="H35" s="18"/>
      <c r="I35" s="18"/>
      <c r="J35" s="19"/>
      <c r="K35" s="20"/>
      <c r="L35" s="20"/>
      <c r="M35" s="21"/>
      <c r="N35" s="21"/>
      <c r="O35" s="21"/>
      <c r="P35" s="21"/>
      <c r="Q35" s="21"/>
      <c r="R35" s="21"/>
    </row>
    <row r="36" spans="1:18" x14ac:dyDescent="0.2">
      <c r="A36" s="50"/>
      <c r="B36" s="18"/>
      <c r="C36" s="18"/>
      <c r="D36" s="18"/>
      <c r="E36" s="18"/>
      <c r="F36" s="18"/>
      <c r="G36" s="18"/>
      <c r="H36" s="18"/>
      <c r="I36" s="18"/>
      <c r="J36" s="19"/>
      <c r="K36" s="20"/>
      <c r="L36" s="20"/>
      <c r="M36" s="21"/>
      <c r="N36" s="21"/>
      <c r="O36" s="21"/>
      <c r="P36" s="21"/>
      <c r="Q36" s="21"/>
      <c r="R36" s="21"/>
    </row>
    <row r="37" spans="1:18" x14ac:dyDescent="0.2">
      <c r="A37" s="50"/>
      <c r="B37" s="19"/>
      <c r="C37" s="19"/>
      <c r="D37" s="19"/>
      <c r="E37" s="19"/>
      <c r="F37" s="19"/>
      <c r="G37" s="19"/>
      <c r="H37" s="19"/>
      <c r="I37" s="19"/>
      <c r="J37" s="19"/>
      <c r="K37" s="20"/>
      <c r="L37" s="20"/>
      <c r="M37" s="21"/>
      <c r="N37" s="21"/>
      <c r="O37" s="21"/>
      <c r="P37" s="21"/>
      <c r="Q37" s="21"/>
      <c r="R37" s="21"/>
    </row>
    <row r="38" spans="1:18" x14ac:dyDescent="0.2">
      <c r="A38" s="50"/>
      <c r="K38" s="21"/>
      <c r="L38" s="21"/>
      <c r="M38" s="21"/>
      <c r="N38" s="21"/>
      <c r="O38" s="21"/>
      <c r="P38" s="21"/>
      <c r="Q38" s="21"/>
      <c r="R38" s="21"/>
    </row>
    <row r="39" spans="1:18" x14ac:dyDescent="0.2">
      <c r="A39" s="50"/>
      <c r="K39" s="21"/>
      <c r="L39" s="21"/>
      <c r="M39" s="21"/>
      <c r="N39" s="21"/>
      <c r="O39" s="21"/>
      <c r="P39" s="21"/>
      <c r="Q39" s="21"/>
      <c r="R39" s="21"/>
    </row>
    <row r="40" spans="1:18" x14ac:dyDescent="0.2">
      <c r="K40" s="21"/>
      <c r="L40" s="21"/>
      <c r="M40" s="21"/>
      <c r="N40" s="21"/>
      <c r="O40" s="21"/>
      <c r="P40" s="21"/>
      <c r="Q40" s="21"/>
      <c r="R40" s="21"/>
    </row>
    <row r="41" spans="1:18" x14ac:dyDescent="0.2">
      <c r="K41" s="21"/>
      <c r="L41" s="21"/>
      <c r="M41" s="21"/>
      <c r="N41" s="21"/>
      <c r="O41" s="21"/>
      <c r="P41" s="21"/>
      <c r="Q41" s="21"/>
      <c r="R41" s="21"/>
    </row>
    <row r="42" spans="1:18" x14ac:dyDescent="0.2">
      <c r="K42" s="21"/>
      <c r="L42" s="21"/>
      <c r="M42" s="21"/>
      <c r="N42" s="21"/>
      <c r="O42" s="21"/>
      <c r="P42" s="21"/>
      <c r="Q42" s="21"/>
      <c r="R42" s="21"/>
    </row>
    <row r="43" spans="1:18" x14ac:dyDescent="0.2">
      <c r="K43" s="21"/>
      <c r="L43" s="21"/>
      <c r="M43" s="21"/>
      <c r="N43" s="21"/>
      <c r="O43" s="21"/>
      <c r="P43" s="21"/>
      <c r="Q43" s="21"/>
      <c r="R43" s="21"/>
    </row>
  </sheetData>
  <mergeCells count="7">
    <mergeCell ref="A1:H1"/>
    <mergeCell ref="A2:H2"/>
    <mergeCell ref="A3:H3"/>
    <mergeCell ref="A5:A6"/>
    <mergeCell ref="H5:H6"/>
    <mergeCell ref="B5:C5"/>
    <mergeCell ref="D5:F5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9.18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2017-01-23T07:36:10Z</cp:lastPrinted>
  <dcterms:created xsi:type="dcterms:W3CDTF">2014-03-04T03:52:57Z</dcterms:created>
  <dcterms:modified xsi:type="dcterms:W3CDTF">2019-04-28T05:50:37Z</dcterms:modified>
</cp:coreProperties>
</file>