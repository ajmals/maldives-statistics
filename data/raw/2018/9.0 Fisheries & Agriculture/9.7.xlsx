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9. FISHERIES AND AGRICULTURE\"/>
    </mc:Choice>
  </mc:AlternateContent>
  <bookViews>
    <workbookView xWindow="0" yWindow="0" windowWidth="28800" windowHeight="12330" tabRatio="898"/>
  </bookViews>
  <sheets>
    <sheet name="9.7" sheetId="31" r:id="rId1"/>
  </sheets>
  <externalReferences>
    <externalReference r:id="rId2"/>
    <externalReference r:id="rId3"/>
  </externalReferences>
  <definedNames>
    <definedName name="_xlnm.Print_Area" localSheetId="0">'9.7'!$A$1:$F$40</definedName>
  </definedNames>
  <calcPr calcId="162913"/>
</workbook>
</file>

<file path=xl/calcChain.xml><?xml version="1.0" encoding="utf-8"?>
<calcChain xmlns="http://schemas.openxmlformats.org/spreadsheetml/2006/main">
  <c r="E7" i="31" l="1"/>
  <c r="D7" i="31" l="1"/>
  <c r="C7" i="31"/>
  <c r="B7" i="31"/>
</calcChain>
</file>

<file path=xl/sharedStrings.xml><?xml version="1.0" encoding="utf-8"?>
<sst xmlns="http://schemas.openxmlformats.org/spreadsheetml/2006/main" count="51" uniqueCount="50">
  <si>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</si>
  <si>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</si>
  <si>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</si>
  <si>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</si>
  <si>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</si>
  <si>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</si>
  <si>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</si>
  <si>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</si>
  <si>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</si>
  <si>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</si>
  <si>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</si>
  <si>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</si>
  <si>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</si>
  <si>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ޖުމްލަ</t>
  </si>
  <si>
    <t>(މެޓްރިކްޓަނުން)</t>
  </si>
  <si>
    <t>In metrictons (MT)</t>
  </si>
  <si>
    <r>
      <t xml:space="preserve"> Purchased    </t>
    </r>
    <r>
      <rPr>
        <b/>
        <sz val="10"/>
        <rFont val="A_Waheed"/>
      </rPr>
      <t xml:space="preserve">cswmWzWtctwg      </t>
    </r>
    <r>
      <rPr>
        <b/>
        <sz val="10"/>
        <rFont val="Arial"/>
        <family val="2"/>
      </rPr>
      <t xml:space="preserve">  </t>
    </r>
  </si>
  <si>
    <t>މަސް</t>
  </si>
  <si>
    <t>TOTAL</t>
  </si>
  <si>
    <t>ޖެނުއަރީ</t>
  </si>
  <si>
    <t>ފެބްރުއަރީ</t>
  </si>
  <si>
    <t>މާރޗް</t>
  </si>
  <si>
    <t>އެޕްރީލް</t>
  </si>
  <si>
    <t>މެއި</t>
  </si>
  <si>
    <t>ޖޫން</t>
  </si>
  <si>
    <t>ޖުލައި</t>
  </si>
  <si>
    <t>އޯގަސްޓް</t>
  </si>
  <si>
    <t>ސެޕްޓެމްބަރ</t>
  </si>
  <si>
    <t>އޮކްޓޯބަރ</t>
  </si>
  <si>
    <t>ނޮވެމްބަރ</t>
  </si>
  <si>
    <t>ޑިސެމްބަރ</t>
  </si>
  <si>
    <t>Source: Purchasing companies</t>
  </si>
  <si>
    <t>މަޢުލޫމާތު ދެއްވި ފަރާތް: މަސްގަންނަ ކުންފުނިތައް</t>
  </si>
  <si>
    <t xml:space="preserve">Compiled by: Statistics Unit, </t>
  </si>
  <si>
    <t>ތާވަލް ތައްޔާރުކުރެއްވި ފަރާތް: ސްޓެޓިސްޓިކްސް ޔުނިޓް،</t>
  </si>
  <si>
    <t xml:space="preserve">Ministry of Fisheries &amp; Agriculture </t>
  </si>
  <si>
    <t>މިނިސްޓްރީ އޮފް ފިޝަރީޒް އެންޑް އެގްރިކަލްޗަރ</t>
  </si>
  <si>
    <t>Table 9.7: Monthly Fresh Tuna Purchased, 2014 - 2017</t>
  </si>
  <si>
    <t>ތާވަލު 9.7: އެކިމަސްމަހުގައި ގަތް ތާޒާމަސް، 2014 - 2017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</si>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</sst>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409]mmmm\ d\,\ yyyy;@"/>
    <numFmt numFmtId="165" formatCode="General_)"/>
    <numFmt numFmtId="167" formatCode="#,##0.0"/>
  </numFmts>
  <fonts count="2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MS Sans Serif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1"/>
      <color rgb="FFFF0000"/>
      <name val="Calibri"/>
      <family val="2"/>
      <scheme val="minor"/>
    </font>
    <font>
      <sz val="9"/>
      <name val="Arial"/>
      <family val="2"/>
    </font>
    <font>
      <i/>
      <sz val="9"/>
      <name val="Arial"/>
      <family val="2"/>
    </font>
    <font>
      <sz val="9"/>
      <name val="Faruma"/>
    </font>
    <font>
      <b/>
      <sz val="12"/>
      <name val="Faruma"/>
    </font>
    <font>
      <b/>
      <sz val="10"/>
      <name val="A_Waheed"/>
    </font>
    <font>
      <sz val="11"/>
      <color indexed="8"/>
      <name val="Calibri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0" fontId="6" fillId="0" borderId="0" applyFont="0" applyFill="0" applyBorder="0" applyAlignment="0" applyProtection="0"/>
    <xf numFmtId="164" fontId="1" fillId="0" borderId="0"/>
    <xf numFmtId="0" fontId="1" fillId="0" borderId="0"/>
    <xf numFmtId="0" fontId="3" fillId="0" borderId="0"/>
    <xf numFmtId="0" fontId="3" fillId="0" borderId="0"/>
  </cellStyleXfs>
  <cellXfs count="32">
    <xf numFmtId="0" fontId="0" fillId="0" borderId="0" xfId="0"/>
    <xf numFmtId="0" fontId="5" fillId="2" borderId="0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right" vertical="center"/>
    </xf>
    <xf numFmtId="0" fontId="10" fillId="2" borderId="0" xfId="0" applyFont="1" applyFill="1"/>
    <xf numFmtId="0" fontId="12" fillId="2" borderId="0" xfId="0" applyFont="1" applyFill="1"/>
    <xf numFmtId="0" fontId="11" fillId="2" borderId="0" xfId="0" applyFont="1" applyFill="1"/>
    <xf numFmtId="0" fontId="13" fillId="2" borderId="0" xfId="0" applyFont="1" applyFill="1" applyBorder="1" applyAlignment="1">
      <alignment horizontal="right" vertical="center"/>
    </xf>
    <xf numFmtId="0" fontId="12" fillId="2" borderId="0" xfId="0" applyFont="1" applyFill="1" applyAlignment="1" applyProtection="1">
      <alignment horizontal="left" vertical="center"/>
    </xf>
    <xf numFmtId="0" fontId="12" fillId="2" borderId="0" xfId="0" applyFont="1" applyFill="1" applyAlignment="1">
      <alignment vertical="center"/>
    </xf>
    <xf numFmtId="0" fontId="0" fillId="2" borderId="0" xfId="0" applyFill="1"/>
    <xf numFmtId="0" fontId="9" fillId="2" borderId="2" xfId="0" applyFont="1" applyFill="1" applyBorder="1" applyAlignment="1">
      <alignment horizontal="right" vertical="center"/>
    </xf>
    <xf numFmtId="38" fontId="4" fillId="2" borderId="0" xfId="1" applyNumberFormat="1" applyFont="1" applyFill="1" applyAlignment="1" applyProtection="1">
      <alignment horizontal="left" vertical="center"/>
      <protection locked="0"/>
    </xf>
    <xf numFmtId="1" fontId="7" fillId="2" borderId="0" xfId="0" applyNumberFormat="1" applyFont="1" applyFill="1" applyAlignment="1">
      <alignment horizontal="left" indent="1"/>
    </xf>
    <xf numFmtId="1" fontId="7" fillId="2" borderId="2" xfId="0" applyNumberFormat="1" applyFont="1" applyFill="1" applyBorder="1" applyAlignment="1">
      <alignment horizontal="left" indent="1"/>
    </xf>
    <xf numFmtId="0" fontId="0" fillId="2" borderId="0" xfId="0" applyFont="1" applyFill="1"/>
    <xf numFmtId="0" fontId="8" fillId="2" borderId="0" xfId="0" applyFont="1" applyFill="1"/>
    <xf numFmtId="0" fontId="8" fillId="2" borderId="0" xfId="0" applyFont="1" applyFill="1" applyAlignment="1" applyProtection="1">
      <alignment horizontal="left" vertical="center"/>
    </xf>
    <xf numFmtId="0" fontId="8" fillId="2" borderId="0" xfId="0" applyFont="1" applyFill="1" applyAlignment="1">
      <alignment vertical="center"/>
    </xf>
    <xf numFmtId="1" fontId="2" fillId="2" borderId="4" xfId="0" applyNumberFormat="1" applyFont="1" applyFill="1" applyBorder="1" applyAlignment="1">
      <alignment horizontal="right" vertical="center"/>
    </xf>
    <xf numFmtId="3" fontId="17" fillId="2" borderId="0" xfId="0" applyNumberFormat="1" applyFont="1" applyFill="1" applyBorder="1" applyAlignment="1">
      <alignment horizontal="right" vertical="center"/>
    </xf>
    <xf numFmtId="3" fontId="19" fillId="2" borderId="0" xfId="0" applyNumberFormat="1" applyFont="1" applyFill="1" applyBorder="1" applyAlignment="1">
      <alignment horizontal="right" vertical="center"/>
    </xf>
    <xf numFmtId="3" fontId="19" fillId="2" borderId="2" xfId="0" applyNumberFormat="1" applyFont="1" applyFill="1" applyBorder="1" applyAlignment="1">
      <alignment horizontal="right" vertical="center"/>
    </xf>
    <xf numFmtId="167" fontId="2" fillId="2" borderId="5" xfId="0" applyNumberFormat="1" applyFont="1" applyFill="1" applyBorder="1" applyAlignment="1" applyProtection="1">
      <alignment horizontal="center" vertical="center"/>
      <protection hidden="1"/>
    </xf>
    <xf numFmtId="0" fontId="14" fillId="2" borderId="0" xfId="0" applyFont="1" applyFill="1" applyAlignment="1">
      <alignment horizontal="center" vertical="center"/>
    </xf>
    <xf numFmtId="4" fontId="18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</xf>
    <xf numFmtId="4" fontId="2" fillId="2" borderId="1" xfId="0" applyNumberFormat="1" applyFont="1" applyFill="1" applyBorder="1" applyAlignment="1">
      <alignment horizontal="left" vertical="center"/>
    </xf>
    <xf numFmtId="4" fontId="2" fillId="2" borderId="2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4" fontId="2" fillId="2" borderId="3" xfId="0" applyNumberFormat="1" applyFont="1" applyFill="1" applyBorder="1" applyAlignment="1">
      <alignment horizontal="center"/>
    </xf>
  </cellXfs>
  <cellStyles count="6">
    <cellStyle name="1" xfId="4"/>
    <cellStyle name="Comma 2" xfId="1"/>
    <cellStyle name="Normal" xfId="0" builtinId="0"/>
    <cellStyle name="Normal 2" xfId="3"/>
    <cellStyle name="Normal 3_agri planning 2009 year book(final)" xfId="2"/>
    <cellStyle name="Normal 4" xfId="5"/>
  </cellStyles>
  <dxfs count="0"/>
  <tableStyles count="0" defaultTableStyle="TableStyleMedium9" defaultPivotStyle="PivotStyleLight16"/>
  <colors>
    <mruColors>
      <color rgb="FF33CCCC"/>
      <color rgb="FFFF9900"/>
      <color rgb="FF009900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9.5: Monthly Fresh tuna purchased, 2016 - 2017</a:t>
            </a:r>
          </a:p>
        </c:rich>
      </c:tx>
      <c:layout>
        <c:manualLayout>
          <c:xMode val="edge"/>
          <c:yMode val="edge"/>
          <c:x val="0.23757678118092745"/>
          <c:y val="2.74509719157103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110214831267967E-2"/>
          <c:y val="0.14545093547909974"/>
          <c:w val="0.90019565886971042"/>
          <c:h val="0.7622597615378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'9.7'!$D$6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'9.7'!$AO$8:$AO$19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'9.7'!$D$8:$D$19</c:f>
              <c:numCache>
                <c:formatCode>#,##0</c:formatCode>
                <c:ptCount val="12"/>
                <c:pt idx="0">
                  <c:v>3547.4878672424238</c:v>
                </c:pt>
                <c:pt idx="1">
                  <c:v>3700.1932358455538</c:v>
                </c:pt>
                <c:pt idx="2">
                  <c:v>4344.6222404040418</c:v>
                </c:pt>
                <c:pt idx="3">
                  <c:v>7413.7048332277618</c:v>
                </c:pt>
                <c:pt idx="4">
                  <c:v>4516.7131408181813</c:v>
                </c:pt>
                <c:pt idx="5">
                  <c:v>1124.6612380000001</c:v>
                </c:pt>
                <c:pt idx="6">
                  <c:v>1603.4366600000001</c:v>
                </c:pt>
                <c:pt idx="7">
                  <c:v>2762.3959530000002</c:v>
                </c:pt>
                <c:pt idx="8">
                  <c:v>2860.8742099999999</c:v>
                </c:pt>
                <c:pt idx="9">
                  <c:v>7922.7490699999998</c:v>
                </c:pt>
                <c:pt idx="10">
                  <c:v>6950.4351099999994</c:v>
                </c:pt>
                <c:pt idx="11">
                  <c:v>7128.6764600000006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C-499F-95E7-FDE82C620D5C}"/>
            </c:ext>
          </c:extLst>
        </c:ser>
        <c:ser>
          <c:idx val="1"/>
          <c:order val="1"/>
          <c:tx>
            <c:strRef>
              <c:f>'9.7'!$E$6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'9.7'!$AO$8:$AO$19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'9.7'!$E$8:$E$19</c:f>
              <c:numCache>
                <c:formatCode>#,##0</c:formatCode>
                <c:ptCount val="12"/>
                <c:pt idx="0">
                  <c:v>8385.2395499999984</c:v>
                </c:pt>
                <c:pt idx="1">
                  <c:v>6537.4725400000016</c:v>
                </c:pt>
                <c:pt idx="2">
                  <c:v>6336.2513199999994</c:v>
                </c:pt>
                <c:pt idx="3">
                  <c:v>7958.81142</c:v>
                </c:pt>
                <c:pt idx="4">
                  <c:v>7659.9021600000005</c:v>
                </c:pt>
                <c:pt idx="5">
                  <c:v>4299.6456900000003</c:v>
                </c:pt>
                <c:pt idx="6">
                  <c:v>5847.2433899999987</c:v>
                </c:pt>
                <c:pt idx="7">
                  <c:v>3700.7813699999992</c:v>
                </c:pt>
                <c:pt idx="8">
                  <c:v>3018.0501900000004</c:v>
                </c:pt>
                <c:pt idx="9">
                  <c:v>6461.2722199999962</c:v>
                </c:pt>
                <c:pt idx="10">
                  <c:v>8485.2940499999968</c:v>
                </c:pt>
                <c:pt idx="11">
                  <c:v>7930.7553599999992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FC-499F-95E7-FDE82C620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-1"/>
        <c:axId val="905656592"/>
        <c:axId val="905655344"/>
      </c:barChart>
      <c:catAx>
        <c:axId val="90565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655344"/>
        <c:crosses val="autoZero"/>
        <c:auto val="1"/>
        <c:lblAlgn val="ctr"/>
        <c:lblOffset val="100"/>
        <c:noMultiLvlLbl val="0"/>
      </c:catAx>
      <c:valAx>
        <c:axId val="90565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65659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3180711726099295"/>
          <c:y val="0.25199868704687761"/>
          <c:w val="0.1454035769480744"/>
          <c:h val="6.61769133311986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22</xdr:row>
      <xdr:rowOff>104774</xdr:rowOff>
    </xdr:from>
    <xdr:to>
      <xdr:col>5</xdr:col>
      <xdr:colOff>990601</xdr:colOff>
      <xdr:row>39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514350</xdr:colOff>
      <xdr:row>24</xdr:row>
      <xdr:rowOff>47625</xdr:rowOff>
    </xdr:from>
    <xdr:to>
      <xdr:col>5</xdr:col>
      <xdr:colOff>66675</xdr:colOff>
      <xdr:row>24</xdr:row>
      <xdr:rowOff>47625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1695450" y="5486400"/>
          <a:ext cx="3590925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S23"/>
  <sheetViews>
    <sheetView tabSelected="1" zoomScaleNormal="100" workbookViewId="0">
      <selection activeCell="P11" sqref="P11"/>
    </sheetView>
  </sheetViews>
  <sheetFormatPr defaultRowHeight="15" x14ac:dyDescent="0.25"/>
  <cols>
    <col min="1" max="1" width="17.7109375" style="9" customWidth="1"/>
    <col min="2" max="5" width="15.140625" style="9" customWidth="1"/>
    <col min="6" max="6" width="21.140625" style="9" customWidth="1"/>
    <col min="7" max="16384" width="9.140625" style="9"/>
  </cols>
  <sheetData>
    <row r="1" spans="1:45" ht="21.75" x14ac:dyDescent="0.25">
      <c r="A1" s="23" t="s">
        <v>38</v>
      </c>
      <c r="B1" s="23"/>
      <c r="C1" s="23"/>
      <c r="D1" s="23"/>
      <c r="E1" s="23"/>
      <c r="F1" s="23"/>
    </row>
    <row r="2" spans="1:45" ht="15.75" x14ac:dyDescent="0.25">
      <c r="A2" s="24" t="s">
        <v>37</v>
      </c>
      <c r="B2" s="24"/>
      <c r="C2" s="24"/>
      <c r="D2" s="24"/>
      <c r="E2" s="24"/>
      <c r="F2" s="24"/>
    </row>
    <row r="3" spans="1:45" ht="18.75" x14ac:dyDescent="0.25">
      <c r="A3" s="25" t="s">
        <v>14</v>
      </c>
      <c r="B3" s="25"/>
      <c r="C3" s="25"/>
      <c r="D3" s="25"/>
      <c r="E3" s="25"/>
      <c r="F3" s="25"/>
    </row>
    <row r="4" spans="1:45" x14ac:dyDescent="0.25">
      <c r="A4" s="26" t="s">
        <v>15</v>
      </c>
      <c r="B4" s="26"/>
      <c r="C4" s="26"/>
      <c r="D4" s="26"/>
      <c r="E4" s="26"/>
      <c r="F4" s="26"/>
    </row>
    <row r="5" spans="1:45" ht="16.5" x14ac:dyDescent="0.35">
      <c r="A5" s="27" t="s">
        <v>0</v>
      </c>
      <c r="B5" s="31" t="s">
        <v>16</v>
      </c>
      <c r="C5" s="31"/>
      <c r="D5" s="31"/>
      <c r="E5" s="31"/>
      <c r="F5" s="29" t="s">
        <v>17</v>
      </c>
    </row>
    <row r="6" spans="1:45" x14ac:dyDescent="0.25">
      <c r="A6" s="28"/>
      <c r="B6" s="18">
        <v>2014</v>
      </c>
      <c r="C6" s="18">
        <v>2015</v>
      </c>
      <c r="D6" s="18">
        <v>2016</v>
      </c>
      <c r="E6" s="18">
        <v>2017</v>
      </c>
      <c r="F6" s="30"/>
    </row>
    <row r="7" spans="1:45" ht="18.75" x14ac:dyDescent="0.25">
      <c r="A7" s="11" t="s">
        <v>18</v>
      </c>
      <c r="B7" s="19">
        <f>SUM(B8:B19)</f>
        <v>50511.167105346387</v>
      </c>
      <c r="C7" s="19">
        <f t="shared" ref="C7:D7" si="0">SUM(C8:C19)</f>
        <v>45235.160591439198</v>
      </c>
      <c r="D7" s="19">
        <f t="shared" si="0"/>
        <v>53875.950018537958</v>
      </c>
      <c r="E7" s="19">
        <f t="shared" ref="E7" si="1">SUM(E8:E19)</f>
        <v>76620.719259999983</v>
      </c>
      <c r="F7" s="1" t="s">
        <v>13</v>
      </c>
    </row>
    <row r="8" spans="1:45" ht="18.75" x14ac:dyDescent="0.25">
      <c r="A8" s="12" t="s">
        <v>1</v>
      </c>
      <c r="B8" s="20">
        <v>6427.6346399999957</v>
      </c>
      <c r="C8" s="20">
        <v>7005.5622908703162</v>
      </c>
      <c r="D8" s="20">
        <v>3547.4878672424238</v>
      </c>
      <c r="E8" s="20">
        <v>8385.2395499999984</v>
      </c>
      <c r="F8" s="2" t="s">
        <v>19</v>
      </c>
      <c r="AO8" s="22" t="s">
        <v>39</v>
      </c>
      <c r="AS8" s="3"/>
    </row>
    <row r="9" spans="1:45" ht="18.75" x14ac:dyDescent="0.25">
      <c r="A9" s="12" t="s">
        <v>2</v>
      </c>
      <c r="B9" s="20">
        <v>3337.3280439999999</v>
      </c>
      <c r="C9" s="20">
        <v>3432.4047981818185</v>
      </c>
      <c r="D9" s="20">
        <v>3700.1932358455538</v>
      </c>
      <c r="E9" s="20">
        <v>6537.4725400000016</v>
      </c>
      <c r="F9" s="2" t="s">
        <v>20</v>
      </c>
      <c r="AO9" s="22" t="s">
        <v>40</v>
      </c>
    </row>
    <row r="10" spans="1:45" ht="18.75" x14ac:dyDescent="0.25">
      <c r="A10" s="12" t="s">
        <v>3</v>
      </c>
      <c r="B10" s="20">
        <v>2850.1987300000042</v>
      </c>
      <c r="C10" s="20">
        <v>3232.3788616976231</v>
      </c>
      <c r="D10" s="20">
        <v>4344.6222404040418</v>
      </c>
      <c r="E10" s="20">
        <v>6336.2513199999994</v>
      </c>
      <c r="F10" s="2" t="s">
        <v>21</v>
      </c>
      <c r="AO10" s="22" t="s">
        <v>41</v>
      </c>
    </row>
    <row r="11" spans="1:45" ht="18.75" x14ac:dyDescent="0.25">
      <c r="A11" s="12" t="s">
        <v>4</v>
      </c>
      <c r="B11" s="20">
        <v>6818.7001700000001</v>
      </c>
      <c r="C11" s="20">
        <v>6238.2860586999041</v>
      </c>
      <c r="D11" s="20">
        <v>7413.7048332277618</v>
      </c>
      <c r="E11" s="20">
        <v>7958.81142</v>
      </c>
      <c r="F11" s="2" t="s">
        <v>22</v>
      </c>
      <c r="AO11" s="22" t="s">
        <v>42</v>
      </c>
    </row>
    <row r="12" spans="1:45" ht="18.75" x14ac:dyDescent="0.25">
      <c r="A12" s="12" t="s">
        <v>5</v>
      </c>
      <c r="B12" s="20">
        <v>5057.5095330000004</v>
      </c>
      <c r="C12" s="20">
        <v>2909.6493069999997</v>
      </c>
      <c r="D12" s="20">
        <v>4516.7131408181813</v>
      </c>
      <c r="E12" s="20">
        <v>7659.9021600000005</v>
      </c>
      <c r="F12" s="2" t="s">
        <v>23</v>
      </c>
      <c r="AO12" s="22" t="s">
        <v>5</v>
      </c>
    </row>
    <row r="13" spans="1:45" ht="18.75" x14ac:dyDescent="0.25">
      <c r="A13" s="12" t="s">
        <v>6</v>
      </c>
      <c r="B13" s="20">
        <v>4295.1361399999969</v>
      </c>
      <c r="C13" s="20">
        <v>1880.0532999999991</v>
      </c>
      <c r="D13" s="20">
        <v>1124.6612380000001</v>
      </c>
      <c r="E13" s="20">
        <v>4299.6456900000003</v>
      </c>
      <c r="F13" s="2" t="s">
        <v>24</v>
      </c>
      <c r="AO13" s="22" t="s">
        <v>43</v>
      </c>
    </row>
    <row r="14" spans="1:45" ht="18.75" x14ac:dyDescent="0.25">
      <c r="A14" s="12" t="s">
        <v>7</v>
      </c>
      <c r="B14" s="20">
        <v>2096.68469</v>
      </c>
      <c r="C14" s="20">
        <v>1747.8004599999992</v>
      </c>
      <c r="D14" s="20">
        <v>1603.4366600000001</v>
      </c>
      <c r="E14" s="20">
        <v>5847.2433899999987</v>
      </c>
      <c r="F14" s="2" t="s">
        <v>25</v>
      </c>
      <c r="AO14" s="22" t="s">
        <v>44</v>
      </c>
    </row>
    <row r="15" spans="1:45" ht="18.75" x14ac:dyDescent="0.25">
      <c r="A15" s="12" t="s">
        <v>8</v>
      </c>
      <c r="B15" s="20">
        <v>2505.1015399999978</v>
      </c>
      <c r="C15" s="20">
        <v>2545.4261136559116</v>
      </c>
      <c r="D15" s="20">
        <v>2762.3959530000002</v>
      </c>
      <c r="E15" s="20">
        <v>3700.7813699999992</v>
      </c>
      <c r="F15" s="2" t="s">
        <v>26</v>
      </c>
      <c r="AO15" s="22" t="s">
        <v>45</v>
      </c>
    </row>
    <row r="16" spans="1:45" ht="18.75" x14ac:dyDescent="0.25">
      <c r="A16" s="12" t="s">
        <v>9</v>
      </c>
      <c r="B16" s="20">
        <v>3946.1871780563961</v>
      </c>
      <c r="C16" s="20">
        <v>2073.095701560117</v>
      </c>
      <c r="D16" s="20">
        <v>2860.8742099999999</v>
      </c>
      <c r="E16" s="20">
        <v>3018.0501900000004</v>
      </c>
      <c r="F16" s="2" t="s">
        <v>27</v>
      </c>
      <c r="AO16" s="22" t="s">
        <v>46</v>
      </c>
    </row>
    <row r="17" spans="1:41" ht="18.75" x14ac:dyDescent="0.25">
      <c r="A17" s="12" t="s">
        <v>10</v>
      </c>
      <c r="B17" s="20">
        <v>3405.6147045259017</v>
      </c>
      <c r="C17" s="20">
        <v>5343.2705124809372</v>
      </c>
      <c r="D17" s="20">
        <v>7922.7490699999998</v>
      </c>
      <c r="E17" s="20">
        <v>6461.2722199999962</v>
      </c>
      <c r="F17" s="2" t="s">
        <v>28</v>
      </c>
      <c r="AO17" s="22" t="s">
        <v>47</v>
      </c>
    </row>
    <row r="18" spans="1:41" ht="18.75" x14ac:dyDescent="0.25">
      <c r="A18" s="12" t="s">
        <v>11</v>
      </c>
      <c r="B18" s="20">
        <v>4392.3005135386093</v>
      </c>
      <c r="C18" s="20">
        <v>5043.6594446735089</v>
      </c>
      <c r="D18" s="20">
        <v>6950.4351099999994</v>
      </c>
      <c r="E18" s="20">
        <v>8485.2940499999968</v>
      </c>
      <c r="F18" s="2" t="s">
        <v>29</v>
      </c>
      <c r="AO18" s="22" t="s">
        <v>48</v>
      </c>
    </row>
    <row r="19" spans="1:41" ht="18.75" x14ac:dyDescent="0.25">
      <c r="A19" s="13" t="s">
        <v>12</v>
      </c>
      <c r="B19" s="21">
        <v>5378.771222225485</v>
      </c>
      <c r="C19" s="21">
        <v>3783.5737426190631</v>
      </c>
      <c r="D19" s="21">
        <v>7128.6764600000006</v>
      </c>
      <c r="E19" s="21">
        <v>7930.7553599999992</v>
      </c>
      <c r="F19" s="10" t="s">
        <v>30</v>
      </c>
      <c r="AO19" s="22" t="s">
        <v>49</v>
      </c>
    </row>
    <row r="20" spans="1:41" ht="17.25" x14ac:dyDescent="0.25">
      <c r="A20" s="15" t="s">
        <v>31</v>
      </c>
      <c r="B20" s="4"/>
      <c r="C20" s="4"/>
      <c r="D20" s="5"/>
      <c r="E20" s="5"/>
      <c r="F20" s="6" t="s">
        <v>32</v>
      </c>
    </row>
    <row r="21" spans="1:41" ht="17.25" x14ac:dyDescent="0.25">
      <c r="A21" s="16" t="s">
        <v>33</v>
      </c>
      <c r="B21" s="7"/>
      <c r="C21" s="7"/>
      <c r="D21" s="5"/>
      <c r="E21" s="5"/>
      <c r="F21" s="6" t="s">
        <v>34</v>
      </c>
    </row>
    <row r="22" spans="1:41" ht="17.25" x14ac:dyDescent="0.25">
      <c r="A22" s="17" t="s">
        <v>35</v>
      </c>
      <c r="B22" s="8"/>
      <c r="C22" s="8"/>
      <c r="D22" s="5"/>
      <c r="E22" s="5"/>
      <c r="F22" s="6" t="s">
        <v>36</v>
      </c>
    </row>
    <row r="23" spans="1:41" x14ac:dyDescent="0.25">
      <c r="A23" s="14"/>
    </row>
  </sheetData>
  <mergeCells count="7">
    <mergeCell ref="A1:F1"/>
    <mergeCell ref="A2:F2"/>
    <mergeCell ref="A3:F3"/>
    <mergeCell ref="A4:F4"/>
    <mergeCell ref="A5:A6"/>
    <mergeCell ref="F5:F6"/>
    <mergeCell ref="B5:E5"/>
  </mergeCells>
  <pageMargins left="0.7" right="0.7" top="0.75" bottom="0.75" header="0.3" footer="0.3"/>
  <pageSetup paperSize="9" scale="87" orientation="portrait" horizontalDpi="4294967295" verticalDpi="4294967295" r:id="rId1"/>
  <ignoredErrors>
    <ignoredError sqref="B7:D7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9.7</vt:lpstr>
      <vt:lpstr>'9.7'!Print_Area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2018-12-05T06:51:12Z</cp:lastPrinted>
  <dcterms:created xsi:type="dcterms:W3CDTF">2014-03-04T03:52:57Z</dcterms:created>
  <dcterms:modified xsi:type="dcterms:W3CDTF">2018-12-05T06:51:22Z</dcterms:modified>
</cp:coreProperties>
</file>