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19" sheetId="33" r:id="rId1"/>
  </sheets>
  <externalReferences>
    <externalReference r:id="rId2"/>
    <externalReference r:id="rId3"/>
  </externalReferences>
  <definedNames>
    <definedName name="_xlnm.Print_Area" localSheetId="0">'9.19'!$A$1:$W$27</definedName>
  </definedNames>
  <calcPr calcId="162913"/>
</workbook>
</file>

<file path=xl/calcChain.xml><?xml version="1.0" encoding="utf-8"?>
<calcChain xmlns="http://schemas.openxmlformats.org/spreadsheetml/2006/main">
  <c r="B10" i="33" l="1"/>
  <c r="B9" i="33"/>
  <c r="D8" i="33"/>
  <c r="E8" i="33"/>
  <c r="F8" i="33"/>
  <c r="G8" i="33"/>
  <c r="H8" i="33"/>
  <c r="I8" i="33"/>
  <c r="J8" i="33"/>
  <c r="K8" i="33"/>
  <c r="L8" i="33"/>
  <c r="M8" i="33"/>
  <c r="N8" i="33"/>
  <c r="O8" i="33"/>
  <c r="P8" i="33"/>
  <c r="Q8" i="33"/>
  <c r="R8" i="33"/>
  <c r="S8" i="33"/>
  <c r="T8" i="33"/>
  <c r="U8" i="33"/>
  <c r="V8" i="33"/>
  <c r="C8" i="33"/>
  <c r="B11" i="33" l="1"/>
  <c r="B12" i="33"/>
  <c r="B13" i="33"/>
  <c r="B14" i="33"/>
  <c r="B15" i="33"/>
  <c r="B16" i="33"/>
  <c r="B17" i="33"/>
  <c r="B18" i="33"/>
  <c r="B19" i="33"/>
  <c r="B20" i="33"/>
  <c r="B21" i="33"/>
  <c r="B22" i="33"/>
  <c r="B23" i="33"/>
  <c r="B24" i="33"/>
  <c r="B8" i="33"/>
</calcChain>
</file>

<file path=xl/sharedStrings.xml><?xml version="1.0" encoding="utf-8"?>
<sst xmlns="http://schemas.openxmlformats.org/spreadsheetml/2006/main" count="85" uniqueCount="83">
  <si>
    <t>Total</t>
  </si>
  <si>
    <t>ah</t>
  </si>
  <si>
    <t>dh</t>
  </si>
  <si>
    <t>S</t>
  </si>
  <si>
    <t>n</t>
  </si>
  <si>
    <t>r</t>
  </si>
  <si>
    <t>b</t>
  </si>
  <si>
    <t>L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</si>
  <si>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</si>
  <si>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</si>
  <si>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</si>
  <si>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</si>
  <si>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</si>
  <si>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</si>
  <si>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</si>
  <si>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</si>
  <si>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</si>
  <si>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</si>
  <si>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</si>
  <si>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N</t>
  </si>
  <si>
    <t>s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</si>
  <si>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</si>
  <si>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</si>
  <si>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</si>
  <si>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</si>
  <si>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</si>
  <si>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>B</t>
  </si>
  <si>
    <t>Lh</t>
  </si>
  <si>
    <t>K</t>
  </si>
  <si>
    <t xml:space="preserve"> 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</si>
  <si>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</si>
  <si>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</si>
  <si>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</si>
  <si>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</si>
  <si>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</si>
  <si>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</si>
  <si>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</si>
  <si>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</si>
  <si>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</si>
  <si>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</si>
  <si>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އެހެނިހެން</t>
  </si>
  <si>
    <t>Agricultural crops</t>
  </si>
  <si>
    <t>ޖުމްލަ</t>
  </si>
  <si>
    <t>ފަތްކެޔޮ</t>
  </si>
  <si>
    <t>ކިއުކަމްބަރ</t>
  </si>
  <si>
    <t>އަނބު</t>
  </si>
  <si>
    <t>ފަޅޯ</t>
  </si>
  <si>
    <t>ބަރަބޯ</t>
  </si>
  <si>
    <t>ކަރާ</t>
  </si>
  <si>
    <r>
      <t xml:space="preserve">( In Kgs/ </t>
    </r>
    <r>
      <rPr>
        <b/>
        <sz val="11"/>
        <color indexed="8"/>
        <rFont val="Faruma"/>
      </rPr>
      <t>ކިލޯއިން)</t>
    </r>
  </si>
  <si>
    <t>Production by Atolls</t>
  </si>
  <si>
    <t>އުފެއްދުނު އަތޮޅުތައް</t>
  </si>
  <si>
    <t>ބާވަތް</t>
  </si>
  <si>
    <t>Watermelon</t>
  </si>
  <si>
    <t>Coconut (young)</t>
  </si>
  <si>
    <t>ކުރުނބާ</t>
  </si>
  <si>
    <t>Papayas</t>
  </si>
  <si>
    <t>Pumpkin</t>
  </si>
  <si>
    <t>Cucumber</t>
  </si>
  <si>
    <t>Banana</t>
  </si>
  <si>
    <t>Brinjal</t>
  </si>
  <si>
    <t>ބަށި</t>
  </si>
  <si>
    <t>Coconut</t>
  </si>
  <si>
    <t>ކާށި</t>
  </si>
  <si>
    <t>chillies</t>
  </si>
  <si>
    <t>މިރުސް</t>
  </si>
  <si>
    <t>Bottle gourd</t>
  </si>
  <si>
    <t>ގިއްސާ</t>
  </si>
  <si>
    <t>Butternut</t>
  </si>
  <si>
    <t>ބަޓާނާ</t>
  </si>
  <si>
    <t>Chinese Cabbage</t>
  </si>
  <si>
    <t>ޗައިނީޒް ކެބެޖް</t>
  </si>
  <si>
    <t>Mango</t>
  </si>
  <si>
    <t>Wax gourd</t>
  </si>
  <si>
    <t>ފުފޫ</t>
  </si>
  <si>
    <t>Betel leaves</t>
  </si>
  <si>
    <t>ބިލެތް</t>
  </si>
  <si>
    <t>Others</t>
  </si>
  <si>
    <t>Source:  Agriculture Data Management Unit/Min. Fisheries and Agriculture</t>
  </si>
  <si>
    <t>މައުލޫމާތު ދެއްވި ފަރާތް: އެގްރިކަލްޗަރ ޑާޓާ މެނޭޖްމަންޓް ޔުނިޓް/ މިނިސްޓްރީ އޮފް ފިޝަރީޒް އެންޑް އެގްރިކަލްޗަރ</t>
  </si>
  <si>
    <t xml:space="preserve">      ތާވަލު 9.19: އަތޮޅުތަކުން މާލޭ މާރުކޭޓަށް ވިއްކި ދަނޑުވެރިކަމުގެ ތަކެތި 2017</t>
  </si>
  <si>
    <t>Table 9.19: AGRICULTURAL PRODUCTS TRADED IN MALE' MARKET BY ATOLLS, 2017</t>
  </si>
  <si>
    <t>ނޯޓް:  ރ، ޅ، ވ އަދި ދ ގެ މައުލޫމާތު ނެތީ އެ އަތޮޅު ތަކުން މާލެއަށް ތަރުކަރީ އަދި މޭވާ ވިއްކަން ގެނެސްފައި ނުވާތީއެވެ.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</si>
</sst>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mmmm\ d\,\ yyyy;@"/>
    <numFmt numFmtId="165" formatCode="General_)"/>
  </numFmts>
  <fonts count="2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sz val="10"/>
      <name val="Calibri"/>
      <family val="2"/>
    </font>
    <font>
      <b/>
      <sz val="10"/>
      <name val="Courier"/>
      <family val="3"/>
    </font>
    <font>
      <b/>
      <sz val="9"/>
      <name val="Calibri"/>
      <family val="2"/>
    </font>
    <font>
      <sz val="11"/>
      <name val="Courier"/>
      <family val="3"/>
    </font>
    <font>
      <b/>
      <sz val="10"/>
      <name val="A_Randhoo"/>
    </font>
    <font>
      <sz val="10"/>
      <name val="Faruma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10"/>
      <color theme="1"/>
      <name val="Faruma"/>
    </font>
    <font>
      <sz val="10"/>
      <color indexed="8"/>
      <name val="Faruma"/>
    </font>
    <font>
      <i/>
      <sz val="10"/>
      <name val="Calibri"/>
      <family val="2"/>
    </font>
    <font>
      <sz val="10"/>
      <color indexed="8"/>
      <name val="Calibri"/>
      <family val="2"/>
    </font>
    <font>
      <b/>
      <sz val="10"/>
      <name val="ަރިެ"/>
    </font>
    <font>
      <sz val="11"/>
      <name val="Faruma"/>
    </font>
    <font>
      <sz val="10"/>
      <name val="Arie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9">
    <xf numFmtId="0" fontId="0" fillId="0" borderId="0"/>
    <xf numFmtId="40" fontId="3" fillId="0" borderId="0" applyFont="0" applyFill="0" applyBorder="0" applyAlignment="0" applyProtection="0"/>
    <xf numFmtId="164" fontId="1" fillId="0" borderId="0"/>
    <xf numFmtId="164" fontId="1" fillId="0" borderId="0"/>
    <xf numFmtId="0" fontId="1" fillId="0" borderId="0"/>
    <xf numFmtId="0" fontId="10" fillId="0" borderId="0"/>
    <xf numFmtId="164" fontId="1" fillId="0" borderId="0"/>
    <xf numFmtId="0" fontId="2" fillId="0" borderId="0"/>
    <xf numFmtId="0" fontId="2" fillId="0" borderId="0"/>
  </cellStyleXfs>
  <cellXfs count="48">
    <xf numFmtId="0" fontId="0" fillId="0" borderId="0" xfId="0"/>
    <xf numFmtId="165" fontId="1" fillId="2" borderId="0" xfId="2" applyNumberFormat="1" applyFill="1"/>
    <xf numFmtId="165" fontId="5" fillId="2" borderId="0" xfId="2" applyNumberFormat="1" applyFont="1" applyFill="1"/>
    <xf numFmtId="165" fontId="1" fillId="2" borderId="0" xfId="2" applyNumberFormat="1" applyFont="1" applyFill="1"/>
    <xf numFmtId="0" fontId="13" fillId="2" borderId="0" xfId="2" applyNumberFormat="1" applyFont="1" applyFill="1" applyBorder="1" applyAlignment="1">
      <alignment vertical="center"/>
    </xf>
    <xf numFmtId="165" fontId="7" fillId="2" borderId="0" xfId="2" applyNumberFormat="1" applyFont="1" applyFill="1"/>
    <xf numFmtId="165" fontId="1" fillId="2" borderId="0" xfId="2" applyNumberFormat="1" applyFill="1"/>
    <xf numFmtId="0" fontId="1" fillId="2" borderId="0" xfId="2" applyNumberFormat="1" applyFont="1" applyFill="1" applyAlignment="1">
      <alignment vertical="center"/>
    </xf>
    <xf numFmtId="43" fontId="1" fillId="2" borderId="0" xfId="2" applyNumberFormat="1" applyFill="1"/>
    <xf numFmtId="43" fontId="1" fillId="2" borderId="0" xfId="2" applyNumberFormat="1" applyFont="1" applyFill="1" applyAlignment="1">
      <alignment vertical="center"/>
    </xf>
    <xf numFmtId="0" fontId="1" fillId="2" borderId="1" xfId="2" applyNumberFormat="1" applyFont="1" applyFill="1" applyBorder="1" applyAlignment="1">
      <alignment vertical="center"/>
    </xf>
    <xf numFmtId="0" fontId="12" fillId="2" borderId="3" xfId="2" applyNumberFormat="1" applyFont="1" applyFill="1" applyBorder="1" applyAlignment="1">
      <alignment vertical="center"/>
    </xf>
    <xf numFmtId="0" fontId="1" fillId="2" borderId="3" xfId="2" applyNumberFormat="1" applyFont="1" applyFill="1" applyBorder="1" applyAlignment="1">
      <alignment vertical="center"/>
    </xf>
    <xf numFmtId="0" fontId="18" fillId="2" borderId="0" xfId="2" applyNumberFormat="1" applyFont="1" applyFill="1" applyBorder="1" applyAlignment="1">
      <alignment vertical="center" wrapText="1"/>
    </xf>
    <xf numFmtId="0" fontId="4" fillId="2" borderId="0" xfId="2" applyNumberFormat="1" applyFont="1" applyFill="1" applyBorder="1" applyAlignment="1">
      <alignment vertical="center"/>
    </xf>
    <xf numFmtId="0" fontId="20" fillId="2" borderId="0" xfId="2" applyNumberFormat="1" applyFont="1" applyFill="1" applyBorder="1" applyAlignment="1">
      <alignment vertical="center"/>
    </xf>
    <xf numFmtId="0" fontId="20" fillId="2" borderId="0" xfId="2" applyNumberFormat="1" applyFont="1" applyFill="1" applyAlignment="1">
      <alignment vertical="center"/>
    </xf>
    <xf numFmtId="0" fontId="15" fillId="2" borderId="0" xfId="6" applyNumberFormat="1" applyFont="1" applyFill="1" applyBorder="1" applyAlignment="1">
      <alignment horizontal="right" vertical="center"/>
    </xf>
    <xf numFmtId="0" fontId="12" fillId="2" borderId="1" xfId="2" applyNumberFormat="1" applyFont="1" applyFill="1" applyBorder="1" applyAlignment="1">
      <alignment vertical="center"/>
    </xf>
    <xf numFmtId="0" fontId="11" fillId="2" borderId="1" xfId="2" applyNumberFormat="1" applyFont="1" applyFill="1" applyBorder="1" applyAlignment="1">
      <alignment vertical="center"/>
    </xf>
    <xf numFmtId="165" fontId="19" fillId="2" borderId="0" xfId="2" applyNumberFormat="1" applyFont="1" applyFill="1" applyBorder="1"/>
    <xf numFmtId="0" fontId="13" fillId="2" borderId="2" xfId="2" applyNumberFormat="1" applyFont="1" applyFill="1" applyBorder="1" applyAlignment="1">
      <alignment vertical="center"/>
    </xf>
    <xf numFmtId="38" fontId="12" fillId="2" borderId="1" xfId="2" applyNumberFormat="1" applyFont="1" applyFill="1" applyBorder="1" applyAlignment="1">
      <alignment horizontal="right"/>
    </xf>
    <xf numFmtId="38" fontId="12" fillId="2" borderId="0" xfId="2" applyNumberFormat="1" applyFont="1" applyFill="1" applyBorder="1" applyAlignment="1">
      <alignment horizontal="right"/>
    </xf>
    <xf numFmtId="38" fontId="12" fillId="2" borderId="2" xfId="2" applyNumberFormat="1" applyFont="1" applyFill="1" applyBorder="1" applyAlignment="1">
      <alignment horizontal="right"/>
    </xf>
    <xf numFmtId="0" fontId="8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right" vertical="center"/>
    </xf>
    <xf numFmtId="165" fontId="1" fillId="2" borderId="0" xfId="2" applyNumberFormat="1" applyFill="1" applyBorder="1"/>
    <xf numFmtId="0" fontId="9" fillId="2" borderId="0" xfId="2" applyNumberFormat="1" applyFont="1" applyFill="1" applyAlignment="1">
      <alignment vertical="center"/>
    </xf>
    <xf numFmtId="0" fontId="16" fillId="2" borderId="0" xfId="2" applyNumberFormat="1" applyFont="1" applyFill="1" applyBorder="1" applyAlignment="1">
      <alignment vertical="center"/>
    </xf>
    <xf numFmtId="0" fontId="4" fillId="2" borderId="0" xfId="2" applyNumberFormat="1" applyFont="1" applyFill="1" applyBorder="1" applyAlignment="1">
      <alignment vertical="center"/>
    </xf>
    <xf numFmtId="0" fontId="15" fillId="2" borderId="0" xfId="6" applyNumberFormat="1" applyFont="1" applyFill="1" applyBorder="1" applyAlignment="1">
      <alignment horizontal="right" vertical="center"/>
    </xf>
    <xf numFmtId="0" fontId="17" fillId="2" borderId="0" xfId="5" applyNumberFormat="1" applyFont="1" applyFill="1" applyBorder="1" applyAlignment="1">
      <alignment horizontal="left" vertical="center"/>
    </xf>
    <xf numFmtId="38" fontId="12" fillId="2" borderId="1" xfId="2" applyNumberFormat="1" applyFont="1" applyFill="1" applyBorder="1" applyAlignment="1">
      <alignment horizontal="right"/>
    </xf>
    <xf numFmtId="38" fontId="10" fillId="2" borderId="0" xfId="2" applyNumberFormat="1" applyFont="1" applyFill="1" applyBorder="1" applyAlignment="1">
      <alignment horizontal="right"/>
    </xf>
    <xf numFmtId="38" fontId="10" fillId="2" borderId="2" xfId="2" applyNumberFormat="1" applyFont="1" applyFill="1" applyBorder="1" applyAlignment="1">
      <alignment horizontal="right"/>
    </xf>
    <xf numFmtId="38" fontId="17" fillId="2" borderId="0" xfId="1" applyNumberFormat="1" applyFont="1" applyFill="1" applyBorder="1" applyAlignment="1">
      <alignment horizontal="right"/>
    </xf>
    <xf numFmtId="38" fontId="17" fillId="2" borderId="2" xfId="1" applyNumberFormat="1" applyFont="1" applyFill="1" applyBorder="1" applyAlignment="1">
      <alignment horizontal="right"/>
    </xf>
    <xf numFmtId="0" fontId="4" fillId="2" borderId="2" xfId="2" applyNumberFormat="1" applyFont="1" applyFill="1" applyBorder="1" applyAlignment="1">
      <alignment vertical="center"/>
    </xf>
    <xf numFmtId="0" fontId="14" fillId="2" borderId="0" xfId="2" applyNumberFormat="1" applyFont="1" applyFill="1" applyAlignment="1">
      <alignment horizontal="right" vertical="center"/>
    </xf>
    <xf numFmtId="0" fontId="11" fillId="2" borderId="0" xfId="2" applyNumberFormat="1" applyFont="1" applyFill="1" applyAlignment="1">
      <alignment horizontal="center" vertical="center"/>
    </xf>
    <xf numFmtId="0" fontId="12" fillId="2" borderId="0" xfId="2" applyNumberFormat="1" applyFont="1" applyFill="1" applyAlignment="1">
      <alignment horizontal="center" vertical="center"/>
    </xf>
    <xf numFmtId="0" fontId="12" fillId="2" borderId="1" xfId="2" applyNumberFormat="1" applyFont="1" applyFill="1" applyBorder="1" applyAlignment="1">
      <alignment horizontal="right" vertical="center"/>
    </xf>
    <xf numFmtId="0" fontId="12" fillId="2" borderId="0" xfId="2" applyNumberFormat="1" applyFont="1" applyFill="1" applyBorder="1" applyAlignment="1">
      <alignment horizontal="right" vertical="center"/>
    </xf>
    <xf numFmtId="0" fontId="12" fillId="2" borderId="3" xfId="2" applyNumberFormat="1" applyFont="1" applyFill="1" applyBorder="1" applyAlignment="1">
      <alignment horizontal="center" vertical="center"/>
    </xf>
    <xf numFmtId="0" fontId="11" fillId="2" borderId="3" xfId="2" applyNumberFormat="1" applyFont="1" applyFill="1" applyBorder="1" applyAlignment="1">
      <alignment horizontal="center" vertical="center"/>
    </xf>
    <xf numFmtId="0" fontId="11" fillId="2" borderId="1" xfId="2" applyNumberFormat="1" applyFont="1" applyFill="1" applyBorder="1" applyAlignment="1">
      <alignment horizontal="center" vertical="center"/>
    </xf>
    <xf numFmtId="0" fontId="11" fillId="2" borderId="0" xfId="2" applyNumberFormat="1" applyFont="1" applyFill="1" applyBorder="1" applyAlignment="1">
      <alignment horizontal="center" vertical="center"/>
    </xf>
  </cellXfs>
  <cellStyles count="9">
    <cellStyle name="1" xfId="7"/>
    <cellStyle name="Comma 2" xfId="1"/>
    <cellStyle name="Normal" xfId="0" builtinId="0"/>
    <cellStyle name="Normal 2" xfId="4"/>
    <cellStyle name="Normal 2_agri planning 2009 year book(final)" xfId="6"/>
    <cellStyle name="Normal 3_agri planning 2009 year book(final)" xfId="3"/>
    <cellStyle name="Normal 4" xfId="8"/>
    <cellStyle name="Normal 4_agri planning 2009 year book(final)" xfId="2"/>
    <cellStyle name="Normal_agri planning 2009 year book(final)" xfId="5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30"/>
  <sheetViews>
    <sheetView tabSelected="1" topLeftCell="C1" zoomScaleNormal="100" workbookViewId="0">
      <selection activeCell="AF36" sqref="AF36"/>
    </sheetView>
  </sheetViews>
  <sheetFormatPr defaultColWidth="10" defaultRowHeight="12"/>
  <cols>
    <col min="1" max="1" width="16.28515625" style="1" customWidth="1"/>
    <col min="2" max="2" width="13.7109375" style="1" customWidth="1"/>
    <col min="3" max="6" width="9.7109375" style="1" customWidth="1"/>
    <col min="7" max="7" width="9.7109375" style="1" hidden="1" customWidth="1"/>
    <col min="8" max="8" width="9.7109375" style="1" customWidth="1"/>
    <col min="9" max="9" width="9.7109375" style="1" hidden="1" customWidth="1"/>
    <col min="10" max="12" width="9.7109375" style="1" customWidth="1"/>
    <col min="13" max="13" width="9.7109375" style="1" hidden="1" customWidth="1"/>
    <col min="14" max="15" width="9.7109375" style="1" customWidth="1"/>
    <col min="16" max="16" width="9.7109375" style="1" hidden="1" customWidth="1"/>
    <col min="17" max="22" width="9.7109375" style="1" customWidth="1"/>
    <col min="23" max="23" width="11.7109375" style="1" customWidth="1"/>
    <col min="24" max="16384" width="10" style="1"/>
  </cols>
  <sheetData>
    <row r="1" spans="1:23" s="6" customFormat="1" ht="21">
      <c r="A1" s="40" t="s">
        <v>80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</row>
    <row r="2" spans="1:23" s="6" customFormat="1" ht="15">
      <c r="A2" s="41" t="s">
        <v>81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s="6" customFormat="1" ht="21">
      <c r="A3" s="41" t="s">
        <v>49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</row>
    <row r="4" spans="1:23" s="6" customFormat="1">
      <c r="A4" s="7"/>
      <c r="B4" s="7"/>
      <c r="C4" s="7"/>
      <c r="D4" s="7"/>
      <c r="E4" s="7"/>
      <c r="F4" s="7"/>
      <c r="G4" s="8"/>
      <c r="H4" s="9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6" customFormat="1" ht="21" customHeight="1">
      <c r="A5" s="10"/>
      <c r="B5" s="42" t="s">
        <v>0</v>
      </c>
      <c r="C5" s="44" t="s">
        <v>50</v>
      </c>
      <c r="D5" s="44"/>
      <c r="E5" s="44"/>
      <c r="F5" s="44"/>
      <c r="G5" s="44"/>
      <c r="H5" s="11"/>
      <c r="I5" s="12"/>
      <c r="J5" s="12"/>
      <c r="K5" s="12"/>
      <c r="L5" s="12"/>
      <c r="M5" s="12"/>
      <c r="N5" s="12"/>
      <c r="O5" s="12"/>
      <c r="P5" s="45" t="s">
        <v>51</v>
      </c>
      <c r="Q5" s="45"/>
      <c r="R5" s="45"/>
      <c r="S5" s="45"/>
      <c r="T5" s="45"/>
      <c r="U5" s="45"/>
      <c r="V5" s="45"/>
      <c r="W5" s="46" t="s">
        <v>52</v>
      </c>
    </row>
    <row r="6" spans="1:23" s="2" customFormat="1" ht="27" customHeight="1">
      <c r="A6" s="13" t="s">
        <v>41</v>
      </c>
      <c r="B6" s="43"/>
      <c r="C6" s="25" t="s">
        <v>1</v>
      </c>
      <c r="D6" s="25" t="s">
        <v>2</v>
      </c>
      <c r="E6" s="25" t="s">
        <v>3</v>
      </c>
      <c r="F6" s="25" t="s">
        <v>4</v>
      </c>
      <c r="G6" s="25" t="s">
        <v>5</v>
      </c>
      <c r="H6" s="25" t="s">
        <v>6</v>
      </c>
      <c r="I6" s="25" t="s">
        <v>7</v>
      </c>
      <c r="J6" s="25" t="s">
        <v>8</v>
      </c>
      <c r="K6" s="25" t="s">
        <v>9</v>
      </c>
      <c r="L6" s="25" t="s">
        <v>10</v>
      </c>
      <c r="M6" s="25" t="s">
        <v>11</v>
      </c>
      <c r="N6" s="25" t="s">
        <v>12</v>
      </c>
      <c r="O6" s="25" t="s">
        <v>13</v>
      </c>
      <c r="P6" s="25" t="s">
        <v>14</v>
      </c>
      <c r="Q6" s="25" t="s">
        <v>15</v>
      </c>
      <c r="R6" s="25" t="s">
        <v>16</v>
      </c>
      <c r="S6" s="25" t="s">
        <v>17</v>
      </c>
      <c r="T6" s="25" t="s">
        <v>18</v>
      </c>
      <c r="U6" s="25" t="s">
        <v>19</v>
      </c>
      <c r="V6" s="25" t="s">
        <v>20</v>
      </c>
      <c r="W6" s="47"/>
    </row>
    <row r="7" spans="1:23" s="3" customFormat="1" ht="12" customHeight="1">
      <c r="A7" s="27"/>
      <c r="B7" s="43"/>
      <c r="C7" s="26" t="s">
        <v>21</v>
      </c>
      <c r="D7" s="26" t="s">
        <v>22</v>
      </c>
      <c r="E7" s="26" t="s">
        <v>23</v>
      </c>
      <c r="F7" s="26" t="s">
        <v>24</v>
      </c>
      <c r="G7" s="26" t="s">
        <v>25</v>
      </c>
      <c r="H7" s="26" t="s">
        <v>26</v>
      </c>
      <c r="I7" s="26" t="s">
        <v>27</v>
      </c>
      <c r="J7" s="26" t="s">
        <v>28</v>
      </c>
      <c r="K7" s="26" t="s">
        <v>29</v>
      </c>
      <c r="L7" s="26" t="s">
        <v>30</v>
      </c>
      <c r="M7" s="26" t="s">
        <v>31</v>
      </c>
      <c r="N7" s="26" t="s">
        <v>32</v>
      </c>
      <c r="O7" s="26" t="s">
        <v>33</v>
      </c>
      <c r="P7" s="26" t="s">
        <v>34</v>
      </c>
      <c r="Q7" s="26" t="s">
        <v>35</v>
      </c>
      <c r="R7" s="26" t="s">
        <v>36</v>
      </c>
      <c r="S7" s="26" t="s">
        <v>37</v>
      </c>
      <c r="T7" s="26" t="s">
        <v>38</v>
      </c>
      <c r="U7" s="26" t="s">
        <v>39</v>
      </c>
      <c r="V7" s="26" t="s">
        <v>3</v>
      </c>
      <c r="W7" s="47"/>
    </row>
    <row r="8" spans="1:23" s="5" customFormat="1" ht="21">
      <c r="A8" s="18" t="s">
        <v>0</v>
      </c>
      <c r="B8" s="22">
        <f>SUM(C8:V8)</f>
        <v>3709434.2199999997</v>
      </c>
      <c r="C8" s="22">
        <f>SUM(C9:C24)</f>
        <v>71217.75</v>
      </c>
      <c r="D8" s="33">
        <f t="shared" ref="D8:V8" si="0">SUM(D9:D24)</f>
        <v>2844.76</v>
      </c>
      <c r="E8" s="33">
        <f t="shared" si="0"/>
        <v>302740</v>
      </c>
      <c r="F8" s="33">
        <f t="shared" si="0"/>
        <v>7695</v>
      </c>
      <c r="G8" s="33">
        <f t="shared" si="0"/>
        <v>0</v>
      </c>
      <c r="H8" s="33">
        <f t="shared" si="0"/>
        <v>44036</v>
      </c>
      <c r="I8" s="33">
        <f t="shared" si="0"/>
        <v>0</v>
      </c>
      <c r="J8" s="33">
        <f t="shared" si="0"/>
        <v>852449</v>
      </c>
      <c r="K8" s="33">
        <f t="shared" si="0"/>
        <v>1417551</v>
      </c>
      <c r="L8" s="33">
        <f t="shared" si="0"/>
        <v>12875</v>
      </c>
      <c r="M8" s="33">
        <f t="shared" si="0"/>
        <v>0</v>
      </c>
      <c r="N8" s="33">
        <f t="shared" si="0"/>
        <v>30785.71</v>
      </c>
      <c r="O8" s="33">
        <f t="shared" si="0"/>
        <v>3538</v>
      </c>
      <c r="P8" s="33">
        <f t="shared" si="0"/>
        <v>0</v>
      </c>
      <c r="Q8" s="33">
        <f t="shared" si="0"/>
        <v>141072</v>
      </c>
      <c r="R8" s="33">
        <f t="shared" si="0"/>
        <v>529718</v>
      </c>
      <c r="S8" s="33">
        <f t="shared" si="0"/>
        <v>24019</v>
      </c>
      <c r="T8" s="33">
        <f t="shared" si="0"/>
        <v>48832</v>
      </c>
      <c r="U8" s="33">
        <f t="shared" si="0"/>
        <v>195064</v>
      </c>
      <c r="V8" s="33">
        <f t="shared" si="0"/>
        <v>24997</v>
      </c>
      <c r="W8" s="19" t="s">
        <v>42</v>
      </c>
    </row>
    <row r="9" spans="1:23" s="5" customFormat="1" ht="21">
      <c r="A9" s="32" t="s">
        <v>53</v>
      </c>
      <c r="B9" s="23">
        <f>SUM(C9:V9)</f>
        <v>395512</v>
      </c>
      <c r="C9" s="34">
        <v>780</v>
      </c>
      <c r="D9" s="34">
        <v>80</v>
      </c>
      <c r="E9" s="34">
        <v>34600</v>
      </c>
      <c r="F9" s="34">
        <v>0</v>
      </c>
      <c r="G9" s="36">
        <v>0</v>
      </c>
      <c r="H9" s="36">
        <v>4910</v>
      </c>
      <c r="I9" s="36">
        <v>0</v>
      </c>
      <c r="J9" s="36">
        <v>28614</v>
      </c>
      <c r="K9" s="36">
        <v>204900</v>
      </c>
      <c r="L9" s="36">
        <v>400</v>
      </c>
      <c r="M9" s="36">
        <v>0</v>
      </c>
      <c r="N9" s="36">
        <v>0</v>
      </c>
      <c r="O9" s="36">
        <v>0</v>
      </c>
      <c r="P9" s="36">
        <v>0</v>
      </c>
      <c r="Q9" s="36">
        <v>32243</v>
      </c>
      <c r="R9" s="36">
        <v>88485</v>
      </c>
      <c r="S9" s="36">
        <v>0</v>
      </c>
      <c r="T9" s="36">
        <v>500</v>
      </c>
      <c r="U9" s="36">
        <v>0</v>
      </c>
      <c r="V9" s="36">
        <v>0</v>
      </c>
      <c r="W9" s="4" t="s">
        <v>48</v>
      </c>
    </row>
    <row r="10" spans="1:23" s="5" customFormat="1" ht="21">
      <c r="A10" s="30" t="s">
        <v>54</v>
      </c>
      <c r="B10" s="23">
        <f>SUM(C10:V10)</f>
        <v>1034814</v>
      </c>
      <c r="C10" s="34">
        <v>45660</v>
      </c>
      <c r="D10" s="34">
        <v>750</v>
      </c>
      <c r="E10" s="34">
        <v>145254</v>
      </c>
      <c r="F10" s="34">
        <v>4350</v>
      </c>
      <c r="G10" s="36">
        <v>0</v>
      </c>
      <c r="H10" s="36">
        <v>17475</v>
      </c>
      <c r="I10" s="36">
        <v>0</v>
      </c>
      <c r="J10" s="36">
        <v>262290</v>
      </c>
      <c r="K10" s="36">
        <v>73560</v>
      </c>
      <c r="L10" s="36">
        <v>0</v>
      </c>
      <c r="M10" s="36">
        <v>0</v>
      </c>
      <c r="N10" s="36">
        <v>23790</v>
      </c>
      <c r="O10" s="36">
        <v>3000</v>
      </c>
      <c r="P10" s="36">
        <v>0</v>
      </c>
      <c r="Q10" s="36">
        <v>29028</v>
      </c>
      <c r="R10" s="36">
        <v>216771</v>
      </c>
      <c r="S10" s="36">
        <v>18786</v>
      </c>
      <c r="T10" s="36">
        <v>31500</v>
      </c>
      <c r="U10" s="36">
        <v>145200</v>
      </c>
      <c r="V10" s="36">
        <v>17400</v>
      </c>
      <c r="W10" s="4" t="s">
        <v>55</v>
      </c>
    </row>
    <row r="11" spans="1:23" s="5" customFormat="1" ht="21">
      <c r="A11" s="32" t="s">
        <v>56</v>
      </c>
      <c r="B11" s="23">
        <f t="shared" ref="B11:B24" si="1">SUM(C11:V11)</f>
        <v>606847</v>
      </c>
      <c r="C11" s="34">
        <v>0</v>
      </c>
      <c r="D11" s="34">
        <v>0</v>
      </c>
      <c r="E11" s="34">
        <v>0</v>
      </c>
      <c r="F11" s="34">
        <v>0</v>
      </c>
      <c r="G11" s="36">
        <v>0</v>
      </c>
      <c r="H11" s="36">
        <v>0</v>
      </c>
      <c r="I11" s="36">
        <v>0</v>
      </c>
      <c r="J11" s="36">
        <v>33022</v>
      </c>
      <c r="K11" s="36">
        <v>573780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6">
        <v>45</v>
      </c>
      <c r="S11" s="36">
        <v>0</v>
      </c>
      <c r="T11" s="36">
        <v>0</v>
      </c>
      <c r="U11" s="36">
        <v>0</v>
      </c>
      <c r="V11" s="36">
        <v>0</v>
      </c>
      <c r="W11" s="4" t="s">
        <v>46</v>
      </c>
    </row>
    <row r="12" spans="1:23" s="5" customFormat="1" ht="21">
      <c r="A12" s="32" t="s">
        <v>57</v>
      </c>
      <c r="B12" s="23">
        <f t="shared" si="1"/>
        <v>113703</v>
      </c>
      <c r="C12" s="34">
        <v>310</v>
      </c>
      <c r="D12" s="34">
        <v>0</v>
      </c>
      <c r="E12" s="34">
        <v>9220</v>
      </c>
      <c r="F12" s="34">
        <v>0</v>
      </c>
      <c r="G12" s="36">
        <v>0</v>
      </c>
      <c r="H12" s="36">
        <v>3200</v>
      </c>
      <c r="I12" s="36">
        <v>0</v>
      </c>
      <c r="J12" s="36">
        <v>20570</v>
      </c>
      <c r="K12" s="36">
        <v>49285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2120</v>
      </c>
      <c r="R12" s="36">
        <v>28798</v>
      </c>
      <c r="S12" s="36">
        <v>0</v>
      </c>
      <c r="T12" s="36">
        <v>200</v>
      </c>
      <c r="U12" s="36">
        <v>0</v>
      </c>
      <c r="V12" s="36">
        <v>0</v>
      </c>
      <c r="W12" s="20" t="s">
        <v>47</v>
      </c>
    </row>
    <row r="13" spans="1:23" s="5" customFormat="1" ht="21">
      <c r="A13" s="30" t="s">
        <v>58</v>
      </c>
      <c r="B13" s="23">
        <f t="shared" si="1"/>
        <v>81596</v>
      </c>
      <c r="C13" s="34">
        <v>0</v>
      </c>
      <c r="D13" s="34">
        <v>52</v>
      </c>
      <c r="E13" s="34">
        <v>7682</v>
      </c>
      <c r="F13" s="34">
        <v>0</v>
      </c>
      <c r="G13" s="36">
        <v>0</v>
      </c>
      <c r="H13" s="36">
        <v>2500</v>
      </c>
      <c r="I13" s="36">
        <v>0</v>
      </c>
      <c r="J13" s="36">
        <v>6640</v>
      </c>
      <c r="K13" s="36">
        <v>53720</v>
      </c>
      <c r="L13" s="36">
        <v>7714</v>
      </c>
      <c r="M13" s="36">
        <v>0</v>
      </c>
      <c r="N13" s="36">
        <v>0</v>
      </c>
      <c r="O13" s="36">
        <v>20</v>
      </c>
      <c r="P13" s="36">
        <v>0</v>
      </c>
      <c r="Q13" s="36">
        <v>1519</v>
      </c>
      <c r="R13" s="36">
        <v>1749</v>
      </c>
      <c r="S13" s="36">
        <v>0</v>
      </c>
      <c r="T13" s="36">
        <v>0</v>
      </c>
      <c r="U13" s="36">
        <v>0</v>
      </c>
      <c r="V13" s="36">
        <v>0</v>
      </c>
      <c r="W13" s="4" t="s">
        <v>44</v>
      </c>
    </row>
    <row r="14" spans="1:23" s="5" customFormat="1" ht="21">
      <c r="A14" s="32" t="s">
        <v>59</v>
      </c>
      <c r="B14" s="23">
        <f t="shared" si="1"/>
        <v>555230</v>
      </c>
      <c r="C14" s="34">
        <v>7380</v>
      </c>
      <c r="D14" s="34">
        <v>795</v>
      </c>
      <c r="E14" s="34">
        <v>49155</v>
      </c>
      <c r="F14" s="34">
        <v>1950</v>
      </c>
      <c r="G14" s="36">
        <v>0</v>
      </c>
      <c r="H14" s="36">
        <v>1620</v>
      </c>
      <c r="I14" s="36">
        <v>0</v>
      </c>
      <c r="J14" s="36">
        <v>343920</v>
      </c>
      <c r="K14" s="36">
        <v>43080</v>
      </c>
      <c r="L14" s="36">
        <v>0</v>
      </c>
      <c r="M14" s="36">
        <v>0</v>
      </c>
      <c r="N14" s="36">
        <v>660</v>
      </c>
      <c r="O14" s="36">
        <v>180</v>
      </c>
      <c r="P14" s="36">
        <v>0</v>
      </c>
      <c r="Q14" s="36">
        <v>4800</v>
      </c>
      <c r="R14" s="36">
        <v>59855</v>
      </c>
      <c r="S14" s="36">
        <v>1500</v>
      </c>
      <c r="T14" s="36">
        <v>8100</v>
      </c>
      <c r="U14" s="36">
        <v>29835</v>
      </c>
      <c r="V14" s="36">
        <v>2400</v>
      </c>
      <c r="W14" s="4" t="s">
        <v>43</v>
      </c>
    </row>
    <row r="15" spans="1:23" s="5" customFormat="1" ht="21">
      <c r="A15" s="32" t="s">
        <v>60</v>
      </c>
      <c r="B15" s="23">
        <f t="shared" si="1"/>
        <v>69843</v>
      </c>
      <c r="C15" s="34">
        <v>0</v>
      </c>
      <c r="D15" s="34">
        <v>0</v>
      </c>
      <c r="E15" s="34">
        <v>4138</v>
      </c>
      <c r="F15" s="34">
        <v>0</v>
      </c>
      <c r="G15" s="36">
        <v>0</v>
      </c>
      <c r="H15" s="36">
        <v>1880</v>
      </c>
      <c r="I15" s="36">
        <v>0</v>
      </c>
      <c r="J15" s="36">
        <v>19192</v>
      </c>
      <c r="K15" s="36">
        <v>32599</v>
      </c>
      <c r="L15" s="36">
        <v>3900</v>
      </c>
      <c r="M15" s="36">
        <v>0</v>
      </c>
      <c r="N15" s="36">
        <v>0</v>
      </c>
      <c r="O15" s="36">
        <v>125</v>
      </c>
      <c r="P15" s="36">
        <v>0</v>
      </c>
      <c r="Q15" s="36">
        <v>1434</v>
      </c>
      <c r="R15" s="36">
        <v>6475</v>
      </c>
      <c r="S15" s="36">
        <v>0</v>
      </c>
      <c r="T15" s="36">
        <v>100</v>
      </c>
      <c r="U15" s="36">
        <v>0</v>
      </c>
      <c r="V15" s="36">
        <v>0</v>
      </c>
      <c r="W15" s="20" t="s">
        <v>61</v>
      </c>
    </row>
    <row r="16" spans="1:23" s="5" customFormat="1" ht="21">
      <c r="A16" s="30" t="s">
        <v>62</v>
      </c>
      <c r="B16" s="23">
        <f t="shared" si="1"/>
        <v>211261.75</v>
      </c>
      <c r="C16" s="34">
        <v>13668.75</v>
      </c>
      <c r="D16" s="34">
        <v>725</v>
      </c>
      <c r="E16" s="34">
        <v>10652</v>
      </c>
      <c r="F16" s="34">
        <v>312</v>
      </c>
      <c r="G16" s="36">
        <v>0</v>
      </c>
      <c r="H16" s="36">
        <v>2780</v>
      </c>
      <c r="I16" s="36">
        <v>0</v>
      </c>
      <c r="J16" s="36">
        <v>13067</v>
      </c>
      <c r="K16" s="36">
        <v>3718</v>
      </c>
      <c r="L16" s="36">
        <v>130</v>
      </c>
      <c r="M16" s="36">
        <v>0</v>
      </c>
      <c r="N16" s="36">
        <v>5937</v>
      </c>
      <c r="O16" s="36">
        <v>25</v>
      </c>
      <c r="P16" s="36">
        <v>0</v>
      </c>
      <c r="Q16" s="36">
        <v>32860</v>
      </c>
      <c r="R16" s="36">
        <v>101190</v>
      </c>
      <c r="S16" s="36">
        <v>3625</v>
      </c>
      <c r="T16" s="36">
        <v>8125</v>
      </c>
      <c r="U16" s="36">
        <v>9347</v>
      </c>
      <c r="V16" s="36">
        <v>5100</v>
      </c>
      <c r="W16" s="4" t="s">
        <v>63</v>
      </c>
    </row>
    <row r="17" spans="1:23" s="5" customFormat="1" ht="21">
      <c r="A17" s="30" t="s">
        <v>64</v>
      </c>
      <c r="B17" s="23">
        <f t="shared" si="1"/>
        <v>52658</v>
      </c>
      <c r="C17" s="34">
        <v>300</v>
      </c>
      <c r="D17" s="34">
        <v>100</v>
      </c>
      <c r="E17" s="34">
        <v>1055</v>
      </c>
      <c r="F17" s="34">
        <v>0</v>
      </c>
      <c r="G17" s="36">
        <v>0</v>
      </c>
      <c r="H17" s="36">
        <v>40</v>
      </c>
      <c r="I17" s="36">
        <v>0</v>
      </c>
      <c r="J17" s="36">
        <v>3719</v>
      </c>
      <c r="K17" s="36">
        <v>4421</v>
      </c>
      <c r="L17" s="36">
        <v>0</v>
      </c>
      <c r="M17" s="36">
        <v>0</v>
      </c>
      <c r="N17" s="36">
        <v>50</v>
      </c>
      <c r="O17" s="36">
        <v>0</v>
      </c>
      <c r="P17" s="36">
        <v>0</v>
      </c>
      <c r="Q17" s="36">
        <v>27508</v>
      </c>
      <c r="R17" s="36">
        <v>15465</v>
      </c>
      <c r="S17" s="36">
        <v>0</v>
      </c>
      <c r="T17" s="36">
        <v>0</v>
      </c>
      <c r="U17" s="36">
        <v>0</v>
      </c>
      <c r="V17" s="36">
        <v>0</v>
      </c>
      <c r="W17" s="4" t="s">
        <v>65</v>
      </c>
    </row>
    <row r="18" spans="1:23" s="5" customFormat="1" ht="21">
      <c r="A18" s="30" t="s">
        <v>66</v>
      </c>
      <c r="B18" s="23">
        <f t="shared" si="1"/>
        <v>18641</v>
      </c>
      <c r="C18" s="34">
        <v>0</v>
      </c>
      <c r="D18" s="34">
        <v>0</v>
      </c>
      <c r="E18" s="34">
        <v>0</v>
      </c>
      <c r="F18" s="34">
        <v>0</v>
      </c>
      <c r="G18" s="36">
        <v>0</v>
      </c>
      <c r="H18" s="36">
        <v>0</v>
      </c>
      <c r="I18" s="36">
        <v>0</v>
      </c>
      <c r="J18" s="36">
        <v>5090</v>
      </c>
      <c r="K18" s="36">
        <v>13251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  <c r="R18" s="36">
        <v>300</v>
      </c>
      <c r="S18" s="36">
        <v>0</v>
      </c>
      <c r="T18" s="36">
        <v>0</v>
      </c>
      <c r="U18" s="36">
        <v>0</v>
      </c>
      <c r="V18" s="36">
        <v>0</v>
      </c>
      <c r="W18" s="4" t="s">
        <v>67</v>
      </c>
    </row>
    <row r="19" spans="1:23" s="5" customFormat="1" ht="21">
      <c r="A19" s="30" t="s">
        <v>68</v>
      </c>
      <c r="B19" s="23">
        <f t="shared" si="1"/>
        <v>18811</v>
      </c>
      <c r="C19" s="34">
        <v>1800</v>
      </c>
      <c r="D19" s="34">
        <v>100</v>
      </c>
      <c r="E19" s="34">
        <v>680</v>
      </c>
      <c r="F19" s="34">
        <v>0</v>
      </c>
      <c r="G19" s="36">
        <v>0</v>
      </c>
      <c r="H19" s="36">
        <v>8500</v>
      </c>
      <c r="I19" s="36">
        <v>0</v>
      </c>
      <c r="J19" s="36">
        <v>300</v>
      </c>
      <c r="K19" s="36">
        <v>50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4900</v>
      </c>
      <c r="R19" s="36">
        <v>2481</v>
      </c>
      <c r="S19" s="36">
        <v>0</v>
      </c>
      <c r="T19" s="36">
        <v>0</v>
      </c>
      <c r="U19" s="36">
        <v>0</v>
      </c>
      <c r="V19" s="36">
        <v>0</v>
      </c>
      <c r="W19" s="4" t="s">
        <v>69</v>
      </c>
    </row>
    <row r="20" spans="1:23" s="5" customFormat="1" ht="21">
      <c r="A20" s="30" t="s">
        <v>70</v>
      </c>
      <c r="B20" s="23">
        <f t="shared" si="1"/>
        <v>60550</v>
      </c>
      <c r="C20" s="34">
        <v>0</v>
      </c>
      <c r="D20" s="34">
        <v>0</v>
      </c>
      <c r="E20" s="34">
        <v>250</v>
      </c>
      <c r="F20" s="34">
        <v>0</v>
      </c>
      <c r="G20" s="36">
        <v>0</v>
      </c>
      <c r="H20" s="36">
        <v>0</v>
      </c>
      <c r="I20" s="36">
        <v>0</v>
      </c>
      <c r="J20" s="36">
        <v>7640</v>
      </c>
      <c r="K20" s="36">
        <v>52660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4" t="s">
        <v>71</v>
      </c>
    </row>
    <row r="21" spans="1:23" s="5" customFormat="1" ht="21">
      <c r="A21" s="32" t="s">
        <v>72</v>
      </c>
      <c r="B21" s="23">
        <f t="shared" si="1"/>
        <v>16333</v>
      </c>
      <c r="C21" s="34">
        <v>0</v>
      </c>
      <c r="D21" s="34">
        <v>0</v>
      </c>
      <c r="E21" s="34">
        <v>3858</v>
      </c>
      <c r="F21" s="34">
        <v>0</v>
      </c>
      <c r="G21" s="36">
        <v>0</v>
      </c>
      <c r="H21" s="36">
        <v>0</v>
      </c>
      <c r="I21" s="36">
        <v>0</v>
      </c>
      <c r="J21" s="36">
        <v>2052</v>
      </c>
      <c r="K21" s="36">
        <v>642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248</v>
      </c>
      <c r="R21" s="36">
        <v>2721</v>
      </c>
      <c r="S21" s="36">
        <v>108</v>
      </c>
      <c r="T21" s="36">
        <v>307</v>
      </c>
      <c r="U21" s="36">
        <v>6300</v>
      </c>
      <c r="V21" s="36">
        <v>97</v>
      </c>
      <c r="W21" s="4" t="s">
        <v>45</v>
      </c>
    </row>
    <row r="22" spans="1:23" s="5" customFormat="1" ht="21">
      <c r="A22" s="32" t="s">
        <v>73</v>
      </c>
      <c r="B22" s="23">
        <f t="shared" si="1"/>
        <v>63035</v>
      </c>
      <c r="C22" s="34">
        <v>0</v>
      </c>
      <c r="D22" s="34">
        <v>0</v>
      </c>
      <c r="E22" s="34">
        <v>60</v>
      </c>
      <c r="F22" s="34">
        <v>0</v>
      </c>
      <c r="G22" s="36">
        <v>0</v>
      </c>
      <c r="H22" s="36">
        <v>0</v>
      </c>
      <c r="I22" s="36">
        <v>0</v>
      </c>
      <c r="J22" s="36">
        <v>27165</v>
      </c>
      <c r="K22" s="36">
        <v>35810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20" t="s">
        <v>74</v>
      </c>
    </row>
    <row r="23" spans="1:23" s="5" customFormat="1" ht="21">
      <c r="A23" s="32" t="s">
        <v>75</v>
      </c>
      <c r="B23" s="23">
        <f t="shared" si="1"/>
        <v>44613.760000000002</v>
      </c>
      <c r="C23" s="34">
        <v>0</v>
      </c>
      <c r="D23" s="34">
        <v>6.76</v>
      </c>
      <c r="E23" s="34">
        <v>0</v>
      </c>
      <c r="F23" s="34">
        <v>0</v>
      </c>
      <c r="G23" s="36">
        <v>0</v>
      </c>
      <c r="H23" s="36">
        <v>0</v>
      </c>
      <c r="I23" s="36">
        <v>0</v>
      </c>
      <c r="J23" s="36">
        <v>0</v>
      </c>
      <c r="K23" s="36">
        <v>44607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20" t="s">
        <v>76</v>
      </c>
    </row>
    <row r="24" spans="1:23" s="5" customFormat="1" ht="21">
      <c r="A24" s="38" t="s">
        <v>77</v>
      </c>
      <c r="B24" s="24">
        <f t="shared" si="1"/>
        <v>365985.71</v>
      </c>
      <c r="C24" s="35">
        <v>1319</v>
      </c>
      <c r="D24" s="35">
        <v>236</v>
      </c>
      <c r="E24" s="35">
        <v>36136</v>
      </c>
      <c r="F24" s="35">
        <v>1083</v>
      </c>
      <c r="G24" s="37">
        <v>0</v>
      </c>
      <c r="H24" s="37">
        <v>1131</v>
      </c>
      <c r="I24" s="37">
        <v>0</v>
      </c>
      <c r="J24" s="37">
        <v>79168</v>
      </c>
      <c r="K24" s="37">
        <v>231468</v>
      </c>
      <c r="L24" s="37">
        <v>731</v>
      </c>
      <c r="M24" s="37">
        <v>0</v>
      </c>
      <c r="N24" s="37">
        <v>348.71</v>
      </c>
      <c r="O24" s="37">
        <v>188</v>
      </c>
      <c r="P24" s="37">
        <v>0</v>
      </c>
      <c r="Q24" s="37">
        <v>4412</v>
      </c>
      <c r="R24" s="37">
        <v>5383</v>
      </c>
      <c r="S24" s="37">
        <v>0</v>
      </c>
      <c r="T24" s="37">
        <v>0</v>
      </c>
      <c r="U24" s="37">
        <v>4382</v>
      </c>
      <c r="V24" s="37">
        <v>0</v>
      </c>
      <c r="W24" s="21" t="s">
        <v>40</v>
      </c>
    </row>
    <row r="25" spans="1:23" s="5" customFormat="1" ht="19.5" customHeight="1">
      <c r="A25" s="29" t="s">
        <v>78</v>
      </c>
      <c r="B25" s="15"/>
      <c r="C25" s="15"/>
      <c r="D25" s="15"/>
      <c r="E25" s="15"/>
      <c r="F25" s="15"/>
      <c r="G25" s="16"/>
      <c r="H25" s="16"/>
      <c r="I25" s="16"/>
      <c r="J25" s="16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39" t="s">
        <v>82</v>
      </c>
    </row>
    <row r="26" spans="1:23" s="5" customFormat="1" ht="13.5" customHeight="1">
      <c r="A26" s="14"/>
      <c r="B26" s="15"/>
      <c r="C26" s="15"/>
      <c r="D26" s="15"/>
      <c r="E26" s="15"/>
      <c r="F26" s="15"/>
      <c r="G26" s="16"/>
      <c r="H26" s="16"/>
      <c r="I26" s="16"/>
      <c r="J26" s="16"/>
      <c r="K26" s="7"/>
      <c r="L26" s="7"/>
      <c r="M26" s="7"/>
      <c r="N26" s="7"/>
      <c r="O26" s="7"/>
      <c r="P26" s="28"/>
      <c r="Q26" s="28"/>
      <c r="R26" s="28"/>
      <c r="S26" s="28"/>
      <c r="T26" s="28"/>
      <c r="U26" s="28"/>
      <c r="V26" s="31"/>
      <c r="W26" s="31" t="s">
        <v>79</v>
      </c>
    </row>
    <row r="27" spans="1:23" s="5" customFormat="1" ht="13.5" customHeight="1">
      <c r="A27" s="14"/>
      <c r="B27" s="15"/>
      <c r="C27" s="15"/>
      <c r="D27" s="15"/>
      <c r="E27" s="15"/>
      <c r="F27" s="15"/>
      <c r="G27" s="16"/>
      <c r="H27" s="16"/>
      <c r="I27" s="16"/>
      <c r="J27" s="16"/>
      <c r="K27" s="7"/>
      <c r="L27" s="7"/>
      <c r="M27" s="7"/>
      <c r="N27" s="7"/>
      <c r="O27" s="7"/>
      <c r="P27" s="28"/>
      <c r="Q27" s="28"/>
      <c r="R27" s="28"/>
      <c r="S27" s="28"/>
      <c r="T27" s="28"/>
      <c r="U27" s="28"/>
      <c r="V27" s="28"/>
      <c r="W27" s="17"/>
    </row>
    <row r="28" spans="1:23" s="5" customFormat="1" ht="13.5" customHeight="1">
      <c r="A28" s="14"/>
      <c r="B28" s="15"/>
      <c r="C28" s="15"/>
      <c r="D28" s="15"/>
      <c r="E28" s="15"/>
      <c r="F28" s="15"/>
      <c r="G28" s="16"/>
      <c r="H28" s="16"/>
      <c r="I28" s="16"/>
      <c r="J28" s="16"/>
      <c r="K28" s="7"/>
      <c r="L28" s="7"/>
      <c r="M28" s="7"/>
      <c r="N28" s="7"/>
      <c r="O28" s="7"/>
      <c r="P28" s="28"/>
      <c r="Q28" s="28"/>
      <c r="R28" s="28"/>
      <c r="S28" s="28"/>
      <c r="T28" s="28"/>
      <c r="U28" s="28"/>
      <c r="V28" s="28"/>
      <c r="W28" s="17"/>
    </row>
    <row r="29" spans="1:23" s="5" customFormat="1" ht="13.5" customHeight="1">
      <c r="A29" s="14"/>
      <c r="B29" s="15"/>
      <c r="C29" s="15"/>
      <c r="D29" s="15"/>
      <c r="E29" s="15"/>
      <c r="F29" s="15"/>
      <c r="G29" s="16"/>
      <c r="H29" s="16"/>
      <c r="I29" s="16"/>
      <c r="J29" s="16"/>
      <c r="K29" s="7"/>
      <c r="L29" s="7"/>
      <c r="M29" s="7"/>
      <c r="N29" s="7"/>
      <c r="O29" s="7"/>
      <c r="P29" s="28"/>
      <c r="Q29" s="28"/>
      <c r="R29" s="28"/>
      <c r="S29" s="28"/>
      <c r="T29" s="28"/>
      <c r="U29" s="28"/>
      <c r="V29" s="28"/>
      <c r="W29" s="17"/>
    </row>
    <row r="30" spans="1:23" s="5" customFormat="1" ht="13.5" customHeight="1">
      <c r="A30" s="14"/>
      <c r="B30" s="15"/>
      <c r="C30" s="15"/>
      <c r="D30" s="15"/>
      <c r="E30" s="15"/>
      <c r="F30" s="15"/>
      <c r="G30" s="16"/>
      <c r="H30" s="16"/>
      <c r="I30" s="16"/>
      <c r="J30" s="16"/>
      <c r="K30" s="7"/>
      <c r="L30" s="7"/>
      <c r="M30" s="7"/>
      <c r="N30" s="7"/>
      <c r="O30" s="7"/>
      <c r="P30" s="28"/>
      <c r="Q30" s="28"/>
      <c r="R30" s="28"/>
      <c r="S30" s="28"/>
      <c r="T30" s="28"/>
      <c r="U30" s="28"/>
      <c r="V30" s="28"/>
      <c r="W30" s="17"/>
    </row>
  </sheetData>
  <mergeCells count="7">
    <mergeCell ref="A1:W1"/>
    <mergeCell ref="A2:W2"/>
    <mergeCell ref="A3:W3"/>
    <mergeCell ref="B5:B7"/>
    <mergeCell ref="C5:G5"/>
    <mergeCell ref="P5:V5"/>
    <mergeCell ref="W5:W7"/>
  </mergeCells>
  <pageMargins left="0.7" right="0.7" top="0.75" bottom="0.75" header="0.3" footer="0.3"/>
  <pageSetup paperSize="9" scale="66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9.19</vt:lpstr>
      <vt:lpstr>'9.19'!Print_Area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2019-04-28T05:52:17Z</cp:lastPrinted>
  <dcterms:created xsi:type="dcterms:W3CDTF">2014-03-04T03:52:57Z</dcterms:created>
  <dcterms:modified xsi:type="dcterms:W3CDTF">2019-04-28T05:52:26Z</dcterms:modified>
</cp:coreProperties>
</file>