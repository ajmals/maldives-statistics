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3" sheetId="8" r:id="rId1"/>
  </sheets>
  <externalReferences>
    <externalReference r:id="rId2"/>
    <externalReference r:id="rId3"/>
  </externalReferences>
  <definedNames>
    <definedName name="_xlnm.Print_Area" localSheetId="0">'9.3'!$A$1:$L$72</definedName>
  </definedNames>
  <calcPr calcId="162913"/>
</workbook>
</file>

<file path=xl/calcChain.xml><?xml version="1.0" encoding="utf-8"?>
<calcChain xmlns="http://schemas.openxmlformats.org/spreadsheetml/2006/main">
  <c r="B32" i="8" l="1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K11" i="8"/>
  <c r="K9" i="8" s="1"/>
  <c r="J11" i="8"/>
  <c r="J9" i="8" s="1"/>
  <c r="I11" i="8"/>
  <c r="I9" i="8" s="1"/>
  <c r="H11" i="8"/>
  <c r="H9" i="8" s="1"/>
  <c r="G11" i="8"/>
  <c r="G9" i="8" s="1"/>
  <c r="F11" i="8"/>
  <c r="E11" i="8"/>
  <c r="E9" i="8" s="1"/>
  <c r="D11" i="8"/>
  <c r="B10" i="8"/>
  <c r="F9" i="8"/>
  <c r="B11" i="8" l="1"/>
  <c r="D9" i="8"/>
  <c r="B9" i="8" s="1"/>
</calcChain>
</file>

<file path=xl/sharedStrings.xml><?xml version="1.0" encoding="utf-8"?>
<sst xmlns="http://schemas.openxmlformats.org/spreadsheetml/2006/main" count="76" uniqueCount="75">
  <si>
    <t>Total</t>
  </si>
  <si>
    <t>ah</t>
  </si>
  <si>
    <t>dh</t>
  </si>
  <si>
    <t>S</t>
  </si>
  <si>
    <t>n</t>
  </si>
  <si>
    <t>r</t>
  </si>
  <si>
    <t>b</t>
  </si>
  <si>
    <t>L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</si>
  <si>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</si>
  <si>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</si>
  <si>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</si>
  <si>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</si>
  <si>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</si>
  <si>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</si>
  <si>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</si>
  <si>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</si>
  <si>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</si>
  <si>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</si>
  <si>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</si>
  <si>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</si>
  <si>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</si>
  <si>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</si>
  <si>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</si>
  <si>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</si>
  <si>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</si>
  <si>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</si>
  <si>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</si>
  <si>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</si>
  <si>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</si>
  <si>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</si>
  <si>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</si>
  <si>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</si>
  <si>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</si>
  <si>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</si>
  <si>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</si>
  <si>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</si>
  <si>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</si>
  <si>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</si>
  <si>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</si>
  <si>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</si>
  <si>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wlcmuj</t>
  </si>
  <si>
    <t xml:space="preserve"> rwCclwkircgea cDcnea  czIrwxif cfoa IrcTcsinim :ctWrwf ivcaedutWmUluAwm</t>
  </si>
  <si>
    <t>cnwt</t>
  </si>
  <si>
    <t>Republic</t>
  </si>
  <si>
    <t>ejcaWriLum</t>
  </si>
  <si>
    <t>Male'</t>
  </si>
  <si>
    <t>elWm</t>
  </si>
  <si>
    <t>Atolls</t>
  </si>
  <si>
    <t>cawtuLotwa</t>
  </si>
  <si>
    <t>AA</t>
  </si>
  <si>
    <t>(cnunwT ckircTem)</t>
  </si>
  <si>
    <t>(In  metric tons)</t>
  </si>
  <si>
    <t>Type of fish</t>
  </si>
  <si>
    <t>މަހުގެ ބާވަތް</t>
  </si>
  <si>
    <t>Locality</t>
  </si>
  <si>
    <t>cswmwlibuLwk</t>
  </si>
  <si>
    <t>ilencnwk</t>
  </si>
  <si>
    <t>ilencnwk uDobOl</t>
  </si>
  <si>
    <t>cswm iSov</t>
  </si>
  <si>
    <t>iTcawl</t>
  </si>
  <si>
    <t>iDnogWr</t>
  </si>
  <si>
    <t>cswmurwf cnehinehea</t>
  </si>
  <si>
    <t>Skipjack tuna</t>
  </si>
  <si>
    <t>Yellowfin tuna</t>
  </si>
  <si>
    <t>Dogtooth tuna</t>
  </si>
  <si>
    <t xml:space="preserve">   Little tuna</t>
  </si>
  <si>
    <t>Frigate tuna</t>
  </si>
  <si>
    <t>Other marine fish</t>
  </si>
  <si>
    <t>Big eye tuna</t>
  </si>
  <si>
    <t>ކަންފަތް ދިގު ކަންނެލި</t>
  </si>
  <si>
    <t>Albacore tuna</t>
  </si>
  <si>
    <t>2017 ,ctwvWb egEa iaWhwm inEb wtwvun ifih cnutogegunwt : 9.3 ulwvWt</t>
  </si>
  <si>
    <t>Table 9.3 :  FISH LANDING BY TYPE AND LOCALITY, 2017</t>
  </si>
  <si>
    <t>Longline</t>
  </si>
  <si>
    <t>cnwkirev cswmunEl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</si>
</sst>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 d\,\ yyyy;@"/>
    <numFmt numFmtId="165" formatCode="General_)"/>
    <numFmt numFmtId="167" formatCode="#,##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9"/>
      <name val="Faruma"/>
    </font>
    <font>
      <b/>
      <sz val="10"/>
      <name val="Calibri"/>
      <family val="2"/>
    </font>
    <font>
      <b/>
      <sz val="10"/>
      <name val="A_Randhoo"/>
    </font>
    <font>
      <b/>
      <sz val="9"/>
      <name val="Calibri"/>
      <family val="2"/>
      <scheme val="minor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sz val="9"/>
      <name val="Akuru-Bodu Bold"/>
      <family val="2"/>
      <charset val="2"/>
    </font>
    <font>
      <sz val="9"/>
      <name val="Win Ahamedey PRB"/>
      <family val="2"/>
    </font>
    <font>
      <b/>
      <sz val="8"/>
      <name val="A_Randhoo"/>
    </font>
    <font>
      <b/>
      <sz val="12"/>
      <name val="A_Waheed"/>
    </font>
    <font>
      <b/>
      <sz val="10"/>
      <name val="A_Waheed"/>
    </font>
    <font>
      <b/>
      <sz val="9"/>
      <name val="A_Waheed"/>
    </font>
    <font>
      <sz val="9"/>
      <name val="A_Waheed"/>
    </font>
    <font>
      <sz val="11"/>
      <color indexed="8"/>
      <name val="Calibri"/>
      <family val="2"/>
    </font>
    <font>
      <sz val="12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0" fontId="7" fillId="0" borderId="0" applyFont="0" applyFill="0" applyBorder="0" applyAlignment="0" applyProtection="0"/>
    <xf numFmtId="164" fontId="2" fillId="0" borderId="0"/>
    <xf numFmtId="165" fontId="2" fillId="0" borderId="0"/>
    <xf numFmtId="0" fontId="2" fillId="0" borderId="0"/>
    <xf numFmtId="0" fontId="4" fillId="0" borderId="0"/>
    <xf numFmtId="0" fontId="4" fillId="0" borderId="0"/>
    <xf numFmtId="0" fontId="4" fillId="0" borderId="0"/>
  </cellStyleXfs>
  <cellXfs count="106">
    <xf numFmtId="0" fontId="0" fillId="0" borderId="0" xfId="0"/>
    <xf numFmtId="165" fontId="12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19" fillId="2" borderId="0" xfId="4" applyFont="1" applyFill="1" applyAlignment="1">
      <alignment vertical="center"/>
    </xf>
    <xf numFmtId="165" fontId="10" fillId="2" borderId="0" xfId="4" applyFont="1" applyFill="1" applyAlignment="1">
      <alignment vertical="center"/>
    </xf>
    <xf numFmtId="165" fontId="22" fillId="2" borderId="0" xfId="4" applyFont="1" applyFill="1" applyAlignment="1" applyProtection="1">
      <alignment horizontal="left" vertical="center"/>
    </xf>
    <xf numFmtId="165" fontId="3" fillId="2" borderId="0" xfId="4" applyFont="1" applyFill="1" applyAlignment="1">
      <alignment vertical="center"/>
    </xf>
    <xf numFmtId="165" fontId="20" fillId="2" borderId="0" xfId="4" applyFont="1" applyFill="1" applyAlignment="1">
      <alignment vertical="center"/>
    </xf>
    <xf numFmtId="165" fontId="21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10" fillId="2" borderId="0" xfId="4" applyFont="1" applyFill="1" applyAlignment="1">
      <alignment horizontal="right" vertical="center"/>
    </xf>
    <xf numFmtId="165" fontId="20" fillId="2" borderId="0" xfId="4" applyFont="1" applyFill="1" applyAlignment="1">
      <alignment horizontal="right" vertical="center"/>
    </xf>
    <xf numFmtId="165" fontId="16" fillId="2" borderId="0" xfId="4" applyFont="1" applyFill="1" applyAlignment="1">
      <alignment horizontal="right" vertical="center"/>
    </xf>
    <xf numFmtId="165" fontId="4" fillId="2" borderId="0" xfId="4" applyFont="1" applyFill="1" applyAlignment="1">
      <alignment vertical="center"/>
    </xf>
    <xf numFmtId="165" fontId="8" fillId="2" borderId="0" xfId="4" applyFont="1" applyFill="1" applyAlignment="1">
      <alignment horizontal="right" vertical="center"/>
    </xf>
    <xf numFmtId="165" fontId="13" fillId="2" borderId="0" xfId="0" applyNumberFormat="1" applyFont="1" applyFill="1" applyAlignment="1">
      <alignment horizontal="right" vertical="center"/>
    </xf>
    <xf numFmtId="165" fontId="10" fillId="2" borderId="1" xfId="4" applyFont="1" applyFill="1" applyBorder="1" applyAlignment="1">
      <alignment vertical="center"/>
    </xf>
    <xf numFmtId="165" fontId="20" fillId="2" borderId="1" xfId="4" applyFont="1" applyFill="1" applyBorder="1" applyAlignment="1">
      <alignment vertical="center"/>
    </xf>
    <xf numFmtId="165" fontId="25" fillId="2" borderId="1" xfId="4" applyFont="1" applyFill="1" applyBorder="1"/>
    <xf numFmtId="165" fontId="21" fillId="2" borderId="2" xfId="4" applyFont="1" applyFill="1" applyBorder="1" applyAlignment="1">
      <alignment horizontal="right" vertical="center"/>
    </xf>
    <xf numFmtId="165" fontId="9" fillId="2" borderId="2" xfId="4" applyFont="1" applyFill="1" applyBorder="1" applyAlignment="1" applyProtection="1">
      <alignment horizontal="right" vertical="center"/>
    </xf>
    <xf numFmtId="165" fontId="9" fillId="2" borderId="2" xfId="4" applyFont="1" applyFill="1" applyBorder="1" applyAlignment="1" applyProtection="1">
      <alignment horizontal="right" vertical="center" wrapText="1"/>
    </xf>
    <xf numFmtId="165" fontId="5" fillId="2" borderId="0" xfId="4" applyFont="1" applyFill="1" applyAlignment="1" applyProtection="1">
      <alignment horizontal="left" vertical="center"/>
    </xf>
    <xf numFmtId="38" fontId="5" fillId="2" borderId="1" xfId="2" applyNumberFormat="1" applyFont="1" applyFill="1" applyBorder="1" applyAlignment="1" applyProtection="1">
      <alignment vertical="center"/>
    </xf>
    <xf numFmtId="38" fontId="5" fillId="2" borderId="0" xfId="2" applyNumberFormat="1" applyFont="1" applyFill="1" applyAlignment="1" applyProtection="1">
      <alignment vertical="center"/>
    </xf>
    <xf numFmtId="38" fontId="5" fillId="2" borderId="0" xfId="2" applyNumberFormat="1" applyFont="1" applyFill="1" applyBorder="1" applyAlignment="1" applyProtection="1">
      <alignment vertical="center"/>
    </xf>
    <xf numFmtId="38" fontId="5" fillId="2" borderId="0" xfId="2" applyNumberFormat="1" applyFont="1" applyFill="1"/>
    <xf numFmtId="165" fontId="4" fillId="2" borderId="0" xfId="0" applyNumberFormat="1" applyFont="1" applyFill="1"/>
    <xf numFmtId="38" fontId="5" fillId="2" borderId="2" xfId="2" applyNumberFormat="1" applyFont="1" applyFill="1" applyBorder="1" applyAlignment="1" applyProtection="1">
      <alignment vertical="center"/>
    </xf>
    <xf numFmtId="38" fontId="11" fillId="2" borderId="2" xfId="2" applyNumberFormat="1" applyFont="1" applyFill="1" applyBorder="1"/>
    <xf numFmtId="165" fontId="13" fillId="2" borderId="0" xfId="0" applyNumberFormat="1" applyFont="1" applyFill="1" applyBorder="1" applyAlignment="1">
      <alignment horizontal="right" vertical="center"/>
    </xf>
    <xf numFmtId="165" fontId="10" fillId="2" borderId="4" xfId="4" applyFont="1" applyFill="1" applyBorder="1" applyAlignment="1">
      <alignment vertical="center"/>
    </xf>
    <xf numFmtId="165" fontId="9" fillId="2" borderId="4" xfId="4" applyFont="1" applyFill="1" applyBorder="1" applyAlignment="1" applyProtection="1">
      <alignment horizontal="left" vertical="center"/>
    </xf>
    <xf numFmtId="165" fontId="24" fillId="2" borderId="4" xfId="4" applyFont="1" applyFill="1" applyBorder="1" applyAlignment="1">
      <alignment horizontal="centerContinuous" vertical="center"/>
    </xf>
    <xf numFmtId="165" fontId="20" fillId="2" borderId="4" xfId="4" applyFont="1" applyFill="1" applyBorder="1" applyAlignment="1" applyProtection="1">
      <alignment horizontal="centerContinuous" vertical="center"/>
    </xf>
    <xf numFmtId="165" fontId="24" fillId="2" borderId="4" xfId="4" applyFont="1" applyFill="1" applyBorder="1" applyAlignment="1">
      <alignment horizontal="right" vertical="center"/>
    </xf>
    <xf numFmtId="165" fontId="20" fillId="2" borderId="4" xfId="4" applyFont="1" applyFill="1" applyBorder="1" applyAlignment="1" applyProtection="1">
      <alignment horizontal="right" vertical="center"/>
    </xf>
    <xf numFmtId="165" fontId="8" fillId="2" borderId="4" xfId="4" applyFont="1" applyFill="1" applyBorder="1" applyAlignment="1">
      <alignment horizontal="right" vertical="center"/>
    </xf>
    <xf numFmtId="165" fontId="25" fillId="2" borderId="4" xfId="4" applyFont="1" applyFill="1" applyBorder="1"/>
    <xf numFmtId="165" fontId="26" fillId="2" borderId="4" xfId="4" applyFont="1" applyFill="1" applyBorder="1" applyAlignment="1">
      <alignment horizontal="right" vertical="center"/>
    </xf>
    <xf numFmtId="165" fontId="21" fillId="2" borderId="4" xfId="4" applyFont="1" applyFill="1" applyBorder="1" applyAlignment="1">
      <alignment horizontal="right" vertical="center"/>
    </xf>
    <xf numFmtId="165" fontId="9" fillId="2" borderId="4" xfId="4" applyFont="1" applyFill="1" applyBorder="1" applyAlignment="1" applyProtection="1">
      <alignment horizontal="right" vertical="center"/>
    </xf>
    <xf numFmtId="165" fontId="9" fillId="2" borderId="4" xfId="4" applyFont="1" applyFill="1" applyBorder="1" applyAlignment="1" applyProtection="1">
      <alignment horizontal="right" vertical="center" wrapText="1"/>
    </xf>
    <xf numFmtId="38" fontId="9" fillId="2" borderId="4" xfId="2" applyNumberFormat="1" applyFont="1" applyFill="1" applyBorder="1" applyAlignment="1" applyProtection="1">
      <alignment vertical="center"/>
    </xf>
    <xf numFmtId="3" fontId="9" fillId="2" borderId="4" xfId="4" applyNumberFormat="1" applyFont="1" applyFill="1" applyBorder="1" applyAlignment="1" applyProtection="1">
      <alignment vertical="center"/>
    </xf>
    <xf numFmtId="3" fontId="9" fillId="2" borderId="4" xfId="4" applyNumberFormat="1" applyFont="1" applyFill="1" applyBorder="1"/>
    <xf numFmtId="3" fontId="9" fillId="2" borderId="4" xfId="6" applyNumberFormat="1" applyFont="1" applyFill="1" applyBorder="1"/>
    <xf numFmtId="167" fontId="9" fillId="2" borderId="4" xfId="6" applyNumberFormat="1" applyFont="1" applyFill="1" applyBorder="1"/>
    <xf numFmtId="167" fontId="9" fillId="2" borderId="4" xfId="6" applyNumberFormat="1" applyFont="1" applyFill="1" applyBorder="1" applyAlignment="1">
      <alignment horizontal="right"/>
    </xf>
    <xf numFmtId="165" fontId="21" fillId="2" borderId="4" xfId="0" applyNumberFormat="1" applyFont="1" applyFill="1" applyBorder="1" applyAlignment="1" applyProtection="1">
      <alignment horizontal="left" vertical="center"/>
    </xf>
    <xf numFmtId="3" fontId="21" fillId="2" borderId="4" xfId="6" applyNumberFormat="1" applyFont="1" applyFill="1" applyBorder="1"/>
    <xf numFmtId="3" fontId="21" fillId="2" borderId="4" xfId="4" applyNumberFormat="1" applyFont="1" applyFill="1" applyBorder="1"/>
    <xf numFmtId="165" fontId="13" fillId="2" borderId="4" xfId="0" applyNumberFormat="1" applyFont="1" applyFill="1" applyBorder="1" applyAlignment="1">
      <alignment horizontal="right" vertical="center"/>
    </xf>
    <xf numFmtId="167" fontId="21" fillId="2" borderId="4" xfId="4" applyNumberFormat="1" applyFont="1" applyFill="1" applyBorder="1"/>
    <xf numFmtId="167" fontId="21" fillId="2" borderId="4" xfId="4" applyNumberFormat="1" applyFont="1" applyFill="1" applyBorder="1" applyAlignment="1">
      <alignment horizontal="right"/>
    </xf>
    <xf numFmtId="3" fontId="21" fillId="2" borderId="4" xfId="4" applyNumberFormat="1" applyFont="1" applyFill="1" applyBorder="1" applyAlignment="1">
      <alignment horizontal="right"/>
    </xf>
    <xf numFmtId="165" fontId="12" fillId="2" borderId="4" xfId="4" applyFont="1" applyFill="1" applyBorder="1" applyAlignment="1" applyProtection="1">
      <alignment horizontal="left" vertical="center"/>
    </xf>
    <xf numFmtId="165" fontId="22" fillId="2" borderId="4" xfId="4" applyFont="1" applyFill="1" applyBorder="1" applyAlignment="1" applyProtection="1">
      <alignment horizontal="left" vertical="center"/>
    </xf>
    <xf numFmtId="165" fontId="13" fillId="2" borderId="4" xfId="4" applyFont="1" applyFill="1" applyBorder="1" applyAlignment="1">
      <alignment horizontal="right" vertical="center"/>
    </xf>
    <xf numFmtId="165" fontId="4" fillId="2" borderId="0" xfId="4" applyFont="1" applyFill="1" applyAlignment="1">
      <alignment horizontal="right" vertical="center"/>
    </xf>
    <xf numFmtId="1" fontId="4" fillId="2" borderId="0" xfId="4" applyNumberFormat="1" applyFont="1" applyFill="1" applyAlignment="1">
      <alignment vertical="center"/>
    </xf>
    <xf numFmtId="165" fontId="9" fillId="2" borderId="0" xfId="4" applyFont="1" applyFill="1" applyBorder="1" applyAlignment="1" applyProtection="1">
      <alignment horizontal="left" vertical="center" wrapText="1"/>
    </xf>
    <xf numFmtId="165" fontId="10" fillId="2" borderId="0" xfId="4" applyFont="1" applyFill="1" applyAlignment="1">
      <alignment vertical="center" wrapText="1"/>
    </xf>
    <xf numFmtId="165" fontId="20" fillId="2" borderId="0" xfId="4" applyFont="1" applyFill="1" applyAlignment="1">
      <alignment vertical="center" wrapText="1"/>
    </xf>
    <xf numFmtId="38" fontId="11" fillId="2" borderId="0" xfId="2" applyNumberFormat="1" applyFont="1" applyFill="1" applyBorder="1" applyAlignment="1" applyProtection="1">
      <alignment vertical="center"/>
    </xf>
    <xf numFmtId="38" fontId="11" fillId="2" borderId="2" xfId="2" applyNumberFormat="1" applyFont="1" applyFill="1" applyBorder="1" applyAlignment="1" applyProtection="1">
      <alignment vertical="center"/>
    </xf>
    <xf numFmtId="165" fontId="21" fillId="2" borderId="0" xfId="4" applyFont="1" applyFill="1" applyBorder="1" applyAlignment="1">
      <alignment vertical="center"/>
    </xf>
    <xf numFmtId="165" fontId="9" fillId="2" borderId="0" xfId="4" applyFont="1" applyFill="1" applyBorder="1" applyAlignment="1">
      <alignment vertical="center"/>
    </xf>
    <xf numFmtId="165" fontId="10" fillId="2" borderId="0" xfId="4" applyFont="1" applyFill="1" applyBorder="1" applyAlignment="1">
      <alignment vertical="center"/>
    </xf>
    <xf numFmtId="165" fontId="20" fillId="2" borderId="0" xfId="4" applyFont="1" applyFill="1" applyBorder="1" applyAlignment="1">
      <alignment vertical="center"/>
    </xf>
    <xf numFmtId="165" fontId="11" fillId="2" borderId="0" xfId="0" applyNumberFormat="1" applyFont="1" applyFill="1" applyAlignment="1" applyProtection="1">
      <alignment horizontal="left" vertical="center" indent="2"/>
    </xf>
    <xf numFmtId="165" fontId="11" fillId="2" borderId="2" xfId="0" applyNumberFormat="1" applyFont="1" applyFill="1" applyBorder="1" applyAlignment="1" applyProtection="1">
      <alignment horizontal="left" vertical="center" indent="2"/>
    </xf>
    <xf numFmtId="165" fontId="29" fillId="2" borderId="0" xfId="4" applyFont="1" applyFill="1" applyAlignment="1">
      <alignment horizontal="right" vertical="center"/>
    </xf>
    <xf numFmtId="165" fontId="30" fillId="2" borderId="0" xfId="4" applyFont="1" applyFill="1" applyBorder="1" applyAlignment="1">
      <alignment horizontal="right" vertical="center"/>
    </xf>
    <xf numFmtId="165" fontId="30" fillId="2" borderId="2" xfId="4" applyFont="1" applyFill="1" applyBorder="1" applyAlignment="1">
      <alignment horizontal="right" vertical="center"/>
    </xf>
    <xf numFmtId="165" fontId="28" fillId="2" borderId="0" xfId="4" applyFont="1" applyFill="1" applyAlignment="1">
      <alignment horizontal="right" vertical="center"/>
    </xf>
    <xf numFmtId="165" fontId="29" fillId="2" borderId="0" xfId="4" applyFont="1" applyFill="1" applyBorder="1" applyAlignment="1">
      <alignment horizontal="right" vertical="center" wrapText="1"/>
    </xf>
    <xf numFmtId="165" fontId="30" fillId="2" borderId="0" xfId="0" applyNumberFormat="1" applyFont="1" applyFill="1" applyAlignment="1">
      <alignment horizontal="right" vertical="center" indent="2"/>
    </xf>
    <xf numFmtId="165" fontId="30" fillId="2" borderId="2" xfId="0" applyNumberFormat="1" applyFont="1" applyFill="1" applyBorder="1" applyAlignment="1">
      <alignment horizontal="right" vertical="center" indent="2"/>
    </xf>
    <xf numFmtId="38" fontId="5" fillId="2" borderId="0" xfId="2" applyNumberFormat="1" applyFont="1" applyFill="1" applyBorder="1"/>
    <xf numFmtId="38" fontId="5" fillId="2" borderId="0" xfId="2" applyNumberFormat="1" applyFont="1" applyFill="1" applyBorder="1" applyAlignment="1">
      <alignment horizontal="right"/>
    </xf>
    <xf numFmtId="38" fontId="11" fillId="2" borderId="0" xfId="2" applyNumberFormat="1" applyFont="1" applyFill="1" applyBorder="1"/>
    <xf numFmtId="0" fontId="17" fillId="2" borderId="2" xfId="0" applyFont="1" applyFill="1" applyBorder="1" applyAlignment="1">
      <alignment horizontal="right" vertical="center" wrapText="1"/>
    </xf>
    <xf numFmtId="165" fontId="18" fillId="2" borderId="6" xfId="4" applyFont="1" applyFill="1" applyBorder="1" applyAlignment="1">
      <alignment vertical="center"/>
    </xf>
    <xf numFmtId="165" fontId="18" fillId="2" borderId="7" xfId="4" applyFont="1" applyFill="1" applyBorder="1" applyAlignment="1">
      <alignment vertical="center"/>
    </xf>
    <xf numFmtId="43" fontId="32" fillId="2" borderId="7" xfId="1" applyFont="1" applyFill="1" applyBorder="1" applyAlignment="1">
      <alignment vertical="center"/>
    </xf>
    <xf numFmtId="43" fontId="32" fillId="2" borderId="8" xfId="1" applyFont="1" applyFill="1" applyBorder="1" applyAlignment="1">
      <alignment vertical="center"/>
    </xf>
    <xf numFmtId="165" fontId="9" fillId="2" borderId="0" xfId="4" applyFont="1" applyFill="1" applyBorder="1" applyAlignment="1" applyProtection="1">
      <alignment horizontal="center" vertical="center"/>
    </xf>
    <xf numFmtId="165" fontId="9" fillId="2" borderId="2" xfId="4" applyFont="1" applyFill="1" applyBorder="1" applyAlignment="1" applyProtection="1">
      <alignment horizontal="center" vertical="center"/>
    </xf>
    <xf numFmtId="165" fontId="5" fillId="2" borderId="0" xfId="4" applyFont="1" applyFill="1" applyAlignment="1" applyProtection="1">
      <alignment horizontal="left" vertical="top"/>
    </xf>
    <xf numFmtId="165" fontId="9" fillId="2" borderId="0" xfId="4" applyFont="1" applyFill="1" applyBorder="1" applyAlignment="1" applyProtection="1">
      <alignment horizontal="right" vertical="center" wrapText="1"/>
    </xf>
    <xf numFmtId="0" fontId="17" fillId="2" borderId="0" xfId="0" applyFont="1" applyFill="1" applyBorder="1" applyAlignment="1">
      <alignment horizontal="right" vertical="center" wrapText="1"/>
    </xf>
    <xf numFmtId="165" fontId="10" fillId="2" borderId="0" xfId="4" applyFont="1" applyFill="1" applyBorder="1" applyAlignment="1">
      <alignment vertical="center" wrapText="1"/>
    </xf>
    <xf numFmtId="165" fontId="28" fillId="2" borderId="0" xfId="4" applyFont="1" applyFill="1" applyBorder="1" applyAlignment="1">
      <alignment horizontal="right" vertical="center" wrapText="1"/>
    </xf>
    <xf numFmtId="165" fontId="28" fillId="2" borderId="5" xfId="4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 wrapText="1"/>
    </xf>
    <xf numFmtId="165" fontId="27" fillId="2" borderId="0" xfId="4" applyFont="1" applyFill="1" applyAlignment="1">
      <alignment horizontal="center" vertical="center"/>
    </xf>
    <xf numFmtId="165" fontId="18" fillId="2" borderId="4" xfId="4" applyFont="1" applyFill="1" applyBorder="1" applyAlignment="1">
      <alignment horizontal="center" vertical="center"/>
    </xf>
    <xf numFmtId="165" fontId="15" fillId="2" borderId="4" xfId="4" applyFont="1" applyFill="1" applyBorder="1" applyAlignment="1" applyProtection="1">
      <alignment horizontal="center" vertical="center"/>
    </xf>
    <xf numFmtId="165" fontId="8" fillId="2" borderId="4" xfId="4" applyFont="1" applyFill="1" applyBorder="1" applyAlignment="1">
      <alignment horizontal="center" vertical="center" wrapText="1"/>
    </xf>
    <xf numFmtId="165" fontId="9" fillId="2" borderId="4" xfId="4" applyFont="1" applyFill="1" applyBorder="1" applyAlignment="1" applyProtection="1">
      <alignment horizontal="center" vertical="center"/>
    </xf>
    <xf numFmtId="165" fontId="23" fillId="2" borderId="0" xfId="4" applyFont="1" applyFill="1" applyBorder="1" applyAlignment="1" applyProtection="1">
      <alignment horizontal="center" vertical="center"/>
    </xf>
    <xf numFmtId="165" fontId="29" fillId="2" borderId="0" xfId="4" applyFont="1" applyFill="1" applyBorder="1" applyAlignment="1">
      <alignment horizontal="center" vertical="center" wrapText="1"/>
    </xf>
    <xf numFmtId="165" fontId="9" fillId="2" borderId="0" xfId="4" applyFont="1" applyFill="1" applyBorder="1" applyAlignment="1" applyProtection="1">
      <alignment horizontal="center" vertical="center"/>
    </xf>
    <xf numFmtId="165" fontId="9" fillId="2" borderId="3" xfId="4" applyFont="1" applyFill="1" applyBorder="1" applyAlignment="1" applyProtection="1">
      <alignment horizontal="right" vertical="center"/>
    </xf>
    <xf numFmtId="165" fontId="14" fillId="2" borderId="3" xfId="4" applyFont="1" applyFill="1" applyBorder="1" applyAlignment="1" applyProtection="1">
      <alignment horizontal="left" vertical="center"/>
    </xf>
  </cellXfs>
  <cellStyles count="9">
    <cellStyle name="1" xfId="7"/>
    <cellStyle name="Comma" xfId="1" builtinId="3"/>
    <cellStyle name="Comma 2" xfId="2"/>
    <cellStyle name="Normal" xfId="0" builtinId="0"/>
    <cellStyle name="Normal 2" xfId="5"/>
    <cellStyle name="Normal 3_agri planning 2009 year book(final)" xfId="3"/>
    <cellStyle name="Normal 4" xfId="8"/>
    <cellStyle name="Normal_9.3fig9.1" xfId="6"/>
    <cellStyle name="Normal_Fish &amp;  Agri - 8" xfId="4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2015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3548.6896117828474</c:v>
                </c:pt>
                <c:pt idx="1">
                  <c:v>2665.1350675685076</c:v>
                </c:pt>
                <c:pt idx="2">
                  <c:v>3221.2989848185966</c:v>
                </c:pt>
                <c:pt idx="3">
                  <c:v>2037.369549684689</c:v>
                </c:pt>
                <c:pt idx="4">
                  <c:v>4736.5105807719865</c:v>
                </c:pt>
                <c:pt idx="5">
                  <c:v>1609.2743994481875</c:v>
                </c:pt>
                <c:pt idx="6">
                  <c:v>3285.6221078384801</c:v>
                </c:pt>
                <c:pt idx="7">
                  <c:v>3352.3710822809958</c:v>
                </c:pt>
                <c:pt idx="8">
                  <c:v>2349.3707511765833</c:v>
                </c:pt>
                <c:pt idx="9">
                  <c:v>3069.7628263915908</c:v>
                </c:pt>
                <c:pt idx="10">
                  <c:v>240.41875105324056</c:v>
                </c:pt>
                <c:pt idx="11">
                  <c:v>3303.4787321652643</c:v>
                </c:pt>
                <c:pt idx="12">
                  <c:v>2969.6042037139136</c:v>
                </c:pt>
                <c:pt idx="13">
                  <c:v>8390.1824668277168</c:v>
                </c:pt>
                <c:pt idx="14">
                  <c:v>5794.2599899738352</c:v>
                </c:pt>
                <c:pt idx="15">
                  <c:v>12223.952593290209</c:v>
                </c:pt>
                <c:pt idx="16">
                  <c:v>24214.26468123731</c:v>
                </c:pt>
                <c:pt idx="17">
                  <c:v>13637.841725925478</c:v>
                </c:pt>
                <c:pt idx="18">
                  <c:v>5096.0265002171318</c:v>
                </c:pt>
                <c:pt idx="19">
                  <c:v>9377.6345015550251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7-43AA-B9D5-9AD797FA1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76488064"/>
        <c:axId val="83494016"/>
      </c:barChart>
      <c:catAx>
        <c:axId val="764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494016"/>
        <c:crosses val="autoZero"/>
        <c:auto val="1"/>
        <c:lblAlgn val="ctr"/>
        <c:lblOffset val="100"/>
        <c:noMultiLvlLbl val="0"/>
      </c:catAx>
      <c:valAx>
        <c:axId val="83494016"/>
        <c:scaling>
          <c:orientation val="minMax"/>
          <c:max val="22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6488064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 : Fish catch by type of species, 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5998585378050363"/>
          <c:y val="0.20568011171305536"/>
          <c:w val="0.33516258124382442"/>
          <c:h val="0.7330631164140694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explosion val="1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8775-4F31-986C-4418D8525DD6}"/>
              </c:ext>
            </c:extLst>
          </c:dPt>
          <c:dPt>
            <c:idx val="1"/>
            <c:bubble3D val="0"/>
            <c:spPr>
              <a:solidFill>
                <a:srgbClr val="1C706E"/>
              </a:solidFill>
            </c:spPr>
            <c:extLst>
              <c:ext xmlns:c16="http://schemas.microsoft.com/office/drawing/2014/chart" uri="{C3380CC4-5D6E-409C-BE32-E72D297353CC}">
                <c16:uniqueId val="{00000003-8775-4F31-986C-4418D8525DD6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8775-4F31-986C-4418D8525DD6}"/>
              </c:ext>
            </c:extLst>
          </c:dPt>
          <c:dPt>
            <c:idx val="7"/>
            <c:bubble3D val="0"/>
            <c:spPr>
              <a:solidFill>
                <a:srgbClr val="81E1DF"/>
              </a:solidFill>
            </c:spPr>
            <c:extLst>
              <c:ext xmlns:c16="http://schemas.microsoft.com/office/drawing/2014/chart" uri="{C3380CC4-5D6E-409C-BE32-E72D297353CC}">
                <c16:uniqueId val="{00000007-8775-4F31-986C-4418D8525DD6}"/>
              </c:ext>
            </c:extLst>
          </c:dPt>
          <c:dLbls>
            <c:dLbl>
              <c:idx val="0"/>
              <c:layout>
                <c:manualLayout>
                  <c:x val="5.9392636091392991E-3"/>
                  <c:y val="-5.11198261046633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775-4F31-986C-4418D8525DD6}"/>
                </c:ext>
              </c:extLst>
            </c:dLbl>
            <c:dLbl>
              <c:idx val="1"/>
              <c:layout>
                <c:manualLayout>
                  <c:x val="1.6618650455135241E-2"/>
                  <c:y val="0.115491265703544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775-4F31-986C-4418D8525DD6}"/>
                </c:ext>
              </c:extLst>
            </c:dLbl>
            <c:dLbl>
              <c:idx val="2"/>
              <c:layout>
                <c:manualLayout>
                  <c:x val="-4.1127340980049561E-2"/>
                  <c:y val="-8.74208568797152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775-4F31-986C-4418D8525D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75-4F31-986C-4418D8525DD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75-4F31-986C-4418D8525D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75-4F31-986C-4418D8525D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75-4F31-986C-4418D8525DD6}"/>
                </c:ext>
              </c:extLst>
            </c:dLbl>
            <c:dLbl>
              <c:idx val="7"/>
              <c:layout>
                <c:manualLayout>
                  <c:x val="3.0821633320260999E-3"/>
                  <c:y val="-0.118394869725821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775-4F31-986C-4418D8525D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'[1]9.3'!$D$8:$K$8</c:f>
              <c:strCache>
                <c:ptCount val="8"/>
                <c:pt idx="0">
                  <c:v>Skipjack tuna</c:v>
                </c:pt>
                <c:pt idx="1">
                  <c:v>Yellowfin tuna</c:v>
                </c:pt>
                <c:pt idx="2">
                  <c:v>Big eye tuna</c:v>
                </c:pt>
                <c:pt idx="3">
                  <c:v>Albacore tuna</c:v>
                </c:pt>
                <c:pt idx="4">
                  <c:v>Dogtooth tuna</c:v>
                </c:pt>
                <c:pt idx="5">
                  <c:v>   Little tuna</c:v>
                </c:pt>
                <c:pt idx="6">
                  <c:v>Frigate tuna</c:v>
                </c:pt>
                <c:pt idx="7">
                  <c:v>Other marine fish</c:v>
                </c:pt>
              </c:strCache>
            </c:strRef>
          </c:cat>
          <c:val>
            <c:numRef>
              <c:f>'[1]9.3'!$D$9:$K$9</c:f>
              <c:numCache>
                <c:formatCode>General</c:formatCode>
                <c:ptCount val="8"/>
                <c:pt idx="0">
                  <c:v>69589.480938961424</c:v>
                </c:pt>
                <c:pt idx="1">
                  <c:v>53705.451966178975</c:v>
                </c:pt>
                <c:pt idx="2">
                  <c:v>2480.0423404201256</c:v>
                </c:pt>
                <c:pt idx="3">
                  <c:v>15.290000000000001</c:v>
                </c:pt>
                <c:pt idx="4">
                  <c:v>11.453572517147915</c:v>
                </c:pt>
                <c:pt idx="5">
                  <c:v>29.990173019499927</c:v>
                </c:pt>
                <c:pt idx="6">
                  <c:v>143.18209877120293</c:v>
                </c:pt>
                <c:pt idx="7">
                  <c:v>3216.1040166838452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775-4F31-986C-4418D8525DD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2016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strRef>
              <c:f>'[1]9.3'!$A$13:$A$32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'[1]9.3'!$B$13:$B$32</c:f>
              <c:numCache>
                <c:formatCode>General</c:formatCode>
                <c:ptCount val="20"/>
                <c:pt idx="0">
                  <c:v>5455.5677523293343</c:v>
                </c:pt>
                <c:pt idx="1">
                  <c:v>3402.7214464188992</c:v>
                </c:pt>
                <c:pt idx="2">
                  <c:v>3128.4374683669444</c:v>
                </c:pt>
                <c:pt idx="3">
                  <c:v>2028.2570049295896</c:v>
                </c:pt>
                <c:pt idx="4">
                  <c:v>6483.1043342321336</c:v>
                </c:pt>
                <c:pt idx="5">
                  <c:v>1829.2509133074132</c:v>
                </c:pt>
                <c:pt idx="6">
                  <c:v>5919.1232883164666</c:v>
                </c:pt>
                <c:pt idx="7">
                  <c:v>4272.7470002415439</c:v>
                </c:pt>
                <c:pt idx="8">
                  <c:v>2752.4573718329693</c:v>
                </c:pt>
                <c:pt idx="9">
                  <c:v>4075.1871960090161</c:v>
                </c:pt>
                <c:pt idx="10">
                  <c:v>312.69729273595999</c:v>
                </c:pt>
                <c:pt idx="11">
                  <c:v>2294.8781910587522</c:v>
                </c:pt>
                <c:pt idx="12">
                  <c:v>3596.7076673388624</c:v>
                </c:pt>
                <c:pt idx="13">
                  <c:v>7183.6101718072623</c:v>
                </c:pt>
                <c:pt idx="14">
                  <c:v>4117.0242744197167</c:v>
                </c:pt>
                <c:pt idx="15">
                  <c:v>10779.729136313419</c:v>
                </c:pt>
                <c:pt idx="16">
                  <c:v>17591.605791181755</c:v>
                </c:pt>
                <c:pt idx="17">
                  <c:v>8520.5992519975225</c:v>
                </c:pt>
                <c:pt idx="18">
                  <c:v>3722.8406026800089</c:v>
                </c:pt>
                <c:pt idx="19">
                  <c:v>10356.911892123186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8-4338-B04D-7DB0D2BC6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83829888"/>
        <c:axId val="83831424"/>
      </c:barChart>
      <c:catAx>
        <c:axId val="838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31424"/>
        <c:crosses val="autoZero"/>
        <c:auto val="1"/>
        <c:lblAlgn val="ctr"/>
        <c:lblOffset val="100"/>
        <c:noMultiLvlLbl val="0"/>
      </c:catAx>
      <c:valAx>
        <c:axId val="83831424"/>
        <c:scaling>
          <c:orientation val="minMax"/>
          <c:max val="22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29888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2015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'[2]9.3'!$A$13:$A$32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'[2]9.3'!$B$13:$B$32</c:f>
              <c:numCache>
                <c:formatCode>General</c:formatCode>
                <c:ptCount val="20"/>
                <c:pt idx="0">
                  <c:v>5455.5677523293343</c:v>
                </c:pt>
                <c:pt idx="1">
                  <c:v>3402.7214464188992</c:v>
                </c:pt>
                <c:pt idx="2">
                  <c:v>3128.4374683669444</c:v>
                </c:pt>
                <c:pt idx="3">
                  <c:v>2028.2570049295896</c:v>
                </c:pt>
                <c:pt idx="4">
                  <c:v>6483.1043342321336</c:v>
                </c:pt>
                <c:pt idx="5">
                  <c:v>1829.2509133074132</c:v>
                </c:pt>
                <c:pt idx="6">
                  <c:v>5919.1232883164666</c:v>
                </c:pt>
                <c:pt idx="7">
                  <c:v>4272.7470002415439</c:v>
                </c:pt>
                <c:pt idx="8">
                  <c:v>2752.4573718329693</c:v>
                </c:pt>
                <c:pt idx="9">
                  <c:v>4075.1871960090161</c:v>
                </c:pt>
                <c:pt idx="10">
                  <c:v>312.69729273595999</c:v>
                </c:pt>
                <c:pt idx="11">
                  <c:v>2294.8781910587522</c:v>
                </c:pt>
                <c:pt idx="12">
                  <c:v>3596.7076673388624</c:v>
                </c:pt>
                <c:pt idx="13">
                  <c:v>7183.6101718072623</c:v>
                </c:pt>
                <c:pt idx="14">
                  <c:v>4117.0242744197167</c:v>
                </c:pt>
                <c:pt idx="15">
                  <c:v>10779.729136313419</c:v>
                </c:pt>
                <c:pt idx="16">
                  <c:v>17591.605791181755</c:v>
                </c:pt>
                <c:pt idx="17">
                  <c:v>8520.5992519975225</c:v>
                </c:pt>
                <c:pt idx="18">
                  <c:v>3722.8406026800089</c:v>
                </c:pt>
                <c:pt idx="19">
                  <c:v>10356.911892123186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6-42A0-AD10-634FFC046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76488064"/>
        <c:axId val="83494016"/>
      </c:barChart>
      <c:catAx>
        <c:axId val="764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494016"/>
        <c:crosses val="autoZero"/>
        <c:auto val="1"/>
        <c:lblAlgn val="ctr"/>
        <c:lblOffset val="100"/>
        <c:noMultiLvlLbl val="0"/>
      </c:catAx>
      <c:valAx>
        <c:axId val="83494016"/>
        <c:scaling>
          <c:orientation val="minMax"/>
          <c:max val="22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6488064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9.1: Fish catch by type of species, 2017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5998585378050363"/>
          <c:y val="0.20568011171305536"/>
          <c:w val="0.33516258124382442"/>
          <c:h val="0.7330631164140694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explosion val="3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987-423E-8A71-CA98ED94F43D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0987-423E-8A71-CA98ED94F43D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0987-423E-8A71-CA98ED94F43D}"/>
              </c:ext>
            </c:extLst>
          </c:dPt>
          <c:dPt>
            <c:idx val="3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0987-423E-8A71-CA98ED94F43D}"/>
              </c:ext>
            </c:extLst>
          </c:dPt>
          <c:dLbls>
            <c:dLbl>
              <c:idx val="0"/>
              <c:layout>
                <c:manualLayout>
                  <c:x val="3.9738076690361446E-2"/>
                  <c:y val="5.495572260607027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20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987-423E-8A71-CA98ED94F43D}"/>
                </c:ext>
              </c:extLst>
            </c:dLbl>
            <c:dLbl>
              <c:idx val="1"/>
              <c:layout>
                <c:manualLayout>
                  <c:x val="-3.2425306122667558E-2"/>
                  <c:y val="3.98641938647563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200" b="1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987-423E-8A71-CA98ED94F43D}"/>
                </c:ext>
              </c:extLst>
            </c:dLbl>
            <c:dLbl>
              <c:idx val="2"/>
              <c:layout>
                <c:manualLayout>
                  <c:x val="0.10164768483568511"/>
                  <c:y val="-5.00966498157323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987-423E-8A71-CA98ED94F43D}"/>
                </c:ext>
              </c:extLst>
            </c:dLbl>
            <c:dLbl>
              <c:idx val="3"/>
              <c:layout>
                <c:manualLayout>
                  <c:x val="0.14580315503640931"/>
                  <c:y val="6.4431839777192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987-423E-8A71-CA98ED94F4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'9.3'!$D$8:$K$8</c15:sqref>
                  </c15:fullRef>
                </c:ext>
              </c:extLst>
              <c:f>('9.3'!$D$8:$F$8,'9.3'!$K$8)</c:f>
              <c:strCache>
                <c:ptCount val="4"/>
                <c:pt idx="0">
                  <c:v>Skipjack tuna</c:v>
                </c:pt>
                <c:pt idx="1">
                  <c:v>Yellowfin tuna</c:v>
                </c:pt>
                <c:pt idx="2">
                  <c:v>Big eye tuna</c:v>
                </c:pt>
                <c:pt idx="3">
                  <c:v>Other marine fish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'9.3'!$D$9:$K$9</c15:sqref>
                  </c15:fullRef>
                </c:ext>
              </c:extLst>
              <c:f>('9.3'!$D$9:$F$9,'9.3'!$K$9)</c:f>
              <c:numCache>
                <c:formatCode>#,##0_);[Red]\(#,##0\)</c:formatCode>
                <c:ptCount val="4"/>
                <c:pt idx="0">
                  <c:v>89683.148024090799</c:v>
                </c:pt>
                <c:pt idx="1">
                  <c:v>49376.811349197931</c:v>
                </c:pt>
                <c:pt idx="2">
                  <c:v>1074.1737564163373</c:v>
                </c:pt>
                <c:pt idx="3">
                  <c:v>2493.9263026769763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'9.3'!$G$9</c15:sqref>
                  <c15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C4A0-4E75-8A16-73EB6E443657}"/>
                      </c:ext>
                    </c:extLst>
                  </c15:dLbl>
                </c15:categoryFilterException>
                <c15:categoryFilterException>
                  <c15:sqref>'9.3'!$H$9</c15:sqref>
                  <c15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C4A0-4E75-8A16-73EB6E443657}"/>
                      </c:ext>
                    </c:extLst>
                  </c15:dLbl>
                </c15:categoryFilterException>
                <c15:categoryFilterException>
                  <c15:sqref>'9.3'!$I$9</c15:sqref>
                  <c15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C4A0-4E75-8A16-73EB6E443657}"/>
                      </c:ext>
                    </c:extLst>
                  </c15:dLbl>
                </c15:categoryFilterException>
                <c15:categoryFilterException>
                  <c15:sqref>'9.3'!$J$9</c15:sqref>
                  <c15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C4A0-4E75-8A16-73EB6E4436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0987-423E-8A71-CA98ED94F43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8"/>
        <c:holeSize val="41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2017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3548.6896117828474</c:v>
                </c:pt>
                <c:pt idx="1">
                  <c:v>2665.1350675685076</c:v>
                </c:pt>
                <c:pt idx="2">
                  <c:v>3221.2989848185966</c:v>
                </c:pt>
                <c:pt idx="3">
                  <c:v>2037.369549684689</c:v>
                </c:pt>
                <c:pt idx="4">
                  <c:v>4736.5105807719865</c:v>
                </c:pt>
                <c:pt idx="5">
                  <c:v>1609.2743994481875</c:v>
                </c:pt>
                <c:pt idx="6">
                  <c:v>3285.6221078384801</c:v>
                </c:pt>
                <c:pt idx="7">
                  <c:v>3352.3710822809958</c:v>
                </c:pt>
                <c:pt idx="8">
                  <c:v>2349.3707511765833</c:v>
                </c:pt>
                <c:pt idx="9">
                  <c:v>3069.7628263915908</c:v>
                </c:pt>
                <c:pt idx="10">
                  <c:v>240.41875105324056</c:v>
                </c:pt>
                <c:pt idx="11">
                  <c:v>3303.4787321652643</c:v>
                </c:pt>
                <c:pt idx="12">
                  <c:v>2969.6042037139136</c:v>
                </c:pt>
                <c:pt idx="13">
                  <c:v>8390.1824668277168</c:v>
                </c:pt>
                <c:pt idx="14">
                  <c:v>5794.2599899738352</c:v>
                </c:pt>
                <c:pt idx="15">
                  <c:v>12223.952593290209</c:v>
                </c:pt>
                <c:pt idx="16">
                  <c:v>24214.26468123731</c:v>
                </c:pt>
                <c:pt idx="17">
                  <c:v>13637.841725925478</c:v>
                </c:pt>
                <c:pt idx="18">
                  <c:v>5096.0265002171318</c:v>
                </c:pt>
                <c:pt idx="19">
                  <c:v>9377.6345015550251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5-427D-AB58-E85B374E4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83829888"/>
        <c:axId val="83831424"/>
      </c:barChart>
      <c:catAx>
        <c:axId val="838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31424"/>
        <c:crosses val="autoZero"/>
        <c:auto val="1"/>
        <c:lblAlgn val="ctr"/>
        <c:lblOffset val="100"/>
        <c:noMultiLvlLbl val="0"/>
      </c:catAx>
      <c:valAx>
        <c:axId val="83831424"/>
        <c:scaling>
          <c:orientation val="minMax"/>
          <c:max val="26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29888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35</xdr:row>
      <xdr:rowOff>83820</xdr:rowOff>
    </xdr:from>
    <xdr:to>
      <xdr:col>8</xdr:col>
      <xdr:colOff>87630</xdr:colOff>
      <xdr:row>36</xdr:row>
      <xdr:rowOff>129540</xdr:rowOff>
    </xdr:to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1988820" y="13213080"/>
          <a:ext cx="4091940" cy="213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144779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988820" y="18806160"/>
          <a:ext cx="4091940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8</xdr:col>
      <xdr:colOff>87630</xdr:colOff>
      <xdr:row>36</xdr:row>
      <xdr:rowOff>129540</xdr:rowOff>
    </xdr:to>
    <xdr:sp macro="" textlink="">
      <xdr:nvSpPr>
        <xdr:cNvPr id="6" name="Text Box 3"/>
        <xdr:cNvSpPr txBox="1">
          <a:spLocks noChangeArrowheads="1"/>
        </xdr:cNvSpPr>
      </xdr:nvSpPr>
      <xdr:spPr bwMode="auto">
        <a:xfrm>
          <a:off x="2101215" y="7113270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144779</xdr:rowOff>
    </xdr:to>
    <xdr:sp macro="" textlink="">
      <xdr:nvSpPr>
        <xdr:cNvPr id="8" name="Text Box 3"/>
        <xdr:cNvSpPr txBox="1">
          <a:spLocks noChangeArrowheads="1"/>
        </xdr:cNvSpPr>
      </xdr:nvSpPr>
      <xdr:spPr bwMode="auto">
        <a:xfrm>
          <a:off x="2101215" y="130778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54</xdr:row>
      <xdr:rowOff>64769</xdr:rowOff>
    </xdr:from>
    <xdr:to>
      <xdr:col>11</xdr:col>
      <xdr:colOff>390525</xdr:colOff>
      <xdr:row>71</xdr:row>
      <xdr:rowOff>19049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248841</xdr:colOff>
      <xdr:row>35</xdr:row>
      <xdr:rowOff>64294</xdr:rowOff>
    </xdr:from>
    <xdr:to>
      <xdr:col>9</xdr:col>
      <xdr:colOff>610791</xdr:colOff>
      <xdr:row>35</xdr:row>
      <xdr:rowOff>64294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2511029" y="7071122"/>
          <a:ext cx="4320778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4</xdr:col>
      <xdr:colOff>648890</xdr:colOff>
      <xdr:row>55</xdr:row>
      <xdr:rowOff>184547</xdr:rowOff>
    </xdr:from>
    <xdr:to>
      <xdr:col>8</xdr:col>
      <xdr:colOff>541733</xdr:colOff>
      <xdr:row>55</xdr:row>
      <xdr:rowOff>184547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2911078" y="10900172"/>
          <a:ext cx="305990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744855</xdr:colOff>
      <xdr:row>36</xdr:row>
      <xdr:rowOff>129540</xdr:rowOff>
    </xdr:to>
    <xdr:sp macro="" textlink="">
      <xdr:nvSpPr>
        <xdr:cNvPr id="10" name="Text Box 3"/>
        <xdr:cNvSpPr txBox="1">
          <a:spLocks noChangeArrowheads="1"/>
        </xdr:cNvSpPr>
      </xdr:nvSpPr>
      <xdr:spPr bwMode="auto">
        <a:xfrm>
          <a:off x="2205990" y="7084695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144779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>
          <a:off x="2205990" y="130397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744855</xdr:colOff>
      <xdr:row>36</xdr:row>
      <xdr:rowOff>129540</xdr:rowOff>
    </xdr:to>
    <xdr:sp macro="" textlink="">
      <xdr:nvSpPr>
        <xdr:cNvPr id="14" name="Text Box 3"/>
        <xdr:cNvSpPr txBox="1">
          <a:spLocks noChangeArrowheads="1"/>
        </xdr:cNvSpPr>
      </xdr:nvSpPr>
      <xdr:spPr bwMode="auto">
        <a:xfrm>
          <a:off x="2205990" y="7084695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121920</xdr:colOff>
      <xdr:row>33</xdr:row>
      <xdr:rowOff>95250</xdr:rowOff>
    </xdr:from>
    <xdr:to>
      <xdr:col>11</xdr:col>
      <xdr:colOff>361950</xdr:colOff>
      <xdr:row>51</xdr:row>
      <xdr:rowOff>76200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144779</xdr:rowOff>
    </xdr:to>
    <xdr:sp macro="" textlink="">
      <xdr:nvSpPr>
        <xdr:cNvPr id="16" name="Text Box 3"/>
        <xdr:cNvSpPr txBox="1">
          <a:spLocks noChangeArrowheads="1"/>
        </xdr:cNvSpPr>
      </xdr:nvSpPr>
      <xdr:spPr bwMode="auto">
        <a:xfrm>
          <a:off x="2205990" y="130397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54</xdr:row>
      <xdr:rowOff>64769</xdr:rowOff>
    </xdr:from>
    <xdr:to>
      <xdr:col>11</xdr:col>
      <xdr:colOff>390525</xdr:colOff>
      <xdr:row>71</xdr:row>
      <xdr:rowOff>19049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248841</xdr:colOff>
      <xdr:row>35</xdr:row>
      <xdr:rowOff>64294</xdr:rowOff>
    </xdr:from>
    <xdr:to>
      <xdr:col>9</xdr:col>
      <xdr:colOff>610791</xdr:colOff>
      <xdr:row>35</xdr:row>
      <xdr:rowOff>64294</xdr:rowOff>
    </xdr:to>
    <xdr:sp macro="" textlink="">
      <xdr:nvSpPr>
        <xdr:cNvPr id="18" name="Line 4"/>
        <xdr:cNvSpPr>
          <a:spLocks noChangeShapeType="1"/>
        </xdr:cNvSpPr>
      </xdr:nvSpPr>
      <xdr:spPr bwMode="auto">
        <a:xfrm flipV="1">
          <a:off x="2687241" y="7065169"/>
          <a:ext cx="43815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4</xdr:col>
      <xdr:colOff>582215</xdr:colOff>
      <xdr:row>56</xdr:row>
      <xdr:rowOff>0</xdr:rowOff>
    </xdr:from>
    <xdr:to>
      <xdr:col>8</xdr:col>
      <xdr:colOff>342900</xdr:colOff>
      <xdr:row>56</xdr:row>
      <xdr:rowOff>22622</xdr:rowOff>
    </xdr:to>
    <xdr:sp macro="" textlink="">
      <xdr:nvSpPr>
        <xdr:cNvPr id="19" name="Line 4"/>
        <xdr:cNvSpPr>
          <a:spLocks noChangeShapeType="1"/>
        </xdr:cNvSpPr>
      </xdr:nvSpPr>
      <xdr:spPr bwMode="auto">
        <a:xfrm flipV="1">
          <a:off x="3020615" y="10896600"/>
          <a:ext cx="2989660" cy="22622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8</xdr:col>
      <xdr:colOff>87630</xdr:colOff>
      <xdr:row>36</xdr:row>
      <xdr:rowOff>129540</xdr:rowOff>
    </xdr:to>
    <xdr:sp macro="" textlink="">
      <xdr:nvSpPr>
        <xdr:cNvPr id="20" name="Text Box 3"/>
        <xdr:cNvSpPr txBox="1">
          <a:spLocks noChangeArrowheads="1"/>
        </xdr:cNvSpPr>
      </xdr:nvSpPr>
      <xdr:spPr bwMode="auto">
        <a:xfrm>
          <a:off x="2205990" y="7084695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144779</xdr:rowOff>
    </xdr:to>
    <xdr:sp macro="" textlink="">
      <xdr:nvSpPr>
        <xdr:cNvPr id="21" name="Text Box 3"/>
        <xdr:cNvSpPr txBox="1">
          <a:spLocks noChangeArrowheads="1"/>
        </xdr:cNvSpPr>
      </xdr:nvSpPr>
      <xdr:spPr bwMode="auto">
        <a:xfrm>
          <a:off x="2205990" y="130397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8</xdr:col>
      <xdr:colOff>87630</xdr:colOff>
      <xdr:row>36</xdr:row>
      <xdr:rowOff>129540</xdr:rowOff>
    </xdr:to>
    <xdr:sp macro="" textlink="">
      <xdr:nvSpPr>
        <xdr:cNvPr id="22" name="Text Box 3"/>
        <xdr:cNvSpPr txBox="1">
          <a:spLocks noChangeArrowheads="1"/>
        </xdr:cNvSpPr>
      </xdr:nvSpPr>
      <xdr:spPr bwMode="auto">
        <a:xfrm>
          <a:off x="2205990" y="7084695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144779</xdr:rowOff>
    </xdr:to>
    <xdr:sp macro="" textlink="">
      <xdr:nvSpPr>
        <xdr:cNvPr id="23" name="Text Box 3"/>
        <xdr:cNvSpPr txBox="1">
          <a:spLocks noChangeArrowheads="1"/>
        </xdr:cNvSpPr>
      </xdr:nvSpPr>
      <xdr:spPr bwMode="auto">
        <a:xfrm>
          <a:off x="2205990" y="130397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54</xdr:row>
      <xdr:rowOff>64769</xdr:rowOff>
    </xdr:from>
    <xdr:to>
      <xdr:col>11</xdr:col>
      <xdr:colOff>390525</xdr:colOff>
      <xdr:row>71</xdr:row>
      <xdr:rowOff>19049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248841</xdr:colOff>
      <xdr:row>35</xdr:row>
      <xdr:rowOff>64294</xdr:rowOff>
    </xdr:from>
    <xdr:to>
      <xdr:col>9</xdr:col>
      <xdr:colOff>610791</xdr:colOff>
      <xdr:row>35</xdr:row>
      <xdr:rowOff>64294</xdr:rowOff>
    </xdr:to>
    <xdr:sp macro="" textlink="">
      <xdr:nvSpPr>
        <xdr:cNvPr id="25" name="Line 4"/>
        <xdr:cNvSpPr>
          <a:spLocks noChangeShapeType="1"/>
        </xdr:cNvSpPr>
      </xdr:nvSpPr>
      <xdr:spPr bwMode="auto">
        <a:xfrm flipV="1">
          <a:off x="2687241" y="7065169"/>
          <a:ext cx="43815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4</xdr:col>
      <xdr:colOff>648890</xdr:colOff>
      <xdr:row>55</xdr:row>
      <xdr:rowOff>184547</xdr:rowOff>
    </xdr:from>
    <xdr:to>
      <xdr:col>8</xdr:col>
      <xdr:colOff>541733</xdr:colOff>
      <xdr:row>55</xdr:row>
      <xdr:rowOff>184547</xdr:rowOff>
    </xdr:to>
    <xdr:sp macro="" textlink="">
      <xdr:nvSpPr>
        <xdr:cNvPr id="26" name="Line 4"/>
        <xdr:cNvSpPr>
          <a:spLocks noChangeShapeType="1"/>
        </xdr:cNvSpPr>
      </xdr:nvSpPr>
      <xdr:spPr bwMode="auto">
        <a:xfrm flipV="1">
          <a:off x="3087290" y="10890647"/>
          <a:ext cx="3121818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744855</xdr:colOff>
      <xdr:row>36</xdr:row>
      <xdr:rowOff>129540</xdr:rowOff>
    </xdr:to>
    <xdr:sp macro="" textlink="">
      <xdr:nvSpPr>
        <xdr:cNvPr id="27" name="Text Box 3"/>
        <xdr:cNvSpPr txBox="1">
          <a:spLocks noChangeArrowheads="1"/>
        </xdr:cNvSpPr>
      </xdr:nvSpPr>
      <xdr:spPr bwMode="auto">
        <a:xfrm>
          <a:off x="2205990" y="7084695"/>
          <a:ext cx="34156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144779</xdr:rowOff>
    </xdr:to>
    <xdr:sp macro="" textlink="">
      <xdr:nvSpPr>
        <xdr:cNvPr id="28" name="Text Box 3"/>
        <xdr:cNvSpPr txBox="1">
          <a:spLocks noChangeArrowheads="1"/>
        </xdr:cNvSpPr>
      </xdr:nvSpPr>
      <xdr:spPr bwMode="auto">
        <a:xfrm>
          <a:off x="2205990" y="13039725"/>
          <a:ext cx="341566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744855</xdr:colOff>
      <xdr:row>36</xdr:row>
      <xdr:rowOff>129540</xdr:rowOff>
    </xdr:to>
    <xdr:sp macro="" textlink="">
      <xdr:nvSpPr>
        <xdr:cNvPr id="29" name="Text Box 3"/>
        <xdr:cNvSpPr txBox="1">
          <a:spLocks noChangeArrowheads="1"/>
        </xdr:cNvSpPr>
      </xdr:nvSpPr>
      <xdr:spPr bwMode="auto">
        <a:xfrm>
          <a:off x="2205990" y="7084695"/>
          <a:ext cx="34156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121920</xdr:colOff>
      <xdr:row>33</xdr:row>
      <xdr:rowOff>95250</xdr:rowOff>
    </xdr:from>
    <xdr:to>
      <xdr:col>11</xdr:col>
      <xdr:colOff>361950</xdr:colOff>
      <xdr:row>51</xdr:row>
      <xdr:rowOff>76200</xdr:rowOff>
    </xdr:to>
    <xdr:graphicFrame macro="">
      <xdr:nvGraphicFramePr>
        <xdr:cNvPr id="3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144779</xdr:rowOff>
    </xdr:to>
    <xdr:sp macro="" textlink="">
      <xdr:nvSpPr>
        <xdr:cNvPr id="31" name="Text Box 3"/>
        <xdr:cNvSpPr txBox="1">
          <a:spLocks noChangeArrowheads="1"/>
        </xdr:cNvSpPr>
      </xdr:nvSpPr>
      <xdr:spPr bwMode="auto">
        <a:xfrm>
          <a:off x="2205990" y="13039725"/>
          <a:ext cx="341566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54</xdr:row>
      <xdr:rowOff>64769</xdr:rowOff>
    </xdr:from>
    <xdr:to>
      <xdr:col>11</xdr:col>
      <xdr:colOff>390525</xdr:colOff>
      <xdr:row>71</xdr:row>
      <xdr:rowOff>19049</xdr:rowOff>
    </xdr:to>
    <xdr:graphicFrame macro="">
      <xdr:nvGraphicFramePr>
        <xdr:cNvPr id="3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168527</xdr:colOff>
      <xdr:row>34</xdr:row>
      <xdr:rowOff>182820</xdr:rowOff>
    </xdr:from>
    <xdr:to>
      <xdr:col>9</xdr:col>
      <xdr:colOff>259447</xdr:colOff>
      <xdr:row>34</xdr:row>
      <xdr:rowOff>187149</xdr:rowOff>
    </xdr:to>
    <xdr:sp macro="" textlink="">
      <xdr:nvSpPr>
        <xdr:cNvPr id="33" name="Line 4"/>
        <xdr:cNvSpPr>
          <a:spLocks noChangeShapeType="1"/>
        </xdr:cNvSpPr>
      </xdr:nvSpPr>
      <xdr:spPr bwMode="auto">
        <a:xfrm>
          <a:off x="2603692" y="6967136"/>
          <a:ext cx="4107595" cy="4329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606136</xdr:colOff>
      <xdr:row>56</xdr:row>
      <xdr:rowOff>25977</xdr:rowOff>
    </xdr:from>
    <xdr:to>
      <xdr:col>8</xdr:col>
      <xdr:colOff>380999</xdr:colOff>
      <xdr:row>56</xdr:row>
      <xdr:rowOff>25977</xdr:rowOff>
    </xdr:to>
    <xdr:sp macro="" textlink="">
      <xdr:nvSpPr>
        <xdr:cNvPr id="34" name="Line 4"/>
        <xdr:cNvSpPr>
          <a:spLocks noChangeShapeType="1"/>
        </xdr:cNvSpPr>
      </xdr:nvSpPr>
      <xdr:spPr bwMode="auto">
        <a:xfrm flipV="1">
          <a:off x="3044536" y="10922577"/>
          <a:ext cx="3003838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F75"/>
  <sheetViews>
    <sheetView tabSelected="1" topLeftCell="A19" zoomScale="106" zoomScaleNormal="106" workbookViewId="0">
      <selection activeCell="AC33" sqref="AC33"/>
    </sheetView>
  </sheetViews>
  <sheetFormatPr defaultColWidth="8.85546875" defaultRowHeight="12.75"/>
  <cols>
    <col min="1" max="1" width="12" style="13" customWidth="1"/>
    <col min="2" max="2" width="10.42578125" style="13" bestFit="1" customWidth="1"/>
    <col min="3" max="3" width="1.28515625" style="13" customWidth="1"/>
    <col min="4" max="5" width="12.85546875" style="13" bestFit="1" customWidth="1"/>
    <col min="6" max="7" width="11.85546875" style="59" customWidth="1"/>
    <col min="8" max="8" width="11.85546875" style="13" customWidth="1"/>
    <col min="9" max="10" width="11.85546875" style="59" customWidth="1"/>
    <col min="11" max="11" width="11.85546875" style="60" customWidth="1"/>
    <col min="12" max="12" width="22.5703125" style="13" customWidth="1"/>
    <col min="13" max="13" width="4.5703125" style="13" customWidth="1"/>
    <col min="14" max="21" width="3.140625" style="13" customWidth="1"/>
    <col min="22" max="22" width="18.42578125" style="13" customWidth="1"/>
    <col min="23" max="25" width="3.140625" style="13" customWidth="1"/>
    <col min="26" max="16384" width="8.85546875" style="13"/>
  </cols>
  <sheetData>
    <row r="1" spans="1:32" s="6" customFormat="1" ht="18.75">
      <c r="A1" s="96" t="s">
        <v>71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2" s="9" customFormat="1" ht="15.75">
      <c r="A2" s="101" t="s">
        <v>72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2" s="11" customFormat="1" ht="14.25">
      <c r="A3" s="102" t="s">
        <v>50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2" s="67" customFormat="1" ht="12">
      <c r="A4" s="103" t="s">
        <v>51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spans="1:32" s="9" customFormat="1" ht="6" customHeight="1">
      <c r="A5" s="87"/>
      <c r="B5" s="87"/>
      <c r="C5" s="87"/>
      <c r="D5" s="88"/>
      <c r="E5" s="88"/>
      <c r="F5" s="88"/>
      <c r="G5" s="88"/>
      <c r="H5" s="88"/>
      <c r="I5" s="88"/>
      <c r="J5" s="88"/>
      <c r="K5" s="88"/>
      <c r="L5" s="8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2" s="7" customFormat="1" ht="17.25" customHeight="1">
      <c r="A6" s="16"/>
      <c r="B6" s="17"/>
      <c r="C6" s="17"/>
      <c r="D6" s="104" t="s">
        <v>52</v>
      </c>
      <c r="E6" s="104"/>
      <c r="F6" s="104"/>
      <c r="G6" s="104"/>
      <c r="H6" s="105" t="s">
        <v>53</v>
      </c>
      <c r="I6" s="105"/>
      <c r="J6" s="105"/>
      <c r="K6" s="105"/>
      <c r="L6" s="18"/>
      <c r="M6" s="4"/>
      <c r="N6" s="4"/>
      <c r="O6" s="4"/>
      <c r="P6" s="4"/>
      <c r="Q6" s="4"/>
      <c r="R6" s="68"/>
      <c r="S6" s="68"/>
      <c r="T6" s="68"/>
      <c r="U6" s="68"/>
      <c r="V6" s="68"/>
      <c r="W6" s="68"/>
      <c r="X6" s="68"/>
      <c r="Y6" s="68"/>
      <c r="Z6" s="68"/>
      <c r="AA6" s="68"/>
      <c r="AB6" s="4"/>
      <c r="AC6" s="4"/>
      <c r="AD6" s="4"/>
      <c r="AE6" s="4"/>
    </row>
    <row r="7" spans="1:32" s="63" customFormat="1" ht="35.25" customHeight="1">
      <c r="A7" s="61" t="s">
        <v>54</v>
      </c>
      <c r="B7" s="93" t="s">
        <v>40</v>
      </c>
      <c r="C7" s="94"/>
      <c r="D7" s="94" t="s">
        <v>55</v>
      </c>
      <c r="E7" s="94" t="s">
        <v>56</v>
      </c>
      <c r="F7" s="94" t="s">
        <v>57</v>
      </c>
      <c r="G7" s="95" t="s">
        <v>69</v>
      </c>
      <c r="H7" s="94" t="s">
        <v>58</v>
      </c>
      <c r="I7" s="94" t="s">
        <v>59</v>
      </c>
      <c r="J7" s="94" t="s">
        <v>60</v>
      </c>
      <c r="K7" s="94" t="s">
        <v>61</v>
      </c>
      <c r="L7" s="76" t="s">
        <v>42</v>
      </c>
      <c r="M7" s="62"/>
      <c r="N7" s="62"/>
      <c r="O7" s="62"/>
      <c r="P7" s="62"/>
      <c r="Q7" s="62"/>
      <c r="R7" s="90"/>
      <c r="S7" s="90"/>
      <c r="T7" s="90"/>
      <c r="U7" s="91"/>
      <c r="V7" s="90"/>
      <c r="W7" s="90"/>
      <c r="X7" s="90"/>
      <c r="Y7" s="90"/>
      <c r="Z7" s="92"/>
      <c r="AA7" s="92"/>
      <c r="AB7" s="62"/>
      <c r="AC7" s="62"/>
      <c r="AD7" s="62"/>
      <c r="AE7" s="62"/>
    </row>
    <row r="8" spans="1:32" s="9" customFormat="1" ht="24">
      <c r="A8" s="19"/>
      <c r="B8" s="20" t="s">
        <v>0</v>
      </c>
      <c r="C8" s="20"/>
      <c r="D8" s="21" t="s">
        <v>62</v>
      </c>
      <c r="E8" s="21" t="s">
        <v>63</v>
      </c>
      <c r="F8" s="21" t="s">
        <v>68</v>
      </c>
      <c r="G8" s="82" t="s">
        <v>70</v>
      </c>
      <c r="H8" s="21" t="s">
        <v>64</v>
      </c>
      <c r="I8" s="21" t="s">
        <v>65</v>
      </c>
      <c r="J8" s="21" t="s">
        <v>66</v>
      </c>
      <c r="K8" s="21" t="s">
        <v>67</v>
      </c>
      <c r="L8" s="74"/>
      <c r="M8" s="8"/>
      <c r="N8" s="8"/>
      <c r="O8" s="8"/>
      <c r="P8" s="8"/>
      <c r="Q8" s="8"/>
      <c r="R8" s="66"/>
      <c r="S8" s="66"/>
      <c r="T8" s="66"/>
      <c r="U8" s="66"/>
      <c r="V8" s="66"/>
      <c r="W8" s="66"/>
      <c r="X8" s="66"/>
      <c r="Y8" s="66"/>
      <c r="Z8" s="66"/>
      <c r="AA8" s="66"/>
      <c r="AB8" s="8"/>
      <c r="AC8" s="8"/>
      <c r="AD8" s="8"/>
      <c r="AE8" s="8"/>
    </row>
    <row r="9" spans="1:32" s="7" customFormat="1" ht="15">
      <c r="A9" s="22" t="s">
        <v>43</v>
      </c>
      <c r="B9" s="23">
        <f t="shared" ref="B9:B32" si="0">SUM(D9:K9)</f>
        <v>143159.96433162477</v>
      </c>
      <c r="C9" s="24"/>
      <c r="D9" s="23">
        <f t="shared" ref="D9:K9" si="1">D10+D11+D12</f>
        <v>89683.148024090799</v>
      </c>
      <c r="E9" s="23">
        <f t="shared" si="1"/>
        <v>49376.811349197931</v>
      </c>
      <c r="F9" s="23">
        <f t="shared" si="1"/>
        <v>1074.1737564163373</v>
      </c>
      <c r="G9" s="23">
        <f>G10+G11+G12</f>
        <v>3.4710000000000005</v>
      </c>
      <c r="H9" s="23">
        <f t="shared" si="1"/>
        <v>21.806846050809384</v>
      </c>
      <c r="I9" s="23">
        <f t="shared" si="1"/>
        <v>161.34417921404571</v>
      </c>
      <c r="J9" s="23">
        <f t="shared" si="1"/>
        <v>345.28287397791433</v>
      </c>
      <c r="K9" s="23">
        <f t="shared" si="1"/>
        <v>2493.9263026769763</v>
      </c>
      <c r="L9" s="72" t="s">
        <v>44</v>
      </c>
      <c r="M9" s="14"/>
      <c r="N9" s="4"/>
      <c r="O9" s="4"/>
      <c r="P9" s="4"/>
      <c r="Q9" s="4"/>
      <c r="R9" s="68"/>
      <c r="S9" s="68"/>
      <c r="T9" s="68"/>
      <c r="U9" s="69"/>
      <c r="V9" s="69"/>
      <c r="W9" s="68"/>
      <c r="X9" s="68"/>
      <c r="Y9" s="68"/>
      <c r="Z9" s="68"/>
      <c r="AA9" s="68"/>
      <c r="AB9" s="4"/>
      <c r="AC9" s="4"/>
      <c r="AD9" s="4"/>
      <c r="AE9" s="4"/>
      <c r="AF9" s="4"/>
    </row>
    <row r="10" spans="1:32" s="7" customFormat="1" ht="15">
      <c r="A10" s="22" t="s">
        <v>45</v>
      </c>
      <c r="B10" s="25">
        <f t="shared" si="0"/>
        <v>25501.210143903223</v>
      </c>
      <c r="C10" s="26"/>
      <c r="D10" s="79">
        <v>18612.386313689938</v>
      </c>
      <c r="E10" s="79">
        <v>6699.1011671288443</v>
      </c>
      <c r="F10" s="79">
        <v>28.396581451086142</v>
      </c>
      <c r="G10" s="79">
        <v>0</v>
      </c>
      <c r="H10" s="79">
        <v>4.2030707799097407</v>
      </c>
      <c r="I10" s="79">
        <v>10.095125977792</v>
      </c>
      <c r="J10" s="79">
        <v>8.6406714319849165</v>
      </c>
      <c r="K10" s="79">
        <v>138.38721344367235</v>
      </c>
      <c r="L10" s="72" t="s">
        <v>46</v>
      </c>
      <c r="M10" s="14"/>
      <c r="N10" s="4"/>
      <c r="O10" s="4"/>
      <c r="P10" s="4"/>
      <c r="Q10" s="4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4"/>
      <c r="AC10" s="4"/>
      <c r="AD10" s="4"/>
      <c r="AE10" s="4"/>
      <c r="AF10" s="4"/>
    </row>
    <row r="11" spans="1:32" s="7" customFormat="1" ht="15">
      <c r="A11" s="22" t="s">
        <v>47</v>
      </c>
      <c r="B11" s="25">
        <f t="shared" si="0"/>
        <v>115123.06910772159</v>
      </c>
      <c r="C11" s="26"/>
      <c r="D11" s="79">
        <f t="shared" ref="D11:K11" si="2">SUM(D13:D32)</f>
        <v>71069.609710400851</v>
      </c>
      <c r="E11" s="79">
        <f t="shared" si="2"/>
        <v>41408.526382069089</v>
      </c>
      <c r="F11" s="79">
        <f t="shared" si="2"/>
        <v>353.80321496525119</v>
      </c>
      <c r="G11" s="79">
        <f>SUM(G13:G32)</f>
        <v>0</v>
      </c>
      <c r="H11" s="79">
        <f t="shared" si="2"/>
        <v>17.603775270899643</v>
      </c>
      <c r="I11" s="79">
        <f t="shared" si="2"/>
        <v>151.2490532362537</v>
      </c>
      <c r="J11" s="79">
        <f t="shared" si="2"/>
        <v>336.64220254592942</v>
      </c>
      <c r="K11" s="79">
        <f t="shared" si="2"/>
        <v>1785.6347692333038</v>
      </c>
      <c r="L11" s="72" t="s">
        <v>48</v>
      </c>
      <c r="M11" s="1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7" customFormat="1" ht="15.75">
      <c r="A12" s="89" t="s">
        <v>73</v>
      </c>
      <c r="B12" s="25">
        <f>SUM(D12:K12)</f>
        <v>2535.6850800000002</v>
      </c>
      <c r="C12" s="24"/>
      <c r="D12" s="79">
        <v>1.1520000000000001</v>
      </c>
      <c r="E12" s="79">
        <v>1269.1838000000002</v>
      </c>
      <c r="F12" s="79">
        <v>691.97395999999981</v>
      </c>
      <c r="G12" s="79">
        <v>3.4710000000000005</v>
      </c>
      <c r="H12" s="79">
        <v>0</v>
      </c>
      <c r="I12" s="79">
        <v>0</v>
      </c>
      <c r="J12" s="79">
        <v>0</v>
      </c>
      <c r="K12" s="80">
        <v>569.90431999999998</v>
      </c>
      <c r="L12" s="75" t="s">
        <v>74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7" customFormat="1" ht="15">
      <c r="A13" s="70" t="s">
        <v>21</v>
      </c>
      <c r="B13" s="64">
        <f t="shared" si="0"/>
        <v>3548.6896117828474</v>
      </c>
      <c r="C13" s="24"/>
      <c r="D13" s="81">
        <v>567.82442855653244</v>
      </c>
      <c r="E13" s="81">
        <v>2915.9519128737697</v>
      </c>
      <c r="F13" s="81">
        <v>10.793914195330593</v>
      </c>
      <c r="G13" s="81">
        <v>0</v>
      </c>
      <c r="H13" s="81">
        <v>0.12742174157019862</v>
      </c>
      <c r="I13" s="81">
        <v>6.2972194022373515E-2</v>
      </c>
      <c r="J13" s="81">
        <v>5.3488138396546434</v>
      </c>
      <c r="K13" s="81">
        <v>48.580148381967476</v>
      </c>
      <c r="L13" s="77" t="s">
        <v>1</v>
      </c>
      <c r="M13" s="1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7" customFormat="1" ht="15">
      <c r="A14" s="70" t="s">
        <v>22</v>
      </c>
      <c r="B14" s="64">
        <f t="shared" si="0"/>
        <v>2665.1350675685076</v>
      </c>
      <c r="C14" s="24"/>
      <c r="D14" s="81">
        <v>512.71868038421144</v>
      </c>
      <c r="E14" s="81">
        <v>1925.7017151684965</v>
      </c>
      <c r="F14" s="81">
        <v>11.310987929238644</v>
      </c>
      <c r="G14" s="81">
        <v>0</v>
      </c>
      <c r="H14" s="81">
        <v>0</v>
      </c>
      <c r="I14" s="81">
        <v>47.629877660558861</v>
      </c>
      <c r="J14" s="81">
        <v>145.31433945532405</v>
      </c>
      <c r="K14" s="81">
        <v>22.459466970677617</v>
      </c>
      <c r="L14" s="77" t="s">
        <v>2</v>
      </c>
      <c r="M14" s="1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7" customFormat="1" ht="15">
      <c r="A15" s="70" t="s">
        <v>23</v>
      </c>
      <c r="B15" s="64">
        <f t="shared" si="0"/>
        <v>3221.2989848185966</v>
      </c>
      <c r="C15" s="24"/>
      <c r="D15" s="81">
        <v>153.80081211308996</v>
      </c>
      <c r="E15" s="81">
        <v>2831.7894647613534</v>
      </c>
      <c r="F15" s="81">
        <v>9.0986510248749077</v>
      </c>
      <c r="G15" s="81">
        <v>0</v>
      </c>
      <c r="H15" s="81">
        <v>5.559650654655651</v>
      </c>
      <c r="I15" s="81">
        <v>0.12317435018452533</v>
      </c>
      <c r="J15" s="81">
        <v>0</v>
      </c>
      <c r="K15" s="81">
        <v>220.92723191443795</v>
      </c>
      <c r="L15" s="77" t="s">
        <v>3</v>
      </c>
      <c r="M15" s="1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7" customFormat="1" ht="15">
      <c r="A16" s="70" t="s">
        <v>24</v>
      </c>
      <c r="B16" s="64">
        <f t="shared" si="0"/>
        <v>2037.369549684689</v>
      </c>
      <c r="C16" s="24"/>
      <c r="D16" s="81">
        <v>193.93385930874481</v>
      </c>
      <c r="E16" s="81">
        <v>1801.4256655262031</v>
      </c>
      <c r="F16" s="81">
        <v>9.6268049102238464</v>
      </c>
      <c r="G16" s="81">
        <v>0</v>
      </c>
      <c r="H16" s="81">
        <v>9.6027979154352572E-2</v>
      </c>
      <c r="I16" s="81">
        <v>15.940275201241167</v>
      </c>
      <c r="J16" s="81">
        <v>14.832998733915206</v>
      </c>
      <c r="K16" s="81">
        <v>1.513918025206505</v>
      </c>
      <c r="L16" s="77" t="s">
        <v>4</v>
      </c>
      <c r="M16" s="1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3" customFormat="1" ht="15">
      <c r="A17" s="70" t="s">
        <v>25</v>
      </c>
      <c r="B17" s="64">
        <f t="shared" si="0"/>
        <v>4736.5105807719865</v>
      </c>
      <c r="C17" s="24"/>
      <c r="D17" s="81">
        <v>1377.082586972128</v>
      </c>
      <c r="E17" s="81">
        <v>3271.8361280149738</v>
      </c>
      <c r="F17" s="81">
        <v>1.0039909889778245</v>
      </c>
      <c r="G17" s="81">
        <v>0</v>
      </c>
      <c r="H17" s="81">
        <v>0</v>
      </c>
      <c r="I17" s="81">
        <v>9.1623618956600072</v>
      </c>
      <c r="J17" s="81">
        <v>71.12718548286621</v>
      </c>
      <c r="K17" s="81">
        <v>6.2983274173814401</v>
      </c>
      <c r="L17" s="77" t="s">
        <v>5</v>
      </c>
      <c r="M17" s="1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3" customFormat="1" ht="15">
      <c r="A18" s="70" t="s">
        <v>26</v>
      </c>
      <c r="B18" s="64">
        <f t="shared" si="0"/>
        <v>1609.2743994481875</v>
      </c>
      <c r="C18" s="24"/>
      <c r="D18" s="81">
        <v>147.83488923893512</v>
      </c>
      <c r="E18" s="81">
        <v>1207.522512398504</v>
      </c>
      <c r="F18" s="81">
        <v>0.31449163173050471</v>
      </c>
      <c r="G18" s="81">
        <v>0</v>
      </c>
      <c r="H18" s="81">
        <v>0</v>
      </c>
      <c r="I18" s="81">
        <v>0</v>
      </c>
      <c r="J18" s="81">
        <v>0</v>
      </c>
      <c r="K18" s="81">
        <v>253.60250617901784</v>
      </c>
      <c r="L18" s="77" t="s">
        <v>6</v>
      </c>
      <c r="M18" s="1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3" customFormat="1" ht="15">
      <c r="A19" s="70" t="s">
        <v>27</v>
      </c>
      <c r="B19" s="64">
        <f t="shared" si="0"/>
        <v>3285.6221078384801</v>
      </c>
      <c r="C19" s="24"/>
      <c r="D19" s="81">
        <v>1906.6120731224528</v>
      </c>
      <c r="E19" s="81">
        <v>1291.8243857498842</v>
      </c>
      <c r="F19" s="81">
        <v>28.230379179472845</v>
      </c>
      <c r="G19" s="81">
        <v>0</v>
      </c>
      <c r="H19" s="81">
        <v>0</v>
      </c>
      <c r="I19" s="81">
        <v>17.538956384970454</v>
      </c>
      <c r="J19" s="81">
        <v>28.093723978368576</v>
      </c>
      <c r="K19" s="81">
        <v>13.322589423331653</v>
      </c>
      <c r="L19" s="77" t="s">
        <v>7</v>
      </c>
      <c r="M19" s="1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3" customFormat="1" ht="15">
      <c r="A20" s="70" t="s">
        <v>28</v>
      </c>
      <c r="B20" s="64">
        <f t="shared" si="0"/>
        <v>3352.3710822809958</v>
      </c>
      <c r="C20" s="24"/>
      <c r="D20" s="81">
        <v>1430.1776385293899</v>
      </c>
      <c r="E20" s="81">
        <v>1808.2040774385991</v>
      </c>
      <c r="F20" s="81">
        <v>6.8549203580953213</v>
      </c>
      <c r="G20" s="81">
        <v>0</v>
      </c>
      <c r="H20" s="81">
        <v>0</v>
      </c>
      <c r="I20" s="81">
        <v>34.771361913409692</v>
      </c>
      <c r="J20" s="81">
        <v>49.646465222800259</v>
      </c>
      <c r="K20" s="81">
        <v>22.716618818701534</v>
      </c>
      <c r="L20" s="77" t="s">
        <v>8</v>
      </c>
      <c r="M20" s="15"/>
      <c r="AB20" s="4"/>
      <c r="AC20" s="4"/>
      <c r="AD20" s="4"/>
      <c r="AE20" s="4"/>
      <c r="AF20" s="4"/>
    </row>
    <row r="21" spans="1:32" s="3" customFormat="1" ht="15">
      <c r="A21" s="70" t="s">
        <v>49</v>
      </c>
      <c r="B21" s="64">
        <f t="shared" si="0"/>
        <v>2349.3707511765833</v>
      </c>
      <c r="C21" s="24"/>
      <c r="D21" s="81">
        <v>103.1767081948221</v>
      </c>
      <c r="E21" s="81">
        <v>2229.13984322233</v>
      </c>
      <c r="F21" s="81">
        <v>10.657258994226321</v>
      </c>
      <c r="G21" s="81">
        <v>0</v>
      </c>
      <c r="H21" s="81">
        <v>0</v>
      </c>
      <c r="I21" s="81">
        <v>6.291679326516908</v>
      </c>
      <c r="J21" s="81">
        <v>0</v>
      </c>
      <c r="K21" s="81">
        <v>0.10526143868842494</v>
      </c>
      <c r="L21" s="77" t="s">
        <v>9</v>
      </c>
      <c r="M21" s="15"/>
      <c r="AB21" s="4"/>
      <c r="AC21" s="4"/>
      <c r="AD21" s="4"/>
      <c r="AE21" s="4"/>
      <c r="AF21" s="4"/>
    </row>
    <row r="22" spans="1:32" s="3" customFormat="1" ht="15">
      <c r="A22" s="70" t="s">
        <v>29</v>
      </c>
      <c r="B22" s="64">
        <f t="shared" si="0"/>
        <v>3069.7628263915908</v>
      </c>
      <c r="C22" s="24"/>
      <c r="D22" s="81">
        <v>37.869556925472345</v>
      </c>
      <c r="E22" s="81">
        <v>2890.3534944006469</v>
      </c>
      <c r="F22" s="81">
        <v>3.1744633878140789</v>
      </c>
      <c r="G22" s="81">
        <v>0</v>
      </c>
      <c r="H22" s="81">
        <v>4.1587501741461939</v>
      </c>
      <c r="I22" s="81">
        <v>0</v>
      </c>
      <c r="J22" s="81">
        <v>0</v>
      </c>
      <c r="K22" s="81">
        <v>134.20656150351124</v>
      </c>
      <c r="L22" s="77" t="s">
        <v>10</v>
      </c>
      <c r="M22" s="15"/>
      <c r="AB22" s="4"/>
      <c r="AC22" s="4"/>
      <c r="AD22" s="4"/>
      <c r="AE22" s="4"/>
      <c r="AF22" s="4"/>
    </row>
    <row r="23" spans="1:32" s="3" customFormat="1" ht="15">
      <c r="A23" s="70" t="s">
        <v>30</v>
      </c>
      <c r="B23" s="64">
        <f t="shared" si="0"/>
        <v>240.41875105324056</v>
      </c>
      <c r="C23" s="24"/>
      <c r="D23" s="81">
        <v>114.9898116535236</v>
      </c>
      <c r="E23" s="81">
        <v>120.97471852048045</v>
      </c>
      <c r="F23" s="81">
        <v>4.4542208792365079</v>
      </c>
      <c r="G23" s="81">
        <v>0</v>
      </c>
      <c r="H23" s="81">
        <v>0</v>
      </c>
      <c r="I23" s="81">
        <v>0</v>
      </c>
      <c r="J23" s="81">
        <v>0</v>
      </c>
      <c r="K23" s="81">
        <v>0</v>
      </c>
      <c r="L23" s="77" t="s">
        <v>11</v>
      </c>
      <c r="M23" s="15"/>
      <c r="AB23" s="4"/>
      <c r="AC23" s="4"/>
      <c r="AD23" s="4"/>
      <c r="AE23" s="4"/>
      <c r="AF23" s="4"/>
    </row>
    <row r="24" spans="1:32" s="3" customFormat="1" ht="15">
      <c r="A24" s="70" t="s">
        <v>31</v>
      </c>
      <c r="B24" s="64">
        <f t="shared" si="0"/>
        <v>3303.4787321652643</v>
      </c>
      <c r="C24" s="24"/>
      <c r="D24" s="81">
        <v>1933.9451447044069</v>
      </c>
      <c r="E24" s="81">
        <v>1246.1245227349759</v>
      </c>
      <c r="F24" s="81">
        <v>18.064340232459173</v>
      </c>
      <c r="G24" s="81">
        <v>0</v>
      </c>
      <c r="H24" s="81">
        <v>0</v>
      </c>
      <c r="I24" s="81">
        <v>0</v>
      </c>
      <c r="J24" s="81">
        <v>0</v>
      </c>
      <c r="K24" s="81">
        <v>105.34472449342223</v>
      </c>
      <c r="L24" s="77" t="s">
        <v>12</v>
      </c>
      <c r="M24" s="15"/>
      <c r="AB24" s="4"/>
      <c r="AC24" s="4"/>
      <c r="AD24" s="4"/>
      <c r="AE24" s="4"/>
      <c r="AF24" s="4"/>
    </row>
    <row r="25" spans="1:32" s="3" customFormat="1" ht="15">
      <c r="A25" s="70" t="s">
        <v>32</v>
      </c>
      <c r="B25" s="64">
        <f t="shared" si="0"/>
        <v>2969.6042037139136</v>
      </c>
      <c r="C25" s="24"/>
      <c r="D25" s="81">
        <v>352.44340337966833</v>
      </c>
      <c r="E25" s="81">
        <v>1781.7221830903356</v>
      </c>
      <c r="F25" s="81">
        <v>33.143687666743432</v>
      </c>
      <c r="G25" s="81">
        <v>0</v>
      </c>
      <c r="H25" s="81">
        <v>0</v>
      </c>
      <c r="I25" s="81">
        <v>3.0470416462438803E-2</v>
      </c>
      <c r="J25" s="81">
        <v>4.9122004721264975E-2</v>
      </c>
      <c r="K25" s="81">
        <v>802.21533715598252</v>
      </c>
      <c r="L25" s="77" t="s">
        <v>13</v>
      </c>
      <c r="M25" s="15"/>
      <c r="AB25" s="4"/>
      <c r="AC25" s="4"/>
      <c r="AD25" s="4"/>
      <c r="AE25" s="4"/>
      <c r="AF25" s="4"/>
    </row>
    <row r="26" spans="1:32" s="3" customFormat="1" ht="15">
      <c r="A26" s="70" t="s">
        <v>33</v>
      </c>
      <c r="B26" s="64">
        <f t="shared" si="0"/>
        <v>8390.1824668277168</v>
      </c>
      <c r="C26" s="24"/>
      <c r="D26" s="81">
        <v>2533.4204875248106</v>
      </c>
      <c r="E26" s="81">
        <v>5809.2427184875669</v>
      </c>
      <c r="F26" s="81">
        <v>40.512727051695897</v>
      </c>
      <c r="G26" s="81">
        <v>0</v>
      </c>
      <c r="H26" s="81">
        <v>0</v>
      </c>
      <c r="I26" s="81">
        <v>2.2093821973128351</v>
      </c>
      <c r="J26" s="81">
        <v>1.1815134819798998</v>
      </c>
      <c r="K26" s="81">
        <v>3.6156380843520566</v>
      </c>
      <c r="L26" s="77" t="s">
        <v>14</v>
      </c>
      <c r="M26" s="15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32" ht="15">
      <c r="A27" s="70" t="s">
        <v>34</v>
      </c>
      <c r="B27" s="64">
        <f t="shared" si="0"/>
        <v>5794.2599899738352</v>
      </c>
      <c r="C27" s="24"/>
      <c r="D27" s="81">
        <v>3939.7356533742332</v>
      </c>
      <c r="E27" s="81">
        <v>1691.0483362483296</v>
      </c>
      <c r="F27" s="81">
        <v>12.670153172654096</v>
      </c>
      <c r="G27" s="81">
        <v>0</v>
      </c>
      <c r="H27" s="81">
        <v>7.5954438127279271</v>
      </c>
      <c r="I27" s="81">
        <v>6.4264878357143589</v>
      </c>
      <c r="J27" s="81">
        <v>9.9069480724875962</v>
      </c>
      <c r="K27" s="81">
        <v>126.87696745768829</v>
      </c>
      <c r="L27" s="77" t="s">
        <v>15</v>
      </c>
      <c r="M27" s="15"/>
    </row>
    <row r="28" spans="1:32" ht="15">
      <c r="A28" s="70" t="s">
        <v>35</v>
      </c>
      <c r="B28" s="64">
        <f t="shared" si="0"/>
        <v>12223.952593290209</v>
      </c>
      <c r="C28" s="24"/>
      <c r="D28" s="81">
        <v>9346.5269394508941</v>
      </c>
      <c r="E28" s="81">
        <v>2752.450779045646</v>
      </c>
      <c r="F28" s="81">
        <v>116.03134588896692</v>
      </c>
      <c r="G28" s="81">
        <v>0</v>
      </c>
      <c r="H28" s="81">
        <v>0</v>
      </c>
      <c r="I28" s="81">
        <v>5.8724802636700231</v>
      </c>
      <c r="J28" s="81">
        <v>3.0710486410324687</v>
      </c>
      <c r="K28" s="81">
        <v>0</v>
      </c>
      <c r="L28" s="77" t="s">
        <v>16</v>
      </c>
      <c r="M28" s="15"/>
    </row>
    <row r="29" spans="1:32" ht="15">
      <c r="A29" s="70" t="s">
        <v>36</v>
      </c>
      <c r="B29" s="64">
        <f t="shared" si="0"/>
        <v>24214.26468123731</v>
      </c>
      <c r="C29" s="24"/>
      <c r="D29" s="81">
        <v>22726.807941297386</v>
      </c>
      <c r="E29" s="81">
        <v>1430.5806605711339</v>
      </c>
      <c r="F29" s="81">
        <v>27.813026808532772</v>
      </c>
      <c r="G29" s="81">
        <v>0</v>
      </c>
      <c r="H29" s="81">
        <v>2.2160302881773671E-2</v>
      </c>
      <c r="I29" s="81">
        <v>4.2089801940115459</v>
      </c>
      <c r="J29" s="81">
        <v>6.1624108930398931</v>
      </c>
      <c r="K29" s="81">
        <v>18.66950117032227</v>
      </c>
      <c r="L29" s="77" t="s">
        <v>17</v>
      </c>
      <c r="M29" s="15"/>
    </row>
    <row r="30" spans="1:32" ht="15">
      <c r="A30" s="70" t="s">
        <v>37</v>
      </c>
      <c r="B30" s="64">
        <f t="shared" si="0"/>
        <v>13637.841725925478</v>
      </c>
      <c r="C30" s="24"/>
      <c r="D30" s="81">
        <v>12068.801960194738</v>
      </c>
      <c r="E30" s="81">
        <v>1562.6003510516762</v>
      </c>
      <c r="F30" s="81">
        <v>3.6287495968904389</v>
      </c>
      <c r="G30" s="81">
        <v>0</v>
      </c>
      <c r="H30" s="81">
        <v>4.4320605763547342E-2</v>
      </c>
      <c r="I30" s="81">
        <v>0.33240454322660506</v>
      </c>
      <c r="J30" s="81">
        <v>1.3148446376519045</v>
      </c>
      <c r="K30" s="81">
        <v>1.1190952955295705</v>
      </c>
      <c r="L30" s="77" t="s">
        <v>18</v>
      </c>
      <c r="M30" s="15"/>
    </row>
    <row r="31" spans="1:32" ht="15">
      <c r="A31" s="70" t="s">
        <v>38</v>
      </c>
      <c r="B31" s="64">
        <f t="shared" si="0"/>
        <v>5096.0265002171318</v>
      </c>
      <c r="C31" s="24"/>
      <c r="D31" s="81">
        <v>3596.2644395576654</v>
      </c>
      <c r="E31" s="81">
        <v>1497.4795494626435</v>
      </c>
      <c r="F31" s="81">
        <v>0.58540133446018783</v>
      </c>
      <c r="G31" s="81">
        <v>0</v>
      </c>
      <c r="H31" s="81">
        <v>0</v>
      </c>
      <c r="I31" s="81">
        <v>0</v>
      </c>
      <c r="J31" s="81">
        <v>0</v>
      </c>
      <c r="K31" s="81">
        <v>1.6971098623625005</v>
      </c>
      <c r="L31" s="77" t="s">
        <v>19</v>
      </c>
      <c r="M31" s="15"/>
    </row>
    <row r="32" spans="1:32" ht="15">
      <c r="A32" s="71" t="s">
        <v>3</v>
      </c>
      <c r="B32" s="65">
        <f t="shared" si="0"/>
        <v>9377.6345015550251</v>
      </c>
      <c r="C32" s="28"/>
      <c r="D32" s="29">
        <v>8025.6426959177561</v>
      </c>
      <c r="E32" s="29">
        <v>1342.5533633015407</v>
      </c>
      <c r="F32" s="29">
        <v>5.8336997336269203</v>
      </c>
      <c r="G32" s="29">
        <v>0</v>
      </c>
      <c r="H32" s="29">
        <v>0</v>
      </c>
      <c r="I32" s="29">
        <v>0.64818885929187986</v>
      </c>
      <c r="J32" s="29">
        <v>0.5927881020874457</v>
      </c>
      <c r="K32" s="29">
        <v>2.3637656407225247</v>
      </c>
      <c r="L32" s="78" t="s">
        <v>20</v>
      </c>
      <c r="M32" s="30"/>
    </row>
    <row r="33" spans="1:30" ht="14.25">
      <c r="A33" s="1" t="s">
        <v>39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73" t="s">
        <v>41</v>
      </c>
    </row>
    <row r="34" spans="1:30" s="6" customFormat="1" ht="19.5">
      <c r="A34" s="83"/>
      <c r="B34" s="84"/>
      <c r="C34" s="84"/>
      <c r="D34" s="85"/>
      <c r="E34" s="85"/>
      <c r="F34" s="85"/>
      <c r="G34" s="85"/>
      <c r="H34" s="85"/>
      <c r="I34" s="85"/>
      <c r="J34" s="85"/>
      <c r="K34" s="8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s="6" customFormat="1" ht="19.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s="9" customForma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8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8"/>
    </row>
    <row r="37" spans="1:30" s="11" customFormat="1" ht="15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10"/>
    </row>
    <row r="38" spans="1:30" s="9" customFormat="1" ht="12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8"/>
    </row>
    <row r="39" spans="1:30" s="7" customFormat="1" ht="15">
      <c r="A39" s="31"/>
      <c r="B39" s="32"/>
      <c r="C39" s="32"/>
      <c r="D39" s="33"/>
      <c r="E39" s="34"/>
      <c r="F39" s="35"/>
      <c r="G39" s="35"/>
      <c r="H39" s="34"/>
      <c r="I39" s="36"/>
      <c r="J39" s="37"/>
      <c r="K39" s="38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4"/>
    </row>
    <row r="40" spans="1:30" s="7" customFormat="1" ht="15">
      <c r="A40" s="32"/>
      <c r="B40" s="39"/>
      <c r="C40" s="39"/>
      <c r="D40" s="39"/>
      <c r="E40" s="39"/>
      <c r="F40" s="39"/>
      <c r="G40" s="39"/>
      <c r="H40" s="39"/>
      <c r="I40" s="39"/>
      <c r="J40" s="39"/>
      <c r="K40" s="37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4"/>
    </row>
    <row r="41" spans="1:30" s="9" customFormat="1" ht="12">
      <c r="A41" s="40"/>
      <c r="B41" s="41"/>
      <c r="C41" s="41"/>
      <c r="D41" s="42"/>
      <c r="E41" s="42"/>
      <c r="F41" s="42"/>
      <c r="G41" s="42"/>
      <c r="H41" s="42"/>
      <c r="I41" s="42"/>
      <c r="J41" s="42"/>
      <c r="K41" s="40"/>
      <c r="L41" s="8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8"/>
    </row>
    <row r="42" spans="1:30" s="7" customFormat="1" ht="15">
      <c r="A42" s="32"/>
      <c r="B42" s="43"/>
      <c r="C42" s="43"/>
      <c r="D42" s="44"/>
      <c r="E42" s="44"/>
      <c r="F42" s="44"/>
      <c r="G42" s="44"/>
      <c r="H42" s="44"/>
      <c r="I42" s="44"/>
      <c r="J42" s="44"/>
      <c r="K42" s="37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4"/>
    </row>
    <row r="43" spans="1:30" s="7" customFormat="1" ht="15">
      <c r="A43" s="32"/>
      <c r="B43" s="45"/>
      <c r="C43" s="45"/>
      <c r="D43" s="46"/>
      <c r="E43" s="46"/>
      <c r="F43" s="46"/>
      <c r="G43" s="46"/>
      <c r="H43" s="46"/>
      <c r="I43" s="46"/>
      <c r="J43" s="46"/>
      <c r="K43" s="37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4"/>
    </row>
    <row r="44" spans="1:30" s="7" customFormat="1" ht="15">
      <c r="A44" s="32"/>
      <c r="B44" s="45"/>
      <c r="C44" s="45"/>
      <c r="D44" s="45"/>
      <c r="E44" s="45"/>
      <c r="F44" s="45"/>
      <c r="G44" s="45"/>
      <c r="H44" s="45"/>
      <c r="I44" s="45"/>
      <c r="J44" s="45"/>
      <c r="K44" s="37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4"/>
    </row>
    <row r="45" spans="1:30" s="7" customFormat="1" ht="15">
      <c r="A45" s="32"/>
      <c r="B45" s="44"/>
      <c r="C45" s="44"/>
      <c r="D45" s="47"/>
      <c r="E45" s="46"/>
      <c r="F45" s="48"/>
      <c r="G45" s="48"/>
      <c r="H45" s="48"/>
      <c r="I45" s="48"/>
      <c r="J45" s="46"/>
      <c r="K45" s="37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4"/>
    </row>
    <row r="46" spans="1:30" s="7" customFormat="1" ht="15">
      <c r="A46" s="49"/>
      <c r="B46" s="44"/>
      <c r="C46" s="44"/>
      <c r="D46" s="50"/>
      <c r="E46" s="51"/>
      <c r="F46" s="51"/>
      <c r="G46" s="51"/>
      <c r="H46" s="51"/>
      <c r="I46" s="51"/>
      <c r="J46" s="51"/>
      <c r="K46" s="52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4"/>
    </row>
    <row r="47" spans="1:30" s="7" customFormat="1" ht="15">
      <c r="A47" s="49"/>
      <c r="B47" s="44"/>
      <c r="C47" s="44"/>
      <c r="D47" s="50"/>
      <c r="E47" s="51"/>
      <c r="F47" s="51"/>
      <c r="G47" s="51"/>
      <c r="H47" s="51"/>
      <c r="I47" s="51"/>
      <c r="J47" s="51"/>
      <c r="K47" s="52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4"/>
    </row>
    <row r="48" spans="1:30" s="7" customFormat="1" ht="15">
      <c r="A48" s="49"/>
      <c r="B48" s="44"/>
      <c r="C48" s="44"/>
      <c r="D48" s="50"/>
      <c r="E48" s="51"/>
      <c r="F48" s="51"/>
      <c r="G48" s="51"/>
      <c r="H48" s="51"/>
      <c r="I48" s="51"/>
      <c r="J48" s="51"/>
      <c r="K48" s="52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4"/>
    </row>
    <row r="49" spans="1:30" s="7" customFormat="1" ht="15">
      <c r="A49" s="49"/>
      <c r="B49" s="44"/>
      <c r="C49" s="44"/>
      <c r="D49" s="50"/>
      <c r="E49" s="51"/>
      <c r="F49" s="53"/>
      <c r="G49" s="53"/>
      <c r="H49" s="51"/>
      <c r="I49" s="51"/>
      <c r="J49" s="51"/>
      <c r="K49" s="52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"/>
    </row>
    <row r="50" spans="1:30" s="3" customFormat="1" ht="15">
      <c r="A50" s="49"/>
      <c r="B50" s="44"/>
      <c r="C50" s="44"/>
      <c r="D50" s="50"/>
      <c r="E50" s="51"/>
      <c r="F50" s="51"/>
      <c r="G50" s="51"/>
      <c r="H50" s="51"/>
      <c r="I50" s="51"/>
      <c r="J50" s="51"/>
      <c r="K50" s="52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4"/>
    </row>
    <row r="51" spans="1:30" s="3" customFormat="1" ht="15">
      <c r="A51" s="49"/>
      <c r="B51" s="44"/>
      <c r="C51" s="44"/>
      <c r="D51" s="50"/>
      <c r="E51" s="51"/>
      <c r="F51" s="51"/>
      <c r="G51" s="51"/>
      <c r="H51" s="51"/>
      <c r="I51" s="51"/>
      <c r="J51" s="51"/>
      <c r="K51" s="52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4"/>
    </row>
    <row r="52" spans="1:30" s="3" customFormat="1" ht="15">
      <c r="A52" s="49"/>
      <c r="B52" s="44"/>
      <c r="C52" s="44"/>
      <c r="D52" s="50"/>
      <c r="E52" s="51"/>
      <c r="F52" s="51"/>
      <c r="G52" s="51"/>
      <c r="H52" s="51"/>
      <c r="I52" s="51"/>
      <c r="J52" s="51"/>
      <c r="K52" s="52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4"/>
    </row>
    <row r="53" spans="1:30" s="3" customFormat="1" ht="15">
      <c r="A53" s="49"/>
      <c r="B53" s="44"/>
      <c r="C53" s="44"/>
      <c r="D53" s="50"/>
      <c r="E53" s="51"/>
      <c r="F53" s="51"/>
      <c r="G53" s="51"/>
      <c r="H53" s="51"/>
      <c r="I53" s="51"/>
      <c r="J53" s="51"/>
      <c r="K53" s="52"/>
      <c r="W53" s="4"/>
      <c r="X53" s="4"/>
      <c r="Y53" s="4"/>
      <c r="Z53" s="4"/>
      <c r="AA53" s="4"/>
      <c r="AB53" s="4"/>
      <c r="AC53" s="4"/>
      <c r="AD53" s="4"/>
    </row>
    <row r="54" spans="1:30" s="3" customFormat="1" ht="15">
      <c r="A54" s="49"/>
      <c r="B54" s="44"/>
      <c r="C54" s="44"/>
      <c r="D54" s="50"/>
      <c r="E54" s="51"/>
      <c r="F54" s="51"/>
      <c r="G54" s="51"/>
      <c r="H54" s="51"/>
      <c r="I54" s="51"/>
      <c r="J54" s="51"/>
      <c r="K54" s="52"/>
      <c r="W54" s="4"/>
      <c r="X54" s="4"/>
      <c r="Y54" s="4"/>
      <c r="Z54" s="4"/>
      <c r="AA54" s="4"/>
      <c r="AB54" s="4"/>
      <c r="AC54" s="4"/>
      <c r="AD54" s="4"/>
    </row>
    <row r="55" spans="1:30" s="3" customFormat="1" ht="15">
      <c r="A55" s="49"/>
      <c r="B55" s="44"/>
      <c r="C55" s="44"/>
      <c r="D55" s="50"/>
      <c r="E55" s="51"/>
      <c r="F55" s="51"/>
      <c r="G55" s="51"/>
      <c r="H55" s="51"/>
      <c r="I55" s="51"/>
      <c r="J55" s="51"/>
      <c r="K55" s="52"/>
      <c r="W55" s="4"/>
      <c r="X55" s="4"/>
      <c r="Y55" s="4"/>
      <c r="Z55" s="4"/>
      <c r="AA55" s="4"/>
      <c r="AB55" s="4"/>
      <c r="AC55" s="4"/>
      <c r="AD55" s="4"/>
    </row>
    <row r="56" spans="1:30" s="3" customFormat="1" ht="15">
      <c r="A56" s="49"/>
      <c r="B56" s="44"/>
      <c r="C56" s="44"/>
      <c r="D56" s="50"/>
      <c r="E56" s="51"/>
      <c r="F56" s="51"/>
      <c r="G56" s="51"/>
      <c r="H56" s="51"/>
      <c r="I56" s="51"/>
      <c r="J56" s="51"/>
      <c r="K56" s="52"/>
      <c r="W56" s="4"/>
      <c r="X56" s="4"/>
      <c r="Y56" s="4"/>
      <c r="Z56" s="4"/>
      <c r="AA56" s="4"/>
      <c r="AB56" s="4"/>
      <c r="AC56" s="4"/>
      <c r="AD56" s="4"/>
    </row>
    <row r="57" spans="1:30" s="3" customFormat="1" ht="15">
      <c r="A57" s="49"/>
      <c r="B57" s="44"/>
      <c r="C57" s="44"/>
      <c r="D57" s="50"/>
      <c r="E57" s="51"/>
      <c r="F57" s="54"/>
      <c r="G57" s="54"/>
      <c r="H57" s="51"/>
      <c r="I57" s="51"/>
      <c r="J57" s="51"/>
      <c r="K57" s="52"/>
      <c r="W57" s="4"/>
      <c r="X57" s="4"/>
      <c r="Y57" s="4"/>
      <c r="Z57" s="4"/>
      <c r="AA57" s="4"/>
      <c r="AB57" s="4"/>
      <c r="AC57" s="4"/>
      <c r="AD57" s="4"/>
    </row>
    <row r="58" spans="1:30" s="3" customFormat="1" ht="15">
      <c r="A58" s="49"/>
      <c r="B58" s="44"/>
      <c r="C58" s="44"/>
      <c r="D58" s="50"/>
      <c r="E58" s="51"/>
      <c r="F58" s="51"/>
      <c r="G58" s="51"/>
      <c r="H58" s="51"/>
      <c r="I58" s="51"/>
      <c r="J58" s="51"/>
      <c r="K58" s="52"/>
      <c r="W58" s="4"/>
      <c r="X58" s="4"/>
      <c r="Y58" s="4"/>
      <c r="Z58" s="4"/>
      <c r="AA58" s="4"/>
      <c r="AB58" s="4"/>
      <c r="AC58" s="4"/>
      <c r="AD58" s="4"/>
    </row>
    <row r="59" spans="1:30" s="3" customFormat="1" ht="15">
      <c r="A59" s="49"/>
      <c r="B59" s="44"/>
      <c r="C59" s="44"/>
      <c r="D59" s="50"/>
      <c r="E59" s="51"/>
      <c r="F59" s="51"/>
      <c r="G59" s="51"/>
      <c r="H59" s="51"/>
      <c r="I59" s="51"/>
      <c r="J59" s="51"/>
      <c r="K59" s="52"/>
      <c r="L59" s="27"/>
      <c r="M59" s="27"/>
      <c r="N59" s="27"/>
      <c r="O59" s="27"/>
      <c r="P59" s="27"/>
      <c r="Q59" s="27"/>
      <c r="R59" s="27"/>
      <c r="S59" s="27"/>
    </row>
    <row r="60" spans="1:30" ht="15">
      <c r="A60" s="49"/>
      <c r="B60" s="44"/>
      <c r="C60" s="44"/>
      <c r="D60" s="50"/>
      <c r="E60" s="51"/>
      <c r="F60" s="51"/>
      <c r="G60" s="51"/>
      <c r="H60" s="51"/>
      <c r="I60" s="51"/>
      <c r="J60" s="51"/>
      <c r="K60" s="52"/>
    </row>
    <row r="61" spans="1:30" ht="15">
      <c r="A61" s="49"/>
      <c r="B61" s="44"/>
      <c r="C61" s="44"/>
      <c r="D61" s="50"/>
      <c r="E61" s="51"/>
      <c r="F61" s="51"/>
      <c r="G61" s="51"/>
      <c r="H61" s="51"/>
      <c r="I61" s="51"/>
      <c r="J61" s="51"/>
      <c r="K61" s="52"/>
    </row>
    <row r="62" spans="1:30" ht="15">
      <c r="A62" s="49"/>
      <c r="B62" s="44"/>
      <c r="C62" s="44"/>
      <c r="D62" s="50"/>
      <c r="E62" s="51"/>
      <c r="F62" s="55"/>
      <c r="G62" s="55"/>
      <c r="H62" s="53"/>
      <c r="I62" s="51"/>
      <c r="J62" s="51"/>
      <c r="K62" s="52"/>
    </row>
    <row r="63" spans="1:30" ht="15">
      <c r="A63" s="49"/>
      <c r="B63" s="44"/>
      <c r="C63" s="44"/>
      <c r="D63" s="50"/>
      <c r="E63" s="51"/>
      <c r="F63" s="53"/>
      <c r="G63" s="53"/>
      <c r="H63" s="51"/>
      <c r="I63" s="51"/>
      <c r="J63" s="51"/>
      <c r="K63" s="52"/>
    </row>
    <row r="64" spans="1:30" ht="15">
      <c r="A64" s="49"/>
      <c r="B64" s="44"/>
      <c r="C64" s="44"/>
      <c r="D64" s="50"/>
      <c r="E64" s="51"/>
      <c r="F64" s="53"/>
      <c r="G64" s="53"/>
      <c r="H64" s="53"/>
      <c r="I64" s="53"/>
      <c r="J64" s="51"/>
      <c r="K64" s="52"/>
    </row>
    <row r="65" spans="1:11" ht="15">
      <c r="A65" s="49"/>
      <c r="B65" s="44"/>
      <c r="C65" s="44"/>
      <c r="D65" s="50"/>
      <c r="E65" s="51"/>
      <c r="F65" s="53"/>
      <c r="G65" s="53"/>
      <c r="H65" s="53"/>
      <c r="I65" s="53"/>
      <c r="J65" s="51"/>
      <c r="K65" s="52"/>
    </row>
    <row r="66" spans="1:11" ht="15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8"/>
    </row>
    <row r="67" spans="1:11">
      <c r="A67" s="5"/>
    </row>
    <row r="71" spans="1:11">
      <c r="B71" s="60"/>
      <c r="C71" s="60"/>
      <c r="D71" s="60"/>
      <c r="E71" s="60"/>
      <c r="F71" s="60"/>
      <c r="G71" s="60"/>
      <c r="H71" s="60"/>
      <c r="I71" s="60"/>
      <c r="J71" s="60"/>
    </row>
    <row r="72" spans="1:11">
      <c r="B72" s="60"/>
      <c r="C72" s="60"/>
      <c r="D72" s="60"/>
      <c r="E72" s="60"/>
      <c r="F72" s="60"/>
      <c r="G72" s="60"/>
      <c r="H72" s="60"/>
      <c r="I72" s="60"/>
      <c r="J72" s="60"/>
    </row>
    <row r="73" spans="1:11">
      <c r="B73" s="60"/>
      <c r="C73" s="60"/>
      <c r="D73" s="60"/>
      <c r="E73" s="60"/>
      <c r="F73" s="60"/>
      <c r="G73" s="60"/>
      <c r="H73" s="60"/>
      <c r="I73" s="60"/>
      <c r="J73" s="60"/>
    </row>
    <row r="74" spans="1:11">
      <c r="B74" s="60"/>
      <c r="C74" s="60"/>
      <c r="D74" s="60"/>
      <c r="E74" s="60"/>
      <c r="F74" s="60"/>
      <c r="G74" s="60"/>
      <c r="H74" s="60"/>
      <c r="I74" s="60"/>
      <c r="J74" s="60"/>
    </row>
    <row r="75" spans="1:11">
      <c r="B75" s="60"/>
      <c r="C75" s="60"/>
      <c r="D75" s="60"/>
      <c r="E75" s="60"/>
      <c r="F75" s="60"/>
      <c r="G75" s="60"/>
      <c r="H75" s="60"/>
      <c r="I75" s="60"/>
      <c r="J75" s="60"/>
    </row>
  </sheetData>
  <mergeCells count="10">
    <mergeCell ref="A35:K35"/>
    <mergeCell ref="A36:K36"/>
    <mergeCell ref="A37:K37"/>
    <mergeCell ref="A38:K38"/>
    <mergeCell ref="A1:L1"/>
    <mergeCell ref="A2:L2"/>
    <mergeCell ref="A3:L3"/>
    <mergeCell ref="A4:L4"/>
    <mergeCell ref="D6:G6"/>
    <mergeCell ref="H6:K6"/>
  </mergeCells>
  <pageMargins left="0.25" right="0.33" top="0.53" bottom="0.51" header="0.3" footer="0.3"/>
  <pageSetup paperSize="9" scale="68" orientation="portrait" r:id="rId1"/>
  <ignoredErrors>
    <ignoredError sqref="D11:K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2018-11-21T07:19:56Z</cp:lastPrinted>
  <dcterms:created xsi:type="dcterms:W3CDTF">2014-03-04T03:52:57Z</dcterms:created>
  <dcterms:modified xsi:type="dcterms:W3CDTF">2018-11-21T07:20:06Z</dcterms:modified>
</cp:coreProperties>
</file>