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9" sheetId="24" r:id="rId1"/>
  </sheets>
  <externalReferences>
    <externalReference r:id="rId2"/>
    <externalReference r:id="rId3"/>
  </externalReferences>
  <definedNames>
    <definedName name="_xlnm.Print_Area" localSheetId="0">'9.9'!$A$1:$K$59</definedName>
  </definedNames>
  <calcPr calcId="162913"/>
</workbook>
</file>

<file path=xl/calcChain.xml><?xml version="1.0" encoding="utf-8"?>
<calcChain xmlns="http://schemas.openxmlformats.org/spreadsheetml/2006/main">
  <c r="H26" i="24" l="1"/>
  <c r="H16" i="24"/>
  <c r="I6" i="24"/>
  <c r="B27" i="24"/>
  <c r="B28" i="24"/>
  <c r="B29" i="24"/>
  <c r="B30" i="24"/>
  <c r="B31" i="24"/>
  <c r="B32" i="24"/>
  <c r="B33" i="24"/>
  <c r="B34" i="24"/>
  <c r="D20" i="24"/>
  <c r="C19" i="24"/>
  <c r="C18" i="24"/>
  <c r="C17" i="24"/>
  <c r="C16" i="24"/>
  <c r="B24" i="24"/>
  <c r="B22" i="24"/>
  <c r="B19" i="24"/>
  <c r="B18" i="24"/>
  <c r="B17" i="24"/>
  <c r="B15" i="24" l="1"/>
  <c r="C6" i="24"/>
  <c r="C20" i="24" l="1"/>
  <c r="B10" i="24" l="1"/>
  <c r="G30" i="24" l="1"/>
  <c r="H30" i="24"/>
  <c r="I30" i="24"/>
  <c r="J30" i="24"/>
  <c r="D30" i="24"/>
  <c r="E30" i="24"/>
  <c r="C30" i="24"/>
  <c r="F30" i="24"/>
  <c r="B14" i="24"/>
  <c r="B13" i="24"/>
  <c r="B12" i="24"/>
  <c r="B11" i="24"/>
  <c r="B9" i="24"/>
  <c r="B8" i="24"/>
  <c r="B7" i="24"/>
  <c r="J6" i="24"/>
  <c r="H6" i="24"/>
  <c r="G6" i="24"/>
  <c r="F6" i="24"/>
  <c r="E6" i="24"/>
  <c r="D6" i="24"/>
  <c r="F23" i="24" l="1"/>
  <c r="F20" i="24"/>
  <c r="H31" i="24"/>
  <c r="J31" i="24"/>
  <c r="C31" i="24"/>
  <c r="F31" i="24"/>
  <c r="D31" i="24"/>
  <c r="E31" i="24"/>
  <c r="G31" i="24"/>
  <c r="I31" i="24"/>
  <c r="H21" i="24"/>
  <c r="H20" i="24"/>
  <c r="J33" i="24"/>
  <c r="C33" i="24"/>
  <c r="E33" i="24"/>
  <c r="G33" i="24"/>
  <c r="H33" i="24"/>
  <c r="F33" i="24"/>
  <c r="I33" i="24"/>
  <c r="D33" i="24"/>
  <c r="G22" i="24"/>
  <c r="G20" i="24"/>
  <c r="I19" i="24"/>
  <c r="I20" i="24"/>
  <c r="C34" i="24"/>
  <c r="E34" i="24"/>
  <c r="F34" i="24"/>
  <c r="I34" i="24"/>
  <c r="G34" i="24"/>
  <c r="H34" i="24"/>
  <c r="J34" i="24"/>
  <c r="D34" i="24"/>
  <c r="J18" i="24"/>
  <c r="J20" i="24"/>
  <c r="D27" i="24"/>
  <c r="G27" i="24"/>
  <c r="I27" i="24"/>
  <c r="J27" i="24"/>
  <c r="H27" i="24"/>
  <c r="C27" i="24"/>
  <c r="E27" i="24"/>
  <c r="F27" i="24"/>
  <c r="I32" i="24"/>
  <c r="J32" i="24"/>
  <c r="D32" i="24"/>
  <c r="F32" i="24"/>
  <c r="G32" i="24"/>
  <c r="E32" i="24"/>
  <c r="H32" i="24"/>
  <c r="C32" i="24"/>
  <c r="D25" i="24"/>
  <c r="E28" i="24"/>
  <c r="F28" i="24"/>
  <c r="G28" i="24"/>
  <c r="H28" i="24"/>
  <c r="C28" i="24"/>
  <c r="I28" i="24"/>
  <c r="J28" i="24"/>
  <c r="D28" i="24"/>
  <c r="F29" i="24"/>
  <c r="I29" i="24"/>
  <c r="C29" i="24"/>
  <c r="D29" i="24"/>
  <c r="J29" i="24"/>
  <c r="E29" i="24"/>
  <c r="G29" i="24"/>
  <c r="H29" i="24"/>
  <c r="E24" i="24"/>
  <c r="E20" i="24"/>
  <c r="E22" i="24"/>
  <c r="I18" i="24"/>
  <c r="I16" i="24"/>
  <c r="I22" i="24"/>
  <c r="I17" i="24"/>
  <c r="I25" i="24"/>
  <c r="H17" i="24"/>
  <c r="E23" i="24"/>
  <c r="E16" i="24"/>
  <c r="E17" i="24"/>
  <c r="E21" i="24"/>
  <c r="E25" i="24"/>
  <c r="E18" i="24"/>
  <c r="I23" i="24"/>
  <c r="H18" i="24"/>
  <c r="D17" i="24"/>
  <c r="I21" i="24"/>
  <c r="B6" i="24"/>
  <c r="J19" i="24"/>
  <c r="H22" i="24"/>
  <c r="G23" i="24"/>
  <c r="F24" i="24"/>
  <c r="F16" i="24"/>
  <c r="D18" i="24"/>
  <c r="J21" i="24"/>
  <c r="H23" i="24"/>
  <c r="G24" i="24"/>
  <c r="F25" i="24"/>
  <c r="C21" i="24"/>
  <c r="H24" i="24"/>
  <c r="G25" i="24"/>
  <c r="G16" i="24"/>
  <c r="F17" i="24"/>
  <c r="D19" i="24"/>
  <c r="J22" i="24"/>
  <c r="G17" i="24"/>
  <c r="F18" i="24"/>
  <c r="E19" i="24"/>
  <c r="D21" i="24"/>
  <c r="C22" i="24"/>
  <c r="J23" i="24"/>
  <c r="I24" i="24"/>
  <c r="H25" i="24"/>
  <c r="G18" i="24"/>
  <c r="F19" i="24"/>
  <c r="D22" i="24"/>
  <c r="C23" i="24"/>
  <c r="J24" i="24"/>
  <c r="J16" i="24"/>
  <c r="G19" i="24"/>
  <c r="F21" i="24"/>
  <c r="D23" i="24"/>
  <c r="C24" i="24"/>
  <c r="J25" i="24"/>
  <c r="G21" i="24"/>
  <c r="D24" i="24"/>
  <c r="C25" i="24"/>
  <c r="J17" i="24"/>
  <c r="H19" i="24"/>
  <c r="F22" i="24"/>
  <c r="D16" i="24"/>
  <c r="AB7" i="24" l="1"/>
  <c r="I26" i="24"/>
  <c r="B26" i="24" s="1"/>
  <c r="AA7" i="24"/>
  <c r="G26" i="24"/>
  <c r="J26" i="24"/>
  <c r="E26" i="24"/>
  <c r="B16" i="24"/>
  <c r="C26" i="24"/>
  <c r="F26" i="24"/>
  <c r="D26" i="24"/>
  <c r="B20" i="24"/>
  <c r="B21" i="24"/>
  <c r="B25" i="24"/>
  <c r="B23" i="24"/>
  <c r="B35" i="24" l="1"/>
</calcChain>
</file>

<file path=xl/sharedStrings.xml><?xml version="1.0" encoding="utf-8"?>
<sst xmlns="http://schemas.openxmlformats.org/spreadsheetml/2006/main" count="87" uniqueCount="38">
  <si>
    <t>Total</t>
  </si>
  <si>
    <t>Source: Ministry of Fisheries  and Agriculture</t>
  </si>
  <si>
    <t xml:space="preserve"> rwCclwkircgea cDcnea  czIrwxif cfoa IrcTcsinim :ctWrwf ivcaedutWmUluAwm</t>
  </si>
  <si>
    <t>Type of fish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</si>
  <si>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</si>
  <si>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</si>
  <si>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</si>
  <si>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</si>
  <si>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</si>
  <si>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</si>
  <si>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</si>
  <si>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</si>
  <si>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</si>
  <si>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</si>
  <si>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</si>
  <si>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</si>
  <si>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ctwvWbeguhwm</t>
  </si>
  <si>
    <t xml:space="preserve">        wlcmuj</t>
  </si>
  <si>
    <t xml:space="preserve">       cswmwlibuLwk</t>
  </si>
  <si>
    <t>Little tuna</t>
  </si>
  <si>
    <t>Other tuna</t>
  </si>
  <si>
    <t>Miscellaneous</t>
  </si>
  <si>
    <r>
      <t xml:space="preserve">Fishing methods  </t>
    </r>
    <r>
      <rPr>
        <b/>
        <sz val="10"/>
        <rFont val="Faruma"/>
      </rPr>
      <t xml:space="preserve">   މަސްބޭނިގޮތް</t>
    </r>
  </si>
  <si>
    <t>Pole and Line</t>
  </si>
  <si>
    <t>Trolling</t>
  </si>
  <si>
    <t>Long Line</t>
  </si>
  <si>
    <t>Hand  Line</t>
  </si>
  <si>
    <t>Hand line (Reef )</t>
  </si>
  <si>
    <t>Percentage share ( % )</t>
  </si>
  <si>
    <t xml:space="preserve"> (%) cniawtcaws ctogWviawfiheb</t>
  </si>
  <si>
    <t>Hand line  (Grouper )</t>
  </si>
  <si>
    <t>Fixed Net</t>
  </si>
  <si>
    <t>cswmuDnwk cnehinehea</t>
  </si>
  <si>
    <t>Albacore</t>
  </si>
  <si>
    <t>ilencnwk ugid ctwfcnwk</t>
  </si>
  <si>
    <t>Other methods</t>
  </si>
  <si>
    <t>Table 9.9 :  FISH CATCH BY TYPE AND FISHING METHODS, 2017 (In metric tons)</t>
  </si>
  <si>
    <t>ތާވަލު 9.9: މަހުގެ ބާވަތުންނާއި މަސްބާނާފައިވާގޮތުން ބޭނުނު އަދަދު،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</si>
</sst>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11"/>
      <name val="Courier"/>
      <family val="3"/>
    </font>
    <font>
      <b/>
      <sz val="10"/>
      <name val="Calibri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2"/>
      <name val="Faruma"/>
    </font>
    <font>
      <b/>
      <sz val="11"/>
      <name val="Arial"/>
      <family val="2"/>
    </font>
    <font>
      <b/>
      <sz val="8"/>
      <name val="A_Faseyha"/>
    </font>
    <font>
      <b/>
      <sz val="10"/>
      <name val="A_Waheed"/>
    </font>
    <font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  <font>
      <sz val="9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40" fontId="6" fillId="0" borderId="0" applyFont="0" applyFill="0" applyBorder="0" applyAlignment="0" applyProtection="0"/>
    <xf numFmtId="164" fontId="1" fillId="0" borderId="0"/>
    <xf numFmtId="165" fontId="1" fillId="0" borderId="0"/>
    <xf numFmtId="0" fontId="1" fillId="0" borderId="0"/>
    <xf numFmtId="0" fontId="3" fillId="0" borderId="0"/>
    <xf numFmtId="0" fontId="3" fillId="0" borderId="0"/>
  </cellStyleXfs>
  <cellXfs count="64">
    <xf numFmtId="0" fontId="0" fillId="0" borderId="0" xfId="0"/>
    <xf numFmtId="165" fontId="11" fillId="2" borderId="0" xfId="3" applyFont="1" applyFill="1" applyAlignment="1" applyProtection="1">
      <alignment horizontal="left" vertical="center"/>
    </xf>
    <xf numFmtId="165" fontId="15" fillId="2" borderId="0" xfId="3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8" fillId="2" borderId="0" xfId="3" applyFont="1" applyFill="1" applyAlignment="1" applyProtection="1">
      <alignment horizontal="left" vertical="center"/>
    </xf>
    <xf numFmtId="165" fontId="15" fillId="2" borderId="0" xfId="3" applyFont="1" applyFill="1" applyAlignment="1">
      <alignment horizontal="left" vertical="center"/>
    </xf>
    <xf numFmtId="165" fontId="2" fillId="2" borderId="0" xfId="3" applyFont="1" applyFill="1" applyAlignment="1">
      <alignment vertical="center"/>
    </xf>
    <xf numFmtId="165" fontId="16" fillId="2" borderId="0" xfId="3" applyFont="1" applyFill="1" applyAlignment="1">
      <alignment vertical="center"/>
    </xf>
    <xf numFmtId="165" fontId="8" fillId="2" borderId="0" xfId="3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8" fillId="2" borderId="2" xfId="3" applyFont="1" applyFill="1" applyBorder="1" applyAlignment="1" applyProtection="1">
      <alignment horizontal="right" vertical="center" wrapText="1"/>
    </xf>
    <xf numFmtId="165" fontId="3" fillId="2" borderId="0" xfId="3" applyFont="1" applyFill="1" applyAlignment="1">
      <alignment horizontal="center" vertical="center"/>
    </xf>
    <xf numFmtId="165" fontId="12" fillId="2" borderId="0" xfId="3" applyFont="1" applyFill="1" applyAlignment="1">
      <alignment horizontal="center" vertical="center"/>
    </xf>
    <xf numFmtId="165" fontId="19" fillId="2" borderId="0" xfId="3" applyFont="1" applyFill="1" applyAlignment="1">
      <alignment horizontal="center" vertical="center"/>
    </xf>
    <xf numFmtId="165" fontId="1" fillId="2" borderId="0" xfId="3" applyFont="1" applyFill="1" applyBorder="1" applyAlignment="1">
      <alignment vertical="center"/>
    </xf>
    <xf numFmtId="165" fontId="2" fillId="2" borderId="0" xfId="3" applyFont="1" applyFill="1" applyBorder="1" applyAlignment="1">
      <alignment vertical="center"/>
    </xf>
    <xf numFmtId="3" fontId="4" fillId="2" borderId="0" xfId="3" applyNumberFormat="1" applyFont="1" applyFill="1" applyAlignment="1" applyProtection="1">
      <alignment horizontal="right" vertical="center"/>
    </xf>
    <xf numFmtId="165" fontId="17" fillId="2" borderId="0" xfId="3" applyFont="1" applyFill="1" applyBorder="1" applyAlignment="1" applyProtection="1">
      <alignment horizontal="left" vertical="center" wrapText="1"/>
    </xf>
    <xf numFmtId="165" fontId="17" fillId="2" borderId="0" xfId="3" applyFont="1" applyFill="1" applyBorder="1" applyAlignment="1" applyProtection="1">
      <alignment horizontal="left" vertical="center"/>
    </xf>
    <xf numFmtId="3" fontId="4" fillId="2" borderId="0" xfId="3" applyNumberFormat="1" applyFont="1" applyFill="1" applyBorder="1" applyAlignment="1" applyProtection="1">
      <alignment horizontal="right" vertical="center"/>
    </xf>
    <xf numFmtId="3" fontId="10" fillId="2" borderId="0" xfId="3" applyNumberFormat="1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 applyProtection="1">
      <alignment horizontal="right" vertical="center"/>
    </xf>
    <xf numFmtId="165" fontId="8" fillId="2" borderId="0" xfId="3" applyFont="1" applyFill="1" applyAlignment="1">
      <alignment horizontal="left" vertical="center"/>
    </xf>
    <xf numFmtId="165" fontId="17" fillId="2" borderId="0" xfId="3" applyFont="1" applyFill="1" applyAlignment="1">
      <alignment horizontal="left" vertical="center"/>
    </xf>
    <xf numFmtId="165" fontId="8" fillId="2" borderId="4" xfId="3" applyFont="1" applyFill="1" applyBorder="1" applyAlignment="1">
      <alignment horizontal="right" vertical="center" wrapText="1"/>
    </xf>
    <xf numFmtId="165" fontId="14" fillId="2" borderId="2" xfId="3" applyFont="1" applyFill="1" applyBorder="1" applyAlignment="1">
      <alignment horizontal="right" vertical="center" wrapText="1"/>
    </xf>
    <xf numFmtId="165" fontId="9" fillId="2" borderId="0" xfId="3" applyFont="1" applyFill="1" applyAlignment="1">
      <alignment horizontal="right" vertical="center" wrapText="1"/>
    </xf>
    <xf numFmtId="165" fontId="16" fillId="2" borderId="0" xfId="3" applyFont="1" applyFill="1" applyAlignment="1">
      <alignment horizontal="right" vertical="center" wrapText="1"/>
    </xf>
    <xf numFmtId="165" fontId="9" fillId="2" borderId="0" xfId="3" applyFont="1" applyFill="1" applyBorder="1" applyAlignment="1">
      <alignment vertical="center"/>
    </xf>
    <xf numFmtId="165" fontId="16" fillId="2" borderId="0" xfId="3" applyFont="1" applyFill="1" applyBorder="1" applyAlignment="1">
      <alignment vertical="center"/>
    </xf>
    <xf numFmtId="3" fontId="10" fillId="2" borderId="2" xfId="3" applyNumberFormat="1" applyFont="1" applyFill="1" applyBorder="1" applyAlignment="1" applyProtection="1">
      <alignment horizontal="right" vertical="center"/>
    </xf>
    <xf numFmtId="1" fontId="4" fillId="2" borderId="0" xfId="3" applyNumberFormat="1" applyFont="1" applyFill="1" applyAlignment="1">
      <alignment vertical="center"/>
    </xf>
    <xf numFmtId="165" fontId="17" fillId="2" borderId="2" xfId="3" applyFont="1" applyFill="1" applyBorder="1" applyAlignment="1" applyProtection="1">
      <alignment horizontal="left" vertical="center" wrapText="1"/>
    </xf>
    <xf numFmtId="1" fontId="4" fillId="2" borderId="2" xfId="3" applyNumberFormat="1" applyFont="1" applyFill="1" applyBorder="1" applyAlignment="1">
      <alignment vertical="center"/>
    </xf>
    <xf numFmtId="165" fontId="17" fillId="2" borderId="6" xfId="3" applyFont="1" applyFill="1" applyBorder="1" applyAlignment="1" applyProtection="1">
      <alignment horizontal="left" vertical="center" wrapText="1"/>
    </xf>
    <xf numFmtId="3" fontId="4" fillId="2" borderId="6" xfId="3" applyNumberFormat="1" applyFont="1" applyFill="1" applyBorder="1" applyAlignment="1" applyProtection="1">
      <alignment horizontal="right" vertical="center"/>
    </xf>
    <xf numFmtId="3" fontId="10" fillId="2" borderId="6" xfId="3" applyNumberFormat="1" applyFont="1" applyFill="1" applyBorder="1" applyAlignment="1" applyProtection="1">
      <alignment horizontal="right" vertical="center"/>
    </xf>
    <xf numFmtId="165" fontId="13" fillId="2" borderId="0" xfId="3" applyFont="1" applyFill="1" applyBorder="1" applyAlignment="1" applyProtection="1">
      <alignment horizontal="center" vertical="center"/>
    </xf>
    <xf numFmtId="165" fontId="13" fillId="2" borderId="1" xfId="3" applyFont="1" applyFill="1" applyBorder="1" applyAlignment="1" applyProtection="1">
      <alignment horizontal="center" vertical="center"/>
    </xf>
    <xf numFmtId="165" fontId="21" fillId="2" borderId="0" xfId="0" applyNumberFormat="1" applyFont="1" applyFill="1" applyAlignment="1">
      <alignment horizontal="right"/>
    </xf>
    <xf numFmtId="165" fontId="22" fillId="2" borderId="0" xfId="0" applyNumberFormat="1" applyFont="1" applyFill="1" applyAlignment="1">
      <alignment horizontal="right" vertical="center"/>
    </xf>
    <xf numFmtId="165" fontId="22" fillId="2" borderId="0" xfId="0" applyNumberFormat="1" applyFont="1" applyFill="1" applyBorder="1" applyAlignment="1">
      <alignment horizontal="right" vertical="center"/>
    </xf>
    <xf numFmtId="165" fontId="22" fillId="2" borderId="6" xfId="0" applyNumberFormat="1" applyFont="1" applyFill="1" applyBorder="1" applyAlignment="1">
      <alignment horizontal="right" vertical="center"/>
    </xf>
    <xf numFmtId="165" fontId="23" fillId="2" borderId="0" xfId="3" applyFont="1" applyFill="1" applyAlignment="1">
      <alignment horizontal="right" vertical="center"/>
    </xf>
    <xf numFmtId="165" fontId="22" fillId="2" borderId="2" xfId="0" applyNumberFormat="1" applyFont="1" applyFill="1" applyBorder="1" applyAlignment="1">
      <alignment horizontal="right" vertical="center"/>
    </xf>
    <xf numFmtId="165" fontId="24" fillId="2" borderId="0" xfId="3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/>
    </xf>
    <xf numFmtId="166" fontId="26" fillId="2" borderId="0" xfId="3" applyNumberFormat="1" applyFont="1" applyFill="1" applyAlignment="1">
      <alignment vertical="center"/>
    </xf>
    <xf numFmtId="3" fontId="10" fillId="2" borderId="5" xfId="3" applyNumberFormat="1" applyFont="1" applyFill="1" applyBorder="1" applyAlignment="1">
      <alignment horizontal="right" vertical="center"/>
    </xf>
    <xf numFmtId="165" fontId="22" fillId="2" borderId="5" xfId="0" applyNumberFormat="1" applyFont="1" applyFill="1" applyBorder="1" applyAlignment="1">
      <alignment horizontal="right" vertical="center"/>
    </xf>
    <xf numFmtId="165" fontId="17" fillId="2" borderId="5" xfId="3" applyFont="1" applyFill="1" applyBorder="1" applyAlignment="1" applyProtection="1">
      <alignment horizontal="left" vertical="center" wrapText="1"/>
    </xf>
    <xf numFmtId="3" fontId="4" fillId="2" borderId="5" xfId="3" applyNumberFormat="1" applyFont="1" applyFill="1" applyBorder="1" applyAlignment="1" applyProtection="1">
      <alignment horizontal="right" vertical="center"/>
    </xf>
    <xf numFmtId="3" fontId="10" fillId="2" borderId="5" xfId="1" applyNumberFormat="1" applyFont="1" applyFill="1" applyBorder="1" applyAlignment="1">
      <alignment horizontal="right" vertical="center"/>
    </xf>
    <xf numFmtId="1" fontId="4" fillId="2" borderId="5" xfId="3" applyNumberFormat="1" applyFont="1" applyFill="1" applyBorder="1" applyAlignment="1">
      <alignment vertical="center"/>
    </xf>
    <xf numFmtId="3" fontId="10" fillId="2" borderId="5" xfId="3" applyNumberFormat="1" applyFont="1" applyFill="1" applyBorder="1" applyAlignment="1" applyProtection="1">
      <alignment horizontal="right" vertical="center"/>
    </xf>
    <xf numFmtId="165" fontId="8" fillId="2" borderId="1" xfId="3" applyFont="1" applyFill="1" applyBorder="1" applyAlignment="1" applyProtection="1">
      <alignment horizontal="left" vertical="center"/>
    </xf>
    <xf numFmtId="165" fontId="8" fillId="2" borderId="2" xfId="3" applyFont="1" applyFill="1" applyBorder="1" applyAlignment="1" applyProtection="1">
      <alignment horizontal="left" vertical="center"/>
    </xf>
    <xf numFmtId="165" fontId="18" fillId="2" borderId="0" xfId="3" applyFont="1" applyFill="1" applyAlignment="1">
      <alignment horizontal="center" vertical="center"/>
    </xf>
    <xf numFmtId="165" fontId="7" fillId="2" borderId="0" xfId="3" applyFont="1" applyFill="1" applyBorder="1" applyAlignment="1" applyProtection="1">
      <alignment horizontal="center" vertical="center"/>
    </xf>
    <xf numFmtId="165" fontId="13" fillId="2" borderId="2" xfId="3" applyFont="1" applyFill="1" applyBorder="1" applyAlignment="1">
      <alignment horizontal="center" vertical="center"/>
    </xf>
    <xf numFmtId="165" fontId="13" fillId="2" borderId="0" xfId="3" applyFont="1" applyFill="1" applyBorder="1" applyAlignment="1">
      <alignment horizontal="center" vertical="center"/>
    </xf>
    <xf numFmtId="165" fontId="13" fillId="2" borderId="3" xfId="3" applyFont="1" applyFill="1" applyBorder="1" applyAlignment="1" applyProtection="1">
      <alignment horizontal="center" vertical="center"/>
    </xf>
    <xf numFmtId="165" fontId="20" fillId="2" borderId="1" xfId="3" applyFont="1" applyFill="1" applyBorder="1" applyAlignment="1">
      <alignment horizontal="right" vertical="center"/>
    </xf>
    <xf numFmtId="165" fontId="20" fillId="2" borderId="2" xfId="3" applyFont="1" applyFill="1" applyBorder="1" applyAlignment="1">
      <alignment horizontal="right" vertical="center"/>
    </xf>
  </cellXfs>
  <cellStyles count="7">
    <cellStyle name="1" xfId="5"/>
    <cellStyle name="Comma 2" xfId="1"/>
    <cellStyle name="Normal" xfId="0" builtinId="0"/>
    <cellStyle name="Normal 2" xfId="4"/>
    <cellStyle name="Normal 3_agri planning 2009 year book(final)" xfId="2"/>
    <cellStyle name="Normal 4" xfId="6"/>
    <cellStyle name="Normal_Fish &amp;  Agri - 8" xfId="3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191-451C-B685-80F5BA50971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191-451C-B685-80F5BA509718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6191-451C-B685-80F5BA509718}"/>
              </c:ext>
            </c:extLst>
          </c:dPt>
          <c:dLbls>
            <c:dLbl>
              <c:idx val="0"/>
              <c:layout>
                <c:manualLayout>
                  <c:x val="-0.15866483675905557"/>
                  <c:y val="-0.202361761117888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191-451C-B685-80F5BA509718}"/>
                </c:ext>
              </c:extLst>
            </c:dLbl>
            <c:dLbl>
              <c:idx val="1"/>
              <c:layout>
                <c:manualLayout>
                  <c:x val="0.10231184798246662"/>
                  <c:y val="0.16233603193966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191-451C-B685-80F5BA509718}"/>
                </c:ext>
              </c:extLst>
            </c:dLbl>
            <c:dLbl>
              <c:idx val="2"/>
              <c:layout>
                <c:manualLayout>
                  <c:x val="1.828119583477535E-2"/>
                  <c:y val="7.44283020960408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191-451C-B685-80F5BA509718}"/>
                </c:ext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91-451C-B685-80F5BA509718}"/>
                </c:ext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91-451C-B685-80F5BA509718}"/>
                </c:ext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91-451C-B685-80F5BA509718}"/>
                </c:ext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91-451C-B685-80F5BA5097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'9.9'!$AA$6:$AC$6</c:f>
              <c:strCache>
                <c:ptCount val="3"/>
                <c:pt idx="0">
                  <c:v>Pole and Line</c:v>
                </c:pt>
                <c:pt idx="1">
                  <c:v>Hand  Line</c:v>
                </c:pt>
                <c:pt idx="2">
                  <c:v>Other methods</c:v>
                </c:pt>
              </c:strCache>
            </c:strRef>
          </c:cat>
          <c:val>
            <c:numRef>
              <c:f>'9.9'!$AA$7:$AC$7</c:f>
              <c:numCache>
                <c:formatCode>0.0</c:formatCode>
                <c:ptCount val="3"/>
                <c:pt idx="0">
                  <c:v>75.323621933819481</c:v>
                </c:pt>
                <c:pt idx="1">
                  <c:v>21.586250445996196</c:v>
                </c:pt>
                <c:pt idx="2">
                  <c:v>2.6188629004553108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91-451C-B685-80F5BA5097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37</xdr:row>
      <xdr:rowOff>9524</xdr:rowOff>
    </xdr:from>
    <xdr:to>
      <xdr:col>10</xdr:col>
      <xdr:colOff>457200</xdr:colOff>
      <xdr:row>57</xdr:row>
      <xdr:rowOff>152399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39</xdr:row>
      <xdr:rowOff>47625</xdr:rowOff>
    </xdr:from>
    <xdr:to>
      <xdr:col>9</xdr:col>
      <xdr:colOff>247650</xdr:colOff>
      <xdr:row>39</xdr:row>
      <xdr:rowOff>47625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90775" y="7581900"/>
          <a:ext cx="5143500" cy="0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47"/>
  <sheetViews>
    <sheetView tabSelected="1" zoomScaleNormal="100" workbookViewId="0">
      <selection activeCell="S30" sqref="S30"/>
    </sheetView>
  </sheetViews>
  <sheetFormatPr defaultColWidth="8.85546875" defaultRowHeight="12.75" x14ac:dyDescent="0.25"/>
  <cols>
    <col min="1" max="1" width="16.85546875" style="9" customWidth="1"/>
    <col min="2" max="2" width="12.28515625" style="6" customWidth="1"/>
    <col min="3" max="3" width="12.28515625" style="9" customWidth="1"/>
    <col min="4" max="5" width="10.7109375" style="9" customWidth="1"/>
    <col min="6" max="6" width="11" style="9" customWidth="1"/>
    <col min="7" max="7" width="11.85546875" style="9" customWidth="1"/>
    <col min="8" max="8" width="11.28515625" style="9" customWidth="1"/>
    <col min="9" max="10" width="12.28515625" style="9" customWidth="1"/>
    <col min="11" max="11" width="21.5703125" style="9" customWidth="1"/>
    <col min="12" max="32" width="8.85546875" style="9"/>
    <col min="33" max="33" width="25.5703125" style="9" bestFit="1" customWidth="1"/>
    <col min="34" max="16384" width="8.85546875" style="9"/>
  </cols>
  <sheetData>
    <row r="1" spans="1:48" s="11" customFormat="1" ht="21.75" x14ac:dyDescent="0.25">
      <c r="A1" s="57" t="s">
        <v>37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48" s="13" customFormat="1" ht="15" x14ac:dyDescent="0.25">
      <c r="A2" s="58" t="s">
        <v>36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s="15" customFormat="1" x14ac:dyDescent="0.25">
      <c r="A3" s="59"/>
      <c r="B3" s="60"/>
      <c r="C3" s="60"/>
      <c r="D3" s="60"/>
      <c r="E3" s="60"/>
      <c r="F3" s="60"/>
      <c r="G3" s="60"/>
      <c r="H3" s="3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</row>
    <row r="4" spans="1:48" s="7" customFormat="1" ht="18.75" x14ac:dyDescent="0.25">
      <c r="A4" s="55" t="s">
        <v>3</v>
      </c>
      <c r="B4" s="61" t="s">
        <v>22</v>
      </c>
      <c r="C4" s="61"/>
      <c r="D4" s="61"/>
      <c r="E4" s="61"/>
      <c r="F4" s="61"/>
      <c r="G4" s="61"/>
      <c r="H4" s="61"/>
      <c r="I4" s="61"/>
      <c r="J4" s="38"/>
      <c r="K4" s="62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23</v>
      </c>
      <c r="AH4" s="3">
        <v>91001.569994015794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7" customFormat="1" ht="24" x14ac:dyDescent="0.25">
      <c r="A5" s="56"/>
      <c r="B5" s="10" t="s">
        <v>0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30</v>
      </c>
      <c r="H5" s="24" t="s">
        <v>27</v>
      </c>
      <c r="I5" s="25" t="s">
        <v>21</v>
      </c>
      <c r="J5" s="25" t="s">
        <v>31</v>
      </c>
      <c r="K5" s="63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3" t="s">
        <v>24</v>
      </c>
      <c r="AH5" s="3">
        <v>588.35662960635898</v>
      </c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</row>
    <row r="6" spans="1:48" s="7" customFormat="1" ht="24" x14ac:dyDescent="0.35">
      <c r="A6" s="4" t="s">
        <v>0</v>
      </c>
      <c r="B6" s="16">
        <f>SUM(B7:B15)</f>
        <v>143159.96433162465</v>
      </c>
      <c r="C6" s="16">
        <f>SUM(C7:C14)</f>
        <v>107833.27029374377</v>
      </c>
      <c r="D6" s="16">
        <f>SUM(D7:D14)</f>
        <v>104.0066115377445</v>
      </c>
      <c r="E6" s="16">
        <f>SUM(E7:E15)</f>
        <v>2535.6850800000002</v>
      </c>
      <c r="F6" s="16">
        <f>SUM(F7:F14)</f>
        <v>30902.868439023321</v>
      </c>
      <c r="G6" s="16">
        <f>SUM(G7:G14)</f>
        <v>445.04700633045854</v>
      </c>
      <c r="H6" s="16">
        <f>SUM(H7:H14)</f>
        <v>1.8568487123019526</v>
      </c>
      <c r="I6" s="16">
        <f>SUM(I7:I14)</f>
        <v>1330.1654744115563</v>
      </c>
      <c r="J6" s="16">
        <f>SUM(J7:J14)</f>
        <v>7.0645778655622564</v>
      </c>
      <c r="K6" s="39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10" t="s">
        <v>23</v>
      </c>
      <c r="AB6" s="10" t="s">
        <v>26</v>
      </c>
      <c r="AC6" s="10" t="s">
        <v>35</v>
      </c>
      <c r="AD6" s="3"/>
      <c r="AE6" s="3"/>
      <c r="AF6" s="3"/>
      <c r="AG6" s="3" t="s">
        <v>25</v>
      </c>
      <c r="AH6" s="3">
        <v>2123.2380000000007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8" s="7" customFormat="1" ht="15" x14ac:dyDescent="0.25">
      <c r="A7" s="17" t="s">
        <v>15</v>
      </c>
      <c r="B7" s="16">
        <f>SUM(C7:J7)</f>
        <v>89683.148024090784</v>
      </c>
      <c r="C7" s="20">
        <v>89475.186844138545</v>
      </c>
      <c r="D7" s="20">
        <v>9.1136092293201045</v>
      </c>
      <c r="E7" s="20">
        <v>1.1520000000000001</v>
      </c>
      <c r="F7" s="20">
        <v>197.69557072292591</v>
      </c>
      <c r="G7" s="20">
        <v>0</v>
      </c>
      <c r="H7" s="20">
        <v>0</v>
      </c>
      <c r="I7" s="20">
        <v>0</v>
      </c>
      <c r="J7" s="20">
        <v>0</v>
      </c>
      <c r="K7" s="41" t="s">
        <v>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7">
        <f>C6/$B$6*100</f>
        <v>75.323621933819481</v>
      </c>
      <c r="AB7" s="47">
        <f>F6/$B$6*100</f>
        <v>21.586250445996196</v>
      </c>
      <c r="AC7" s="47">
        <v>2.6188629004553108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8" s="7" customFormat="1" ht="15" x14ac:dyDescent="0.25">
      <c r="A8" s="18" t="s">
        <v>10</v>
      </c>
      <c r="B8" s="16">
        <f t="shared" ref="B8:B15" si="0">SUM(C8:J8)</f>
        <v>49376.811349197844</v>
      </c>
      <c r="C8" s="20">
        <v>17509.963543636466</v>
      </c>
      <c r="D8" s="20">
        <v>28.517724440173179</v>
      </c>
      <c r="E8" s="20">
        <v>1269.1838000000002</v>
      </c>
      <c r="F8" s="20">
        <v>30569.146281121208</v>
      </c>
      <c r="G8" s="20">
        <v>0</v>
      </c>
      <c r="H8" s="20">
        <v>0</v>
      </c>
      <c r="I8" s="20">
        <v>0</v>
      </c>
      <c r="J8" s="20">
        <v>0</v>
      </c>
      <c r="K8" s="41" t="s">
        <v>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7"/>
      <c r="AB8" s="47"/>
      <c r="AC8" s="47"/>
      <c r="AD8" s="3"/>
      <c r="AE8" s="3"/>
      <c r="AF8" s="3"/>
      <c r="AG8" s="3" t="s">
        <v>26</v>
      </c>
      <c r="AH8" s="3">
        <v>32546.252421702324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8" s="7" customFormat="1" ht="15" x14ac:dyDescent="0.25">
      <c r="A9" s="18" t="s">
        <v>11</v>
      </c>
      <c r="B9" s="16">
        <f t="shared" si="0"/>
        <v>1074.1737564163373</v>
      </c>
      <c r="C9" s="20">
        <v>269.16088549392975</v>
      </c>
      <c r="D9" s="20">
        <v>0.27700378602217091</v>
      </c>
      <c r="E9" s="20">
        <v>691.97395999999981</v>
      </c>
      <c r="F9" s="20">
        <v>112.76190713638539</v>
      </c>
      <c r="G9" s="20">
        <v>0</v>
      </c>
      <c r="H9" s="20">
        <v>0</v>
      </c>
      <c r="I9" s="20">
        <v>0</v>
      </c>
      <c r="J9" s="20">
        <v>0</v>
      </c>
      <c r="K9" s="41" t="s">
        <v>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 t="s">
        <v>30</v>
      </c>
      <c r="AH9" s="3">
        <v>569.2708806367375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8" s="7" customFormat="1" ht="15" x14ac:dyDescent="0.2">
      <c r="A10" s="46" t="s">
        <v>33</v>
      </c>
      <c r="B10" s="16">
        <f t="shared" si="0"/>
        <v>3.4710000000000005</v>
      </c>
      <c r="C10" s="20">
        <v>0</v>
      </c>
      <c r="D10" s="20">
        <v>0</v>
      </c>
      <c r="E10" s="20">
        <v>3.4710000000000005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41" t="s">
        <v>34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 t="s">
        <v>27</v>
      </c>
      <c r="AH10" s="3">
        <v>1462.8043944401447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8" s="7" customFormat="1" ht="15" x14ac:dyDescent="0.25">
      <c r="A11" s="17" t="s">
        <v>12</v>
      </c>
      <c r="B11" s="16">
        <f t="shared" si="0"/>
        <v>21.806846050809391</v>
      </c>
      <c r="C11" s="20">
        <v>1.0046003973070727</v>
      </c>
      <c r="D11" s="20">
        <v>0.29916408890394458</v>
      </c>
      <c r="E11" s="20">
        <v>0</v>
      </c>
      <c r="F11" s="20">
        <v>0.57247449111248649</v>
      </c>
      <c r="G11" s="20">
        <v>19.930607073485888</v>
      </c>
      <c r="H11" s="20">
        <v>0</v>
      </c>
      <c r="I11" s="20">
        <v>0</v>
      </c>
      <c r="J11" s="20">
        <v>0</v>
      </c>
      <c r="K11" s="41" t="s">
        <v>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 t="s">
        <v>21</v>
      </c>
      <c r="AH11" s="3">
        <v>229.93042613497082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8" s="7" customFormat="1" ht="15" x14ac:dyDescent="0.25">
      <c r="A12" s="17" t="s">
        <v>19</v>
      </c>
      <c r="B12" s="16">
        <f t="shared" si="0"/>
        <v>161.3441792140456</v>
      </c>
      <c r="C12" s="20">
        <v>141.84754473866113</v>
      </c>
      <c r="D12" s="20">
        <v>8.5019848697831524</v>
      </c>
      <c r="E12" s="20">
        <v>0</v>
      </c>
      <c r="F12" s="20">
        <v>9.2002190797497025</v>
      </c>
      <c r="G12" s="20">
        <v>1.5174267398294523</v>
      </c>
      <c r="H12" s="20">
        <v>0.27700378602217091</v>
      </c>
      <c r="I12" s="20">
        <v>0</v>
      </c>
      <c r="J12" s="20">
        <v>0</v>
      </c>
      <c r="K12" s="41" t="s">
        <v>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 t="s">
        <v>31</v>
      </c>
      <c r="AH12" s="3">
        <v>161.80425346402654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8" s="7" customFormat="1" ht="15" x14ac:dyDescent="0.25">
      <c r="A13" s="17" t="s">
        <v>13</v>
      </c>
      <c r="B13" s="16">
        <f t="shared" si="0"/>
        <v>345.28287397791502</v>
      </c>
      <c r="C13" s="20">
        <v>334.27215815272444</v>
      </c>
      <c r="D13" s="20">
        <v>8.3791798579799899</v>
      </c>
      <c r="E13" s="20">
        <v>0</v>
      </c>
      <c r="F13" s="20">
        <v>1.409025924899443</v>
      </c>
      <c r="G13" s="20">
        <v>1.0747746897660231</v>
      </c>
      <c r="H13" s="20">
        <v>0.14773535254515782</v>
      </c>
      <c r="I13" s="20">
        <v>0</v>
      </c>
      <c r="J13" s="20">
        <v>0</v>
      </c>
      <c r="K13" s="41" t="s">
        <v>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8" s="7" customFormat="1" ht="15" x14ac:dyDescent="0.25">
      <c r="A14" s="50" t="s">
        <v>14</v>
      </c>
      <c r="B14" s="51">
        <f t="shared" si="0"/>
        <v>2493.9263026769763</v>
      </c>
      <c r="C14" s="48">
        <v>101.83471718613997</v>
      </c>
      <c r="D14" s="48">
        <v>48.917945265561954</v>
      </c>
      <c r="E14" s="48">
        <v>569.90431999999998</v>
      </c>
      <c r="F14" s="48">
        <v>12.082960547044298</v>
      </c>
      <c r="G14" s="48">
        <v>422.52419782737718</v>
      </c>
      <c r="H14" s="48">
        <v>1.4321095737346239</v>
      </c>
      <c r="I14" s="52">
        <v>1330.1654744115563</v>
      </c>
      <c r="J14" s="52">
        <v>7.0645778655622564</v>
      </c>
      <c r="K14" s="49" t="s">
        <v>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8" s="7" customFormat="1" ht="15" hidden="1" x14ac:dyDescent="0.25">
      <c r="A15" s="34" t="s">
        <v>20</v>
      </c>
      <c r="B15" s="35">
        <f t="shared" si="0"/>
        <v>0</v>
      </c>
      <c r="C15" s="48"/>
      <c r="D15" s="48"/>
      <c r="E15" s="48"/>
      <c r="F15" s="48"/>
      <c r="G15" s="48"/>
      <c r="H15" s="48"/>
      <c r="I15" s="48"/>
      <c r="J15" s="48"/>
      <c r="K15" s="49" t="s">
        <v>32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8" s="2" customFormat="1" ht="14.25" x14ac:dyDescent="0.25">
      <c r="A16" s="8" t="s">
        <v>28</v>
      </c>
      <c r="B16" s="19">
        <f t="shared" ref="B16:J16" si="1">B6/B6*100</f>
        <v>100</v>
      </c>
      <c r="C16" s="19">
        <f>C6/C6*100</f>
        <v>100</v>
      </c>
      <c r="D16" s="19">
        <f t="shared" si="1"/>
        <v>100</v>
      </c>
      <c r="E16" s="19">
        <f t="shared" si="1"/>
        <v>100</v>
      </c>
      <c r="F16" s="19">
        <f t="shared" si="1"/>
        <v>100</v>
      </c>
      <c r="G16" s="19">
        <f t="shared" si="1"/>
        <v>100</v>
      </c>
      <c r="H16" s="19">
        <f>H6/H6*100</f>
        <v>100</v>
      </c>
      <c r="I16" s="19">
        <f t="shared" si="1"/>
        <v>100</v>
      </c>
      <c r="J16" s="19">
        <f t="shared" si="1"/>
        <v>100</v>
      </c>
      <c r="K16" s="43" t="s">
        <v>29</v>
      </c>
    </row>
    <row r="17" spans="1:48" s="2" customFormat="1" ht="15" x14ac:dyDescent="0.25">
      <c r="A17" s="17" t="s">
        <v>15</v>
      </c>
      <c r="B17" s="19">
        <f>B7/B6*100</f>
        <v>62.645410986791781</v>
      </c>
      <c r="C17" s="21">
        <f>C7/C6*100</f>
        <v>82.975492258004607</v>
      </c>
      <c r="D17" s="21">
        <f t="shared" ref="D17:J17" si="2">D7/D6*100</f>
        <v>8.7625287417547799</v>
      </c>
      <c r="E17" s="21">
        <f t="shared" si="2"/>
        <v>4.5431509184097892E-2</v>
      </c>
      <c r="F17" s="21">
        <f t="shared" si="2"/>
        <v>0.63973210484655585</v>
      </c>
      <c r="G17" s="21">
        <f t="shared" si="2"/>
        <v>0</v>
      </c>
      <c r="H17" s="21">
        <f t="shared" si="2"/>
        <v>0</v>
      </c>
      <c r="I17" s="21">
        <f t="shared" si="2"/>
        <v>0</v>
      </c>
      <c r="J17" s="21">
        <f t="shared" si="2"/>
        <v>0</v>
      </c>
      <c r="K17" s="40" t="s">
        <v>18</v>
      </c>
    </row>
    <row r="18" spans="1:48" s="7" customFormat="1" ht="15" x14ac:dyDescent="0.25">
      <c r="A18" s="18" t="s">
        <v>10</v>
      </c>
      <c r="B18" s="19">
        <f>B8/B6*100</f>
        <v>34.490656364525435</v>
      </c>
      <c r="C18" s="21">
        <f>C8/C6*100</f>
        <v>16.237997323032456</v>
      </c>
      <c r="D18" s="21">
        <f t="shared" ref="D18:J18" si="3">D8/D6*100</f>
        <v>27.419145781731345</v>
      </c>
      <c r="E18" s="21">
        <f t="shared" si="3"/>
        <v>50.052895369798847</v>
      </c>
      <c r="F18" s="21">
        <f t="shared" si="3"/>
        <v>98.920093263961547</v>
      </c>
      <c r="G18" s="21">
        <f t="shared" si="3"/>
        <v>0</v>
      </c>
      <c r="H18" s="21">
        <f t="shared" si="3"/>
        <v>0</v>
      </c>
      <c r="I18" s="21">
        <f t="shared" si="3"/>
        <v>0</v>
      </c>
      <c r="J18" s="21">
        <f t="shared" si="3"/>
        <v>0</v>
      </c>
      <c r="K18" s="40" t="s">
        <v>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s="7" customFormat="1" ht="15" x14ac:dyDescent="0.25">
      <c r="A19" s="18" t="s">
        <v>11</v>
      </c>
      <c r="B19" s="19">
        <f>B9/B6*100</f>
        <v>0.7503311148695555</v>
      </c>
      <c r="C19" s="21">
        <f>C9/C6*100</f>
        <v>0.24960838594686099</v>
      </c>
      <c r="D19" s="21">
        <f t="shared" ref="D19:J19" si="4">D9/D6*100</f>
        <v>0.26633286281194235</v>
      </c>
      <c r="E19" s="21">
        <f t="shared" si="4"/>
        <v>27.289428228208834</v>
      </c>
      <c r="F19" s="21">
        <f t="shared" si="4"/>
        <v>0.36489139303972395</v>
      </c>
      <c r="G19" s="21">
        <f t="shared" si="4"/>
        <v>0</v>
      </c>
      <c r="H19" s="21">
        <f t="shared" si="4"/>
        <v>0</v>
      </c>
      <c r="I19" s="21">
        <f t="shared" si="4"/>
        <v>0</v>
      </c>
      <c r="J19" s="21">
        <f t="shared" si="4"/>
        <v>0</v>
      </c>
      <c r="K19" s="40" t="s">
        <v>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s="7" customFormat="1" ht="15" x14ac:dyDescent="0.2">
      <c r="A20" s="46" t="s">
        <v>33</v>
      </c>
      <c r="B20" s="19">
        <f t="shared" ref="B20:J20" si="5">B10/B6*100</f>
        <v>2.4245605370224596E-3</v>
      </c>
      <c r="C20" s="21">
        <f t="shared" si="5"/>
        <v>0</v>
      </c>
      <c r="D20" s="21">
        <f>D10/D6*100</f>
        <v>0</v>
      </c>
      <c r="E20" s="21">
        <f t="shared" si="5"/>
        <v>0.13688608366146163</v>
      </c>
      <c r="F20" s="21">
        <f t="shared" si="5"/>
        <v>0</v>
      </c>
      <c r="G20" s="21">
        <f t="shared" si="5"/>
        <v>0</v>
      </c>
      <c r="H20" s="21">
        <f t="shared" si="5"/>
        <v>0</v>
      </c>
      <c r="I20" s="21">
        <f t="shared" si="5"/>
        <v>0</v>
      </c>
      <c r="J20" s="21">
        <f t="shared" si="5"/>
        <v>0</v>
      </c>
      <c r="K20" s="40" t="s">
        <v>34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s="7" customFormat="1" ht="15" x14ac:dyDescent="0.25">
      <c r="A21" s="17" t="s">
        <v>12</v>
      </c>
      <c r="B21" s="19">
        <f t="shared" ref="B21:J21" si="6">B11/B6*100</f>
        <v>1.5232503132156874E-2</v>
      </c>
      <c r="C21" s="21">
        <f t="shared" si="6"/>
        <v>9.3162378788150062E-4</v>
      </c>
      <c r="D21" s="21">
        <f t="shared" si="6"/>
        <v>0.28763949183689774</v>
      </c>
      <c r="E21" s="21">
        <f t="shared" si="6"/>
        <v>0</v>
      </c>
      <c r="F21" s="21">
        <f t="shared" si="6"/>
        <v>1.8524962892751435E-3</v>
      </c>
      <c r="G21" s="21">
        <f t="shared" si="6"/>
        <v>4.4783150521153967</v>
      </c>
      <c r="H21" s="21">
        <f t="shared" si="6"/>
        <v>0</v>
      </c>
      <c r="I21" s="21">
        <f t="shared" si="6"/>
        <v>0</v>
      </c>
      <c r="J21" s="21">
        <f t="shared" si="6"/>
        <v>0</v>
      </c>
      <c r="K21" s="40" t="s">
        <v>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s="7" customFormat="1" ht="15" x14ac:dyDescent="0.25">
      <c r="A22" s="17" t="s">
        <v>19</v>
      </c>
      <c r="B22" s="19">
        <f>B12/B6*100</f>
        <v>0.11270202529549246</v>
      </c>
      <c r="C22" s="21">
        <f t="shared" ref="C22:J22" si="7">C12/C6*100</f>
        <v>0.13154339505076737</v>
      </c>
      <c r="D22" s="21">
        <f t="shared" si="7"/>
        <v>8.1744657806660115</v>
      </c>
      <c r="E22" s="21">
        <f t="shared" si="7"/>
        <v>0</v>
      </c>
      <c r="F22" s="21">
        <f t="shared" si="7"/>
        <v>2.9771408106996019E-2</v>
      </c>
      <c r="G22" s="21">
        <f t="shared" si="7"/>
        <v>0.34095875677067805</v>
      </c>
      <c r="H22" s="21">
        <f t="shared" si="7"/>
        <v>14.917951268025856</v>
      </c>
      <c r="I22" s="21">
        <f t="shared" si="7"/>
        <v>0</v>
      </c>
      <c r="J22" s="21">
        <f t="shared" si="7"/>
        <v>0</v>
      </c>
      <c r="K22" s="40" t="s">
        <v>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s="7" customFormat="1" ht="15" x14ac:dyDescent="0.25">
      <c r="A23" s="17" t="s">
        <v>13</v>
      </c>
      <c r="B23" s="19">
        <f t="shared" ref="B23:J23" si="8">B13/B6*100</f>
        <v>0.24118675608082737</v>
      </c>
      <c r="C23" s="21">
        <f t="shared" si="8"/>
        <v>0.3099898178383616</v>
      </c>
      <c r="D23" s="21">
        <f t="shared" si="8"/>
        <v>8.0563915448193839</v>
      </c>
      <c r="E23" s="21">
        <f t="shared" si="8"/>
        <v>0</v>
      </c>
      <c r="F23" s="21">
        <f t="shared" si="8"/>
        <v>4.5595311894094676E-3</v>
      </c>
      <c r="G23" s="21">
        <f t="shared" si="8"/>
        <v>0.24149689234578875</v>
      </c>
      <c r="H23" s="21">
        <f t="shared" si="8"/>
        <v>7.9562406762804567</v>
      </c>
      <c r="I23" s="21">
        <f t="shared" si="8"/>
        <v>0</v>
      </c>
      <c r="J23" s="21">
        <f t="shared" si="8"/>
        <v>0</v>
      </c>
      <c r="K23" s="40" t="s">
        <v>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s="29" customFormat="1" ht="15" x14ac:dyDescent="0.25">
      <c r="A24" s="50" t="s">
        <v>14</v>
      </c>
      <c r="B24" s="51">
        <f>B14/B6*100</f>
        <v>1.7420556887677692</v>
      </c>
      <c r="C24" s="54">
        <f t="shared" ref="C24:J24" si="9">C14/C6*100</f>
        <v>9.4437196339067331E-2</v>
      </c>
      <c r="D24" s="54">
        <f t="shared" si="9"/>
        <v>47.033495796379633</v>
      </c>
      <c r="E24" s="54">
        <f t="shared" si="9"/>
        <v>22.475358809146755</v>
      </c>
      <c r="F24" s="54">
        <f t="shared" si="9"/>
        <v>3.9099802566503035E-2</v>
      </c>
      <c r="G24" s="54">
        <f t="shared" si="9"/>
        <v>94.93922929876814</v>
      </c>
      <c r="H24" s="54">
        <f t="shared" si="9"/>
        <v>77.125808055693696</v>
      </c>
      <c r="I24" s="54">
        <f t="shared" si="9"/>
        <v>100</v>
      </c>
      <c r="J24" s="54">
        <f t="shared" si="9"/>
        <v>100</v>
      </c>
      <c r="K24" s="49" t="s">
        <v>9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s="7" customFormat="1" ht="15" hidden="1" x14ac:dyDescent="0.25">
      <c r="A25" s="34" t="s">
        <v>20</v>
      </c>
      <c r="B25" s="35">
        <f t="shared" ref="B25:J25" si="10">B15/B6*100</f>
        <v>0</v>
      </c>
      <c r="C25" s="36">
        <f t="shared" si="10"/>
        <v>0</v>
      </c>
      <c r="D25" s="36">
        <f t="shared" si="10"/>
        <v>0</v>
      </c>
      <c r="E25" s="36">
        <f t="shared" si="10"/>
        <v>0</v>
      </c>
      <c r="F25" s="36">
        <f t="shared" si="10"/>
        <v>0</v>
      </c>
      <c r="G25" s="36">
        <f t="shared" si="10"/>
        <v>0</v>
      </c>
      <c r="H25" s="36">
        <f t="shared" si="10"/>
        <v>0</v>
      </c>
      <c r="I25" s="36">
        <f t="shared" si="10"/>
        <v>0</v>
      </c>
      <c r="J25" s="36">
        <f t="shared" si="10"/>
        <v>0</v>
      </c>
      <c r="K25" s="42" t="s">
        <v>32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4.25" x14ac:dyDescent="0.25">
      <c r="A26" s="8" t="s">
        <v>28</v>
      </c>
      <c r="B26" s="31">
        <f>SUM(C26:J26)</f>
        <v>100.00000000000006</v>
      </c>
      <c r="C26" s="19">
        <f>(C6/$B$6)*100</f>
        <v>75.323621933819481</v>
      </c>
      <c r="D26" s="19">
        <f t="shared" ref="D26:J26" si="11">(D6/$B$6)*100</f>
        <v>7.2650626886730088E-2</v>
      </c>
      <c r="E26" s="19">
        <f t="shared" si="11"/>
        <v>1.7712250012344104</v>
      </c>
      <c r="F26" s="19">
        <f t="shared" si="11"/>
        <v>21.586250445996196</v>
      </c>
      <c r="G26" s="19">
        <f t="shared" si="11"/>
        <v>0.31087392931973912</v>
      </c>
      <c r="H26" s="19">
        <f>(H6/$B$6)*100</f>
        <v>1.2970446877177426E-3</v>
      </c>
      <c r="I26" s="19">
        <f t="shared" si="11"/>
        <v>0.9291462739752282</v>
      </c>
      <c r="J26" s="19">
        <f t="shared" si="11"/>
        <v>4.9347440805429573E-3</v>
      </c>
      <c r="K26" s="43" t="s">
        <v>29</v>
      </c>
    </row>
    <row r="27" spans="1:48" ht="15" x14ac:dyDescent="0.25">
      <c r="A27" s="17" t="s">
        <v>15</v>
      </c>
      <c r="B27" s="31">
        <f t="shared" ref="B27:B34" si="12">SUM(C27:J27)</f>
        <v>100</v>
      </c>
      <c r="C27" s="21">
        <f>(C7/$B$7)*100</f>
        <v>99.768115655466985</v>
      </c>
      <c r="D27" s="21">
        <f t="shared" ref="D27:J27" si="13">(D7/$B$7)*100</f>
        <v>1.0162008616013343E-2</v>
      </c>
      <c r="E27" s="21">
        <f t="shared" si="13"/>
        <v>1.2845222601804171E-3</v>
      </c>
      <c r="F27" s="21">
        <f t="shared" si="13"/>
        <v>0.22043781365683182</v>
      </c>
      <c r="G27" s="21">
        <f t="shared" si="13"/>
        <v>0</v>
      </c>
      <c r="H27" s="21">
        <f t="shared" si="13"/>
        <v>0</v>
      </c>
      <c r="I27" s="21">
        <f t="shared" si="13"/>
        <v>0</v>
      </c>
      <c r="J27" s="21">
        <f t="shared" si="13"/>
        <v>0</v>
      </c>
      <c r="K27" s="40" t="s">
        <v>18</v>
      </c>
    </row>
    <row r="28" spans="1:48" ht="15" x14ac:dyDescent="0.25">
      <c r="A28" s="18" t="s">
        <v>10</v>
      </c>
      <c r="B28" s="31">
        <f t="shared" si="12"/>
        <v>100</v>
      </c>
      <c r="C28" s="21">
        <f>(C8/$B$8)*100</f>
        <v>35.461916363542024</v>
      </c>
      <c r="D28" s="21">
        <f t="shared" ref="D28:J28" si="14">(D8/$B$8)*100</f>
        <v>5.775529780263234E-2</v>
      </c>
      <c r="E28" s="21">
        <f t="shared" si="14"/>
        <v>2.57040453873014</v>
      </c>
      <c r="F28" s="21">
        <f t="shared" si="14"/>
        <v>61.909923799925203</v>
      </c>
      <c r="G28" s="21">
        <f t="shared" si="14"/>
        <v>0</v>
      </c>
      <c r="H28" s="21">
        <f t="shared" si="14"/>
        <v>0</v>
      </c>
      <c r="I28" s="21">
        <f t="shared" si="14"/>
        <v>0</v>
      </c>
      <c r="J28" s="21">
        <f t="shared" si="14"/>
        <v>0</v>
      </c>
      <c r="K28" s="40" t="s">
        <v>4</v>
      </c>
    </row>
    <row r="29" spans="1:48" ht="15" x14ac:dyDescent="0.25">
      <c r="A29" s="18" t="s">
        <v>11</v>
      </c>
      <c r="B29" s="31">
        <f t="shared" si="12"/>
        <v>100</v>
      </c>
      <c r="C29" s="21">
        <f>(C9/$B$9)*100</f>
        <v>25.057481053335856</v>
      </c>
      <c r="D29" s="21">
        <f t="shared" ref="D29:J29" si="15">(D9/$B$9)*100</f>
        <v>2.578761437500689E-2</v>
      </c>
      <c r="E29" s="21">
        <f t="shared" si="15"/>
        <v>64.419183197005864</v>
      </c>
      <c r="F29" s="21">
        <f t="shared" si="15"/>
        <v>10.497548135283264</v>
      </c>
      <c r="G29" s="21">
        <f t="shared" si="15"/>
        <v>0</v>
      </c>
      <c r="H29" s="21">
        <f t="shared" si="15"/>
        <v>0</v>
      </c>
      <c r="I29" s="21">
        <f t="shared" si="15"/>
        <v>0</v>
      </c>
      <c r="J29" s="21">
        <f t="shared" si="15"/>
        <v>0</v>
      </c>
      <c r="K29" s="40" t="s">
        <v>5</v>
      </c>
    </row>
    <row r="30" spans="1:48" ht="15" x14ac:dyDescent="0.2">
      <c r="A30" s="46" t="s">
        <v>33</v>
      </c>
      <c r="B30" s="31">
        <f t="shared" si="12"/>
        <v>100</v>
      </c>
      <c r="C30" s="21">
        <f>(C10/$B$10)*100</f>
        <v>0</v>
      </c>
      <c r="D30" s="21">
        <f t="shared" ref="D30:J30" si="16">(D10/$B$10)*100</f>
        <v>0</v>
      </c>
      <c r="E30" s="21">
        <f t="shared" si="16"/>
        <v>100</v>
      </c>
      <c r="F30" s="21">
        <f t="shared" si="16"/>
        <v>0</v>
      </c>
      <c r="G30" s="21">
        <f t="shared" si="16"/>
        <v>0</v>
      </c>
      <c r="H30" s="21">
        <f t="shared" si="16"/>
        <v>0</v>
      </c>
      <c r="I30" s="21">
        <f t="shared" si="16"/>
        <v>0</v>
      </c>
      <c r="J30" s="21">
        <f t="shared" si="16"/>
        <v>0</v>
      </c>
      <c r="K30" s="40" t="s">
        <v>34</v>
      </c>
    </row>
    <row r="31" spans="1:48" ht="15" x14ac:dyDescent="0.25">
      <c r="A31" s="17" t="s">
        <v>12</v>
      </c>
      <c r="B31" s="31">
        <f t="shared" si="12"/>
        <v>100.00000000000001</v>
      </c>
      <c r="C31" s="21">
        <f>(C11/$B$11)*100</f>
        <v>4.606811984485879</v>
      </c>
      <c r="D31" s="21">
        <f t="shared" ref="D31:J31" si="17">(D11/$B$11)*100</f>
        <v>1.3718815100858692</v>
      </c>
      <c r="E31" s="21">
        <f t="shared" si="17"/>
        <v>0</v>
      </c>
      <c r="F31" s="21">
        <f t="shared" si="17"/>
        <v>2.6252053588062925</v>
      </c>
      <c r="G31" s="21">
        <f t="shared" si="17"/>
        <v>91.396101146621973</v>
      </c>
      <c r="H31" s="21">
        <f t="shared" si="17"/>
        <v>0</v>
      </c>
      <c r="I31" s="21">
        <f t="shared" si="17"/>
        <v>0</v>
      </c>
      <c r="J31" s="21">
        <f t="shared" si="17"/>
        <v>0</v>
      </c>
      <c r="K31" s="40" t="s">
        <v>6</v>
      </c>
    </row>
    <row r="32" spans="1:48" ht="15" x14ac:dyDescent="0.25">
      <c r="A32" s="17" t="s">
        <v>19</v>
      </c>
      <c r="B32" s="31">
        <f t="shared" si="12"/>
        <v>99.999999999999986</v>
      </c>
      <c r="C32" s="21">
        <f>(C12/$B$12)*100</f>
        <v>87.916121566728805</v>
      </c>
      <c r="D32" s="21">
        <f t="shared" ref="D32:J32" si="18">(D12/$B$12)*100</f>
        <v>5.2694710842366881</v>
      </c>
      <c r="E32" s="21">
        <f t="shared" si="18"/>
        <v>0</v>
      </c>
      <c r="F32" s="21">
        <f t="shared" si="18"/>
        <v>5.7022317908006626</v>
      </c>
      <c r="G32" s="21">
        <f t="shared" si="18"/>
        <v>0.94049053843855979</v>
      </c>
      <c r="H32" s="21">
        <f t="shared" si="18"/>
        <v>0.17168501979528292</v>
      </c>
      <c r="I32" s="21">
        <f t="shared" si="18"/>
        <v>0</v>
      </c>
      <c r="J32" s="21">
        <f t="shared" si="18"/>
        <v>0</v>
      </c>
      <c r="K32" s="40" t="s">
        <v>7</v>
      </c>
    </row>
    <row r="33" spans="1:11" ht="15" x14ac:dyDescent="0.25">
      <c r="A33" s="17" t="s">
        <v>13</v>
      </c>
      <c r="B33" s="31">
        <f t="shared" si="12"/>
        <v>100.00000000000001</v>
      </c>
      <c r="C33" s="21">
        <f>(C13/$B$13)*100</f>
        <v>96.81110282177076</v>
      </c>
      <c r="D33" s="21">
        <f t="shared" ref="D33:J33" si="19">(D13/$B$13)*100</f>
        <v>2.4267580263815631</v>
      </c>
      <c r="E33" s="21">
        <f t="shared" si="19"/>
        <v>0</v>
      </c>
      <c r="F33" s="21">
        <f t="shared" si="19"/>
        <v>0.4080787177963443</v>
      </c>
      <c r="G33" s="21">
        <f t="shared" si="19"/>
        <v>0.31127367464937394</v>
      </c>
      <c r="H33" s="21">
        <f t="shared" si="19"/>
        <v>4.2786759401975807E-2</v>
      </c>
      <c r="I33" s="21">
        <f t="shared" si="19"/>
        <v>0</v>
      </c>
      <c r="J33" s="21">
        <f t="shared" si="19"/>
        <v>0</v>
      </c>
      <c r="K33" s="40" t="s">
        <v>8</v>
      </c>
    </row>
    <row r="34" spans="1:11" ht="15" x14ac:dyDescent="0.25">
      <c r="A34" s="50" t="s">
        <v>14</v>
      </c>
      <c r="B34" s="53">
        <f t="shared" si="12"/>
        <v>100</v>
      </c>
      <c r="C34" s="54">
        <f>(C14/$B$14)*100</f>
        <v>4.083309000624066</v>
      </c>
      <c r="D34" s="54">
        <f t="shared" ref="D34:J34" si="20">(D14/$B$14)*100</f>
        <v>1.9614831927091636</v>
      </c>
      <c r="E34" s="54">
        <f t="shared" si="20"/>
        <v>22.851690500567944</v>
      </c>
      <c r="F34" s="54">
        <f t="shared" si="20"/>
        <v>0.48449549347446508</v>
      </c>
      <c r="G34" s="54">
        <f t="shared" si="20"/>
        <v>16.942128457197807</v>
      </c>
      <c r="H34" s="54">
        <f t="shared" si="20"/>
        <v>5.7423893087674635E-2</v>
      </c>
      <c r="I34" s="54">
        <f t="shared" si="20"/>
        <v>53.336198146022149</v>
      </c>
      <c r="J34" s="54">
        <f t="shared" si="20"/>
        <v>0.28327131631673119</v>
      </c>
      <c r="K34" s="49" t="s">
        <v>9</v>
      </c>
    </row>
    <row r="35" spans="1:11" ht="15" hidden="1" x14ac:dyDescent="0.25">
      <c r="A35" s="32" t="s">
        <v>20</v>
      </c>
      <c r="B35" s="33">
        <f>SUM(C35:J35)</f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44" t="s">
        <v>32</v>
      </c>
    </row>
    <row r="36" spans="1:11" s="5" customFormat="1" ht="14.25" x14ac:dyDescent="0.25">
      <c r="A36" s="1" t="s">
        <v>1</v>
      </c>
      <c r="B36" s="22"/>
      <c r="C36" s="23"/>
      <c r="D36" s="23"/>
      <c r="E36" s="23"/>
      <c r="F36" s="23"/>
      <c r="G36" s="23"/>
      <c r="H36" s="23"/>
      <c r="K36" s="45" t="s">
        <v>2</v>
      </c>
    </row>
    <row r="47" spans="1:11" x14ac:dyDescent="0.25">
      <c r="B47" s="9"/>
    </row>
  </sheetData>
  <mergeCells count="6">
    <mergeCell ref="A1:K1"/>
    <mergeCell ref="A2:K2"/>
    <mergeCell ref="A3:G3"/>
    <mergeCell ref="A4:A5"/>
    <mergeCell ref="B4:I4"/>
    <mergeCell ref="K4:K5"/>
  </mergeCells>
  <pageMargins left="0.7" right="0.7" top="0.75" bottom="0.75" header="0.3" footer="0.3"/>
  <pageSetup paperSize="9" scale="60" orientation="landscape" r:id="rId1"/>
  <ignoredErrors>
    <ignoredError sqref="E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2017-01-23T07:36:10Z</cp:lastPrinted>
  <dcterms:created xsi:type="dcterms:W3CDTF">2014-03-04T03:52:57Z</dcterms:created>
  <dcterms:modified xsi:type="dcterms:W3CDTF">2018-12-05T06:54:13Z</dcterms:modified>
</cp:coreProperties>
</file>