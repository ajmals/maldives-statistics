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12" sheetId="25" r:id="rId1"/>
  </sheets>
  <externalReferences>
    <externalReference r:id="rId2"/>
    <externalReference r:id="rId3"/>
  </externalReferences>
  <definedNames>
    <definedName name="_xlnm.Print_Area" localSheetId="0">'9.12'!$A$1:$I$46</definedName>
  </definedNames>
  <calcPr calcId="162913"/>
</workbook>
</file>

<file path=xl/calcChain.xml><?xml version="1.0" encoding="utf-8"?>
<calcChain xmlns="http://schemas.openxmlformats.org/spreadsheetml/2006/main">
  <c r="B8" i="25" l="1"/>
  <c r="C7" i="25"/>
  <c r="B29" i="25" l="1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H7" i="25"/>
  <c r="G7" i="25"/>
  <c r="F7" i="25"/>
  <c r="E7" i="25"/>
  <c r="D7" i="25"/>
  <c r="B7" i="25" l="1"/>
</calcChain>
</file>

<file path=xl/sharedStrings.xml><?xml version="1.0" encoding="utf-8"?>
<sst xmlns="http://schemas.openxmlformats.org/spreadsheetml/2006/main" count="74" uniqueCount="67">
  <si>
    <t>Total</t>
  </si>
  <si>
    <t>(ރުފިޔާއިން )</t>
  </si>
  <si>
    <t>(Value in MVR)</t>
  </si>
  <si>
    <t>Agricultural crops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</si>
  <si>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</si>
  <si>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</si>
  <si>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</si>
  <si>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</si>
  <si>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</si>
  <si>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</si>
  <si>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</si>
  <si>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</si>
  <si>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</si>
  <si>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</si>
  <si>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</si>
  <si>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</si>
  <si>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</si>
  <si>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</si>
  <si>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</si>
  <si>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</si>
  <si>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</si>
  <si>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</si>
  <si>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</si>
  <si>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Bitter Gourd (Fresh Or Chilled )</t>
  </si>
  <si>
    <t>ފާގަ</t>
  </si>
  <si>
    <t>Bottle Gourd (Fresh Or Chilled )</t>
  </si>
  <si>
    <t>ކަދޫ</t>
  </si>
  <si>
    <t>Bread Fruit (Fresh Or Chilled)</t>
  </si>
  <si>
    <t>ބަނބުކެޔޮ</t>
  </si>
  <si>
    <t>Cabbage (Fresh Or Chilled )</t>
  </si>
  <si>
    <t>ބޮނޑިކޮޕީ</t>
  </si>
  <si>
    <t>Cabbage Lettuce, Fresh or Chilled</t>
  </si>
  <si>
    <t>ކެބެޖް ލެޓިއުސް</t>
  </si>
  <si>
    <t>Cassava &amp; Manioc (Fresh , Chilled Or Frozen )</t>
  </si>
  <si>
    <t>ދަނޑިއަލުވި</t>
  </si>
  <si>
    <t>Chillies(Fresh Or Chilled )</t>
  </si>
  <si>
    <t>ގިތެޔޮމިރުސް</t>
  </si>
  <si>
    <t>Cucumber (Fresh Or Chilled )</t>
  </si>
  <si>
    <t>ކިއުކަމްބަރ</t>
  </si>
  <si>
    <t>Drumstick (Fresh Or Chilled )</t>
  </si>
  <si>
    <t>މުރަނގަތޮޅި</t>
  </si>
  <si>
    <t>Guava (Fresh Or Dried )</t>
  </si>
  <si>
    <t>ފޭރު</t>
  </si>
  <si>
    <t>Lettuce, Fresh Or Chilled, (Excl. Cabbage Lettuce)</t>
  </si>
  <si>
    <t>ލެޓިއުސް</t>
  </si>
  <si>
    <t>Mango (Fresh Or Dried )</t>
  </si>
  <si>
    <t>އަނބު</t>
  </si>
  <si>
    <t>Melons, Fresh, (Excl.Watermelons)</t>
  </si>
  <si>
    <t>މެލަން</t>
  </si>
  <si>
    <t>Papaws (Papayas), Fresh</t>
  </si>
  <si>
    <t>ފަޅޯ</t>
  </si>
  <si>
    <t>Passion Fruit (Fresh Or Dried )</t>
  </si>
  <si>
    <t>ފެޝަންފްރުޓް</t>
  </si>
  <si>
    <t>Pumpkin (Fresh Or Chilled)</t>
  </si>
  <si>
    <t>ބަރަބޯ</t>
  </si>
  <si>
    <t>Sapodilla (Fresh)</t>
  </si>
  <si>
    <t>ސަބްދެލި</t>
  </si>
  <si>
    <t>Snake Gourd (Fresh Or Chilled )</t>
  </si>
  <si>
    <t>ޗިޗަންޑާ</t>
  </si>
  <si>
    <t>Sweet Potato (Fresh , Chilled Or Frozen )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</si>
  <si>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</si>
  <si>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</si>
  <si>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</si>
  <si>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</si>
  <si>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</si>
  <si>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2017 ,cawtctwvWb egumwkirevuDnwd Wdcawh cSokumcaWa iawgEjcaWr cniaeret egukwtctwvWb unuveruk cTrOpcmia cSwaejcaWr  : 9.12 ulwvWt</t>
  </si>
  <si>
    <t>Table 9.12: IMPORTS OF FRESH AGRICULTURAL CROPS MAINLY PRODUCED IN MALDIVES,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</si>
</sst>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mmmm\ d\,\ yyyy;@"/>
    <numFmt numFmtId="165" formatCode="General_)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i/>
      <sz val="9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0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9">
    <xf numFmtId="0" fontId="0" fillId="0" borderId="0"/>
    <xf numFmtId="40" fontId="4" fillId="0" borderId="0" applyFont="0" applyFill="0" applyBorder="0" applyAlignment="0" applyProtection="0"/>
    <xf numFmtId="164" fontId="1" fillId="0" borderId="0"/>
    <xf numFmtId="165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2" fillId="0" borderId="0"/>
  </cellStyleXfs>
  <cellXfs count="58">
    <xf numFmtId="0" fontId="0" fillId="0" borderId="0" xfId="0"/>
    <xf numFmtId="165" fontId="9" fillId="2" borderId="0" xfId="3" applyFont="1" applyFill="1" applyBorder="1" applyAlignment="1" applyProtection="1">
      <alignment horizontal="left" vertical="center"/>
    </xf>
    <xf numFmtId="38" fontId="5" fillId="2" borderId="2" xfId="1" applyNumberFormat="1" applyFont="1" applyFill="1" applyBorder="1"/>
    <xf numFmtId="38" fontId="3" fillId="2" borderId="0" xfId="1" applyNumberFormat="1" applyFont="1" applyFill="1" applyBorder="1"/>
    <xf numFmtId="38" fontId="5" fillId="2" borderId="0" xfId="1" applyNumberFormat="1" applyFont="1" applyFill="1" applyBorder="1"/>
    <xf numFmtId="165" fontId="10" fillId="2" borderId="4" xfId="6" applyNumberFormat="1" applyFill="1" applyBorder="1"/>
    <xf numFmtId="165" fontId="10" fillId="2" borderId="4" xfId="6" applyNumberFormat="1" applyFont="1" applyFill="1" applyBorder="1"/>
    <xf numFmtId="2" fontId="14" fillId="2" borderId="3" xfId="6" applyNumberFormat="1" applyFont="1" applyFill="1" applyBorder="1" applyAlignment="1">
      <alignment horizontal="right" vertical="center"/>
    </xf>
    <xf numFmtId="0" fontId="15" fillId="2" borderId="2" xfId="6" applyNumberFormat="1" applyFont="1" applyFill="1" applyBorder="1" applyAlignment="1">
      <alignment horizontal="right" vertical="center"/>
    </xf>
    <xf numFmtId="165" fontId="1" fillId="2" borderId="4" xfId="6" applyNumberFormat="1" applyFont="1" applyFill="1" applyBorder="1"/>
    <xf numFmtId="0" fontId="13" fillId="2" borderId="1" xfId="6" applyNumberFormat="1" applyFont="1" applyFill="1" applyBorder="1" applyAlignment="1">
      <alignment horizontal="left" vertical="center"/>
    </xf>
    <xf numFmtId="38" fontId="15" fillId="2" borderId="1" xfId="6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/>
    <xf numFmtId="0" fontId="16" fillId="2" borderId="10" xfId="6" applyNumberFormat="1" applyFont="1" applyFill="1" applyBorder="1" applyAlignment="1">
      <alignment vertical="center"/>
    </xf>
    <xf numFmtId="0" fontId="17" fillId="2" borderId="11" xfId="6" applyNumberFormat="1" applyFont="1" applyFill="1" applyBorder="1" applyAlignment="1">
      <alignment horizontal="left" vertical="center"/>
    </xf>
    <xf numFmtId="0" fontId="16" fillId="2" borderId="12" xfId="6" applyNumberFormat="1" applyFont="1" applyFill="1" applyBorder="1" applyAlignment="1">
      <alignment vertical="center"/>
    </xf>
    <xf numFmtId="0" fontId="17" fillId="2" borderId="13" xfId="6" applyNumberFormat="1" applyFont="1" applyFill="1" applyBorder="1" applyAlignment="1">
      <alignment horizontal="left" vertical="center"/>
    </xf>
    <xf numFmtId="0" fontId="17" fillId="2" borderId="14" xfId="6" applyNumberFormat="1" applyFont="1" applyFill="1" applyBorder="1" applyAlignment="1">
      <alignment horizontal="left" vertical="center"/>
    </xf>
    <xf numFmtId="38" fontId="3" fillId="2" borderId="2" xfId="1" applyNumberFormat="1" applyFont="1" applyFill="1" applyBorder="1"/>
    <xf numFmtId="0" fontId="16" fillId="2" borderId="15" xfId="6" applyNumberFormat="1" applyFont="1" applyFill="1" applyBorder="1" applyAlignment="1">
      <alignment vertical="center"/>
    </xf>
    <xf numFmtId="165" fontId="6" fillId="2" borderId="11" xfId="3" applyFont="1" applyFill="1" applyBorder="1" applyAlignment="1" applyProtection="1">
      <alignment horizontal="left" vertical="center"/>
    </xf>
    <xf numFmtId="165" fontId="1" fillId="2" borderId="16" xfId="6" applyNumberFormat="1" applyFont="1" applyFill="1" applyBorder="1"/>
    <xf numFmtId="165" fontId="7" fillId="2" borderId="16" xfId="3" applyFont="1" applyFill="1" applyBorder="1" applyAlignment="1">
      <alignment horizontal="right" vertical="center" indent="1"/>
    </xf>
    <xf numFmtId="165" fontId="6" fillId="2" borderId="0" xfId="3" applyFont="1" applyFill="1" applyBorder="1" applyAlignment="1" applyProtection="1">
      <alignment horizontal="left" vertical="center"/>
    </xf>
    <xf numFmtId="165" fontId="1" fillId="2" borderId="12" xfId="6" applyNumberFormat="1" applyFont="1" applyFill="1" applyBorder="1"/>
    <xf numFmtId="165" fontId="9" fillId="2" borderId="16" xfId="3" applyFont="1" applyFill="1" applyBorder="1" applyAlignment="1" applyProtection="1">
      <alignment horizontal="left" vertical="center"/>
    </xf>
    <xf numFmtId="165" fontId="7" fillId="2" borderId="16" xfId="3" applyFont="1" applyFill="1" applyBorder="1" applyAlignment="1">
      <alignment horizontal="left" vertical="center" indent="1" readingOrder="2"/>
    </xf>
    <xf numFmtId="165" fontId="6" fillId="2" borderId="17" xfId="3" applyFont="1" applyFill="1" applyBorder="1" applyAlignment="1" applyProtection="1">
      <alignment horizontal="left" vertical="center"/>
    </xf>
    <xf numFmtId="165" fontId="1" fillId="2" borderId="18" xfId="6" applyNumberFormat="1" applyFont="1" applyFill="1" applyBorder="1"/>
    <xf numFmtId="165" fontId="9" fillId="2" borderId="19" xfId="3" applyFont="1" applyFill="1" applyBorder="1" applyAlignment="1" applyProtection="1">
      <alignment horizontal="left" vertical="center"/>
    </xf>
    <xf numFmtId="165" fontId="7" fillId="2" borderId="19" xfId="3" applyFont="1" applyFill="1" applyBorder="1" applyAlignment="1">
      <alignment horizontal="left" vertical="center" indent="1" readingOrder="2"/>
    </xf>
    <xf numFmtId="165" fontId="1" fillId="2" borderId="5" xfId="6" applyNumberFormat="1" applyFont="1" applyFill="1" applyBorder="1"/>
    <xf numFmtId="165" fontId="1" fillId="2" borderId="0" xfId="6" applyNumberFormat="1" applyFont="1" applyFill="1" applyBorder="1"/>
    <xf numFmtId="165" fontId="7" fillId="2" borderId="0" xfId="3" applyFont="1" applyFill="1" applyBorder="1" applyAlignment="1">
      <alignment horizontal="left" vertical="center" indent="1" readingOrder="2"/>
    </xf>
    <xf numFmtId="165" fontId="10" fillId="2" borderId="12" xfId="6" applyNumberFormat="1" applyFill="1" applyBorder="1"/>
    <xf numFmtId="165" fontId="10" fillId="2" borderId="12" xfId="6" applyNumberFormat="1" applyFont="1" applyFill="1" applyBorder="1"/>
    <xf numFmtId="2" fontId="14" fillId="2" borderId="0" xfId="6" applyNumberFormat="1" applyFont="1" applyFill="1" applyBorder="1" applyAlignment="1">
      <alignment horizontal="right" vertical="center"/>
    </xf>
    <xf numFmtId="0" fontId="15" fillId="2" borderId="0" xfId="6" applyNumberFormat="1" applyFont="1" applyFill="1" applyBorder="1" applyAlignment="1">
      <alignment horizontal="right" vertical="center"/>
    </xf>
    <xf numFmtId="38" fontId="15" fillId="2" borderId="0" xfId="6" applyNumberFormat="1" applyFont="1" applyFill="1" applyBorder="1" applyAlignment="1">
      <alignment horizontal="right" vertical="center"/>
    </xf>
    <xf numFmtId="0" fontId="16" fillId="2" borderId="0" xfId="6" applyNumberFormat="1" applyFont="1" applyFill="1" applyBorder="1" applyAlignment="1">
      <alignment vertical="center"/>
    </xf>
    <xf numFmtId="0" fontId="17" fillId="2" borderId="0" xfId="6" applyNumberFormat="1" applyFont="1" applyFill="1" applyBorder="1" applyAlignment="1">
      <alignment horizontal="left" vertical="center"/>
    </xf>
    <xf numFmtId="0" fontId="12" fillId="2" borderId="7" xfId="6" applyNumberFormat="1" applyFont="1" applyFill="1" applyBorder="1" applyAlignment="1">
      <alignment horizontal="right" vertical="center"/>
    </xf>
    <xf numFmtId="0" fontId="13" fillId="2" borderId="0" xfId="6" applyNumberFormat="1" applyFont="1" applyFill="1" applyBorder="1" applyAlignment="1">
      <alignment horizontal="left" vertical="center"/>
    </xf>
    <xf numFmtId="0" fontId="12" fillId="2" borderId="0" xfId="6" applyNumberFormat="1" applyFont="1" applyFill="1" applyBorder="1" applyAlignment="1">
      <alignment horizontal="right" vertical="center"/>
    </xf>
    <xf numFmtId="0" fontId="8" fillId="2" borderId="0" xfId="5" applyFont="1" applyFill="1" applyBorder="1" applyAlignment="1">
      <alignment horizontal="center" vertical="center"/>
    </xf>
    <xf numFmtId="0" fontId="11" fillId="2" borderId="0" xfId="6" applyNumberFormat="1" applyFont="1" applyFill="1" applyBorder="1" applyAlignment="1">
      <alignment horizontal="center" vertical="center"/>
    </xf>
    <xf numFmtId="0" fontId="12" fillId="2" borderId="0" xfId="6" applyNumberFormat="1" applyFont="1" applyFill="1" applyBorder="1" applyAlignment="1">
      <alignment horizontal="center" vertical="center"/>
    </xf>
    <xf numFmtId="0" fontId="13" fillId="2" borderId="0" xfId="6" applyNumberFormat="1" applyFont="1" applyFill="1" applyBorder="1" applyAlignment="1">
      <alignment horizontal="center" vertical="center"/>
    </xf>
    <xf numFmtId="0" fontId="13" fillId="2" borderId="0" xfId="6" applyNumberFormat="1" applyFont="1" applyFill="1" applyBorder="1" applyAlignment="1">
      <alignment horizontal="left" vertical="center"/>
    </xf>
    <xf numFmtId="0" fontId="12" fillId="2" borderId="0" xfId="6" applyNumberFormat="1" applyFont="1" applyFill="1" applyBorder="1" applyAlignment="1">
      <alignment horizontal="right" vertical="center"/>
    </xf>
    <xf numFmtId="0" fontId="8" fillId="2" borderId="4" xfId="5" applyFont="1" applyFill="1" applyBorder="1" applyAlignment="1">
      <alignment horizontal="center" vertical="center"/>
    </xf>
    <xf numFmtId="0" fontId="11" fillId="2" borderId="4" xfId="6" applyNumberFormat="1" applyFont="1" applyFill="1" applyBorder="1" applyAlignment="1">
      <alignment horizontal="center" vertical="center"/>
    </xf>
    <xf numFmtId="0" fontId="12" fillId="2" borderId="4" xfId="6" applyNumberFormat="1" applyFont="1" applyFill="1" applyBorder="1" applyAlignment="1">
      <alignment horizontal="center" vertical="center"/>
    </xf>
    <xf numFmtId="0" fontId="13" fillId="2" borderId="5" xfId="6" applyNumberFormat="1" applyFont="1" applyFill="1" applyBorder="1" applyAlignment="1">
      <alignment horizontal="center" vertical="center"/>
    </xf>
    <xf numFmtId="0" fontId="13" fillId="2" borderId="6" xfId="6" applyNumberFormat="1" applyFont="1" applyFill="1" applyBorder="1" applyAlignment="1">
      <alignment horizontal="left" vertical="center"/>
    </xf>
    <xf numFmtId="0" fontId="13" fillId="2" borderId="8" xfId="6" applyNumberFormat="1" applyFont="1" applyFill="1" applyBorder="1" applyAlignment="1">
      <alignment horizontal="left" vertical="center"/>
    </xf>
    <xf numFmtId="0" fontId="12" fillId="2" borderId="7" xfId="6" applyNumberFormat="1" applyFont="1" applyFill="1" applyBorder="1" applyAlignment="1">
      <alignment horizontal="right" vertical="center"/>
    </xf>
    <xf numFmtId="0" fontId="12" fillId="2" borderId="9" xfId="6" applyNumberFormat="1" applyFont="1" applyFill="1" applyBorder="1" applyAlignment="1">
      <alignment horizontal="right" vertical="center"/>
    </xf>
  </cellXfs>
  <cellStyles count="9">
    <cellStyle name="1" xfId="7"/>
    <cellStyle name="Comma 2" xfId="1"/>
    <cellStyle name="Normal" xfId="0" builtinId="0"/>
    <cellStyle name="Normal 2" xfId="4"/>
    <cellStyle name="Normal 3_agri planning 2009 year book(final)" xfId="2"/>
    <cellStyle name="Normal 4" xfId="8"/>
    <cellStyle name="Normal_agri planning 2009 year book(final)" xfId="6"/>
    <cellStyle name="Normal_Fish &amp;  Agri - 8" xfId="3"/>
    <cellStyle name="Normal_mmifco" xfId="5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latin typeface="Consolas" pitchFamily="49" charset="0"/>
                <a:cs typeface="Consolas" pitchFamily="49" charset="0"/>
              </a:rPr>
              <a:t>Figure 9.8: Imports of fresh agricultural crops by Country, 2017</a:t>
            </a:r>
          </a:p>
        </c:rich>
      </c:tx>
      <c:layout>
        <c:manualLayout>
          <c:xMode val="edge"/>
          <c:yMode val="edge"/>
          <c:x val="0.2323128127050525"/>
          <c:y val="5.516741150599418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6278245980971"/>
          <c:y val="0.17630082683349171"/>
          <c:w val="0.84210906742125979"/>
          <c:h val="0.7060363907214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'9.12'!$AC$15:$AC$20</c:f>
              <c:strCache>
                <c:ptCount val="6"/>
                <c:pt idx="0">
                  <c:v>India</c:v>
                </c:pt>
                <c:pt idx="1">
                  <c:v>Srilanka</c:v>
                </c:pt>
                <c:pt idx="2">
                  <c:v>U.A.E</c:v>
                </c:pt>
                <c:pt idx="3">
                  <c:v>Thailand</c:v>
                </c:pt>
                <c:pt idx="4">
                  <c:v>Other Countries</c:v>
                </c:pt>
                <c:pt idx="5">
                  <c:v>Australia</c:v>
                </c:pt>
              </c:strCache>
            </c:strRef>
          </c:cat>
          <c:val>
            <c:numRef>
              <c:f>'9.12'!$AD$15:$AD$20</c:f>
              <c:numCache>
                <c:formatCode>#,##0_);[Red]\(#,##0\)</c:formatCode>
                <c:ptCount val="6"/>
                <c:pt idx="0">
                  <c:v>116208364.46255998</c:v>
                </c:pt>
                <c:pt idx="1">
                  <c:v>78092926.830000013</c:v>
                </c:pt>
                <c:pt idx="2">
                  <c:v>75930967.019999996</c:v>
                </c:pt>
                <c:pt idx="3">
                  <c:v>66531997.190000005</c:v>
                </c:pt>
                <c:pt idx="4">
                  <c:v>41932607.129999995</c:v>
                </c:pt>
                <c:pt idx="5">
                  <c:v>22200972.489999995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6-4C35-8065-751D9F530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280512"/>
        <c:axId val="99570816"/>
      </c:barChart>
      <c:catAx>
        <c:axId val="952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9570816"/>
        <c:crosses val="autoZero"/>
        <c:auto val="1"/>
        <c:lblAlgn val="ctr"/>
        <c:lblOffset val="100"/>
        <c:noMultiLvlLbl val="0"/>
      </c:catAx>
      <c:valAx>
        <c:axId val="99570816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(Value in MVR)</a:t>
                </a:r>
              </a:p>
            </c:rich>
          </c:tx>
          <c:layout>
            <c:manualLayout>
              <c:xMode val="edge"/>
              <c:yMode val="edge"/>
              <c:x val="9.8238086450131226E-3"/>
              <c:y val="0.32085053557494503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9528051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1226820</xdr:colOff>
      <xdr:row>31</xdr:row>
      <xdr:rowOff>114300</xdr:rowOff>
    </xdr:from>
    <xdr:to>
      <xdr:col>7</xdr:col>
      <xdr:colOff>962025</xdr:colOff>
      <xdr:row>43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420871</xdr:colOff>
      <xdr:row>33</xdr:row>
      <xdr:rowOff>88604</xdr:rowOff>
    </xdr:from>
    <xdr:to>
      <xdr:col>6</xdr:col>
      <xdr:colOff>631307</xdr:colOff>
      <xdr:row>33</xdr:row>
      <xdr:rowOff>88604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990406" y="8273459"/>
          <a:ext cx="4884331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49"/>
  <sheetViews>
    <sheetView tabSelected="1" zoomScale="86" zoomScaleNormal="86" workbookViewId="0">
      <selection activeCell="J16" sqref="J16"/>
    </sheetView>
  </sheetViews>
  <sheetFormatPr defaultColWidth="8.85546875" defaultRowHeight="15" x14ac:dyDescent="0.25"/>
  <cols>
    <col min="1" max="1" width="38.5703125" style="5" customWidth="1"/>
    <col min="2" max="2" width="18.85546875" style="5" customWidth="1"/>
    <col min="3" max="3" width="14" style="5" customWidth="1"/>
    <col min="4" max="7" width="12.7109375" style="5" customWidth="1"/>
    <col min="8" max="8" width="17.140625" style="5" customWidth="1"/>
    <col min="9" max="9" width="33" style="5" customWidth="1"/>
    <col min="10" max="10" width="13.85546875" style="5" customWidth="1"/>
    <col min="11" max="23" width="8.85546875" style="5"/>
    <col min="24" max="29" width="11.140625" style="5" customWidth="1"/>
    <col min="30" max="30" width="13.28515625" style="5" bestFit="1" customWidth="1"/>
    <col min="31" max="32" width="8.85546875" style="5"/>
    <col min="33" max="33" width="9" style="5" bestFit="1" customWidth="1"/>
    <col min="34" max="16384" width="8.85546875" style="5"/>
  </cols>
  <sheetData>
    <row r="1" spans="1:30" ht="18" x14ac:dyDescent="0.25">
      <c r="A1" s="50" t="s">
        <v>65</v>
      </c>
      <c r="B1" s="50"/>
      <c r="C1" s="50"/>
      <c r="D1" s="50"/>
      <c r="E1" s="50"/>
      <c r="F1" s="50"/>
      <c r="G1" s="50"/>
      <c r="H1" s="50"/>
      <c r="I1" s="50"/>
    </row>
    <row r="2" spans="1:30" s="6" customFormat="1" ht="15.75" x14ac:dyDescent="0.25">
      <c r="A2" s="51" t="s">
        <v>66</v>
      </c>
      <c r="B2" s="51"/>
      <c r="C2" s="51"/>
      <c r="D2" s="51"/>
      <c r="E2" s="51"/>
      <c r="F2" s="51"/>
      <c r="G2" s="51"/>
      <c r="H2" s="51"/>
      <c r="I2" s="51"/>
    </row>
    <row r="3" spans="1:30" ht="21" x14ac:dyDescent="0.25">
      <c r="A3" s="52" t="s">
        <v>1</v>
      </c>
      <c r="B3" s="52"/>
      <c r="C3" s="52"/>
      <c r="D3" s="52"/>
      <c r="E3" s="52"/>
      <c r="F3" s="52"/>
      <c r="G3" s="52"/>
      <c r="H3" s="52"/>
      <c r="I3" s="52"/>
    </row>
    <row r="4" spans="1:30" x14ac:dyDescent="0.25">
      <c r="A4" s="53" t="s">
        <v>2</v>
      </c>
      <c r="B4" s="53"/>
      <c r="C4" s="53"/>
      <c r="D4" s="53"/>
      <c r="E4" s="53"/>
      <c r="F4" s="53"/>
      <c r="G4" s="53"/>
      <c r="H4" s="53"/>
      <c r="I4" s="53"/>
    </row>
    <row r="5" spans="1:30" ht="18.75" x14ac:dyDescent="0.25">
      <c r="A5" s="54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56" t="s">
        <v>11</v>
      </c>
    </row>
    <row r="6" spans="1:30" x14ac:dyDescent="0.25">
      <c r="A6" s="55"/>
      <c r="B6" s="8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8" t="s">
        <v>17</v>
      </c>
      <c r="H6" s="8" t="s">
        <v>18</v>
      </c>
      <c r="I6" s="57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30" ht="21" x14ac:dyDescent="0.25">
      <c r="A7" s="10" t="s">
        <v>0</v>
      </c>
      <c r="B7" s="11">
        <f>SUM(B8:B29)</f>
        <v>400897835.12256002</v>
      </c>
      <c r="C7" s="11">
        <f>SUM(C8:C29)</f>
        <v>116208364.46255998</v>
      </c>
      <c r="D7" s="11">
        <f t="shared" ref="D7:H7" si="0">SUM(D8:D29)</f>
        <v>78092926.830000013</v>
      </c>
      <c r="E7" s="11">
        <f t="shared" si="0"/>
        <v>75930967.019999996</v>
      </c>
      <c r="F7" s="11">
        <f t="shared" si="0"/>
        <v>22200972.489999995</v>
      </c>
      <c r="G7" s="11">
        <f t="shared" si="0"/>
        <v>66531997.190000005</v>
      </c>
      <c r="H7" s="11">
        <f t="shared" si="0"/>
        <v>41932607.129999995</v>
      </c>
      <c r="I7" s="41" t="s">
        <v>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30" ht="21" x14ac:dyDescent="0.25">
      <c r="A8" s="12" t="s">
        <v>19</v>
      </c>
      <c r="B8" s="3">
        <f>SUM(C8:H8)</f>
        <v>20373234.020000003</v>
      </c>
      <c r="C8" s="4">
        <v>15251903.039999999</v>
      </c>
      <c r="D8" s="4">
        <v>3065223.9400000004</v>
      </c>
      <c r="E8" s="4">
        <v>1287267.5500000003</v>
      </c>
      <c r="F8" s="4">
        <v>28914.229999999996</v>
      </c>
      <c r="G8" s="4">
        <v>357151.10000000003</v>
      </c>
      <c r="H8" s="4">
        <v>382774.16000000009</v>
      </c>
      <c r="I8" s="13" t="s">
        <v>20</v>
      </c>
    </row>
    <row r="9" spans="1:30" ht="21" x14ac:dyDescent="0.25">
      <c r="A9" s="14" t="s">
        <v>21</v>
      </c>
      <c r="B9" s="3">
        <f t="shared" ref="B9:B29" si="1">SUM(C9:H9)</f>
        <v>26271497.627639994</v>
      </c>
      <c r="C9" s="4">
        <v>13685533.347639997</v>
      </c>
      <c r="D9" s="4">
        <v>6156205.839999998</v>
      </c>
      <c r="E9" s="4">
        <v>2487322.1099999994</v>
      </c>
      <c r="F9" s="4">
        <v>354394.09</v>
      </c>
      <c r="G9" s="4">
        <v>1734259.1800000006</v>
      </c>
      <c r="H9" s="4">
        <v>1853783.0599999998</v>
      </c>
      <c r="I9" s="15" t="s">
        <v>22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30" ht="21" x14ac:dyDescent="0.25">
      <c r="A10" s="16" t="s">
        <v>23</v>
      </c>
      <c r="B10" s="3">
        <f t="shared" si="1"/>
        <v>5613835.0284000011</v>
      </c>
      <c r="C10" s="4">
        <v>2839151.3784000003</v>
      </c>
      <c r="D10" s="4">
        <v>2520459.9300000002</v>
      </c>
      <c r="E10" s="4">
        <v>157377.06999999998</v>
      </c>
      <c r="F10" s="4">
        <v>1247.53</v>
      </c>
      <c r="G10" s="4">
        <v>31198.460000000003</v>
      </c>
      <c r="H10" s="4">
        <v>64400.659999999996</v>
      </c>
      <c r="I10" s="15" t="s">
        <v>24</v>
      </c>
    </row>
    <row r="11" spans="1:30" ht="21" x14ac:dyDescent="0.25">
      <c r="A11" s="16" t="s">
        <v>25</v>
      </c>
      <c r="B11" s="3">
        <f t="shared" si="1"/>
        <v>747371.84000000008</v>
      </c>
      <c r="C11" s="4">
        <v>156101.29</v>
      </c>
      <c r="D11" s="4">
        <v>477506.8000000001</v>
      </c>
      <c r="E11" s="4">
        <v>78858.920000000013</v>
      </c>
      <c r="F11" s="4"/>
      <c r="G11" s="4">
        <v>14058.11</v>
      </c>
      <c r="H11" s="4">
        <v>20846.72</v>
      </c>
      <c r="I11" s="15" t="s">
        <v>26</v>
      </c>
    </row>
    <row r="12" spans="1:30" ht="21" x14ac:dyDescent="0.25">
      <c r="A12" s="16" t="s">
        <v>27</v>
      </c>
      <c r="B12" s="3">
        <f t="shared" si="1"/>
        <v>447520.85000000003</v>
      </c>
      <c r="C12" s="4">
        <v>1184.1500000000001</v>
      </c>
      <c r="D12" s="4">
        <v>330653.87</v>
      </c>
      <c r="E12" s="4">
        <v>98894.31</v>
      </c>
      <c r="F12" s="4">
        <v>166.02</v>
      </c>
      <c r="G12" s="4">
        <v>14436.68</v>
      </c>
      <c r="H12" s="4">
        <v>2185.8200000000002</v>
      </c>
      <c r="I12" s="15" t="s">
        <v>28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30" ht="21" x14ac:dyDescent="0.25">
      <c r="A13" s="16" t="s">
        <v>29</v>
      </c>
      <c r="B13" s="3">
        <f t="shared" si="1"/>
        <v>42377076.189999998</v>
      </c>
      <c r="C13" s="4">
        <v>26435154.469999999</v>
      </c>
      <c r="D13" s="4">
        <v>8980302.7400000002</v>
      </c>
      <c r="E13" s="4">
        <v>2987336.5799999991</v>
      </c>
      <c r="F13" s="4">
        <v>693125.23</v>
      </c>
      <c r="G13" s="4">
        <v>790245.23999999987</v>
      </c>
      <c r="H13" s="4">
        <v>2490911.9300000002</v>
      </c>
      <c r="I13" s="15" t="s">
        <v>30</v>
      </c>
    </row>
    <row r="14" spans="1:30" ht="21" x14ac:dyDescent="0.25">
      <c r="A14" s="16" t="s">
        <v>31</v>
      </c>
      <c r="B14" s="3">
        <f t="shared" si="1"/>
        <v>6112297.4199999999</v>
      </c>
      <c r="C14" s="4">
        <v>143528.80999999997</v>
      </c>
      <c r="D14" s="4">
        <v>826808.63000000012</v>
      </c>
      <c r="E14" s="4">
        <v>1616736.86</v>
      </c>
      <c r="F14" s="4">
        <v>364387.62</v>
      </c>
      <c r="G14" s="4">
        <v>2600189.2099999995</v>
      </c>
      <c r="H14" s="4">
        <v>560646.2899999998</v>
      </c>
      <c r="I14" s="15" t="s">
        <v>32</v>
      </c>
    </row>
    <row r="15" spans="1:30" ht="21" x14ac:dyDescent="0.25">
      <c r="A15" s="16" t="s">
        <v>33</v>
      </c>
      <c r="B15" s="3">
        <f t="shared" si="1"/>
        <v>2531041.2399999998</v>
      </c>
      <c r="C15" s="4">
        <v>128166.65</v>
      </c>
      <c r="D15" s="4">
        <v>2341145.36</v>
      </c>
      <c r="E15" s="4">
        <v>54560.89999999998</v>
      </c>
      <c r="F15" s="4"/>
      <c r="G15" s="4">
        <v>4905.4799999999996</v>
      </c>
      <c r="H15" s="4">
        <v>2262.85</v>
      </c>
      <c r="I15" s="15" t="s">
        <v>34</v>
      </c>
      <c r="AC15" s="8" t="s">
        <v>13</v>
      </c>
      <c r="AD15" s="11">
        <v>116208364.46255998</v>
      </c>
    </row>
    <row r="16" spans="1:30" ht="21" x14ac:dyDescent="0.25">
      <c r="A16" s="16" t="s">
        <v>35</v>
      </c>
      <c r="B16" s="3">
        <f t="shared" si="1"/>
        <v>20029304.316520005</v>
      </c>
      <c r="C16" s="4">
        <v>9522251.426520003</v>
      </c>
      <c r="D16" s="4">
        <v>2337487.0799999996</v>
      </c>
      <c r="E16" s="4">
        <v>1720233.17</v>
      </c>
      <c r="F16" s="4">
        <v>75130.12999999999</v>
      </c>
      <c r="G16" s="4">
        <v>2423959.7700000005</v>
      </c>
      <c r="H16" s="4">
        <v>3950242.74</v>
      </c>
      <c r="I16" s="15" t="s">
        <v>36</v>
      </c>
      <c r="AC16" s="8" t="s">
        <v>14</v>
      </c>
      <c r="AD16" s="11">
        <v>78092926.830000013</v>
      </c>
    </row>
    <row r="17" spans="1:30" ht="21" x14ac:dyDescent="0.25">
      <c r="A17" s="16" t="s">
        <v>37</v>
      </c>
      <c r="B17" s="3">
        <f t="shared" si="1"/>
        <v>22288484.890000001</v>
      </c>
      <c r="C17" s="4">
        <v>3307089.28</v>
      </c>
      <c r="D17" s="4">
        <v>9730771.4600000009</v>
      </c>
      <c r="E17" s="4">
        <v>5940956.46</v>
      </c>
      <c r="F17" s="4">
        <v>1226365.6700000002</v>
      </c>
      <c r="G17" s="4">
        <v>562963.62000000011</v>
      </c>
      <c r="H17" s="4">
        <v>1520338.3999999994</v>
      </c>
      <c r="I17" s="15" t="s">
        <v>38</v>
      </c>
      <c r="AC17" s="8" t="s">
        <v>15</v>
      </c>
      <c r="AD17" s="11">
        <v>75930967.019999996</v>
      </c>
    </row>
    <row r="18" spans="1:30" ht="21" x14ac:dyDescent="0.25">
      <c r="A18" s="16" t="s">
        <v>39</v>
      </c>
      <c r="B18" s="3">
        <f t="shared" si="1"/>
        <v>4600723.6099999994</v>
      </c>
      <c r="C18" s="4">
        <v>2948580.1699999995</v>
      </c>
      <c r="D18" s="4">
        <v>1313104.7899999998</v>
      </c>
      <c r="E18" s="4">
        <v>265396.03999999998</v>
      </c>
      <c r="F18" s="4">
        <v>2315.11</v>
      </c>
      <c r="G18" s="4">
        <v>62238.719999999987</v>
      </c>
      <c r="H18" s="4">
        <v>9088.7799999999988</v>
      </c>
      <c r="I18" s="15" t="s">
        <v>40</v>
      </c>
      <c r="AC18" s="8" t="s">
        <v>17</v>
      </c>
      <c r="AD18" s="11">
        <v>66531997.190000005</v>
      </c>
    </row>
    <row r="19" spans="1:30" ht="21" x14ac:dyDescent="0.25">
      <c r="A19" s="16" t="s">
        <v>41</v>
      </c>
      <c r="B19" s="3">
        <f t="shared" si="1"/>
        <v>18735509.840000004</v>
      </c>
      <c r="C19" s="4">
        <v>2532477.9599999995</v>
      </c>
      <c r="D19" s="4">
        <v>3061038.73</v>
      </c>
      <c r="E19" s="4">
        <v>2996893.7900000005</v>
      </c>
      <c r="F19" s="4">
        <v>4988.99</v>
      </c>
      <c r="G19" s="4">
        <v>8299762.1900000023</v>
      </c>
      <c r="H19" s="4">
        <v>1840348.1799999995</v>
      </c>
      <c r="I19" s="15" t="s">
        <v>42</v>
      </c>
      <c r="AC19" s="8" t="s">
        <v>18</v>
      </c>
      <c r="AD19" s="11">
        <v>41932607.129999995</v>
      </c>
    </row>
    <row r="20" spans="1:30" ht="21" x14ac:dyDescent="0.25">
      <c r="A20" s="16" t="s">
        <v>43</v>
      </c>
      <c r="B20" s="3">
        <f t="shared" si="1"/>
        <v>51297218.259999998</v>
      </c>
      <c r="C20" s="4">
        <v>1350680.49</v>
      </c>
      <c r="D20" s="4">
        <v>4438438.2300000014</v>
      </c>
      <c r="E20" s="4">
        <v>23692552.829999998</v>
      </c>
      <c r="F20" s="4">
        <v>8944922.0399999972</v>
      </c>
      <c r="G20" s="4">
        <v>4530110.9500000011</v>
      </c>
      <c r="H20" s="4">
        <v>8340513.7199999979</v>
      </c>
      <c r="I20" s="15" t="s">
        <v>44</v>
      </c>
      <c r="AC20" s="8" t="s">
        <v>16</v>
      </c>
      <c r="AD20" s="11">
        <v>22200972.489999995</v>
      </c>
    </row>
    <row r="21" spans="1:30" ht="21" x14ac:dyDescent="0.25">
      <c r="A21" s="16" t="s">
        <v>45</v>
      </c>
      <c r="B21" s="3">
        <f t="shared" si="1"/>
        <v>62192983.080000013</v>
      </c>
      <c r="C21" s="4">
        <v>6963738.5900000008</v>
      </c>
      <c r="D21" s="4">
        <v>9759251.910000002</v>
      </c>
      <c r="E21" s="4">
        <v>9211602.040000001</v>
      </c>
      <c r="F21" s="4">
        <v>902817.73</v>
      </c>
      <c r="G21" s="4">
        <v>24471963.829999998</v>
      </c>
      <c r="H21" s="4">
        <v>10883608.98</v>
      </c>
      <c r="I21" s="15" t="s">
        <v>46</v>
      </c>
    </row>
    <row r="22" spans="1:30" ht="21" x14ac:dyDescent="0.25">
      <c r="A22" s="16" t="s">
        <v>47</v>
      </c>
      <c r="B22" s="3">
        <f t="shared" si="1"/>
        <v>41113440.770000003</v>
      </c>
      <c r="C22" s="4">
        <v>8728959.4700000007</v>
      </c>
      <c r="D22" s="4">
        <v>1521922.1600000001</v>
      </c>
      <c r="E22" s="4">
        <v>15495195.150000002</v>
      </c>
      <c r="F22" s="4">
        <v>3893546.5600000005</v>
      </c>
      <c r="G22" s="4">
        <v>7773510.9900000002</v>
      </c>
      <c r="H22" s="4">
        <v>3700306.4400000004</v>
      </c>
      <c r="I22" s="15" t="s">
        <v>48</v>
      </c>
    </row>
    <row r="23" spans="1:30" ht="21" x14ac:dyDescent="0.25">
      <c r="A23" s="16" t="s">
        <v>49</v>
      </c>
      <c r="B23" s="3">
        <f t="shared" si="1"/>
        <v>4532187.55</v>
      </c>
      <c r="C23" s="4">
        <v>62934.829999999994</v>
      </c>
      <c r="D23" s="4">
        <v>2048098.7000000002</v>
      </c>
      <c r="E23" s="4">
        <v>292610.33000000007</v>
      </c>
      <c r="F23" s="4">
        <v>10877.09</v>
      </c>
      <c r="G23" s="4">
        <v>2090198.93</v>
      </c>
      <c r="H23" s="4">
        <v>27467.670000000002</v>
      </c>
      <c r="I23" s="15" t="s">
        <v>50</v>
      </c>
    </row>
    <row r="24" spans="1:30" ht="21" x14ac:dyDescent="0.25">
      <c r="A24" s="16" t="s">
        <v>51</v>
      </c>
      <c r="B24" s="3">
        <f t="shared" si="1"/>
        <v>17722187.68</v>
      </c>
      <c r="C24" s="4">
        <v>251796.03000000003</v>
      </c>
      <c r="D24" s="4">
        <v>10203748.57</v>
      </c>
      <c r="E24" s="4">
        <v>2933528.6900000004</v>
      </c>
      <c r="F24" s="4">
        <v>171253.19</v>
      </c>
      <c r="G24" s="4">
        <v>3488138.3000000003</v>
      </c>
      <c r="H24" s="4">
        <v>673722.90000000049</v>
      </c>
      <c r="I24" s="15" t="s">
        <v>52</v>
      </c>
    </row>
    <row r="25" spans="1:30" ht="21" x14ac:dyDescent="0.25">
      <c r="A25" s="16" t="s">
        <v>53</v>
      </c>
      <c r="B25" s="3">
        <f t="shared" si="1"/>
        <v>5578977.6399999997</v>
      </c>
      <c r="C25" s="4">
        <v>2618199.13</v>
      </c>
      <c r="D25" s="4">
        <v>1553912.1100000006</v>
      </c>
      <c r="E25" s="4">
        <v>827308.09999999986</v>
      </c>
      <c r="F25" s="4">
        <v>437274.89000000007</v>
      </c>
      <c r="G25" s="4">
        <v>41954.79</v>
      </c>
      <c r="H25" s="4">
        <v>100328.62</v>
      </c>
      <c r="I25" s="15" t="s">
        <v>54</v>
      </c>
    </row>
    <row r="26" spans="1:30" ht="21" x14ac:dyDescent="0.25">
      <c r="A26" s="16" t="s">
        <v>55</v>
      </c>
      <c r="B26" s="3">
        <f t="shared" si="1"/>
        <v>535362.29</v>
      </c>
      <c r="C26" s="4">
        <v>42882.05000000001</v>
      </c>
      <c r="D26" s="4">
        <v>5980.1500000000005</v>
      </c>
      <c r="E26" s="4">
        <v>117117.04000000001</v>
      </c>
      <c r="F26" s="4">
        <v>7071.83</v>
      </c>
      <c r="G26" s="4">
        <v>353845.26</v>
      </c>
      <c r="H26" s="4">
        <v>8465.9599999999991</v>
      </c>
      <c r="I26" s="15" t="s">
        <v>56</v>
      </c>
    </row>
    <row r="27" spans="1:30" ht="21" x14ac:dyDescent="0.25">
      <c r="A27" s="16" t="s">
        <v>57</v>
      </c>
      <c r="B27" s="3">
        <f t="shared" si="1"/>
        <v>1188997.5499999998</v>
      </c>
      <c r="C27" s="4">
        <v>141591.26</v>
      </c>
      <c r="D27" s="4">
        <v>981290.57999999984</v>
      </c>
      <c r="E27" s="4">
        <v>55144.839999999989</v>
      </c>
      <c r="F27" s="4">
        <v>919.14</v>
      </c>
      <c r="G27" s="4">
        <v>2227.42</v>
      </c>
      <c r="H27" s="4">
        <v>7824.3099999999995</v>
      </c>
      <c r="I27" s="15" t="s">
        <v>58</v>
      </c>
    </row>
    <row r="28" spans="1:30" ht="21" x14ac:dyDescent="0.25">
      <c r="A28" s="16" t="s">
        <v>59</v>
      </c>
      <c r="B28" s="3">
        <f t="shared" si="1"/>
        <v>8684433.9499999993</v>
      </c>
      <c r="C28" s="4">
        <v>948409.51000000024</v>
      </c>
      <c r="D28" s="4">
        <v>4734879.57</v>
      </c>
      <c r="E28" s="4">
        <v>792921.1</v>
      </c>
      <c r="F28" s="4">
        <v>547689.48</v>
      </c>
      <c r="G28" s="4">
        <v>162129.84999999995</v>
      </c>
      <c r="H28" s="4">
        <v>1498404.44</v>
      </c>
      <c r="I28" s="15" t="s">
        <v>60</v>
      </c>
    </row>
    <row r="29" spans="1:30" ht="21" x14ac:dyDescent="0.25">
      <c r="A29" s="17" t="s">
        <v>61</v>
      </c>
      <c r="B29" s="18">
        <f t="shared" si="1"/>
        <v>37924149.479999997</v>
      </c>
      <c r="C29" s="2">
        <v>18148051.129999995</v>
      </c>
      <c r="D29" s="2">
        <v>1704695.6800000002</v>
      </c>
      <c r="E29" s="2">
        <v>2821153.1399999997</v>
      </c>
      <c r="F29" s="2">
        <v>4533565.92</v>
      </c>
      <c r="G29" s="2">
        <v>6722549.1099999994</v>
      </c>
      <c r="H29" s="2">
        <v>3994134.5</v>
      </c>
      <c r="I29" s="19" t="s">
        <v>62</v>
      </c>
    </row>
    <row r="30" spans="1:30" s="9" customFormat="1" x14ac:dyDescent="0.25">
      <c r="A30" s="20" t="s">
        <v>63</v>
      </c>
      <c r="B30" s="20"/>
      <c r="C30" s="21"/>
      <c r="D30" s="21"/>
      <c r="E30" s="21"/>
      <c r="F30" s="21"/>
      <c r="G30" s="21"/>
      <c r="H30" s="21"/>
      <c r="I30" s="22" t="s">
        <v>64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30" s="9" customFormat="1" x14ac:dyDescent="0.25">
      <c r="A31" s="20"/>
      <c r="B31" s="23"/>
      <c r="C31" s="12"/>
      <c r="D31" s="24"/>
      <c r="E31" s="25"/>
      <c r="F31" s="25"/>
      <c r="G31" s="25"/>
      <c r="H31" s="26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30" s="9" customFormat="1" x14ac:dyDescent="0.25">
      <c r="A32" s="27"/>
      <c r="B32" s="23"/>
      <c r="C32" s="12"/>
      <c r="D32" s="28"/>
      <c r="E32" s="29"/>
      <c r="F32" s="29"/>
      <c r="G32" s="29"/>
      <c r="H32" s="30"/>
      <c r="I32" s="31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s="9" customFormat="1" x14ac:dyDescent="0.25">
      <c r="A33" s="23"/>
      <c r="B33" s="23"/>
      <c r="C33" s="12"/>
      <c r="D33" s="32"/>
      <c r="E33" s="1"/>
      <c r="F33" s="1"/>
      <c r="G33" s="1"/>
      <c r="H33" s="33"/>
      <c r="I33" s="32"/>
      <c r="J33" s="3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18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34"/>
    </row>
    <row r="35" spans="1:24" s="6" customFormat="1" ht="15.75" x14ac:dyDescent="0.25">
      <c r="A35" s="45"/>
      <c r="B35" s="45"/>
      <c r="C35" s="45"/>
      <c r="D35" s="45"/>
      <c r="E35" s="45"/>
      <c r="F35" s="45"/>
      <c r="G35" s="45"/>
      <c r="H35" s="45"/>
      <c r="I35" s="45"/>
      <c r="J35" s="35"/>
    </row>
    <row r="36" spans="1:24" ht="21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34"/>
    </row>
    <row r="37" spans="1:24" x14ac:dyDescent="0.25">
      <c r="A37" s="47"/>
      <c r="B37" s="47"/>
      <c r="C37" s="47"/>
      <c r="D37" s="47"/>
      <c r="E37" s="47"/>
      <c r="F37" s="47"/>
      <c r="G37" s="47"/>
      <c r="H37" s="47"/>
      <c r="I37" s="47"/>
      <c r="J37" s="34"/>
    </row>
    <row r="38" spans="1:24" ht="18.75" x14ac:dyDescent="0.25">
      <c r="A38" s="48"/>
      <c r="B38" s="36"/>
      <c r="C38" s="36"/>
      <c r="D38" s="36"/>
      <c r="E38" s="36"/>
      <c r="F38" s="36"/>
      <c r="G38" s="36"/>
      <c r="H38" s="36"/>
      <c r="I38" s="49"/>
      <c r="J38" s="34"/>
    </row>
    <row r="39" spans="1:24" x14ac:dyDescent="0.25">
      <c r="A39" s="48"/>
      <c r="B39" s="37"/>
      <c r="C39" s="37"/>
      <c r="D39" s="37"/>
      <c r="E39" s="37"/>
      <c r="F39" s="37"/>
      <c r="G39" s="37"/>
      <c r="H39" s="37"/>
      <c r="I39" s="49"/>
      <c r="J39" s="24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4" ht="21" x14ac:dyDescent="0.25">
      <c r="A40" s="42"/>
      <c r="B40" s="38"/>
      <c r="C40" s="38"/>
      <c r="D40" s="38"/>
      <c r="E40" s="38"/>
      <c r="F40" s="38"/>
      <c r="G40" s="38"/>
      <c r="H40" s="38"/>
      <c r="I40" s="43"/>
      <c r="J40" s="24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4" ht="21" x14ac:dyDescent="0.25">
      <c r="A41" s="12"/>
      <c r="B41" s="3"/>
      <c r="C41" s="4"/>
      <c r="D41" s="4"/>
      <c r="E41" s="4"/>
      <c r="F41" s="4"/>
      <c r="G41" s="4"/>
      <c r="H41" s="4"/>
      <c r="I41" s="39"/>
      <c r="J41" s="34"/>
    </row>
    <row r="42" spans="1:24" ht="21" x14ac:dyDescent="0.25">
      <c r="A42" s="40"/>
      <c r="B42" s="3"/>
      <c r="C42" s="4"/>
      <c r="D42" s="4"/>
      <c r="E42" s="4"/>
      <c r="F42" s="4"/>
      <c r="G42" s="4"/>
      <c r="H42" s="4"/>
      <c r="I42" s="39"/>
      <c r="J42" s="35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4" ht="21" x14ac:dyDescent="0.25">
      <c r="A43" s="40"/>
      <c r="B43" s="3"/>
      <c r="C43" s="4"/>
      <c r="D43" s="4"/>
      <c r="E43" s="4"/>
      <c r="F43" s="4"/>
      <c r="G43" s="4"/>
      <c r="H43" s="4"/>
      <c r="I43" s="39"/>
      <c r="J43" s="34"/>
    </row>
    <row r="44" spans="1:24" ht="21" x14ac:dyDescent="0.25">
      <c r="A44" s="40"/>
      <c r="B44" s="3"/>
      <c r="C44" s="4"/>
      <c r="D44" s="4"/>
      <c r="E44" s="4"/>
      <c r="F44" s="4"/>
      <c r="G44" s="4"/>
      <c r="H44" s="4"/>
      <c r="I44" s="39"/>
      <c r="J44" s="34"/>
    </row>
    <row r="45" spans="1:24" ht="21" x14ac:dyDescent="0.25">
      <c r="A45" s="40"/>
      <c r="B45" s="3"/>
      <c r="C45" s="4"/>
      <c r="D45" s="4"/>
      <c r="E45" s="4"/>
      <c r="F45" s="4"/>
      <c r="G45" s="4"/>
      <c r="H45" s="4"/>
      <c r="I45" s="39"/>
      <c r="J45" s="24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ht="21" x14ac:dyDescent="0.25">
      <c r="A46" s="40"/>
      <c r="B46" s="3"/>
      <c r="C46" s="4"/>
      <c r="D46" s="4"/>
      <c r="E46" s="4"/>
      <c r="F46" s="4"/>
      <c r="G46" s="4"/>
      <c r="H46" s="4"/>
      <c r="I46" s="39"/>
      <c r="J46" s="34"/>
    </row>
    <row r="47" spans="1:24" ht="21" x14ac:dyDescent="0.25">
      <c r="A47" s="40"/>
      <c r="B47" s="3"/>
      <c r="C47" s="4"/>
      <c r="D47" s="4"/>
      <c r="E47" s="4"/>
      <c r="F47" s="4"/>
      <c r="G47" s="4"/>
      <c r="H47" s="4"/>
      <c r="I47" s="39"/>
      <c r="J47" s="34"/>
    </row>
    <row r="48" spans="1:24" x14ac:dyDescent="0.25">
      <c r="A48" s="20"/>
      <c r="B48" s="20"/>
      <c r="C48" s="21"/>
      <c r="D48" s="21"/>
      <c r="E48" s="21"/>
      <c r="F48" s="21"/>
      <c r="G48" s="21"/>
      <c r="H48" s="21"/>
      <c r="I48" s="22"/>
    </row>
    <row r="49" spans="1:9" x14ac:dyDescent="0.25">
      <c r="A49" s="20"/>
      <c r="B49" s="23"/>
      <c r="C49" s="12"/>
      <c r="D49" s="24"/>
      <c r="E49" s="25"/>
      <c r="F49" s="25"/>
      <c r="G49" s="25"/>
      <c r="H49" s="26"/>
      <c r="I49" s="9"/>
    </row>
  </sheetData>
  <sortState ref="AC15:AD20">
    <sortCondition descending="1" ref="AD15:AD20"/>
  </sortState>
  <mergeCells count="12">
    <mergeCell ref="A1:I1"/>
    <mergeCell ref="A2:I2"/>
    <mergeCell ref="A3:I3"/>
    <mergeCell ref="A4:I4"/>
    <mergeCell ref="A5:A6"/>
    <mergeCell ref="I5:I6"/>
    <mergeCell ref="A34:I34"/>
    <mergeCell ref="A35:I35"/>
    <mergeCell ref="A36:I36"/>
    <mergeCell ref="A37:I37"/>
    <mergeCell ref="A38:A39"/>
    <mergeCell ref="I38:I39"/>
  </mergeCells>
  <pageMargins left="0.7" right="0.7" top="0.75" bottom="0.75" header="0.3" footer="0.3"/>
  <pageSetup paperSize="9" scale="76" orientation="landscape" r:id="rId1"/>
  <rowBreaks count="1" manualBreakCount="1">
    <brk id="30" max="8" man="1"/>
  </rowBreaks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9.12</vt:lpstr>
      <vt:lpstr>'9.12'!Print_Area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2018-12-05T07:14:53Z</cp:lastPrinted>
  <dcterms:created xsi:type="dcterms:W3CDTF">2014-03-04T03:52:57Z</dcterms:created>
  <dcterms:modified xsi:type="dcterms:W3CDTF">2018-12-05T07:15:01Z</dcterms:modified>
</cp:coreProperties>
</file>