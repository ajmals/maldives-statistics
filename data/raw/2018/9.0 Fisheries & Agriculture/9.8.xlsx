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8" sheetId="35" r:id="rId1"/>
  </sheets>
  <externalReferences>
    <externalReference r:id="rId2"/>
    <externalReference r:id="rId3"/>
  </externalReferences>
  <definedNames>
    <definedName name="_xlnm.Print_Area" localSheetId="0">'9.8'!$A$1:$F$197</definedName>
  </definedNames>
  <calcPr calcId="162913"/>
</workbook>
</file>

<file path=xl/calcChain.xml><?xml version="1.0" encoding="utf-8"?>
<calcChain xmlns="http://schemas.openxmlformats.org/spreadsheetml/2006/main">
  <c r="D176" i="35" l="1"/>
  <c r="D173" i="35" s="1"/>
  <c r="C176" i="35"/>
  <c r="C173" i="35" s="1"/>
  <c r="B176" i="35"/>
  <c r="B173" i="35"/>
  <c r="D145" i="35"/>
  <c r="D142" i="35" s="1"/>
  <c r="C145" i="35"/>
  <c r="C142" i="35" s="1"/>
  <c r="B145" i="35"/>
  <c r="B142" i="35" s="1"/>
  <c r="C110" i="35"/>
  <c r="C107" i="35" s="1"/>
  <c r="B110" i="35"/>
  <c r="B107" i="35" s="1"/>
  <c r="C79" i="35"/>
  <c r="C76" i="35" s="1"/>
  <c r="B79" i="35"/>
  <c r="B76" i="35" s="1"/>
  <c r="D43" i="35"/>
  <c r="D40" i="35" s="1"/>
  <c r="C43" i="35"/>
  <c r="C40" i="35" s="1"/>
  <c r="B43" i="35"/>
  <c r="B40" i="35"/>
  <c r="D12" i="35"/>
  <c r="D9" i="35" s="1"/>
  <c r="C12" i="35"/>
  <c r="C9" i="35" s="1"/>
  <c r="B12" i="35"/>
  <c r="B9" i="35" s="1"/>
</calcChain>
</file>

<file path=xl/sharedStrings.xml><?xml version="1.0" encoding="utf-8"?>
<sst xmlns="http://schemas.openxmlformats.org/spreadsheetml/2006/main" count="455" uniqueCount="72">
  <si>
    <t>-</t>
  </si>
  <si>
    <t>ah</t>
  </si>
  <si>
    <t>dh</t>
  </si>
  <si>
    <t>S</t>
  </si>
  <si>
    <t>n</t>
  </si>
  <si>
    <t>r</t>
  </si>
  <si>
    <t>b</t>
  </si>
  <si>
    <t>L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</si>
  <si>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</si>
  <si>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</si>
  <si>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</si>
  <si>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</si>
  <si>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</si>
  <si>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</si>
  <si>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</si>
  <si>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</si>
  <si>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</si>
  <si>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</si>
  <si>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</si>
  <si>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N</t>
  </si>
  <si>
    <t>s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</si>
  <si>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</si>
  <si>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</si>
  <si>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</si>
  <si>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</si>
  <si>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</si>
  <si>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>B</t>
  </si>
  <si>
    <t>Lh</t>
  </si>
  <si>
    <t>K</t>
  </si>
  <si>
    <t xml:space="preserve"> AA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</si>
  <si>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</si>
  <si>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</si>
  <si>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</si>
  <si>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</si>
  <si>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</si>
  <si>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</si>
  <si>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</si>
  <si>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</si>
  <si>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</si>
  <si>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</si>
  <si>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Ministry of Fisheries  and Agriculture</t>
  </si>
  <si>
    <t xml:space="preserve"> rwCclwkircgea cDcnea  czIrwxif cfoa IrcTcsinim :ctWrwf ivcaedutWmUluAwm</t>
  </si>
  <si>
    <t xml:space="preserve"> Locality</t>
  </si>
  <si>
    <t>Republic</t>
  </si>
  <si>
    <t>ejcaWriLum</t>
  </si>
  <si>
    <t>Male'</t>
  </si>
  <si>
    <t>elWm</t>
  </si>
  <si>
    <t>Atolls</t>
  </si>
  <si>
    <t>cawtuLotwa</t>
  </si>
  <si>
    <t>EEZ</t>
  </si>
  <si>
    <t xml:space="preserve">      cnudcawHwrws IdWBitcqia</t>
  </si>
  <si>
    <t>ތަން</t>
  </si>
  <si>
    <t>inOdcswm iLeaunIjcnia</t>
  </si>
  <si>
    <t>Mechanised</t>
  </si>
  <si>
    <t>Masdhoni</t>
  </si>
  <si>
    <t>Table 9.7  ( continued )</t>
  </si>
  <si>
    <t>inOdcswmiLeaunIjcnia</t>
  </si>
  <si>
    <t>2015 ,udwdwA irufcSwhwm urwhwfinOd iaWdwdwA egurwhwfudnwLua Wrukcnwkirevcswm irufcSwhwm ukwhwm emcnok cSokcjercvea ,cnutogegunwt : 9.7 ulwvWt</t>
  </si>
  <si>
    <t>Table 9.7 :  NUMBER OF VESSELS ENGAGED PER MONTH IN FISHING AND NUMBER OF FISHING TRIPS BY LOCALITY, 2015</t>
  </si>
  <si>
    <r>
      <t xml:space="preserve">                               </t>
    </r>
    <r>
      <rPr>
        <b/>
        <sz val="10"/>
        <rFont val="Calibri"/>
        <family val="2"/>
      </rPr>
      <t xml:space="preserve">  Fishing Trips</t>
    </r>
    <r>
      <rPr>
        <b/>
        <sz val="10"/>
        <rFont val="A_Randhoo"/>
      </rPr>
      <t xml:space="preserve">                           </t>
    </r>
    <r>
      <rPr>
        <b/>
        <sz val="10"/>
        <rFont val="A_Waheed"/>
      </rPr>
      <t xml:space="preserve"> urwhwfirufcSwhwm</t>
    </r>
  </si>
  <si>
    <t>2016 ,udwdwA irufcSwhwm urwhwfinOd iaWdwdwA egurwhwfudnwLua Wrukcnwkirevcswm irufcSwhwm ukwhwm emcnok cSokcjercvea ,cnutogegunwt : 9.8 ulwvWt</t>
  </si>
  <si>
    <t>Table 9.8 :  NUMBER OF VESSELS ENGAGED PER MONTH IN FISHING AND NUMBER OF FISHING TRIPS BY LOCALITY, 2016</t>
  </si>
  <si>
    <t>NA</t>
  </si>
  <si>
    <t>2017 ,udwdwA irufcSwhwm urwhwfinOd iaWdwdwA egurwhwfudnwLua Wrukcnwkirevcswm irufcSwhwm ukwhwm emcnok cSokcjercvea ,cnutogegunwt : 9.8 ulwvWt</t>
  </si>
  <si>
    <t>Table 9.8 :  NUMBER OF VESSELS ENGAGED PER MONTH IN FISHING AND NUMBER OF FISHING TRIPS BY LOCALITY, 2017</t>
  </si>
  <si>
    <t>Other vessels</t>
  </si>
  <si>
    <t>inOdcswm cnehinehea</t>
  </si>
  <si>
    <t>Longline vessels</t>
  </si>
  <si>
    <t>udnwLua egumwkirevcswm unEl</t>
  </si>
  <si>
    <t xml:space="preserve">  udwdwA egInOdirufcSwhwm ukwhwm emcnok cSokcjercvea</t>
  </si>
  <si>
    <r>
      <rPr>
        <b/>
        <sz val="10"/>
        <rFont val="Calibri"/>
        <family val="2"/>
      </rPr>
      <t xml:space="preserve">Average no. of vessels engaged per month  </t>
    </r>
    <r>
      <rPr>
        <b/>
        <sz val="10"/>
        <rFont val="A_Randhoo"/>
      </rPr>
      <t xml:space="preserve">      </t>
    </r>
  </si>
  <si>
    <r>
      <rPr>
        <b/>
        <sz val="10"/>
        <rFont val="Calibri"/>
        <family val="2"/>
      </rPr>
      <t xml:space="preserve">                         Average no. of vessels engaged per month  </t>
    </r>
    <r>
      <rPr>
        <b/>
        <sz val="10"/>
        <rFont val="A_Randhoo"/>
      </rPr>
      <t xml:space="preserve">              </t>
    </r>
    <r>
      <rPr>
        <b/>
        <sz val="10"/>
        <rFont val="A_Waheed"/>
      </rPr>
      <t xml:space="preserve"> udwdwA egInOdirufcSwhwm ukwhwm emcnok cSokcjercvea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</si>
</sst>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mmmm\ d\,\ yyyy;@"/>
    <numFmt numFmtId="165" formatCode="General_)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MS Sans Serif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ourier"/>
      <family val="3"/>
    </font>
    <font>
      <sz val="10"/>
      <name val="Calibri"/>
      <family val="2"/>
      <scheme val="minor"/>
    </font>
    <font>
      <b/>
      <sz val="10"/>
      <name val="Calibri"/>
      <family val="2"/>
    </font>
    <font>
      <b/>
      <sz val="10"/>
      <name val="A_Randhoo"/>
    </font>
    <font>
      <sz val="10"/>
      <name val="A_Randhoo"/>
    </font>
    <font>
      <b/>
      <sz val="10"/>
      <name val="A_Waheed"/>
    </font>
    <font>
      <sz val="10"/>
      <name val="A_Waheed"/>
    </font>
    <font>
      <b/>
      <sz val="11"/>
      <name val="A_Waheed"/>
    </font>
    <font>
      <sz val="11"/>
      <color indexed="8"/>
      <name val="Calibri"/>
      <family val="2"/>
    </font>
    <font>
      <i/>
      <sz val="10"/>
      <name val="Calibri"/>
      <family val="2"/>
    </font>
    <font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7">
    <xf numFmtId="0" fontId="0" fillId="0" borderId="0"/>
    <xf numFmtId="40" fontId="5" fillId="0" borderId="0" applyFont="0" applyFill="0" applyBorder="0" applyAlignment="0" applyProtection="0"/>
    <xf numFmtId="164" fontId="1" fillId="0" borderId="0"/>
    <xf numFmtId="165" fontId="1" fillId="0" borderId="0"/>
    <xf numFmtId="0" fontId="1" fillId="0" borderId="0"/>
    <xf numFmtId="0" fontId="2" fillId="0" borderId="0"/>
    <xf numFmtId="0" fontId="2" fillId="0" borderId="0"/>
  </cellStyleXfs>
  <cellXfs count="65">
    <xf numFmtId="0" fontId="0" fillId="0" borderId="0" xfId="0"/>
    <xf numFmtId="165" fontId="10" fillId="2" borderId="0" xfId="3" applyFont="1" applyFill="1" applyAlignment="1" applyProtection="1">
      <alignment horizontal="left" vertical="center"/>
    </xf>
    <xf numFmtId="165" fontId="2" fillId="2" borderId="0" xfId="3" applyFont="1" applyFill="1" applyAlignment="1">
      <alignment vertical="center"/>
    </xf>
    <xf numFmtId="165" fontId="1" fillId="2" borderId="0" xfId="0" applyNumberFormat="1" applyFont="1" applyFill="1"/>
    <xf numFmtId="165" fontId="7" fillId="2" borderId="0" xfId="0" applyNumberFormat="1" applyFont="1" applyFill="1"/>
    <xf numFmtId="165" fontId="1" fillId="2" borderId="0" xfId="0" applyNumberFormat="1" applyFont="1" applyFill="1" applyBorder="1"/>
    <xf numFmtId="1" fontId="7" fillId="2" borderId="0" xfId="0" applyNumberFormat="1" applyFont="1" applyFill="1" applyAlignment="1">
      <alignment vertical="center"/>
    </xf>
    <xf numFmtId="3" fontId="10" fillId="2" borderId="1" xfId="0" applyNumberFormat="1" applyFont="1" applyFill="1" applyBorder="1" applyAlignment="1">
      <alignment horizontal="right" vertical="center"/>
    </xf>
    <xf numFmtId="1" fontId="8" fillId="2" borderId="0" xfId="0" applyNumberFormat="1" applyFont="1" applyFill="1" applyAlignment="1">
      <alignment vertical="center"/>
    </xf>
    <xf numFmtId="3" fontId="10" fillId="2" borderId="0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right" vertical="center"/>
    </xf>
    <xf numFmtId="1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3" fontId="7" fillId="2" borderId="2" xfId="0" applyNumberFormat="1" applyFont="1" applyFill="1" applyBorder="1" applyAlignment="1">
      <alignment horizontal="right" vertical="center"/>
    </xf>
    <xf numFmtId="165" fontId="1" fillId="2" borderId="0" xfId="0" applyNumberFormat="1" applyFont="1" applyFill="1" applyBorder="1" applyAlignment="1">
      <alignment vertical="center"/>
    </xf>
    <xf numFmtId="165" fontId="8" fillId="2" borderId="0" xfId="0" applyNumberFormat="1" applyFont="1" applyFill="1"/>
    <xf numFmtId="3" fontId="3" fillId="2" borderId="0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Border="1" applyAlignment="1">
      <alignment horizontal="right" vertical="center"/>
    </xf>
    <xf numFmtId="3" fontId="9" fillId="2" borderId="2" xfId="0" applyNumberFormat="1" applyFont="1" applyFill="1" applyBorder="1" applyAlignment="1">
      <alignment horizontal="right" vertical="center"/>
    </xf>
    <xf numFmtId="165" fontId="1" fillId="2" borderId="0" xfId="0" applyNumberFormat="1" applyFont="1" applyFill="1" applyAlignment="1">
      <alignment wrapText="1"/>
    </xf>
    <xf numFmtId="165" fontId="14" fillId="2" borderId="0" xfId="0" applyNumberFormat="1" applyFont="1" applyFill="1" applyAlignment="1">
      <alignment horizontal="right" vertical="center"/>
    </xf>
    <xf numFmtId="165" fontId="14" fillId="2" borderId="2" xfId="0" applyNumberFormat="1" applyFont="1" applyFill="1" applyBorder="1" applyAlignment="1">
      <alignment horizontal="right" vertical="center"/>
    </xf>
    <xf numFmtId="165" fontId="13" fillId="2" borderId="4" xfId="0" applyNumberFormat="1" applyFont="1" applyFill="1" applyBorder="1" applyAlignment="1">
      <alignment horizontal="right" vertical="center" wrapText="1"/>
    </xf>
    <xf numFmtId="165" fontId="13" fillId="2" borderId="0" xfId="3" applyFont="1" applyFill="1" applyAlignment="1">
      <alignment horizontal="right" vertical="center"/>
    </xf>
    <xf numFmtId="165" fontId="13" fillId="2" borderId="4" xfId="0" applyNumberFormat="1" applyFont="1" applyFill="1" applyBorder="1" applyAlignment="1">
      <alignment horizontal="right" vertical="center"/>
    </xf>
    <xf numFmtId="165" fontId="14" fillId="2" borderId="0" xfId="3" applyFont="1" applyFill="1" applyBorder="1" applyAlignment="1">
      <alignment horizontal="right" vertical="center"/>
    </xf>
    <xf numFmtId="165" fontId="11" fillId="2" borderId="3" xfId="0" applyNumberFormat="1" applyFont="1" applyFill="1" applyBorder="1" applyAlignment="1">
      <alignment vertical="center"/>
    </xf>
    <xf numFmtId="165" fontId="10" fillId="2" borderId="5" xfId="3" applyFont="1" applyFill="1" applyBorder="1" applyAlignment="1" applyProtection="1">
      <alignment horizontal="right"/>
    </xf>
    <xf numFmtId="165" fontId="10" fillId="2" borderId="0" xfId="3" applyFont="1" applyFill="1" applyBorder="1" applyAlignment="1" applyProtection="1">
      <alignment horizontal="right"/>
    </xf>
    <xf numFmtId="38" fontId="18" fillId="2" borderId="0" xfId="1" applyNumberFormat="1" applyFont="1" applyFill="1" applyBorder="1" applyAlignment="1">
      <alignment horizontal="right" vertical="center" indent="1"/>
    </xf>
    <xf numFmtId="38" fontId="18" fillId="2" borderId="2" xfId="1" applyNumberFormat="1" applyFont="1" applyFill="1" applyBorder="1" applyAlignment="1">
      <alignment horizontal="right" vertical="center" indent="1"/>
    </xf>
    <xf numFmtId="165" fontId="8" fillId="2" borderId="0" xfId="0" applyNumberFormat="1" applyFont="1" applyFill="1" applyBorder="1" applyAlignment="1">
      <alignment horizontal="center"/>
    </xf>
    <xf numFmtId="165" fontId="10" fillId="2" borderId="0" xfId="0" applyNumberFormat="1" applyFont="1" applyFill="1" applyBorder="1" applyAlignment="1">
      <alignment horizontal="right"/>
    </xf>
    <xf numFmtId="165" fontId="10" fillId="2" borderId="2" xfId="0" applyNumberFormat="1" applyFont="1" applyFill="1" applyBorder="1" applyAlignment="1">
      <alignment horizontal="right"/>
    </xf>
    <xf numFmtId="165" fontId="10" fillId="2" borderId="0" xfId="3" applyFont="1" applyFill="1" applyAlignment="1" applyProtection="1">
      <alignment horizontal="left" vertical="center" indent="2"/>
    </xf>
    <xf numFmtId="165" fontId="7" fillId="2" borderId="0" xfId="0" applyNumberFormat="1" applyFont="1" applyFill="1" applyAlignment="1" applyProtection="1">
      <alignment horizontal="left" vertical="center" indent="2"/>
    </xf>
    <xf numFmtId="165" fontId="14" fillId="2" borderId="0" xfId="0" applyNumberFormat="1" applyFont="1" applyFill="1" applyAlignment="1">
      <alignment horizontal="right" vertical="center" indent="1"/>
    </xf>
    <xf numFmtId="165" fontId="7" fillId="2" borderId="2" xfId="0" applyNumberFormat="1" applyFont="1" applyFill="1" applyBorder="1" applyAlignment="1" applyProtection="1">
      <alignment horizontal="left" vertical="center" indent="2"/>
    </xf>
    <xf numFmtId="165" fontId="14" fillId="2" borderId="2" xfId="0" applyNumberFormat="1" applyFont="1" applyFill="1" applyBorder="1" applyAlignment="1">
      <alignment horizontal="right" vertical="center" indent="1"/>
    </xf>
    <xf numFmtId="165" fontId="7" fillId="2" borderId="0" xfId="0" applyNumberFormat="1" applyFont="1" applyFill="1" applyAlignment="1">
      <alignment vertical="center"/>
    </xf>
    <xf numFmtId="165" fontId="11" fillId="2" borderId="3" xfId="0" applyNumberFormat="1" applyFont="1" applyFill="1" applyBorder="1" applyAlignment="1">
      <alignment horizontal="right" vertical="center" wrapText="1"/>
    </xf>
    <xf numFmtId="165" fontId="11" fillId="2" borderId="3" xfId="0" applyNumberFormat="1" applyFont="1" applyFill="1" applyBorder="1" applyAlignment="1">
      <alignment vertical="center" wrapText="1"/>
    </xf>
    <xf numFmtId="165" fontId="11" fillId="2" borderId="3" xfId="0" applyNumberFormat="1" applyFont="1" applyFill="1" applyBorder="1" applyAlignment="1">
      <alignment horizontal="left" vertical="top" wrapText="1"/>
    </xf>
    <xf numFmtId="165" fontId="7" fillId="2" borderId="0" xfId="0" applyNumberFormat="1" applyFont="1" applyFill="1" applyAlignment="1" applyProtection="1">
      <alignment horizontal="left" vertical="center"/>
    </xf>
    <xf numFmtId="165" fontId="7" fillId="2" borderId="2" xfId="0" applyNumberFormat="1" applyFont="1" applyFill="1" applyBorder="1" applyAlignment="1" applyProtection="1">
      <alignment horizontal="left" vertical="center"/>
    </xf>
    <xf numFmtId="165" fontId="17" fillId="2" borderId="0" xfId="3" applyFont="1" applyFill="1" applyAlignment="1" applyProtection="1">
      <alignment horizontal="left" vertical="center"/>
    </xf>
    <xf numFmtId="165" fontId="12" fillId="2" borderId="0" xfId="3" applyFon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center"/>
    </xf>
    <xf numFmtId="3" fontId="10" fillId="2" borderId="1" xfId="0" applyNumberFormat="1" applyFont="1" applyFill="1" applyBorder="1" applyAlignment="1">
      <alignment horizontal="right" vertical="center" indent="4"/>
    </xf>
    <xf numFmtId="3" fontId="10" fillId="2" borderId="0" xfId="0" applyNumberFormat="1" applyFont="1" applyFill="1" applyBorder="1" applyAlignment="1">
      <alignment horizontal="right" vertical="center" indent="4"/>
    </xf>
    <xf numFmtId="3" fontId="7" fillId="2" borderId="0" xfId="0" applyNumberFormat="1" applyFont="1" applyFill="1" applyBorder="1" applyAlignment="1">
      <alignment horizontal="right" vertical="center" indent="4"/>
    </xf>
    <xf numFmtId="3" fontId="7" fillId="2" borderId="2" xfId="0" applyNumberFormat="1" applyFont="1" applyFill="1" applyBorder="1" applyAlignment="1">
      <alignment horizontal="right" vertical="center" indent="4"/>
    </xf>
    <xf numFmtId="165" fontId="10" fillId="2" borderId="1" xfId="0" applyNumberFormat="1" applyFont="1" applyFill="1" applyBorder="1" applyAlignment="1">
      <alignment horizontal="left" vertical="center"/>
    </xf>
    <xf numFmtId="165" fontId="10" fillId="2" borderId="0" xfId="0" applyNumberFormat="1" applyFont="1" applyFill="1" applyBorder="1" applyAlignment="1">
      <alignment horizontal="left" vertical="center"/>
    </xf>
    <xf numFmtId="165" fontId="10" fillId="2" borderId="2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165" fontId="13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top"/>
    </xf>
    <xf numFmtId="165" fontId="10" fillId="2" borderId="2" xfId="0" applyNumberFormat="1" applyFont="1" applyFill="1" applyBorder="1" applyAlignment="1">
      <alignment horizontal="center" vertical="center"/>
    </xf>
    <xf numFmtId="165" fontId="10" fillId="2" borderId="0" xfId="0" applyNumberFormat="1" applyFont="1" applyFill="1" applyBorder="1" applyAlignment="1">
      <alignment horizontal="center" vertical="center"/>
    </xf>
    <xf numFmtId="165" fontId="11" fillId="2" borderId="3" xfId="0" applyNumberFormat="1" applyFont="1" applyFill="1" applyBorder="1" applyAlignment="1">
      <alignment horizontal="left" vertical="center"/>
    </xf>
    <xf numFmtId="165" fontId="10" fillId="2" borderId="0" xfId="0" applyNumberFormat="1" applyFont="1" applyFill="1" applyAlignment="1">
      <alignment horizontal="center" vertical="top"/>
    </xf>
    <xf numFmtId="165" fontId="15" fillId="2" borderId="0" xfId="0" applyNumberFormat="1" applyFont="1" applyFill="1" applyAlignment="1">
      <alignment horizontal="center" vertical="center"/>
    </xf>
  </cellXfs>
  <cellStyles count="7">
    <cellStyle name="1" xfId="5"/>
    <cellStyle name="Comma 2" xfId="1"/>
    <cellStyle name="Normal" xfId="0" builtinId="0"/>
    <cellStyle name="Normal 2" xfId="4"/>
    <cellStyle name="Normal 3_agri planning 2009 year book(final)" xfId="2"/>
    <cellStyle name="Normal 4" xfId="6"/>
    <cellStyle name="Normal_Fish &amp;  Agri - 8" xfId="3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T197"/>
  <sheetViews>
    <sheetView tabSelected="1" topLeftCell="A139" zoomScale="91" zoomScaleNormal="91" workbookViewId="0">
      <selection activeCell="J146" sqref="J146"/>
    </sheetView>
  </sheetViews>
  <sheetFormatPr defaultColWidth="12.42578125" defaultRowHeight="12" x14ac:dyDescent="0.15"/>
  <cols>
    <col min="1" max="1" width="15.140625" style="3" customWidth="1"/>
    <col min="2" max="4" width="23.140625" style="3" customWidth="1"/>
    <col min="5" max="5" width="30" style="3" customWidth="1"/>
    <col min="6" max="6" width="5" style="3" customWidth="1"/>
    <col min="7" max="7" width="20.28515625" style="3" customWidth="1"/>
    <col min="8" max="16384" width="12.42578125" style="3"/>
  </cols>
  <sheetData>
    <row r="1" spans="1:228" ht="27" customHeight="1" x14ac:dyDescent="0.15">
      <c r="A1" s="64" t="s">
        <v>63</v>
      </c>
      <c r="B1" s="64"/>
      <c r="C1" s="64"/>
      <c r="D1" s="64"/>
      <c r="E1" s="64"/>
    </row>
    <row r="2" spans="1:228" s="4" customFormat="1" ht="23.25" customHeight="1" x14ac:dyDescent="0.2">
      <c r="A2" s="59" t="s">
        <v>64</v>
      </c>
      <c r="B2" s="59"/>
      <c r="C2" s="59"/>
      <c r="D2" s="59"/>
      <c r="E2" s="59"/>
    </row>
    <row r="3" spans="1:228" s="4" customFormat="1" ht="12.75" x14ac:dyDescent="0.2">
      <c r="A3" s="60"/>
      <c r="B3" s="61"/>
      <c r="C3" s="61"/>
    </row>
    <row r="4" spans="1:228" ht="15.75" x14ac:dyDescent="0.15">
      <c r="A4" s="52" t="s">
        <v>42</v>
      </c>
      <c r="B4" s="26" t="s">
        <v>59</v>
      </c>
      <c r="C4" s="26"/>
      <c r="D4" s="26"/>
      <c r="E4" s="55" t="s">
        <v>51</v>
      </c>
    </row>
    <row r="5" spans="1:228" s="19" customFormat="1" ht="39" customHeight="1" x14ac:dyDescent="0.15">
      <c r="A5" s="53"/>
      <c r="B5" s="22" t="s">
        <v>52</v>
      </c>
      <c r="C5" s="23" t="s">
        <v>66</v>
      </c>
      <c r="D5" s="24" t="s">
        <v>68</v>
      </c>
      <c r="E5" s="56"/>
    </row>
    <row r="6" spans="1:228" ht="1.1499999999999999" customHeight="1" x14ac:dyDescent="0.15">
      <c r="A6" s="53"/>
      <c r="B6" s="31"/>
      <c r="C6" s="31"/>
      <c r="D6" s="5"/>
      <c r="E6" s="56"/>
    </row>
    <row r="7" spans="1:228" s="6" customFormat="1" ht="12" customHeight="1" x14ac:dyDescent="0.2">
      <c r="A7" s="53"/>
      <c r="B7" s="32" t="s">
        <v>53</v>
      </c>
      <c r="C7" s="27" t="s">
        <v>65</v>
      </c>
      <c r="D7" s="32" t="s">
        <v>67</v>
      </c>
      <c r="E7" s="5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</row>
    <row r="8" spans="1:228" s="6" customFormat="1" ht="12.75" x14ac:dyDescent="0.2">
      <c r="A8" s="54"/>
      <c r="B8" s="33" t="s">
        <v>54</v>
      </c>
      <c r="C8" s="33"/>
      <c r="D8" s="32"/>
      <c r="E8" s="5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</row>
    <row r="9" spans="1:228" s="8" customFormat="1" ht="15" x14ac:dyDescent="0.25">
      <c r="A9" s="34" t="s">
        <v>43</v>
      </c>
      <c r="B9" s="7">
        <f>B10+B12+B11</f>
        <v>51821</v>
      </c>
      <c r="C9" s="7">
        <f>C10+C12+C11</f>
        <v>88</v>
      </c>
      <c r="D9" s="7">
        <f t="shared" ref="D9" si="0">D10+D12+D11</f>
        <v>2343</v>
      </c>
      <c r="E9" s="23" t="s">
        <v>44</v>
      </c>
    </row>
    <row r="10" spans="1:228" s="8" customFormat="1" ht="15" x14ac:dyDescent="0.25">
      <c r="A10" s="34" t="s">
        <v>45</v>
      </c>
      <c r="B10" s="9">
        <v>7172</v>
      </c>
      <c r="C10" s="9">
        <v>0</v>
      </c>
      <c r="D10" s="9">
        <v>0</v>
      </c>
      <c r="E10" s="23" t="s">
        <v>46</v>
      </c>
    </row>
    <row r="11" spans="1:228" s="8" customFormat="1" ht="15" x14ac:dyDescent="0.25">
      <c r="A11" s="34" t="s">
        <v>49</v>
      </c>
      <c r="B11" s="9">
        <v>0</v>
      </c>
      <c r="C11" s="9">
        <v>0</v>
      </c>
      <c r="D11" s="16">
        <v>2343</v>
      </c>
      <c r="E11" s="23" t="s">
        <v>50</v>
      </c>
    </row>
    <row r="12" spans="1:228" s="8" customFormat="1" ht="15" x14ac:dyDescent="0.25">
      <c r="A12" s="34" t="s">
        <v>47</v>
      </c>
      <c r="B12" s="9">
        <f>SUM(B13:B32)</f>
        <v>44649</v>
      </c>
      <c r="C12" s="9">
        <f>SUM(C13:C32)</f>
        <v>88</v>
      </c>
      <c r="D12" s="9">
        <f t="shared" ref="D12" si="1">SUM(D13:D32)</f>
        <v>0</v>
      </c>
      <c r="E12" s="23" t="s">
        <v>48</v>
      </c>
    </row>
    <row r="13" spans="1:228" s="11" customFormat="1" ht="15" x14ac:dyDescent="0.25">
      <c r="A13" s="35" t="s">
        <v>21</v>
      </c>
      <c r="B13" s="10">
        <v>2170</v>
      </c>
      <c r="C13" s="10">
        <v>0</v>
      </c>
      <c r="D13" s="29" t="s">
        <v>0</v>
      </c>
      <c r="E13" s="36" t="s">
        <v>1</v>
      </c>
    </row>
    <row r="14" spans="1:228" s="11" customFormat="1" ht="15" x14ac:dyDescent="0.25">
      <c r="A14" s="35" t="s">
        <v>22</v>
      </c>
      <c r="B14" s="10">
        <v>1812</v>
      </c>
      <c r="C14" s="10">
        <v>0</v>
      </c>
      <c r="D14" s="29" t="s">
        <v>0</v>
      </c>
      <c r="E14" s="36" t="s">
        <v>2</v>
      </c>
    </row>
    <row r="15" spans="1:228" s="11" customFormat="1" ht="15" x14ac:dyDescent="0.25">
      <c r="A15" s="35" t="s">
        <v>23</v>
      </c>
      <c r="B15" s="10">
        <v>2444</v>
      </c>
      <c r="C15" s="10">
        <v>0</v>
      </c>
      <c r="D15" s="29" t="s">
        <v>0</v>
      </c>
      <c r="E15" s="36" t="s">
        <v>3</v>
      </c>
    </row>
    <row r="16" spans="1:228" s="11" customFormat="1" ht="15" x14ac:dyDescent="0.25">
      <c r="A16" s="35" t="s">
        <v>24</v>
      </c>
      <c r="B16" s="10">
        <v>1451</v>
      </c>
      <c r="C16" s="10">
        <v>0</v>
      </c>
      <c r="D16" s="29" t="s">
        <v>0</v>
      </c>
      <c r="E16" s="36" t="s">
        <v>4</v>
      </c>
    </row>
    <row r="17" spans="1:228" s="11" customFormat="1" ht="15" x14ac:dyDescent="0.25">
      <c r="A17" s="35" t="s">
        <v>25</v>
      </c>
      <c r="B17" s="10">
        <v>2541</v>
      </c>
      <c r="C17" s="10">
        <v>0</v>
      </c>
      <c r="D17" s="29" t="s">
        <v>0</v>
      </c>
      <c r="E17" s="36" t="s">
        <v>5</v>
      </c>
    </row>
    <row r="18" spans="1:228" s="11" customFormat="1" ht="15" x14ac:dyDescent="0.25">
      <c r="A18" s="35" t="s">
        <v>26</v>
      </c>
      <c r="B18" s="10">
        <v>1004</v>
      </c>
      <c r="C18" s="10">
        <v>0</v>
      </c>
      <c r="D18" s="29" t="s">
        <v>0</v>
      </c>
      <c r="E18" s="36" t="s">
        <v>6</v>
      </c>
    </row>
    <row r="19" spans="1:228" s="11" customFormat="1" ht="15" x14ac:dyDescent="0.25">
      <c r="A19" s="35" t="s">
        <v>27</v>
      </c>
      <c r="B19" s="10">
        <v>1498</v>
      </c>
      <c r="C19" s="10">
        <v>0</v>
      </c>
      <c r="D19" s="29" t="s">
        <v>0</v>
      </c>
      <c r="E19" s="36" t="s">
        <v>7</v>
      </c>
    </row>
    <row r="20" spans="1:228" s="11" customFormat="1" ht="15" x14ac:dyDescent="0.25">
      <c r="A20" s="35" t="s">
        <v>28</v>
      </c>
      <c r="B20" s="10">
        <v>1708</v>
      </c>
      <c r="C20" s="10">
        <v>0</v>
      </c>
      <c r="D20" s="29" t="s">
        <v>0</v>
      </c>
      <c r="E20" s="36" t="s">
        <v>8</v>
      </c>
    </row>
    <row r="21" spans="1:228" s="11" customFormat="1" ht="15" x14ac:dyDescent="0.25">
      <c r="A21" s="35" t="s">
        <v>29</v>
      </c>
      <c r="B21" s="10">
        <v>1743</v>
      </c>
      <c r="C21" s="10">
        <v>0</v>
      </c>
      <c r="D21" s="29" t="s">
        <v>0</v>
      </c>
      <c r="E21" s="36" t="s">
        <v>9</v>
      </c>
    </row>
    <row r="22" spans="1:228" s="11" customFormat="1" ht="15" x14ac:dyDescent="0.25">
      <c r="A22" s="35" t="s">
        <v>30</v>
      </c>
      <c r="B22" s="10">
        <v>2860</v>
      </c>
      <c r="C22" s="10">
        <v>0</v>
      </c>
      <c r="D22" s="29" t="s">
        <v>0</v>
      </c>
      <c r="E22" s="36" t="s">
        <v>10</v>
      </c>
    </row>
    <row r="23" spans="1:228" s="11" customFormat="1" ht="15" x14ac:dyDescent="0.25">
      <c r="A23" s="35" t="s">
        <v>31</v>
      </c>
      <c r="B23" s="10">
        <v>101</v>
      </c>
      <c r="C23" s="10">
        <v>0</v>
      </c>
      <c r="D23" s="29" t="s">
        <v>0</v>
      </c>
      <c r="E23" s="36" t="s">
        <v>11</v>
      </c>
    </row>
    <row r="24" spans="1:228" s="11" customFormat="1" ht="15" x14ac:dyDescent="0.25">
      <c r="A24" s="35" t="s">
        <v>32</v>
      </c>
      <c r="B24" s="10">
        <v>1105</v>
      </c>
      <c r="C24" s="10">
        <v>0</v>
      </c>
      <c r="D24" s="29" t="s">
        <v>0</v>
      </c>
      <c r="E24" s="36" t="s">
        <v>12</v>
      </c>
    </row>
    <row r="25" spans="1:228" s="11" customFormat="1" ht="15" x14ac:dyDescent="0.25">
      <c r="A25" s="35" t="s">
        <v>33</v>
      </c>
      <c r="B25" s="10">
        <v>2370</v>
      </c>
      <c r="C25" s="10">
        <v>0</v>
      </c>
      <c r="D25" s="29" t="s">
        <v>0</v>
      </c>
      <c r="E25" s="36" t="s">
        <v>13</v>
      </c>
    </row>
    <row r="26" spans="1:228" ht="15" x14ac:dyDescent="0.15">
      <c r="A26" s="35" t="s">
        <v>34</v>
      </c>
      <c r="B26" s="10">
        <v>3930</v>
      </c>
      <c r="C26" s="10">
        <v>16</v>
      </c>
      <c r="D26" s="29" t="s">
        <v>0</v>
      </c>
      <c r="E26" s="36" t="s">
        <v>14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</row>
    <row r="27" spans="1:228" ht="15" x14ac:dyDescent="0.15">
      <c r="A27" s="35" t="s">
        <v>35</v>
      </c>
      <c r="B27" s="10">
        <v>2612</v>
      </c>
      <c r="C27" s="10">
        <v>0</v>
      </c>
      <c r="D27" s="29" t="s">
        <v>0</v>
      </c>
      <c r="E27" s="36" t="s">
        <v>15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</row>
    <row r="28" spans="1:228" ht="15" x14ac:dyDescent="0.15">
      <c r="A28" s="35" t="s">
        <v>36</v>
      </c>
      <c r="B28" s="10">
        <v>3801</v>
      </c>
      <c r="C28" s="10">
        <v>0</v>
      </c>
      <c r="D28" s="29" t="s">
        <v>0</v>
      </c>
      <c r="E28" s="36" t="s">
        <v>16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</row>
    <row r="29" spans="1:228" s="12" customFormat="1" ht="15" x14ac:dyDescent="0.25">
      <c r="A29" s="35" t="s">
        <v>37</v>
      </c>
      <c r="B29" s="10">
        <v>4456</v>
      </c>
      <c r="C29" s="10">
        <v>0</v>
      </c>
      <c r="D29" s="29" t="s">
        <v>0</v>
      </c>
      <c r="E29" s="36" t="s">
        <v>17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</row>
    <row r="30" spans="1:228" s="12" customFormat="1" ht="15" x14ac:dyDescent="0.25">
      <c r="A30" s="35" t="s">
        <v>38</v>
      </c>
      <c r="B30" s="10">
        <v>2459</v>
      </c>
      <c r="C30" s="10">
        <v>11</v>
      </c>
      <c r="D30" s="29" t="s">
        <v>0</v>
      </c>
      <c r="E30" s="36" t="s">
        <v>18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</row>
    <row r="31" spans="1:228" s="12" customFormat="1" ht="15" x14ac:dyDescent="0.25">
      <c r="A31" s="35" t="s">
        <v>39</v>
      </c>
      <c r="B31" s="10">
        <v>2713</v>
      </c>
      <c r="C31" s="10">
        <v>61</v>
      </c>
      <c r="D31" s="29" t="s">
        <v>0</v>
      </c>
      <c r="E31" s="36" t="s">
        <v>19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</row>
    <row r="32" spans="1:228" s="12" customFormat="1" ht="15" x14ac:dyDescent="0.25">
      <c r="A32" s="37" t="s">
        <v>3</v>
      </c>
      <c r="B32" s="13">
        <v>1871</v>
      </c>
      <c r="C32" s="13">
        <v>0</v>
      </c>
      <c r="D32" s="30" t="s">
        <v>0</v>
      </c>
      <c r="E32" s="38" t="s">
        <v>20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</row>
    <row r="33" spans="1:228" s="12" customFormat="1" ht="15" x14ac:dyDescent="0.15">
      <c r="B33" s="14"/>
      <c r="C33" s="14"/>
      <c r="E33" s="25" t="s">
        <v>41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</row>
    <row r="34" spans="1:228" ht="12.75" x14ac:dyDescent="0.15">
      <c r="A34" s="39" t="s">
        <v>55</v>
      </c>
    </row>
    <row r="36" spans="1:228" ht="33" customHeight="1" x14ac:dyDescent="0.15">
      <c r="A36" s="52" t="s">
        <v>42</v>
      </c>
      <c r="B36" s="40" t="s">
        <v>70</v>
      </c>
      <c r="C36" s="41"/>
      <c r="D36" s="42" t="s">
        <v>69</v>
      </c>
      <c r="E36" s="55" t="s">
        <v>51</v>
      </c>
    </row>
    <row r="37" spans="1:228" ht="40.15" customHeight="1" x14ac:dyDescent="0.15">
      <c r="A37" s="53"/>
      <c r="B37" s="22" t="s">
        <v>56</v>
      </c>
      <c r="C37" s="23" t="s">
        <v>66</v>
      </c>
      <c r="D37" s="22" t="s">
        <v>68</v>
      </c>
      <c r="E37" s="56"/>
    </row>
    <row r="38" spans="1:228" ht="12.75" x14ac:dyDescent="0.2">
      <c r="A38" s="53"/>
      <c r="B38" s="32" t="s">
        <v>53</v>
      </c>
      <c r="C38" s="27" t="s">
        <v>65</v>
      </c>
      <c r="D38" s="32" t="s">
        <v>67</v>
      </c>
      <c r="E38" s="56"/>
    </row>
    <row r="39" spans="1:228" ht="12.75" x14ac:dyDescent="0.2">
      <c r="A39" s="54"/>
      <c r="B39" s="33" t="s">
        <v>54</v>
      </c>
      <c r="C39" s="33"/>
      <c r="D39" s="33"/>
      <c r="E39" s="57"/>
    </row>
    <row r="40" spans="1:228" ht="15" x14ac:dyDescent="0.15">
      <c r="A40" s="1" t="s">
        <v>43</v>
      </c>
      <c r="B40" s="9">
        <f>B41+B43+B42</f>
        <v>505.41666666666669</v>
      </c>
      <c r="C40" s="9">
        <f>C41+C43+C42</f>
        <v>4</v>
      </c>
      <c r="D40" s="9">
        <f t="shared" ref="D40" si="2">D41+D43+D42</f>
        <v>24.25</v>
      </c>
      <c r="E40" s="23" t="s">
        <v>44</v>
      </c>
    </row>
    <row r="41" spans="1:228" ht="15" x14ac:dyDescent="0.15">
      <c r="A41" s="1" t="s">
        <v>45</v>
      </c>
      <c r="B41" s="9">
        <v>72.416666666666671</v>
      </c>
      <c r="C41" s="9">
        <v>0</v>
      </c>
      <c r="D41" s="16">
        <v>0</v>
      </c>
      <c r="E41" s="23" t="s">
        <v>46</v>
      </c>
    </row>
    <row r="42" spans="1:228" s="15" customFormat="1" ht="15" x14ac:dyDescent="0.15">
      <c r="A42" s="1" t="s">
        <v>49</v>
      </c>
      <c r="B42" s="9">
        <v>0</v>
      </c>
      <c r="C42" s="9">
        <v>0</v>
      </c>
      <c r="D42" s="9">
        <v>24.25</v>
      </c>
      <c r="E42" s="23" t="s">
        <v>48</v>
      </c>
    </row>
    <row r="43" spans="1:228" ht="15" x14ac:dyDescent="0.15">
      <c r="A43" s="1" t="s">
        <v>47</v>
      </c>
      <c r="B43" s="9">
        <f>SUM(B44:B63)</f>
        <v>433</v>
      </c>
      <c r="C43" s="9">
        <f>SUM(C44:C63)</f>
        <v>4</v>
      </c>
      <c r="D43" s="9">
        <f t="shared" ref="D43" si="3">SUM(D44:D63)</f>
        <v>0</v>
      </c>
      <c r="E43" s="23" t="s">
        <v>50</v>
      </c>
    </row>
    <row r="44" spans="1:228" ht="15" x14ac:dyDescent="0.15">
      <c r="A44" s="43" t="s">
        <v>21</v>
      </c>
      <c r="B44" s="10">
        <v>21.583333333333332</v>
      </c>
      <c r="C44" s="10">
        <v>0</v>
      </c>
      <c r="D44" s="29" t="s">
        <v>0</v>
      </c>
      <c r="E44" s="20" t="s">
        <v>1</v>
      </c>
    </row>
    <row r="45" spans="1:228" ht="15" x14ac:dyDescent="0.15">
      <c r="A45" s="43" t="s">
        <v>22</v>
      </c>
      <c r="B45" s="10">
        <v>13.75</v>
      </c>
      <c r="C45" s="10">
        <v>0</v>
      </c>
      <c r="D45" s="29" t="s">
        <v>0</v>
      </c>
      <c r="E45" s="20" t="s">
        <v>2</v>
      </c>
    </row>
    <row r="46" spans="1:228" ht="15" x14ac:dyDescent="0.15">
      <c r="A46" s="43" t="s">
        <v>23</v>
      </c>
      <c r="B46" s="10">
        <v>22.25</v>
      </c>
      <c r="C46" s="10">
        <v>0</v>
      </c>
      <c r="D46" s="29" t="s">
        <v>0</v>
      </c>
      <c r="E46" s="20" t="s">
        <v>3</v>
      </c>
    </row>
    <row r="47" spans="1:228" ht="15" x14ac:dyDescent="0.15">
      <c r="A47" s="43" t="s">
        <v>24</v>
      </c>
      <c r="B47" s="10">
        <v>13.833333333333334</v>
      </c>
      <c r="C47" s="10">
        <v>0</v>
      </c>
      <c r="D47" s="29" t="s">
        <v>0</v>
      </c>
      <c r="E47" s="20" t="s">
        <v>4</v>
      </c>
    </row>
    <row r="48" spans="1:228" ht="15" x14ac:dyDescent="0.15">
      <c r="A48" s="43" t="s">
        <v>25</v>
      </c>
      <c r="B48" s="10">
        <v>27.5</v>
      </c>
      <c r="C48" s="10">
        <v>0</v>
      </c>
      <c r="D48" s="29" t="s">
        <v>0</v>
      </c>
      <c r="E48" s="20" t="s">
        <v>5</v>
      </c>
    </row>
    <row r="49" spans="1:5" ht="15" x14ac:dyDescent="0.15">
      <c r="A49" s="43" t="s">
        <v>26</v>
      </c>
      <c r="B49" s="10">
        <v>10.5</v>
      </c>
      <c r="C49" s="10">
        <v>0</v>
      </c>
      <c r="D49" s="29" t="s">
        <v>0</v>
      </c>
      <c r="E49" s="20" t="s">
        <v>6</v>
      </c>
    </row>
    <row r="50" spans="1:5" ht="15" x14ac:dyDescent="0.15">
      <c r="A50" s="43" t="s">
        <v>27</v>
      </c>
      <c r="B50" s="10">
        <v>13.583333333333334</v>
      </c>
      <c r="C50" s="10">
        <v>0</v>
      </c>
      <c r="D50" s="29" t="s">
        <v>0</v>
      </c>
      <c r="E50" s="20" t="s">
        <v>7</v>
      </c>
    </row>
    <row r="51" spans="1:5" ht="15" x14ac:dyDescent="0.15">
      <c r="A51" s="43" t="s">
        <v>28</v>
      </c>
      <c r="B51" s="10">
        <v>19.5</v>
      </c>
      <c r="C51" s="10">
        <v>0</v>
      </c>
      <c r="D51" s="29" t="s">
        <v>0</v>
      </c>
      <c r="E51" s="20" t="s">
        <v>8</v>
      </c>
    </row>
    <row r="52" spans="1:5" ht="15" x14ac:dyDescent="0.15">
      <c r="A52" s="43" t="s">
        <v>29</v>
      </c>
      <c r="B52" s="10">
        <v>15.333333333333334</v>
      </c>
      <c r="C52" s="10">
        <v>0</v>
      </c>
      <c r="D52" s="29" t="s">
        <v>0</v>
      </c>
      <c r="E52" s="20" t="s">
        <v>9</v>
      </c>
    </row>
    <row r="53" spans="1:5" ht="15" x14ac:dyDescent="0.15">
      <c r="A53" s="43" t="s">
        <v>30</v>
      </c>
      <c r="B53" s="10">
        <v>22.666666666666668</v>
      </c>
      <c r="C53" s="10">
        <v>0</v>
      </c>
      <c r="D53" s="29" t="s">
        <v>0</v>
      </c>
      <c r="E53" s="20" t="s">
        <v>10</v>
      </c>
    </row>
    <row r="54" spans="1:5" ht="15" x14ac:dyDescent="0.15">
      <c r="A54" s="43" t="s">
        <v>31</v>
      </c>
      <c r="B54" s="10">
        <v>2</v>
      </c>
      <c r="C54" s="10">
        <v>0</v>
      </c>
      <c r="D54" s="29" t="s">
        <v>0</v>
      </c>
      <c r="E54" s="20" t="s">
        <v>11</v>
      </c>
    </row>
    <row r="55" spans="1:5" ht="15" x14ac:dyDescent="0.15">
      <c r="A55" s="43" t="s">
        <v>32</v>
      </c>
      <c r="B55" s="10">
        <v>16.5</v>
      </c>
      <c r="C55" s="10">
        <v>0</v>
      </c>
      <c r="D55" s="29" t="s">
        <v>0</v>
      </c>
      <c r="E55" s="20" t="s">
        <v>12</v>
      </c>
    </row>
    <row r="56" spans="1:5" ht="15" x14ac:dyDescent="0.15">
      <c r="A56" s="43" t="s">
        <v>33</v>
      </c>
      <c r="B56" s="10">
        <v>21.166666666666668</v>
      </c>
      <c r="C56" s="10">
        <v>0</v>
      </c>
      <c r="D56" s="29" t="s">
        <v>0</v>
      </c>
      <c r="E56" s="20" t="s">
        <v>13</v>
      </c>
    </row>
    <row r="57" spans="1:5" ht="15" x14ac:dyDescent="0.15">
      <c r="A57" s="43" t="s">
        <v>34</v>
      </c>
      <c r="B57" s="10">
        <v>41.916666666666664</v>
      </c>
      <c r="C57" s="10">
        <v>1</v>
      </c>
      <c r="D57" s="29" t="s">
        <v>0</v>
      </c>
      <c r="E57" s="20" t="s">
        <v>14</v>
      </c>
    </row>
    <row r="58" spans="1:5" ht="15" x14ac:dyDescent="0.15">
      <c r="A58" s="43" t="s">
        <v>35</v>
      </c>
      <c r="B58" s="10">
        <v>25.75</v>
      </c>
      <c r="C58" s="10">
        <v>0</v>
      </c>
      <c r="D58" s="29" t="s">
        <v>0</v>
      </c>
      <c r="E58" s="20" t="s">
        <v>15</v>
      </c>
    </row>
    <row r="59" spans="1:5" ht="15" x14ac:dyDescent="0.15">
      <c r="A59" s="43" t="s">
        <v>36</v>
      </c>
      <c r="B59" s="10">
        <v>40.25</v>
      </c>
      <c r="C59" s="10">
        <v>0</v>
      </c>
      <c r="D59" s="29" t="s">
        <v>0</v>
      </c>
      <c r="E59" s="20" t="s">
        <v>16</v>
      </c>
    </row>
    <row r="60" spans="1:5" ht="15" x14ac:dyDescent="0.15">
      <c r="A60" s="43" t="s">
        <v>37</v>
      </c>
      <c r="B60" s="10">
        <v>32.166666666666664</v>
      </c>
      <c r="C60" s="10">
        <v>0</v>
      </c>
      <c r="D60" s="29" t="s">
        <v>0</v>
      </c>
      <c r="E60" s="20" t="s">
        <v>17</v>
      </c>
    </row>
    <row r="61" spans="1:5" ht="15" x14ac:dyDescent="0.15">
      <c r="A61" s="43" t="s">
        <v>38</v>
      </c>
      <c r="B61" s="10">
        <v>21.333333333333332</v>
      </c>
      <c r="C61" s="10">
        <v>1</v>
      </c>
      <c r="D61" s="29" t="s">
        <v>0</v>
      </c>
      <c r="E61" s="20" t="s">
        <v>18</v>
      </c>
    </row>
    <row r="62" spans="1:5" ht="15" x14ac:dyDescent="0.15">
      <c r="A62" s="43" t="s">
        <v>39</v>
      </c>
      <c r="B62" s="10">
        <v>29.166666666666668</v>
      </c>
      <c r="C62" s="10">
        <v>2</v>
      </c>
      <c r="D62" s="29" t="s">
        <v>0</v>
      </c>
      <c r="E62" s="20" t="s">
        <v>19</v>
      </c>
    </row>
    <row r="63" spans="1:5" ht="15" x14ac:dyDescent="0.15">
      <c r="A63" s="44" t="s">
        <v>3</v>
      </c>
      <c r="B63" s="13">
        <v>22.25</v>
      </c>
      <c r="C63" s="13">
        <v>0</v>
      </c>
      <c r="D63" s="30" t="s">
        <v>0</v>
      </c>
      <c r="E63" s="21" t="s">
        <v>20</v>
      </c>
    </row>
    <row r="64" spans="1:5" s="2" customFormat="1" ht="15.75" x14ac:dyDescent="0.25">
      <c r="A64" s="45" t="s">
        <v>40</v>
      </c>
      <c r="B64" s="45"/>
      <c r="C64" s="45"/>
      <c r="D64" s="46"/>
      <c r="E64" s="25" t="s">
        <v>41</v>
      </c>
    </row>
    <row r="68" spans="1:228" ht="15" x14ac:dyDescent="0.15">
      <c r="A68" s="58" t="s">
        <v>60</v>
      </c>
      <c r="B68" s="58"/>
      <c r="C68" s="58"/>
      <c r="D68" s="58"/>
      <c r="E68" s="58"/>
    </row>
    <row r="69" spans="1:228" s="4" customFormat="1" ht="12.75" x14ac:dyDescent="0.2">
      <c r="A69" s="63" t="s">
        <v>61</v>
      </c>
      <c r="B69" s="63"/>
      <c r="C69" s="63"/>
      <c r="D69" s="63"/>
      <c r="E69" s="63"/>
    </row>
    <row r="70" spans="1:228" s="4" customFormat="1" ht="12.75" x14ac:dyDescent="0.2">
      <c r="A70" s="60"/>
      <c r="B70" s="61"/>
      <c r="C70" s="61"/>
    </row>
    <row r="71" spans="1:228" ht="15.75" x14ac:dyDescent="0.15">
      <c r="A71" s="52" t="s">
        <v>42</v>
      </c>
      <c r="B71" s="26" t="s">
        <v>59</v>
      </c>
      <c r="C71" s="26"/>
      <c r="D71" s="26"/>
      <c r="E71" s="55" t="s">
        <v>51</v>
      </c>
    </row>
    <row r="72" spans="1:228" s="19" customFormat="1" ht="39" customHeight="1" x14ac:dyDescent="0.15">
      <c r="A72" s="53"/>
      <c r="B72" s="22" t="s">
        <v>52</v>
      </c>
      <c r="C72" s="23" t="s">
        <v>66</v>
      </c>
      <c r="D72" s="24" t="s">
        <v>68</v>
      </c>
      <c r="E72" s="56"/>
    </row>
    <row r="73" spans="1:228" ht="1.1499999999999999" customHeight="1" x14ac:dyDescent="0.15">
      <c r="A73" s="53"/>
      <c r="B73" s="31"/>
      <c r="C73" s="31"/>
      <c r="D73" s="5"/>
      <c r="E73" s="56"/>
    </row>
    <row r="74" spans="1:228" s="6" customFormat="1" ht="12" customHeight="1" x14ac:dyDescent="0.2">
      <c r="A74" s="53"/>
      <c r="B74" s="32" t="s">
        <v>53</v>
      </c>
      <c r="C74" s="27" t="s">
        <v>65</v>
      </c>
      <c r="D74" s="32" t="s">
        <v>67</v>
      </c>
      <c r="E74" s="5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</row>
    <row r="75" spans="1:228" s="6" customFormat="1" ht="12.75" x14ac:dyDescent="0.2">
      <c r="A75" s="54"/>
      <c r="B75" s="33" t="s">
        <v>54</v>
      </c>
      <c r="C75" s="33"/>
      <c r="D75" s="32"/>
      <c r="E75" s="5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</row>
    <row r="76" spans="1:228" s="8" customFormat="1" ht="15" x14ac:dyDescent="0.25">
      <c r="A76" s="34" t="s">
        <v>43</v>
      </c>
      <c r="B76" s="7">
        <f>B77+B79+B78</f>
        <v>63480</v>
      </c>
      <c r="C76" s="7">
        <f>C77+C79+C78</f>
        <v>180</v>
      </c>
      <c r="D76" s="48" t="s">
        <v>62</v>
      </c>
      <c r="E76" s="23" t="s">
        <v>44</v>
      </c>
    </row>
    <row r="77" spans="1:228" s="8" customFormat="1" ht="15" x14ac:dyDescent="0.25">
      <c r="A77" s="34" t="s">
        <v>45</v>
      </c>
      <c r="B77" s="9">
        <v>8948</v>
      </c>
      <c r="C77" s="10">
        <v>14</v>
      </c>
      <c r="D77" s="49" t="s">
        <v>62</v>
      </c>
      <c r="E77" s="23" t="s">
        <v>46</v>
      </c>
    </row>
    <row r="78" spans="1:228" s="8" customFormat="1" ht="15" x14ac:dyDescent="0.25">
      <c r="A78" s="34" t="s">
        <v>49</v>
      </c>
      <c r="B78" s="9">
        <v>0</v>
      </c>
      <c r="C78" s="9">
        <v>0</v>
      </c>
      <c r="D78" s="49" t="s">
        <v>62</v>
      </c>
      <c r="E78" s="23" t="s">
        <v>50</v>
      </c>
    </row>
    <row r="79" spans="1:228" s="8" customFormat="1" ht="15" x14ac:dyDescent="0.25">
      <c r="A79" s="34" t="s">
        <v>47</v>
      </c>
      <c r="B79" s="9">
        <f>SUM(B80:B99)</f>
        <v>54532</v>
      </c>
      <c r="C79" s="9">
        <f>SUM(C80:C99)</f>
        <v>166</v>
      </c>
      <c r="D79" s="49" t="s">
        <v>62</v>
      </c>
      <c r="E79" s="23" t="s">
        <v>48</v>
      </c>
    </row>
    <row r="80" spans="1:228" s="11" customFormat="1" ht="15" x14ac:dyDescent="0.25">
      <c r="A80" s="35" t="s">
        <v>21</v>
      </c>
      <c r="B80" s="10">
        <v>2695</v>
      </c>
      <c r="C80" s="10">
        <v>0</v>
      </c>
      <c r="D80" s="50" t="s">
        <v>62</v>
      </c>
      <c r="E80" s="20" t="s">
        <v>1</v>
      </c>
    </row>
    <row r="81" spans="1:228" s="11" customFormat="1" ht="15" x14ac:dyDescent="0.25">
      <c r="A81" s="35" t="s">
        <v>22</v>
      </c>
      <c r="B81" s="10">
        <v>2058</v>
      </c>
      <c r="C81" s="10">
        <v>0</v>
      </c>
      <c r="D81" s="50" t="s">
        <v>62</v>
      </c>
      <c r="E81" s="20" t="s">
        <v>2</v>
      </c>
    </row>
    <row r="82" spans="1:228" s="11" customFormat="1" ht="15" x14ac:dyDescent="0.25">
      <c r="A82" s="35" t="s">
        <v>23</v>
      </c>
      <c r="B82" s="10">
        <v>1519</v>
      </c>
      <c r="C82" s="10">
        <v>0</v>
      </c>
      <c r="D82" s="50" t="s">
        <v>62</v>
      </c>
      <c r="E82" s="20" t="s">
        <v>3</v>
      </c>
    </row>
    <row r="83" spans="1:228" s="11" customFormat="1" ht="15" x14ac:dyDescent="0.25">
      <c r="A83" s="35" t="s">
        <v>24</v>
      </c>
      <c r="B83" s="10">
        <v>1101</v>
      </c>
      <c r="C83" s="10">
        <v>0</v>
      </c>
      <c r="D83" s="50" t="s">
        <v>62</v>
      </c>
      <c r="E83" s="20" t="s">
        <v>4</v>
      </c>
    </row>
    <row r="84" spans="1:228" s="11" customFormat="1" ht="15" x14ac:dyDescent="0.25">
      <c r="A84" s="35" t="s">
        <v>25</v>
      </c>
      <c r="B84" s="10">
        <v>4656</v>
      </c>
      <c r="C84" s="10">
        <v>0</v>
      </c>
      <c r="D84" s="50" t="s">
        <v>62</v>
      </c>
      <c r="E84" s="20" t="s">
        <v>5</v>
      </c>
    </row>
    <row r="85" spans="1:228" s="11" customFormat="1" ht="15" x14ac:dyDescent="0.25">
      <c r="A85" s="35" t="s">
        <v>26</v>
      </c>
      <c r="B85" s="10">
        <v>1629</v>
      </c>
      <c r="C85" s="10">
        <v>0</v>
      </c>
      <c r="D85" s="50" t="s">
        <v>62</v>
      </c>
      <c r="E85" s="20" t="s">
        <v>6</v>
      </c>
    </row>
    <row r="86" spans="1:228" s="11" customFormat="1" ht="15" x14ac:dyDescent="0.25">
      <c r="A86" s="35" t="s">
        <v>27</v>
      </c>
      <c r="B86" s="10">
        <v>2826</v>
      </c>
      <c r="C86" s="10">
        <v>0</v>
      </c>
      <c r="D86" s="50" t="s">
        <v>62</v>
      </c>
      <c r="E86" s="20" t="s">
        <v>7</v>
      </c>
    </row>
    <row r="87" spans="1:228" s="11" customFormat="1" ht="15" x14ac:dyDescent="0.25">
      <c r="A87" s="35" t="s">
        <v>28</v>
      </c>
      <c r="B87" s="10">
        <v>1742</v>
      </c>
      <c r="C87" s="10">
        <v>0</v>
      </c>
      <c r="D87" s="50" t="s">
        <v>62</v>
      </c>
      <c r="E87" s="20" t="s">
        <v>8</v>
      </c>
    </row>
    <row r="88" spans="1:228" s="11" customFormat="1" ht="15" x14ac:dyDescent="0.25">
      <c r="A88" s="35" t="s">
        <v>29</v>
      </c>
      <c r="B88" s="10">
        <v>1672</v>
      </c>
      <c r="C88" s="10">
        <v>0</v>
      </c>
      <c r="D88" s="50" t="s">
        <v>62</v>
      </c>
      <c r="E88" s="20" t="s">
        <v>9</v>
      </c>
    </row>
    <row r="89" spans="1:228" s="11" customFormat="1" ht="15" x14ac:dyDescent="0.25">
      <c r="A89" s="35" t="s">
        <v>30</v>
      </c>
      <c r="B89" s="10">
        <v>2622</v>
      </c>
      <c r="C89" s="10">
        <v>0</v>
      </c>
      <c r="D89" s="50" t="s">
        <v>62</v>
      </c>
      <c r="E89" s="20" t="s">
        <v>10</v>
      </c>
    </row>
    <row r="90" spans="1:228" s="11" customFormat="1" ht="15" x14ac:dyDescent="0.25">
      <c r="A90" s="35" t="s">
        <v>31</v>
      </c>
      <c r="B90" s="10">
        <v>150</v>
      </c>
      <c r="C90" s="10">
        <v>0</v>
      </c>
      <c r="D90" s="50" t="s">
        <v>62</v>
      </c>
      <c r="E90" s="20" t="s">
        <v>11</v>
      </c>
    </row>
    <row r="91" spans="1:228" s="11" customFormat="1" ht="15" x14ac:dyDescent="0.25">
      <c r="A91" s="35" t="s">
        <v>32</v>
      </c>
      <c r="B91" s="10">
        <v>1049</v>
      </c>
      <c r="C91" s="10">
        <v>0</v>
      </c>
      <c r="D91" s="50" t="s">
        <v>62</v>
      </c>
      <c r="E91" s="20" t="s">
        <v>12</v>
      </c>
    </row>
    <row r="92" spans="1:228" s="11" customFormat="1" ht="15" x14ac:dyDescent="0.25">
      <c r="A92" s="35" t="s">
        <v>33</v>
      </c>
      <c r="B92" s="10">
        <v>2445</v>
      </c>
      <c r="C92" s="10">
        <v>0</v>
      </c>
      <c r="D92" s="50" t="s">
        <v>62</v>
      </c>
      <c r="E92" s="20" t="s">
        <v>13</v>
      </c>
    </row>
    <row r="93" spans="1:228" ht="15" x14ac:dyDescent="0.15">
      <c r="A93" s="35" t="s">
        <v>34</v>
      </c>
      <c r="B93" s="10">
        <v>4017</v>
      </c>
      <c r="C93" s="10">
        <v>0</v>
      </c>
      <c r="D93" s="50" t="s">
        <v>62</v>
      </c>
      <c r="E93" s="20" t="s">
        <v>14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</row>
    <row r="94" spans="1:228" ht="15" x14ac:dyDescent="0.15">
      <c r="A94" s="35" t="s">
        <v>35</v>
      </c>
      <c r="B94" s="10">
        <v>2527</v>
      </c>
      <c r="C94" s="10">
        <v>0</v>
      </c>
      <c r="D94" s="50" t="s">
        <v>62</v>
      </c>
      <c r="E94" s="20" t="s">
        <v>15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</row>
    <row r="95" spans="1:228" ht="15" x14ac:dyDescent="0.15">
      <c r="A95" s="35" t="s">
        <v>36</v>
      </c>
      <c r="B95" s="10">
        <v>4555</v>
      </c>
      <c r="C95" s="10">
        <v>58</v>
      </c>
      <c r="D95" s="50" t="s">
        <v>62</v>
      </c>
      <c r="E95" s="20" t="s">
        <v>16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</row>
    <row r="96" spans="1:228" s="12" customFormat="1" ht="15" x14ac:dyDescent="0.25">
      <c r="A96" s="35" t="s">
        <v>37</v>
      </c>
      <c r="B96" s="10">
        <v>6350</v>
      </c>
      <c r="C96" s="10">
        <v>0</v>
      </c>
      <c r="D96" s="50" t="s">
        <v>62</v>
      </c>
      <c r="E96" s="20" t="s">
        <v>17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</row>
    <row r="97" spans="1:228" s="12" customFormat="1" ht="15" x14ac:dyDescent="0.25">
      <c r="A97" s="35" t="s">
        <v>38</v>
      </c>
      <c r="B97" s="10">
        <v>2648</v>
      </c>
      <c r="C97" s="10">
        <v>0</v>
      </c>
      <c r="D97" s="50" t="s">
        <v>62</v>
      </c>
      <c r="E97" s="20" t="s">
        <v>18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</row>
    <row r="98" spans="1:228" s="12" customFormat="1" ht="15" x14ac:dyDescent="0.25">
      <c r="A98" s="35" t="s">
        <v>39</v>
      </c>
      <c r="B98" s="10">
        <v>3969</v>
      </c>
      <c r="C98" s="10">
        <v>38</v>
      </c>
      <c r="D98" s="50" t="s">
        <v>62</v>
      </c>
      <c r="E98" s="20" t="s">
        <v>19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</row>
    <row r="99" spans="1:228" s="12" customFormat="1" ht="15" x14ac:dyDescent="0.25">
      <c r="A99" s="37" t="s">
        <v>3</v>
      </c>
      <c r="B99" s="13">
        <v>4302</v>
      </c>
      <c r="C99" s="13">
        <v>70</v>
      </c>
      <c r="D99" s="51" t="s">
        <v>62</v>
      </c>
      <c r="E99" s="21" t="s">
        <v>20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</row>
    <row r="100" spans="1:228" s="12" customFormat="1" ht="15" x14ac:dyDescent="0.15">
      <c r="B100" s="14"/>
      <c r="C100" s="14"/>
      <c r="E100" s="25" t="s">
        <v>41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</row>
    <row r="101" spans="1:228" ht="12.75" x14ac:dyDescent="0.15">
      <c r="A101" s="39" t="s">
        <v>55</v>
      </c>
    </row>
    <row r="103" spans="1:228" ht="15.75" x14ac:dyDescent="0.15">
      <c r="A103" s="52" t="s">
        <v>42</v>
      </c>
      <c r="B103" s="26" t="s">
        <v>71</v>
      </c>
      <c r="C103" s="26"/>
      <c r="D103" s="26"/>
      <c r="E103" s="55" t="s">
        <v>51</v>
      </c>
    </row>
    <row r="104" spans="1:228" ht="40.15" customHeight="1" x14ac:dyDescent="0.15">
      <c r="A104" s="53"/>
      <c r="B104" s="22" t="s">
        <v>56</v>
      </c>
      <c r="C104" s="23" t="s">
        <v>66</v>
      </c>
      <c r="D104" s="22" t="s">
        <v>68</v>
      </c>
      <c r="E104" s="56"/>
    </row>
    <row r="105" spans="1:228" ht="12.75" x14ac:dyDescent="0.2">
      <c r="A105" s="53"/>
      <c r="B105" s="32" t="s">
        <v>53</v>
      </c>
      <c r="C105" s="27" t="s">
        <v>65</v>
      </c>
      <c r="D105" s="32" t="s">
        <v>67</v>
      </c>
      <c r="E105" s="56"/>
    </row>
    <row r="106" spans="1:228" ht="12.75" x14ac:dyDescent="0.2">
      <c r="A106" s="54"/>
      <c r="B106" s="33" t="s">
        <v>54</v>
      </c>
      <c r="C106" s="33"/>
      <c r="D106" s="33"/>
      <c r="E106" s="57"/>
    </row>
    <row r="107" spans="1:228" ht="15" x14ac:dyDescent="0.15">
      <c r="A107" s="1" t="s">
        <v>43</v>
      </c>
      <c r="B107" s="9">
        <f>B108+B110+B109</f>
        <v>509.07575757575762</v>
      </c>
      <c r="C107" s="9">
        <f>C108+C110+C109</f>
        <v>6</v>
      </c>
      <c r="D107" s="48" t="s">
        <v>62</v>
      </c>
      <c r="E107" s="23" t="s">
        <v>44</v>
      </c>
    </row>
    <row r="108" spans="1:228" ht="15" x14ac:dyDescent="0.15">
      <c r="A108" s="1" t="s">
        <v>45</v>
      </c>
      <c r="B108" s="9">
        <v>79.75</v>
      </c>
      <c r="C108" s="10">
        <v>1</v>
      </c>
      <c r="D108" s="49" t="s">
        <v>62</v>
      </c>
      <c r="E108" s="23" t="s">
        <v>46</v>
      </c>
    </row>
    <row r="109" spans="1:228" s="15" customFormat="1" ht="15" x14ac:dyDescent="0.15">
      <c r="A109" s="1" t="s">
        <v>49</v>
      </c>
      <c r="B109" s="9">
        <v>0</v>
      </c>
      <c r="C109" s="9">
        <v>0</v>
      </c>
      <c r="D109" s="49" t="s">
        <v>62</v>
      </c>
      <c r="E109" s="23" t="s">
        <v>50</v>
      </c>
    </row>
    <row r="110" spans="1:228" ht="15" x14ac:dyDescent="0.15">
      <c r="A110" s="1" t="s">
        <v>47</v>
      </c>
      <c r="B110" s="9">
        <f>SUM(B111:B130)</f>
        <v>429.32575757575762</v>
      </c>
      <c r="C110" s="9">
        <f>SUM(C111:C130)</f>
        <v>5</v>
      </c>
      <c r="D110" s="49" t="s">
        <v>62</v>
      </c>
      <c r="E110" s="23" t="s">
        <v>48</v>
      </c>
    </row>
    <row r="111" spans="1:228" ht="15" x14ac:dyDescent="0.15">
      <c r="A111" s="43" t="s">
        <v>21</v>
      </c>
      <c r="B111" s="10">
        <v>23.416666666666668</v>
      </c>
      <c r="C111" s="10">
        <v>0</v>
      </c>
      <c r="D111" s="50" t="s">
        <v>62</v>
      </c>
      <c r="E111" s="20" t="s">
        <v>1</v>
      </c>
    </row>
    <row r="112" spans="1:228" ht="15" x14ac:dyDescent="0.15">
      <c r="A112" s="43" t="s">
        <v>22</v>
      </c>
      <c r="B112" s="10">
        <v>13.916666666666666</v>
      </c>
      <c r="C112" s="10">
        <v>0</v>
      </c>
      <c r="D112" s="50" t="s">
        <v>62</v>
      </c>
      <c r="E112" s="20" t="s">
        <v>2</v>
      </c>
    </row>
    <row r="113" spans="1:5" ht="15" x14ac:dyDescent="0.15">
      <c r="A113" s="43" t="s">
        <v>23</v>
      </c>
      <c r="B113" s="10">
        <v>17.833333333333332</v>
      </c>
      <c r="C113" s="10">
        <v>0</v>
      </c>
      <c r="D113" s="50" t="s">
        <v>62</v>
      </c>
      <c r="E113" s="20" t="s">
        <v>3</v>
      </c>
    </row>
    <row r="114" spans="1:5" ht="15" x14ac:dyDescent="0.15">
      <c r="A114" s="43" t="s">
        <v>24</v>
      </c>
      <c r="B114" s="10">
        <v>10.166666666666666</v>
      </c>
      <c r="C114" s="10">
        <v>0</v>
      </c>
      <c r="D114" s="50" t="s">
        <v>62</v>
      </c>
      <c r="E114" s="20" t="s">
        <v>4</v>
      </c>
    </row>
    <row r="115" spans="1:5" ht="15" x14ac:dyDescent="0.15">
      <c r="A115" s="43" t="s">
        <v>25</v>
      </c>
      <c r="B115" s="10">
        <v>35.916666666666664</v>
      </c>
      <c r="C115" s="10">
        <v>0</v>
      </c>
      <c r="D115" s="50" t="s">
        <v>62</v>
      </c>
      <c r="E115" s="20" t="s">
        <v>5</v>
      </c>
    </row>
    <row r="116" spans="1:5" ht="15" x14ac:dyDescent="0.15">
      <c r="A116" s="43" t="s">
        <v>26</v>
      </c>
      <c r="B116" s="10">
        <v>14.083333333333334</v>
      </c>
      <c r="C116" s="10">
        <v>0</v>
      </c>
      <c r="D116" s="50" t="s">
        <v>62</v>
      </c>
      <c r="E116" s="20" t="s">
        <v>6</v>
      </c>
    </row>
    <row r="117" spans="1:5" ht="15" x14ac:dyDescent="0.15">
      <c r="A117" s="43" t="s">
        <v>27</v>
      </c>
      <c r="B117" s="10">
        <v>16.75</v>
      </c>
      <c r="C117" s="10">
        <v>0</v>
      </c>
      <c r="D117" s="50" t="s">
        <v>62</v>
      </c>
      <c r="E117" s="20" t="s">
        <v>7</v>
      </c>
    </row>
    <row r="118" spans="1:5" ht="15" x14ac:dyDescent="0.15">
      <c r="A118" s="43" t="s">
        <v>28</v>
      </c>
      <c r="B118" s="10">
        <v>19.166666666666668</v>
      </c>
      <c r="C118" s="10">
        <v>0</v>
      </c>
      <c r="D118" s="50" t="s">
        <v>62</v>
      </c>
      <c r="E118" s="20" t="s">
        <v>8</v>
      </c>
    </row>
    <row r="119" spans="1:5" ht="15" x14ac:dyDescent="0.15">
      <c r="A119" s="43" t="s">
        <v>29</v>
      </c>
      <c r="B119" s="10">
        <v>18.166666666666668</v>
      </c>
      <c r="C119" s="10">
        <v>0</v>
      </c>
      <c r="D119" s="50" t="s">
        <v>62</v>
      </c>
      <c r="E119" s="20" t="s">
        <v>9</v>
      </c>
    </row>
    <row r="120" spans="1:5" ht="15" x14ac:dyDescent="0.15">
      <c r="A120" s="43" t="s">
        <v>30</v>
      </c>
      <c r="B120" s="10">
        <v>22.333333333333332</v>
      </c>
      <c r="C120" s="10">
        <v>0</v>
      </c>
      <c r="D120" s="50" t="s">
        <v>62</v>
      </c>
      <c r="E120" s="20" t="s">
        <v>10</v>
      </c>
    </row>
    <row r="121" spans="1:5" ht="15" x14ac:dyDescent="0.15">
      <c r="A121" s="43" t="s">
        <v>31</v>
      </c>
      <c r="B121" s="10">
        <v>1.9090909090909092</v>
      </c>
      <c r="C121" s="10">
        <v>0</v>
      </c>
      <c r="D121" s="50" t="s">
        <v>62</v>
      </c>
      <c r="E121" s="20" t="s">
        <v>11</v>
      </c>
    </row>
    <row r="122" spans="1:5" ht="15" x14ac:dyDescent="0.15">
      <c r="A122" s="43" t="s">
        <v>32</v>
      </c>
      <c r="B122" s="10">
        <v>12</v>
      </c>
      <c r="C122" s="10">
        <v>0</v>
      </c>
      <c r="D122" s="50" t="s">
        <v>62</v>
      </c>
      <c r="E122" s="20" t="s">
        <v>12</v>
      </c>
    </row>
    <row r="123" spans="1:5" ht="15" x14ac:dyDescent="0.15">
      <c r="A123" s="43" t="s">
        <v>33</v>
      </c>
      <c r="B123" s="10">
        <v>22.666666666666668</v>
      </c>
      <c r="C123" s="10">
        <v>0</v>
      </c>
      <c r="D123" s="50" t="s">
        <v>62</v>
      </c>
      <c r="E123" s="20" t="s">
        <v>13</v>
      </c>
    </row>
    <row r="124" spans="1:5" ht="15" x14ac:dyDescent="0.15">
      <c r="A124" s="43" t="s">
        <v>34</v>
      </c>
      <c r="B124" s="10">
        <v>38.166666666666664</v>
      </c>
      <c r="C124" s="10">
        <v>0</v>
      </c>
      <c r="D124" s="50" t="s">
        <v>62</v>
      </c>
      <c r="E124" s="20" t="s">
        <v>14</v>
      </c>
    </row>
    <row r="125" spans="1:5" ht="15" x14ac:dyDescent="0.15">
      <c r="A125" s="43" t="s">
        <v>35</v>
      </c>
      <c r="B125" s="10">
        <v>22.666666666666668</v>
      </c>
      <c r="C125" s="10">
        <v>0</v>
      </c>
      <c r="D125" s="50" t="s">
        <v>62</v>
      </c>
      <c r="E125" s="20" t="s">
        <v>15</v>
      </c>
    </row>
    <row r="126" spans="1:5" ht="15" x14ac:dyDescent="0.15">
      <c r="A126" s="43" t="s">
        <v>36</v>
      </c>
      <c r="B126" s="10">
        <v>30.916666666666668</v>
      </c>
      <c r="C126" s="10">
        <v>1</v>
      </c>
      <c r="D126" s="50" t="s">
        <v>62</v>
      </c>
      <c r="E126" s="20" t="s">
        <v>16</v>
      </c>
    </row>
    <row r="127" spans="1:5" ht="15" x14ac:dyDescent="0.15">
      <c r="A127" s="43" t="s">
        <v>37</v>
      </c>
      <c r="B127" s="10">
        <v>35.5</v>
      </c>
      <c r="C127" s="10">
        <v>0</v>
      </c>
      <c r="D127" s="50" t="s">
        <v>62</v>
      </c>
      <c r="E127" s="20" t="s">
        <v>17</v>
      </c>
    </row>
    <row r="128" spans="1:5" ht="15" x14ac:dyDescent="0.15">
      <c r="A128" s="43" t="s">
        <v>38</v>
      </c>
      <c r="B128" s="10">
        <v>16.666666666666668</v>
      </c>
      <c r="C128" s="10">
        <v>0</v>
      </c>
      <c r="D128" s="50" t="s">
        <v>62</v>
      </c>
      <c r="E128" s="20" t="s">
        <v>18</v>
      </c>
    </row>
    <row r="129" spans="1:5" ht="15" x14ac:dyDescent="0.15">
      <c r="A129" s="43" t="s">
        <v>39</v>
      </c>
      <c r="B129" s="10">
        <v>26.416666666666668</v>
      </c>
      <c r="C129" s="10">
        <v>3</v>
      </c>
      <c r="D129" s="50" t="s">
        <v>62</v>
      </c>
      <c r="E129" s="20" t="s">
        <v>19</v>
      </c>
    </row>
    <row r="130" spans="1:5" ht="15" x14ac:dyDescent="0.15">
      <c r="A130" s="44" t="s">
        <v>3</v>
      </c>
      <c r="B130" s="13">
        <v>30.666666666666668</v>
      </c>
      <c r="C130" s="13">
        <v>1</v>
      </c>
      <c r="D130" s="51" t="s">
        <v>62</v>
      </c>
      <c r="E130" s="21" t="s">
        <v>20</v>
      </c>
    </row>
    <row r="131" spans="1:5" s="2" customFormat="1" ht="15.75" x14ac:dyDescent="0.25">
      <c r="A131" s="45" t="s">
        <v>40</v>
      </c>
      <c r="B131" s="45"/>
      <c r="C131" s="45"/>
      <c r="D131" s="46"/>
      <c r="E131" s="25" t="s">
        <v>41</v>
      </c>
    </row>
    <row r="134" spans="1:5" ht="15" x14ac:dyDescent="0.15">
      <c r="A134" s="58" t="s">
        <v>57</v>
      </c>
      <c r="B134" s="58"/>
      <c r="C134" s="58"/>
      <c r="D134" s="58"/>
      <c r="E134" s="58"/>
    </row>
    <row r="135" spans="1:5" ht="12.75" x14ac:dyDescent="0.15">
      <c r="A135" s="63" t="s">
        <v>58</v>
      </c>
      <c r="B135" s="63"/>
      <c r="C135" s="63"/>
      <c r="D135" s="63"/>
      <c r="E135" s="63"/>
    </row>
    <row r="136" spans="1:5" ht="12.75" x14ac:dyDescent="0.2">
      <c r="A136" s="60"/>
      <c r="B136" s="61"/>
      <c r="C136" s="61"/>
      <c r="D136" s="4"/>
      <c r="E136" s="4"/>
    </row>
    <row r="137" spans="1:5" ht="15.75" x14ac:dyDescent="0.15">
      <c r="A137" s="52" t="s">
        <v>42</v>
      </c>
      <c r="B137" s="62" t="s">
        <v>59</v>
      </c>
      <c r="C137" s="62"/>
      <c r="D137" s="62"/>
      <c r="E137" s="55" t="s">
        <v>51</v>
      </c>
    </row>
    <row r="138" spans="1:5" ht="15" x14ac:dyDescent="0.15">
      <c r="A138" s="53"/>
      <c r="B138" s="22" t="s">
        <v>52</v>
      </c>
      <c r="C138" s="23" t="s">
        <v>66</v>
      </c>
      <c r="D138" s="24" t="s">
        <v>68</v>
      </c>
      <c r="E138" s="56"/>
    </row>
    <row r="139" spans="1:5" x14ac:dyDescent="0.15">
      <c r="A139" s="53"/>
      <c r="B139" s="31"/>
      <c r="C139" s="47"/>
      <c r="D139" s="5"/>
      <c r="E139" s="56"/>
    </row>
    <row r="140" spans="1:5" ht="12.75" x14ac:dyDescent="0.2">
      <c r="A140" s="53"/>
      <c r="B140" s="32" t="s">
        <v>53</v>
      </c>
      <c r="C140" s="28" t="s">
        <v>65</v>
      </c>
      <c r="D140" s="32" t="s">
        <v>67</v>
      </c>
      <c r="E140" s="56"/>
    </row>
    <row r="141" spans="1:5" ht="12.75" x14ac:dyDescent="0.2">
      <c r="A141" s="54"/>
      <c r="B141" s="33" t="s">
        <v>54</v>
      </c>
      <c r="C141" s="33"/>
      <c r="D141" s="32"/>
      <c r="E141" s="57"/>
    </row>
    <row r="142" spans="1:5" ht="15" x14ac:dyDescent="0.15">
      <c r="A142" s="34" t="s">
        <v>43</v>
      </c>
      <c r="B142" s="7">
        <f>B143+B145+B144</f>
        <v>51178</v>
      </c>
      <c r="C142" s="7">
        <f>C143+C145+C144</f>
        <v>896</v>
      </c>
      <c r="D142" s="7">
        <f t="shared" ref="D142" si="4">D143+D145+D144</f>
        <v>841</v>
      </c>
      <c r="E142" s="23" t="s">
        <v>44</v>
      </c>
    </row>
    <row r="143" spans="1:5" ht="15" x14ac:dyDescent="0.15">
      <c r="A143" s="34" t="s">
        <v>45</v>
      </c>
      <c r="B143" s="9">
        <v>4890</v>
      </c>
      <c r="C143" s="10">
        <v>93</v>
      </c>
      <c r="D143" s="16">
        <v>0</v>
      </c>
      <c r="E143" s="23" t="s">
        <v>46</v>
      </c>
    </row>
    <row r="144" spans="1:5" ht="15" x14ac:dyDescent="0.15">
      <c r="A144" s="34" t="s">
        <v>49</v>
      </c>
      <c r="B144" s="9">
        <v>0</v>
      </c>
      <c r="C144" s="9"/>
      <c r="D144" s="16">
        <v>841</v>
      </c>
      <c r="E144" s="23" t="s">
        <v>50</v>
      </c>
    </row>
    <row r="145" spans="1:5" ht="15" x14ac:dyDescent="0.15">
      <c r="A145" s="34" t="s">
        <v>47</v>
      </c>
      <c r="B145" s="9">
        <f>SUM(B146:B165)</f>
        <v>46288</v>
      </c>
      <c r="C145" s="9">
        <f>SUM(C146:C165)</f>
        <v>803</v>
      </c>
      <c r="D145" s="9">
        <f t="shared" ref="D145" si="5">SUM(D146:D165)</f>
        <v>0</v>
      </c>
      <c r="E145" s="23" t="s">
        <v>48</v>
      </c>
    </row>
    <row r="146" spans="1:5" ht="15" x14ac:dyDescent="0.15">
      <c r="A146" s="35" t="s">
        <v>21</v>
      </c>
      <c r="B146" s="10">
        <v>2474</v>
      </c>
      <c r="C146" s="10">
        <v>98</v>
      </c>
      <c r="D146" s="17">
        <v>0</v>
      </c>
      <c r="E146" s="20" t="s">
        <v>1</v>
      </c>
    </row>
    <row r="147" spans="1:5" ht="15" x14ac:dyDescent="0.15">
      <c r="A147" s="35" t="s">
        <v>22</v>
      </c>
      <c r="B147" s="10">
        <v>1622</v>
      </c>
      <c r="C147" s="10">
        <v>0</v>
      </c>
      <c r="D147" s="17">
        <v>0</v>
      </c>
      <c r="E147" s="20" t="s">
        <v>2</v>
      </c>
    </row>
    <row r="148" spans="1:5" ht="15" x14ac:dyDescent="0.15">
      <c r="A148" s="35" t="s">
        <v>23</v>
      </c>
      <c r="B148" s="10">
        <v>1029</v>
      </c>
      <c r="C148" s="10">
        <v>105</v>
      </c>
      <c r="D148" s="17">
        <v>0</v>
      </c>
      <c r="E148" s="20" t="s">
        <v>3</v>
      </c>
    </row>
    <row r="149" spans="1:5" ht="15" x14ac:dyDescent="0.15">
      <c r="A149" s="35" t="s">
        <v>24</v>
      </c>
      <c r="B149" s="10">
        <v>1126</v>
      </c>
      <c r="C149" s="10">
        <v>0</v>
      </c>
      <c r="D149" s="17">
        <v>0</v>
      </c>
      <c r="E149" s="20" t="s">
        <v>4</v>
      </c>
    </row>
    <row r="150" spans="1:5" ht="15" x14ac:dyDescent="0.15">
      <c r="A150" s="35" t="s">
        <v>25</v>
      </c>
      <c r="B150" s="10">
        <v>2822</v>
      </c>
      <c r="C150" s="10">
        <v>60</v>
      </c>
      <c r="D150" s="17">
        <v>0</v>
      </c>
      <c r="E150" s="20" t="s">
        <v>5</v>
      </c>
    </row>
    <row r="151" spans="1:5" ht="15" x14ac:dyDescent="0.15">
      <c r="A151" s="35" t="s">
        <v>26</v>
      </c>
      <c r="B151" s="10">
        <v>2077</v>
      </c>
      <c r="C151" s="10">
        <v>42</v>
      </c>
      <c r="D151" s="17">
        <v>0</v>
      </c>
      <c r="E151" s="20" t="s">
        <v>6</v>
      </c>
    </row>
    <row r="152" spans="1:5" ht="15" x14ac:dyDescent="0.15">
      <c r="A152" s="35" t="s">
        <v>27</v>
      </c>
      <c r="B152" s="10">
        <v>3121</v>
      </c>
      <c r="C152" s="10">
        <v>0</v>
      </c>
      <c r="D152" s="17">
        <v>0</v>
      </c>
      <c r="E152" s="20" t="s">
        <v>7</v>
      </c>
    </row>
    <row r="153" spans="1:5" ht="15" x14ac:dyDescent="0.15">
      <c r="A153" s="35" t="s">
        <v>28</v>
      </c>
      <c r="B153" s="10">
        <v>1528</v>
      </c>
      <c r="C153" s="10">
        <v>2</v>
      </c>
      <c r="D153" s="17">
        <v>0</v>
      </c>
      <c r="E153" s="20" t="s">
        <v>8</v>
      </c>
    </row>
    <row r="154" spans="1:5" ht="15" x14ac:dyDescent="0.15">
      <c r="A154" s="35" t="s">
        <v>29</v>
      </c>
      <c r="B154" s="10">
        <v>1704</v>
      </c>
      <c r="C154" s="10">
        <v>0</v>
      </c>
      <c r="D154" s="17">
        <v>0</v>
      </c>
      <c r="E154" s="20" t="s">
        <v>9</v>
      </c>
    </row>
    <row r="155" spans="1:5" ht="15" x14ac:dyDescent="0.15">
      <c r="A155" s="35" t="s">
        <v>30</v>
      </c>
      <c r="B155" s="10">
        <v>2507</v>
      </c>
      <c r="C155" s="10">
        <v>44</v>
      </c>
      <c r="D155" s="17">
        <v>0</v>
      </c>
      <c r="E155" s="20" t="s">
        <v>10</v>
      </c>
    </row>
    <row r="156" spans="1:5" ht="15" x14ac:dyDescent="0.15">
      <c r="A156" s="35" t="s">
        <v>31</v>
      </c>
      <c r="B156" s="10">
        <v>109</v>
      </c>
      <c r="C156" s="10">
        <v>0</v>
      </c>
      <c r="D156" s="17">
        <v>0</v>
      </c>
      <c r="E156" s="20" t="s">
        <v>11</v>
      </c>
    </row>
    <row r="157" spans="1:5" ht="15" x14ac:dyDescent="0.15">
      <c r="A157" s="35" t="s">
        <v>32</v>
      </c>
      <c r="B157" s="10">
        <v>2247</v>
      </c>
      <c r="C157" s="10">
        <v>0</v>
      </c>
      <c r="D157" s="17">
        <v>0</v>
      </c>
      <c r="E157" s="20" t="s">
        <v>12</v>
      </c>
    </row>
    <row r="158" spans="1:5" ht="15" x14ac:dyDescent="0.15">
      <c r="A158" s="35" t="s">
        <v>33</v>
      </c>
      <c r="B158" s="10">
        <v>2777</v>
      </c>
      <c r="C158" s="10">
        <v>0</v>
      </c>
      <c r="D158" s="17">
        <v>0</v>
      </c>
      <c r="E158" s="20" t="s">
        <v>13</v>
      </c>
    </row>
    <row r="159" spans="1:5" ht="15" x14ac:dyDescent="0.15">
      <c r="A159" s="35" t="s">
        <v>34</v>
      </c>
      <c r="B159" s="10">
        <v>4484</v>
      </c>
      <c r="C159" s="10">
        <v>0</v>
      </c>
      <c r="D159" s="17">
        <v>0</v>
      </c>
      <c r="E159" s="20" t="s">
        <v>14</v>
      </c>
    </row>
    <row r="160" spans="1:5" ht="15" x14ac:dyDescent="0.15">
      <c r="A160" s="35" t="s">
        <v>35</v>
      </c>
      <c r="B160" s="10">
        <v>1480</v>
      </c>
      <c r="C160" s="10">
        <v>254</v>
      </c>
      <c r="D160" s="17">
        <v>0</v>
      </c>
      <c r="E160" s="20" t="s">
        <v>15</v>
      </c>
    </row>
    <row r="161" spans="1:5" ht="15" x14ac:dyDescent="0.15">
      <c r="A161" s="35" t="s">
        <v>36</v>
      </c>
      <c r="B161" s="10">
        <v>3566</v>
      </c>
      <c r="C161" s="10">
        <v>39</v>
      </c>
      <c r="D161" s="17">
        <v>0</v>
      </c>
      <c r="E161" s="20" t="s">
        <v>16</v>
      </c>
    </row>
    <row r="162" spans="1:5" ht="15" x14ac:dyDescent="0.15">
      <c r="A162" s="35" t="s">
        <v>37</v>
      </c>
      <c r="B162" s="10">
        <v>4272</v>
      </c>
      <c r="C162" s="10">
        <v>0</v>
      </c>
      <c r="D162" s="17">
        <v>0</v>
      </c>
      <c r="E162" s="20" t="s">
        <v>17</v>
      </c>
    </row>
    <row r="163" spans="1:5" ht="15" x14ac:dyDescent="0.15">
      <c r="A163" s="35" t="s">
        <v>38</v>
      </c>
      <c r="B163" s="10">
        <v>2125</v>
      </c>
      <c r="C163" s="10">
        <v>0</v>
      </c>
      <c r="D163" s="17">
        <v>0</v>
      </c>
      <c r="E163" s="20" t="s">
        <v>18</v>
      </c>
    </row>
    <row r="164" spans="1:5" ht="15" x14ac:dyDescent="0.15">
      <c r="A164" s="35" t="s">
        <v>39</v>
      </c>
      <c r="B164" s="10">
        <v>3308</v>
      </c>
      <c r="C164" s="10">
        <v>46</v>
      </c>
      <c r="D164" s="17">
        <v>0</v>
      </c>
      <c r="E164" s="20" t="s">
        <v>19</v>
      </c>
    </row>
    <row r="165" spans="1:5" ht="15" x14ac:dyDescent="0.15">
      <c r="A165" s="37" t="s">
        <v>3</v>
      </c>
      <c r="B165" s="13">
        <v>1910</v>
      </c>
      <c r="C165" s="13">
        <v>113</v>
      </c>
      <c r="D165" s="18">
        <v>0</v>
      </c>
      <c r="E165" s="21" t="s">
        <v>20</v>
      </c>
    </row>
    <row r="166" spans="1:5" ht="15" x14ac:dyDescent="0.15">
      <c r="A166" s="12"/>
      <c r="B166" s="14"/>
      <c r="C166" s="14"/>
      <c r="D166" s="12"/>
      <c r="E166" s="25" t="s">
        <v>41</v>
      </c>
    </row>
    <row r="167" spans="1:5" ht="12.75" x14ac:dyDescent="0.15">
      <c r="A167" s="39" t="s">
        <v>55</v>
      </c>
    </row>
    <row r="169" spans="1:5" ht="15.75" x14ac:dyDescent="0.15">
      <c r="A169" s="52" t="s">
        <v>42</v>
      </c>
      <c r="B169" s="26" t="s">
        <v>71</v>
      </c>
      <c r="C169" s="26"/>
      <c r="D169" s="26"/>
      <c r="E169" s="55" t="s">
        <v>51</v>
      </c>
    </row>
    <row r="170" spans="1:5" ht="15" x14ac:dyDescent="0.15">
      <c r="A170" s="53"/>
      <c r="B170" s="22" t="s">
        <v>56</v>
      </c>
      <c r="C170" s="22" t="s">
        <v>66</v>
      </c>
      <c r="D170" s="22" t="s">
        <v>68</v>
      </c>
      <c r="E170" s="56"/>
    </row>
    <row r="171" spans="1:5" ht="12.75" x14ac:dyDescent="0.2">
      <c r="A171" s="53"/>
      <c r="B171" s="32" t="s">
        <v>53</v>
      </c>
      <c r="C171" s="27" t="s">
        <v>65</v>
      </c>
      <c r="D171" s="32" t="s">
        <v>67</v>
      </c>
      <c r="E171" s="56"/>
    </row>
    <row r="172" spans="1:5" ht="12.75" x14ac:dyDescent="0.2">
      <c r="A172" s="54"/>
      <c r="B172" s="33" t="s">
        <v>54</v>
      </c>
      <c r="C172" s="33"/>
      <c r="D172" s="33"/>
      <c r="E172" s="57"/>
    </row>
    <row r="173" spans="1:5" ht="15" x14ac:dyDescent="0.15">
      <c r="A173" s="1" t="s">
        <v>43</v>
      </c>
      <c r="B173" s="9">
        <f>B174+B176+B175</f>
        <v>512.33333333333337</v>
      </c>
      <c r="C173" s="9">
        <f>C174+C176+C175</f>
        <v>14.511363636363635</v>
      </c>
      <c r="D173" s="9">
        <f t="shared" ref="D173" si="6">D174+D176+D175</f>
        <v>34</v>
      </c>
      <c r="E173" s="23" t="s">
        <v>44</v>
      </c>
    </row>
    <row r="174" spans="1:5" ht="15" x14ac:dyDescent="0.15">
      <c r="A174" s="1" t="s">
        <v>45</v>
      </c>
      <c r="B174" s="9">
        <v>69.75</v>
      </c>
      <c r="C174" s="10">
        <v>2.5454545454545454</v>
      </c>
      <c r="D174" s="16"/>
      <c r="E174" s="23" t="s">
        <v>46</v>
      </c>
    </row>
    <row r="175" spans="1:5" ht="15" x14ac:dyDescent="0.15">
      <c r="A175" s="1" t="s">
        <v>49</v>
      </c>
      <c r="B175" s="9">
        <v>0</v>
      </c>
      <c r="C175" s="9"/>
      <c r="D175" s="9">
        <v>34</v>
      </c>
      <c r="E175" s="23" t="s">
        <v>50</v>
      </c>
    </row>
    <row r="176" spans="1:5" ht="15" x14ac:dyDescent="0.15">
      <c r="A176" s="1" t="s">
        <v>47</v>
      </c>
      <c r="B176" s="9">
        <f>SUM(B177:B196)</f>
        <v>442.58333333333337</v>
      </c>
      <c r="C176" s="9">
        <f>SUM(C177:C196)</f>
        <v>11.96590909090909</v>
      </c>
      <c r="D176" s="9">
        <f t="shared" ref="D176" si="7">SUM(D177:D196)</f>
        <v>0</v>
      </c>
      <c r="E176" s="23" t="s">
        <v>48</v>
      </c>
    </row>
    <row r="177" spans="1:5" ht="15" x14ac:dyDescent="0.15">
      <c r="A177" s="43" t="s">
        <v>21</v>
      </c>
      <c r="B177" s="10">
        <v>23.583333333333332</v>
      </c>
      <c r="C177" s="10">
        <v>1</v>
      </c>
      <c r="D177" s="10">
        <v>0</v>
      </c>
      <c r="E177" s="20" t="s">
        <v>1</v>
      </c>
    </row>
    <row r="178" spans="1:5" ht="15" x14ac:dyDescent="0.15">
      <c r="A178" s="43" t="s">
        <v>22</v>
      </c>
      <c r="B178" s="10">
        <v>9.5833333333333339</v>
      </c>
      <c r="C178" s="10">
        <v>0</v>
      </c>
      <c r="D178" s="10">
        <v>0</v>
      </c>
      <c r="E178" s="20" t="s">
        <v>2</v>
      </c>
    </row>
    <row r="179" spans="1:5" ht="15" x14ac:dyDescent="0.15">
      <c r="A179" s="43" t="s">
        <v>23</v>
      </c>
      <c r="B179" s="10">
        <v>19.833333333333332</v>
      </c>
      <c r="C179" s="10">
        <v>1</v>
      </c>
      <c r="D179" s="10">
        <v>0</v>
      </c>
      <c r="E179" s="20" t="s">
        <v>3</v>
      </c>
    </row>
    <row r="180" spans="1:5" ht="15" x14ac:dyDescent="0.15">
      <c r="A180" s="43" t="s">
        <v>24</v>
      </c>
      <c r="B180" s="10">
        <v>9.5833333333333339</v>
      </c>
      <c r="C180" s="10">
        <v>0</v>
      </c>
      <c r="D180" s="10">
        <v>0</v>
      </c>
      <c r="E180" s="20" t="s">
        <v>4</v>
      </c>
    </row>
    <row r="181" spans="1:5" ht="15" x14ac:dyDescent="0.15">
      <c r="A181" s="43" t="s">
        <v>25</v>
      </c>
      <c r="B181" s="10">
        <v>33</v>
      </c>
      <c r="C181" s="10">
        <v>1</v>
      </c>
      <c r="D181" s="10">
        <v>0</v>
      </c>
      <c r="E181" s="20" t="s">
        <v>5</v>
      </c>
    </row>
    <row r="182" spans="1:5" ht="15" x14ac:dyDescent="0.15">
      <c r="A182" s="43" t="s">
        <v>26</v>
      </c>
      <c r="B182" s="10">
        <v>17.25</v>
      </c>
      <c r="C182" s="10">
        <v>2.5</v>
      </c>
      <c r="D182" s="10">
        <v>0</v>
      </c>
      <c r="E182" s="20" t="s">
        <v>6</v>
      </c>
    </row>
    <row r="183" spans="1:5" ht="15" x14ac:dyDescent="0.15">
      <c r="A183" s="43" t="s">
        <v>27</v>
      </c>
      <c r="B183" s="10">
        <v>18</v>
      </c>
      <c r="C183" s="10">
        <v>0</v>
      </c>
      <c r="D183" s="10">
        <v>0</v>
      </c>
      <c r="E183" s="20" t="s">
        <v>7</v>
      </c>
    </row>
    <row r="184" spans="1:5" ht="15" x14ac:dyDescent="0.15">
      <c r="A184" s="43" t="s">
        <v>28</v>
      </c>
      <c r="B184" s="10">
        <v>18.166666666666668</v>
      </c>
      <c r="C184" s="10">
        <v>1</v>
      </c>
      <c r="D184" s="10">
        <v>0</v>
      </c>
      <c r="E184" s="20" t="s">
        <v>8</v>
      </c>
    </row>
    <row r="185" spans="1:5" ht="15" x14ac:dyDescent="0.15">
      <c r="A185" s="43" t="s">
        <v>29</v>
      </c>
      <c r="B185" s="10">
        <v>19.333333333333332</v>
      </c>
      <c r="C185" s="10">
        <v>0</v>
      </c>
      <c r="D185" s="10">
        <v>0</v>
      </c>
      <c r="E185" s="20" t="s">
        <v>9</v>
      </c>
    </row>
    <row r="186" spans="1:5" ht="15" x14ac:dyDescent="0.15">
      <c r="A186" s="43" t="s">
        <v>30</v>
      </c>
      <c r="B186" s="10">
        <v>24.916666666666668</v>
      </c>
      <c r="C186" s="10">
        <v>1</v>
      </c>
      <c r="D186" s="10">
        <v>0</v>
      </c>
      <c r="E186" s="20" t="s">
        <v>10</v>
      </c>
    </row>
    <row r="187" spans="1:5" ht="15" x14ac:dyDescent="0.15">
      <c r="A187" s="43" t="s">
        <v>31</v>
      </c>
      <c r="B187" s="10">
        <v>1.3333333333333333</v>
      </c>
      <c r="C187" s="10">
        <v>0</v>
      </c>
      <c r="D187" s="10">
        <v>0</v>
      </c>
      <c r="E187" s="20" t="s">
        <v>11</v>
      </c>
    </row>
    <row r="188" spans="1:5" ht="15" x14ac:dyDescent="0.15">
      <c r="A188" s="43" t="s">
        <v>32</v>
      </c>
      <c r="B188" s="10">
        <v>22.166666666666668</v>
      </c>
      <c r="C188" s="10">
        <v>0</v>
      </c>
      <c r="D188" s="10">
        <v>0</v>
      </c>
      <c r="E188" s="20" t="s">
        <v>12</v>
      </c>
    </row>
    <row r="189" spans="1:5" ht="15" x14ac:dyDescent="0.15">
      <c r="A189" s="43" t="s">
        <v>33</v>
      </c>
      <c r="B189" s="10">
        <v>24.75</v>
      </c>
      <c r="C189" s="10">
        <v>0</v>
      </c>
      <c r="D189" s="10">
        <v>0</v>
      </c>
      <c r="E189" s="20" t="s">
        <v>13</v>
      </c>
    </row>
    <row r="190" spans="1:5" ht="15" x14ac:dyDescent="0.15">
      <c r="A190" s="43" t="s">
        <v>34</v>
      </c>
      <c r="B190" s="10">
        <v>41.583333333333336</v>
      </c>
      <c r="C190" s="10">
        <v>0</v>
      </c>
      <c r="D190" s="10">
        <v>0</v>
      </c>
      <c r="E190" s="20" t="s">
        <v>14</v>
      </c>
    </row>
    <row r="191" spans="1:5" ht="15" x14ac:dyDescent="0.15">
      <c r="A191" s="43" t="s">
        <v>35</v>
      </c>
      <c r="B191" s="10">
        <v>17.75</v>
      </c>
      <c r="C191" s="10">
        <v>1.0909090909090908</v>
      </c>
      <c r="D191" s="10">
        <v>0</v>
      </c>
      <c r="E191" s="20" t="s">
        <v>15</v>
      </c>
    </row>
    <row r="192" spans="1:5" ht="15" x14ac:dyDescent="0.15">
      <c r="A192" s="43" t="s">
        <v>36</v>
      </c>
      <c r="B192" s="10">
        <v>34.916666666666664</v>
      </c>
      <c r="C192" s="10">
        <v>1</v>
      </c>
      <c r="D192" s="10">
        <v>0</v>
      </c>
      <c r="E192" s="20" t="s">
        <v>16</v>
      </c>
    </row>
    <row r="193" spans="1:5" ht="15" x14ac:dyDescent="0.15">
      <c r="A193" s="43" t="s">
        <v>37</v>
      </c>
      <c r="B193" s="10">
        <v>33</v>
      </c>
      <c r="C193" s="10">
        <v>0</v>
      </c>
      <c r="D193" s="10">
        <v>0</v>
      </c>
      <c r="E193" s="20" t="s">
        <v>17</v>
      </c>
    </row>
    <row r="194" spans="1:5" ht="15" x14ac:dyDescent="0.15">
      <c r="A194" s="43" t="s">
        <v>38</v>
      </c>
      <c r="B194" s="10">
        <v>20.25</v>
      </c>
      <c r="C194" s="10">
        <v>0</v>
      </c>
      <c r="D194" s="10">
        <v>0</v>
      </c>
      <c r="E194" s="20" t="s">
        <v>18</v>
      </c>
    </row>
    <row r="195" spans="1:5" ht="15" x14ac:dyDescent="0.15">
      <c r="A195" s="43" t="s">
        <v>39</v>
      </c>
      <c r="B195" s="10">
        <v>33.666666666666664</v>
      </c>
      <c r="C195" s="10">
        <v>1.375</v>
      </c>
      <c r="D195" s="10">
        <v>0</v>
      </c>
      <c r="E195" s="20" t="s">
        <v>19</v>
      </c>
    </row>
    <row r="196" spans="1:5" ht="15" x14ac:dyDescent="0.15">
      <c r="A196" s="44" t="s">
        <v>3</v>
      </c>
      <c r="B196" s="13">
        <v>19.916666666666668</v>
      </c>
      <c r="C196" s="13">
        <v>1</v>
      </c>
      <c r="D196" s="13">
        <v>0</v>
      </c>
      <c r="E196" s="21" t="s">
        <v>20</v>
      </c>
    </row>
    <row r="197" spans="1:5" ht="15.75" x14ac:dyDescent="0.15">
      <c r="A197" s="45" t="s">
        <v>40</v>
      </c>
      <c r="B197" s="45"/>
      <c r="C197" s="45"/>
      <c r="D197" s="46"/>
      <c r="E197" s="25" t="s">
        <v>41</v>
      </c>
    </row>
  </sheetData>
  <mergeCells count="22">
    <mergeCell ref="A103:A106"/>
    <mergeCell ref="E103:E106"/>
    <mergeCell ref="A1:E1"/>
    <mergeCell ref="A2:E2"/>
    <mergeCell ref="A3:C3"/>
    <mergeCell ref="A4:A8"/>
    <mergeCell ref="E4:E8"/>
    <mergeCell ref="A36:A39"/>
    <mergeCell ref="E36:E39"/>
    <mergeCell ref="A68:E68"/>
    <mergeCell ref="A69:E69"/>
    <mergeCell ref="A70:C70"/>
    <mergeCell ref="A71:A75"/>
    <mergeCell ref="E71:E75"/>
    <mergeCell ref="A169:A172"/>
    <mergeCell ref="E169:E172"/>
    <mergeCell ref="A134:E134"/>
    <mergeCell ref="A135:E135"/>
    <mergeCell ref="A136:C136"/>
    <mergeCell ref="A137:A141"/>
    <mergeCell ref="B137:D137"/>
    <mergeCell ref="E137:E141"/>
  </mergeCells>
  <pageMargins left="0.7" right="0.7" top="0.75" bottom="0.75" header="0.3" footer="0.3"/>
  <pageSetup paperSize="9" scale="73" orientation="portrait" horizontalDpi="4294967295" verticalDpi="4294967295" r:id="rId1"/>
  <rowBreaks count="1" manualBreakCount="1">
    <brk id="131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9.8</vt:lpstr>
      <vt:lpstr>'9.8'!Print_Area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2018-12-05T06:53:15Z</cp:lastPrinted>
  <dcterms:created xsi:type="dcterms:W3CDTF">2014-03-04T03:52:57Z</dcterms:created>
  <dcterms:modified xsi:type="dcterms:W3CDTF">2018-12-05T06:53:36Z</dcterms:modified>
</cp:coreProperties>
</file>