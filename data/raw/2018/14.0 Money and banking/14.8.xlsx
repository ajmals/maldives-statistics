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14. MONETARY AND BANKING\"/>
    </mc:Choice>
  </mc:AlternateContent>
  <bookViews>
    <workbookView xWindow="0" yWindow="0" windowWidth="28800" windowHeight="12330" tabRatio="765"/>
  </bookViews>
  <sheets>
    <sheet name="14.8" sheetId="13" r:id="rId1"/>
  </sheets>
  <externalReferences>
    <externalReference r:id="rId2"/>
    <externalReference r:id="rId3"/>
  </externalReferences>
  <definedNames>
    <definedName name="AA">'[1]Monetary Aggr'!#REF!</definedName>
    <definedName name="Date_ODC">[2]Industry!$4:$4</definedName>
    <definedName name="LCFC_ODC">[2]Industry!$5:$5</definedName>
    <definedName name="_xlnm.Print_Area" localSheetId="0">'14.8'!$A$1:$Z$48</definedName>
  </definedNames>
  <calcPr calcId="162913"/>
</workbook>
</file>

<file path=xl/calcChain.xml><?xml version="1.0" encoding="utf-8"?>
<calcChain xmlns="http://schemas.openxmlformats.org/spreadsheetml/2006/main">
  <c r="W43" i="13" l="1"/>
  <c r="V43" i="13"/>
  <c r="U43" i="13"/>
  <c r="T43" i="13"/>
  <c r="W42" i="13"/>
  <c r="V42" i="13"/>
  <c r="U42" i="13"/>
  <c r="T42" i="13"/>
  <c r="R43" i="13" l="1"/>
  <c r="Q43" i="13"/>
  <c r="P43" i="13"/>
  <c r="O43" i="13"/>
  <c r="R42" i="13"/>
  <c r="Q42" i="13"/>
  <c r="P42" i="13"/>
  <c r="O42" i="13"/>
  <c r="M43" i="13" l="1"/>
  <c r="L43" i="13"/>
  <c r="K43" i="13"/>
  <c r="J43" i="13"/>
  <c r="M42" i="13"/>
  <c r="L42" i="13"/>
  <c r="K42" i="13"/>
  <c r="J42" i="13"/>
</calcChain>
</file>

<file path=xl/comments1.xml><?xml version="1.0" encoding="utf-8"?>
<comments xmlns="http://schemas.openxmlformats.org/spreadsheetml/2006/main">
  <authors>
    <author>Ibrahim Sameeu</author>
  </authors>
  <commentList>
    <comment ref="B14" authorId="0" shapeId="0">
      <text>
        <r>
          <rPr>
            <sz val="9"/>
            <color indexed="81"/>
            <rFont val="Tahoma"/>
            <family val="2"/>
          </rPr>
          <t xml:space="preserve">
Names of subcategories changed as per the data presented</t>
        </r>
      </text>
    </comment>
    <comment ref="A38" authorId="0" shapeId="0">
      <text>
        <r>
          <rPr>
            <b/>
            <sz val="9"/>
            <color indexed="81"/>
            <rFont val="Tahoma"/>
            <family val="2"/>
          </rPr>
          <t>New line added</t>
        </r>
      </text>
    </comment>
  </commentList>
</comments>
</file>

<file path=xl/sharedStrings.xml><?xml version="1.0" encoding="utf-8"?>
<sst xmlns="http://schemas.openxmlformats.org/spreadsheetml/2006/main" count="130" uniqueCount="82">
  <si>
    <t>(cniaWyifur cnwailim ;cSwlwyin egutwdcaum WviawfiLeawDnwk)</t>
  </si>
  <si>
    <t>(In millions of Rufiyaa; end of period)</t>
  </si>
  <si>
    <t>Particulars</t>
  </si>
  <si>
    <t>cCWm</t>
  </si>
  <si>
    <t>cnUj</t>
  </si>
  <si>
    <t>cTcpes</t>
  </si>
  <si>
    <t>cmesiD</t>
  </si>
  <si>
    <t>clIBcfwt</t>
  </si>
  <si>
    <t>Mar</t>
  </si>
  <si>
    <t>Jun</t>
  </si>
  <si>
    <t>Sep</t>
  </si>
  <si>
    <t>ސެންޓްރަލް ބޭންކް</t>
  </si>
  <si>
    <t>ސަރުކާރަށް ލިބެންވާ ( ޑިޕޮސިޓް އަދި އެހެނިހެން ފައިސާ)</t>
  </si>
  <si>
    <t>Loans</t>
  </si>
  <si>
    <t>ލޯނު</t>
  </si>
  <si>
    <t>ރަޢުސުލްމާލުގެ ހިސާބު</t>
  </si>
  <si>
    <t>Annual percentage change</t>
  </si>
  <si>
    <t>އަހަރުން އަހަރަށް އިތުރުވި މިންވަރު އިންސައްތަ</t>
  </si>
  <si>
    <t xml:space="preserve">Data is compiled based on IMF Monetary and Financial Statistics Manual 2000 (MFSM 2000). </t>
  </si>
  <si>
    <t>މިމައުލޫމާތުތައް އެކުލަވާލެވިފައި މިވަނީ އިންޓަނޭޝަނަލް މަނިޓަރީ ފަންޑްގެ " މަނިޓަރީ އެންޑް ފައިނޭންސަލް ސްޓެޓިސްޓިކްސް މެނުއަލް 2000"  ގައި ބަޔާން ކުރެވިފައިވާ ގޮތަށެވެ.</t>
  </si>
  <si>
    <t>Source: Maldives Monetary Authority.</t>
  </si>
  <si>
    <t>Dec</t>
  </si>
  <si>
    <t>Total Assets</t>
  </si>
  <si>
    <t>cTesea wlcmuj</t>
  </si>
  <si>
    <t>Foreign assets</t>
  </si>
  <si>
    <t>Other assets</t>
  </si>
  <si>
    <t>Non-financial assets</t>
  </si>
  <si>
    <t>ITilibiawl wlcmuj</t>
  </si>
  <si>
    <t>ސަރުކާރު ހިއްސާވާ ކުންފުނިތަކަށް (މާލީދާއިރާގެ ކުންފުނިތައް ނުހިމަނައި)</t>
  </si>
  <si>
    <t>Securities other than shares</t>
  </si>
  <si>
    <t>Foreign liabilities</t>
  </si>
  <si>
    <t>ITilibiawl egurEb</t>
  </si>
  <si>
    <t>ITilibiawl  cnehinehea</t>
  </si>
  <si>
    <t>/1</t>
  </si>
  <si>
    <t>ITirOtoa IrwTinwm cscviDclOm :ctWrwf ivcaedutWmUluAwm</t>
  </si>
  <si>
    <t>ބޭރުގެ އެސެޓް</t>
  </si>
  <si>
    <t>Wsiawf udugwn</t>
  </si>
  <si>
    <t>Deposits with central bank</t>
  </si>
  <si>
    <t>ސެންޓްރަލް ބޭންކްގައި ހުރި ޑިޕޮސިޓް</t>
  </si>
  <si>
    <t>ސެކިޔުރިޓީސް (ހިއްސާ ނުހިމަނައި)</t>
  </si>
  <si>
    <t>Loans and advances</t>
  </si>
  <si>
    <t>ދަރނީގެ ގޮތުގައި ދޫކުރެވިފައިވާ</t>
  </si>
  <si>
    <t>ސަރުކާރަށް</t>
  </si>
  <si>
    <r>
      <t xml:space="preserve"> </t>
    </r>
    <r>
      <rPr>
        <vertAlign val="superscript"/>
        <sz val="9"/>
        <rFont val="A_Faseyha"/>
      </rPr>
      <t>2/</t>
    </r>
    <r>
      <rPr>
        <sz val="9"/>
        <rFont val="A_Faseyha"/>
      </rPr>
      <t xml:space="preserve"> cSwkwtctWrwf wlcaimwa</t>
    </r>
  </si>
  <si>
    <t>cTesea cnehinehea</t>
  </si>
  <si>
    <t>މާލީ އެސެޓްސްގޮތުގައި ނުހިމެނޭ އެސެޓް</t>
  </si>
  <si>
    <t>Deposits</t>
  </si>
  <si>
    <t>ޑިޕޮސިޓް</t>
  </si>
  <si>
    <t>Central government liabilities</t>
  </si>
  <si>
    <t>Credit from central bank</t>
  </si>
  <si>
    <t>ސެންޓްރަލް ބޭންކުން ނަގާފައިވާ ދަރަނި</t>
  </si>
  <si>
    <t>Private sector</t>
  </si>
  <si>
    <t>ނޯޓް:</t>
  </si>
  <si>
    <t>NOTE:</t>
  </si>
  <si>
    <t xml:space="preserve">Cash </t>
  </si>
  <si>
    <t/>
  </si>
  <si>
    <t>Liabilities</t>
  </si>
  <si>
    <t>ފިކްސްޑް އެސެޓްސް</t>
  </si>
  <si>
    <t>މާލީ އެސެޓްސްގެ ގޮތުގައި ނުހިމެނޭ އެހެނިހެން އެސެޓްސް</t>
  </si>
  <si>
    <t>ވިޔަފާރި ބޭންކްތަކުގައި ހުރި ޑިޕޮސިޓް</t>
  </si>
  <si>
    <t>ވިޔަފާރި ބޭންކުތަކުން ނަގާފައިވާ ދަރަނި</t>
  </si>
  <si>
    <t>ވިޔަފާރި ބޭންކްތަކަށް</t>
  </si>
  <si>
    <t>Insurance technical reserves</t>
  </si>
  <si>
    <t>Shares and other equity</t>
  </si>
  <si>
    <t>Central bank</t>
  </si>
  <si>
    <t>Other depository corporations</t>
  </si>
  <si>
    <t>Deposits with other depository corporations</t>
  </si>
  <si>
    <t>Central government</t>
  </si>
  <si>
    <t>Public nonfinancial corporations</t>
  </si>
  <si>
    <t>Fixed assets</t>
  </si>
  <si>
    <t>Other nonfinancial assets</t>
  </si>
  <si>
    <t>Credit from other depository corporations</t>
  </si>
  <si>
    <t xml:space="preserve">Other liabilities </t>
  </si>
  <si>
    <r>
      <t xml:space="preserve">2014 </t>
    </r>
    <r>
      <rPr>
        <b/>
        <vertAlign val="superscript"/>
        <sz val="10"/>
        <rFont val="Arial"/>
        <family val="2"/>
      </rPr>
      <t>1_/</t>
    </r>
    <r>
      <rPr>
        <b/>
        <sz val="10"/>
        <rFont val="Arial"/>
        <family val="2"/>
      </rPr>
      <t xml:space="preserve"> </t>
    </r>
  </si>
  <si>
    <t xml:space="preserve"> 2014 އިސްލާޙުކުރެވިފައި</t>
  </si>
  <si>
    <t>1_/ :  2014 revised</t>
  </si>
  <si>
    <t>އިންޝުއަރެންސް ޓެކްނިކަލް ރިސަރވް</t>
  </si>
  <si>
    <t>Others</t>
  </si>
  <si>
    <t>ސަރުކާރު</t>
  </si>
  <si>
    <t>އެހެނިހެން</t>
  </si>
  <si>
    <t>ތާވަލު 14.8:އެހެނިހެން މާލީދާއިރާގެ ކުންފުނިތަކުގެ އެސެޓްތަކާއި އަދި ލައިބިލިޓީތައް، 2014- 2017</t>
  </si>
  <si>
    <t>Table 14.8: ASSETS AND LIABILITIES OF OTHER FINANCIAL CORPORATIONS, 2014 - 2017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</si>
</sst>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0.0"/>
    <numFmt numFmtId="166" formatCode="#,##0.0"/>
    <numFmt numFmtId="167" formatCode="_(* #,##0.0_);_(* \(#,##0.0\);_(* &quot;-&quot;??_);_(@_)"/>
    <numFmt numFmtId="170" formatCode="_ * #,##0.00_ ;_ * \-#,##0.00_ ;_ * &quot;-&quot;??_ ;_ @_ "/>
    <numFmt numFmtId="171" formatCode="#,##0.0_);\(#,##0.0\)"/>
    <numFmt numFmtId="172" formatCode="mmmm\-yy"/>
    <numFmt numFmtId="173" formatCode="_-&quot;$&quot;* #,##0_-;\-&quot;$&quot;* #,##0_-;_-&quot;$&quot;* &quot;-&quot;_-;_-@_-"/>
    <numFmt numFmtId="174" formatCode="0.0000%"/>
    <numFmt numFmtId="175" formatCode="##,##0.0000"/>
    <numFmt numFmtId="176" formatCode="_-* #,##0\ _F_-;\-* #,##0\ _F_-;_-* &quot;-&quot;\ _F_-;_-@_-"/>
    <numFmt numFmtId="177" formatCode="_-* #,##0.00\ _F_-;\-* #,##0.00\ _F_-;_-* &quot;-&quot;??\ _F_-;_-@_-"/>
    <numFmt numFmtId="178" formatCode="#,##0\ &quot;F&quot;;[Red]\-#,##0\ &quot;F&quot;"/>
    <numFmt numFmtId="179" formatCode="#,##0.00\ &quot;F&quot;;\-#,##0.00\ &quot;F&quot;"/>
    <numFmt numFmtId="180" formatCode="_-&quot;$&quot;* #,##0.00_-;\-&quot;$&quot;* #,##0.00_-;_-&quot;$&quot;* &quot;-&quot;??_-;_-@_-"/>
    <numFmt numFmtId="181" formatCode="#,##0&quot;£&quot;_);\(#,##0&quot;£&quot;\)"/>
  </numFmts>
  <fonts count="6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Faruma"/>
    </font>
    <font>
      <sz val="10"/>
      <name val="Arial"/>
      <family val="2"/>
    </font>
    <font>
      <b/>
      <sz val="10"/>
      <name val="Arial"/>
      <family val="2"/>
    </font>
    <font>
      <b/>
      <sz val="9"/>
      <name val="A_Randhoo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b/>
      <sz val="9"/>
      <name val="Faruma"/>
    </font>
    <font>
      <sz val="9"/>
      <name val="Faruma"/>
    </font>
    <font>
      <b/>
      <sz val="9"/>
      <name val="A_Faseyha"/>
    </font>
    <font>
      <b/>
      <vertAlign val="superscript"/>
      <sz val="10"/>
      <name val="Arial"/>
      <family val="2"/>
    </font>
    <font>
      <b/>
      <sz val="10"/>
      <name val="Calibri"/>
      <family val="2"/>
      <scheme val="minor"/>
    </font>
    <font>
      <b/>
      <vertAlign val="superscript"/>
      <sz val="9"/>
      <name val="A_Faseyha"/>
    </font>
    <font>
      <sz val="10"/>
      <name val="Calibri"/>
      <family val="2"/>
      <scheme val="minor"/>
    </font>
    <font>
      <sz val="9"/>
      <name val="A_Randhoo"/>
    </font>
    <font>
      <sz val="9"/>
      <name val="A_Faseyha"/>
    </font>
    <font>
      <b/>
      <i/>
      <sz val="10"/>
      <name val="Calibri"/>
      <family val="2"/>
      <scheme val="minor"/>
    </font>
    <font>
      <b/>
      <u/>
      <vertAlign val="superscript"/>
      <sz val="9"/>
      <name val="Faruma"/>
    </font>
    <font>
      <b/>
      <u/>
      <sz val="9"/>
      <name val="Faruma"/>
    </font>
    <font>
      <b/>
      <i/>
      <sz val="9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name val="Faruma"/>
    </font>
    <font>
      <sz val="8"/>
      <name val="Calibri"/>
      <family val="2"/>
      <scheme val="minor"/>
    </font>
    <font>
      <b/>
      <sz val="12"/>
      <name val="A_Randhoo"/>
    </font>
    <font>
      <vertAlign val="superscript"/>
      <sz val="9"/>
      <name val="Faruma"/>
    </font>
    <font>
      <b/>
      <i/>
      <sz val="9"/>
      <name val="Arial"/>
      <family val="2"/>
    </font>
    <font>
      <i/>
      <sz val="10"/>
      <name val="Arial"/>
      <family val="2"/>
    </font>
    <font>
      <vertAlign val="superscript"/>
      <sz val="9"/>
      <name val="A_Faseyha"/>
    </font>
    <font>
      <b/>
      <i/>
      <sz val="9"/>
      <name val="A_Reethi"/>
      <charset val="1"/>
    </font>
    <font>
      <sz val="8"/>
      <name val="Arial"/>
      <family val="2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sz val="9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Faruma"/>
    </font>
    <font>
      <sz val="9"/>
      <color theme="1"/>
      <name val="A_Randhoo"/>
    </font>
    <font>
      <b/>
      <sz val="1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2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1" tint="4.9989318521683403E-2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1" tint="4.9989318521683403E-2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 tint="4.9989318521683403E-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auto="1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/>
      <top/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</borders>
  <cellStyleXfs count="299">
    <xf numFmtId="0" fontId="0" fillId="0" borderId="0"/>
    <xf numFmtId="43" fontId="1" fillId="0" borderId="0" applyFont="0" applyFill="0" applyBorder="0" applyAlignment="0" applyProtection="0"/>
    <xf numFmtId="165" fontId="2" fillId="0" borderId="0"/>
    <xf numFmtId="0" fontId="4" fillId="0" borderId="0"/>
    <xf numFmtId="0" fontId="4" fillId="0" borderId="0"/>
    <xf numFmtId="17" fontId="4" fillId="0" borderId="0" applyFont="0"/>
    <xf numFmtId="17" fontId="4" fillId="0" borderId="0" applyFont="0"/>
    <xf numFmtId="0" fontId="4" fillId="0" borderId="0"/>
    <xf numFmtId="0" fontId="4" fillId="0" borderId="0"/>
    <xf numFmtId="0" fontId="4" fillId="0" borderId="0"/>
    <xf numFmtId="0" fontId="4" fillId="0" borderId="0"/>
    <xf numFmtId="17" fontId="4" fillId="0" borderId="0" applyFont="0"/>
    <xf numFmtId="0" fontId="4" fillId="0" borderId="0"/>
    <xf numFmtId="0" fontId="34" fillId="2" borderId="0" applyNumberFormat="0" applyBorder="0" applyAlignment="0" applyProtection="0"/>
    <xf numFmtId="0" fontId="34" fillId="3" borderId="0" applyNumberFormat="0" applyBorder="0" applyAlignment="0" applyProtection="0"/>
    <xf numFmtId="0" fontId="35" fillId="4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4" fillId="2" borderId="0" applyNumberFormat="0" applyBorder="0" applyAlignment="0" applyProtection="0"/>
    <xf numFmtId="0" fontId="34" fillId="6" borderId="0" applyNumberFormat="0" applyBorder="0" applyAlignment="0" applyProtection="0"/>
    <xf numFmtId="0" fontId="35" fillId="7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35" fillId="6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4" fillId="2" borderId="0" applyNumberFormat="0" applyBorder="0" applyAlignment="0" applyProtection="0"/>
    <xf numFmtId="0" fontId="34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35" fillId="4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5" fillId="11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17" fontId="4" fillId="0" borderId="0" applyFont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170" fontId="4" fillId="0" borderId="0" applyFill="0" applyBorder="0" applyAlignment="0"/>
    <xf numFmtId="0" fontId="38" fillId="0" borderId="0" applyFill="0" applyBorder="0" applyAlignment="0"/>
    <xf numFmtId="0" fontId="4" fillId="0" borderId="0" applyFill="0" applyBorder="0" applyAlignment="0"/>
    <xf numFmtId="171" fontId="2" fillId="0" borderId="0" applyFill="0" applyBorder="0" applyAlignment="0"/>
    <xf numFmtId="172" fontId="4" fillId="0" borderId="0" applyFill="0" applyBorder="0" applyAlignment="0"/>
    <xf numFmtId="170" fontId="4" fillId="0" borderId="0" applyFill="0" applyBorder="0" applyAlignment="0"/>
    <xf numFmtId="173" fontId="4" fillId="0" borderId="0" applyFill="0" applyBorder="0" applyAlignment="0"/>
    <xf numFmtId="0" fontId="38" fillId="0" borderId="0" applyFill="0" applyBorder="0" applyAlignment="0"/>
    <xf numFmtId="0" fontId="39" fillId="14" borderId="20" applyNumberFormat="0" applyAlignment="0" applyProtection="0"/>
    <xf numFmtId="0" fontId="39" fillId="14" borderId="20" applyNumberFormat="0" applyAlignment="0" applyProtection="0"/>
    <xf numFmtId="0" fontId="39" fillId="14" borderId="20" applyNumberFormat="0" applyAlignment="0" applyProtection="0"/>
    <xf numFmtId="0" fontId="39" fillId="14" borderId="20" applyNumberFormat="0" applyAlignment="0" applyProtection="0"/>
    <xf numFmtId="0" fontId="39" fillId="14" borderId="20" applyNumberFormat="0" applyAlignment="0" applyProtection="0"/>
    <xf numFmtId="0" fontId="39" fillId="14" borderId="20" applyNumberFormat="0" applyAlignment="0" applyProtection="0"/>
    <xf numFmtId="0" fontId="39" fillId="14" borderId="20" applyNumberFormat="0" applyAlignment="0" applyProtection="0"/>
    <xf numFmtId="0" fontId="39" fillId="14" borderId="20" applyNumberFormat="0" applyAlignment="0" applyProtection="0"/>
    <xf numFmtId="17" fontId="4" fillId="0" borderId="0" applyFont="0"/>
    <xf numFmtId="0" fontId="40" fillId="7" borderId="21" applyNumberFormat="0" applyAlignment="0" applyProtection="0"/>
    <xf numFmtId="0" fontId="40" fillId="7" borderId="21" applyNumberFormat="0" applyAlignment="0" applyProtection="0"/>
    <xf numFmtId="0" fontId="40" fillId="7" borderId="21" applyNumberFormat="0" applyAlignment="0" applyProtection="0"/>
    <xf numFmtId="0" fontId="40" fillId="7" borderId="21" applyNumberFormat="0" applyAlignment="0" applyProtection="0"/>
    <xf numFmtId="0" fontId="40" fillId="7" borderId="21" applyNumberFormat="0" applyAlignment="0" applyProtection="0"/>
    <xf numFmtId="0" fontId="40" fillId="7" borderId="21" applyNumberFormat="0" applyAlignment="0" applyProtection="0"/>
    <xf numFmtId="0" fontId="40" fillId="7" borderId="21" applyNumberFormat="0" applyAlignment="0" applyProtection="0"/>
    <xf numFmtId="0" fontId="40" fillId="7" borderId="21" applyNumberFormat="0" applyAlignment="0" applyProtection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5" fontId="1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0" fontId="38" fillId="0" borderId="0" applyFont="0" applyFill="0" applyBorder="0" applyAlignment="0" applyProtection="0"/>
    <xf numFmtId="14" fontId="41" fillId="0" borderId="0" applyFill="0" applyBorder="0" applyAlignment="0"/>
    <xf numFmtId="0" fontId="42" fillId="15" borderId="0" applyNumberFormat="0" applyBorder="0" applyAlignment="0" applyProtection="0"/>
    <xf numFmtId="0" fontId="42" fillId="16" borderId="0" applyNumberFormat="0" applyBorder="0" applyAlignment="0" applyProtection="0"/>
    <xf numFmtId="0" fontId="42" fillId="17" borderId="0" applyNumberFormat="0" applyBorder="0" applyAlignment="0" applyProtection="0"/>
    <xf numFmtId="170" fontId="4" fillId="0" borderId="0" applyFill="0" applyBorder="0" applyAlignment="0"/>
    <xf numFmtId="0" fontId="38" fillId="0" borderId="0" applyFill="0" applyBorder="0" applyAlignment="0"/>
    <xf numFmtId="170" fontId="4" fillId="0" borderId="0" applyFill="0" applyBorder="0" applyAlignment="0"/>
    <xf numFmtId="173" fontId="4" fillId="0" borderId="0" applyFill="0" applyBorder="0" applyAlignment="0"/>
    <xf numFmtId="0" fontId="38" fillId="0" borderId="0" applyFill="0" applyBorder="0" applyAlignment="0"/>
    <xf numFmtId="0" fontId="43" fillId="18" borderId="0" applyNumberFormat="0" applyBorder="0" applyAlignment="0" applyProtection="0"/>
    <xf numFmtId="0" fontId="43" fillId="18" borderId="0" applyNumberFormat="0" applyBorder="0" applyAlignment="0" applyProtection="0"/>
    <xf numFmtId="0" fontId="43" fillId="18" borderId="0" applyNumberFormat="0" applyBorder="0" applyAlignment="0" applyProtection="0"/>
    <xf numFmtId="0" fontId="43" fillId="18" borderId="0" applyNumberFormat="0" applyBorder="0" applyAlignment="0" applyProtection="0"/>
    <xf numFmtId="0" fontId="43" fillId="18" borderId="0" applyNumberFormat="0" applyBorder="0" applyAlignment="0" applyProtection="0"/>
    <xf numFmtId="0" fontId="43" fillId="18" borderId="0" applyNumberFormat="0" applyBorder="0" applyAlignment="0" applyProtection="0"/>
    <xf numFmtId="0" fontId="43" fillId="18" borderId="0" applyNumberFormat="0" applyBorder="0" applyAlignment="0" applyProtection="0"/>
    <xf numFmtId="0" fontId="43" fillId="18" borderId="0" applyNumberFormat="0" applyBorder="0" applyAlignment="0" applyProtection="0"/>
    <xf numFmtId="38" fontId="32" fillId="19" borderId="0" applyNumberFormat="0" applyBorder="0" applyAlignment="0" applyProtection="0"/>
    <xf numFmtId="0" fontId="44" fillId="0" borderId="22" applyNumberFormat="0" applyAlignment="0" applyProtection="0">
      <alignment horizontal="left" vertical="center"/>
    </xf>
    <xf numFmtId="0" fontId="44" fillId="0" borderId="18">
      <alignment horizontal="left" vertical="center"/>
    </xf>
    <xf numFmtId="0" fontId="45" fillId="0" borderId="23" applyNumberFormat="0" applyFill="0" applyAlignment="0" applyProtection="0"/>
    <xf numFmtId="0" fontId="45" fillId="0" borderId="23" applyNumberFormat="0" applyFill="0" applyAlignment="0" applyProtection="0"/>
    <xf numFmtId="0" fontId="45" fillId="0" borderId="23" applyNumberFormat="0" applyFill="0" applyAlignment="0" applyProtection="0"/>
    <xf numFmtId="0" fontId="45" fillId="0" borderId="23" applyNumberFormat="0" applyFill="0" applyAlignment="0" applyProtection="0"/>
    <xf numFmtId="0" fontId="45" fillId="0" borderId="23" applyNumberFormat="0" applyFill="0" applyAlignment="0" applyProtection="0"/>
    <xf numFmtId="0" fontId="45" fillId="0" borderId="23" applyNumberFormat="0" applyFill="0" applyAlignment="0" applyProtection="0"/>
    <xf numFmtId="0" fontId="45" fillId="0" borderId="23" applyNumberFormat="0" applyFill="0" applyAlignment="0" applyProtection="0"/>
    <xf numFmtId="0" fontId="45" fillId="0" borderId="23" applyNumberFormat="0" applyFill="0" applyAlignment="0" applyProtection="0"/>
    <xf numFmtId="0" fontId="46" fillId="0" borderId="24" applyNumberFormat="0" applyFill="0" applyAlignment="0" applyProtection="0"/>
    <xf numFmtId="0" fontId="46" fillId="0" borderId="24" applyNumberFormat="0" applyFill="0" applyAlignment="0" applyProtection="0"/>
    <xf numFmtId="0" fontId="46" fillId="0" borderId="24" applyNumberFormat="0" applyFill="0" applyAlignment="0" applyProtection="0"/>
    <xf numFmtId="0" fontId="46" fillId="0" borderId="24" applyNumberFormat="0" applyFill="0" applyAlignment="0" applyProtection="0"/>
    <xf numFmtId="0" fontId="46" fillId="0" borderId="24" applyNumberFormat="0" applyFill="0" applyAlignment="0" applyProtection="0"/>
    <xf numFmtId="0" fontId="46" fillId="0" borderId="24" applyNumberFormat="0" applyFill="0" applyAlignment="0" applyProtection="0"/>
    <xf numFmtId="0" fontId="46" fillId="0" borderId="24" applyNumberFormat="0" applyFill="0" applyAlignment="0" applyProtection="0"/>
    <xf numFmtId="0" fontId="46" fillId="0" borderId="24" applyNumberFormat="0" applyFill="0" applyAlignment="0" applyProtection="0"/>
    <xf numFmtId="0" fontId="47" fillId="0" borderId="25" applyNumberFormat="0" applyFill="0" applyAlignment="0" applyProtection="0"/>
    <xf numFmtId="0" fontId="47" fillId="0" borderId="25" applyNumberFormat="0" applyFill="0" applyAlignment="0" applyProtection="0"/>
    <xf numFmtId="0" fontId="47" fillId="0" borderId="25" applyNumberFormat="0" applyFill="0" applyAlignment="0" applyProtection="0"/>
    <xf numFmtId="0" fontId="47" fillId="0" borderId="25" applyNumberFormat="0" applyFill="0" applyAlignment="0" applyProtection="0"/>
    <xf numFmtId="0" fontId="47" fillId="0" borderId="25" applyNumberFormat="0" applyFill="0" applyAlignment="0" applyProtection="0"/>
    <xf numFmtId="0" fontId="47" fillId="0" borderId="25" applyNumberFormat="0" applyFill="0" applyAlignment="0" applyProtection="0"/>
    <xf numFmtId="0" fontId="47" fillId="0" borderId="25" applyNumberFormat="0" applyFill="0" applyAlignment="0" applyProtection="0"/>
    <xf numFmtId="0" fontId="47" fillId="0" borderId="25" applyNumberFormat="0" applyFill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10" fontId="32" fillId="20" borderId="26" applyNumberFormat="0" applyBorder="0" applyAlignment="0" applyProtection="0"/>
    <xf numFmtId="0" fontId="48" fillId="11" borderId="20" applyNumberFormat="0" applyAlignment="0" applyProtection="0"/>
    <xf numFmtId="0" fontId="48" fillId="11" borderId="20" applyNumberFormat="0" applyAlignment="0" applyProtection="0"/>
    <xf numFmtId="0" fontId="48" fillId="11" borderId="20" applyNumberFormat="0" applyAlignment="0" applyProtection="0"/>
    <xf numFmtId="0" fontId="48" fillId="11" borderId="20" applyNumberFormat="0" applyAlignment="0" applyProtection="0"/>
    <xf numFmtId="0" fontId="48" fillId="11" borderId="20" applyNumberFormat="0" applyAlignment="0" applyProtection="0"/>
    <xf numFmtId="0" fontId="48" fillId="11" borderId="20" applyNumberFormat="0" applyAlignment="0" applyProtection="0"/>
    <xf numFmtId="0" fontId="48" fillId="11" borderId="20" applyNumberFormat="0" applyAlignment="0" applyProtection="0"/>
    <xf numFmtId="0" fontId="48" fillId="11" borderId="20" applyNumberFormat="0" applyAlignment="0" applyProtection="0"/>
    <xf numFmtId="170" fontId="4" fillId="0" borderId="0" applyFill="0" applyBorder="0" applyAlignment="0"/>
    <xf numFmtId="0" fontId="38" fillId="0" borderId="0" applyFill="0" applyBorder="0" applyAlignment="0"/>
    <xf numFmtId="170" fontId="4" fillId="0" borderId="0" applyFill="0" applyBorder="0" applyAlignment="0"/>
    <xf numFmtId="173" fontId="4" fillId="0" borderId="0" applyFill="0" applyBorder="0" applyAlignment="0"/>
    <xf numFmtId="0" fontId="38" fillId="0" borderId="0" applyFill="0" applyBorder="0" applyAlignment="0"/>
    <xf numFmtId="0" fontId="49" fillId="0" borderId="27" applyNumberFormat="0" applyFill="0" applyAlignment="0" applyProtection="0"/>
    <xf numFmtId="0" fontId="49" fillId="0" borderId="27" applyNumberFormat="0" applyFill="0" applyAlignment="0" applyProtection="0"/>
    <xf numFmtId="0" fontId="49" fillId="0" borderId="27" applyNumberFormat="0" applyFill="0" applyAlignment="0" applyProtection="0"/>
    <xf numFmtId="0" fontId="49" fillId="0" borderId="27" applyNumberFormat="0" applyFill="0" applyAlignment="0" applyProtection="0"/>
    <xf numFmtId="0" fontId="49" fillId="0" borderId="27" applyNumberFormat="0" applyFill="0" applyAlignment="0" applyProtection="0"/>
    <xf numFmtId="0" fontId="49" fillId="0" borderId="27" applyNumberFormat="0" applyFill="0" applyAlignment="0" applyProtection="0"/>
    <xf numFmtId="0" fontId="49" fillId="0" borderId="27" applyNumberFormat="0" applyFill="0" applyAlignment="0" applyProtection="0"/>
    <xf numFmtId="0" fontId="49" fillId="0" borderId="27" applyNumberFormat="0" applyFill="0" applyAlignment="0" applyProtection="0"/>
    <xf numFmtId="176" fontId="50" fillId="0" borderId="0" applyFont="0" applyFill="0" applyBorder="0" applyAlignment="0" applyProtection="0"/>
    <xf numFmtId="177" fontId="50" fillId="0" borderId="0" applyFont="0" applyFill="0" applyBorder="0" applyAlignment="0" applyProtection="0"/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17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0" borderId="28" applyNumberFormat="0" applyFont="0" applyAlignment="0" applyProtection="0"/>
    <xf numFmtId="0" fontId="4" fillId="10" borderId="28" applyNumberFormat="0" applyFont="0" applyAlignment="0" applyProtection="0"/>
    <xf numFmtId="0" fontId="4" fillId="10" borderId="28" applyNumberFormat="0" applyFont="0" applyAlignment="0" applyProtection="0"/>
    <xf numFmtId="0" fontId="4" fillId="10" borderId="28" applyNumberFormat="0" applyFont="0" applyAlignment="0" applyProtection="0"/>
    <xf numFmtId="0" fontId="4" fillId="10" borderId="28" applyNumberFormat="0" applyFont="0" applyAlignment="0" applyProtection="0"/>
    <xf numFmtId="0" fontId="4" fillId="10" borderId="28" applyNumberFormat="0" applyFont="0" applyAlignment="0" applyProtection="0"/>
    <xf numFmtId="0" fontId="4" fillId="10" borderId="28" applyNumberFormat="0" applyFont="0" applyAlignment="0" applyProtection="0"/>
    <xf numFmtId="0" fontId="4" fillId="10" borderId="28" applyNumberFormat="0" applyFont="0" applyAlignment="0" applyProtection="0"/>
    <xf numFmtId="0" fontId="52" fillId="14" borderId="29" applyNumberFormat="0" applyAlignment="0" applyProtection="0"/>
    <xf numFmtId="0" fontId="52" fillId="14" borderId="29" applyNumberFormat="0" applyAlignment="0" applyProtection="0"/>
    <xf numFmtId="0" fontId="52" fillId="14" borderId="29" applyNumberFormat="0" applyAlignment="0" applyProtection="0"/>
    <xf numFmtId="0" fontId="52" fillId="14" borderId="29" applyNumberFormat="0" applyAlignment="0" applyProtection="0"/>
    <xf numFmtId="0" fontId="52" fillId="14" borderId="29" applyNumberFormat="0" applyAlignment="0" applyProtection="0"/>
    <xf numFmtId="0" fontId="52" fillId="14" borderId="29" applyNumberFormat="0" applyAlignment="0" applyProtection="0"/>
    <xf numFmtId="0" fontId="52" fillId="14" borderId="29" applyNumberFormat="0" applyAlignment="0" applyProtection="0"/>
    <xf numFmtId="0" fontId="52" fillId="14" borderId="29" applyNumberFormat="0" applyAlignment="0" applyProtection="0"/>
    <xf numFmtId="0" fontId="4" fillId="0" borderId="0"/>
    <xf numFmtId="172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70" fontId="4" fillId="0" borderId="0" applyFill="0" applyBorder="0" applyAlignment="0"/>
    <xf numFmtId="0" fontId="38" fillId="0" borderId="0" applyFill="0" applyBorder="0" applyAlignment="0"/>
    <xf numFmtId="170" fontId="4" fillId="0" borderId="0" applyFill="0" applyBorder="0" applyAlignment="0"/>
    <xf numFmtId="173" fontId="4" fillId="0" borderId="0" applyFill="0" applyBorder="0" applyAlignment="0"/>
    <xf numFmtId="0" fontId="38" fillId="0" borderId="0" applyFill="0" applyBorder="0" applyAlignment="0"/>
    <xf numFmtId="0" fontId="53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49" fontId="41" fillId="0" borderId="0" applyFill="0" applyBorder="0" applyAlignment="0"/>
    <xf numFmtId="180" fontId="4" fillId="0" borderId="0" applyFill="0" applyBorder="0" applyAlignment="0"/>
    <xf numFmtId="181" fontId="4" fillId="0" borderId="0" applyFill="0" applyBorder="0" applyAlignment="0"/>
    <xf numFmtId="0" fontId="42" fillId="0" borderId="30" applyNumberFormat="0" applyFill="0" applyAlignment="0" applyProtection="0"/>
    <xf numFmtId="0" fontId="42" fillId="0" borderId="30" applyNumberFormat="0" applyFill="0" applyAlignment="0" applyProtection="0"/>
    <xf numFmtId="0" fontId="42" fillId="0" borderId="30" applyNumberFormat="0" applyFill="0" applyAlignment="0" applyProtection="0"/>
    <xf numFmtId="0" fontId="42" fillId="0" borderId="30" applyNumberFormat="0" applyFill="0" applyAlignment="0" applyProtection="0"/>
    <xf numFmtId="0" fontId="42" fillId="0" borderId="30" applyNumberFormat="0" applyFill="0" applyAlignment="0" applyProtection="0"/>
    <xf numFmtId="0" fontId="42" fillId="0" borderId="30" applyNumberFormat="0" applyFill="0" applyAlignment="0" applyProtection="0"/>
    <xf numFmtId="0" fontId="42" fillId="0" borderId="30" applyNumberFormat="0" applyFill="0" applyAlignment="0" applyProtection="0"/>
    <xf numFmtId="0" fontId="42" fillId="0" borderId="30" applyNumberFormat="0" applyFill="0" applyAlignment="0" applyProtection="0"/>
    <xf numFmtId="0" fontId="54" fillId="0" borderId="0">
      <alignment vertical="top"/>
    </xf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</cellStyleXfs>
  <cellXfs count="112">
    <xf numFmtId="0" fontId="0" fillId="0" borderId="0" xfId="0"/>
    <xf numFmtId="0" fontId="16" fillId="21" borderId="0" xfId="0" applyFont="1" applyFill="1" applyBorder="1" applyAlignment="1"/>
    <xf numFmtId="164" fontId="10" fillId="21" borderId="0" xfId="2" applyNumberFormat="1" applyFont="1" applyFill="1" applyBorder="1" applyAlignment="1">
      <alignment horizontal="right"/>
    </xf>
    <xf numFmtId="0" fontId="22" fillId="21" borderId="0" xfId="0" applyFont="1" applyFill="1" applyBorder="1" applyAlignment="1" applyProtection="1">
      <alignment horizontal="left"/>
    </xf>
    <xf numFmtId="164" fontId="9" fillId="21" borderId="0" xfId="2" applyNumberFormat="1" applyFont="1" applyFill="1" applyAlignment="1">
      <alignment vertical="center"/>
    </xf>
    <xf numFmtId="164" fontId="31" fillId="21" borderId="0" xfId="2" applyNumberFormat="1" applyFont="1" applyFill="1" applyAlignment="1">
      <alignment horizontal="right" vertical="center"/>
    </xf>
    <xf numFmtId="164" fontId="23" fillId="21" borderId="0" xfId="2" applyNumberFormat="1" applyFont="1" applyFill="1" applyAlignment="1">
      <alignment horizontal="left" vertical="center" indent="2"/>
    </xf>
    <xf numFmtId="164" fontId="11" fillId="21" borderId="0" xfId="2" applyNumberFormat="1" applyFont="1" applyFill="1" applyAlignment="1">
      <alignment vertical="center" wrapText="1"/>
    </xf>
    <xf numFmtId="164" fontId="9" fillId="21" borderId="0" xfId="2" applyNumberFormat="1" applyFont="1" applyFill="1" applyBorder="1" applyAlignment="1">
      <alignment vertical="center"/>
    </xf>
    <xf numFmtId="0" fontId="0" fillId="21" borderId="0" xfId="0" applyFill="1" applyBorder="1"/>
    <xf numFmtId="167" fontId="19" fillId="21" borderId="0" xfId="1" applyNumberFormat="1" applyFont="1" applyFill="1" applyBorder="1" applyAlignment="1" applyProtection="1">
      <alignment vertical="center"/>
    </xf>
    <xf numFmtId="166" fontId="14" fillId="21" borderId="0" xfId="2" applyNumberFormat="1" applyFont="1" applyFill="1" applyBorder="1" applyAlignment="1">
      <alignment vertical="center"/>
    </xf>
    <xf numFmtId="166" fontId="14" fillId="21" borderId="1" xfId="2" applyNumberFormat="1" applyFont="1" applyFill="1" applyBorder="1" applyAlignment="1">
      <alignment vertical="center"/>
    </xf>
    <xf numFmtId="164" fontId="6" fillId="21" borderId="9" xfId="2" applyNumberFormat="1" applyFont="1" applyFill="1" applyBorder="1" applyAlignment="1">
      <alignment horizontal="right"/>
    </xf>
    <xf numFmtId="164" fontId="6" fillId="21" borderId="3" xfId="2" applyNumberFormat="1" applyFont="1" applyFill="1" applyBorder="1" applyAlignment="1">
      <alignment horizontal="right"/>
    </xf>
    <xf numFmtId="0" fontId="0" fillId="21" borderId="3" xfId="0" applyFill="1" applyBorder="1"/>
    <xf numFmtId="0" fontId="28" fillId="21" borderId="9" xfId="0" applyFont="1" applyFill="1" applyBorder="1"/>
    <xf numFmtId="0" fontId="0" fillId="21" borderId="9" xfId="0" applyFill="1" applyBorder="1"/>
    <xf numFmtId="0" fontId="17" fillId="21" borderId="9" xfId="0" applyFont="1" applyFill="1" applyBorder="1"/>
    <xf numFmtId="0" fontId="29" fillId="21" borderId="3" xfId="0" applyFont="1" applyFill="1" applyBorder="1"/>
    <xf numFmtId="164" fontId="11" fillId="21" borderId="12" xfId="2" applyNumberFormat="1" applyFont="1" applyFill="1" applyBorder="1" applyAlignment="1">
      <alignment vertical="center" wrapText="1"/>
    </xf>
    <xf numFmtId="164" fontId="11" fillId="21" borderId="13" xfId="2" applyNumberFormat="1" applyFont="1" applyFill="1" applyBorder="1" applyAlignment="1">
      <alignment vertical="center" wrapText="1"/>
    </xf>
    <xf numFmtId="0" fontId="4" fillId="21" borderId="3" xfId="0" applyFont="1" applyFill="1" applyBorder="1"/>
    <xf numFmtId="164" fontId="17" fillId="21" borderId="3" xfId="2" applyNumberFormat="1" applyFont="1" applyFill="1" applyBorder="1" applyAlignment="1">
      <alignment horizontal="right" vertical="center"/>
    </xf>
    <xf numFmtId="0" fontId="1" fillId="21" borderId="3" xfId="0" applyFont="1" applyFill="1" applyBorder="1"/>
    <xf numFmtId="0" fontId="8" fillId="21" borderId="15" xfId="0" applyFont="1" applyFill="1" applyBorder="1"/>
    <xf numFmtId="0" fontId="7" fillId="21" borderId="15" xfId="0" applyFont="1" applyFill="1" applyBorder="1" applyAlignment="1">
      <alignment horizontal="center" vertical="center"/>
    </xf>
    <xf numFmtId="165" fontId="7" fillId="21" borderId="3" xfId="0" applyNumberFormat="1" applyFont="1" applyFill="1" applyBorder="1" applyAlignment="1">
      <alignment vertical="center"/>
    </xf>
    <xf numFmtId="43" fontId="7" fillId="21" borderId="17" xfId="1" applyFont="1" applyFill="1" applyBorder="1" applyAlignment="1">
      <alignment horizontal="right"/>
    </xf>
    <xf numFmtId="166" fontId="10" fillId="21" borderId="9" xfId="1" applyNumberFormat="1" applyFont="1" applyFill="1" applyBorder="1" applyAlignment="1"/>
    <xf numFmtId="164" fontId="12" fillId="21" borderId="9" xfId="2" applyNumberFormat="1" applyFont="1" applyFill="1" applyBorder="1" applyAlignment="1">
      <alignment horizontal="right"/>
    </xf>
    <xf numFmtId="166" fontId="11" fillId="21" borderId="3" xfId="0" applyNumberFormat="1" applyFont="1" applyFill="1" applyBorder="1" applyAlignment="1"/>
    <xf numFmtId="0" fontId="12" fillId="21" borderId="3" xfId="3" applyFont="1" applyFill="1" applyBorder="1" applyAlignment="1">
      <alignment horizontal="right"/>
    </xf>
    <xf numFmtId="0" fontId="27" fillId="21" borderId="3" xfId="0" applyFont="1" applyFill="1" applyBorder="1" applyAlignment="1">
      <alignment horizontal="right"/>
    </xf>
    <xf numFmtId="0" fontId="11" fillId="21" borderId="3" xfId="0" applyFont="1" applyFill="1" applyBorder="1" applyAlignment="1">
      <alignment horizontal="right"/>
    </xf>
    <xf numFmtId="0" fontId="10" fillId="21" borderId="3" xfId="3" applyFont="1" applyFill="1" applyBorder="1" applyAlignment="1">
      <alignment horizontal="right"/>
    </xf>
    <xf numFmtId="164" fontId="11" fillId="21" borderId="3" xfId="2" applyNumberFormat="1" applyFont="1" applyFill="1" applyBorder="1" applyAlignment="1">
      <alignment horizontal="right"/>
    </xf>
    <xf numFmtId="0" fontId="10" fillId="21" borderId="3" xfId="0" applyFont="1" applyFill="1" applyBorder="1" applyAlignment="1">
      <alignment horizontal="right"/>
    </xf>
    <xf numFmtId="164" fontId="10" fillId="21" borderId="3" xfId="2" applyNumberFormat="1" applyFont="1" applyFill="1" applyBorder="1" applyAlignment="1">
      <alignment horizontal="right"/>
    </xf>
    <xf numFmtId="164" fontId="12" fillId="21" borderId="3" xfId="2" applyNumberFormat="1" applyFont="1" applyFill="1" applyBorder="1" applyAlignment="1">
      <alignment horizontal="right"/>
    </xf>
    <xf numFmtId="0" fontId="14" fillId="21" borderId="0" xfId="0" applyFont="1" applyFill="1" applyBorder="1"/>
    <xf numFmtId="0" fontId="16" fillId="21" borderId="0" xfId="0" applyFont="1" applyFill="1" applyBorder="1"/>
    <xf numFmtId="0" fontId="9" fillId="21" borderId="17" xfId="0" applyFont="1" applyFill="1" applyBorder="1" applyAlignment="1">
      <alignment horizontal="right"/>
    </xf>
    <xf numFmtId="43" fontId="33" fillId="21" borderId="0" xfId="1" applyFont="1" applyFill="1" applyBorder="1"/>
    <xf numFmtId="0" fontId="25" fillId="21" borderId="0" xfId="0" applyFont="1" applyFill="1" applyBorder="1"/>
    <xf numFmtId="0" fontId="14" fillId="21" borderId="0" xfId="0" applyFont="1" applyFill="1" applyBorder="1" applyAlignment="1">
      <alignment vertical="center"/>
    </xf>
    <xf numFmtId="0" fontId="14" fillId="21" borderId="0" xfId="0" applyFont="1" applyFill="1" applyBorder="1" applyAlignment="1"/>
    <xf numFmtId="171" fontId="14" fillId="21" borderId="0" xfId="1" applyNumberFormat="1" applyFont="1" applyFill="1" applyBorder="1" applyAlignment="1">
      <alignment vertical="center"/>
    </xf>
    <xf numFmtId="166" fontId="10" fillId="21" borderId="3" xfId="2" applyNumberFormat="1" applyFont="1" applyFill="1" applyBorder="1" applyAlignment="1">
      <alignment horizontal="right"/>
    </xf>
    <xf numFmtId="0" fontId="11" fillId="21" borderId="3" xfId="0" applyFont="1" applyFill="1" applyBorder="1" applyAlignment="1"/>
    <xf numFmtId="0" fontId="16" fillId="21" borderId="0" xfId="0" applyFont="1" applyFill="1" applyBorder="1" applyAlignment="1">
      <alignment vertical="center"/>
    </xf>
    <xf numFmtId="171" fontId="16" fillId="21" borderId="0" xfId="1" applyNumberFormat="1" applyFont="1" applyFill="1" applyBorder="1" applyAlignment="1">
      <alignment vertical="center"/>
    </xf>
    <xf numFmtId="0" fontId="11" fillId="21" borderId="7" xfId="0" applyFont="1" applyFill="1" applyBorder="1" applyAlignment="1">
      <alignment horizontal="right"/>
    </xf>
    <xf numFmtId="166" fontId="11" fillId="21" borderId="7" xfId="0" applyNumberFormat="1" applyFont="1" applyFill="1" applyBorder="1" applyAlignment="1">
      <alignment horizontal="right"/>
    </xf>
    <xf numFmtId="171" fontId="14" fillId="21" borderId="3" xfId="1" applyNumberFormat="1" applyFont="1" applyFill="1" applyBorder="1" applyAlignment="1">
      <alignment vertical="center"/>
    </xf>
    <xf numFmtId="171" fontId="14" fillId="21" borderId="5" xfId="1" applyNumberFormat="1" applyFont="1" applyFill="1" applyBorder="1" applyAlignment="1">
      <alignment vertical="center"/>
    </xf>
    <xf numFmtId="171" fontId="16" fillId="21" borderId="3" xfId="1" applyNumberFormat="1" applyFont="1" applyFill="1" applyBorder="1" applyAlignment="1">
      <alignment vertical="center"/>
    </xf>
    <xf numFmtId="171" fontId="16" fillId="21" borderId="5" xfId="1" applyNumberFormat="1" applyFont="1" applyFill="1" applyBorder="1" applyAlignment="1">
      <alignment vertical="center"/>
    </xf>
    <xf numFmtId="164" fontId="11" fillId="21" borderId="7" xfId="2" applyNumberFormat="1" applyFont="1" applyFill="1" applyBorder="1" applyAlignment="1">
      <alignment horizontal="right"/>
    </xf>
    <xf numFmtId="164" fontId="18" fillId="21" borderId="7" xfId="2" applyNumberFormat="1" applyFont="1" applyFill="1" applyBorder="1" applyAlignment="1">
      <alignment horizontal="right"/>
    </xf>
    <xf numFmtId="0" fontId="27" fillId="21" borderId="7" xfId="0" applyFont="1" applyFill="1" applyBorder="1" applyAlignment="1">
      <alignment horizontal="right"/>
    </xf>
    <xf numFmtId="0" fontId="25" fillId="21" borderId="0" xfId="0" applyFont="1" applyFill="1" applyBorder="1" applyAlignment="1">
      <alignment vertical="center"/>
    </xf>
    <xf numFmtId="0" fontId="25" fillId="21" borderId="0" xfId="0" applyFont="1" applyFill="1" applyBorder="1" applyAlignment="1"/>
    <xf numFmtId="171" fontId="14" fillId="21" borderId="8" xfId="1" applyNumberFormat="1" applyFont="1" applyFill="1" applyBorder="1" applyAlignment="1">
      <alignment vertical="center"/>
    </xf>
    <xf numFmtId="171" fontId="14" fillId="21" borderId="10" xfId="1" applyNumberFormat="1" applyFont="1" applyFill="1" applyBorder="1" applyAlignment="1">
      <alignment vertical="center"/>
    </xf>
    <xf numFmtId="0" fontId="14" fillId="21" borderId="19" xfId="0" applyFont="1" applyFill="1" applyBorder="1" applyAlignment="1">
      <alignment vertical="center"/>
    </xf>
    <xf numFmtId="0" fontId="14" fillId="21" borderId="19" xfId="0" applyFont="1" applyFill="1" applyBorder="1" applyAlignment="1"/>
    <xf numFmtId="171" fontId="14" fillId="21" borderId="19" xfId="1" applyNumberFormat="1" applyFont="1" applyFill="1" applyBorder="1" applyAlignment="1">
      <alignment vertical="center"/>
    </xf>
    <xf numFmtId="166" fontId="11" fillId="21" borderId="31" xfId="0" applyNumberFormat="1" applyFont="1" applyFill="1" applyBorder="1" applyAlignment="1">
      <alignment horizontal="right"/>
    </xf>
    <xf numFmtId="164" fontId="10" fillId="21" borderId="31" xfId="2" applyNumberFormat="1" applyFont="1" applyFill="1" applyBorder="1" applyAlignment="1">
      <alignment horizontal="right"/>
    </xf>
    <xf numFmtId="164" fontId="16" fillId="21" borderId="0" xfId="2" applyNumberFormat="1" applyFont="1" applyFill="1" applyAlignment="1"/>
    <xf numFmtId="164" fontId="20" fillId="21" borderId="0" xfId="2" applyNumberFormat="1" applyFont="1" applyFill="1" applyAlignment="1">
      <alignment horizontal="right"/>
    </xf>
    <xf numFmtId="164" fontId="21" fillId="21" borderId="0" xfId="2" applyNumberFormat="1" applyFont="1" applyFill="1" applyAlignment="1"/>
    <xf numFmtId="164" fontId="24" fillId="21" borderId="9" xfId="2" applyNumberFormat="1" applyFont="1" applyFill="1" applyBorder="1" applyAlignment="1">
      <alignment horizontal="right" vertical="center"/>
    </xf>
    <xf numFmtId="164" fontId="17" fillId="21" borderId="0" xfId="2" applyNumberFormat="1" applyFont="1" applyFill="1" applyBorder="1" applyAlignment="1"/>
    <xf numFmtId="166" fontId="10" fillId="21" borderId="0" xfId="2" applyNumberFormat="1" applyFont="1" applyFill="1" applyBorder="1" applyAlignment="1">
      <alignment horizontal="right"/>
    </xf>
    <xf numFmtId="166" fontId="14" fillId="21" borderId="0" xfId="2" applyNumberFormat="1" applyFont="1" applyFill="1" applyAlignment="1"/>
    <xf numFmtId="43" fontId="33" fillId="21" borderId="0" xfId="1" applyFont="1" applyFill="1" applyBorder="1" applyAlignment="1"/>
    <xf numFmtId="0" fontId="14" fillId="21" borderId="1" xfId="0" applyFont="1" applyFill="1" applyBorder="1" applyAlignment="1"/>
    <xf numFmtId="166" fontId="14" fillId="21" borderId="1" xfId="2" applyNumberFormat="1" applyFont="1" applyFill="1" applyBorder="1" applyAlignment="1"/>
    <xf numFmtId="164" fontId="12" fillId="21" borderId="4" xfId="2" applyNumberFormat="1" applyFont="1" applyFill="1" applyBorder="1" applyAlignment="1">
      <alignment horizontal="right"/>
    </xf>
    <xf numFmtId="43" fontId="33" fillId="21" borderId="1" xfId="1" applyFont="1" applyFill="1" applyBorder="1" applyAlignment="1"/>
    <xf numFmtId="0" fontId="56" fillId="21" borderId="3" xfId="0" applyFont="1" applyFill="1" applyBorder="1"/>
    <xf numFmtId="43" fontId="25" fillId="21" borderId="0" xfId="1" applyFont="1" applyFill="1" applyBorder="1"/>
    <xf numFmtId="43" fontId="25" fillId="21" borderId="0" xfId="0" applyNumberFormat="1" applyFont="1" applyFill="1" applyBorder="1"/>
    <xf numFmtId="164" fontId="57" fillId="21" borderId="0" xfId="2" applyNumberFormat="1" applyFont="1" applyFill="1" applyAlignment="1">
      <alignment horizontal="left" vertical="center" indent="2"/>
    </xf>
    <xf numFmtId="164" fontId="59" fillId="21" borderId="10" xfId="2" applyNumberFormat="1" applyFont="1" applyFill="1" applyBorder="1" applyAlignment="1">
      <alignment vertical="center" wrapText="1"/>
    </xf>
    <xf numFmtId="164" fontId="59" fillId="21" borderId="11" xfId="2" applyNumberFormat="1" applyFont="1" applyFill="1" applyBorder="1" applyAlignment="1">
      <alignment vertical="center" wrapText="1"/>
    </xf>
    <xf numFmtId="0" fontId="58" fillId="21" borderId="3" xfId="0" applyFont="1" applyFill="1" applyBorder="1"/>
    <xf numFmtId="0" fontId="58" fillId="21" borderId="0" xfId="0" applyFont="1" applyFill="1" applyBorder="1"/>
    <xf numFmtId="164" fontId="59" fillId="21" borderId="0" xfId="2" applyNumberFormat="1" applyFont="1" applyFill="1" applyBorder="1" applyAlignment="1">
      <alignment vertical="center" readingOrder="2"/>
    </xf>
    <xf numFmtId="0" fontId="0" fillId="21" borderId="5" xfId="0" applyFill="1" applyBorder="1"/>
    <xf numFmtId="0" fontId="7" fillId="21" borderId="16" xfId="0" applyFont="1" applyFill="1" applyBorder="1" applyAlignment="1">
      <alignment horizontal="center" vertical="center"/>
    </xf>
    <xf numFmtId="0" fontId="5" fillId="21" borderId="2" xfId="0" applyFont="1" applyFill="1" applyBorder="1" applyAlignment="1">
      <alignment horizontal="center" vertical="center"/>
    </xf>
    <xf numFmtId="164" fontId="3" fillId="21" borderId="5" xfId="2" applyNumberFormat="1" applyFont="1" applyFill="1" applyBorder="1" applyAlignment="1">
      <alignment horizontal="center" vertical="center" readingOrder="2"/>
    </xf>
    <xf numFmtId="164" fontId="3" fillId="21" borderId="6" xfId="2" applyNumberFormat="1" applyFont="1" applyFill="1" applyBorder="1" applyAlignment="1">
      <alignment horizontal="center" vertical="center" readingOrder="2"/>
    </xf>
    <xf numFmtId="0" fontId="7" fillId="21" borderId="16" xfId="0" applyFont="1" applyFill="1" applyBorder="1" applyAlignment="1">
      <alignment horizontal="center" vertical="center"/>
    </xf>
    <xf numFmtId="164" fontId="61" fillId="21" borderId="11" xfId="2" applyNumberFormat="1" applyFont="1" applyFill="1" applyBorder="1" applyAlignment="1" applyProtection="1">
      <alignment horizontal="center" vertical="center"/>
    </xf>
    <xf numFmtId="164" fontId="26" fillId="21" borderId="0" xfId="2" applyNumberFormat="1" applyFont="1" applyFill="1" applyBorder="1" applyAlignment="1">
      <alignment horizontal="center" vertical="center"/>
    </xf>
    <xf numFmtId="0" fontId="44" fillId="21" borderId="1" xfId="0" applyFont="1" applyFill="1" applyBorder="1" applyAlignment="1">
      <alignment horizontal="center" vertical="center"/>
    </xf>
    <xf numFmtId="164" fontId="12" fillId="21" borderId="33" xfId="2" applyNumberFormat="1" applyFont="1" applyFill="1" applyBorder="1" applyAlignment="1">
      <alignment horizontal="right" vertical="center"/>
    </xf>
    <xf numFmtId="164" fontId="12" fillId="21" borderId="34" xfId="2" applyNumberFormat="1" applyFont="1" applyFill="1" applyBorder="1" applyAlignment="1">
      <alignment horizontal="right" vertical="center"/>
    </xf>
    <xf numFmtId="164" fontId="12" fillId="21" borderId="32" xfId="2" applyNumberFormat="1" applyFont="1" applyFill="1" applyBorder="1" applyAlignment="1">
      <alignment horizontal="right" vertical="center"/>
    </xf>
    <xf numFmtId="164" fontId="12" fillId="21" borderId="14" xfId="2" applyNumberFormat="1" applyFont="1" applyFill="1" applyBorder="1" applyAlignment="1">
      <alignment horizontal="right" vertical="center"/>
    </xf>
    <xf numFmtId="164" fontId="12" fillId="21" borderId="35" xfId="2" applyNumberFormat="1" applyFont="1" applyFill="1" applyBorder="1" applyAlignment="1">
      <alignment horizontal="right" vertical="center"/>
    </xf>
    <xf numFmtId="164" fontId="12" fillId="21" borderId="36" xfId="2" applyNumberFormat="1" applyFont="1" applyFill="1" applyBorder="1" applyAlignment="1">
      <alignment horizontal="right" vertical="center"/>
    </xf>
    <xf numFmtId="0" fontId="17" fillId="21" borderId="5" xfId="0" applyFont="1" applyFill="1" applyBorder="1"/>
    <xf numFmtId="0" fontId="60" fillId="21" borderId="5" xfId="0" applyFont="1" applyFill="1" applyBorder="1"/>
    <xf numFmtId="164" fontId="15" fillId="21" borderId="0" xfId="2" applyNumberFormat="1" applyFont="1" applyFill="1" applyBorder="1" applyAlignment="1">
      <alignment horizontal="right"/>
    </xf>
    <xf numFmtId="164" fontId="11" fillId="21" borderId="0" xfId="2" applyNumberFormat="1" applyFont="1" applyFill="1" applyBorder="1" applyAlignment="1">
      <alignment vertical="center" wrapText="1"/>
    </xf>
    <xf numFmtId="0" fontId="1" fillId="21" borderId="0" xfId="0" applyFont="1" applyFill="1" applyBorder="1"/>
    <xf numFmtId="0" fontId="56" fillId="21" borderId="0" xfId="0" applyFont="1" applyFill="1" applyBorder="1"/>
  </cellXfs>
  <cellStyles count="299">
    <cellStyle name="1" xfId="4"/>
    <cellStyle name="1_1" xfId="5"/>
    <cellStyle name="1_16" xfId="6"/>
    <cellStyle name="1_92-2000" xfId="7"/>
    <cellStyle name="1_Book2" xfId="8"/>
    <cellStyle name="1_Book3" xfId="9"/>
    <cellStyle name="1_Book4" xfId="10"/>
    <cellStyle name="1_monthly series 89-99" xfId="11"/>
    <cellStyle name="1_tab-2000" xfId="12"/>
    <cellStyle name="Accent1 - 20%" xfId="13"/>
    <cellStyle name="Accent1 - 40%" xfId="14"/>
    <cellStyle name="Accent1 - 60%" xfId="15"/>
    <cellStyle name="Accent1 2" xfId="16"/>
    <cellStyle name="Accent1 3" xfId="17"/>
    <cellStyle name="Accent1 4" xfId="18"/>
    <cellStyle name="Accent1 5" xfId="19"/>
    <cellStyle name="Accent1 6" xfId="20"/>
    <cellStyle name="Accent1 7" xfId="21"/>
    <cellStyle name="Accent1 8" xfId="22"/>
    <cellStyle name="Accent1 9" xfId="23"/>
    <cellStyle name="Accent2 - 20%" xfId="24"/>
    <cellStyle name="Accent2 - 40%" xfId="25"/>
    <cellStyle name="Accent2 - 60%" xfId="26"/>
    <cellStyle name="Accent2 2" xfId="27"/>
    <cellStyle name="Accent2 3" xfId="28"/>
    <cellStyle name="Accent2 4" xfId="29"/>
    <cellStyle name="Accent2 5" xfId="30"/>
    <cellStyle name="Accent2 6" xfId="31"/>
    <cellStyle name="Accent2 7" xfId="32"/>
    <cellStyle name="Accent2 8" xfId="33"/>
    <cellStyle name="Accent2 9" xfId="34"/>
    <cellStyle name="Accent3 - 20%" xfId="35"/>
    <cellStyle name="Accent3 - 40%" xfId="36"/>
    <cellStyle name="Accent3 - 60%" xfId="37"/>
    <cellStyle name="Accent3 2" xfId="38"/>
    <cellStyle name="Accent3 3" xfId="39"/>
    <cellStyle name="Accent3 4" xfId="40"/>
    <cellStyle name="Accent3 5" xfId="41"/>
    <cellStyle name="Accent3 6" xfId="42"/>
    <cellStyle name="Accent3 7" xfId="43"/>
    <cellStyle name="Accent3 8" xfId="44"/>
    <cellStyle name="Accent3 9" xfId="45"/>
    <cellStyle name="Accent4 - 20%" xfId="46"/>
    <cellStyle name="Accent4 - 40%" xfId="47"/>
    <cellStyle name="Accent4 - 60%" xfId="48"/>
    <cellStyle name="Accent4 2" xfId="49"/>
    <cellStyle name="Accent4 3" xfId="50"/>
    <cellStyle name="Accent4 4" xfId="51"/>
    <cellStyle name="Accent4 5" xfId="52"/>
    <cellStyle name="Accent4 6" xfId="53"/>
    <cellStyle name="Accent4 7" xfId="54"/>
    <cellStyle name="Accent4 8" xfId="55"/>
    <cellStyle name="Accent4 9" xfId="56"/>
    <cellStyle name="Accent5 - 20%" xfId="57"/>
    <cellStyle name="Accent5 - 40%" xfId="58"/>
    <cellStyle name="Accent5 - 60%" xfId="59"/>
    <cellStyle name="Accent5 2" xfId="60"/>
    <cellStyle name="Accent5 3" xfId="61"/>
    <cellStyle name="Accent5 4" xfId="62"/>
    <cellStyle name="Accent5 5" xfId="63"/>
    <cellStyle name="Accent5 6" xfId="64"/>
    <cellStyle name="Accent5 7" xfId="65"/>
    <cellStyle name="Accent5 8" xfId="66"/>
    <cellStyle name="Accent5 9" xfId="67"/>
    <cellStyle name="Accent6 - 20%" xfId="68"/>
    <cellStyle name="Accent6 - 40%" xfId="69"/>
    <cellStyle name="Accent6 - 60%" xfId="70"/>
    <cellStyle name="Accent6 2" xfId="71"/>
    <cellStyle name="Accent6 3" xfId="72"/>
    <cellStyle name="Accent6 4" xfId="73"/>
    <cellStyle name="Accent6 5" xfId="74"/>
    <cellStyle name="Accent6 6" xfId="75"/>
    <cellStyle name="Accent6 7" xfId="76"/>
    <cellStyle name="Accent6 8" xfId="77"/>
    <cellStyle name="Accent6 9" xfId="78"/>
    <cellStyle name="AutoFormat Options" xfId="79"/>
    <cellStyle name="Bad 2" xfId="80"/>
    <cellStyle name="Bad 3" xfId="81"/>
    <cellStyle name="Bad 4" xfId="82"/>
    <cellStyle name="Bad 5" xfId="83"/>
    <cellStyle name="Bad 6" xfId="84"/>
    <cellStyle name="Bad 7" xfId="85"/>
    <cellStyle name="Bad 8" xfId="86"/>
    <cellStyle name="Bad 9" xfId="87"/>
    <cellStyle name="Calc C - Style1" xfId="88"/>
    <cellStyle name="Calc C - Style2" xfId="89"/>
    <cellStyle name="Calc C - Style3" xfId="90"/>
    <cellStyle name="Calc C - Style4" xfId="91"/>
    <cellStyle name="Calc C - Style5" xfId="92"/>
    <cellStyle name="Calc C - Style6" xfId="93"/>
    <cellStyle name="Calc C - Style7" xfId="94"/>
    <cellStyle name="Calc C - Style8" xfId="95"/>
    <cellStyle name="Calc Currency (0)" xfId="96"/>
    <cellStyle name="Calc Currency (2)" xfId="97"/>
    <cellStyle name="Calc Percent (0)" xfId="98"/>
    <cellStyle name="Calc Percent (1)" xfId="99"/>
    <cellStyle name="Calc Percent (2)" xfId="100"/>
    <cellStyle name="Calc Units (0)" xfId="101"/>
    <cellStyle name="Calc Units (1)" xfId="102"/>
    <cellStyle name="Calc Units (2)" xfId="103"/>
    <cellStyle name="Calculation 2" xfId="104"/>
    <cellStyle name="Calculation 3" xfId="105"/>
    <cellStyle name="Calculation 4" xfId="106"/>
    <cellStyle name="Calculation 5" xfId="107"/>
    <cellStyle name="Calculation 6" xfId="108"/>
    <cellStyle name="Calculation 7" xfId="109"/>
    <cellStyle name="Calculation 8" xfId="110"/>
    <cellStyle name="Calculation 9" xfId="111"/>
    <cellStyle name="Change A&amp;ll" xfId="112"/>
    <cellStyle name="Check Cell 2" xfId="113"/>
    <cellStyle name="Check Cell 3" xfId="114"/>
    <cellStyle name="Check Cell 4" xfId="115"/>
    <cellStyle name="Check Cell 5" xfId="116"/>
    <cellStyle name="Check Cell 6" xfId="117"/>
    <cellStyle name="Check Cell 7" xfId="118"/>
    <cellStyle name="Check Cell 8" xfId="119"/>
    <cellStyle name="Check Cell 9" xfId="120"/>
    <cellStyle name="Comma" xfId="1" builtinId="3"/>
    <cellStyle name="Comma  - Style1" xfId="121"/>
    <cellStyle name="Comma  - Style2" xfId="122"/>
    <cellStyle name="Comma  - Style3" xfId="123"/>
    <cellStyle name="Comma  - Style4" xfId="124"/>
    <cellStyle name="Comma  - Style5" xfId="125"/>
    <cellStyle name="Comma  - Style6" xfId="126"/>
    <cellStyle name="Comma  - Style7" xfId="127"/>
    <cellStyle name="Comma  - Style8" xfId="128"/>
    <cellStyle name="Comma [00]" xfId="129"/>
    <cellStyle name="Comma 10" xfId="130"/>
    <cellStyle name="Comma 2" xfId="131"/>
    <cellStyle name="Comma 2 2" xfId="132"/>
    <cellStyle name="Comma 2 3" xfId="133"/>
    <cellStyle name="Comma 3" xfId="134"/>
    <cellStyle name="Comma 3 2" xfId="135"/>
    <cellStyle name="Comma 3 3" xfId="136"/>
    <cellStyle name="Comma 3 4" xfId="137"/>
    <cellStyle name="Comma 3 5" xfId="138"/>
    <cellStyle name="Comma 3 6" xfId="139"/>
    <cellStyle name="Comma 3 7" xfId="140"/>
    <cellStyle name="Comma 3 8" xfId="141"/>
    <cellStyle name="Currency [00]" xfId="142"/>
    <cellStyle name="Date Short" xfId="143"/>
    <cellStyle name="Emphasis 1" xfId="144"/>
    <cellStyle name="Emphasis 2" xfId="145"/>
    <cellStyle name="Emphasis 3" xfId="146"/>
    <cellStyle name="Enter Currency (0)" xfId="147"/>
    <cellStyle name="Enter Currency (2)" xfId="148"/>
    <cellStyle name="Enter Units (0)" xfId="149"/>
    <cellStyle name="Enter Units (1)" xfId="150"/>
    <cellStyle name="Enter Units (2)" xfId="151"/>
    <cellStyle name="Good 2" xfId="152"/>
    <cellStyle name="Good 3" xfId="153"/>
    <cellStyle name="Good 4" xfId="154"/>
    <cellStyle name="Good 5" xfId="155"/>
    <cellStyle name="Good 6" xfId="156"/>
    <cellStyle name="Good 7" xfId="157"/>
    <cellStyle name="Good 8" xfId="158"/>
    <cellStyle name="Good 9" xfId="159"/>
    <cellStyle name="Grey" xfId="160"/>
    <cellStyle name="Header1" xfId="161"/>
    <cellStyle name="Header2" xfId="162"/>
    <cellStyle name="Heading 1 2" xfId="163"/>
    <cellStyle name="Heading 1 3" xfId="164"/>
    <cellStyle name="Heading 1 4" xfId="165"/>
    <cellStyle name="Heading 1 5" xfId="166"/>
    <cellStyle name="Heading 1 6" xfId="167"/>
    <cellStyle name="Heading 1 7" xfId="168"/>
    <cellStyle name="Heading 1 8" xfId="169"/>
    <cellStyle name="Heading 1 9" xfId="170"/>
    <cellStyle name="Heading 2 2" xfId="171"/>
    <cellStyle name="Heading 2 3" xfId="172"/>
    <cellStyle name="Heading 2 4" xfId="173"/>
    <cellStyle name="Heading 2 5" xfId="174"/>
    <cellStyle name="Heading 2 6" xfId="175"/>
    <cellStyle name="Heading 2 7" xfId="176"/>
    <cellStyle name="Heading 2 8" xfId="177"/>
    <cellStyle name="Heading 2 9" xfId="178"/>
    <cellStyle name="Heading 3 2" xfId="179"/>
    <cellStyle name="Heading 3 3" xfId="180"/>
    <cellStyle name="Heading 3 4" xfId="181"/>
    <cellStyle name="Heading 3 5" xfId="182"/>
    <cellStyle name="Heading 3 6" xfId="183"/>
    <cellStyle name="Heading 3 7" xfId="184"/>
    <cellStyle name="Heading 3 8" xfId="185"/>
    <cellStyle name="Heading 3 9" xfId="186"/>
    <cellStyle name="Heading 4 2" xfId="187"/>
    <cellStyle name="Heading 4 3" xfId="188"/>
    <cellStyle name="Heading 4 4" xfId="189"/>
    <cellStyle name="Heading 4 5" xfId="190"/>
    <cellStyle name="Heading 4 6" xfId="191"/>
    <cellStyle name="Heading 4 7" xfId="192"/>
    <cellStyle name="Heading 4 8" xfId="193"/>
    <cellStyle name="Heading 4 9" xfId="194"/>
    <cellStyle name="Input [yellow]" xfId="195"/>
    <cellStyle name="Input 2" xfId="196"/>
    <cellStyle name="Input 3" xfId="197"/>
    <cellStyle name="Input 4" xfId="198"/>
    <cellStyle name="Input 5" xfId="199"/>
    <cellStyle name="Input 6" xfId="200"/>
    <cellStyle name="Input 7" xfId="201"/>
    <cellStyle name="Input 8" xfId="202"/>
    <cellStyle name="Input 9" xfId="203"/>
    <cellStyle name="Link Currency (0)" xfId="204"/>
    <cellStyle name="Link Currency (2)" xfId="205"/>
    <cellStyle name="Link Units (0)" xfId="206"/>
    <cellStyle name="Link Units (1)" xfId="207"/>
    <cellStyle name="Link Units (2)" xfId="208"/>
    <cellStyle name="Linked Cell 2" xfId="209"/>
    <cellStyle name="Linked Cell 3" xfId="210"/>
    <cellStyle name="Linked Cell 4" xfId="211"/>
    <cellStyle name="Linked Cell 5" xfId="212"/>
    <cellStyle name="Linked Cell 6" xfId="213"/>
    <cellStyle name="Linked Cell 7" xfId="214"/>
    <cellStyle name="Linked Cell 8" xfId="215"/>
    <cellStyle name="Linked Cell 9" xfId="216"/>
    <cellStyle name="Milliers [0]_VERA" xfId="217"/>
    <cellStyle name="Milliers_VERA" xfId="218"/>
    <cellStyle name="Monétaire [0]_VERA" xfId="219"/>
    <cellStyle name="Monétaire_VERA" xfId="220"/>
    <cellStyle name="Neutral 2" xfId="221"/>
    <cellStyle name="Neutral 3" xfId="222"/>
    <cellStyle name="Neutral 4" xfId="223"/>
    <cellStyle name="Neutral 5" xfId="224"/>
    <cellStyle name="Neutral 6" xfId="225"/>
    <cellStyle name="Neutral 7" xfId="226"/>
    <cellStyle name="Neutral 8" xfId="227"/>
    <cellStyle name="Neutral 9" xfId="228"/>
    <cellStyle name="Normal" xfId="0" builtinId="0"/>
    <cellStyle name="Normal - Style1" xfId="229"/>
    <cellStyle name="Normal 14" xfId="3"/>
    <cellStyle name="Normal 2" xfId="230"/>
    <cellStyle name="Normal 2 2" xfId="231"/>
    <cellStyle name="Normal 3" xfId="232"/>
    <cellStyle name="Normal 5" xfId="233"/>
    <cellStyle name="Normal 6" xfId="234"/>
    <cellStyle name="Normal 7" xfId="235"/>
    <cellStyle name="Normal 8" xfId="236"/>
    <cellStyle name="Normal 9" xfId="237"/>
    <cellStyle name="Normal_Finance - XI" xfId="2"/>
    <cellStyle name="Note 2" xfId="238"/>
    <cellStyle name="Note 3" xfId="239"/>
    <cellStyle name="Note 4" xfId="240"/>
    <cellStyle name="Note 5" xfId="241"/>
    <cellStyle name="Note 6" xfId="242"/>
    <cellStyle name="Note 7" xfId="243"/>
    <cellStyle name="Note 8" xfId="244"/>
    <cellStyle name="Note 9" xfId="245"/>
    <cellStyle name="Output 2" xfId="246"/>
    <cellStyle name="Output 3" xfId="247"/>
    <cellStyle name="Output 4" xfId="248"/>
    <cellStyle name="Output 5" xfId="249"/>
    <cellStyle name="Output 6" xfId="250"/>
    <cellStyle name="Output 7" xfId="251"/>
    <cellStyle name="Output 8" xfId="252"/>
    <cellStyle name="Output 9" xfId="253"/>
    <cellStyle name="Pattern" xfId="254"/>
    <cellStyle name="Percent [0]" xfId="255"/>
    <cellStyle name="Percent [00]" xfId="256"/>
    <cellStyle name="Percent [2]" xfId="257"/>
    <cellStyle name="Percent 2" xfId="258"/>
    <cellStyle name="Percent 2 2" xfId="259"/>
    <cellStyle name="Percent 2 3" xfId="260"/>
    <cellStyle name="Percent 3 2" xfId="261"/>
    <cellStyle name="Percent 3 3" xfId="262"/>
    <cellStyle name="Percent 3 4" xfId="263"/>
    <cellStyle name="Percent 3 5" xfId="264"/>
    <cellStyle name="Percent 3 6" xfId="265"/>
    <cellStyle name="Percent 3 7" xfId="266"/>
    <cellStyle name="Percent 3 8" xfId="267"/>
    <cellStyle name="PrePop Currency (0)" xfId="268"/>
    <cellStyle name="PrePop Currency (2)" xfId="269"/>
    <cellStyle name="PrePop Units (0)" xfId="270"/>
    <cellStyle name="PrePop Units (1)" xfId="271"/>
    <cellStyle name="PrePop Units (2)" xfId="272"/>
    <cellStyle name="Sheet Title" xfId="273"/>
    <cellStyle name="STYL1 - Style1" xfId="274"/>
    <cellStyle name="STYL2 - Style2" xfId="275"/>
    <cellStyle name="STYL3 - Style3" xfId="276"/>
    <cellStyle name="STYL4 - Style4" xfId="277"/>
    <cellStyle name="STYL5 - Style5" xfId="278"/>
    <cellStyle name="Text Indent A" xfId="279"/>
    <cellStyle name="Text Indent B" xfId="280"/>
    <cellStyle name="Text Indent C" xfId="281"/>
    <cellStyle name="Total 2" xfId="282"/>
    <cellStyle name="Total 3" xfId="283"/>
    <cellStyle name="Total 4" xfId="284"/>
    <cellStyle name="Total 5" xfId="285"/>
    <cellStyle name="Total 6" xfId="286"/>
    <cellStyle name="Total 7" xfId="287"/>
    <cellStyle name="Total 8" xfId="288"/>
    <cellStyle name="Total 9" xfId="289"/>
    <cellStyle name="Update" xfId="290"/>
    <cellStyle name="Warning Text 2" xfId="291"/>
    <cellStyle name="Warning Text 3" xfId="292"/>
    <cellStyle name="Warning Text 4" xfId="293"/>
    <cellStyle name="Warning Text 5" xfId="294"/>
    <cellStyle name="Warning Text 6" xfId="295"/>
    <cellStyle name="Warning Text 7" xfId="296"/>
    <cellStyle name="Warning Text 8" xfId="297"/>
    <cellStyle name="Warning Text 9" xfId="29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\Moneatary_Policy_and_Research\Research_and_Publications_Section\Publications\Quarterly_Economic_Bulletin\QEB%202009\Q2%202009\Financial%20sector\QEB%202%20June%2009-Monetary%20analysis_revised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SD\Statistics_Section\Data_Dissemination\Monetary%20and%20Financial%20statistics_publications%20%20tables\interest%20rate\Publication%20sheets_1.1_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tary Aggr"/>
      <sheetName val="Monetary base (revised)"/>
      <sheetName val="Monetary base"/>
      <sheetName val="C.banks"/>
      <sheetName val="C.banks loans by Sectors"/>
      <sheetName val="MFLC"/>
      <sheetName val="HDFC"/>
      <sheetName val="Capital Market Data"/>
      <sheetName val="CMDA Analysis"/>
      <sheetName val="t-bill"/>
      <sheetName val="FC Payments"/>
      <sheetName val="Chronological aver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(LI) (2)"/>
      <sheetName val="Total(DI) (2)"/>
      <sheetName val="Industry"/>
      <sheetName val="SRF_public tab_Dec-01 todate"/>
    </sheetNames>
    <sheetDataSet>
      <sheetData sheetId="0"/>
      <sheetData sheetId="1">
        <row r="13">
          <cell r="B13">
            <v>5</v>
          </cell>
        </row>
      </sheetData>
      <sheetData sheetId="2">
        <row r="4">
          <cell r="A4" t="str">
            <v>LOANS AND ADVANCES</v>
          </cell>
          <cell r="B4">
            <v>39448</v>
          </cell>
          <cell r="C4">
            <v>39448</v>
          </cell>
          <cell r="D4">
            <v>39448</v>
          </cell>
          <cell r="E4">
            <v>39479</v>
          </cell>
          <cell r="F4">
            <v>39479</v>
          </cell>
          <cell r="G4">
            <v>39479</v>
          </cell>
          <cell r="H4">
            <v>39508</v>
          </cell>
          <cell r="I4">
            <v>39508</v>
          </cell>
          <cell r="J4">
            <v>39508</v>
          </cell>
          <cell r="K4">
            <v>39539</v>
          </cell>
          <cell r="L4">
            <v>39539</v>
          </cell>
          <cell r="M4">
            <v>39539</v>
          </cell>
          <cell r="N4">
            <v>39569</v>
          </cell>
          <cell r="O4">
            <v>39569</v>
          </cell>
          <cell r="P4">
            <v>39569</v>
          </cell>
          <cell r="Q4">
            <v>39600</v>
          </cell>
          <cell r="R4">
            <v>39600</v>
          </cell>
          <cell r="S4">
            <v>39600</v>
          </cell>
          <cell r="T4">
            <v>39630</v>
          </cell>
          <cell r="U4">
            <v>39630</v>
          </cell>
          <cell r="V4">
            <v>39630</v>
          </cell>
          <cell r="W4">
            <v>39661</v>
          </cell>
          <cell r="X4">
            <v>39661</v>
          </cell>
          <cell r="Y4">
            <v>39661</v>
          </cell>
          <cell r="Z4">
            <v>39692</v>
          </cell>
          <cell r="AA4">
            <v>39692</v>
          </cell>
          <cell r="AB4">
            <v>39692</v>
          </cell>
          <cell r="AC4">
            <v>39722</v>
          </cell>
          <cell r="AD4">
            <v>39722</v>
          </cell>
          <cell r="AE4">
            <v>39722</v>
          </cell>
          <cell r="AF4">
            <v>39753</v>
          </cell>
          <cell r="AG4">
            <v>39753</v>
          </cell>
          <cell r="AH4">
            <v>39753</v>
          </cell>
          <cell r="AI4">
            <v>39783</v>
          </cell>
          <cell r="AJ4">
            <v>39783</v>
          </cell>
          <cell r="AK4">
            <v>39783</v>
          </cell>
          <cell r="AL4">
            <v>39814</v>
          </cell>
          <cell r="AM4">
            <v>39814</v>
          </cell>
          <cell r="AN4">
            <v>39814</v>
          </cell>
          <cell r="AO4">
            <v>39845</v>
          </cell>
          <cell r="AP4">
            <v>39845</v>
          </cell>
          <cell r="AQ4">
            <v>39845</v>
          </cell>
          <cell r="AR4">
            <v>39873</v>
          </cell>
          <cell r="AS4">
            <v>39873</v>
          </cell>
          <cell r="AT4">
            <v>39873</v>
          </cell>
          <cell r="AU4">
            <v>39904</v>
          </cell>
          <cell r="AV4">
            <v>39904</v>
          </cell>
          <cell r="AW4">
            <v>39904</v>
          </cell>
          <cell r="AX4">
            <v>39934</v>
          </cell>
          <cell r="AY4">
            <v>39934</v>
          </cell>
          <cell r="AZ4">
            <v>39934</v>
          </cell>
          <cell r="BA4">
            <v>39965</v>
          </cell>
          <cell r="BB4">
            <v>39965</v>
          </cell>
          <cell r="BC4">
            <v>39965</v>
          </cell>
          <cell r="BD4">
            <v>39995</v>
          </cell>
          <cell r="BE4">
            <v>39995</v>
          </cell>
          <cell r="BF4">
            <v>39995</v>
          </cell>
          <cell r="BG4">
            <v>40026</v>
          </cell>
          <cell r="BH4">
            <v>40026</v>
          </cell>
          <cell r="BI4">
            <v>40026</v>
          </cell>
          <cell r="BJ4">
            <v>40057</v>
          </cell>
          <cell r="BK4">
            <v>40057</v>
          </cell>
          <cell r="BL4">
            <v>40057</v>
          </cell>
          <cell r="BM4">
            <v>40087</v>
          </cell>
          <cell r="BN4">
            <v>40087</v>
          </cell>
          <cell r="BO4">
            <v>40087</v>
          </cell>
          <cell r="BP4">
            <v>40118</v>
          </cell>
          <cell r="BQ4">
            <v>40118</v>
          </cell>
          <cell r="BR4">
            <v>40118</v>
          </cell>
          <cell r="BS4">
            <v>40148</v>
          </cell>
          <cell r="BT4">
            <v>40148</v>
          </cell>
          <cell r="BU4">
            <v>40148</v>
          </cell>
          <cell r="BV4">
            <v>40179</v>
          </cell>
          <cell r="BW4">
            <v>40179</v>
          </cell>
          <cell r="BX4">
            <v>40179</v>
          </cell>
          <cell r="BY4">
            <v>40210</v>
          </cell>
          <cell r="BZ4">
            <v>40210</v>
          </cell>
          <cell r="CA4">
            <v>40210</v>
          </cell>
          <cell r="CB4">
            <v>40238</v>
          </cell>
          <cell r="CC4">
            <v>40238</v>
          </cell>
          <cell r="CD4">
            <v>40238</v>
          </cell>
          <cell r="CE4">
            <v>40269</v>
          </cell>
          <cell r="CF4">
            <v>40269</v>
          </cell>
          <cell r="CG4">
            <v>40269</v>
          </cell>
          <cell r="CH4">
            <v>40299</v>
          </cell>
          <cell r="CI4">
            <v>40299</v>
          </cell>
          <cell r="CJ4">
            <v>40299</v>
          </cell>
          <cell r="CK4">
            <v>40330</v>
          </cell>
          <cell r="CL4">
            <v>40330</v>
          </cell>
          <cell r="CM4">
            <v>40330</v>
          </cell>
          <cell r="CN4">
            <v>40360</v>
          </cell>
          <cell r="CO4">
            <v>40360</v>
          </cell>
          <cell r="CP4">
            <v>40360</v>
          </cell>
          <cell r="CQ4">
            <v>40391</v>
          </cell>
          <cell r="CR4">
            <v>40391</v>
          </cell>
          <cell r="CS4">
            <v>40391</v>
          </cell>
          <cell r="CT4">
            <v>40422</v>
          </cell>
          <cell r="CU4">
            <v>40422</v>
          </cell>
          <cell r="CV4">
            <v>40422</v>
          </cell>
          <cell r="CW4">
            <v>40452</v>
          </cell>
          <cell r="CX4">
            <v>40452</v>
          </cell>
          <cell r="CY4">
            <v>40452</v>
          </cell>
          <cell r="CZ4">
            <v>40483</v>
          </cell>
          <cell r="DA4">
            <v>40483</v>
          </cell>
          <cell r="DB4">
            <v>40483</v>
          </cell>
          <cell r="DC4">
            <v>40513</v>
          </cell>
          <cell r="DD4">
            <v>40513</v>
          </cell>
          <cell r="DE4">
            <v>40513</v>
          </cell>
          <cell r="DF4">
            <v>40544</v>
          </cell>
          <cell r="DG4">
            <v>40544</v>
          </cell>
          <cell r="DH4">
            <v>40544</v>
          </cell>
          <cell r="DI4">
            <v>40575</v>
          </cell>
          <cell r="DJ4">
            <v>40575</v>
          </cell>
          <cell r="DK4">
            <v>40575</v>
          </cell>
          <cell r="DL4">
            <v>40603</v>
          </cell>
          <cell r="DM4">
            <v>40603</v>
          </cell>
          <cell r="DN4">
            <v>40603</v>
          </cell>
          <cell r="DO4">
            <v>40634</v>
          </cell>
          <cell r="DP4">
            <v>40634</v>
          </cell>
          <cell r="DQ4">
            <v>40634</v>
          </cell>
          <cell r="DR4">
            <v>40664</v>
          </cell>
          <cell r="DS4">
            <v>40664</v>
          </cell>
          <cell r="DT4">
            <v>40664</v>
          </cell>
          <cell r="DU4">
            <v>40695</v>
          </cell>
          <cell r="DV4">
            <v>40695</v>
          </cell>
          <cell r="DW4">
            <v>40695</v>
          </cell>
          <cell r="DX4">
            <v>40725</v>
          </cell>
          <cell r="DY4">
            <v>40725</v>
          </cell>
          <cell r="DZ4">
            <v>40725</v>
          </cell>
          <cell r="EA4">
            <v>40756</v>
          </cell>
          <cell r="EB4">
            <v>40756</v>
          </cell>
          <cell r="EC4">
            <v>40756</v>
          </cell>
        </row>
        <row r="5">
          <cell r="B5" t="str">
            <v>LC</v>
          </cell>
          <cell r="C5" t="str">
            <v>FC</v>
          </cell>
          <cell r="D5" t="str">
            <v>TOTAL</v>
          </cell>
          <cell r="E5" t="str">
            <v>LC</v>
          </cell>
          <cell r="F5" t="str">
            <v>FC</v>
          </cell>
          <cell r="G5" t="str">
            <v>TOTAL</v>
          </cell>
          <cell r="H5" t="str">
            <v>LC</v>
          </cell>
          <cell r="I5" t="str">
            <v>FC</v>
          </cell>
          <cell r="J5" t="str">
            <v>TOTAL</v>
          </cell>
          <cell r="K5" t="str">
            <v>LC</v>
          </cell>
          <cell r="L5" t="str">
            <v>FC</v>
          </cell>
          <cell r="M5" t="str">
            <v>TOTAL</v>
          </cell>
          <cell r="N5" t="str">
            <v>LC</v>
          </cell>
          <cell r="O5" t="str">
            <v>FC</v>
          </cell>
          <cell r="P5" t="str">
            <v>TOTAL</v>
          </cell>
          <cell r="Q5" t="str">
            <v>LC</v>
          </cell>
          <cell r="R5" t="str">
            <v>FC</v>
          </cell>
          <cell r="S5" t="str">
            <v>TOTAL</v>
          </cell>
          <cell r="T5" t="str">
            <v>LC</v>
          </cell>
          <cell r="U5" t="str">
            <v>FC</v>
          </cell>
          <cell r="V5" t="str">
            <v>TOTAL</v>
          </cell>
          <cell r="W5" t="str">
            <v>LC</v>
          </cell>
          <cell r="X5" t="str">
            <v>FC</v>
          </cell>
          <cell r="Y5" t="str">
            <v>TOTAL</v>
          </cell>
          <cell r="Z5" t="str">
            <v>LC</v>
          </cell>
          <cell r="AA5" t="str">
            <v>FC</v>
          </cell>
          <cell r="AB5" t="str">
            <v>TOTAL</v>
          </cell>
          <cell r="AC5" t="str">
            <v>LC</v>
          </cell>
          <cell r="AD5" t="str">
            <v>FC</v>
          </cell>
          <cell r="AE5" t="str">
            <v>TOTAL</v>
          </cell>
          <cell r="AF5" t="str">
            <v>LC</v>
          </cell>
          <cell r="AG5" t="str">
            <v>FC</v>
          </cell>
          <cell r="AH5" t="str">
            <v>TOTAL</v>
          </cell>
          <cell r="AI5" t="str">
            <v>LC</v>
          </cell>
          <cell r="AJ5" t="str">
            <v>FC</v>
          </cell>
          <cell r="AK5" t="str">
            <v>TOTAL</v>
          </cell>
          <cell r="AL5" t="str">
            <v>LC</v>
          </cell>
          <cell r="AM5" t="str">
            <v>FC</v>
          </cell>
          <cell r="AN5" t="str">
            <v>TOTAL</v>
          </cell>
          <cell r="AO5" t="str">
            <v>LC</v>
          </cell>
          <cell r="AP5" t="str">
            <v>FC</v>
          </cell>
          <cell r="AQ5" t="str">
            <v>TOTAL</v>
          </cell>
          <cell r="AR5" t="str">
            <v>LC</v>
          </cell>
          <cell r="AS5" t="str">
            <v>FC</v>
          </cell>
          <cell r="AT5" t="str">
            <v>TOTAL</v>
          </cell>
          <cell r="AU5" t="str">
            <v>LC</v>
          </cell>
          <cell r="AV5" t="str">
            <v>FC</v>
          </cell>
          <cell r="AW5" t="str">
            <v>TOTAL</v>
          </cell>
          <cell r="AX5" t="str">
            <v>LC</v>
          </cell>
          <cell r="AY5" t="str">
            <v>FC</v>
          </cell>
          <cell r="AZ5" t="str">
            <v>TOTAL</v>
          </cell>
          <cell r="BA5" t="str">
            <v>LC</v>
          </cell>
          <cell r="BB5" t="str">
            <v>FC</v>
          </cell>
          <cell r="BC5" t="str">
            <v>TOTAL</v>
          </cell>
          <cell r="BD5" t="str">
            <v>LC</v>
          </cell>
          <cell r="BE5" t="str">
            <v>FC</v>
          </cell>
          <cell r="BF5" t="str">
            <v>TOTAL</v>
          </cell>
          <cell r="BG5" t="str">
            <v>LC</v>
          </cell>
          <cell r="BH5" t="str">
            <v>FC</v>
          </cell>
          <cell r="BI5" t="str">
            <v>TOTAL</v>
          </cell>
          <cell r="BJ5" t="str">
            <v>LC</v>
          </cell>
          <cell r="BK5" t="str">
            <v>FC</v>
          </cell>
          <cell r="BL5" t="str">
            <v>TOTAL</v>
          </cell>
          <cell r="BM5" t="str">
            <v>LC</v>
          </cell>
          <cell r="BN5" t="str">
            <v>FC</v>
          </cell>
          <cell r="BO5" t="str">
            <v>TOTAL</v>
          </cell>
          <cell r="BP5" t="str">
            <v>LC</v>
          </cell>
          <cell r="BQ5" t="str">
            <v>FC</v>
          </cell>
          <cell r="BR5" t="str">
            <v>TOTAL</v>
          </cell>
          <cell r="BS5" t="str">
            <v>LC</v>
          </cell>
          <cell r="BT5" t="str">
            <v>FC</v>
          </cell>
          <cell r="BU5" t="str">
            <v>TOTAL</v>
          </cell>
          <cell r="BV5" t="str">
            <v>LC</v>
          </cell>
          <cell r="BW5" t="str">
            <v>FC</v>
          </cell>
          <cell r="BX5" t="str">
            <v>TOTAL</v>
          </cell>
          <cell r="BY5" t="str">
            <v>LC</v>
          </cell>
          <cell r="BZ5" t="str">
            <v>FC</v>
          </cell>
          <cell r="CA5" t="str">
            <v>TOTAL</v>
          </cell>
          <cell r="CB5" t="str">
            <v>LC</v>
          </cell>
          <cell r="CC5" t="str">
            <v>FC</v>
          </cell>
          <cell r="CD5" t="str">
            <v>TOTAL</v>
          </cell>
          <cell r="CE5" t="str">
            <v>LC</v>
          </cell>
          <cell r="CF5" t="str">
            <v>FC</v>
          </cell>
          <cell r="CG5" t="str">
            <v>TOTAL</v>
          </cell>
          <cell r="CH5" t="str">
            <v>LC</v>
          </cell>
          <cell r="CI5" t="str">
            <v>FC</v>
          </cell>
          <cell r="CJ5" t="str">
            <v>TOTAL</v>
          </cell>
          <cell r="CK5" t="str">
            <v>LC</v>
          </cell>
          <cell r="CL5" t="str">
            <v>FC</v>
          </cell>
          <cell r="CM5" t="str">
            <v>TOTAL</v>
          </cell>
          <cell r="CN5" t="str">
            <v>LC</v>
          </cell>
          <cell r="CO5" t="str">
            <v>FC</v>
          </cell>
          <cell r="CP5" t="str">
            <v>TOTAL</v>
          </cell>
          <cell r="CQ5" t="str">
            <v>LC</v>
          </cell>
          <cell r="CR5" t="str">
            <v>FC</v>
          </cell>
          <cell r="CS5" t="str">
            <v>TOTAL</v>
          </cell>
          <cell r="CT5" t="str">
            <v>LC</v>
          </cell>
          <cell r="CU5" t="str">
            <v>FC</v>
          </cell>
          <cell r="CV5" t="str">
            <v>TOTAL</v>
          </cell>
          <cell r="CW5" t="str">
            <v>LC</v>
          </cell>
          <cell r="CX5" t="str">
            <v>FC</v>
          </cell>
          <cell r="CY5" t="str">
            <v>TOTAL</v>
          </cell>
          <cell r="CZ5" t="str">
            <v>LC</v>
          </cell>
          <cell r="DA5" t="str">
            <v>FC</v>
          </cell>
          <cell r="DB5" t="str">
            <v>TOTAL</v>
          </cell>
          <cell r="DC5" t="str">
            <v>LC</v>
          </cell>
          <cell r="DD5" t="str">
            <v>FC</v>
          </cell>
          <cell r="DE5" t="str">
            <v>TOTAL</v>
          </cell>
          <cell r="DF5" t="str">
            <v>LC</v>
          </cell>
          <cell r="DG5" t="str">
            <v>FC</v>
          </cell>
          <cell r="DH5" t="str">
            <v>TOTAL</v>
          </cell>
          <cell r="DI5" t="str">
            <v>LC</v>
          </cell>
          <cell r="DJ5" t="str">
            <v>FC</v>
          </cell>
          <cell r="DK5" t="str">
            <v>TOTAL</v>
          </cell>
          <cell r="DL5" t="str">
            <v>LC</v>
          </cell>
          <cell r="DM5" t="str">
            <v>FC</v>
          </cell>
          <cell r="DN5" t="str">
            <v>TOTAL</v>
          </cell>
          <cell r="DO5" t="str">
            <v>LC</v>
          </cell>
          <cell r="DP5" t="str">
            <v>FC</v>
          </cell>
          <cell r="DQ5" t="str">
            <v>TOTAL</v>
          </cell>
          <cell r="DR5" t="str">
            <v>LC</v>
          </cell>
          <cell r="DS5" t="str">
            <v>FC</v>
          </cell>
          <cell r="DT5" t="str">
            <v>TOTAL</v>
          </cell>
          <cell r="DU5" t="str">
            <v>LC</v>
          </cell>
          <cell r="DV5" t="str">
            <v>FC</v>
          </cell>
          <cell r="DW5" t="str">
            <v>TOTAL</v>
          </cell>
          <cell r="DX5" t="str">
            <v>LC</v>
          </cell>
          <cell r="DY5" t="str">
            <v>FC</v>
          </cell>
          <cell r="DZ5" t="str">
            <v>TOTAL</v>
          </cell>
          <cell r="EA5" t="str">
            <v>LC</v>
          </cell>
          <cell r="EB5" t="str">
            <v>FC</v>
          </cell>
          <cell r="EC5" t="str">
            <v>TOTAL</v>
          </cell>
        </row>
      </sheetData>
      <sheetData sheetId="3">
        <row r="6">
          <cell r="B6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DN115"/>
  <sheetViews>
    <sheetView showGridLines="0" tabSelected="1" view="pageBreakPreview" zoomScale="84" zoomScaleNormal="100" zoomScaleSheetLayoutView="84" workbookViewId="0">
      <selection activeCell="AD54" sqref="AD54"/>
    </sheetView>
  </sheetViews>
  <sheetFormatPr defaultColWidth="9.140625" defaultRowHeight="15" customHeight="1" x14ac:dyDescent="0.2"/>
  <cols>
    <col min="1" max="1" width="1.5703125" style="44" customWidth="1"/>
    <col min="2" max="2" width="37" style="44" customWidth="1"/>
    <col min="3" max="3" width="2.42578125" style="44" customWidth="1"/>
    <col min="4" max="4" width="3.140625" style="44" customWidth="1"/>
    <col min="5" max="8" width="10.28515625" style="44" customWidth="1"/>
    <col min="9" max="9" width="3.140625" style="44" customWidth="1"/>
    <col min="10" max="13" width="10.28515625" style="44" bestFit="1" customWidth="1"/>
    <col min="14" max="14" width="2" style="44" customWidth="1"/>
    <col min="15" max="18" width="10.28515625" style="44" bestFit="1" customWidth="1"/>
    <col min="19" max="19" width="2" style="44" customWidth="1"/>
    <col min="20" max="23" width="10.28515625" style="44" bestFit="1" customWidth="1"/>
    <col min="24" max="24" width="40.85546875" style="44" customWidth="1"/>
    <col min="25" max="25" width="9.140625" style="44" customWidth="1"/>
    <col min="26" max="26" width="2.28515625" style="44" customWidth="1"/>
    <col min="27" max="16384" width="9.140625" style="44"/>
  </cols>
  <sheetData>
    <row r="1" spans="1:118" ht="20.25" customHeight="1" x14ac:dyDescent="0.2">
      <c r="A1" s="94" t="s">
        <v>80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</row>
    <row r="2" spans="1:118" ht="20.25" customHeight="1" x14ac:dyDescent="0.2">
      <c r="A2" s="97" t="s">
        <v>81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</row>
    <row r="3" spans="1:118" ht="15" customHeight="1" x14ac:dyDescent="0.2">
      <c r="A3" s="98" t="s">
        <v>0</v>
      </c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</row>
    <row r="4" spans="1:118" s="41" customFormat="1" ht="15" customHeight="1" x14ac:dyDescent="0.2">
      <c r="A4" s="99" t="s">
        <v>1</v>
      </c>
      <c r="B4" s="99"/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</row>
    <row r="5" spans="1:118" s="15" customFormat="1" x14ac:dyDescent="0.25">
      <c r="A5" s="25"/>
      <c r="B5" s="26"/>
      <c r="C5" s="92"/>
      <c r="D5" s="92"/>
      <c r="E5" s="93" t="s">
        <v>73</v>
      </c>
      <c r="F5" s="93"/>
      <c r="G5" s="93"/>
      <c r="H5" s="93"/>
      <c r="I5" s="92"/>
      <c r="J5" s="96">
        <v>2015</v>
      </c>
      <c r="K5" s="96"/>
      <c r="L5" s="96"/>
      <c r="M5" s="96"/>
      <c r="N5" s="92"/>
      <c r="O5" s="96">
        <v>2016</v>
      </c>
      <c r="P5" s="96"/>
      <c r="Q5" s="96"/>
      <c r="R5" s="96"/>
      <c r="S5" s="92"/>
      <c r="T5" s="96">
        <v>2017</v>
      </c>
      <c r="U5" s="96"/>
      <c r="V5" s="96"/>
      <c r="W5" s="96"/>
      <c r="X5" s="100" t="s">
        <v>7</v>
      </c>
      <c r="Y5" s="101"/>
      <c r="Z5" s="91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</row>
    <row r="6" spans="1:118" s="15" customFormat="1" ht="18" customHeight="1" x14ac:dyDescent="0.4">
      <c r="A6" s="27" t="s">
        <v>2</v>
      </c>
      <c r="B6" s="14"/>
      <c r="C6" s="13"/>
      <c r="D6" s="13"/>
      <c r="E6" s="13" t="s">
        <v>3</v>
      </c>
      <c r="F6" s="13" t="s">
        <v>4</v>
      </c>
      <c r="G6" s="13" t="s">
        <v>5</v>
      </c>
      <c r="H6" s="13" t="s">
        <v>6</v>
      </c>
      <c r="I6" s="13"/>
      <c r="J6" s="13" t="s">
        <v>3</v>
      </c>
      <c r="K6" s="13" t="s">
        <v>4</v>
      </c>
      <c r="L6" s="13" t="s">
        <v>5</v>
      </c>
      <c r="M6" s="13" t="s">
        <v>6</v>
      </c>
      <c r="N6" s="13"/>
      <c r="O6" s="13" t="s">
        <v>3</v>
      </c>
      <c r="P6" s="13" t="s">
        <v>4</v>
      </c>
      <c r="Q6" s="13" t="s">
        <v>5</v>
      </c>
      <c r="R6" s="13" t="s">
        <v>6</v>
      </c>
      <c r="S6" s="13"/>
      <c r="T6" s="13" t="s">
        <v>3</v>
      </c>
      <c r="U6" s="13" t="s">
        <v>4</v>
      </c>
      <c r="V6" s="13" t="s">
        <v>5</v>
      </c>
      <c r="W6" s="13" t="s">
        <v>6</v>
      </c>
      <c r="X6" s="102"/>
      <c r="Y6" s="103"/>
      <c r="Z6" s="91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</row>
    <row r="7" spans="1:118" s="15" customFormat="1" x14ac:dyDescent="0.25">
      <c r="A7" s="42"/>
      <c r="B7" s="28"/>
      <c r="C7" s="28"/>
      <c r="D7" s="28"/>
      <c r="E7" s="28" t="s">
        <v>8</v>
      </c>
      <c r="F7" s="28" t="s">
        <v>9</v>
      </c>
      <c r="G7" s="28" t="s">
        <v>10</v>
      </c>
      <c r="H7" s="28" t="s">
        <v>21</v>
      </c>
      <c r="I7" s="28"/>
      <c r="J7" s="28" t="s">
        <v>8</v>
      </c>
      <c r="K7" s="28" t="s">
        <v>9</v>
      </c>
      <c r="L7" s="28" t="s">
        <v>10</v>
      </c>
      <c r="M7" s="28" t="s">
        <v>21</v>
      </c>
      <c r="N7" s="28"/>
      <c r="O7" s="28" t="s">
        <v>8</v>
      </c>
      <c r="P7" s="28" t="s">
        <v>9</v>
      </c>
      <c r="Q7" s="28" t="s">
        <v>10</v>
      </c>
      <c r="R7" s="28" t="s">
        <v>21</v>
      </c>
      <c r="S7" s="28"/>
      <c r="T7" s="28" t="s">
        <v>8</v>
      </c>
      <c r="U7" s="28" t="s">
        <v>9</v>
      </c>
      <c r="V7" s="28" t="s">
        <v>10</v>
      </c>
      <c r="W7" s="28" t="s">
        <v>21</v>
      </c>
      <c r="X7" s="104"/>
      <c r="Y7" s="105"/>
      <c r="Z7" s="91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</row>
    <row r="8" spans="1:118" s="40" customFormat="1" ht="15" customHeight="1" x14ac:dyDescent="0.45">
      <c r="A8" s="45" t="s">
        <v>22</v>
      </c>
      <c r="B8" s="45"/>
      <c r="C8" s="46"/>
      <c r="D8" s="47"/>
      <c r="E8" s="47">
        <v>7230.2394454900004</v>
      </c>
      <c r="F8" s="47">
        <v>7907.9853899199989</v>
      </c>
      <c r="G8" s="47">
        <v>8149.3038606099999</v>
      </c>
      <c r="H8" s="47">
        <v>8624.2946765300021</v>
      </c>
      <c r="I8" s="47"/>
      <c r="J8" s="47">
        <v>9011.936757856698</v>
      </c>
      <c r="K8" s="47">
        <v>9327.4045288761026</v>
      </c>
      <c r="L8" s="47">
        <v>9691.0423745706285</v>
      </c>
      <c r="M8" s="47">
        <v>10209.818550830429</v>
      </c>
      <c r="N8" s="47"/>
      <c r="O8" s="47">
        <v>10596.667089123894</v>
      </c>
      <c r="P8" s="47">
        <v>11002.649416730024</v>
      </c>
      <c r="Q8" s="47">
        <v>11383.489416081911</v>
      </c>
      <c r="R8" s="47">
        <v>11835.945899611679</v>
      </c>
      <c r="S8" s="47"/>
      <c r="T8" s="47">
        <v>12496.074386587508</v>
      </c>
      <c r="U8" s="47">
        <v>12756.700297990175</v>
      </c>
      <c r="V8" s="47">
        <v>13060.943674206343</v>
      </c>
      <c r="W8" s="47">
        <v>13747.040631914471</v>
      </c>
      <c r="X8" s="29"/>
      <c r="Y8" s="30" t="s">
        <v>23</v>
      </c>
      <c r="Z8" s="46"/>
      <c r="AA8" s="46"/>
    </row>
    <row r="9" spans="1:118" s="40" customFormat="1" ht="15" customHeight="1" x14ac:dyDescent="0.45">
      <c r="A9" s="45" t="s">
        <v>24</v>
      </c>
      <c r="B9" s="45"/>
      <c r="C9" s="46"/>
      <c r="D9" s="47"/>
      <c r="E9" s="47">
        <v>261.28974280528138</v>
      </c>
      <c r="F9" s="47">
        <v>277.69221177528135</v>
      </c>
      <c r="G9" s="47">
        <v>258.02357142518571</v>
      </c>
      <c r="H9" s="47">
        <v>237.36472596999999</v>
      </c>
      <c r="I9" s="47"/>
      <c r="J9" s="47">
        <v>251.32058699000001</v>
      </c>
      <c r="K9" s="47">
        <v>295.42469706000003</v>
      </c>
      <c r="L9" s="47">
        <v>259.51798070000001</v>
      </c>
      <c r="M9" s="47">
        <v>280.42006098999997</v>
      </c>
      <c r="N9" s="47"/>
      <c r="O9" s="47">
        <v>268.58747038999996</v>
      </c>
      <c r="P9" s="47">
        <v>246.65542139999997</v>
      </c>
      <c r="Q9" s="47">
        <v>283.17182679000001</v>
      </c>
      <c r="R9" s="47">
        <v>241.72464714</v>
      </c>
      <c r="S9" s="47"/>
      <c r="T9" s="47">
        <v>314.99499402000004</v>
      </c>
      <c r="U9" s="47">
        <v>230.4582740621818</v>
      </c>
      <c r="V9" s="47">
        <v>258.17975243554542</v>
      </c>
      <c r="W9" s="47">
        <v>282.31398371</v>
      </c>
      <c r="X9" s="31"/>
      <c r="Y9" s="48" t="s">
        <v>35</v>
      </c>
      <c r="Z9" s="46"/>
      <c r="AA9" s="46"/>
    </row>
    <row r="10" spans="1:118" s="40" customFormat="1" ht="15" customHeight="1" x14ac:dyDescent="0.45">
      <c r="A10" s="45" t="s">
        <v>54</v>
      </c>
      <c r="B10" s="45"/>
      <c r="C10" s="46"/>
      <c r="D10" s="47"/>
      <c r="E10" s="47">
        <v>2.6959759700000001</v>
      </c>
      <c r="F10" s="47">
        <v>1.746</v>
      </c>
      <c r="G10" s="47">
        <v>0.23949999999999999</v>
      </c>
      <c r="H10" s="47">
        <v>1.1715420299999999</v>
      </c>
      <c r="I10" s="47"/>
      <c r="J10" s="47">
        <v>1.4634926699999999</v>
      </c>
      <c r="K10" s="47">
        <v>0.44533332999999992</v>
      </c>
      <c r="L10" s="47">
        <v>0.81982217000000002</v>
      </c>
      <c r="M10" s="47">
        <v>1.06552654</v>
      </c>
      <c r="N10" s="47"/>
      <c r="O10" s="47">
        <v>0.65159851000000013</v>
      </c>
      <c r="P10" s="47">
        <v>0.82585705999999992</v>
      </c>
      <c r="Q10" s="47">
        <v>1.5192960499999999</v>
      </c>
      <c r="R10" s="47">
        <v>0.91683238999999994</v>
      </c>
      <c r="S10" s="47"/>
      <c r="T10" s="47">
        <v>0.73382744</v>
      </c>
      <c r="U10" s="47">
        <v>1.2538894</v>
      </c>
      <c r="V10" s="47">
        <v>1.57656806</v>
      </c>
      <c r="W10" s="47">
        <v>1.2864072099999999</v>
      </c>
      <c r="X10" s="49"/>
      <c r="Y10" s="32" t="s">
        <v>36</v>
      </c>
      <c r="Z10" s="46"/>
      <c r="AA10" s="46"/>
    </row>
    <row r="11" spans="1:118" s="40" customFormat="1" ht="15" customHeight="1" x14ac:dyDescent="0.45">
      <c r="A11" s="45" t="s">
        <v>37</v>
      </c>
      <c r="B11" s="45"/>
      <c r="C11" s="46"/>
      <c r="D11" s="47"/>
      <c r="E11" s="47">
        <v>8</v>
      </c>
      <c r="F11" s="47">
        <v>8</v>
      </c>
      <c r="G11" s="47">
        <v>8</v>
      </c>
      <c r="H11" s="47">
        <v>8</v>
      </c>
      <c r="I11" s="47"/>
      <c r="J11" s="47">
        <v>8</v>
      </c>
      <c r="K11" s="47">
        <v>8</v>
      </c>
      <c r="L11" s="47">
        <v>8</v>
      </c>
      <c r="M11" s="47">
        <v>8</v>
      </c>
      <c r="N11" s="47"/>
      <c r="O11" s="47">
        <v>8</v>
      </c>
      <c r="P11" s="47">
        <v>8</v>
      </c>
      <c r="Q11" s="47">
        <v>10</v>
      </c>
      <c r="R11" s="47">
        <v>12</v>
      </c>
      <c r="S11" s="47"/>
      <c r="T11" s="47">
        <v>12</v>
      </c>
      <c r="U11" s="47">
        <v>12</v>
      </c>
      <c r="V11" s="47">
        <v>12</v>
      </c>
      <c r="W11" s="47">
        <v>12</v>
      </c>
      <c r="X11" s="33"/>
      <c r="Y11" s="48" t="s">
        <v>38</v>
      </c>
      <c r="Z11" s="46"/>
      <c r="AA11" s="46"/>
    </row>
    <row r="12" spans="1:118" s="40" customFormat="1" ht="15" customHeight="1" x14ac:dyDescent="0.45">
      <c r="A12" s="45" t="s">
        <v>66</v>
      </c>
      <c r="B12" s="45"/>
      <c r="C12" s="46"/>
      <c r="D12" s="47"/>
      <c r="E12" s="47">
        <v>536.5705821900001</v>
      </c>
      <c r="F12" s="47">
        <v>505.84197619999998</v>
      </c>
      <c r="G12" s="47">
        <v>429.72165911999997</v>
      </c>
      <c r="H12" s="47">
        <v>456.78126192999997</v>
      </c>
      <c r="I12" s="47"/>
      <c r="J12" s="47">
        <v>565.81509243000005</v>
      </c>
      <c r="K12" s="47">
        <v>504.80361577999997</v>
      </c>
      <c r="L12" s="47">
        <v>558.22782654000002</v>
      </c>
      <c r="M12" s="47">
        <v>574.58317197042766</v>
      </c>
      <c r="N12" s="47"/>
      <c r="O12" s="47">
        <v>579.42749258000003</v>
      </c>
      <c r="P12" s="47">
        <v>589.62748076237744</v>
      </c>
      <c r="Q12" s="47">
        <v>499.9477892712581</v>
      </c>
      <c r="R12" s="47">
        <v>469.08628359218329</v>
      </c>
      <c r="S12" s="47"/>
      <c r="T12" s="47">
        <v>644.65683598999999</v>
      </c>
      <c r="U12" s="47">
        <v>590.28880527000001</v>
      </c>
      <c r="V12" s="47">
        <v>500.68233123344663</v>
      </c>
      <c r="W12" s="47">
        <v>567.26934841615264</v>
      </c>
      <c r="X12" s="34"/>
      <c r="Y12" s="48" t="s">
        <v>59</v>
      </c>
      <c r="Z12" s="46"/>
      <c r="AA12" s="46"/>
    </row>
    <row r="13" spans="1:118" s="40" customFormat="1" ht="15" customHeight="1" x14ac:dyDescent="0.45">
      <c r="A13" s="45" t="s">
        <v>29</v>
      </c>
      <c r="B13" s="45"/>
      <c r="C13" s="46"/>
      <c r="D13" s="47"/>
      <c r="E13" s="47">
        <v>2546.1072851999998</v>
      </c>
      <c r="F13" s="47">
        <v>2718.8569784499996</v>
      </c>
      <c r="G13" s="47">
        <v>2965.5288114599998</v>
      </c>
      <c r="H13" s="47">
        <v>3309.14041632</v>
      </c>
      <c r="I13" s="47"/>
      <c r="J13" s="47">
        <v>3529.85040656</v>
      </c>
      <c r="K13" s="47">
        <v>3848.0569649200002</v>
      </c>
      <c r="L13" s="47">
        <v>4129.9428613699993</v>
      </c>
      <c r="M13" s="47">
        <v>4444.274779979999</v>
      </c>
      <c r="N13" s="47"/>
      <c r="O13" s="47">
        <v>4708.4742022700002</v>
      </c>
      <c r="P13" s="47">
        <v>5004.3982245200004</v>
      </c>
      <c r="Q13" s="47">
        <v>5339.57175628</v>
      </c>
      <c r="R13" s="47">
        <v>5689.2428683800008</v>
      </c>
      <c r="S13" s="47"/>
      <c r="T13" s="47">
        <v>5961.1031254499994</v>
      </c>
      <c r="U13" s="47">
        <v>5939.0539364699998</v>
      </c>
      <c r="V13" s="47">
        <v>6321.1551022900003</v>
      </c>
      <c r="W13" s="47">
        <v>6784.0583119600005</v>
      </c>
      <c r="X13" s="34"/>
      <c r="Y13" s="35" t="s">
        <v>39</v>
      </c>
      <c r="Z13" s="46"/>
      <c r="AA13" s="46"/>
    </row>
    <row r="14" spans="1:118" s="41" customFormat="1" ht="15" customHeight="1" x14ac:dyDescent="0.45">
      <c r="A14" s="50" t="s">
        <v>55</v>
      </c>
      <c r="B14" s="50" t="s">
        <v>64</v>
      </c>
      <c r="C14" s="1"/>
      <c r="D14" s="51"/>
      <c r="E14" s="51">
        <v>0</v>
      </c>
      <c r="F14" s="51">
        <v>0</v>
      </c>
      <c r="G14" s="51">
        <v>0</v>
      </c>
      <c r="H14" s="51">
        <v>0</v>
      </c>
      <c r="I14" s="51"/>
      <c r="J14" s="51">
        <v>0</v>
      </c>
      <c r="K14" s="51">
        <v>0</v>
      </c>
      <c r="L14" s="51">
        <v>0</v>
      </c>
      <c r="M14" s="51">
        <v>0</v>
      </c>
      <c r="N14" s="51"/>
      <c r="O14" s="51">
        <v>0</v>
      </c>
      <c r="P14" s="51">
        <v>0</v>
      </c>
      <c r="Q14" s="51">
        <v>0</v>
      </c>
      <c r="R14" s="51">
        <v>0</v>
      </c>
      <c r="S14" s="51"/>
      <c r="T14" s="51">
        <v>0</v>
      </c>
      <c r="U14" s="51">
        <v>0</v>
      </c>
      <c r="V14" s="51">
        <v>0</v>
      </c>
      <c r="W14" s="51">
        <v>0</v>
      </c>
      <c r="X14" s="52" t="s">
        <v>11</v>
      </c>
      <c r="Y14" s="36"/>
      <c r="Z14" s="1"/>
      <c r="AA14" s="1"/>
    </row>
    <row r="15" spans="1:118" s="41" customFormat="1" ht="15" customHeight="1" x14ac:dyDescent="0.45">
      <c r="A15" s="50" t="s">
        <v>55</v>
      </c>
      <c r="B15" s="50" t="s">
        <v>67</v>
      </c>
      <c r="C15" s="1"/>
      <c r="D15" s="51"/>
      <c r="E15" s="51">
        <v>2498.7502851999998</v>
      </c>
      <c r="F15" s="51">
        <v>2671.3089784499998</v>
      </c>
      <c r="G15" s="51">
        <v>2913.1158114599998</v>
      </c>
      <c r="H15" s="51">
        <v>3264.19641632</v>
      </c>
      <c r="I15" s="51"/>
      <c r="J15" s="51">
        <v>3480.0360740599999</v>
      </c>
      <c r="K15" s="51">
        <v>3797.6429649199999</v>
      </c>
      <c r="L15" s="51">
        <v>4085.0358613699996</v>
      </c>
      <c r="M15" s="51">
        <v>4398.8467799799992</v>
      </c>
      <c r="N15" s="51"/>
      <c r="O15" s="51">
        <v>4668.6482022700002</v>
      </c>
      <c r="P15" s="51">
        <v>4959.1582245200007</v>
      </c>
      <c r="Q15" s="51">
        <v>5295.0257562799998</v>
      </c>
      <c r="R15" s="51">
        <v>5639.3708683800005</v>
      </c>
      <c r="S15" s="51"/>
      <c r="T15" s="51">
        <v>5922.0291254499998</v>
      </c>
      <c r="U15" s="51">
        <v>5899.7659364700003</v>
      </c>
      <c r="V15" s="51">
        <v>6287.7631022900005</v>
      </c>
      <c r="W15" s="51">
        <v>6655.0039442100006</v>
      </c>
      <c r="X15" s="53" t="s">
        <v>78</v>
      </c>
      <c r="Y15" s="36"/>
      <c r="Z15" s="1"/>
      <c r="AA15" s="1"/>
    </row>
    <row r="16" spans="1:118" s="41" customFormat="1" ht="15" customHeight="1" x14ac:dyDescent="0.45">
      <c r="A16" s="50" t="s">
        <v>55</v>
      </c>
      <c r="B16" s="50" t="s">
        <v>77</v>
      </c>
      <c r="C16" s="1"/>
      <c r="D16" s="51"/>
      <c r="E16" s="51">
        <v>47.356999999999999</v>
      </c>
      <c r="F16" s="51">
        <v>47.548000000000002</v>
      </c>
      <c r="G16" s="51">
        <v>52.412999999999997</v>
      </c>
      <c r="H16" s="51">
        <v>44.944000000000003</v>
      </c>
      <c r="I16" s="51"/>
      <c r="J16" s="51">
        <v>49.814332499999999</v>
      </c>
      <c r="K16" s="51">
        <v>50.414000000000001</v>
      </c>
      <c r="L16" s="51">
        <v>44.906999999999996</v>
      </c>
      <c r="M16" s="51">
        <v>45.427999999999997</v>
      </c>
      <c r="N16" s="51"/>
      <c r="O16" s="51">
        <v>39.826000000000001</v>
      </c>
      <c r="P16" s="51">
        <v>45.24</v>
      </c>
      <c r="Q16" s="51">
        <v>44.545999999999999</v>
      </c>
      <c r="R16" s="51">
        <v>49.872</v>
      </c>
      <c r="S16" s="51"/>
      <c r="T16" s="51">
        <v>39.073999999999998</v>
      </c>
      <c r="U16" s="51">
        <v>39.287999999999997</v>
      </c>
      <c r="V16" s="51">
        <v>33.391999999999996</v>
      </c>
      <c r="W16" s="51">
        <v>129.05436774999998</v>
      </c>
      <c r="X16" s="52" t="s">
        <v>79</v>
      </c>
      <c r="Y16" s="34"/>
      <c r="Z16" s="1"/>
      <c r="AA16" s="1"/>
    </row>
    <row r="17" spans="1:27" s="40" customFormat="1" ht="15" customHeight="1" x14ac:dyDescent="0.45">
      <c r="A17" s="45" t="s">
        <v>40</v>
      </c>
      <c r="B17" s="45"/>
      <c r="C17" s="46"/>
      <c r="D17" s="54"/>
      <c r="E17" s="54">
        <v>3623.3265568637189</v>
      </c>
      <c r="F17" s="54">
        <v>4024.0184573737197</v>
      </c>
      <c r="G17" s="54">
        <v>4084.2319068837196</v>
      </c>
      <c r="H17" s="54">
        <v>4208.7509525000005</v>
      </c>
      <c r="I17" s="55"/>
      <c r="J17" s="47">
        <v>4266.0653525666985</v>
      </c>
      <c r="K17" s="47">
        <v>4312.0217383360232</v>
      </c>
      <c r="L17" s="47">
        <v>4325.5957836006291</v>
      </c>
      <c r="M17" s="47">
        <v>4522.0295592430957</v>
      </c>
      <c r="N17" s="47"/>
      <c r="O17" s="47">
        <v>4633.8374699555598</v>
      </c>
      <c r="P17" s="47">
        <v>4755.7449438533331</v>
      </c>
      <c r="Q17" s="47">
        <v>4839.7400283383331</v>
      </c>
      <c r="R17" s="47">
        <v>5005.6015009894945</v>
      </c>
      <c r="S17" s="47"/>
      <c r="T17" s="47">
        <v>5086.6396802633499</v>
      </c>
      <c r="U17" s="47">
        <v>5154.3908569106061</v>
      </c>
      <c r="V17" s="47">
        <v>5151.3787984198989</v>
      </c>
      <c r="W17" s="47">
        <v>5290.9623301400006</v>
      </c>
      <c r="X17" s="52"/>
      <c r="Y17" s="37" t="s">
        <v>41</v>
      </c>
      <c r="Z17" s="46"/>
      <c r="AA17" s="46"/>
    </row>
    <row r="18" spans="1:27" s="41" customFormat="1" ht="15" customHeight="1" x14ac:dyDescent="0.45">
      <c r="A18" s="50" t="s">
        <v>55</v>
      </c>
      <c r="B18" s="50" t="s">
        <v>67</v>
      </c>
      <c r="C18" s="1"/>
      <c r="D18" s="56"/>
      <c r="E18" s="56">
        <v>2455.1213365599997</v>
      </c>
      <c r="F18" s="56">
        <v>2861.46723591</v>
      </c>
      <c r="G18" s="56">
        <v>2876.7477540300001</v>
      </c>
      <c r="H18" s="56">
        <v>2931.38366946</v>
      </c>
      <c r="I18" s="57"/>
      <c r="J18" s="51">
        <v>2923.7536757366979</v>
      </c>
      <c r="K18" s="51">
        <v>2955.7599428200001</v>
      </c>
      <c r="L18" s="51">
        <v>2988.33267484</v>
      </c>
      <c r="M18" s="51">
        <v>3034.04929477</v>
      </c>
      <c r="N18" s="51"/>
      <c r="O18" s="51">
        <v>3065.8325306155598</v>
      </c>
      <c r="P18" s="51">
        <v>3101.94598094</v>
      </c>
      <c r="Q18" s="51">
        <v>3138.6648078999997</v>
      </c>
      <c r="R18" s="51">
        <v>3181.4680591299998</v>
      </c>
      <c r="S18" s="51"/>
      <c r="T18" s="51">
        <v>3197.7875355433503</v>
      </c>
      <c r="U18" s="51">
        <v>3259.5407532999998</v>
      </c>
      <c r="V18" s="51">
        <v>3287.0871662999998</v>
      </c>
      <c r="W18" s="51">
        <v>3322.6600812500001</v>
      </c>
      <c r="X18" s="53" t="s">
        <v>42</v>
      </c>
      <c r="Y18" s="36"/>
      <c r="Z18" s="1"/>
      <c r="AA18" s="1"/>
    </row>
    <row r="19" spans="1:27" s="41" customFormat="1" ht="15" customHeight="1" x14ac:dyDescent="0.45">
      <c r="A19" s="50" t="s">
        <v>55</v>
      </c>
      <c r="B19" s="50" t="s">
        <v>65</v>
      </c>
      <c r="C19" s="1"/>
      <c r="D19" s="56"/>
      <c r="E19" s="56">
        <v>2.8713242527216867</v>
      </c>
      <c r="F19" s="56">
        <v>8.4375645927216869</v>
      </c>
      <c r="G19" s="56">
        <v>2.1832054427216869</v>
      </c>
      <c r="H19" s="56">
        <v>8.3074169999999975E-2</v>
      </c>
      <c r="I19" s="57"/>
      <c r="J19" s="51">
        <v>0.37908528000000002</v>
      </c>
      <c r="K19" s="51">
        <v>9.5049789999999981E-2</v>
      </c>
      <c r="L19" s="51">
        <v>0.65003317999999999</v>
      </c>
      <c r="M19" s="51">
        <v>0.17503500999999996</v>
      </c>
      <c r="N19" s="51"/>
      <c r="O19" s="51">
        <v>0.60796587000000002</v>
      </c>
      <c r="P19" s="51">
        <v>3.4405299999999993E-2</v>
      </c>
      <c r="Q19" s="51">
        <v>0.16662776000000001</v>
      </c>
      <c r="R19" s="51">
        <v>6.7008680000000029E-2</v>
      </c>
      <c r="S19" s="51"/>
      <c r="T19" s="51">
        <v>0.32469586</v>
      </c>
      <c r="U19" s="51">
        <v>4.902407000000001E-2</v>
      </c>
      <c r="V19" s="51">
        <v>6.5669339999999993E-2</v>
      </c>
      <c r="W19" s="51">
        <v>0.25143143999999995</v>
      </c>
      <c r="X19" s="52" t="s">
        <v>61</v>
      </c>
      <c r="Y19" s="36"/>
      <c r="Z19" s="1"/>
      <c r="AA19" s="1"/>
    </row>
    <row r="20" spans="1:27" s="41" customFormat="1" ht="15" customHeight="1" x14ac:dyDescent="0.45">
      <c r="A20" s="50" t="s">
        <v>55</v>
      </c>
      <c r="B20" s="50" t="s">
        <v>68</v>
      </c>
      <c r="C20" s="1"/>
      <c r="D20" s="56"/>
      <c r="E20" s="56">
        <v>63.580412460000005</v>
      </c>
      <c r="F20" s="56">
        <v>38.980039210000001</v>
      </c>
      <c r="G20" s="56">
        <v>74.260132560000017</v>
      </c>
      <c r="H20" s="56">
        <v>86.738961109999991</v>
      </c>
      <c r="I20" s="57"/>
      <c r="J20" s="51">
        <v>101.98298236999999</v>
      </c>
      <c r="K20" s="51">
        <v>99.081003529999975</v>
      </c>
      <c r="L20" s="51">
        <v>62.341006950000001</v>
      </c>
      <c r="M20" s="51">
        <v>63.482565980000004</v>
      </c>
      <c r="N20" s="51"/>
      <c r="O20" s="51">
        <v>64.914754049999985</v>
      </c>
      <c r="P20" s="51">
        <v>69.63159100999998</v>
      </c>
      <c r="Q20" s="51">
        <v>58.687853149999995</v>
      </c>
      <c r="R20" s="51">
        <v>64.438344239999992</v>
      </c>
      <c r="S20" s="51"/>
      <c r="T20" s="51">
        <v>63.956335159999988</v>
      </c>
      <c r="U20" s="51">
        <v>67.766428519999977</v>
      </c>
      <c r="V20" s="51">
        <v>81.16514739999991</v>
      </c>
      <c r="W20" s="51">
        <v>74.876462839999959</v>
      </c>
      <c r="X20" s="58" t="s">
        <v>28</v>
      </c>
      <c r="Y20" s="36"/>
      <c r="Z20" s="1"/>
      <c r="AA20" s="1"/>
    </row>
    <row r="21" spans="1:27" s="41" customFormat="1" ht="15" customHeight="1" x14ac:dyDescent="0.45">
      <c r="A21" s="50" t="s">
        <v>55</v>
      </c>
      <c r="B21" s="50" t="s">
        <v>51</v>
      </c>
      <c r="C21" s="1"/>
      <c r="D21" s="56"/>
      <c r="E21" s="56">
        <v>1101.753483590998</v>
      </c>
      <c r="F21" s="56">
        <v>1115.1336176609982</v>
      </c>
      <c r="G21" s="56">
        <v>1131.0408148509978</v>
      </c>
      <c r="H21" s="56">
        <v>1190.5452477600004</v>
      </c>
      <c r="I21" s="57"/>
      <c r="J21" s="51">
        <v>1239.9496091800004</v>
      </c>
      <c r="K21" s="51">
        <v>1257.0857421960229</v>
      </c>
      <c r="L21" s="51">
        <v>1274.2720686306293</v>
      </c>
      <c r="M21" s="51">
        <v>1424.3226634830953</v>
      </c>
      <c r="N21" s="51"/>
      <c r="O21" s="51">
        <v>1502.4822194199999</v>
      </c>
      <c r="P21" s="51">
        <v>1584.132966603333</v>
      </c>
      <c r="Q21" s="51">
        <v>1642.2207395283333</v>
      </c>
      <c r="R21" s="51">
        <v>1759.6280889394952</v>
      </c>
      <c r="S21" s="51"/>
      <c r="T21" s="51">
        <v>1824.5711136999998</v>
      </c>
      <c r="U21" s="51">
        <v>1827.0346510206061</v>
      </c>
      <c r="V21" s="51">
        <v>1783.0608153798989</v>
      </c>
      <c r="W21" s="51">
        <v>1893.1743546100004</v>
      </c>
      <c r="X21" s="59" t="s">
        <v>43</v>
      </c>
      <c r="Y21" s="38"/>
      <c r="Z21" s="1"/>
      <c r="AA21" s="1"/>
    </row>
    <row r="22" spans="1:27" s="40" customFormat="1" ht="15" customHeight="1" x14ac:dyDescent="0.45">
      <c r="A22" s="45" t="s">
        <v>63</v>
      </c>
      <c r="B22" s="45"/>
      <c r="C22" s="46"/>
      <c r="D22" s="54"/>
      <c r="E22" s="54">
        <v>119.8466</v>
      </c>
      <c r="F22" s="54">
        <v>246.23099999999999</v>
      </c>
      <c r="G22" s="54">
        <v>246.22300000000001</v>
      </c>
      <c r="H22" s="54">
        <v>246.21100000000001</v>
      </c>
      <c r="I22" s="55"/>
      <c r="J22" s="47">
        <v>244.976</v>
      </c>
      <c r="K22" s="47">
        <v>238.97640000000001</v>
      </c>
      <c r="L22" s="47">
        <v>239.98</v>
      </c>
      <c r="M22" s="47">
        <v>240.48399999999998</v>
      </c>
      <c r="N22" s="47"/>
      <c r="O22" s="47">
        <v>240.61499999999998</v>
      </c>
      <c r="P22" s="47">
        <v>245.85499999999999</v>
      </c>
      <c r="Q22" s="47">
        <v>245.86500000000001</v>
      </c>
      <c r="R22" s="47">
        <v>245.357</v>
      </c>
      <c r="S22" s="47"/>
      <c r="T22" s="47">
        <v>245.48599999999999</v>
      </c>
      <c r="U22" s="47">
        <v>298.07</v>
      </c>
      <c r="V22" s="47">
        <v>550.81400000000008</v>
      </c>
      <c r="W22" s="47">
        <v>558.83500000000004</v>
      </c>
      <c r="X22" s="53"/>
      <c r="Y22" s="38" t="s">
        <v>15</v>
      </c>
      <c r="Z22" s="46"/>
      <c r="AA22" s="46"/>
    </row>
    <row r="23" spans="1:27" s="40" customFormat="1" ht="15" customHeight="1" x14ac:dyDescent="0.45">
      <c r="A23" s="45" t="s">
        <v>25</v>
      </c>
      <c r="B23" s="45"/>
      <c r="C23" s="46"/>
      <c r="D23" s="54"/>
      <c r="E23" s="54">
        <v>69.758826061000036</v>
      </c>
      <c r="F23" s="54">
        <v>63.323481250998157</v>
      </c>
      <c r="G23" s="54">
        <v>89.521351041094931</v>
      </c>
      <c r="H23" s="54">
        <v>85.26244632000089</v>
      </c>
      <c r="I23" s="55"/>
      <c r="J23" s="47">
        <v>72.561169509999672</v>
      </c>
      <c r="K23" s="47">
        <v>61.186474420079321</v>
      </c>
      <c r="L23" s="47">
        <v>95.393395660001261</v>
      </c>
      <c r="M23" s="47">
        <v>70.133461056906526</v>
      </c>
      <c r="N23" s="47"/>
      <c r="O23" s="47">
        <v>78.560822248335171</v>
      </c>
      <c r="P23" s="47">
        <v>81.3251194843142</v>
      </c>
      <c r="Q23" s="47">
        <v>79.7073837723201</v>
      </c>
      <c r="R23" s="47">
        <v>92.568501940000715</v>
      </c>
      <c r="S23" s="47"/>
      <c r="T23" s="47">
        <v>151.65781965415772</v>
      </c>
      <c r="U23" s="47">
        <v>450.27392010738731</v>
      </c>
      <c r="V23" s="47">
        <v>146.85950757745013</v>
      </c>
      <c r="W23" s="47">
        <v>130.49369829831812</v>
      </c>
      <c r="X23" s="52"/>
      <c r="Y23" s="39" t="s">
        <v>44</v>
      </c>
      <c r="Z23" s="46"/>
      <c r="AA23" s="46"/>
    </row>
    <row r="24" spans="1:27" s="40" customFormat="1" ht="15" customHeight="1" x14ac:dyDescent="0.45">
      <c r="A24" s="45" t="s">
        <v>26</v>
      </c>
      <c r="B24" s="45"/>
      <c r="C24" s="46"/>
      <c r="D24" s="54"/>
      <c r="E24" s="54">
        <v>62.643876399999996</v>
      </c>
      <c r="F24" s="54">
        <v>62.275284870000007</v>
      </c>
      <c r="G24" s="54">
        <v>67.814060680000011</v>
      </c>
      <c r="H24" s="54">
        <v>71.612331460000007</v>
      </c>
      <c r="I24" s="55"/>
      <c r="J24" s="47">
        <v>71.884657129999994</v>
      </c>
      <c r="K24" s="47">
        <v>58.489305030000004</v>
      </c>
      <c r="L24" s="47">
        <v>73.56470453</v>
      </c>
      <c r="M24" s="47">
        <v>68.827991049999994</v>
      </c>
      <c r="N24" s="47"/>
      <c r="O24" s="47">
        <v>78.51303317</v>
      </c>
      <c r="P24" s="47">
        <v>70.217369649999995</v>
      </c>
      <c r="Q24" s="47">
        <v>83.966335579999992</v>
      </c>
      <c r="R24" s="47">
        <v>79.448265180000007</v>
      </c>
      <c r="S24" s="47"/>
      <c r="T24" s="47">
        <v>78.802103770000002</v>
      </c>
      <c r="U24" s="47">
        <v>80.910615770000007</v>
      </c>
      <c r="V24" s="47">
        <v>118.29761418999999</v>
      </c>
      <c r="W24" s="47">
        <v>119.82155218</v>
      </c>
      <c r="X24" s="60"/>
      <c r="Y24" s="37" t="s">
        <v>45</v>
      </c>
      <c r="Z24" s="46"/>
      <c r="AA24" s="46"/>
    </row>
    <row r="25" spans="1:27" s="41" customFormat="1" ht="15" customHeight="1" x14ac:dyDescent="0.45">
      <c r="A25" s="50" t="s">
        <v>55</v>
      </c>
      <c r="B25" s="50" t="s">
        <v>69</v>
      </c>
      <c r="C25" s="1"/>
      <c r="D25" s="56"/>
      <c r="E25" s="56">
        <v>42.53944963</v>
      </c>
      <c r="F25" s="56">
        <v>43.543858100000008</v>
      </c>
      <c r="G25" s="56">
        <v>48.31863391000001</v>
      </c>
      <c r="H25" s="56">
        <v>48.420594030000004</v>
      </c>
      <c r="I25" s="57"/>
      <c r="J25" s="51">
        <v>46.677558129999994</v>
      </c>
      <c r="K25" s="51">
        <v>39.906420260000004</v>
      </c>
      <c r="L25" s="51">
        <v>39.611627949999999</v>
      </c>
      <c r="M25" s="51">
        <v>45.826880559999999</v>
      </c>
      <c r="N25" s="51"/>
      <c r="O25" s="51">
        <v>58.941789919999998</v>
      </c>
      <c r="P25" s="51">
        <v>50.109606759999991</v>
      </c>
      <c r="Q25" s="51">
        <v>63.201903739999999</v>
      </c>
      <c r="R25" s="51">
        <v>57.780591650000005</v>
      </c>
      <c r="S25" s="51"/>
      <c r="T25" s="51">
        <v>55.587195299999998</v>
      </c>
      <c r="U25" s="51">
        <v>55.619668720000007</v>
      </c>
      <c r="V25" s="51">
        <v>92.346647569999988</v>
      </c>
      <c r="W25" s="51">
        <v>93.493731229999995</v>
      </c>
      <c r="X25" s="53" t="s">
        <v>57</v>
      </c>
      <c r="Y25" s="36"/>
      <c r="Z25" s="1"/>
      <c r="AA25" s="1"/>
    </row>
    <row r="26" spans="1:27" s="41" customFormat="1" ht="15" customHeight="1" x14ac:dyDescent="0.45">
      <c r="A26" s="50" t="s">
        <v>55</v>
      </c>
      <c r="B26" s="50" t="s">
        <v>70</v>
      </c>
      <c r="C26" s="1"/>
      <c r="D26" s="56"/>
      <c r="E26" s="56">
        <v>20.10442677</v>
      </c>
      <c r="F26" s="56">
        <v>18.731426769999999</v>
      </c>
      <c r="G26" s="56">
        <v>19.495426770000002</v>
      </c>
      <c r="H26" s="56">
        <v>23.19173743</v>
      </c>
      <c r="I26" s="57"/>
      <c r="J26" s="51">
        <v>25.207098999999999</v>
      </c>
      <c r="K26" s="51">
        <v>18.58288477</v>
      </c>
      <c r="L26" s="51">
        <v>33.953076580000001</v>
      </c>
      <c r="M26" s="51">
        <v>23.001110489999999</v>
      </c>
      <c r="N26" s="51"/>
      <c r="O26" s="51">
        <v>19.571243249999998</v>
      </c>
      <c r="P26" s="51">
        <v>20.107762889999997</v>
      </c>
      <c r="Q26" s="51">
        <v>20.764431839999997</v>
      </c>
      <c r="R26" s="51">
        <v>21.667673529999998</v>
      </c>
      <c r="S26" s="51"/>
      <c r="T26" s="51">
        <v>23.214908469999997</v>
      </c>
      <c r="U26" s="51">
        <v>25.290947050000003</v>
      </c>
      <c r="V26" s="51">
        <v>25.950966619999996</v>
      </c>
      <c r="W26" s="51">
        <v>26.32782095</v>
      </c>
      <c r="X26" s="53" t="s">
        <v>58</v>
      </c>
      <c r="Y26" s="36"/>
      <c r="Z26" s="1"/>
      <c r="AA26" s="1"/>
    </row>
    <row r="27" spans="1:27" s="41" customFormat="1" ht="15" customHeight="1" x14ac:dyDescent="0.45">
      <c r="A27" s="50" t="s">
        <v>55</v>
      </c>
      <c r="B27" s="50"/>
      <c r="C27" s="1"/>
      <c r="D27" s="56"/>
      <c r="E27" s="56"/>
      <c r="F27" s="56"/>
      <c r="G27" s="56"/>
      <c r="H27" s="56"/>
      <c r="I27" s="57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3"/>
      <c r="Y27" s="36"/>
      <c r="Z27" s="1"/>
      <c r="AA27" s="1"/>
    </row>
    <row r="28" spans="1:27" s="40" customFormat="1" ht="15" customHeight="1" x14ac:dyDescent="0.45">
      <c r="A28" s="45" t="s">
        <v>56</v>
      </c>
      <c r="B28" s="45"/>
      <c r="C28" s="46"/>
      <c r="D28" s="54"/>
      <c r="E28" s="54">
        <v>7230.2394454900004</v>
      </c>
      <c r="F28" s="54">
        <v>7907.9853899199989</v>
      </c>
      <c r="G28" s="54">
        <v>8149.3038606099999</v>
      </c>
      <c r="H28" s="54">
        <v>8624.2946765300021</v>
      </c>
      <c r="I28" s="55"/>
      <c r="J28" s="47">
        <v>9011.936757856698</v>
      </c>
      <c r="K28" s="47">
        <v>9327.4045288761026</v>
      </c>
      <c r="L28" s="47">
        <v>9691.0423745706285</v>
      </c>
      <c r="M28" s="47">
        <v>10209.818550830429</v>
      </c>
      <c r="N28" s="47"/>
      <c r="O28" s="47">
        <v>10596.667089123894</v>
      </c>
      <c r="P28" s="47">
        <v>11002.649416730024</v>
      </c>
      <c r="Q28" s="47">
        <v>11383.489416081911</v>
      </c>
      <c r="R28" s="47">
        <v>11835.945899611679</v>
      </c>
      <c r="S28" s="47"/>
      <c r="T28" s="47">
        <v>12496.074386587508</v>
      </c>
      <c r="U28" s="47">
        <v>12756.700297990175</v>
      </c>
      <c r="V28" s="47">
        <v>13060.943674206343</v>
      </c>
      <c r="W28" s="47">
        <v>13747.040631914471</v>
      </c>
      <c r="X28" s="53"/>
      <c r="Y28" s="39" t="s">
        <v>27</v>
      </c>
      <c r="Z28" s="46"/>
      <c r="AA28" s="46"/>
    </row>
    <row r="29" spans="1:27" s="40" customFormat="1" ht="15" customHeight="1" x14ac:dyDescent="0.45">
      <c r="A29" s="45" t="s">
        <v>30</v>
      </c>
      <c r="B29" s="45"/>
      <c r="C29" s="46"/>
      <c r="D29" s="54"/>
      <c r="E29" s="54">
        <v>356.87163682379997</v>
      </c>
      <c r="F29" s="54">
        <v>315.66925395591664</v>
      </c>
      <c r="G29" s="54">
        <v>252.27450905376202</v>
      </c>
      <c r="H29" s="54">
        <v>343.29866826125317</v>
      </c>
      <c r="I29" s="55"/>
      <c r="J29" s="47">
        <v>335.6501133549076</v>
      </c>
      <c r="K29" s="47">
        <v>370.61621185633999</v>
      </c>
      <c r="L29" s="47">
        <v>346.72669555271187</v>
      </c>
      <c r="M29" s="47">
        <v>380.85105342885282</v>
      </c>
      <c r="N29" s="47"/>
      <c r="O29" s="47">
        <v>358.2212885811366</v>
      </c>
      <c r="P29" s="47">
        <v>354.10152178291673</v>
      </c>
      <c r="Q29" s="47">
        <v>318.80785310079864</v>
      </c>
      <c r="R29" s="47">
        <v>314.49662174317075</v>
      </c>
      <c r="S29" s="47"/>
      <c r="T29" s="47">
        <v>451.26597372375289</v>
      </c>
      <c r="U29" s="47">
        <v>356.48589423749996</v>
      </c>
      <c r="V29" s="47">
        <v>314.82935880208339</v>
      </c>
      <c r="W29" s="47">
        <v>300.15485704416665</v>
      </c>
      <c r="X29" s="53"/>
      <c r="Y29" s="39" t="s">
        <v>31</v>
      </c>
      <c r="Z29" s="46"/>
      <c r="AA29" s="46"/>
    </row>
    <row r="30" spans="1:27" s="40" customFormat="1" ht="15" customHeight="1" x14ac:dyDescent="0.45">
      <c r="A30" s="45" t="s">
        <v>46</v>
      </c>
      <c r="B30" s="45"/>
      <c r="C30" s="46"/>
      <c r="D30" s="54"/>
      <c r="E30" s="54">
        <v>62.853000000000002</v>
      </c>
      <c r="F30" s="54">
        <v>57.595999999999997</v>
      </c>
      <c r="G30" s="54">
        <v>56.684999999999995</v>
      </c>
      <c r="H30" s="54">
        <v>56.154999999999994</v>
      </c>
      <c r="I30" s="55"/>
      <c r="J30" s="47">
        <v>54.679000000000002</v>
      </c>
      <c r="K30" s="47">
        <v>63.166999999999994</v>
      </c>
      <c r="L30" s="47">
        <v>69.38</v>
      </c>
      <c r="M30" s="47">
        <v>70.762</v>
      </c>
      <c r="N30" s="47"/>
      <c r="O30" s="47">
        <v>77.792999999999992</v>
      </c>
      <c r="P30" s="47">
        <v>74.988</v>
      </c>
      <c r="Q30" s="47">
        <v>78.823000000000008</v>
      </c>
      <c r="R30" s="47">
        <v>74.561000000000007</v>
      </c>
      <c r="S30" s="47"/>
      <c r="T30" s="47">
        <v>78.900999999999996</v>
      </c>
      <c r="U30" s="47">
        <v>67.623999999999995</v>
      </c>
      <c r="V30" s="47">
        <v>69.038999999999987</v>
      </c>
      <c r="W30" s="47">
        <v>70.403999999999996</v>
      </c>
      <c r="X30" s="46"/>
      <c r="Y30" s="38" t="s">
        <v>47</v>
      </c>
      <c r="Z30" s="46"/>
      <c r="AA30" s="46"/>
    </row>
    <row r="31" spans="1:27" ht="15" customHeight="1" x14ac:dyDescent="0.45">
      <c r="A31" s="61" t="s">
        <v>55</v>
      </c>
      <c r="B31" s="61" t="s">
        <v>68</v>
      </c>
      <c r="C31" s="62"/>
      <c r="D31" s="56"/>
      <c r="E31" s="56">
        <v>0</v>
      </c>
      <c r="F31" s="56">
        <v>0</v>
      </c>
      <c r="G31" s="56">
        <v>0</v>
      </c>
      <c r="H31" s="56">
        <v>0</v>
      </c>
      <c r="I31" s="57"/>
      <c r="J31" s="51">
        <v>0</v>
      </c>
      <c r="K31" s="51">
        <v>0</v>
      </c>
      <c r="L31" s="51">
        <v>0</v>
      </c>
      <c r="M31" s="51">
        <v>0</v>
      </c>
      <c r="N31" s="51"/>
      <c r="O31" s="51">
        <v>0</v>
      </c>
      <c r="P31" s="51">
        <v>0</v>
      </c>
      <c r="Q31" s="51">
        <v>0</v>
      </c>
      <c r="R31" s="51">
        <v>0</v>
      </c>
      <c r="S31" s="51"/>
      <c r="T31" s="51">
        <v>0</v>
      </c>
      <c r="U31" s="51">
        <v>0</v>
      </c>
      <c r="V31" s="51">
        <v>0</v>
      </c>
      <c r="W31" s="51">
        <v>0</v>
      </c>
      <c r="X31" s="58" t="s">
        <v>28</v>
      </c>
      <c r="Y31" s="38"/>
      <c r="Z31" s="62"/>
      <c r="AA31" s="62"/>
    </row>
    <row r="32" spans="1:27" ht="15" customHeight="1" x14ac:dyDescent="0.45">
      <c r="A32" s="61" t="s">
        <v>55</v>
      </c>
      <c r="B32" s="61" t="s">
        <v>51</v>
      </c>
      <c r="C32" s="62"/>
      <c r="D32" s="56"/>
      <c r="E32" s="56">
        <v>62.853000000000002</v>
      </c>
      <c r="F32" s="56">
        <v>57.595999999999997</v>
      </c>
      <c r="G32" s="56">
        <v>56.684999999999995</v>
      </c>
      <c r="H32" s="56">
        <v>56.154999999999994</v>
      </c>
      <c r="I32" s="57"/>
      <c r="J32" s="51">
        <v>54.679000000000002</v>
      </c>
      <c r="K32" s="51">
        <v>63.166999999999994</v>
      </c>
      <c r="L32" s="51">
        <v>69.38</v>
      </c>
      <c r="M32" s="51">
        <v>70.762</v>
      </c>
      <c r="N32" s="51"/>
      <c r="O32" s="51">
        <v>77.792999999999992</v>
      </c>
      <c r="P32" s="51">
        <v>74.988</v>
      </c>
      <c r="Q32" s="51">
        <v>78.823000000000008</v>
      </c>
      <c r="R32" s="51">
        <v>74.561000000000007</v>
      </c>
      <c r="S32" s="51"/>
      <c r="T32" s="51">
        <v>78.900999999999996</v>
      </c>
      <c r="U32" s="51">
        <v>67.623999999999995</v>
      </c>
      <c r="V32" s="51">
        <v>69.038999999999987</v>
      </c>
      <c r="W32" s="51">
        <v>70.403999999999996</v>
      </c>
      <c r="X32" s="59" t="s">
        <v>43</v>
      </c>
      <c r="Y32" s="38"/>
      <c r="Z32" s="62"/>
      <c r="AA32" s="62"/>
    </row>
    <row r="33" spans="1:118" s="40" customFormat="1" ht="15" customHeight="1" x14ac:dyDescent="0.45">
      <c r="A33" s="45" t="s">
        <v>48</v>
      </c>
      <c r="B33" s="45"/>
      <c r="C33" s="46"/>
      <c r="D33" s="54"/>
      <c r="E33" s="54">
        <v>150.10384619208332</v>
      </c>
      <c r="F33" s="54">
        <v>152.81652528249666</v>
      </c>
      <c r="G33" s="54">
        <v>169.70758904584667</v>
      </c>
      <c r="H33" s="54">
        <v>114.26594510026334</v>
      </c>
      <c r="I33" s="55"/>
      <c r="J33" s="47">
        <v>153.71132718376509</v>
      </c>
      <c r="K33" s="47">
        <v>108.53005976230841</v>
      </c>
      <c r="L33" s="47">
        <v>107.35563209272675</v>
      </c>
      <c r="M33" s="47">
        <v>172.01058192003507</v>
      </c>
      <c r="N33" s="47"/>
      <c r="O33" s="47">
        <v>149.59393262805111</v>
      </c>
      <c r="P33" s="47">
        <v>155.49378963717282</v>
      </c>
      <c r="Q33" s="47">
        <v>170.22320722502621</v>
      </c>
      <c r="R33" s="47">
        <v>175.97725249867494</v>
      </c>
      <c r="S33" s="47"/>
      <c r="T33" s="47">
        <v>226.22214237061081</v>
      </c>
      <c r="U33" s="47">
        <v>64.967121220883428</v>
      </c>
      <c r="V33" s="47">
        <v>32.264851648239123</v>
      </c>
      <c r="W33" s="47">
        <v>30.339983888205573</v>
      </c>
      <c r="X33" s="46"/>
      <c r="Y33" s="48" t="s">
        <v>12</v>
      </c>
      <c r="Z33" s="46"/>
      <c r="AA33" s="46"/>
    </row>
    <row r="34" spans="1:118" s="40" customFormat="1" ht="15" customHeight="1" x14ac:dyDescent="0.45">
      <c r="A34" s="45" t="s">
        <v>49</v>
      </c>
      <c r="B34" s="45"/>
      <c r="C34" s="46"/>
      <c r="D34" s="54"/>
      <c r="E34" s="54">
        <v>0</v>
      </c>
      <c r="F34" s="54">
        <v>0</v>
      </c>
      <c r="G34" s="54">
        <v>0</v>
      </c>
      <c r="H34" s="54">
        <v>0</v>
      </c>
      <c r="I34" s="55"/>
      <c r="J34" s="47">
        <v>0</v>
      </c>
      <c r="K34" s="47">
        <v>0</v>
      </c>
      <c r="L34" s="47">
        <v>0</v>
      </c>
      <c r="M34" s="47">
        <v>0</v>
      </c>
      <c r="N34" s="47"/>
      <c r="O34" s="47">
        <v>0</v>
      </c>
      <c r="P34" s="47">
        <v>0</v>
      </c>
      <c r="Q34" s="47">
        <v>0</v>
      </c>
      <c r="R34" s="47">
        <v>0</v>
      </c>
      <c r="S34" s="47"/>
      <c r="T34" s="47">
        <v>0</v>
      </c>
      <c r="U34" s="47">
        <v>0</v>
      </c>
      <c r="V34" s="47">
        <v>0</v>
      </c>
      <c r="W34" s="47">
        <v>0</v>
      </c>
      <c r="X34" s="46"/>
      <c r="Y34" s="37" t="s">
        <v>50</v>
      </c>
      <c r="Z34" s="46"/>
      <c r="AA34" s="46"/>
    </row>
    <row r="35" spans="1:118" s="40" customFormat="1" ht="15" customHeight="1" x14ac:dyDescent="0.45">
      <c r="A35" s="45" t="s">
        <v>71</v>
      </c>
      <c r="B35" s="45"/>
      <c r="C35" s="46"/>
      <c r="D35" s="54"/>
      <c r="E35" s="54">
        <v>236.024</v>
      </c>
      <c r="F35" s="54">
        <v>265.15499999999997</v>
      </c>
      <c r="G35" s="54">
        <v>247.59800000000001</v>
      </c>
      <c r="H35" s="54">
        <v>248.321</v>
      </c>
      <c r="I35" s="55"/>
      <c r="J35" s="47">
        <v>258.69200000000001</v>
      </c>
      <c r="K35" s="47">
        <v>260.49400000000003</v>
      </c>
      <c r="L35" s="47">
        <v>286.488</v>
      </c>
      <c r="M35" s="47">
        <v>290.84899999999999</v>
      </c>
      <c r="N35" s="47"/>
      <c r="O35" s="47">
        <v>298.32599999999996</v>
      </c>
      <c r="P35" s="47">
        <v>307.64400000000001</v>
      </c>
      <c r="Q35" s="47">
        <v>354.18200000000002</v>
      </c>
      <c r="R35" s="47">
        <v>396.75</v>
      </c>
      <c r="S35" s="47"/>
      <c r="T35" s="47">
        <v>525.13</v>
      </c>
      <c r="U35" s="47">
        <v>520.56100000000004</v>
      </c>
      <c r="V35" s="47">
        <v>494.666</v>
      </c>
      <c r="W35" s="47">
        <v>548.97799999999995</v>
      </c>
      <c r="X35" s="53"/>
      <c r="Y35" s="37" t="s">
        <v>60</v>
      </c>
      <c r="Z35" s="46"/>
      <c r="AA35" s="46"/>
    </row>
    <row r="36" spans="1:118" s="40" customFormat="1" ht="15" customHeight="1" x14ac:dyDescent="0.45">
      <c r="A36" s="45" t="s">
        <v>29</v>
      </c>
      <c r="B36" s="45"/>
      <c r="C36" s="46"/>
      <c r="D36" s="54"/>
      <c r="E36" s="54">
        <v>64.093999999999994</v>
      </c>
      <c r="F36" s="54">
        <v>65.873999999999995</v>
      </c>
      <c r="G36" s="54">
        <v>61.335999999999999</v>
      </c>
      <c r="H36" s="54">
        <v>61.335999999999999</v>
      </c>
      <c r="I36" s="55"/>
      <c r="J36" s="47">
        <v>56.627000000000002</v>
      </c>
      <c r="K36" s="47">
        <v>56.231000000000002</v>
      </c>
      <c r="L36" s="47">
        <v>51.161000000000001</v>
      </c>
      <c r="M36" s="47">
        <v>51.161000000000001</v>
      </c>
      <c r="N36" s="47"/>
      <c r="O36" s="47">
        <v>50.671999999999997</v>
      </c>
      <c r="P36" s="47">
        <v>55.671999999999997</v>
      </c>
      <c r="Q36" s="47">
        <v>50.215000000000003</v>
      </c>
      <c r="R36" s="47">
        <v>55.215000000000003</v>
      </c>
      <c r="S36" s="47"/>
      <c r="T36" s="47">
        <v>44.548999999999999</v>
      </c>
      <c r="U36" s="47">
        <v>46.05</v>
      </c>
      <c r="V36" s="47">
        <v>39.623000000000005</v>
      </c>
      <c r="W36" s="47">
        <v>151.60400000000001</v>
      </c>
      <c r="X36" s="53"/>
      <c r="Y36" s="35" t="s">
        <v>39</v>
      </c>
      <c r="Z36" s="46"/>
      <c r="AA36" s="46"/>
    </row>
    <row r="37" spans="1:118" s="40" customFormat="1" ht="15" customHeight="1" x14ac:dyDescent="0.45">
      <c r="A37" s="45" t="s">
        <v>13</v>
      </c>
      <c r="B37" s="45"/>
      <c r="C37" s="46"/>
      <c r="D37" s="54"/>
      <c r="E37" s="54">
        <v>10</v>
      </c>
      <c r="F37" s="54">
        <v>10</v>
      </c>
      <c r="G37" s="54">
        <v>10</v>
      </c>
      <c r="H37" s="54">
        <v>10</v>
      </c>
      <c r="I37" s="55"/>
      <c r="J37" s="47">
        <v>10</v>
      </c>
      <c r="K37" s="47">
        <v>10</v>
      </c>
      <c r="L37" s="47">
        <v>10</v>
      </c>
      <c r="M37" s="47">
        <v>20</v>
      </c>
      <c r="N37" s="47"/>
      <c r="O37" s="47">
        <v>20</v>
      </c>
      <c r="P37" s="47">
        <v>70</v>
      </c>
      <c r="Q37" s="47">
        <v>75</v>
      </c>
      <c r="R37" s="47">
        <v>70</v>
      </c>
      <c r="S37" s="47"/>
      <c r="T37" s="47">
        <v>70</v>
      </c>
      <c r="U37" s="47">
        <v>97.942000000000007</v>
      </c>
      <c r="V37" s="47">
        <v>97.488</v>
      </c>
      <c r="W37" s="47">
        <v>96.840999999999994</v>
      </c>
      <c r="X37" s="52"/>
      <c r="Y37" s="35" t="s">
        <v>14</v>
      </c>
      <c r="Z37" s="46"/>
      <c r="AA37" s="46"/>
    </row>
    <row r="38" spans="1:118" s="40" customFormat="1" ht="15" customHeight="1" x14ac:dyDescent="0.45">
      <c r="A38" s="45" t="s">
        <v>62</v>
      </c>
      <c r="B38" s="45"/>
      <c r="C38" s="46"/>
      <c r="D38" s="63"/>
      <c r="E38" s="63">
        <v>5544.0094013349508</v>
      </c>
      <c r="F38" s="63">
        <v>6248.1722801597953</v>
      </c>
      <c r="G38" s="63">
        <v>6520.8696603644748</v>
      </c>
      <c r="H38" s="63">
        <v>6822.1588595646508</v>
      </c>
      <c r="I38" s="64"/>
      <c r="J38" s="47">
        <v>7185.3454353150591</v>
      </c>
      <c r="K38" s="47">
        <v>7554.9425296812042</v>
      </c>
      <c r="L38" s="47">
        <v>7855.0065399681534</v>
      </c>
      <c r="M38" s="47">
        <v>8168.0849239167737</v>
      </c>
      <c r="N38" s="47"/>
      <c r="O38" s="47">
        <v>8582.1379160759461</v>
      </c>
      <c r="P38" s="47">
        <v>8924.7685991180388</v>
      </c>
      <c r="Q38" s="47">
        <v>9255.6800619433088</v>
      </c>
      <c r="R38" s="47">
        <v>9549.7928416439754</v>
      </c>
      <c r="S38" s="47"/>
      <c r="T38" s="47">
        <v>9916.1497014413708</v>
      </c>
      <c r="U38" s="47">
        <v>10286.420721190449</v>
      </c>
      <c r="V38" s="47">
        <v>10666.355587885168</v>
      </c>
      <c r="W38" s="47">
        <v>11048.582867599565</v>
      </c>
      <c r="X38" s="52"/>
      <c r="Y38" s="35" t="s">
        <v>76</v>
      </c>
      <c r="Z38" s="46"/>
      <c r="AA38" s="46"/>
    </row>
    <row r="39" spans="1:118" s="40" customFormat="1" ht="15" customHeight="1" x14ac:dyDescent="0.45">
      <c r="A39" s="45" t="s">
        <v>72</v>
      </c>
      <c r="B39" s="45"/>
      <c r="C39" s="46"/>
      <c r="D39" s="63"/>
      <c r="E39" s="63">
        <v>147.20692890916689</v>
      </c>
      <c r="F39" s="63">
        <v>164.45669518178966</v>
      </c>
      <c r="G39" s="63">
        <v>166.18172223591591</v>
      </c>
      <c r="H39" s="63">
        <v>195.7269885938349</v>
      </c>
      <c r="I39" s="64"/>
      <c r="J39" s="47">
        <v>163.79429742296634</v>
      </c>
      <c r="K39" s="47">
        <v>152.60708727625024</v>
      </c>
      <c r="L39" s="47">
        <v>151.56406306703684</v>
      </c>
      <c r="M39" s="47">
        <v>214.06214519476634</v>
      </c>
      <c r="N39" s="47"/>
      <c r="O39" s="47">
        <v>179.60047149875936</v>
      </c>
      <c r="P39" s="47">
        <v>184.19163033189579</v>
      </c>
      <c r="Q39" s="47">
        <v>191.02089847277784</v>
      </c>
      <c r="R39" s="47">
        <v>246.32613576585754</v>
      </c>
      <c r="S39" s="47"/>
      <c r="T39" s="47">
        <v>227.53175381177425</v>
      </c>
      <c r="U39" s="47">
        <v>329.36784749134313</v>
      </c>
      <c r="V39" s="47">
        <v>331.40599134085096</v>
      </c>
      <c r="W39" s="47">
        <v>423.52920229253323</v>
      </c>
      <c r="X39" s="52"/>
      <c r="Y39" s="39" t="s">
        <v>32</v>
      </c>
      <c r="Z39" s="46"/>
      <c r="AA39" s="46"/>
    </row>
    <row r="40" spans="1:118" s="40" customFormat="1" ht="15" customHeight="1" thickBot="1" x14ac:dyDescent="0.5">
      <c r="A40" s="65" t="s">
        <v>63</v>
      </c>
      <c r="B40" s="65"/>
      <c r="C40" s="66"/>
      <c r="D40" s="67"/>
      <c r="E40" s="67">
        <v>659.07663222999997</v>
      </c>
      <c r="F40" s="67">
        <v>628.24563534000004</v>
      </c>
      <c r="G40" s="67">
        <v>664.65137991000006</v>
      </c>
      <c r="H40" s="67">
        <v>773.03221501000007</v>
      </c>
      <c r="I40" s="67"/>
      <c r="J40" s="67">
        <v>793.43758457999991</v>
      </c>
      <c r="K40" s="67">
        <v>750.8166402999999</v>
      </c>
      <c r="L40" s="67">
        <v>813.36044388999994</v>
      </c>
      <c r="M40" s="67">
        <v>842.0378463699999</v>
      </c>
      <c r="N40" s="67"/>
      <c r="O40" s="67">
        <v>880.32248033999997</v>
      </c>
      <c r="P40" s="67">
        <v>875.78987585999994</v>
      </c>
      <c r="Q40" s="67">
        <v>889.53739533999988</v>
      </c>
      <c r="R40" s="67">
        <v>952.82704795999996</v>
      </c>
      <c r="S40" s="67"/>
      <c r="T40" s="67">
        <v>956.32481523999979</v>
      </c>
      <c r="U40" s="67">
        <v>987.28171384999996</v>
      </c>
      <c r="V40" s="67">
        <v>1015.27188453</v>
      </c>
      <c r="W40" s="67">
        <v>1076.6067210899998</v>
      </c>
      <c r="X40" s="68"/>
      <c r="Y40" s="69" t="s">
        <v>15</v>
      </c>
      <c r="Z40" s="46"/>
      <c r="AA40" s="46"/>
    </row>
    <row r="41" spans="1:118" s="4" customFormat="1" ht="18.75" x14ac:dyDescent="0.45">
      <c r="A41" s="10" t="s">
        <v>16</v>
      </c>
      <c r="B41" s="70"/>
      <c r="C41" s="70"/>
      <c r="D41" s="70"/>
      <c r="E41" s="70"/>
      <c r="F41" s="70"/>
      <c r="G41" s="70"/>
      <c r="H41" s="71"/>
      <c r="I41" s="70"/>
      <c r="J41" s="70"/>
      <c r="K41" s="70"/>
      <c r="L41" s="70"/>
      <c r="M41" s="71"/>
      <c r="N41" s="71"/>
      <c r="O41" s="70"/>
      <c r="P41" s="70"/>
      <c r="Q41" s="70"/>
      <c r="R41" s="71"/>
      <c r="S41" s="71"/>
      <c r="T41" s="70"/>
      <c r="U41" s="70"/>
      <c r="V41" s="70"/>
      <c r="W41" s="71"/>
      <c r="X41" s="72"/>
      <c r="Y41" s="73" t="s">
        <v>17</v>
      </c>
      <c r="Z41" s="74"/>
      <c r="AA41" s="75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</row>
    <row r="42" spans="1:118" s="43" customFormat="1" ht="17.25" x14ac:dyDescent="0.45">
      <c r="A42" s="45" t="s">
        <v>24</v>
      </c>
      <c r="B42" s="76"/>
      <c r="C42" s="76"/>
      <c r="D42" s="11"/>
      <c r="E42" s="11">
        <v>84.084822790069921</v>
      </c>
      <c r="F42" s="11">
        <v>95.682575279111532</v>
      </c>
      <c r="G42" s="11">
        <v>35.959023412250765</v>
      </c>
      <c r="H42" s="11">
        <v>27.408072516095938</v>
      </c>
      <c r="I42" s="11"/>
      <c r="J42" s="11">
        <f t="shared" ref="J42" si="0">+(J9/E9-1)*100</f>
        <v>-3.8153643951919669</v>
      </c>
      <c r="K42" s="11">
        <f t="shared" ref="K42" si="1">+(K9/F9-1)*100</f>
        <v>6.3856617264687499</v>
      </c>
      <c r="L42" s="11">
        <f t="shared" ref="L42" si="2">+(L9/G9-1)*100</f>
        <v>0.57917548639450089</v>
      </c>
      <c r="M42" s="11">
        <f t="shared" ref="M42" si="3">+(M9/H9-1)*100</f>
        <v>18.138893571508021</v>
      </c>
      <c r="N42" s="11"/>
      <c r="O42" s="11">
        <f t="shared" ref="O42" si="4">+(O9/J9-1)*100</f>
        <v>6.8704611933311233</v>
      </c>
      <c r="P42" s="11">
        <f t="shared" ref="P42" si="5">+(P9/K9-1)*100</f>
        <v>-16.508191815153207</v>
      </c>
      <c r="Q42" s="11">
        <f t="shared" ref="Q42" si="6">+(Q9/L9-1)*100</f>
        <v>9.1145307258473132</v>
      </c>
      <c r="R42" s="11">
        <f t="shared" ref="R42" si="7">+(R9/M9-1)*100</f>
        <v>-13.799089021444821</v>
      </c>
      <c r="S42" s="11"/>
      <c r="T42" s="11">
        <f t="shared" ref="T42" si="8">+(T9/O9-1)*100</f>
        <v>17.278365056498892</v>
      </c>
      <c r="U42" s="11">
        <f t="shared" ref="U42" si="9">+(U9/P9-1)*100</f>
        <v>-6.5667104521296205</v>
      </c>
      <c r="V42" s="11">
        <f t="shared" ref="V42" si="10">+(V9/Q9-1)*100</f>
        <v>-8.8257630138427139</v>
      </c>
      <c r="W42" s="11">
        <f t="shared" ref="W42" si="11">+(W9/R9-1)*100</f>
        <v>16.791558928821935</v>
      </c>
      <c r="X42" s="76"/>
      <c r="Y42" s="48" t="s">
        <v>35</v>
      </c>
      <c r="Z42" s="77"/>
      <c r="AA42" s="108"/>
    </row>
    <row r="43" spans="1:118" s="43" customFormat="1" ht="17.25" x14ac:dyDescent="0.45">
      <c r="A43" s="45" t="s">
        <v>30</v>
      </c>
      <c r="B43" s="78"/>
      <c r="C43" s="78"/>
      <c r="D43" s="12"/>
      <c r="E43" s="12">
        <v>5.54009975186458</v>
      </c>
      <c r="F43" s="12">
        <v>-1.6941454693740199</v>
      </c>
      <c r="G43" s="12">
        <v>-25.695037193533633</v>
      </c>
      <c r="H43" s="12">
        <v>9.8852964965955969</v>
      </c>
      <c r="I43" s="12"/>
      <c r="J43" s="12">
        <f t="shared" ref="J43" si="12">+(J29/E29-1)*100</f>
        <v>-5.9465424761032999</v>
      </c>
      <c r="K43" s="12">
        <f t="shared" ref="K43" si="13">+(K29/F29-1)*100</f>
        <v>17.406496582051268</v>
      </c>
      <c r="L43" s="12">
        <f t="shared" ref="L43" si="14">+(L29/G29-1)*100</f>
        <v>37.440241922667347</v>
      </c>
      <c r="M43" s="12">
        <f t="shared" ref="M43" si="15">+(M29/H29-1)*100</f>
        <v>10.938692351413959</v>
      </c>
      <c r="N43" s="12"/>
      <c r="O43" s="12">
        <f>+(O29/J29-1)*100</f>
        <v>6.7246142122892261</v>
      </c>
      <c r="P43" s="12">
        <f t="shared" ref="P43:R43" si="16">+(P29/K29-1)*100</f>
        <v>-4.4560085460656378</v>
      </c>
      <c r="Q43" s="12">
        <f t="shared" si="16"/>
        <v>-8.0521179390032884</v>
      </c>
      <c r="R43" s="12">
        <f t="shared" si="16"/>
        <v>-17.422672482663305</v>
      </c>
      <c r="S43" s="12"/>
      <c r="T43" s="12">
        <f t="shared" ref="T43" si="17">+(T29/O29-1)*100</f>
        <v>25.974080298564338</v>
      </c>
      <c r="U43" s="12">
        <f t="shared" ref="U43" si="18">+(U29/P29-1)*100</f>
        <v>0.67335843194851197</v>
      </c>
      <c r="V43" s="12">
        <f t="shared" ref="V43" si="19">+(V29/Q29-1)*100</f>
        <v>-1.2479285751651026</v>
      </c>
      <c r="W43" s="12">
        <f t="shared" ref="W43" si="20">+(W29/R29-1)*100</f>
        <v>-4.5602285390258013</v>
      </c>
      <c r="X43" s="79"/>
      <c r="Y43" s="80" t="s">
        <v>31</v>
      </c>
      <c r="Z43" s="81"/>
      <c r="AA43" s="2"/>
    </row>
    <row r="44" spans="1:118" s="82" customFormat="1" ht="16.5" customHeight="1" x14ac:dyDescent="0.4">
      <c r="A44" s="3" t="s">
        <v>53</v>
      </c>
      <c r="B44" s="16"/>
      <c r="C44" s="17"/>
      <c r="D44" s="17"/>
      <c r="E44" s="17"/>
      <c r="F44" s="17"/>
      <c r="G44" s="17"/>
      <c r="H44" s="18"/>
      <c r="I44" s="17"/>
      <c r="J44" s="17"/>
      <c r="K44" s="17"/>
      <c r="L44" s="17"/>
      <c r="M44" s="18"/>
      <c r="N44" s="18"/>
      <c r="O44" s="17"/>
      <c r="P44" s="17"/>
      <c r="Q44" s="17"/>
      <c r="R44" s="18"/>
      <c r="S44" s="18"/>
      <c r="T44" s="17"/>
      <c r="U44" s="17"/>
      <c r="V44" s="17"/>
      <c r="W44" s="18"/>
      <c r="X44" s="18"/>
      <c r="Y44" s="5" t="s">
        <v>52</v>
      </c>
      <c r="Z44" s="106"/>
      <c r="AA44" s="109"/>
      <c r="AB44" s="109"/>
      <c r="AC44" s="109"/>
      <c r="AD44" s="109"/>
      <c r="AE44" s="109"/>
      <c r="AF44" s="109"/>
      <c r="AG44" s="109"/>
      <c r="AH44" s="109"/>
      <c r="AI44" s="111"/>
      <c r="AJ44" s="111"/>
      <c r="AK44" s="111"/>
      <c r="AL44" s="111"/>
      <c r="AM44" s="111"/>
      <c r="AN44" s="111"/>
      <c r="AO44" s="111"/>
      <c r="AP44" s="111"/>
      <c r="AQ44" s="111"/>
      <c r="AR44" s="111"/>
      <c r="AS44" s="111"/>
      <c r="AT44" s="111"/>
      <c r="AU44" s="111"/>
      <c r="AV44" s="111"/>
      <c r="AW44" s="111"/>
      <c r="AX44" s="111"/>
      <c r="AY44" s="111"/>
      <c r="AZ44" s="111"/>
      <c r="BA44" s="111"/>
      <c r="BB44" s="111"/>
      <c r="BC44" s="111"/>
      <c r="BD44" s="111"/>
      <c r="BE44" s="111"/>
      <c r="BF44" s="111"/>
      <c r="BG44" s="111"/>
      <c r="BH44" s="111"/>
      <c r="BI44" s="111"/>
      <c r="BJ44" s="111"/>
      <c r="BK44" s="111"/>
      <c r="BL44" s="111"/>
      <c r="BM44" s="111"/>
      <c r="BN44" s="111"/>
      <c r="BO44" s="111"/>
      <c r="BP44" s="111"/>
      <c r="BQ44" s="111"/>
      <c r="BR44" s="111"/>
      <c r="BS44" s="111"/>
      <c r="BT44" s="111"/>
      <c r="BU44" s="111"/>
      <c r="BV44" s="111"/>
      <c r="BW44" s="111"/>
      <c r="BX44" s="111"/>
      <c r="BY44" s="111"/>
      <c r="BZ44" s="111"/>
      <c r="CA44" s="111"/>
      <c r="CB44" s="111"/>
      <c r="CC44" s="111"/>
      <c r="CD44" s="111"/>
      <c r="CE44" s="111"/>
      <c r="CF44" s="111"/>
      <c r="CG44" s="111"/>
      <c r="CH44" s="111"/>
      <c r="CI44" s="111"/>
      <c r="CJ44" s="111"/>
      <c r="CK44" s="111"/>
      <c r="CL44" s="111"/>
      <c r="CM44" s="111"/>
      <c r="CN44" s="111"/>
      <c r="CO44" s="111"/>
      <c r="CP44" s="111"/>
      <c r="CQ44" s="111"/>
      <c r="CR44" s="111"/>
      <c r="CS44" s="111"/>
      <c r="CT44" s="111"/>
      <c r="CU44" s="111"/>
      <c r="CV44" s="111"/>
      <c r="CW44" s="111"/>
      <c r="CX44" s="111"/>
      <c r="CY44" s="111"/>
      <c r="CZ44" s="111"/>
      <c r="DA44" s="111"/>
      <c r="DB44" s="111"/>
      <c r="DC44" s="111"/>
      <c r="DD44" s="111"/>
      <c r="DE44" s="111"/>
      <c r="DF44" s="111"/>
      <c r="DG44" s="111"/>
      <c r="DH44" s="111"/>
      <c r="DI44" s="111"/>
      <c r="DJ44" s="111"/>
      <c r="DK44" s="111"/>
      <c r="DL44" s="111"/>
      <c r="DM44" s="111"/>
      <c r="DN44" s="111"/>
    </row>
    <row r="45" spans="1:118" s="24" customFormat="1" ht="17.25" x14ac:dyDescent="0.4">
      <c r="A45" s="85" t="s">
        <v>75</v>
      </c>
      <c r="B45" s="88"/>
      <c r="C45" s="86"/>
      <c r="D45" s="87"/>
      <c r="E45" s="87"/>
      <c r="F45" s="87"/>
      <c r="G45" s="87"/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90" t="s">
        <v>74</v>
      </c>
      <c r="Z45" s="107" t="s">
        <v>33</v>
      </c>
      <c r="AA45" s="89"/>
      <c r="AB45" s="110"/>
      <c r="AC45" s="110"/>
      <c r="AD45" s="110"/>
      <c r="AE45" s="110"/>
      <c r="AF45" s="110"/>
      <c r="AG45" s="110"/>
      <c r="AH45" s="110"/>
      <c r="AI45" s="110"/>
      <c r="AJ45" s="110"/>
      <c r="AK45" s="110"/>
      <c r="AL45" s="110"/>
      <c r="AM45" s="110"/>
      <c r="AN45" s="110"/>
      <c r="AO45" s="110"/>
      <c r="AP45" s="110"/>
      <c r="AQ45" s="110"/>
      <c r="AR45" s="110"/>
      <c r="AS45" s="110"/>
      <c r="AT45" s="110"/>
      <c r="AU45" s="110"/>
      <c r="AV45" s="110"/>
      <c r="AW45" s="110"/>
      <c r="AX45" s="110"/>
      <c r="AY45" s="110"/>
      <c r="AZ45" s="110"/>
      <c r="BA45" s="110"/>
      <c r="BB45" s="110"/>
      <c r="BC45" s="110"/>
      <c r="BD45" s="110"/>
      <c r="BE45" s="110"/>
      <c r="BF45" s="110"/>
      <c r="BG45" s="110"/>
      <c r="BH45" s="110"/>
      <c r="BI45" s="110"/>
      <c r="BJ45" s="110"/>
      <c r="BK45" s="110"/>
      <c r="BL45" s="110"/>
      <c r="BM45" s="110"/>
      <c r="BN45" s="110"/>
      <c r="BO45" s="110"/>
      <c r="BP45" s="110"/>
      <c r="BQ45" s="110"/>
      <c r="BR45" s="110"/>
      <c r="BS45" s="110"/>
      <c r="BT45" s="110"/>
      <c r="BU45" s="110"/>
      <c r="BV45" s="110"/>
      <c r="BW45" s="110"/>
      <c r="BX45" s="110"/>
      <c r="BY45" s="110"/>
      <c r="BZ45" s="110"/>
      <c r="CA45" s="110"/>
      <c r="CB45" s="110"/>
      <c r="CC45" s="110"/>
      <c r="CD45" s="110"/>
      <c r="CE45" s="110"/>
      <c r="CF45" s="110"/>
      <c r="CG45" s="110"/>
      <c r="CH45" s="110"/>
      <c r="CI45" s="110"/>
      <c r="CJ45" s="110"/>
      <c r="CK45" s="110"/>
      <c r="CL45" s="110"/>
      <c r="CM45" s="110"/>
      <c r="CN45" s="110"/>
      <c r="CO45" s="110"/>
      <c r="CP45" s="110"/>
      <c r="CQ45" s="110"/>
      <c r="CR45" s="110"/>
      <c r="CS45" s="110"/>
      <c r="CT45" s="110"/>
      <c r="CU45" s="110"/>
      <c r="CV45" s="110"/>
      <c r="CW45" s="110"/>
      <c r="CX45" s="110"/>
      <c r="CY45" s="110"/>
      <c r="CZ45" s="110"/>
      <c r="DA45" s="110"/>
      <c r="DB45" s="110"/>
      <c r="DC45" s="110"/>
      <c r="DD45" s="110"/>
      <c r="DE45" s="110"/>
      <c r="DF45" s="110"/>
      <c r="DG45" s="110"/>
      <c r="DH45" s="110"/>
      <c r="DI45" s="110"/>
      <c r="DJ45" s="110"/>
      <c r="DK45" s="110"/>
      <c r="DL45" s="110"/>
      <c r="DM45" s="110"/>
      <c r="DN45" s="110"/>
    </row>
    <row r="46" spans="1:118" ht="15" customHeight="1" x14ac:dyDescent="0.2">
      <c r="A46" s="6" t="s">
        <v>18</v>
      </c>
      <c r="B46" s="19"/>
      <c r="C46" s="20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90" t="s">
        <v>19</v>
      </c>
      <c r="Z46" s="7"/>
    </row>
    <row r="47" spans="1:118" ht="15" customHeight="1" x14ac:dyDescent="0.25">
      <c r="A47" s="6" t="s">
        <v>20</v>
      </c>
      <c r="B47" s="22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23" t="s">
        <v>34</v>
      </c>
      <c r="Z47" s="91"/>
    </row>
    <row r="51" spans="4:23" ht="15" customHeight="1" x14ac:dyDescent="0.2">
      <c r="D51" s="83"/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</row>
    <row r="52" spans="4:23" ht="15" customHeight="1" x14ac:dyDescent="0.2"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</row>
    <row r="53" spans="4:23" ht="15" customHeight="1" x14ac:dyDescent="0.2"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</row>
    <row r="54" spans="4:23" ht="15" customHeight="1" x14ac:dyDescent="0.2"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</row>
    <row r="55" spans="4:23" ht="15" customHeight="1" x14ac:dyDescent="0.2"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</row>
    <row r="56" spans="4:23" ht="15" customHeight="1" x14ac:dyDescent="0.2"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</row>
    <row r="57" spans="4:23" ht="15" customHeight="1" x14ac:dyDescent="0.2"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</row>
    <row r="58" spans="4:23" ht="15" customHeight="1" x14ac:dyDescent="0.2"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</row>
    <row r="59" spans="4:23" ht="15" customHeight="1" x14ac:dyDescent="0.2">
      <c r="D59" s="83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</row>
    <row r="60" spans="4:23" ht="15" customHeight="1" x14ac:dyDescent="0.2"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</row>
    <row r="61" spans="4:23" ht="15" customHeight="1" x14ac:dyDescent="0.2"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</row>
    <row r="62" spans="4:23" ht="15" customHeight="1" x14ac:dyDescent="0.2"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</row>
    <row r="63" spans="4:23" ht="15" customHeight="1" x14ac:dyDescent="0.2"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</row>
    <row r="64" spans="4:23" ht="15" customHeight="1" x14ac:dyDescent="0.2"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</row>
    <row r="65" spans="4:23" ht="15" customHeight="1" x14ac:dyDescent="0.2"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</row>
    <row r="66" spans="4:23" ht="15" customHeight="1" x14ac:dyDescent="0.2"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</row>
    <row r="67" spans="4:23" ht="15" customHeight="1" x14ac:dyDescent="0.2"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</row>
    <row r="68" spans="4:23" ht="15" customHeight="1" x14ac:dyDescent="0.2"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</row>
    <row r="69" spans="4:23" ht="15" customHeight="1" x14ac:dyDescent="0.2"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</row>
    <row r="70" spans="4:23" ht="15" customHeight="1" x14ac:dyDescent="0.2"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</row>
    <row r="71" spans="4:23" ht="15" customHeight="1" x14ac:dyDescent="0.2"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</row>
    <row r="72" spans="4:23" ht="15" customHeight="1" x14ac:dyDescent="0.2"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</row>
    <row r="73" spans="4:23" ht="15" customHeight="1" x14ac:dyDescent="0.2"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</row>
    <row r="74" spans="4:23" ht="15" customHeight="1" x14ac:dyDescent="0.2"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</row>
    <row r="75" spans="4:23" ht="15" customHeight="1" x14ac:dyDescent="0.2"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</row>
    <row r="76" spans="4:23" ht="15" customHeight="1" x14ac:dyDescent="0.2"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</row>
    <row r="77" spans="4:23" ht="15" customHeight="1" x14ac:dyDescent="0.2"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</row>
    <row r="78" spans="4:23" ht="15" customHeight="1" x14ac:dyDescent="0.2"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</row>
    <row r="79" spans="4:23" ht="15" customHeight="1" x14ac:dyDescent="0.2"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</row>
    <row r="80" spans="4:23" ht="15" customHeight="1" x14ac:dyDescent="0.2"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</row>
    <row r="81" spans="4:23" ht="15" customHeight="1" x14ac:dyDescent="0.2">
      <c r="D81" s="83"/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</row>
    <row r="84" spans="4:23" ht="15" customHeight="1" x14ac:dyDescent="0.2">
      <c r="D84" s="84"/>
      <c r="E84" s="84"/>
      <c r="F84" s="84"/>
      <c r="G84" s="84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</row>
    <row r="85" spans="4:23" ht="15" customHeight="1" x14ac:dyDescent="0.2">
      <c r="D85" s="84"/>
      <c r="E85" s="84"/>
      <c r="F85" s="84"/>
      <c r="G85" s="84"/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</row>
    <row r="86" spans="4:23" ht="15" customHeight="1" x14ac:dyDescent="0.2">
      <c r="D86" s="84"/>
      <c r="E86" s="84"/>
      <c r="F86" s="84"/>
      <c r="G86" s="84"/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</row>
    <row r="87" spans="4:23" ht="15" customHeight="1" x14ac:dyDescent="0.2">
      <c r="D87" s="84"/>
      <c r="E87" s="84"/>
      <c r="F87" s="84"/>
      <c r="G87" s="84"/>
      <c r="H87" s="84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</row>
    <row r="88" spans="4:23" ht="15" customHeight="1" x14ac:dyDescent="0.2"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</row>
    <row r="89" spans="4:23" ht="15" customHeight="1" x14ac:dyDescent="0.2">
      <c r="D89" s="84"/>
      <c r="E89" s="84"/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</row>
    <row r="90" spans="4:23" ht="15" customHeight="1" x14ac:dyDescent="0.2"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</row>
    <row r="91" spans="4:23" ht="15" customHeight="1" x14ac:dyDescent="0.2"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</row>
    <row r="92" spans="4:23" ht="15" customHeight="1" x14ac:dyDescent="0.2"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</row>
    <row r="93" spans="4:23" ht="15" customHeight="1" x14ac:dyDescent="0.2"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</row>
    <row r="94" spans="4:23" ht="15" customHeight="1" x14ac:dyDescent="0.2"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</row>
    <row r="95" spans="4:23" ht="15" customHeight="1" x14ac:dyDescent="0.2"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</row>
    <row r="96" spans="4:23" ht="15" customHeight="1" x14ac:dyDescent="0.2"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</row>
    <row r="97" spans="4:23" ht="15" customHeight="1" x14ac:dyDescent="0.2"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</row>
    <row r="98" spans="4:23" ht="15" customHeight="1" x14ac:dyDescent="0.2"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</row>
    <row r="99" spans="4:23" ht="15" customHeight="1" x14ac:dyDescent="0.2"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</row>
    <row r="100" spans="4:23" ht="15" customHeight="1" x14ac:dyDescent="0.2"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</row>
    <row r="101" spans="4:23" ht="15" customHeight="1" x14ac:dyDescent="0.2"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</row>
    <row r="102" spans="4:23" ht="15" customHeight="1" x14ac:dyDescent="0.2"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</row>
    <row r="103" spans="4:23" ht="15" customHeight="1" x14ac:dyDescent="0.2"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</row>
    <row r="104" spans="4:23" ht="15" customHeight="1" x14ac:dyDescent="0.2"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</row>
    <row r="105" spans="4:23" ht="15" customHeight="1" x14ac:dyDescent="0.2"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</row>
    <row r="106" spans="4:23" ht="15" customHeight="1" x14ac:dyDescent="0.2"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</row>
    <row r="107" spans="4:23" ht="15" customHeight="1" x14ac:dyDescent="0.2"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</row>
    <row r="108" spans="4:23" ht="15" customHeight="1" x14ac:dyDescent="0.2"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</row>
    <row r="109" spans="4:23" ht="15" customHeight="1" x14ac:dyDescent="0.2"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</row>
    <row r="110" spans="4:23" ht="15" customHeight="1" x14ac:dyDescent="0.2"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</row>
    <row r="111" spans="4:23" ht="15" customHeight="1" x14ac:dyDescent="0.2"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</row>
    <row r="112" spans="4:23" ht="15" customHeight="1" x14ac:dyDescent="0.2">
      <c r="D112" s="84"/>
      <c r="E112" s="84"/>
      <c r="F112" s="84"/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</row>
    <row r="113" spans="4:23" ht="15" customHeight="1" x14ac:dyDescent="0.2"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</row>
    <row r="114" spans="4:23" ht="15" customHeight="1" x14ac:dyDescent="0.2"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</row>
    <row r="115" spans="4:23" ht="15" customHeight="1" x14ac:dyDescent="0.2"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</row>
  </sheetData>
  <mergeCells count="9">
    <mergeCell ref="A1:Y1"/>
    <mergeCell ref="A2:Y2"/>
    <mergeCell ref="A3:Y3"/>
    <mergeCell ref="A4:Y4"/>
    <mergeCell ref="E5:H5"/>
    <mergeCell ref="J5:M5"/>
    <mergeCell ref="X5:Y7"/>
    <mergeCell ref="O5:R5"/>
    <mergeCell ref="T5:W5"/>
  </mergeCells>
  <printOptions horizontalCentered="1"/>
  <pageMargins left="0.45" right="0.45" top="0.22" bottom="0.17" header="0.17" footer="0.17"/>
  <pageSetup paperSize="9" scale="51" fitToHeight="0" orientation="landscape" horizontalDpi="4294967295" verticalDpi="4294967295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14.8</vt:lpstr>
      <vt:lpstr>'14.8'!Print_Area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2018-04-17T04:44:47Z</cp:lastPrinted>
  <dcterms:created xsi:type="dcterms:W3CDTF">2013-04-01T04:26:10Z</dcterms:created>
  <dcterms:modified xsi:type="dcterms:W3CDTF">2018-04-17T04:50:36Z</dcterms:modified>
</cp:coreProperties>
</file>