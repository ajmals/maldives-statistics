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4. MONETARY AND BANKING\"/>
    </mc:Choice>
  </mc:AlternateContent>
  <bookViews>
    <workbookView xWindow="0" yWindow="0" windowWidth="28800" windowHeight="12330" tabRatio="765"/>
  </bookViews>
  <sheets>
    <sheet name="14.7" sheetId="5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'14.7'!$A$1:$AE$55</definedName>
  </definedNames>
  <calcPr calcId="162913"/>
</workbook>
</file>

<file path=xl/calcChain.xml><?xml version="1.0" encoding="utf-8"?>
<calcChain xmlns="http://schemas.openxmlformats.org/spreadsheetml/2006/main">
  <c r="P50" i="5" l="1"/>
  <c r="P49" i="5"/>
  <c r="P48" i="5"/>
  <c r="K46" i="5"/>
  <c r="K45" i="5"/>
  <c r="K44" i="5"/>
  <c r="K43" i="5"/>
  <c r="R43" i="5"/>
  <c r="S43" i="5"/>
  <c r="T43" i="5"/>
  <c r="R44" i="5"/>
  <c r="S44" i="5"/>
  <c r="T44" i="5"/>
  <c r="U44" i="5"/>
  <c r="R45" i="5"/>
  <c r="S45" i="5"/>
  <c r="T45" i="5"/>
  <c r="U45" i="5"/>
  <c r="R46" i="5"/>
  <c r="S46" i="5"/>
  <c r="T46" i="5"/>
  <c r="U46" i="5"/>
  <c r="Z50" i="5" l="1"/>
  <c r="Y50" i="5"/>
  <c r="X50" i="5"/>
  <c r="W50" i="5"/>
  <c r="Z49" i="5"/>
  <c r="Y49" i="5"/>
  <c r="X49" i="5"/>
  <c r="W49" i="5"/>
  <c r="Z48" i="5"/>
  <c r="Y48" i="5"/>
  <c r="X48" i="5"/>
  <c r="W48" i="5"/>
  <c r="Z46" i="5"/>
  <c r="Y46" i="5"/>
  <c r="X46" i="5"/>
  <c r="W46" i="5"/>
  <c r="Z45" i="5"/>
  <c r="Y45" i="5"/>
  <c r="X45" i="5"/>
  <c r="W45" i="5"/>
  <c r="Z44" i="5"/>
  <c r="Y44" i="5"/>
  <c r="X44" i="5"/>
  <c r="W44" i="5"/>
  <c r="Z43" i="5"/>
  <c r="Y43" i="5"/>
  <c r="X43" i="5"/>
  <c r="W43" i="5"/>
  <c r="U50" i="5" l="1"/>
  <c r="T50" i="5"/>
  <c r="S50" i="5"/>
  <c r="U49" i="5"/>
  <c r="T49" i="5"/>
  <c r="S49" i="5"/>
  <c r="U48" i="5"/>
  <c r="T48" i="5"/>
  <c r="S48" i="5"/>
  <c r="R50" i="5"/>
  <c r="R49" i="5"/>
  <c r="R48" i="5"/>
  <c r="U43" i="5"/>
</calcChain>
</file>

<file path=xl/sharedStrings.xml><?xml version="1.0" encoding="utf-8"?>
<sst xmlns="http://schemas.openxmlformats.org/spreadsheetml/2006/main" count="142" uniqueCount="95">
  <si>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</si>
  <si>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</si>
  <si>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</si>
  <si>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</si>
  <si>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</si>
  <si>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</si>
  <si>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r>
      <rPr>
        <b/>
        <vertAlign val="superscript"/>
        <sz val="9"/>
        <rFont val="A_Randhoo"/>
      </rPr>
      <t xml:space="preserve"> 1_/</t>
    </r>
    <r>
      <rPr>
        <b/>
        <sz val="9"/>
        <rFont val="A_Randhoo"/>
      </rPr>
      <t>cmesiD</t>
    </r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</si>
  <si>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</si>
  <si>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</si>
  <si>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</si>
  <si>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</si>
  <si>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</si>
  <si>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</si>
  <si>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ޓްރާންސްފަރަބަލް ޑިޕޮސިޓް</t>
  </si>
  <si>
    <t>Wsiawf ihevid</t>
  </si>
  <si>
    <t>Wsiawf urEb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</si>
  <si>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</si>
  <si>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</si>
  <si>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</si>
  <si>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</si>
  <si>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</si>
  <si>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>މީގެތެރެއިން އަމިއްލަ ފަރާތްތަކަށް ދޫކުރެވުނު ދަރަނި</t>
  </si>
  <si>
    <t>Memorandum items:</t>
  </si>
  <si>
    <t>:utWmUluAwm urutia</t>
  </si>
  <si>
    <t>މިމައުލޫމާތުތައް އެކުލަވާލެވިފައި މިވަނީ އިންޓަނޭޝަނަލް މަނިޓަރީ ފަންޑްގެ " މަނިޓަރީ އެންޑް ފައިނޭންސަލް ސްޓެޓިސްޓިކްސް މެނުއަލް 2000"  ގައި ބަޔާން ކުރެވިފައިވާ ގޮތަށެވެ.</t>
  </si>
  <si>
    <t>Source: Maldives Monetary Authority.</t>
  </si>
  <si>
    <t>Dec</t>
  </si>
  <si>
    <t>Shares and other equity (Capital Accounts)</t>
  </si>
  <si>
    <t>Shares and other equity (Capital accounts)</t>
  </si>
  <si>
    <r>
      <t xml:space="preserve"> Dec</t>
    </r>
    <r>
      <rPr>
        <b/>
        <vertAlign val="superscript"/>
        <sz val="10"/>
        <rFont val="Calibri"/>
        <family val="2"/>
        <scheme val="minor"/>
      </rPr>
      <t>1_/</t>
    </r>
    <r>
      <rPr>
        <b/>
        <sz val="10"/>
        <rFont val="Calibri"/>
        <family val="2"/>
        <scheme val="minor"/>
      </rPr>
      <t xml:space="preserve"> </t>
    </r>
    <r>
      <rPr>
        <b/>
        <vertAlign val="subscript"/>
        <sz val="11"/>
        <rFont val="Arial"/>
        <family val="2"/>
      </rPr>
      <t/>
    </r>
  </si>
  <si>
    <t>Total Assets</t>
  </si>
  <si>
    <t>cTesea wlcmuj</t>
  </si>
  <si>
    <t>Foreign assets</t>
  </si>
  <si>
    <t>Other assets</t>
  </si>
  <si>
    <t>Non-financial assets</t>
  </si>
  <si>
    <t>Total Liabilities</t>
  </si>
  <si>
    <t>ITilibiawl wlcmuj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</si>
  <si>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</si>
  <si>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</si>
  <si>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>Securities other than shares</t>
  </si>
  <si>
    <t>Foreign liabilities</t>
  </si>
  <si>
    <t>ITilibiawl egurEb</t>
  </si>
  <si>
    <t>Other liabilities</t>
  </si>
  <si>
    <t>ITilibiawl  cnehinehea</t>
  </si>
  <si>
    <t>/1</t>
  </si>
  <si>
    <t>ITirOtoa IrwTinwm cscviDclOm :ctWrwf ivcaedutWmUluAwm</t>
  </si>
  <si>
    <t>ބޭރުގެ އެސެޓް</t>
  </si>
  <si>
    <t>Cash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</si>
  <si>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</si>
  <si>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</si>
  <si>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</si>
  <si>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</si>
  <si>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 xml:space="preserve">   Central bank bills</t>
  </si>
  <si>
    <t>ސެންޓްރަލް ބޭންކް ބިލްސް</t>
  </si>
  <si>
    <t xml:space="preserve">   Treasury bills</t>
  </si>
  <si>
    <t>ޓްރެޜަރީ ބިލްސް</t>
  </si>
  <si>
    <t xml:space="preserve">   Central government bonds</t>
  </si>
  <si>
    <t>ސަރުކާރުގެ ބޮންޑް</t>
  </si>
  <si>
    <t>Loans and advances</t>
  </si>
  <si>
    <t>ދަރނީގެ ގޮތުގައި ދޫކުރެވިފައިވާ</t>
  </si>
  <si>
    <t xml:space="preserve">   Central bank</t>
  </si>
  <si>
    <t>ސެންޓްރަލް ބޭންކަށް</t>
  </si>
  <si>
    <t xml:space="preserve">   Central government</t>
  </si>
  <si>
    <t>ސަރުކާރަށް</t>
  </si>
  <si>
    <t xml:space="preserve">   Other financial corporations</t>
  </si>
  <si>
    <t xml:space="preserve">   Public non-financial corporations</t>
  </si>
  <si>
    <r>
      <t xml:space="preserve">   Private sector</t>
    </r>
    <r>
      <rPr>
        <vertAlign val="superscript"/>
        <sz val="10"/>
        <rFont val="Calibri"/>
        <family val="2"/>
        <scheme val="minor"/>
      </rPr>
      <t>2/</t>
    </r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</si>
  <si>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</si>
  <si>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</si>
  <si>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</si>
  <si>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</si>
  <si>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</si>
  <si>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 xml:space="preserve">  Transferable deposits</t>
  </si>
  <si>
    <t xml:space="preserve">      Local currency</t>
  </si>
  <si>
    <t xml:space="preserve">      Foreign currency</t>
  </si>
  <si>
    <t xml:space="preserve">  Other depostis</t>
  </si>
  <si>
    <t>އެހެނިހެން ޑިޕޮސިޓް</t>
  </si>
  <si>
    <t>Central government liabilities</t>
  </si>
  <si>
    <t>Credit from central bank</t>
  </si>
  <si>
    <t>ސެންޓްރަލް ބޭންކުން ނަގާފައިވާ ދަރަނި</t>
  </si>
  <si>
    <t xml:space="preserve">       Local currency</t>
  </si>
  <si>
    <t>2_/ Data includes accrued interest receivables and accounts receivables  from private sector.</t>
  </si>
  <si>
    <t>އަމިއްލަ ފަރާތްތަކުން އިންޓަރެސްޓްގެ ގޮތުގައާއި އެހެނިހެން ގޮތްގޮތުން ލިބެންވާ ފައިސާ މިޖުމްލައިގައި ހިމެނިފައިވާނެއެވެ.</t>
  </si>
  <si>
    <t>/2</t>
  </si>
  <si>
    <t xml:space="preserve">New format based on IMF Monetary and Financial Statistics Manual 2000 (MFSM 2000). </t>
  </si>
  <si>
    <t>ނޯޓް:</t>
  </si>
  <si>
    <t>NOTE:</t>
  </si>
  <si>
    <t>of which: Private sector</t>
  </si>
  <si>
    <t xml:space="preserve">       Foreign Currency</t>
  </si>
  <si>
    <t>Public nonfinancial corporations domestic</t>
  </si>
  <si>
    <t>2015 ޑިސެންބަރު އިސްލާޙުކުރެވިފައި</t>
  </si>
  <si>
    <t>ޕަބްލިކް ނޮންފައިނޭންޝަލް ކޯޕޮރޭޝަންސް ޑޮމެސްޓިކް</t>
  </si>
  <si>
    <t>1_/ : 2014, 2015 &amp; 2016 December revised</t>
  </si>
  <si>
    <t xml:space="preserve">ތާވަލު 14.7 : ވިޔަފާރި ބޭންކުތަކުގެ އެސެޓްތަކާއި ލައިބިލިޓީތައް 2014 - 2017            </t>
  </si>
  <si>
    <t>Table  14.7 :ASSETS AND LIABILITIES OF OTHER DEPOSITORY CORPORATIONS,  2014 - 2017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</si>
</sst>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6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vertAlign val="superscript"/>
      <sz val="9"/>
      <name val="A_Randhoo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b/>
      <sz val="12"/>
      <name val="A_Randhoo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9"/>
      <name val="A_Faseyha"/>
    </font>
    <font>
      <b/>
      <i/>
      <sz val="9"/>
      <name val="A_Faseyha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0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4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4" fillId="0" borderId="0" applyFill="0" applyBorder="0" applyAlignment="0"/>
    <xf numFmtId="0" fontId="38" fillId="0" borderId="0" applyFill="0" applyBorder="0" applyAlignment="0"/>
    <xf numFmtId="0" fontId="4" fillId="0" borderId="0" applyFill="0" applyBorder="0" applyAlignment="0"/>
    <xf numFmtId="171" fontId="2" fillId="0" borderId="0" applyFill="0" applyBorder="0" applyAlignment="0"/>
    <xf numFmtId="172" fontId="4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0" fontId="39" fillId="14" borderId="26" applyNumberFormat="0" applyAlignment="0" applyProtection="0"/>
    <xf numFmtId="17" fontId="4" fillId="0" borderId="0" applyFont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0" fontId="40" fillId="7" borderId="27" applyNumberFormat="0" applyAlignment="0" applyProtection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4" fontId="4" fillId="0" borderId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3" fillId="19" borderId="0" applyNumberFormat="0" applyBorder="0" applyAlignment="0" applyProtection="0"/>
    <xf numFmtId="0" fontId="44" fillId="0" borderId="28" applyNumberFormat="0" applyAlignment="0" applyProtection="0">
      <alignment horizontal="left" vertical="center"/>
    </xf>
    <xf numFmtId="0" fontId="44" fillId="0" borderId="25">
      <alignment horizontal="left" vertical="center"/>
    </xf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6" fillId="0" borderId="30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3" fillId="20" borderId="32" applyNumberFormat="0" applyBorder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0" fontId="48" fillId="11" borderId="26" applyNumberFormat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0" fontId="49" fillId="0" borderId="33" applyNumberFormat="0" applyFill="0" applyAlignment="0" applyProtection="0"/>
    <xf numFmtId="176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4" fillId="10" borderId="34" applyNumberFormat="0" applyFon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52" fillId="14" borderId="35" applyNumberFormat="0" applyAlignment="0" applyProtection="0"/>
    <xf numFmtId="0" fontId="4" fillId="0" borderId="0"/>
    <xf numFmtId="172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4" fillId="0" borderId="0" applyFill="0" applyBorder="0" applyAlignment="0"/>
    <xf numFmtId="0" fontId="38" fillId="0" borderId="0" applyFill="0" applyBorder="0" applyAlignment="0"/>
    <xf numFmtId="170" fontId="4" fillId="0" borderId="0" applyFill="0" applyBorder="0" applyAlignment="0"/>
    <xf numFmtId="173" fontId="4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1" fillId="0" borderId="0" applyFill="0" applyBorder="0" applyAlignment="0"/>
    <xf numFmtId="180" fontId="4" fillId="0" borderId="0" applyFill="0" applyBorder="0" applyAlignment="0"/>
    <xf numFmtId="181" fontId="4" fillId="0" borderId="0" applyFill="0" applyBorder="0" applyAlignment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170">
    <xf numFmtId="0" fontId="0" fillId="0" borderId="0" xfId="0"/>
    <xf numFmtId="164" fontId="6" fillId="21" borderId="0" xfId="3" applyNumberFormat="1" applyFont="1" applyFill="1" applyBorder="1" applyAlignment="1">
      <alignment horizontal="right"/>
    </xf>
    <xf numFmtId="164" fontId="6" fillId="21" borderId="4" xfId="3" applyNumberFormat="1" applyFont="1" applyFill="1" applyBorder="1" applyAlignment="1">
      <alignment horizontal="right"/>
    </xf>
    <xf numFmtId="0" fontId="24" fillId="21" borderId="1" xfId="0" applyFont="1" applyFill="1" applyBorder="1" applyAlignment="1">
      <alignment horizontal="right"/>
    </xf>
    <xf numFmtId="0" fontId="9" fillId="21" borderId="0" xfId="0" applyFont="1" applyFill="1" applyBorder="1" applyAlignment="1"/>
    <xf numFmtId="0" fontId="20" fillId="21" borderId="0" xfId="0" applyFont="1" applyFill="1" applyBorder="1" applyAlignment="1" applyProtection="1">
      <alignment horizontal="left"/>
    </xf>
    <xf numFmtId="164" fontId="32" fillId="21" borderId="0" xfId="3" applyNumberFormat="1" applyFont="1" applyFill="1" applyAlignment="1">
      <alignment horizontal="right" vertical="center"/>
    </xf>
    <xf numFmtId="164" fontId="22" fillId="21" borderId="0" xfId="3" applyNumberFormat="1" applyFont="1" applyFill="1" applyAlignment="1">
      <alignment horizontal="left" vertical="center" indent="2"/>
    </xf>
    <xf numFmtId="166" fontId="9" fillId="21" borderId="0" xfId="0" applyNumberFormat="1" applyFont="1" applyFill="1" applyBorder="1" applyAlignment="1">
      <alignment vertical="center"/>
    </xf>
    <xf numFmtId="0" fontId="9" fillId="21" borderId="0" xfId="0" applyFont="1" applyFill="1" applyBorder="1"/>
    <xf numFmtId="0" fontId="17" fillId="21" borderId="0" xfId="0" applyFont="1" applyFill="1" applyBorder="1" applyAlignment="1">
      <alignment horizontal="right"/>
    </xf>
    <xf numFmtId="0" fontId="17" fillId="21" borderId="5" xfId="0" applyFont="1" applyFill="1" applyBorder="1" applyAlignment="1"/>
    <xf numFmtId="164" fontId="6" fillId="21" borderId="12" xfId="3" applyNumberFormat="1" applyFont="1" applyFill="1" applyBorder="1" applyAlignment="1">
      <alignment horizontal="right"/>
    </xf>
    <xf numFmtId="164" fontId="6" fillId="21" borderId="5" xfId="3" applyNumberFormat="1" applyFont="1" applyFill="1" applyBorder="1" applyAlignment="1">
      <alignment horizontal="right"/>
    </xf>
    <xf numFmtId="164" fontId="24" fillId="21" borderId="1" xfId="3" applyNumberFormat="1" applyFont="1" applyFill="1" applyBorder="1" applyAlignment="1" applyProtection="1">
      <alignment horizontal="right" vertical="center"/>
    </xf>
    <xf numFmtId="0" fontId="9" fillId="21" borderId="5" xfId="0" applyFont="1" applyFill="1" applyBorder="1" applyAlignment="1"/>
    <xf numFmtId="166" fontId="15" fillId="21" borderId="5" xfId="0" applyNumberFormat="1" applyFont="1" applyFill="1" applyBorder="1"/>
    <xf numFmtId="0" fontId="17" fillId="21" borderId="5" xfId="0" applyFont="1" applyFill="1" applyBorder="1"/>
    <xf numFmtId="0" fontId="9" fillId="21" borderId="5" xfId="0" applyFont="1" applyFill="1" applyBorder="1"/>
    <xf numFmtId="0" fontId="16" fillId="21" borderId="12" xfId="0" applyFont="1" applyFill="1" applyBorder="1"/>
    <xf numFmtId="165" fontId="15" fillId="21" borderId="5" xfId="0" applyNumberFormat="1" applyFont="1" applyFill="1" applyBorder="1" applyAlignment="1">
      <alignment vertical="center"/>
    </xf>
    <xf numFmtId="0" fontId="0" fillId="21" borderId="5" xfId="0" applyFill="1" applyBorder="1"/>
    <xf numFmtId="165" fontId="16" fillId="21" borderId="5" xfId="0" applyNumberFormat="1" applyFont="1" applyFill="1" applyBorder="1" applyAlignment="1">
      <alignment vertical="center"/>
    </xf>
    <xf numFmtId="0" fontId="17" fillId="21" borderId="12" xfId="0" applyFont="1" applyFill="1" applyBorder="1"/>
    <xf numFmtId="164" fontId="11" fillId="21" borderId="15" xfId="3" applyNumberFormat="1" applyFont="1" applyFill="1" applyBorder="1" applyAlignment="1">
      <alignment vertical="center" wrapText="1"/>
    </xf>
    <xf numFmtId="164" fontId="11" fillId="21" borderId="16" xfId="3" applyNumberFormat="1" applyFont="1" applyFill="1" applyBorder="1" applyAlignment="1">
      <alignment vertical="center" wrapText="1"/>
    </xf>
    <xf numFmtId="0" fontId="4" fillId="21" borderId="5" xfId="0" applyFont="1" applyFill="1" applyBorder="1"/>
    <xf numFmtId="0" fontId="1" fillId="21" borderId="5" xfId="0" applyFont="1" applyFill="1" applyBorder="1"/>
    <xf numFmtId="0" fontId="8" fillId="21" borderId="21" xfId="0" applyFont="1" applyFill="1" applyBorder="1"/>
    <xf numFmtId="0" fontId="7" fillId="21" borderId="21" xfId="0" applyFont="1" applyFill="1" applyBorder="1" applyAlignment="1">
      <alignment horizontal="center" vertical="center"/>
    </xf>
    <xf numFmtId="0" fontId="6" fillId="21" borderId="21" xfId="0" applyFont="1" applyFill="1" applyBorder="1" applyAlignment="1">
      <alignment horizontal="centerContinuous"/>
    </xf>
    <xf numFmtId="0" fontId="10" fillId="21" borderId="21" xfId="0" applyFont="1" applyFill="1" applyBorder="1" applyAlignment="1">
      <alignment horizontal="centerContinuous"/>
    </xf>
    <xf numFmtId="0" fontId="11" fillId="21" borderId="21" xfId="0" applyFont="1" applyFill="1" applyBorder="1"/>
    <xf numFmtId="0" fontId="4" fillId="21" borderId="21" xfId="0" applyFont="1" applyFill="1" applyBorder="1"/>
    <xf numFmtId="165" fontId="7" fillId="21" borderId="5" xfId="0" applyNumberFormat="1" applyFont="1" applyFill="1" applyBorder="1" applyAlignment="1">
      <alignment vertical="center"/>
    </xf>
    <xf numFmtId="0" fontId="6" fillId="21" borderId="5" xfId="0" applyFont="1" applyFill="1" applyBorder="1" applyAlignment="1">
      <alignment horizontal="centerContinuous"/>
    </xf>
    <xf numFmtId="0" fontId="10" fillId="21" borderId="5" xfId="0" applyFont="1" applyFill="1" applyBorder="1" applyAlignment="1">
      <alignment horizontal="centerContinuous"/>
    </xf>
    <xf numFmtId="164" fontId="13" fillId="21" borderId="5" xfId="3" applyNumberFormat="1" applyFont="1" applyFill="1" applyBorder="1" applyAlignment="1">
      <alignment horizontal="right" vertical="center"/>
    </xf>
    <xf numFmtId="0" fontId="21" fillId="21" borderId="6" xfId="0" applyFont="1" applyFill="1" applyBorder="1" applyAlignment="1">
      <alignment horizontal="right"/>
    </xf>
    <xf numFmtId="43" fontId="7" fillId="21" borderId="23" xfId="1" applyFont="1" applyFill="1" applyBorder="1" applyAlignment="1">
      <alignment horizontal="right"/>
    </xf>
    <xf numFmtId="43" fontId="6" fillId="21" borderId="23" xfId="1" applyFont="1" applyFill="1" applyBorder="1" applyAlignment="1">
      <alignment horizontal="right"/>
    </xf>
    <xf numFmtId="43" fontId="10" fillId="21" borderId="23" xfId="1" applyFont="1" applyFill="1" applyBorder="1" applyAlignment="1">
      <alignment horizontal="right"/>
    </xf>
    <xf numFmtId="0" fontId="11" fillId="21" borderId="23" xfId="0" applyFont="1" applyFill="1" applyBorder="1"/>
    <xf numFmtId="0" fontId="9" fillId="21" borderId="23" xfId="0" applyFont="1" applyFill="1" applyBorder="1"/>
    <xf numFmtId="165" fontId="15" fillId="21" borderId="12" xfId="0" applyNumberFormat="1" applyFont="1" applyFill="1" applyBorder="1" applyAlignment="1">
      <alignment vertical="center"/>
    </xf>
    <xf numFmtId="166" fontId="15" fillId="21" borderId="12" xfId="1" applyNumberFormat="1" applyFont="1" applyFill="1" applyBorder="1" applyAlignment="1">
      <alignment vertical="center"/>
    </xf>
    <xf numFmtId="166" fontId="6" fillId="21" borderId="12" xfId="1" applyNumberFormat="1" applyFont="1" applyFill="1" applyBorder="1" applyAlignment="1"/>
    <xf numFmtId="166" fontId="10" fillId="21" borderId="12" xfId="1" applyNumberFormat="1" applyFont="1" applyFill="1" applyBorder="1" applyAlignment="1"/>
    <xf numFmtId="164" fontId="13" fillId="21" borderId="12" xfId="3" applyNumberFormat="1" applyFont="1" applyFill="1" applyBorder="1" applyAlignment="1">
      <alignment horizontal="right"/>
    </xf>
    <xf numFmtId="0" fontId="9" fillId="21" borderId="12" xfId="0" applyFont="1" applyFill="1" applyBorder="1"/>
    <xf numFmtId="166" fontId="17" fillId="21" borderId="5" xfId="0" applyNumberFormat="1" applyFont="1" applyFill="1" applyBorder="1" applyAlignment="1"/>
    <xf numFmtId="166" fontId="11" fillId="21" borderId="5" xfId="0" applyNumberFormat="1" applyFont="1" applyFill="1" applyBorder="1" applyAlignment="1"/>
    <xf numFmtId="166" fontId="10" fillId="21" borderId="5" xfId="3" applyNumberFormat="1" applyFont="1" applyFill="1" applyBorder="1" applyAlignment="1">
      <alignment horizontal="right" vertical="center"/>
    </xf>
    <xf numFmtId="0" fontId="17" fillId="21" borderId="5" xfId="0" applyFont="1" applyFill="1" applyBorder="1" applyAlignment="1">
      <alignment horizontal="right"/>
    </xf>
    <xf numFmtId="0" fontId="11" fillId="21" borderId="5" xfId="0" applyFont="1" applyFill="1" applyBorder="1"/>
    <xf numFmtId="0" fontId="13" fillId="21" borderId="5" xfId="4" applyFont="1" applyFill="1" applyBorder="1" applyAlignment="1">
      <alignment horizontal="right"/>
    </xf>
    <xf numFmtId="0" fontId="25" fillId="21" borderId="5" xfId="0" applyFont="1" applyFill="1" applyBorder="1" applyAlignment="1">
      <alignment horizontal="right"/>
    </xf>
    <xf numFmtId="0" fontId="27" fillId="21" borderId="5" xfId="0" applyFont="1" applyFill="1" applyBorder="1" applyAlignment="1">
      <alignment horizontal="right"/>
    </xf>
    <xf numFmtId="0" fontId="11" fillId="21" borderId="5" xfId="0" applyFont="1" applyFill="1" applyBorder="1" applyAlignment="1">
      <alignment horizontal="right"/>
    </xf>
    <xf numFmtId="0" fontId="10" fillId="21" borderId="5" xfId="4" applyFont="1" applyFill="1" applyBorder="1" applyAlignment="1">
      <alignment horizontal="right"/>
    </xf>
    <xf numFmtId="166" fontId="17" fillId="21" borderId="5" xfId="0" applyNumberFormat="1" applyFont="1" applyFill="1" applyBorder="1" applyAlignment="1">
      <alignment horizontal="right"/>
    </xf>
    <xf numFmtId="164" fontId="11" fillId="21" borderId="5" xfId="3" applyNumberFormat="1" applyFont="1" applyFill="1" applyBorder="1" applyAlignment="1">
      <alignment horizontal="right"/>
    </xf>
    <xf numFmtId="166" fontId="11" fillId="21" borderId="5" xfId="0" applyNumberFormat="1" applyFont="1" applyFill="1" applyBorder="1" applyAlignment="1">
      <alignment horizontal="right"/>
    </xf>
    <xf numFmtId="0" fontId="11" fillId="21" borderId="5" xfId="0" applyFont="1" applyFill="1" applyBorder="1" applyAlignment="1">
      <alignment horizontal="right" indent="1"/>
    </xf>
    <xf numFmtId="0" fontId="17" fillId="21" borderId="5" xfId="0" applyFont="1" applyFill="1" applyBorder="1" applyAlignment="1">
      <alignment horizontal="right" vertical="center"/>
    </xf>
    <xf numFmtId="0" fontId="11" fillId="21" borderId="5" xfId="0" applyFont="1" applyFill="1" applyBorder="1" applyAlignment="1">
      <alignment horizontal="right" vertical="center"/>
    </xf>
    <xf numFmtId="0" fontId="10" fillId="21" borderId="5" xfId="0" applyFont="1" applyFill="1" applyBorder="1" applyAlignment="1">
      <alignment horizontal="right"/>
    </xf>
    <xf numFmtId="166" fontId="6" fillId="21" borderId="5" xfId="1" applyNumberFormat="1" applyFont="1" applyFill="1" applyBorder="1" applyAlignment="1"/>
    <xf numFmtId="166" fontId="11" fillId="21" borderId="5" xfId="1" applyNumberFormat="1" applyFont="1" applyFill="1" applyBorder="1" applyAlignment="1">
      <alignment horizontal="right" vertical="center"/>
    </xf>
    <xf numFmtId="164" fontId="10" fillId="21" borderId="5" xfId="3" applyNumberFormat="1" applyFont="1" applyFill="1" applyBorder="1" applyAlignment="1">
      <alignment horizontal="right"/>
    </xf>
    <xf numFmtId="164" fontId="11" fillId="21" borderId="5" xfId="3" applyNumberFormat="1" applyFont="1" applyFill="1" applyBorder="1" applyAlignment="1">
      <alignment horizontal="right" vertical="center"/>
    </xf>
    <xf numFmtId="164" fontId="27" fillId="21" borderId="5" xfId="3" applyNumberFormat="1" applyFont="1" applyFill="1" applyBorder="1" applyAlignment="1">
      <alignment horizontal="right" vertical="center"/>
    </xf>
    <xf numFmtId="164" fontId="18" fillId="21" borderId="5" xfId="3" applyNumberFormat="1" applyFont="1" applyFill="1" applyBorder="1" applyAlignment="1">
      <alignment horizontal="right" vertical="center"/>
    </xf>
    <xf numFmtId="164" fontId="10" fillId="21" borderId="5" xfId="3" applyNumberFormat="1" applyFont="1" applyFill="1" applyBorder="1" applyAlignment="1">
      <alignment horizontal="right" vertical="center"/>
    </xf>
    <xf numFmtId="164" fontId="13" fillId="21" borderId="5" xfId="3" applyNumberFormat="1" applyFont="1" applyFill="1" applyBorder="1" applyAlignment="1">
      <alignment horizontal="right"/>
    </xf>
    <xf numFmtId="0" fontId="25" fillId="21" borderId="5" xfId="0" applyFont="1" applyFill="1" applyBorder="1" applyAlignment="1">
      <alignment horizontal="right" vertical="center"/>
    </xf>
    <xf numFmtId="0" fontId="27" fillId="21" borderId="5" xfId="0" applyFont="1" applyFill="1" applyBorder="1" applyAlignment="1">
      <alignment horizontal="right" vertical="center"/>
    </xf>
    <xf numFmtId="0" fontId="16" fillId="21" borderId="5" xfId="0" applyFont="1" applyFill="1" applyBorder="1"/>
    <xf numFmtId="0" fontId="17" fillId="21" borderId="5" xfId="4" applyFont="1" applyFill="1" applyBorder="1" applyAlignment="1">
      <alignment horizontal="right"/>
    </xf>
    <xf numFmtId="166" fontId="17" fillId="21" borderId="5" xfId="0" applyNumberFormat="1" applyFont="1" applyFill="1" applyBorder="1" applyAlignment="1">
      <alignment vertical="center"/>
    </xf>
    <xf numFmtId="166" fontId="11" fillId="21" borderId="5" xfId="0" applyNumberFormat="1" applyFont="1" applyFill="1" applyBorder="1" applyAlignment="1">
      <alignment horizontal="right" vertical="center"/>
    </xf>
    <xf numFmtId="167" fontId="19" fillId="21" borderId="5" xfId="1" applyNumberFormat="1" applyFont="1" applyFill="1" applyBorder="1" applyAlignment="1" applyProtection="1">
      <alignment vertical="center"/>
    </xf>
    <xf numFmtId="165" fontId="16" fillId="21" borderId="5" xfId="0" applyNumberFormat="1" applyFont="1" applyFill="1" applyBorder="1"/>
    <xf numFmtId="165" fontId="16" fillId="21" borderId="5" xfId="2" applyNumberFormat="1" applyFont="1" applyFill="1" applyBorder="1"/>
    <xf numFmtId="0" fontId="16" fillId="21" borderId="6" xfId="0" applyFont="1" applyFill="1" applyBorder="1"/>
    <xf numFmtId="165" fontId="16" fillId="21" borderId="6" xfId="0" applyNumberFormat="1" applyFont="1" applyFill="1" applyBorder="1"/>
    <xf numFmtId="165" fontId="16" fillId="21" borderId="6" xfId="2" applyNumberFormat="1" applyFont="1" applyFill="1" applyBorder="1"/>
    <xf numFmtId="0" fontId="17" fillId="21" borderId="6" xfId="0" applyFont="1" applyFill="1" applyBorder="1"/>
    <xf numFmtId="0" fontId="23" fillId="21" borderId="6" xfId="0" applyFont="1" applyFill="1" applyBorder="1" applyAlignment="1">
      <alignment horizontal="right"/>
    </xf>
    <xf numFmtId="166" fontId="11" fillId="21" borderId="6" xfId="3" applyNumberFormat="1" applyFont="1" applyFill="1" applyBorder="1" applyAlignment="1">
      <alignment horizontal="right" vertical="center"/>
    </xf>
    <xf numFmtId="0" fontId="19" fillId="21" borderId="12" xfId="0" applyFont="1" applyFill="1" applyBorder="1"/>
    <xf numFmtId="165" fontId="16" fillId="21" borderId="12" xfId="0" applyNumberFormat="1" applyFont="1" applyFill="1" applyBorder="1"/>
    <xf numFmtId="0" fontId="23" fillId="21" borderId="12" xfId="0" applyFont="1" applyFill="1" applyBorder="1" applyAlignment="1">
      <alignment horizontal="right"/>
    </xf>
    <xf numFmtId="164" fontId="31" fillId="21" borderId="12" xfId="3" applyNumberFormat="1" applyFont="1" applyFill="1" applyBorder="1" applyAlignment="1">
      <alignment horizontal="right" vertical="center"/>
    </xf>
    <xf numFmtId="166" fontId="16" fillId="21" borderId="5" xfId="0" applyNumberFormat="1" applyFont="1" applyFill="1" applyBorder="1"/>
    <xf numFmtId="0" fontId="18" fillId="21" borderId="5" xfId="4" applyFont="1" applyFill="1" applyBorder="1" applyAlignment="1">
      <alignment horizontal="right"/>
    </xf>
    <xf numFmtId="166" fontId="16" fillId="21" borderId="6" xfId="0" applyNumberFormat="1" applyFont="1" applyFill="1" applyBorder="1" applyAlignment="1">
      <alignment vertical="center"/>
    </xf>
    <xf numFmtId="0" fontId="17" fillId="21" borderId="6" xfId="0" applyFont="1" applyFill="1" applyBorder="1" applyAlignment="1">
      <alignment horizontal="right"/>
    </xf>
    <xf numFmtId="0" fontId="18" fillId="21" borderId="6" xfId="4" applyFont="1" applyFill="1" applyBorder="1" applyAlignment="1">
      <alignment horizontal="right"/>
    </xf>
    <xf numFmtId="0" fontId="11" fillId="21" borderId="6" xfId="0" applyFont="1" applyFill="1" applyBorder="1" applyAlignment="1">
      <alignment horizontal="right"/>
    </xf>
    <xf numFmtId="0" fontId="9" fillId="21" borderId="11" xfId="0" applyFont="1" applyFill="1" applyBorder="1"/>
    <xf numFmtId="0" fontId="18" fillId="21" borderId="0" xfId="4" applyFont="1" applyFill="1" applyBorder="1" applyAlignment="1">
      <alignment horizontal="right"/>
    </xf>
    <xf numFmtId="0" fontId="9" fillId="21" borderId="17" xfId="0" applyFont="1" applyFill="1" applyBorder="1"/>
    <xf numFmtId="0" fontId="0" fillId="21" borderId="11" xfId="0" applyFill="1" applyBorder="1"/>
    <xf numFmtId="0" fontId="11" fillId="21" borderId="0" xfId="0" applyFont="1" applyFill="1" applyBorder="1" applyAlignment="1">
      <alignment vertical="top" wrapText="1"/>
    </xf>
    <xf numFmtId="164" fontId="11" fillId="21" borderId="12" xfId="3" applyNumberFormat="1" applyFont="1" applyFill="1" applyBorder="1" applyAlignment="1">
      <alignment vertical="center"/>
    </xf>
    <xf numFmtId="164" fontId="11" fillId="21" borderId="8" xfId="3" applyNumberFormat="1" applyFont="1" applyFill="1" applyBorder="1" applyAlignment="1">
      <alignment vertical="center" wrapText="1"/>
    </xf>
    <xf numFmtId="164" fontId="11" fillId="21" borderId="9" xfId="3" applyNumberFormat="1" applyFont="1" applyFill="1" applyBorder="1" applyAlignment="1">
      <alignment vertical="center" wrapText="1"/>
    </xf>
    <xf numFmtId="166" fontId="9" fillId="21" borderId="14" xfId="0" applyNumberFormat="1" applyFont="1" applyFill="1" applyBorder="1" applyAlignment="1"/>
    <xf numFmtId="0" fontId="23" fillId="21" borderId="5" xfId="0" applyFont="1" applyFill="1" applyBorder="1"/>
    <xf numFmtId="0" fontId="9" fillId="21" borderId="17" xfId="0" applyFont="1" applyFill="1" applyBorder="1" applyAlignment="1"/>
    <xf numFmtId="0" fontId="9" fillId="21" borderId="16" xfId="0" applyFont="1" applyFill="1" applyBorder="1" applyAlignment="1"/>
    <xf numFmtId="0" fontId="9" fillId="21" borderId="24" xfId="0" applyFont="1" applyFill="1" applyBorder="1" applyAlignment="1"/>
    <xf numFmtId="166" fontId="15" fillId="21" borderId="0" xfId="0" applyNumberFormat="1" applyFont="1" applyFill="1" applyBorder="1" applyAlignment="1">
      <alignment vertical="center"/>
    </xf>
    <xf numFmtId="166" fontId="16" fillId="21" borderId="0" xfId="0" applyNumberFormat="1" applyFont="1" applyFill="1" applyBorder="1" applyAlignment="1">
      <alignment vertical="center"/>
    </xf>
    <xf numFmtId="166" fontId="15" fillId="21" borderId="0" xfId="1" applyNumberFormat="1" applyFont="1" applyFill="1" applyBorder="1" applyAlignment="1">
      <alignment vertical="center"/>
    </xf>
    <xf numFmtId="166" fontId="16" fillId="21" borderId="0" xfId="1" applyNumberFormat="1" applyFont="1" applyFill="1" applyBorder="1" applyAlignment="1">
      <alignment vertical="center"/>
    </xf>
    <xf numFmtId="166" fontId="16" fillId="21" borderId="1" xfId="0" applyNumberFormat="1" applyFont="1" applyFill="1" applyBorder="1" applyAlignment="1">
      <alignment vertical="center"/>
    </xf>
    <xf numFmtId="166" fontId="15" fillId="21" borderId="7" xfId="0" applyNumberFormat="1" applyFont="1" applyFill="1" applyBorder="1" applyAlignment="1">
      <alignment vertical="center"/>
    </xf>
    <xf numFmtId="166" fontId="16" fillId="21" borderId="7" xfId="0" applyNumberFormat="1" applyFont="1" applyFill="1" applyBorder="1" applyAlignment="1">
      <alignment vertical="center"/>
    </xf>
    <xf numFmtId="166" fontId="16" fillId="21" borderId="7" xfId="1" applyNumberFormat="1" applyFont="1" applyFill="1" applyBorder="1" applyAlignment="1">
      <alignment vertical="center"/>
    </xf>
    <xf numFmtId="166" fontId="15" fillId="21" borderId="7" xfId="1" applyNumberFormat="1" applyFont="1" applyFill="1" applyBorder="1" applyAlignment="1">
      <alignment vertical="center"/>
    </xf>
    <xf numFmtId="166" fontId="15" fillId="21" borderId="7" xfId="0" applyNumberFormat="1" applyFont="1" applyFill="1" applyBorder="1"/>
    <xf numFmtId="166" fontId="15" fillId="21" borderId="7" xfId="0" applyNumberFormat="1" applyFont="1" applyFill="1" applyBorder="1" applyAlignment="1"/>
    <xf numFmtId="166" fontId="17" fillId="21" borderId="9" xfId="0" applyNumberFormat="1" applyFont="1" applyFill="1" applyBorder="1" applyAlignment="1"/>
    <xf numFmtId="0" fontId="17" fillId="21" borderId="9" xfId="0" applyFont="1" applyFill="1" applyBorder="1" applyAlignment="1">
      <alignment horizontal="right"/>
    </xf>
    <xf numFmtId="0" fontId="25" fillId="21" borderId="9" xfId="0" applyFont="1" applyFill="1" applyBorder="1" applyAlignment="1">
      <alignment horizontal="right"/>
    </xf>
    <xf numFmtId="166" fontId="17" fillId="21" borderId="9" xfId="0" applyNumberFormat="1" applyFont="1" applyFill="1" applyBorder="1" applyAlignment="1">
      <alignment horizontal="right"/>
    </xf>
    <xf numFmtId="0" fontId="17" fillId="21" borderId="9" xfId="0" applyFont="1" applyFill="1" applyBorder="1" applyAlignment="1">
      <alignment horizontal="right" vertical="center"/>
    </xf>
    <xf numFmtId="166" fontId="6" fillId="21" borderId="9" xfId="1" applyNumberFormat="1" applyFont="1" applyFill="1" applyBorder="1" applyAlignment="1"/>
    <xf numFmtId="0" fontId="25" fillId="21" borderId="9" xfId="0" applyFont="1" applyFill="1" applyBorder="1" applyAlignment="1">
      <alignment horizontal="right" vertical="center"/>
    </xf>
    <xf numFmtId="0" fontId="17" fillId="21" borderId="9" xfId="0" applyFont="1" applyFill="1" applyBorder="1"/>
    <xf numFmtId="166" fontId="17" fillId="21" borderId="9" xfId="0" applyNumberFormat="1" applyFont="1" applyFill="1" applyBorder="1" applyAlignment="1">
      <alignment vertical="center"/>
    </xf>
    <xf numFmtId="0" fontId="17" fillId="21" borderId="9" xfId="0" applyFont="1" applyFill="1" applyBorder="1" applyAlignment="1"/>
    <xf numFmtId="166" fontId="15" fillId="21" borderId="10" xfId="1" applyNumberFormat="1" applyFont="1" applyFill="1" applyBorder="1" applyAlignment="1">
      <alignment vertical="center"/>
    </xf>
    <xf numFmtId="166" fontId="15" fillId="21" borderId="0" xfId="0" applyNumberFormat="1" applyFont="1" applyFill="1" applyBorder="1"/>
    <xf numFmtId="166" fontId="15" fillId="21" borderId="0" xfId="0" applyNumberFormat="1" applyFont="1" applyFill="1" applyBorder="1" applyAlignment="1"/>
    <xf numFmtId="166" fontId="16" fillId="21" borderId="7" xfId="0" applyNumberFormat="1" applyFont="1" applyFill="1" applyBorder="1"/>
    <xf numFmtId="166" fontId="16" fillId="21" borderId="37" xfId="0" applyNumberFormat="1" applyFont="1" applyFill="1" applyBorder="1" applyAlignment="1">
      <alignment vertical="center"/>
    </xf>
    <xf numFmtId="0" fontId="17" fillId="21" borderId="13" xfId="0" applyFont="1" applyFill="1" applyBorder="1" applyAlignment="1">
      <alignment horizontal="right"/>
    </xf>
    <xf numFmtId="165" fontId="16" fillId="21" borderId="10" xfId="0" applyNumberFormat="1" applyFont="1" applyFill="1" applyBorder="1"/>
    <xf numFmtId="166" fontId="15" fillId="21" borderId="38" xfId="1" applyNumberFormat="1" applyFont="1" applyFill="1" applyBorder="1" applyAlignment="1">
      <alignment vertical="center"/>
    </xf>
    <xf numFmtId="166" fontId="6" fillId="21" borderId="24" xfId="1" applyNumberFormat="1" applyFont="1" applyFill="1" applyBorder="1" applyAlignment="1"/>
    <xf numFmtId="43" fontId="7" fillId="21" borderId="11" xfId="1" applyFont="1" applyFill="1" applyBorder="1" applyAlignment="1">
      <alignment horizontal="right"/>
    </xf>
    <xf numFmtId="43" fontId="9" fillId="21" borderId="14" xfId="1" applyFont="1" applyFill="1" applyBorder="1" applyAlignment="1"/>
    <xf numFmtId="166" fontId="15" fillId="21" borderId="2" xfId="1" applyNumberFormat="1" applyFont="1" applyFill="1" applyBorder="1" applyAlignment="1">
      <alignment vertical="center"/>
    </xf>
    <xf numFmtId="166" fontId="16" fillId="21" borderId="0" xfId="0" applyNumberFormat="1" applyFont="1" applyFill="1" applyBorder="1"/>
    <xf numFmtId="164" fontId="56" fillId="21" borderId="0" xfId="3" applyNumberFormat="1" applyFont="1" applyFill="1" applyAlignment="1">
      <alignment horizontal="left" vertical="center" indent="2"/>
    </xf>
    <xf numFmtId="0" fontId="57" fillId="21" borderId="0" xfId="0" applyFont="1" applyFill="1" applyBorder="1"/>
    <xf numFmtId="0" fontId="58" fillId="21" borderId="0" xfId="0" applyFont="1" applyFill="1" applyBorder="1" applyAlignment="1">
      <alignment vertical="top" wrapText="1"/>
    </xf>
    <xf numFmtId="0" fontId="59" fillId="21" borderId="24" xfId="0" applyFont="1" applyFill="1" applyBorder="1"/>
    <xf numFmtId="0" fontId="1" fillId="21" borderId="12" xfId="0" applyFont="1" applyFill="1" applyBorder="1"/>
    <xf numFmtId="164" fontId="58" fillId="21" borderId="0" xfId="3" applyNumberFormat="1" applyFont="1" applyFill="1" applyBorder="1" applyAlignment="1">
      <alignment vertical="center" readingOrder="2"/>
    </xf>
    <xf numFmtId="165" fontId="16" fillId="21" borderId="5" xfId="0" applyNumberFormat="1" applyFont="1" applyFill="1" applyBorder="1" applyAlignment="1">
      <alignment horizontal="left" vertical="center" indent="1"/>
    </xf>
    <xf numFmtId="0" fontId="7" fillId="21" borderId="22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164" fontId="58" fillId="21" borderId="0" xfId="3" applyNumberFormat="1" applyFont="1" applyFill="1" applyBorder="1" applyAlignment="1">
      <alignment horizontal="right" vertical="center" readingOrder="2"/>
    </xf>
    <xf numFmtId="164" fontId="3" fillId="21" borderId="7" xfId="3" applyNumberFormat="1" applyFont="1" applyFill="1" applyBorder="1" applyAlignment="1">
      <alignment horizontal="center" vertical="center" readingOrder="2"/>
    </xf>
    <xf numFmtId="164" fontId="3" fillId="21" borderId="8" xfId="3" applyNumberFormat="1" applyFont="1" applyFill="1" applyBorder="1" applyAlignment="1">
      <alignment horizontal="center" vertical="center" readingOrder="2"/>
    </xf>
    <xf numFmtId="0" fontId="7" fillId="21" borderId="22" xfId="0" applyFont="1" applyFill="1" applyBorder="1" applyAlignment="1">
      <alignment horizontal="center" vertical="center"/>
    </xf>
    <xf numFmtId="164" fontId="3" fillId="21" borderId="9" xfId="3" applyNumberFormat="1" applyFont="1" applyFill="1" applyBorder="1" applyAlignment="1">
      <alignment horizontal="center" vertical="center" readingOrder="2"/>
    </xf>
    <xf numFmtId="164" fontId="60" fillId="21" borderId="7" xfId="3" applyNumberFormat="1" applyFont="1" applyFill="1" applyBorder="1" applyAlignment="1" applyProtection="1">
      <alignment horizontal="center" vertical="center"/>
    </xf>
    <xf numFmtId="164" fontId="60" fillId="21" borderId="8" xfId="3" applyNumberFormat="1" applyFont="1" applyFill="1" applyBorder="1" applyAlignment="1" applyProtection="1">
      <alignment horizontal="center" vertical="center"/>
    </xf>
    <xf numFmtId="164" fontId="60" fillId="21" borderId="9" xfId="3" applyNumberFormat="1" applyFont="1" applyFill="1" applyBorder="1" applyAlignment="1" applyProtection="1">
      <alignment horizontal="center" vertical="center"/>
    </xf>
    <xf numFmtId="0" fontId="26" fillId="21" borderId="7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6" fillId="21" borderId="9" xfId="0" applyFont="1" applyFill="1" applyBorder="1" applyAlignment="1">
      <alignment horizontal="center"/>
    </xf>
    <xf numFmtId="0" fontId="44" fillId="21" borderId="18" xfId="0" applyFont="1" applyFill="1" applyBorder="1" applyAlignment="1">
      <alignment horizontal="center"/>
    </xf>
    <xf numFmtId="0" fontId="44" fillId="21" borderId="19" xfId="0" applyFont="1" applyFill="1" applyBorder="1" applyAlignment="1">
      <alignment horizontal="center"/>
    </xf>
    <xf numFmtId="0" fontId="44" fillId="21" borderId="20" xfId="0" applyFont="1" applyFill="1" applyBorder="1" applyAlignment="1">
      <alignment horizontal="center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L127"/>
  <sheetViews>
    <sheetView tabSelected="1" zoomScaleNormal="100" zoomScaleSheetLayoutView="78" workbookViewId="0">
      <selection activeCell="T15" sqref="T15"/>
    </sheetView>
  </sheetViews>
  <sheetFormatPr defaultColWidth="9.140625" defaultRowHeight="18.75" x14ac:dyDescent="0.5"/>
  <cols>
    <col min="1" max="1" width="46.7109375" style="21" customWidth="1"/>
    <col min="2" max="2" width="2.7109375" style="21" customWidth="1"/>
    <col min="3" max="6" width="13.140625" style="21" hidden="1" customWidth="1"/>
    <col min="7" max="7" width="1.85546875" style="21" hidden="1" customWidth="1"/>
    <col min="8" max="11" width="13.140625" style="21" customWidth="1"/>
    <col min="12" max="12" width="1.85546875" style="21" customWidth="1"/>
    <col min="13" max="16" width="13.140625" style="21" customWidth="1"/>
    <col min="17" max="17" width="1.42578125" style="21" customWidth="1"/>
    <col min="18" max="21" width="13.140625" style="21" customWidth="1"/>
    <col min="22" max="22" width="1.42578125" style="21" customWidth="1"/>
    <col min="23" max="26" width="13.140625" style="21" customWidth="1"/>
    <col min="27" max="27" width="35.42578125" style="21" customWidth="1"/>
    <col min="28" max="28" width="4.28515625" style="21" customWidth="1"/>
    <col min="29" max="29" width="3.7109375" style="109" customWidth="1"/>
    <col min="30" max="30" width="3.5703125" style="109" customWidth="1"/>
    <col min="31" max="31" width="2.7109375" style="21" customWidth="1"/>
    <col min="32" max="16384" width="9.140625" style="21"/>
  </cols>
  <sheetData>
    <row r="1" spans="1:31" ht="21.75" x14ac:dyDescent="0.25">
      <c r="A1" s="157" t="s">
        <v>93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60"/>
    </row>
    <row r="2" spans="1:31" s="27" customFormat="1" ht="15.75" x14ac:dyDescent="0.25">
      <c r="A2" s="161" t="s">
        <v>94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3"/>
    </row>
    <row r="3" spans="1:31" ht="19.5" x14ac:dyDescent="0.5">
      <c r="A3" s="164" t="s">
        <v>0</v>
      </c>
      <c r="B3" s="165"/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  <c r="AD3" s="165"/>
      <c r="AE3" s="166"/>
    </row>
    <row r="4" spans="1:31" ht="15.75" x14ac:dyDescent="0.25">
      <c r="A4" s="167" t="s">
        <v>1</v>
      </c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9"/>
    </row>
    <row r="5" spans="1:31" ht="18" x14ac:dyDescent="0.45">
      <c r="A5" s="28"/>
      <c r="B5" s="29"/>
      <c r="C5" s="155">
        <v>2013</v>
      </c>
      <c r="D5" s="155"/>
      <c r="E5" s="155"/>
      <c r="F5" s="155"/>
      <c r="G5" s="154"/>
      <c r="H5" s="155">
        <v>2014</v>
      </c>
      <c r="I5" s="155"/>
      <c r="J5" s="155"/>
      <c r="K5" s="155"/>
      <c r="L5" s="154"/>
      <c r="M5" s="159">
        <v>2015</v>
      </c>
      <c r="N5" s="159"/>
      <c r="O5" s="159"/>
      <c r="P5" s="159"/>
      <c r="Q5" s="29"/>
      <c r="R5" s="159">
        <v>2016</v>
      </c>
      <c r="S5" s="159"/>
      <c r="T5" s="159"/>
      <c r="U5" s="159"/>
      <c r="V5" s="29"/>
      <c r="W5" s="159">
        <v>2017</v>
      </c>
      <c r="X5" s="159"/>
      <c r="Y5" s="159"/>
      <c r="Z5" s="159"/>
      <c r="AA5" s="30"/>
      <c r="AB5" s="30"/>
      <c r="AC5" s="31"/>
      <c r="AD5" s="32"/>
      <c r="AE5" s="33"/>
    </row>
    <row r="6" spans="1:31" ht="18" x14ac:dyDescent="0.45">
      <c r="A6" s="34" t="s">
        <v>2</v>
      </c>
      <c r="B6" s="13"/>
      <c r="C6" s="2" t="s">
        <v>3</v>
      </c>
      <c r="D6" s="2" t="s">
        <v>4</v>
      </c>
      <c r="E6" s="2" t="s">
        <v>5</v>
      </c>
      <c r="F6" s="2" t="s">
        <v>7</v>
      </c>
      <c r="G6" s="12"/>
      <c r="H6" s="12" t="s">
        <v>3</v>
      </c>
      <c r="I6" s="12" t="s">
        <v>4</v>
      </c>
      <c r="J6" s="12" t="s">
        <v>5</v>
      </c>
      <c r="K6" s="12" t="s">
        <v>7</v>
      </c>
      <c r="L6" s="12"/>
      <c r="M6" s="12" t="s">
        <v>3</v>
      </c>
      <c r="N6" s="12" t="s">
        <v>4</v>
      </c>
      <c r="O6" s="12" t="s">
        <v>5</v>
      </c>
      <c r="P6" s="1" t="s">
        <v>6</v>
      </c>
      <c r="Q6" s="12"/>
      <c r="R6" s="12" t="s">
        <v>3</v>
      </c>
      <c r="S6" s="12" t="s">
        <v>4</v>
      </c>
      <c r="T6" s="12" t="s">
        <v>5</v>
      </c>
      <c r="U6" s="12" t="s">
        <v>7</v>
      </c>
      <c r="V6" s="12"/>
      <c r="W6" s="12" t="s">
        <v>3</v>
      </c>
      <c r="X6" s="12" t="s">
        <v>4</v>
      </c>
      <c r="Y6" s="12" t="s">
        <v>5</v>
      </c>
      <c r="Z6" s="12" t="s">
        <v>7</v>
      </c>
      <c r="AA6" s="35"/>
      <c r="AB6" s="35"/>
      <c r="AC6" s="36"/>
      <c r="AD6" s="37" t="s">
        <v>8</v>
      </c>
      <c r="AE6" s="26"/>
    </row>
    <row r="7" spans="1:31" ht="15.75" customHeight="1" x14ac:dyDescent="0.45">
      <c r="A7" s="38"/>
      <c r="B7" s="39"/>
      <c r="C7" s="3" t="s">
        <v>9</v>
      </c>
      <c r="D7" s="3" t="s">
        <v>10</v>
      </c>
      <c r="E7" s="3" t="s">
        <v>11</v>
      </c>
      <c r="F7" s="3" t="s">
        <v>26</v>
      </c>
      <c r="G7" s="39"/>
      <c r="H7" s="39" t="s">
        <v>9</v>
      </c>
      <c r="I7" s="39" t="s">
        <v>10</v>
      </c>
      <c r="J7" s="39" t="s">
        <v>11</v>
      </c>
      <c r="K7" s="39" t="s">
        <v>26</v>
      </c>
      <c r="L7" s="39"/>
      <c r="M7" s="143" t="s">
        <v>9</v>
      </c>
      <c r="N7" s="143" t="s">
        <v>10</v>
      </c>
      <c r="O7" s="143" t="s">
        <v>11</v>
      </c>
      <c r="P7" s="14" t="s">
        <v>29</v>
      </c>
      <c r="Q7" s="143"/>
      <c r="R7" s="143" t="s">
        <v>9</v>
      </c>
      <c r="S7" s="143" t="s">
        <v>10</v>
      </c>
      <c r="T7" s="143" t="s">
        <v>11</v>
      </c>
      <c r="U7" s="143" t="s">
        <v>26</v>
      </c>
      <c r="V7" s="143"/>
      <c r="W7" s="143" t="s">
        <v>9</v>
      </c>
      <c r="X7" s="143" t="s">
        <v>10</v>
      </c>
      <c r="Y7" s="143" t="s">
        <v>11</v>
      </c>
      <c r="Z7" s="143" t="s">
        <v>26</v>
      </c>
      <c r="AA7" s="40"/>
      <c r="AB7" s="40"/>
      <c r="AC7" s="41"/>
      <c r="AD7" s="42"/>
      <c r="AE7" s="43"/>
    </row>
    <row r="8" spans="1:31" s="18" customFormat="1" ht="17.25" x14ac:dyDescent="0.45">
      <c r="A8" s="44" t="s">
        <v>30</v>
      </c>
      <c r="B8" s="45"/>
      <c r="C8" s="134">
        <v>33570.961000000003</v>
      </c>
      <c r="D8" s="134">
        <v>33805.148999999998</v>
      </c>
      <c r="E8" s="134">
        <v>33532.502000000008</v>
      </c>
      <c r="F8" s="134">
        <v>34984.956000000006</v>
      </c>
      <c r="G8" s="134"/>
      <c r="H8" s="134">
        <v>41178.503999999994</v>
      </c>
      <c r="I8" s="134">
        <v>39459.148000000001</v>
      </c>
      <c r="J8" s="134">
        <v>39845.623651673399</v>
      </c>
      <c r="K8" s="134">
        <v>40354.845002959999</v>
      </c>
      <c r="L8" s="141"/>
      <c r="M8" s="145">
        <v>42098.28</v>
      </c>
      <c r="N8" s="145">
        <v>42878.508000000002</v>
      </c>
      <c r="O8" s="145">
        <v>43358.797999999988</v>
      </c>
      <c r="P8" s="145">
        <v>44142.386999999995</v>
      </c>
      <c r="Q8" s="145"/>
      <c r="R8" s="145">
        <v>47187.440999999999</v>
      </c>
      <c r="S8" s="145">
        <v>46849.615000000005</v>
      </c>
      <c r="T8" s="145">
        <v>47600.88700000001</v>
      </c>
      <c r="U8" s="145">
        <v>46379.371999999996</v>
      </c>
      <c r="V8" s="145"/>
      <c r="W8" s="145">
        <v>47387.270999999993</v>
      </c>
      <c r="X8" s="145">
        <v>47512.122000000003</v>
      </c>
      <c r="Y8" s="145">
        <v>46127.827999999994</v>
      </c>
      <c r="Z8" s="145">
        <v>48872.471999999994</v>
      </c>
      <c r="AA8" s="142"/>
      <c r="AB8" s="46"/>
      <c r="AC8" s="47"/>
      <c r="AD8" s="48" t="s">
        <v>31</v>
      </c>
      <c r="AE8" s="49"/>
    </row>
    <row r="9" spans="1:31" s="18" customFormat="1" ht="17.25" x14ac:dyDescent="0.45">
      <c r="A9" s="20" t="s">
        <v>32</v>
      </c>
      <c r="B9" s="118"/>
      <c r="C9" s="113">
        <v>4400.8339999999998</v>
      </c>
      <c r="D9" s="113">
        <v>3514.067</v>
      </c>
      <c r="E9" s="113">
        <v>3617.0369999999998</v>
      </c>
      <c r="F9" s="113">
        <v>4727.7890000000007</v>
      </c>
      <c r="G9" s="113"/>
      <c r="H9" s="113">
        <v>7340.5570000000007</v>
      </c>
      <c r="I9" s="113">
        <v>5903.7850000000008</v>
      </c>
      <c r="J9" s="113">
        <v>4556.3306516733992</v>
      </c>
      <c r="K9" s="113">
        <v>4600.5140000000001</v>
      </c>
      <c r="L9" s="113"/>
      <c r="M9" s="113">
        <v>5209.4740000000011</v>
      </c>
      <c r="N9" s="113">
        <v>5203.68</v>
      </c>
      <c r="O9" s="113">
        <v>4747.0309999999999</v>
      </c>
      <c r="P9" s="113">
        <v>5112.7849999999999</v>
      </c>
      <c r="Q9" s="113"/>
      <c r="R9" s="113">
        <v>5610.7910000000011</v>
      </c>
      <c r="S9" s="113">
        <v>5005.8369999999995</v>
      </c>
      <c r="T9" s="113">
        <v>5388.3660000000009</v>
      </c>
      <c r="U9" s="113">
        <v>4519.4179999999997</v>
      </c>
      <c r="V9" s="113"/>
      <c r="W9" s="113">
        <v>4619.8140000000003</v>
      </c>
      <c r="X9" s="113">
        <v>3928.1240000000003</v>
      </c>
      <c r="Y9" s="113">
        <v>3230.3100000000004</v>
      </c>
      <c r="Z9" s="113">
        <v>3906.5149999999999</v>
      </c>
      <c r="AA9" s="124"/>
      <c r="AB9" s="50"/>
      <c r="AC9" s="51"/>
      <c r="AD9" s="52" t="s">
        <v>46</v>
      </c>
    </row>
    <row r="10" spans="1:31" s="18" customFormat="1" ht="17.25" x14ac:dyDescent="0.45">
      <c r="A10" s="20" t="s">
        <v>47</v>
      </c>
      <c r="B10" s="118"/>
      <c r="C10" s="113">
        <v>369.072</v>
      </c>
      <c r="D10" s="113">
        <v>408.654</v>
      </c>
      <c r="E10" s="113">
        <v>402.33</v>
      </c>
      <c r="F10" s="113">
        <v>450.54199999999997</v>
      </c>
      <c r="G10" s="113"/>
      <c r="H10" s="113">
        <v>406.68799999999999</v>
      </c>
      <c r="I10" s="113">
        <v>490.03899999999999</v>
      </c>
      <c r="J10" s="113">
        <v>411.94799999999998</v>
      </c>
      <c r="K10" s="113">
        <v>416.71899999999999</v>
      </c>
      <c r="L10" s="113"/>
      <c r="M10" s="113">
        <v>467.10300000000001</v>
      </c>
      <c r="N10" s="113">
        <v>489.99700000000001</v>
      </c>
      <c r="O10" s="113">
        <v>555.53800000000001</v>
      </c>
      <c r="P10" s="113">
        <v>464.55</v>
      </c>
      <c r="Q10" s="113"/>
      <c r="R10" s="113">
        <v>568.15200000000004</v>
      </c>
      <c r="S10" s="113">
        <v>636.24300000000005</v>
      </c>
      <c r="T10" s="113">
        <v>548.23699999999997</v>
      </c>
      <c r="U10" s="113">
        <v>548.50199999999995</v>
      </c>
      <c r="V10" s="113"/>
      <c r="W10" s="113">
        <v>598.27</v>
      </c>
      <c r="X10" s="113">
        <v>648.39099999999996</v>
      </c>
      <c r="Y10" s="113">
        <v>609.23900000000003</v>
      </c>
      <c r="Z10" s="113">
        <v>582.66399999999999</v>
      </c>
      <c r="AA10" s="125"/>
      <c r="AB10" s="53"/>
      <c r="AC10" s="54"/>
      <c r="AD10" s="55" t="s">
        <v>48</v>
      </c>
    </row>
    <row r="11" spans="1:31" s="18" customFormat="1" ht="18" x14ac:dyDescent="0.45">
      <c r="A11" s="20" t="s">
        <v>49</v>
      </c>
      <c r="B11" s="118"/>
      <c r="C11" s="113">
        <v>6271.2470000000003</v>
      </c>
      <c r="D11" s="113">
        <v>6819.81</v>
      </c>
      <c r="E11" s="113">
        <v>6197.8610000000008</v>
      </c>
      <c r="F11" s="113">
        <v>6457.799</v>
      </c>
      <c r="G11" s="113"/>
      <c r="H11" s="113">
        <v>8029.8739999999998</v>
      </c>
      <c r="I11" s="113">
        <v>9025.7970000000005</v>
      </c>
      <c r="J11" s="113">
        <v>10021.425999999999</v>
      </c>
      <c r="K11" s="113">
        <v>11079.838</v>
      </c>
      <c r="L11" s="113"/>
      <c r="M11" s="113">
        <v>11577.026</v>
      </c>
      <c r="N11" s="113">
        <v>12459.741</v>
      </c>
      <c r="O11" s="113">
        <v>10554.111000000001</v>
      </c>
      <c r="P11" s="113">
        <v>10345.530000000001</v>
      </c>
      <c r="Q11" s="113"/>
      <c r="R11" s="113">
        <v>11656.470000000001</v>
      </c>
      <c r="S11" s="113">
        <v>10860.045</v>
      </c>
      <c r="T11" s="113">
        <v>10148.405999999999</v>
      </c>
      <c r="U11" s="113">
        <v>9133.1270000000004</v>
      </c>
      <c r="V11" s="113"/>
      <c r="W11" s="113">
        <v>9551.1569999999992</v>
      </c>
      <c r="X11" s="113">
        <v>9101.9359999999997</v>
      </c>
      <c r="Y11" s="113">
        <v>9737.402</v>
      </c>
      <c r="Z11" s="113">
        <v>10508.328000000001</v>
      </c>
      <c r="AA11" s="126"/>
      <c r="AB11" s="56"/>
      <c r="AC11" s="57"/>
      <c r="AD11" s="52" t="s">
        <v>50</v>
      </c>
    </row>
    <row r="12" spans="1:31" s="18" customFormat="1" ht="17.25" x14ac:dyDescent="0.45">
      <c r="A12" s="20" t="s">
        <v>39</v>
      </c>
      <c r="B12" s="118"/>
      <c r="C12" s="113">
        <v>3786.13</v>
      </c>
      <c r="D12" s="113">
        <v>3970.0610000000001</v>
      </c>
      <c r="E12" s="113">
        <v>3825.38</v>
      </c>
      <c r="F12" s="113">
        <v>3937.22</v>
      </c>
      <c r="G12" s="113"/>
      <c r="H12" s="113">
        <v>5036.8469999999998</v>
      </c>
      <c r="I12" s="113">
        <v>5788.2250000000004</v>
      </c>
      <c r="J12" s="113">
        <v>5550.8680000000004</v>
      </c>
      <c r="K12" s="113">
        <v>5788.2049999999999</v>
      </c>
      <c r="L12" s="113"/>
      <c r="M12" s="113">
        <v>6317.7650000000003</v>
      </c>
      <c r="N12" s="113">
        <v>6752.973</v>
      </c>
      <c r="O12" s="113">
        <v>8155.7859999999991</v>
      </c>
      <c r="P12" s="113">
        <v>8324.098</v>
      </c>
      <c r="Q12" s="113"/>
      <c r="R12" s="113">
        <v>8942.1830000000009</v>
      </c>
      <c r="S12" s="113">
        <v>9568.4909999999982</v>
      </c>
      <c r="T12" s="113">
        <v>9994.2340000000004</v>
      </c>
      <c r="U12" s="113">
        <v>10612.631000000001</v>
      </c>
      <c r="V12" s="113"/>
      <c r="W12" s="113">
        <v>10379.535000000002</v>
      </c>
      <c r="X12" s="113">
        <v>10295.951000000001</v>
      </c>
      <c r="Y12" s="113">
        <v>8576.89</v>
      </c>
      <c r="Z12" s="113">
        <v>9092.6099999999988</v>
      </c>
      <c r="AA12" s="125"/>
      <c r="AB12" s="53"/>
      <c r="AC12" s="58"/>
      <c r="AD12" s="59" t="s">
        <v>51</v>
      </c>
    </row>
    <row r="13" spans="1:31" s="18" customFormat="1" ht="17.25" x14ac:dyDescent="0.45">
      <c r="A13" s="22" t="s">
        <v>52</v>
      </c>
      <c r="B13" s="119"/>
      <c r="C13" s="114">
        <v>0</v>
      </c>
      <c r="D13" s="114">
        <v>0</v>
      </c>
      <c r="E13" s="114">
        <v>0</v>
      </c>
      <c r="F13" s="114">
        <v>0</v>
      </c>
      <c r="G13" s="114"/>
      <c r="H13" s="114">
        <v>0</v>
      </c>
      <c r="I13" s="114">
        <v>0</v>
      </c>
      <c r="J13" s="114">
        <v>0</v>
      </c>
      <c r="K13" s="114">
        <v>0</v>
      </c>
      <c r="L13" s="114"/>
      <c r="M13" s="114">
        <v>0</v>
      </c>
      <c r="N13" s="114">
        <v>0</v>
      </c>
      <c r="O13" s="114">
        <v>0</v>
      </c>
      <c r="P13" s="114">
        <v>0</v>
      </c>
      <c r="Q13" s="114"/>
      <c r="R13" s="114">
        <v>0</v>
      </c>
      <c r="S13" s="114">
        <v>0</v>
      </c>
      <c r="T13" s="114">
        <v>0</v>
      </c>
      <c r="U13" s="114">
        <v>0</v>
      </c>
      <c r="V13" s="114"/>
      <c r="W13" s="114">
        <v>0</v>
      </c>
      <c r="X13" s="114">
        <v>0</v>
      </c>
      <c r="Y13" s="114">
        <v>0</v>
      </c>
      <c r="Z13" s="114">
        <v>0</v>
      </c>
      <c r="AA13" s="127"/>
      <c r="AB13" s="60"/>
      <c r="AC13" s="58" t="s">
        <v>53</v>
      </c>
      <c r="AD13" s="61"/>
    </row>
    <row r="14" spans="1:31" s="18" customFormat="1" ht="17.25" x14ac:dyDescent="0.45">
      <c r="A14" s="22" t="s">
        <v>54</v>
      </c>
      <c r="B14" s="119"/>
      <c r="C14" s="114">
        <v>3786.13</v>
      </c>
      <c r="D14" s="114">
        <v>3970.0610000000001</v>
      </c>
      <c r="E14" s="114">
        <v>3825.38</v>
      </c>
      <c r="F14" s="114">
        <v>3937.22</v>
      </c>
      <c r="G14" s="114"/>
      <c r="H14" s="114">
        <v>5036.8469999999998</v>
      </c>
      <c r="I14" s="114">
        <v>5788.2250000000004</v>
      </c>
      <c r="J14" s="114">
        <v>5550.8680000000004</v>
      </c>
      <c r="K14" s="114">
        <v>5788.2049999999999</v>
      </c>
      <c r="L14" s="114"/>
      <c r="M14" s="114">
        <v>6317.7650000000003</v>
      </c>
      <c r="N14" s="114">
        <v>6752.973</v>
      </c>
      <c r="O14" s="114">
        <v>7502.28</v>
      </c>
      <c r="P14" s="114">
        <v>7668.826</v>
      </c>
      <c r="Q14" s="114"/>
      <c r="R14" s="114">
        <v>8284.4480000000003</v>
      </c>
      <c r="S14" s="114">
        <v>8908.1849999999995</v>
      </c>
      <c r="T14" s="114">
        <v>9397.8539999999994</v>
      </c>
      <c r="U14" s="114">
        <v>10016.342000000001</v>
      </c>
      <c r="V14" s="114"/>
      <c r="W14" s="114">
        <v>9783.1200000000008</v>
      </c>
      <c r="X14" s="114">
        <v>9699.4539999999997</v>
      </c>
      <c r="Y14" s="114">
        <v>8036.8980000000001</v>
      </c>
      <c r="Z14" s="114">
        <v>8571.8639999999996</v>
      </c>
      <c r="AA14" s="127"/>
      <c r="AB14" s="60"/>
      <c r="AC14" s="62" t="s">
        <v>55</v>
      </c>
      <c r="AD14" s="61"/>
    </row>
    <row r="15" spans="1:31" s="18" customFormat="1" ht="17.25" x14ac:dyDescent="0.45">
      <c r="A15" s="22" t="s">
        <v>56</v>
      </c>
      <c r="B15" s="120"/>
      <c r="C15" s="116">
        <v>0</v>
      </c>
      <c r="D15" s="116">
        <v>0</v>
      </c>
      <c r="E15" s="116">
        <v>0</v>
      </c>
      <c r="F15" s="116">
        <v>0</v>
      </c>
      <c r="G15" s="116"/>
      <c r="H15" s="116">
        <v>0</v>
      </c>
      <c r="I15" s="116">
        <v>0</v>
      </c>
      <c r="J15" s="116">
        <v>0</v>
      </c>
      <c r="K15" s="116">
        <v>0</v>
      </c>
      <c r="L15" s="116"/>
      <c r="M15" s="116">
        <v>0</v>
      </c>
      <c r="N15" s="116">
        <v>0</v>
      </c>
      <c r="O15" s="116">
        <v>115.65</v>
      </c>
      <c r="P15" s="116">
        <v>115.65</v>
      </c>
      <c r="Q15" s="116"/>
      <c r="R15" s="116">
        <v>115.65</v>
      </c>
      <c r="S15" s="116">
        <v>115.65</v>
      </c>
      <c r="T15" s="116">
        <v>57.825000000000003</v>
      </c>
      <c r="U15" s="116">
        <v>57.825000000000003</v>
      </c>
      <c r="V15" s="116"/>
      <c r="W15" s="116">
        <v>57.825000000000003</v>
      </c>
      <c r="X15" s="116">
        <v>57.825000000000003</v>
      </c>
      <c r="Y15" s="116">
        <v>0</v>
      </c>
      <c r="Z15" s="116">
        <v>0</v>
      </c>
      <c r="AA15" s="125"/>
      <c r="AB15" s="53"/>
      <c r="AC15" s="58" t="s">
        <v>57</v>
      </c>
      <c r="AD15" s="63"/>
    </row>
    <row r="16" spans="1:31" s="18" customFormat="1" ht="17.25" x14ac:dyDescent="0.45">
      <c r="A16" s="153" t="s">
        <v>89</v>
      </c>
      <c r="B16" s="120"/>
      <c r="C16" s="116">
        <v>0</v>
      </c>
      <c r="D16" s="116">
        <v>0</v>
      </c>
      <c r="E16" s="116">
        <v>0</v>
      </c>
      <c r="F16" s="116">
        <v>0</v>
      </c>
      <c r="G16" s="116"/>
      <c r="H16" s="116">
        <v>0</v>
      </c>
      <c r="I16" s="116">
        <v>0</v>
      </c>
      <c r="J16" s="116">
        <v>0</v>
      </c>
      <c r="K16" s="116">
        <v>0</v>
      </c>
      <c r="L16" s="116"/>
      <c r="M16" s="116">
        <v>0</v>
      </c>
      <c r="N16" s="116">
        <v>0</v>
      </c>
      <c r="O16" s="116">
        <v>537.85599999999999</v>
      </c>
      <c r="P16" s="116">
        <v>539.62199999999996</v>
      </c>
      <c r="Q16" s="116"/>
      <c r="R16" s="116">
        <v>542.08500000000004</v>
      </c>
      <c r="S16" s="116">
        <v>544.65599999999995</v>
      </c>
      <c r="T16" s="116">
        <v>538.55499999999995</v>
      </c>
      <c r="U16" s="116">
        <v>538.46400000000006</v>
      </c>
      <c r="V16" s="116"/>
      <c r="W16" s="116">
        <v>538.59</v>
      </c>
      <c r="X16" s="116">
        <v>538.67200000000003</v>
      </c>
      <c r="Y16" s="116">
        <v>539.99199999999996</v>
      </c>
      <c r="Z16" s="116">
        <v>520.74599999999998</v>
      </c>
      <c r="AA16" s="125"/>
      <c r="AB16" s="53"/>
      <c r="AC16" s="58" t="s">
        <v>91</v>
      </c>
      <c r="AD16" s="63"/>
    </row>
    <row r="17" spans="1:30" s="18" customFormat="1" ht="20.25" customHeight="1" x14ac:dyDescent="0.45">
      <c r="A17" s="20" t="s">
        <v>58</v>
      </c>
      <c r="B17" s="118"/>
      <c r="C17" s="113">
        <v>17471.637999999999</v>
      </c>
      <c r="D17" s="113">
        <v>17224.924999999999</v>
      </c>
      <c r="E17" s="113">
        <v>17733.737000000001</v>
      </c>
      <c r="F17" s="113">
        <v>17741.629000000001</v>
      </c>
      <c r="G17" s="113"/>
      <c r="H17" s="113">
        <v>18003.641000000003</v>
      </c>
      <c r="I17" s="113">
        <v>16404.082999999999</v>
      </c>
      <c r="J17" s="113">
        <v>17383.326000000001</v>
      </c>
      <c r="K17" s="113">
        <v>16778.377</v>
      </c>
      <c r="L17" s="113"/>
      <c r="M17" s="113">
        <v>16473.251</v>
      </c>
      <c r="N17" s="113">
        <v>16308.922</v>
      </c>
      <c r="O17" s="113">
        <v>17342.249</v>
      </c>
      <c r="P17" s="113">
        <v>18041.715</v>
      </c>
      <c r="Q17" s="113"/>
      <c r="R17" s="113">
        <v>18371.100999999995</v>
      </c>
      <c r="S17" s="113">
        <v>18929.456999999999</v>
      </c>
      <c r="T17" s="113">
        <v>19491.861000000001</v>
      </c>
      <c r="U17" s="113">
        <v>19922.856999999996</v>
      </c>
      <c r="V17" s="113"/>
      <c r="W17" s="113">
        <v>20652.951999999997</v>
      </c>
      <c r="X17" s="113">
        <v>22050.039999999997</v>
      </c>
      <c r="Y17" s="113">
        <v>22519.655999999999</v>
      </c>
      <c r="Z17" s="113">
        <v>23316.523000000001</v>
      </c>
      <c r="AA17" s="128"/>
      <c r="AB17" s="64"/>
      <c r="AC17" s="65"/>
      <c r="AD17" s="66" t="s">
        <v>59</v>
      </c>
    </row>
    <row r="18" spans="1:30" s="18" customFormat="1" ht="17.25" x14ac:dyDescent="0.45">
      <c r="A18" s="22" t="s">
        <v>60</v>
      </c>
      <c r="B18" s="119"/>
      <c r="C18" s="114">
        <v>415.38200000000001</v>
      </c>
      <c r="D18" s="114">
        <v>435.43400000000003</v>
      </c>
      <c r="E18" s="114">
        <v>830.94500000000005</v>
      </c>
      <c r="F18" s="114">
        <v>902.19500000000005</v>
      </c>
      <c r="G18" s="114"/>
      <c r="H18" s="114">
        <v>981.12800000000004</v>
      </c>
      <c r="I18" s="114">
        <v>0</v>
      </c>
      <c r="J18" s="114">
        <v>0</v>
      </c>
      <c r="K18" s="114">
        <v>0</v>
      </c>
      <c r="L18" s="114"/>
      <c r="M18" s="114">
        <v>0</v>
      </c>
      <c r="N18" s="114">
        <v>0</v>
      </c>
      <c r="O18" s="114">
        <v>0</v>
      </c>
      <c r="P18" s="114">
        <v>0</v>
      </c>
      <c r="Q18" s="114"/>
      <c r="R18" s="114">
        <v>0</v>
      </c>
      <c r="S18" s="114">
        <v>0</v>
      </c>
      <c r="T18" s="114">
        <v>0</v>
      </c>
      <c r="U18" s="114">
        <v>0</v>
      </c>
      <c r="V18" s="114"/>
      <c r="W18" s="114">
        <v>0</v>
      </c>
      <c r="X18" s="114">
        <v>0</v>
      </c>
      <c r="Y18" s="114">
        <v>0</v>
      </c>
      <c r="Z18" s="114">
        <v>0</v>
      </c>
      <c r="AA18" s="124"/>
      <c r="AB18" s="50"/>
      <c r="AC18" s="58" t="s">
        <v>61</v>
      </c>
      <c r="AD18" s="61"/>
    </row>
    <row r="19" spans="1:30" s="18" customFormat="1" ht="17.25" x14ac:dyDescent="0.45">
      <c r="A19" s="22" t="s">
        <v>62</v>
      </c>
      <c r="B19" s="119"/>
      <c r="C19" s="114">
        <v>582.65800000000002</v>
      </c>
      <c r="D19" s="114">
        <v>593.57899999999995</v>
      </c>
      <c r="E19" s="114">
        <v>572.88700000000006</v>
      </c>
      <c r="F19" s="114">
        <v>537.79700000000003</v>
      </c>
      <c r="G19" s="114"/>
      <c r="H19" s="114">
        <v>503.98</v>
      </c>
      <c r="I19" s="114">
        <v>170.40300000000002</v>
      </c>
      <c r="J19" s="114">
        <v>134.886</v>
      </c>
      <c r="K19" s="114">
        <v>126.074</v>
      </c>
      <c r="L19" s="114"/>
      <c r="M19" s="114">
        <v>97.420999999999992</v>
      </c>
      <c r="N19" s="114">
        <v>78.694999999999993</v>
      </c>
      <c r="O19" s="114">
        <v>69.846000000000004</v>
      </c>
      <c r="P19" s="114">
        <v>73.626000000000005</v>
      </c>
      <c r="Q19" s="114"/>
      <c r="R19" s="114">
        <v>55.822000000000003</v>
      </c>
      <c r="S19" s="114">
        <v>48.820999999999998</v>
      </c>
      <c r="T19" s="114">
        <v>41.593000000000004</v>
      </c>
      <c r="U19" s="114">
        <v>34.911999999999999</v>
      </c>
      <c r="V19" s="114"/>
      <c r="W19" s="114">
        <v>26.262</v>
      </c>
      <c r="X19" s="114">
        <v>821.69</v>
      </c>
      <c r="Y19" s="114">
        <v>425.38799999999998</v>
      </c>
      <c r="Z19" s="114">
        <v>431.25</v>
      </c>
      <c r="AA19" s="124"/>
      <c r="AB19" s="50"/>
      <c r="AC19" s="62" t="s">
        <v>63</v>
      </c>
      <c r="AD19" s="61"/>
    </row>
    <row r="20" spans="1:30" s="18" customFormat="1" ht="17.25" x14ac:dyDescent="0.45">
      <c r="A20" s="22" t="s">
        <v>64</v>
      </c>
      <c r="B20" s="120"/>
      <c r="C20" s="116">
        <v>114.43</v>
      </c>
      <c r="D20" s="116">
        <v>60.908999999999999</v>
      </c>
      <c r="E20" s="116">
        <v>77.697000000000003</v>
      </c>
      <c r="F20" s="116">
        <v>102.80199999999999</v>
      </c>
      <c r="G20" s="116"/>
      <c r="H20" s="116">
        <v>279.93099999999998</v>
      </c>
      <c r="I20" s="116">
        <v>298.37799999999999</v>
      </c>
      <c r="J20" s="116">
        <v>261.73200000000003</v>
      </c>
      <c r="K20" s="116">
        <v>281.88400000000001</v>
      </c>
      <c r="L20" s="116"/>
      <c r="M20" s="116">
        <v>322.57799999999997</v>
      </c>
      <c r="N20" s="116">
        <v>304.71300000000002</v>
      </c>
      <c r="O20" s="116">
        <v>297.93800000000005</v>
      </c>
      <c r="P20" s="116">
        <v>297.47899999999998</v>
      </c>
      <c r="Q20" s="116"/>
      <c r="R20" s="116">
        <v>283.27199999999999</v>
      </c>
      <c r="S20" s="116">
        <v>338.90299999999996</v>
      </c>
      <c r="T20" s="116">
        <v>357.98700000000002</v>
      </c>
      <c r="U20" s="116">
        <v>423.32099999999997</v>
      </c>
      <c r="V20" s="116"/>
      <c r="W20" s="116">
        <v>511.161</v>
      </c>
      <c r="X20" s="116">
        <v>520.6</v>
      </c>
      <c r="Y20" s="116">
        <v>490.61899999999997</v>
      </c>
      <c r="Z20" s="116">
        <v>548.69200000000001</v>
      </c>
      <c r="AA20" s="129"/>
      <c r="AB20" s="67"/>
      <c r="AC20" s="68" t="s">
        <v>38</v>
      </c>
      <c r="AD20" s="69"/>
    </row>
    <row r="21" spans="1:30" s="18" customFormat="1" ht="18" x14ac:dyDescent="0.4">
      <c r="A21" s="22" t="s">
        <v>65</v>
      </c>
      <c r="B21" s="119"/>
      <c r="C21" s="114">
        <v>1413.3000000000002</v>
      </c>
      <c r="D21" s="114">
        <v>1400.4390000000001</v>
      </c>
      <c r="E21" s="114">
        <v>1397.0219999999999</v>
      </c>
      <c r="F21" s="114">
        <v>1568.433</v>
      </c>
      <c r="G21" s="114"/>
      <c r="H21" s="114">
        <v>1735.1799999999998</v>
      </c>
      <c r="I21" s="114">
        <v>1326.875</v>
      </c>
      <c r="J21" s="114">
        <v>1506.0800000000002</v>
      </c>
      <c r="K21" s="114">
        <v>1326.845</v>
      </c>
      <c r="L21" s="114"/>
      <c r="M21" s="114">
        <v>1328.692</v>
      </c>
      <c r="N21" s="114">
        <v>1201.345</v>
      </c>
      <c r="O21" s="114">
        <v>1024.174</v>
      </c>
      <c r="P21" s="114">
        <v>860.3359999999999</v>
      </c>
      <c r="Q21" s="114"/>
      <c r="R21" s="114">
        <v>888.64699999999993</v>
      </c>
      <c r="S21" s="114">
        <v>864.45799999999997</v>
      </c>
      <c r="T21" s="114">
        <v>799.548</v>
      </c>
      <c r="U21" s="114">
        <v>887.73899999999992</v>
      </c>
      <c r="V21" s="114"/>
      <c r="W21" s="114">
        <v>971.51800000000003</v>
      </c>
      <c r="X21" s="114">
        <v>904.44400000000007</v>
      </c>
      <c r="Y21" s="114">
        <v>957.79300000000012</v>
      </c>
      <c r="Z21" s="114">
        <v>1051.8579999999999</v>
      </c>
      <c r="AA21" s="127"/>
      <c r="AB21" s="60"/>
      <c r="AC21" s="70" t="s">
        <v>37</v>
      </c>
      <c r="AD21" s="71"/>
    </row>
    <row r="22" spans="1:30" s="18" customFormat="1" ht="18" x14ac:dyDescent="0.4">
      <c r="A22" s="22" t="s">
        <v>66</v>
      </c>
      <c r="B22" s="119"/>
      <c r="C22" s="114">
        <v>14945.867999999999</v>
      </c>
      <c r="D22" s="114">
        <v>14734.564</v>
      </c>
      <c r="E22" s="114">
        <v>14855.186</v>
      </c>
      <c r="F22" s="114">
        <v>14630.402</v>
      </c>
      <c r="G22" s="114"/>
      <c r="H22" s="114">
        <v>14503.422000000002</v>
      </c>
      <c r="I22" s="114">
        <v>14608.427</v>
      </c>
      <c r="J22" s="114">
        <v>15480.628000000001</v>
      </c>
      <c r="K22" s="114">
        <v>15043.574000000001</v>
      </c>
      <c r="L22" s="114"/>
      <c r="M22" s="114">
        <v>14724.56</v>
      </c>
      <c r="N22" s="114">
        <v>14724.169</v>
      </c>
      <c r="O22" s="114">
        <v>15950.290999999999</v>
      </c>
      <c r="P22" s="114">
        <v>16810.274000000001</v>
      </c>
      <c r="Q22" s="114"/>
      <c r="R22" s="114">
        <v>17143.359999999997</v>
      </c>
      <c r="S22" s="114">
        <v>17677.274999999998</v>
      </c>
      <c r="T22" s="114">
        <v>18292.733</v>
      </c>
      <c r="U22" s="114">
        <v>18576.884999999998</v>
      </c>
      <c r="V22" s="114"/>
      <c r="W22" s="114">
        <v>19144.010999999999</v>
      </c>
      <c r="X22" s="114">
        <v>19803.305999999997</v>
      </c>
      <c r="Y22" s="114">
        <v>20645.856</v>
      </c>
      <c r="Z22" s="114">
        <v>21284.723000000002</v>
      </c>
      <c r="AA22" s="124"/>
      <c r="AB22" s="50"/>
      <c r="AC22" s="72" t="s">
        <v>67</v>
      </c>
      <c r="AD22" s="71"/>
    </row>
    <row r="23" spans="1:30" s="18" customFormat="1" ht="17.25" x14ac:dyDescent="0.45">
      <c r="A23" s="20" t="s">
        <v>27</v>
      </c>
      <c r="B23" s="118"/>
      <c r="C23" s="113">
        <v>14.344999999999999</v>
      </c>
      <c r="D23" s="113">
        <v>14.324999999999999</v>
      </c>
      <c r="E23" s="113">
        <v>14.344999999999999</v>
      </c>
      <c r="F23" s="113">
        <v>12.425000000000001</v>
      </c>
      <c r="G23" s="113"/>
      <c r="H23" s="113">
        <v>6</v>
      </c>
      <c r="I23" s="113">
        <v>12.425000000000001</v>
      </c>
      <c r="J23" s="113">
        <v>12.425000000000001</v>
      </c>
      <c r="K23" s="113">
        <v>13.425000000000001</v>
      </c>
      <c r="L23" s="113"/>
      <c r="M23" s="113">
        <v>12.425000000000001</v>
      </c>
      <c r="N23" s="113">
        <v>13.425000000000001</v>
      </c>
      <c r="O23" s="113">
        <v>13.425000000000001</v>
      </c>
      <c r="P23" s="113">
        <v>14.625</v>
      </c>
      <c r="Q23" s="113"/>
      <c r="R23" s="113">
        <v>14.625</v>
      </c>
      <c r="S23" s="113">
        <v>14.625</v>
      </c>
      <c r="T23" s="113">
        <v>14.625</v>
      </c>
      <c r="U23" s="113">
        <v>14.524999999999999</v>
      </c>
      <c r="V23" s="113"/>
      <c r="W23" s="113">
        <v>14.524999999999999</v>
      </c>
      <c r="X23" s="113">
        <v>31.713000000000001</v>
      </c>
      <c r="Y23" s="113">
        <v>70.712999999999994</v>
      </c>
      <c r="Z23" s="113">
        <v>70.712999999999994</v>
      </c>
      <c r="AA23" s="124"/>
      <c r="AB23" s="50"/>
      <c r="AC23" s="62"/>
      <c r="AD23" s="73" t="s">
        <v>18</v>
      </c>
    </row>
    <row r="24" spans="1:30" s="18" customFormat="1" ht="17.25" x14ac:dyDescent="0.45">
      <c r="A24" s="20" t="s">
        <v>33</v>
      </c>
      <c r="B24" s="118"/>
      <c r="C24" s="113">
        <v>753.33000000000175</v>
      </c>
      <c r="D24" s="113">
        <v>775.71399999999994</v>
      </c>
      <c r="E24" s="113">
        <v>652.65600000000268</v>
      </c>
      <c r="F24" s="113">
        <v>566.04100000000471</v>
      </c>
      <c r="G24" s="113"/>
      <c r="H24" s="113">
        <v>1249.6869999999908</v>
      </c>
      <c r="I24" s="113">
        <v>705.72699999999168</v>
      </c>
      <c r="J24" s="113">
        <v>772.13499999999476</v>
      </c>
      <c r="K24" s="113">
        <v>570.69700295999792</v>
      </c>
      <c r="L24" s="113"/>
      <c r="M24" s="113">
        <v>916.07499999998981</v>
      </c>
      <c r="N24" s="113">
        <v>917.80399999999645</v>
      </c>
      <c r="O24" s="113">
        <v>1251.080999999991</v>
      </c>
      <c r="P24" s="113">
        <v>1104.7869999999966</v>
      </c>
      <c r="Q24" s="113"/>
      <c r="R24" s="113">
        <v>1264.9309999999969</v>
      </c>
      <c r="S24" s="113">
        <v>1064.0840000000098</v>
      </c>
      <c r="T24" s="113">
        <v>1232.8110000000015</v>
      </c>
      <c r="U24" s="113">
        <v>839.20999999999913</v>
      </c>
      <c r="V24" s="113"/>
      <c r="W24" s="113">
        <v>763.35799999998562</v>
      </c>
      <c r="X24" s="113">
        <v>618.75100000000384</v>
      </c>
      <c r="Y24" s="113">
        <v>518.81499999998778</v>
      </c>
      <c r="Z24" s="113">
        <v>499.5029999999897</v>
      </c>
      <c r="AA24" s="125"/>
      <c r="AB24" s="53"/>
      <c r="AC24" s="58"/>
      <c r="AD24" s="74" t="s">
        <v>68</v>
      </c>
    </row>
    <row r="25" spans="1:30" s="18" customFormat="1" ht="18" x14ac:dyDescent="0.45">
      <c r="A25" s="20" t="s">
        <v>34</v>
      </c>
      <c r="B25" s="118"/>
      <c r="C25" s="113">
        <v>504.36500000000001</v>
      </c>
      <c r="D25" s="113">
        <v>1077.5930000000001</v>
      </c>
      <c r="E25" s="113">
        <v>1089.1559999999999</v>
      </c>
      <c r="F25" s="113">
        <v>1091.511</v>
      </c>
      <c r="G25" s="113"/>
      <c r="H25" s="113">
        <v>1105.21</v>
      </c>
      <c r="I25" s="113">
        <v>1129.067</v>
      </c>
      <c r="J25" s="113">
        <v>1137.165</v>
      </c>
      <c r="K25" s="113">
        <v>1107.07</v>
      </c>
      <c r="L25" s="113"/>
      <c r="M25" s="113">
        <v>1125.1610000000001</v>
      </c>
      <c r="N25" s="113">
        <v>731.96600000000001</v>
      </c>
      <c r="O25" s="113">
        <v>739.577</v>
      </c>
      <c r="P25" s="113">
        <v>734.29700000000003</v>
      </c>
      <c r="Q25" s="113"/>
      <c r="R25" s="113">
        <v>759.1880000000001</v>
      </c>
      <c r="S25" s="113">
        <v>770.83299999999997</v>
      </c>
      <c r="T25" s="113">
        <v>782.34699999999998</v>
      </c>
      <c r="U25" s="113">
        <v>789.10200000000009</v>
      </c>
      <c r="V25" s="113"/>
      <c r="W25" s="113">
        <v>807.66</v>
      </c>
      <c r="X25" s="113">
        <v>837.21600000000001</v>
      </c>
      <c r="Y25" s="113">
        <v>864.803</v>
      </c>
      <c r="Z25" s="113">
        <v>895.61599999999999</v>
      </c>
      <c r="AA25" s="130"/>
      <c r="AB25" s="75"/>
      <c r="AC25" s="76"/>
      <c r="AD25" s="66" t="s">
        <v>69</v>
      </c>
    </row>
    <row r="26" spans="1:30" s="18" customFormat="1" ht="17.25" x14ac:dyDescent="0.45">
      <c r="A26" s="77"/>
      <c r="B26" s="118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24"/>
      <c r="AB26" s="50"/>
      <c r="AC26" s="62"/>
      <c r="AD26" s="70"/>
    </row>
    <row r="27" spans="1:30" s="18" customFormat="1" ht="17.25" x14ac:dyDescent="0.45">
      <c r="A27" s="20" t="s">
        <v>35</v>
      </c>
      <c r="B27" s="121"/>
      <c r="C27" s="115">
        <v>33570.961000000003</v>
      </c>
      <c r="D27" s="115">
        <v>33805.148999999998</v>
      </c>
      <c r="E27" s="115">
        <v>33532.502000000008</v>
      </c>
      <c r="F27" s="115">
        <v>34984.956000000006</v>
      </c>
      <c r="G27" s="115"/>
      <c r="H27" s="115">
        <v>41178.503999999994</v>
      </c>
      <c r="I27" s="115">
        <v>39459.148000000001</v>
      </c>
      <c r="J27" s="115">
        <v>39845.623651673399</v>
      </c>
      <c r="K27" s="115">
        <v>40354.845002959999</v>
      </c>
      <c r="L27" s="115"/>
      <c r="M27" s="115">
        <v>42098.28</v>
      </c>
      <c r="N27" s="115">
        <v>42878.508000000002</v>
      </c>
      <c r="O27" s="115">
        <v>43358.797999999988</v>
      </c>
      <c r="P27" s="115">
        <v>44142.386999999995</v>
      </c>
      <c r="Q27" s="115"/>
      <c r="R27" s="115">
        <v>47187.440999999999</v>
      </c>
      <c r="S27" s="115">
        <v>46849.615000000005</v>
      </c>
      <c r="T27" s="115">
        <v>47600.88700000001</v>
      </c>
      <c r="U27" s="115">
        <v>46379.371999999996</v>
      </c>
      <c r="V27" s="115"/>
      <c r="W27" s="115">
        <v>47387.270999999993</v>
      </c>
      <c r="X27" s="115">
        <v>47512.122000000003</v>
      </c>
      <c r="Y27" s="115">
        <v>46127.827999999994</v>
      </c>
      <c r="Z27" s="115">
        <v>48872.471999999994</v>
      </c>
      <c r="AA27" s="124"/>
      <c r="AB27" s="50"/>
      <c r="AC27" s="62"/>
      <c r="AD27" s="74" t="s">
        <v>36</v>
      </c>
    </row>
    <row r="28" spans="1:30" s="18" customFormat="1" ht="17.25" x14ac:dyDescent="0.45">
      <c r="A28" s="20" t="s">
        <v>40</v>
      </c>
      <c r="B28" s="121"/>
      <c r="C28" s="115">
        <v>946.06799999999998</v>
      </c>
      <c r="D28" s="115">
        <v>959.00100000000009</v>
      </c>
      <c r="E28" s="115">
        <v>868.89</v>
      </c>
      <c r="F28" s="115">
        <v>1222.3770000000002</v>
      </c>
      <c r="G28" s="115"/>
      <c r="H28" s="115">
        <v>920.721</v>
      </c>
      <c r="I28" s="115">
        <v>598.73899999999992</v>
      </c>
      <c r="J28" s="115">
        <v>968.91300000000001</v>
      </c>
      <c r="K28" s="115">
        <v>1190.5569999999998</v>
      </c>
      <c r="L28" s="115"/>
      <c r="M28" s="115">
        <v>939.05799999999988</v>
      </c>
      <c r="N28" s="115">
        <v>1016.8270000000001</v>
      </c>
      <c r="O28" s="115">
        <v>864.13800000000003</v>
      </c>
      <c r="P28" s="115">
        <v>1042.646</v>
      </c>
      <c r="Q28" s="115"/>
      <c r="R28" s="115">
        <v>1159.2969999999998</v>
      </c>
      <c r="S28" s="115">
        <v>1689.04</v>
      </c>
      <c r="T28" s="115">
        <v>1675.8130000000001</v>
      </c>
      <c r="U28" s="115">
        <v>1898.1</v>
      </c>
      <c r="V28" s="115"/>
      <c r="W28" s="115">
        <v>1980.1680000000001</v>
      </c>
      <c r="X28" s="115">
        <v>1648.8379999999997</v>
      </c>
      <c r="Y28" s="115">
        <v>2222.5640000000003</v>
      </c>
      <c r="Z28" s="115">
        <v>2217.9639999999999</v>
      </c>
      <c r="AA28" s="124"/>
      <c r="AB28" s="50"/>
      <c r="AC28" s="62"/>
      <c r="AD28" s="37" t="s">
        <v>41</v>
      </c>
    </row>
    <row r="29" spans="1:30" s="18" customFormat="1" ht="17.25" x14ac:dyDescent="0.45">
      <c r="A29" s="20" t="s">
        <v>70</v>
      </c>
      <c r="B29" s="121"/>
      <c r="C29" s="115">
        <v>20410.764999999999</v>
      </c>
      <c r="D29" s="115">
        <v>20285.861999999997</v>
      </c>
      <c r="E29" s="115">
        <v>20161.315000000002</v>
      </c>
      <c r="F29" s="115">
        <v>20873.284</v>
      </c>
      <c r="G29" s="115"/>
      <c r="H29" s="115">
        <v>25645.079999999994</v>
      </c>
      <c r="I29" s="115">
        <v>24197.758000000002</v>
      </c>
      <c r="J29" s="115">
        <v>23391.682999999997</v>
      </c>
      <c r="K29" s="115">
        <v>24513.288999999997</v>
      </c>
      <c r="L29" s="115"/>
      <c r="M29" s="115">
        <v>25674.16</v>
      </c>
      <c r="N29" s="115">
        <v>26519.450999999997</v>
      </c>
      <c r="O29" s="115">
        <v>27200.411999999997</v>
      </c>
      <c r="P29" s="115">
        <v>27734.698</v>
      </c>
      <c r="Q29" s="115"/>
      <c r="R29" s="115">
        <v>29917.481</v>
      </c>
      <c r="S29" s="115">
        <v>29061.190000000002</v>
      </c>
      <c r="T29" s="115">
        <v>29177.445000000003</v>
      </c>
      <c r="U29" s="115">
        <v>27741.251</v>
      </c>
      <c r="V29" s="115"/>
      <c r="W29" s="115">
        <v>28242.690999999999</v>
      </c>
      <c r="X29" s="115">
        <v>29028.258000000002</v>
      </c>
      <c r="Y29" s="115">
        <v>27114.553999999996</v>
      </c>
      <c r="Z29" s="115">
        <v>29094.114999999998</v>
      </c>
      <c r="AA29" s="124"/>
      <c r="AB29" s="50"/>
      <c r="AC29" s="62"/>
      <c r="AD29" s="73" t="s">
        <v>71</v>
      </c>
    </row>
    <row r="30" spans="1:30" s="18" customFormat="1" ht="17.25" x14ac:dyDescent="0.4">
      <c r="A30" s="22" t="s">
        <v>72</v>
      </c>
      <c r="B30" s="120"/>
      <c r="C30" s="116">
        <v>16311.912</v>
      </c>
      <c r="D30" s="116">
        <v>16190.972999999998</v>
      </c>
      <c r="E30" s="116">
        <v>15810.918000000001</v>
      </c>
      <c r="F30" s="116">
        <v>16684.201000000001</v>
      </c>
      <c r="G30" s="116"/>
      <c r="H30" s="116">
        <v>20635.572999999997</v>
      </c>
      <c r="I30" s="116">
        <v>19540.894</v>
      </c>
      <c r="J30" s="116">
        <v>18630.580999999998</v>
      </c>
      <c r="K30" s="116">
        <v>19435.883999999998</v>
      </c>
      <c r="L30" s="116"/>
      <c r="M30" s="116">
        <v>20674.548999999999</v>
      </c>
      <c r="N30" s="116">
        <v>21465.87</v>
      </c>
      <c r="O30" s="116">
        <v>22164.684999999998</v>
      </c>
      <c r="P30" s="116">
        <v>22870.678</v>
      </c>
      <c r="Q30" s="116"/>
      <c r="R30" s="116">
        <v>24036.154999999999</v>
      </c>
      <c r="S30" s="116">
        <v>23030.773000000001</v>
      </c>
      <c r="T30" s="116">
        <v>23093.137000000002</v>
      </c>
      <c r="U30" s="116">
        <v>21920.219000000001</v>
      </c>
      <c r="V30" s="116"/>
      <c r="W30" s="116">
        <v>22402.951000000001</v>
      </c>
      <c r="X30" s="116">
        <v>23395.618000000002</v>
      </c>
      <c r="Y30" s="116">
        <v>21824.915999999997</v>
      </c>
      <c r="Z30" s="116">
        <v>23521.492999999999</v>
      </c>
      <c r="AA30" s="124"/>
      <c r="AB30" s="50"/>
      <c r="AC30" s="70" t="s">
        <v>13</v>
      </c>
      <c r="AD30" s="73"/>
    </row>
    <row r="31" spans="1:30" s="18" customFormat="1" ht="17.25" x14ac:dyDescent="0.45">
      <c r="A31" s="22" t="s">
        <v>73</v>
      </c>
      <c r="B31" s="120"/>
      <c r="C31" s="116">
        <v>7082.4269999999997</v>
      </c>
      <c r="D31" s="116">
        <v>7738.4879999999994</v>
      </c>
      <c r="E31" s="116">
        <v>7629.8229999999994</v>
      </c>
      <c r="F31" s="116">
        <v>7612.3960000000006</v>
      </c>
      <c r="G31" s="116"/>
      <c r="H31" s="116">
        <v>8116.3639999999996</v>
      </c>
      <c r="I31" s="116">
        <v>9105.3629999999994</v>
      </c>
      <c r="J31" s="116">
        <v>8471.15</v>
      </c>
      <c r="K31" s="116">
        <v>8548.6719999999987</v>
      </c>
      <c r="L31" s="116"/>
      <c r="M31" s="116">
        <v>9217.6850000000013</v>
      </c>
      <c r="N31" s="116">
        <v>10008.632</v>
      </c>
      <c r="O31" s="116">
        <v>10001.504000000001</v>
      </c>
      <c r="P31" s="116">
        <v>10580.657999999999</v>
      </c>
      <c r="Q31" s="116"/>
      <c r="R31" s="116">
        <v>11176.134</v>
      </c>
      <c r="S31" s="116">
        <v>11116.458000000001</v>
      </c>
      <c r="T31" s="116">
        <v>11330.956</v>
      </c>
      <c r="U31" s="116">
        <v>10773.45</v>
      </c>
      <c r="V31" s="116"/>
      <c r="W31" s="116">
        <v>10557.891</v>
      </c>
      <c r="X31" s="116">
        <v>11540.491</v>
      </c>
      <c r="Y31" s="116">
        <v>10997.861000000001</v>
      </c>
      <c r="Z31" s="116">
        <v>11557.675999999999</v>
      </c>
      <c r="AA31" s="124"/>
      <c r="AB31" s="78" t="s">
        <v>14</v>
      </c>
      <c r="AC31" s="62"/>
      <c r="AD31" s="73"/>
    </row>
    <row r="32" spans="1:30" s="18" customFormat="1" ht="17.25" x14ac:dyDescent="0.45">
      <c r="A32" s="22" t="s">
        <v>74</v>
      </c>
      <c r="B32" s="120"/>
      <c r="C32" s="116">
        <v>9229.4850000000006</v>
      </c>
      <c r="D32" s="116">
        <v>8452.4849999999988</v>
      </c>
      <c r="E32" s="116">
        <v>8181.0950000000012</v>
      </c>
      <c r="F32" s="116">
        <v>9071.8050000000003</v>
      </c>
      <c r="G32" s="116"/>
      <c r="H32" s="116">
        <v>12519.208999999999</v>
      </c>
      <c r="I32" s="116">
        <v>10435.530999999999</v>
      </c>
      <c r="J32" s="116">
        <v>10159.430999999999</v>
      </c>
      <c r="K32" s="116">
        <v>10887.212</v>
      </c>
      <c r="L32" s="116"/>
      <c r="M32" s="116">
        <v>11456.864</v>
      </c>
      <c r="N32" s="116">
        <v>11457.237999999999</v>
      </c>
      <c r="O32" s="116">
        <v>12163.180999999999</v>
      </c>
      <c r="P32" s="116">
        <v>12290.019999999999</v>
      </c>
      <c r="Q32" s="116"/>
      <c r="R32" s="116">
        <v>12860.021000000001</v>
      </c>
      <c r="S32" s="116">
        <v>11914.315000000001</v>
      </c>
      <c r="T32" s="116">
        <v>11762.181</v>
      </c>
      <c r="U32" s="116">
        <v>11146.769</v>
      </c>
      <c r="V32" s="116"/>
      <c r="W32" s="116">
        <v>11845.06</v>
      </c>
      <c r="X32" s="116">
        <v>11855.127</v>
      </c>
      <c r="Y32" s="116">
        <v>10827.054999999998</v>
      </c>
      <c r="Z32" s="116">
        <v>11963.816999999999</v>
      </c>
      <c r="AA32" s="124"/>
      <c r="AB32" s="78" t="s">
        <v>15</v>
      </c>
      <c r="AC32" s="62"/>
      <c r="AD32" s="73"/>
    </row>
    <row r="33" spans="1:31" s="18" customFormat="1" ht="17.25" x14ac:dyDescent="0.45">
      <c r="A33" s="22" t="s">
        <v>75</v>
      </c>
      <c r="B33" s="120"/>
      <c r="C33" s="116">
        <v>4098.8530000000001</v>
      </c>
      <c r="D33" s="116">
        <v>4094.8890000000001</v>
      </c>
      <c r="E33" s="116">
        <v>4350.3969999999999</v>
      </c>
      <c r="F33" s="116">
        <v>4189.0830000000005</v>
      </c>
      <c r="G33" s="116"/>
      <c r="H33" s="116">
        <v>5009.5069999999996</v>
      </c>
      <c r="I33" s="116">
        <v>4656.8639999999996</v>
      </c>
      <c r="J33" s="116">
        <v>4761.1020000000008</v>
      </c>
      <c r="K33" s="116">
        <v>5077.4049999999997</v>
      </c>
      <c r="L33" s="116"/>
      <c r="M33" s="116">
        <v>4999.6109999999999</v>
      </c>
      <c r="N33" s="116">
        <v>5053.5809999999992</v>
      </c>
      <c r="O33" s="116">
        <v>5035.7269999999999</v>
      </c>
      <c r="P33" s="116">
        <v>4864.0200000000004</v>
      </c>
      <c r="Q33" s="116"/>
      <c r="R33" s="116">
        <v>5881.3259999999991</v>
      </c>
      <c r="S33" s="116">
        <v>6030.4169999999995</v>
      </c>
      <c r="T33" s="116">
        <v>6084.3080000000009</v>
      </c>
      <c r="U33" s="116">
        <v>5821.0320000000002</v>
      </c>
      <c r="V33" s="116"/>
      <c r="W33" s="116">
        <v>5839.74</v>
      </c>
      <c r="X33" s="116">
        <v>5632.6399999999994</v>
      </c>
      <c r="Y33" s="116">
        <v>5289.6379999999999</v>
      </c>
      <c r="Z33" s="116">
        <v>5572.6220000000003</v>
      </c>
      <c r="AA33" s="124"/>
      <c r="AB33" s="50"/>
      <c r="AC33" s="62" t="s">
        <v>76</v>
      </c>
      <c r="AD33" s="73"/>
    </row>
    <row r="34" spans="1:31" s="18" customFormat="1" ht="17.25" x14ac:dyDescent="0.45">
      <c r="A34" s="22" t="s">
        <v>73</v>
      </c>
      <c r="B34" s="120"/>
      <c r="C34" s="116">
        <v>1646.1219999999998</v>
      </c>
      <c r="D34" s="116">
        <v>1459.2279999999998</v>
      </c>
      <c r="E34" s="116">
        <v>1473.806</v>
      </c>
      <c r="F34" s="116">
        <v>1384.1349999999998</v>
      </c>
      <c r="G34" s="116"/>
      <c r="H34" s="116">
        <v>1724.1279999999999</v>
      </c>
      <c r="I34" s="116">
        <v>1280.5999999999999</v>
      </c>
      <c r="J34" s="116">
        <v>1430.684</v>
      </c>
      <c r="K34" s="116">
        <v>1370.7629999999999</v>
      </c>
      <c r="L34" s="116"/>
      <c r="M34" s="116">
        <v>1573.165</v>
      </c>
      <c r="N34" s="116">
        <v>1572.329</v>
      </c>
      <c r="O34" s="116">
        <v>1650.6080000000002</v>
      </c>
      <c r="P34" s="116">
        <v>1710.2339999999999</v>
      </c>
      <c r="Q34" s="116"/>
      <c r="R34" s="116">
        <v>1851.2109999999998</v>
      </c>
      <c r="S34" s="116">
        <v>2021.384</v>
      </c>
      <c r="T34" s="116">
        <v>1971.104</v>
      </c>
      <c r="U34" s="116">
        <v>2205.8029999999999</v>
      </c>
      <c r="V34" s="116"/>
      <c r="W34" s="116">
        <v>2361.4110000000001</v>
      </c>
      <c r="X34" s="116">
        <v>1996.6909999999998</v>
      </c>
      <c r="Y34" s="116">
        <v>1753.0709999999999</v>
      </c>
      <c r="Z34" s="116">
        <v>1935.597</v>
      </c>
      <c r="AA34" s="124"/>
      <c r="AB34" s="78" t="s">
        <v>14</v>
      </c>
      <c r="AC34" s="62"/>
      <c r="AD34" s="73"/>
    </row>
    <row r="35" spans="1:31" s="18" customFormat="1" ht="17.25" x14ac:dyDescent="0.45">
      <c r="A35" s="22" t="s">
        <v>74</v>
      </c>
      <c r="B35" s="120"/>
      <c r="C35" s="116">
        <v>2452.7310000000002</v>
      </c>
      <c r="D35" s="116">
        <v>2635.6610000000001</v>
      </c>
      <c r="E35" s="116">
        <v>2876.5909999999999</v>
      </c>
      <c r="F35" s="116">
        <v>2804.9480000000003</v>
      </c>
      <c r="G35" s="116"/>
      <c r="H35" s="116">
        <v>3285.3789999999999</v>
      </c>
      <c r="I35" s="116">
        <v>3376.2640000000001</v>
      </c>
      <c r="J35" s="116">
        <v>3330.4180000000006</v>
      </c>
      <c r="K35" s="116">
        <v>3706.6419999999998</v>
      </c>
      <c r="L35" s="116"/>
      <c r="M35" s="116">
        <v>3426.4459999999999</v>
      </c>
      <c r="N35" s="116">
        <v>3481.2519999999995</v>
      </c>
      <c r="O35" s="116">
        <v>3385.1189999999997</v>
      </c>
      <c r="P35" s="116">
        <v>3153.7860000000001</v>
      </c>
      <c r="Q35" s="116"/>
      <c r="R35" s="116">
        <v>4030.1149999999998</v>
      </c>
      <c r="S35" s="116">
        <v>4009.0329999999999</v>
      </c>
      <c r="T35" s="116">
        <v>4113.2040000000006</v>
      </c>
      <c r="U35" s="116">
        <v>3615.2290000000003</v>
      </c>
      <c r="V35" s="116"/>
      <c r="W35" s="116">
        <v>3478.3289999999997</v>
      </c>
      <c r="X35" s="116">
        <v>3635.9489999999996</v>
      </c>
      <c r="Y35" s="116">
        <v>3536.567</v>
      </c>
      <c r="Z35" s="116">
        <v>3637.0250000000001</v>
      </c>
      <c r="AA35" s="124"/>
      <c r="AB35" s="78" t="s">
        <v>15</v>
      </c>
      <c r="AC35" s="62"/>
      <c r="AD35" s="73"/>
    </row>
    <row r="36" spans="1:31" s="18" customFormat="1" ht="17.25" x14ac:dyDescent="0.45">
      <c r="A36" s="20" t="s">
        <v>77</v>
      </c>
      <c r="B36" s="122"/>
      <c r="C36" s="135">
        <v>1983.068</v>
      </c>
      <c r="D36" s="135">
        <v>1765.614</v>
      </c>
      <c r="E36" s="135">
        <v>1650.7840000000001</v>
      </c>
      <c r="F36" s="135">
        <v>1794.5300000000002</v>
      </c>
      <c r="G36" s="135"/>
      <c r="H36" s="135">
        <v>2382.2600000000002</v>
      </c>
      <c r="I36" s="135">
        <v>2485.3879999999999</v>
      </c>
      <c r="J36" s="135">
        <v>2160.953</v>
      </c>
      <c r="K36" s="135">
        <v>2092.9870000000001</v>
      </c>
      <c r="L36" s="135"/>
      <c r="M36" s="135">
        <v>2459.4779999999996</v>
      </c>
      <c r="N36" s="135">
        <v>2324.2719999999999</v>
      </c>
      <c r="O36" s="135">
        <v>1851.1750000000002</v>
      </c>
      <c r="P36" s="135">
        <v>1933.4349999999999</v>
      </c>
      <c r="Q36" s="135"/>
      <c r="R36" s="135">
        <v>2101.8789999999999</v>
      </c>
      <c r="S36" s="135">
        <v>1812.6979999999999</v>
      </c>
      <c r="T36" s="135">
        <v>1857.7820000000002</v>
      </c>
      <c r="U36" s="135">
        <v>1993.9800000000005</v>
      </c>
      <c r="V36" s="135"/>
      <c r="W36" s="135">
        <v>2306.393</v>
      </c>
      <c r="X36" s="135">
        <v>1531.366</v>
      </c>
      <c r="Y36" s="135">
        <v>1584.3710000000001</v>
      </c>
      <c r="Z36" s="135">
        <v>1772.9789999999998</v>
      </c>
      <c r="AA36" s="131"/>
      <c r="AB36" s="17"/>
      <c r="AC36" s="58"/>
      <c r="AD36" s="52" t="s">
        <v>12</v>
      </c>
    </row>
    <row r="37" spans="1:31" s="18" customFormat="1" ht="17.25" x14ac:dyDescent="0.45">
      <c r="A37" s="20" t="s">
        <v>78</v>
      </c>
      <c r="B37" s="122"/>
      <c r="C37" s="135">
        <v>0</v>
      </c>
      <c r="D37" s="135">
        <v>0</v>
      </c>
      <c r="E37" s="135">
        <v>0</v>
      </c>
      <c r="F37" s="135">
        <v>0</v>
      </c>
      <c r="G37" s="135"/>
      <c r="H37" s="135">
        <v>0</v>
      </c>
      <c r="I37" s="135">
        <v>0</v>
      </c>
      <c r="J37" s="135">
        <v>0</v>
      </c>
      <c r="K37" s="135">
        <v>0</v>
      </c>
      <c r="L37" s="135"/>
      <c r="M37" s="135">
        <v>0</v>
      </c>
      <c r="N37" s="135">
        <v>0</v>
      </c>
      <c r="O37" s="135">
        <v>0</v>
      </c>
      <c r="P37" s="135">
        <v>0</v>
      </c>
      <c r="Q37" s="135"/>
      <c r="R37" s="135">
        <v>0</v>
      </c>
      <c r="S37" s="135">
        <v>0</v>
      </c>
      <c r="T37" s="135">
        <v>0</v>
      </c>
      <c r="U37" s="135">
        <v>0</v>
      </c>
      <c r="V37" s="135"/>
      <c r="W37" s="135">
        <v>0</v>
      </c>
      <c r="X37" s="135">
        <v>0</v>
      </c>
      <c r="Y37" s="135">
        <v>0</v>
      </c>
      <c r="Z37" s="135">
        <v>0</v>
      </c>
      <c r="AA37" s="131"/>
      <c r="AB37" s="17"/>
      <c r="AC37" s="58"/>
      <c r="AD37" s="66" t="s">
        <v>79</v>
      </c>
    </row>
    <row r="38" spans="1:31" s="18" customFormat="1" ht="17.25" x14ac:dyDescent="0.45">
      <c r="A38" s="20" t="s">
        <v>39</v>
      </c>
      <c r="B38" s="118"/>
      <c r="C38" s="113">
        <v>0</v>
      </c>
      <c r="D38" s="113">
        <v>0</v>
      </c>
      <c r="E38" s="113">
        <v>0</v>
      </c>
      <c r="F38" s="113">
        <v>0</v>
      </c>
      <c r="G38" s="113"/>
      <c r="H38" s="113">
        <v>0</v>
      </c>
      <c r="I38" s="113">
        <v>0</v>
      </c>
      <c r="J38" s="113">
        <v>0</v>
      </c>
      <c r="K38" s="113">
        <v>0</v>
      </c>
      <c r="L38" s="113"/>
      <c r="M38" s="113">
        <v>0</v>
      </c>
      <c r="N38" s="113">
        <v>0</v>
      </c>
      <c r="O38" s="113">
        <v>0</v>
      </c>
      <c r="P38" s="113">
        <v>0</v>
      </c>
      <c r="Q38" s="113"/>
      <c r="R38" s="113">
        <v>0</v>
      </c>
      <c r="S38" s="113">
        <v>0</v>
      </c>
      <c r="T38" s="113">
        <v>0</v>
      </c>
      <c r="U38" s="113">
        <v>0</v>
      </c>
      <c r="V38" s="113"/>
      <c r="W38" s="113">
        <v>0</v>
      </c>
      <c r="X38" s="113">
        <v>0</v>
      </c>
      <c r="Y38" s="113">
        <v>0</v>
      </c>
      <c r="Z38" s="113">
        <v>0</v>
      </c>
      <c r="AA38" s="132"/>
      <c r="AB38" s="79"/>
      <c r="AC38" s="80"/>
      <c r="AD38" s="59" t="s">
        <v>51</v>
      </c>
    </row>
    <row r="39" spans="1:31" s="18" customFormat="1" ht="17.25" x14ac:dyDescent="0.45">
      <c r="A39" s="20" t="s">
        <v>16</v>
      </c>
      <c r="B39" s="118"/>
      <c r="C39" s="113">
        <v>0</v>
      </c>
      <c r="D39" s="113">
        <v>0</v>
      </c>
      <c r="E39" s="113">
        <v>0</v>
      </c>
      <c r="F39" s="113">
        <v>0</v>
      </c>
      <c r="G39" s="113"/>
      <c r="H39" s="113">
        <v>0</v>
      </c>
      <c r="I39" s="113">
        <v>0</v>
      </c>
      <c r="J39" s="113">
        <v>0</v>
      </c>
      <c r="K39" s="113">
        <v>0</v>
      </c>
      <c r="L39" s="113"/>
      <c r="M39" s="113">
        <v>0</v>
      </c>
      <c r="N39" s="113">
        <v>0</v>
      </c>
      <c r="O39" s="113">
        <v>0</v>
      </c>
      <c r="P39" s="113">
        <v>0</v>
      </c>
      <c r="Q39" s="113"/>
      <c r="R39" s="113">
        <v>0</v>
      </c>
      <c r="S39" s="113">
        <v>0</v>
      </c>
      <c r="T39" s="113">
        <v>0</v>
      </c>
      <c r="U39" s="113">
        <v>0</v>
      </c>
      <c r="V39" s="113"/>
      <c r="W39" s="113">
        <v>0</v>
      </c>
      <c r="X39" s="113">
        <v>0</v>
      </c>
      <c r="Y39" s="113">
        <v>0</v>
      </c>
      <c r="Z39" s="113">
        <v>0</v>
      </c>
      <c r="AA39" s="132"/>
      <c r="AB39" s="79"/>
      <c r="AC39" s="80"/>
      <c r="AD39" s="59" t="s">
        <v>17</v>
      </c>
    </row>
    <row r="40" spans="1:31" s="15" customFormat="1" ht="17.25" x14ac:dyDescent="0.45">
      <c r="A40" s="20" t="s">
        <v>42</v>
      </c>
      <c r="B40" s="123"/>
      <c r="C40" s="136">
        <v>3925.9740000000056</v>
      </c>
      <c r="D40" s="136">
        <v>4236.7119999999995</v>
      </c>
      <c r="E40" s="136">
        <v>3877.1580000000067</v>
      </c>
      <c r="F40" s="136">
        <v>3924.5840000000062</v>
      </c>
      <c r="G40" s="136"/>
      <c r="H40" s="136">
        <v>4675.2869999999966</v>
      </c>
      <c r="I40" s="136">
        <v>4374.5789999999979</v>
      </c>
      <c r="J40" s="136">
        <v>4993.0740000000005</v>
      </c>
      <c r="K40" s="136">
        <v>3837.0679999999993</v>
      </c>
      <c r="L40" s="136"/>
      <c r="M40" s="136">
        <v>4098.1840000000011</v>
      </c>
      <c r="N40" s="136">
        <v>3982.1790000000037</v>
      </c>
      <c r="O40" s="136">
        <v>3960.6549999999916</v>
      </c>
      <c r="P40" s="136">
        <v>4017.1099999999933</v>
      </c>
      <c r="Q40" s="136"/>
      <c r="R40" s="136">
        <v>4204.9259999999995</v>
      </c>
      <c r="S40" s="136">
        <v>4275.3580000000002</v>
      </c>
      <c r="T40" s="136">
        <v>4323.8290000000052</v>
      </c>
      <c r="U40" s="136">
        <v>3636.8029999999999</v>
      </c>
      <c r="V40" s="136"/>
      <c r="W40" s="136">
        <v>3854.7679999999964</v>
      </c>
      <c r="X40" s="136">
        <v>4015.9170000000013</v>
      </c>
      <c r="Y40" s="136">
        <v>3988.3459999999977</v>
      </c>
      <c r="Z40" s="136">
        <v>3888.1889999999985</v>
      </c>
      <c r="AA40" s="133"/>
      <c r="AB40" s="11"/>
      <c r="AC40" s="58"/>
      <c r="AD40" s="37" t="s">
        <v>43</v>
      </c>
    </row>
    <row r="41" spans="1:31" s="15" customFormat="1" ht="17.25" x14ac:dyDescent="0.45">
      <c r="A41" s="20" t="s">
        <v>28</v>
      </c>
      <c r="B41" s="123"/>
      <c r="C41" s="136">
        <v>6305.0860000000002</v>
      </c>
      <c r="D41" s="136">
        <v>6557.96</v>
      </c>
      <c r="E41" s="136">
        <v>6974.3550000000005</v>
      </c>
      <c r="F41" s="136">
        <v>7170.1810000000005</v>
      </c>
      <c r="G41" s="136"/>
      <c r="H41" s="136">
        <v>7555.1559999999999</v>
      </c>
      <c r="I41" s="136">
        <v>7802.6839999999993</v>
      </c>
      <c r="J41" s="136">
        <v>8331.0006516733993</v>
      </c>
      <c r="K41" s="136">
        <v>8720.9440029600009</v>
      </c>
      <c r="L41" s="136"/>
      <c r="M41" s="136">
        <v>8927.4</v>
      </c>
      <c r="N41" s="136">
        <v>9035.7790000000005</v>
      </c>
      <c r="O41" s="136">
        <v>9482.4179999999997</v>
      </c>
      <c r="P41" s="136">
        <v>9414.4979999999978</v>
      </c>
      <c r="Q41" s="136"/>
      <c r="R41" s="136">
        <v>9803.8580000000002</v>
      </c>
      <c r="S41" s="136">
        <v>10011.329</v>
      </c>
      <c r="T41" s="136">
        <v>10566.018000000002</v>
      </c>
      <c r="U41" s="136">
        <v>11109.237999999999</v>
      </c>
      <c r="V41" s="136"/>
      <c r="W41" s="136">
        <v>11003.251</v>
      </c>
      <c r="X41" s="136">
        <v>11287.743</v>
      </c>
      <c r="Y41" s="136">
        <v>11217.993</v>
      </c>
      <c r="Z41" s="136">
        <v>11899.224999999999</v>
      </c>
      <c r="AA41" s="133"/>
      <c r="AB41" s="11"/>
      <c r="AC41" s="58"/>
      <c r="AD41" s="73" t="s">
        <v>18</v>
      </c>
    </row>
    <row r="42" spans="1:31" ht="18" x14ac:dyDescent="0.45">
      <c r="A42" s="81" t="s">
        <v>19</v>
      </c>
      <c r="B42" s="77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7"/>
      <c r="AB42" s="17"/>
      <c r="AC42" s="58"/>
      <c r="AD42" s="52" t="s">
        <v>20</v>
      </c>
      <c r="AE42" s="18"/>
    </row>
    <row r="43" spans="1:31" ht="18" x14ac:dyDescent="0.45">
      <c r="A43" s="20" t="s">
        <v>32</v>
      </c>
      <c r="B43" s="82"/>
      <c r="C43" s="83">
        <v>110.42768014933704</v>
      </c>
      <c r="D43" s="83">
        <v>122.51591427031813</v>
      </c>
      <c r="E43" s="83">
        <v>73.761678471643094</v>
      </c>
      <c r="F43" s="83">
        <v>76.092741846873707</v>
      </c>
      <c r="G43" s="82"/>
      <c r="H43" s="83">
        <v>66.799224874194323</v>
      </c>
      <c r="I43" s="83">
        <v>68.004337993555623</v>
      </c>
      <c r="J43" s="83">
        <v>25.96859395337674</v>
      </c>
      <c r="K43" s="83">
        <f t="shared" ref="K43" si="0">(K9/F9-1)*100</f>
        <v>-2.6920617650237899</v>
      </c>
      <c r="L43" s="82"/>
      <c r="M43" s="83">
        <v>-29.031625256775463</v>
      </c>
      <c r="N43" s="83">
        <v>-11.858578860849445</v>
      </c>
      <c r="O43" s="83">
        <v>4.185393091622136</v>
      </c>
      <c r="P43" s="83">
        <v>11.278407154505899</v>
      </c>
      <c r="Q43" s="83"/>
      <c r="R43" s="83">
        <f>(R9/M9-1)*100</f>
        <v>7.7035992501354178</v>
      </c>
      <c r="S43" s="83">
        <f t="shared" ref="S43:U43" si="1">(S9/N9-1)*100</f>
        <v>-3.801982443194063</v>
      </c>
      <c r="T43" s="83">
        <f t="shared" si="1"/>
        <v>13.510234081049832</v>
      </c>
      <c r="U43" s="83">
        <f t="shared" si="1"/>
        <v>-11.605553529045331</v>
      </c>
      <c r="V43" s="83"/>
      <c r="W43" s="83">
        <f t="shared" ref="W43" si="2">(W9/R9-1)*100</f>
        <v>-17.661983845058582</v>
      </c>
      <c r="X43" s="83">
        <f t="shared" ref="X43" si="3">(X9/S9-1)*100</f>
        <v>-21.529126897260131</v>
      </c>
      <c r="Y43" s="83">
        <f t="shared" ref="Y43" si="4">(Y9/T9-1)*100</f>
        <v>-40.050286116421944</v>
      </c>
      <c r="Z43" s="83">
        <f t="shared" ref="Z43" si="5">(Z9/U9-1)*100</f>
        <v>-13.561547084159953</v>
      </c>
      <c r="AA43" s="17"/>
      <c r="AB43" s="17"/>
      <c r="AC43" s="58"/>
      <c r="AD43" s="52" t="s">
        <v>46</v>
      </c>
      <c r="AE43" s="18"/>
    </row>
    <row r="44" spans="1:31" ht="18" x14ac:dyDescent="0.45">
      <c r="A44" s="20" t="s">
        <v>40</v>
      </c>
      <c r="B44" s="82"/>
      <c r="C44" s="83">
        <v>-72.15304481330341</v>
      </c>
      <c r="D44" s="83">
        <v>-66.067535794466423</v>
      </c>
      <c r="E44" s="83">
        <v>-70.82788455243336</v>
      </c>
      <c r="F44" s="83">
        <v>-26.696934334233234</v>
      </c>
      <c r="G44" s="82"/>
      <c r="H44" s="83">
        <v>-2.6791943073859348</v>
      </c>
      <c r="I44" s="83">
        <v>-37.566384185209415</v>
      </c>
      <c r="J44" s="83">
        <v>11.51158374477783</v>
      </c>
      <c r="K44" s="83">
        <f t="shared" ref="K44" si="6">(K28/F28-1)*100</f>
        <v>-2.6031248951837616</v>
      </c>
      <c r="L44" s="82"/>
      <c r="M44" s="83">
        <v>1.9915913724135592</v>
      </c>
      <c r="N44" s="83">
        <v>70.057403977359115</v>
      </c>
      <c r="O44" s="83">
        <v>-10.813664384728039</v>
      </c>
      <c r="P44" s="83">
        <v>-3.6048605204641593</v>
      </c>
      <c r="Q44" s="83"/>
      <c r="R44" s="83">
        <f>(R28/M28-1)*100</f>
        <v>23.453183935390577</v>
      </c>
      <c r="S44" s="83">
        <f t="shared" ref="S44:U44" si="7">(S28/N28-1)*100</f>
        <v>66.108885778996807</v>
      </c>
      <c r="T44" s="83">
        <f t="shared" si="7"/>
        <v>93.928863213977394</v>
      </c>
      <c r="U44" s="83">
        <f t="shared" si="7"/>
        <v>82.046447212188994</v>
      </c>
      <c r="V44" s="83"/>
      <c r="W44" s="83">
        <f t="shared" ref="W44" si="8">(W28/R28-1)*100</f>
        <v>70.807653258828452</v>
      </c>
      <c r="X44" s="83">
        <f t="shared" ref="X44" si="9">(X28/S28-1)*100</f>
        <v>-2.3801686164922176</v>
      </c>
      <c r="Y44" s="83">
        <f t="shared" ref="Y44" si="10">(Y28/T28-1)*100</f>
        <v>32.626014955129243</v>
      </c>
      <c r="Z44" s="83">
        <f t="shared" ref="Z44" si="11">(Z28/U28-1)*100</f>
        <v>16.851799167588656</v>
      </c>
      <c r="AA44" s="17"/>
      <c r="AB44" s="17"/>
      <c r="AC44" s="58"/>
      <c r="AD44" s="37" t="s">
        <v>41</v>
      </c>
      <c r="AE44" s="18"/>
    </row>
    <row r="45" spans="1:31" ht="18" x14ac:dyDescent="0.45">
      <c r="A45" s="20" t="s">
        <v>58</v>
      </c>
      <c r="B45" s="82"/>
      <c r="C45" s="83">
        <v>-2.19359698504622</v>
      </c>
      <c r="D45" s="83">
        <v>-1.6750982896530098</v>
      </c>
      <c r="E45" s="83">
        <v>4.5737204359917349</v>
      </c>
      <c r="F45" s="83">
        <v>6.4686615405572967</v>
      </c>
      <c r="G45" s="82"/>
      <c r="H45" s="83">
        <v>3.0449520531503849</v>
      </c>
      <c r="I45" s="83">
        <v>-4.7654314895420491</v>
      </c>
      <c r="J45" s="83">
        <v>-1.9759569006803201</v>
      </c>
      <c r="K45" s="83">
        <f t="shared" ref="K45" si="12">(K17/F17-1)*100</f>
        <v>-5.4293323347027522</v>
      </c>
      <c r="L45" s="82"/>
      <c r="M45" s="83">
        <v>-8.5004472150938977</v>
      </c>
      <c r="N45" s="83">
        <v>-0.58010557493520798</v>
      </c>
      <c r="O45" s="83">
        <v>-0.23630115433606047</v>
      </c>
      <c r="P45" s="83">
        <v>8.2553887052225114</v>
      </c>
      <c r="Q45" s="83"/>
      <c r="R45" s="83">
        <f>(R17/M17-1)*100</f>
        <v>11.520798171532709</v>
      </c>
      <c r="S45" s="83">
        <f t="shared" ref="S45:U45" si="13">(S17/N17-1)*100</f>
        <v>16.068106770024393</v>
      </c>
      <c r="T45" s="83">
        <f t="shared" si="13"/>
        <v>12.395232014025414</v>
      </c>
      <c r="U45" s="83">
        <f t="shared" si="13"/>
        <v>10.426625185022576</v>
      </c>
      <c r="V45" s="83"/>
      <c r="W45" s="83">
        <f t="shared" ref="W45" si="14">(W17/R17-1)*100</f>
        <v>12.420872325507348</v>
      </c>
      <c r="X45" s="83">
        <f t="shared" ref="X45" si="15">(X17/S17-1)*100</f>
        <v>16.485327603427823</v>
      </c>
      <c r="Y45" s="83">
        <f t="shared" ref="Y45" si="16">(Y17/T17-1)*100</f>
        <v>15.533637347403605</v>
      </c>
      <c r="Z45" s="83">
        <f t="shared" ref="Z45" si="17">(Z17/U17-1)*100</f>
        <v>17.034032819690491</v>
      </c>
      <c r="AA45" s="17"/>
      <c r="AB45" s="17"/>
      <c r="AC45" s="58"/>
      <c r="AD45" s="66" t="s">
        <v>59</v>
      </c>
      <c r="AE45" s="18"/>
    </row>
    <row r="46" spans="1:31" x14ac:dyDescent="0.5">
      <c r="A46" s="84" t="s">
        <v>87</v>
      </c>
      <c r="B46" s="85"/>
      <c r="C46" s="86">
        <v>-4.4350495639658867</v>
      </c>
      <c r="D46" s="86">
        <v>-1.0166997527661925</v>
      </c>
      <c r="E46" s="86">
        <v>0.40784473187487347</v>
      </c>
      <c r="F46" s="86">
        <v>0.90922716070687137</v>
      </c>
      <c r="G46" s="85"/>
      <c r="H46" s="86">
        <v>-2.9603232144161606</v>
      </c>
      <c r="I46" s="86">
        <v>-0.85606197780946358</v>
      </c>
      <c r="J46" s="86">
        <v>4.2102603090934165</v>
      </c>
      <c r="K46" s="86">
        <f t="shared" ref="K46" si="18">(K22/F22-1)*100</f>
        <v>2.8240645745756021</v>
      </c>
      <c r="L46" s="85"/>
      <c r="M46" s="86">
        <v>1.5247298189351222</v>
      </c>
      <c r="N46" s="86">
        <v>0.79229611785034404</v>
      </c>
      <c r="O46" s="86">
        <v>3.0338756283013746</v>
      </c>
      <c r="P46" s="86">
        <v>12.616197995811751</v>
      </c>
      <c r="Q46" s="86"/>
      <c r="R46" s="86">
        <f>(R22/M22-1)*100</f>
        <v>16.426976425781127</v>
      </c>
      <c r="S46" s="86">
        <f t="shared" ref="S46:U46" si="19">(S22/N22-1)*100</f>
        <v>20.056181099252512</v>
      </c>
      <c r="T46" s="86">
        <f t="shared" si="19"/>
        <v>14.685888802906488</v>
      </c>
      <c r="U46" s="86">
        <f t="shared" si="19"/>
        <v>10.509114842506406</v>
      </c>
      <c r="V46" s="86"/>
      <c r="W46" s="86">
        <f t="shared" ref="W46" si="20">(W22/R22-1)*100</f>
        <v>11.670121843092618</v>
      </c>
      <c r="X46" s="86">
        <f t="shared" ref="X46" si="21">(X22/S22-1)*100</f>
        <v>12.026915913227576</v>
      </c>
      <c r="Y46" s="86">
        <f t="shared" ref="Y46" si="22">(Y22/T22-1)*100</f>
        <v>12.863703854421304</v>
      </c>
      <c r="Z46" s="86">
        <f t="shared" ref="Z46" si="23">(Z22/U22-1)*100</f>
        <v>14.576383500247768</v>
      </c>
      <c r="AA46" s="87"/>
      <c r="AB46" s="87"/>
      <c r="AC46" s="88"/>
      <c r="AD46" s="89" t="s">
        <v>21</v>
      </c>
      <c r="AE46" s="18"/>
    </row>
    <row r="47" spans="1:31" x14ac:dyDescent="0.5">
      <c r="A47" s="90" t="s">
        <v>22</v>
      </c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23"/>
      <c r="AB47" s="23"/>
      <c r="AC47" s="92"/>
      <c r="AD47" s="93" t="s">
        <v>23</v>
      </c>
      <c r="AE47" s="18"/>
    </row>
    <row r="48" spans="1:31" ht="18" x14ac:dyDescent="0.45">
      <c r="A48" s="20" t="s">
        <v>70</v>
      </c>
      <c r="B48" s="16"/>
      <c r="C48" s="16">
        <v>20410.764999999999</v>
      </c>
      <c r="D48" s="16">
        <v>20285.861999999997</v>
      </c>
      <c r="E48" s="16">
        <v>20161.315000000002</v>
      </c>
      <c r="F48" s="16">
        <v>20873.284</v>
      </c>
      <c r="G48" s="16"/>
      <c r="H48" s="16">
        <v>25645.079999999994</v>
      </c>
      <c r="I48" s="16">
        <v>24197.758000000002</v>
      </c>
      <c r="J48" s="16">
        <v>23391.682999999997</v>
      </c>
      <c r="K48" s="16">
        <v>24477.472999999998</v>
      </c>
      <c r="L48" s="122"/>
      <c r="M48" s="135">
        <v>25674.16</v>
      </c>
      <c r="N48" s="135">
        <v>26519.450999999997</v>
      </c>
      <c r="O48" s="135">
        <v>27200.411999999997</v>
      </c>
      <c r="P48" s="135">
        <f t="shared" ref="P48" si="24">P29</f>
        <v>27734.698</v>
      </c>
      <c r="Q48" s="135"/>
      <c r="R48" s="135">
        <f>R29</f>
        <v>29917.481</v>
      </c>
      <c r="S48" s="135">
        <f t="shared" ref="S48:U48" si="25">S29</f>
        <v>29061.190000000002</v>
      </c>
      <c r="T48" s="135">
        <f t="shared" si="25"/>
        <v>29177.445000000003</v>
      </c>
      <c r="U48" s="135">
        <f t="shared" si="25"/>
        <v>27741.251</v>
      </c>
      <c r="V48" s="135"/>
      <c r="W48" s="135">
        <f t="shared" ref="W48:Z48" si="26">W29</f>
        <v>28242.690999999999</v>
      </c>
      <c r="X48" s="135">
        <f t="shared" si="26"/>
        <v>29028.258000000002</v>
      </c>
      <c r="Y48" s="135">
        <f t="shared" si="26"/>
        <v>27114.553999999996</v>
      </c>
      <c r="Z48" s="135">
        <f t="shared" si="26"/>
        <v>29094.114999999998</v>
      </c>
      <c r="AA48" s="131"/>
      <c r="AB48" s="17"/>
      <c r="AC48" s="58"/>
      <c r="AD48" s="66" t="s">
        <v>71</v>
      </c>
      <c r="AE48" s="18"/>
    </row>
    <row r="49" spans="1:38" ht="18" x14ac:dyDescent="0.45">
      <c r="A49" s="77" t="s">
        <v>80</v>
      </c>
      <c r="B49" s="94"/>
      <c r="C49" s="94">
        <v>8728.5489999999991</v>
      </c>
      <c r="D49" s="94">
        <v>9197.7159999999985</v>
      </c>
      <c r="E49" s="94">
        <v>9103.628999999999</v>
      </c>
      <c r="F49" s="94">
        <v>8996.5310000000009</v>
      </c>
      <c r="G49" s="94"/>
      <c r="H49" s="94">
        <v>9840.4920000000002</v>
      </c>
      <c r="I49" s="94">
        <v>10385.963</v>
      </c>
      <c r="J49" s="94">
        <v>9901.8339999999989</v>
      </c>
      <c r="K49" s="94">
        <v>9873.5939999999991</v>
      </c>
      <c r="L49" s="137"/>
      <c r="M49" s="146">
        <v>10790.850000000002</v>
      </c>
      <c r="N49" s="146">
        <v>11580.960999999999</v>
      </c>
      <c r="O49" s="146">
        <v>11652.112000000001</v>
      </c>
      <c r="P49" s="146">
        <f t="shared" ref="P49" si="27">P31+P34</f>
        <v>12290.892</v>
      </c>
      <c r="Q49" s="146"/>
      <c r="R49" s="146">
        <f>R31+R34</f>
        <v>13027.344999999999</v>
      </c>
      <c r="S49" s="146">
        <f t="shared" ref="S49:U49" si="28">S31+S34</f>
        <v>13137.842000000001</v>
      </c>
      <c r="T49" s="146">
        <f t="shared" si="28"/>
        <v>13302.06</v>
      </c>
      <c r="U49" s="146">
        <f t="shared" si="28"/>
        <v>12979.253000000001</v>
      </c>
      <c r="V49" s="146"/>
      <c r="W49" s="146">
        <f t="shared" ref="W49:Z49" si="29">W31+W34</f>
        <v>12919.302</v>
      </c>
      <c r="X49" s="146">
        <f t="shared" si="29"/>
        <v>13537.182000000001</v>
      </c>
      <c r="Y49" s="146">
        <f t="shared" si="29"/>
        <v>12750.932000000001</v>
      </c>
      <c r="Z49" s="146">
        <f t="shared" si="29"/>
        <v>13493.272999999999</v>
      </c>
      <c r="AA49" s="131"/>
      <c r="AB49" s="17"/>
      <c r="AC49" s="95" t="s">
        <v>14</v>
      </c>
      <c r="AD49" s="58"/>
      <c r="AE49" s="18"/>
    </row>
    <row r="50" spans="1:38" ht="18" x14ac:dyDescent="0.45">
      <c r="A50" s="84" t="s">
        <v>88</v>
      </c>
      <c r="B50" s="96"/>
      <c r="C50" s="96">
        <v>11682.216</v>
      </c>
      <c r="D50" s="96">
        <v>11088.145999999999</v>
      </c>
      <c r="E50" s="96">
        <v>11057.686000000002</v>
      </c>
      <c r="F50" s="96">
        <v>11876.753000000001</v>
      </c>
      <c r="G50" s="96"/>
      <c r="H50" s="96">
        <v>15804.588</v>
      </c>
      <c r="I50" s="96">
        <v>13811.794999999998</v>
      </c>
      <c r="J50" s="96">
        <v>13489.848999999998</v>
      </c>
      <c r="K50" s="96">
        <v>14603.879000000001</v>
      </c>
      <c r="L50" s="138"/>
      <c r="M50" s="117">
        <v>14883.31</v>
      </c>
      <c r="N50" s="117">
        <v>14938.489999999998</v>
      </c>
      <c r="O50" s="117">
        <v>15548.3</v>
      </c>
      <c r="P50" s="117">
        <f t="shared" ref="P50" si="30">P32+P35</f>
        <v>15443.805999999999</v>
      </c>
      <c r="Q50" s="117"/>
      <c r="R50" s="117">
        <f>R32+R35</f>
        <v>16890.135999999999</v>
      </c>
      <c r="S50" s="117">
        <f t="shared" ref="S50:U50" si="31">S32+S35</f>
        <v>15923.348</v>
      </c>
      <c r="T50" s="117">
        <f t="shared" si="31"/>
        <v>15875.385000000002</v>
      </c>
      <c r="U50" s="117">
        <f t="shared" si="31"/>
        <v>14761.998</v>
      </c>
      <c r="V50" s="117"/>
      <c r="W50" s="117">
        <f t="shared" ref="W50:Z50" si="32">W32+W35</f>
        <v>15323.388999999999</v>
      </c>
      <c r="X50" s="117">
        <f t="shared" si="32"/>
        <v>15491.076000000001</v>
      </c>
      <c r="Y50" s="117">
        <f t="shared" si="32"/>
        <v>14363.621999999999</v>
      </c>
      <c r="Z50" s="117">
        <f t="shared" si="32"/>
        <v>15600.841999999999</v>
      </c>
      <c r="AA50" s="139"/>
      <c r="AB50" s="97"/>
      <c r="AC50" s="98" t="s">
        <v>15</v>
      </c>
      <c r="AD50" s="99"/>
      <c r="AE50" s="100"/>
    </row>
    <row r="51" spans="1:38" s="103" customFormat="1" ht="17.25" x14ac:dyDescent="0.4">
      <c r="A51" s="5" t="s">
        <v>86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10"/>
      <c r="AB51" s="10"/>
      <c r="AC51" s="101"/>
      <c r="AD51" s="6" t="s">
        <v>85</v>
      </c>
      <c r="AE51" s="102"/>
    </row>
    <row r="52" spans="1:38" s="151" customFormat="1" ht="15" customHeight="1" x14ac:dyDescent="0.4">
      <c r="A52" s="147" t="s">
        <v>92</v>
      </c>
      <c r="B52" s="148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56" t="s">
        <v>90</v>
      </c>
      <c r="AB52" s="156"/>
      <c r="AC52" s="156"/>
      <c r="AD52" s="156"/>
      <c r="AE52" s="150" t="s">
        <v>44</v>
      </c>
    </row>
    <row r="53" spans="1:38" ht="13.5" customHeight="1" x14ac:dyDescent="0.4">
      <c r="A53" s="7" t="s">
        <v>81</v>
      </c>
      <c r="B53" s="9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5" t="s">
        <v>82</v>
      </c>
      <c r="AE53" s="17" t="s">
        <v>83</v>
      </c>
    </row>
    <row r="54" spans="1:38" ht="16.5" customHeight="1" x14ac:dyDescent="0.25">
      <c r="A54" s="7" t="s">
        <v>84</v>
      </c>
      <c r="B54" s="49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152" t="s">
        <v>24</v>
      </c>
      <c r="AE54" s="106"/>
      <c r="AF54" s="106"/>
      <c r="AG54" s="106"/>
      <c r="AH54" s="106"/>
      <c r="AI54" s="106"/>
      <c r="AJ54" s="106"/>
      <c r="AK54" s="106"/>
      <c r="AL54" s="107"/>
    </row>
    <row r="55" spans="1:38" ht="18" x14ac:dyDescent="0.45">
      <c r="A55" s="7" t="s">
        <v>25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54"/>
      <c r="AD55" s="72" t="s">
        <v>45</v>
      </c>
      <c r="AE55" s="18"/>
    </row>
    <row r="56" spans="1:38" ht="18" x14ac:dyDescent="0.45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54"/>
      <c r="AD56" s="54"/>
      <c r="AE56" s="18"/>
    </row>
    <row r="57" spans="1:38" ht="18" x14ac:dyDescent="0.45">
      <c r="B57" s="1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8"/>
      <c r="AB57" s="18"/>
      <c r="AC57" s="54"/>
      <c r="AD57" s="54"/>
      <c r="AE57" s="18"/>
    </row>
    <row r="58" spans="1:38" ht="18" x14ac:dyDescent="0.45">
      <c r="B58" s="1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8"/>
      <c r="AB58" s="18"/>
      <c r="AC58" s="54"/>
      <c r="AD58" s="54"/>
      <c r="AE58" s="18"/>
    </row>
    <row r="59" spans="1:38" ht="18" x14ac:dyDescent="0.45">
      <c r="B59" s="18"/>
      <c r="C59" s="108"/>
      <c r="D59" s="108"/>
      <c r="E59" s="108"/>
      <c r="F59" s="108"/>
      <c r="H59" s="108"/>
      <c r="I59" s="108"/>
      <c r="J59" s="108"/>
      <c r="K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8"/>
      <c r="AB59" s="18"/>
      <c r="AC59" s="54"/>
      <c r="AD59" s="54"/>
      <c r="AE59" s="18"/>
    </row>
    <row r="60" spans="1:38" ht="18" x14ac:dyDescent="0.45">
      <c r="A60" s="18"/>
      <c r="B60" s="18"/>
      <c r="C60" s="108"/>
      <c r="D60" s="108"/>
      <c r="E60" s="108"/>
      <c r="F60" s="108"/>
      <c r="H60" s="108"/>
      <c r="I60" s="108"/>
      <c r="J60" s="108"/>
      <c r="K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Y60" s="108"/>
      <c r="Z60" s="108"/>
      <c r="AA60" s="18"/>
      <c r="AB60" s="18"/>
      <c r="AC60" s="54"/>
      <c r="AD60" s="54"/>
      <c r="AE60" s="18"/>
    </row>
    <row r="61" spans="1:38" x14ac:dyDescent="0.5">
      <c r="C61" s="108"/>
      <c r="D61" s="108"/>
      <c r="E61" s="108"/>
      <c r="F61" s="108"/>
      <c r="H61" s="108"/>
      <c r="I61" s="108"/>
      <c r="J61" s="108"/>
      <c r="K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</row>
    <row r="62" spans="1:38" x14ac:dyDescent="0.5">
      <c r="C62" s="108"/>
      <c r="D62" s="108"/>
      <c r="E62" s="108"/>
      <c r="F62" s="108"/>
      <c r="H62" s="108"/>
      <c r="I62" s="108"/>
      <c r="J62" s="108"/>
      <c r="K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108"/>
    </row>
    <row r="63" spans="1:38" x14ac:dyDescent="0.5">
      <c r="C63" s="108"/>
      <c r="D63" s="108"/>
      <c r="E63" s="108"/>
      <c r="F63" s="108"/>
      <c r="H63" s="108"/>
      <c r="I63" s="108"/>
      <c r="J63" s="108"/>
      <c r="K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108"/>
    </row>
    <row r="64" spans="1:38" x14ac:dyDescent="0.5">
      <c r="C64" s="108"/>
      <c r="D64" s="108"/>
      <c r="E64" s="108"/>
      <c r="F64" s="108"/>
      <c r="H64" s="108"/>
      <c r="I64" s="108"/>
      <c r="J64" s="108"/>
      <c r="K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</row>
    <row r="65" spans="3:26" x14ac:dyDescent="0.5">
      <c r="C65" s="108"/>
      <c r="D65" s="108"/>
      <c r="E65" s="108"/>
      <c r="F65" s="108"/>
      <c r="H65" s="108"/>
      <c r="I65" s="108"/>
      <c r="J65" s="108"/>
      <c r="K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</row>
    <row r="66" spans="3:26" x14ac:dyDescent="0.5">
      <c r="C66" s="108"/>
      <c r="D66" s="108"/>
      <c r="E66" s="108"/>
      <c r="F66" s="108"/>
      <c r="H66" s="108"/>
      <c r="I66" s="108"/>
      <c r="J66" s="108"/>
      <c r="K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  <c r="Z66" s="108"/>
    </row>
    <row r="67" spans="3:26" x14ac:dyDescent="0.5">
      <c r="C67" s="108"/>
      <c r="D67" s="108"/>
      <c r="E67" s="108"/>
      <c r="F67" s="108"/>
      <c r="H67" s="108"/>
      <c r="I67" s="108"/>
      <c r="J67" s="108"/>
      <c r="K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</row>
    <row r="68" spans="3:26" x14ac:dyDescent="0.5">
      <c r="C68" s="108"/>
      <c r="D68" s="108"/>
      <c r="E68" s="108"/>
      <c r="F68" s="108"/>
      <c r="H68" s="108"/>
      <c r="I68" s="108"/>
      <c r="J68" s="108"/>
      <c r="K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  <c r="Y68" s="108"/>
      <c r="Z68" s="108"/>
    </row>
    <row r="69" spans="3:26" x14ac:dyDescent="0.5">
      <c r="C69" s="108"/>
      <c r="D69" s="108"/>
      <c r="E69" s="108"/>
      <c r="F69" s="108"/>
      <c r="H69" s="108"/>
      <c r="I69" s="108"/>
      <c r="J69" s="108"/>
      <c r="K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  <c r="Y69" s="108"/>
      <c r="Z69" s="108"/>
    </row>
    <row r="70" spans="3:26" x14ac:dyDescent="0.5">
      <c r="C70" s="108"/>
      <c r="D70" s="108"/>
      <c r="E70" s="108"/>
      <c r="F70" s="108"/>
      <c r="H70" s="108"/>
      <c r="I70" s="108"/>
      <c r="J70" s="108"/>
      <c r="K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  <c r="Y70" s="108"/>
      <c r="Z70" s="108"/>
    </row>
    <row r="71" spans="3:26" x14ac:dyDescent="0.5">
      <c r="C71" s="108"/>
      <c r="D71" s="108"/>
      <c r="E71" s="108"/>
      <c r="F71" s="108"/>
      <c r="H71" s="108"/>
      <c r="I71" s="108"/>
      <c r="J71" s="108"/>
      <c r="K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  <c r="Y71" s="108"/>
      <c r="Z71" s="108"/>
    </row>
    <row r="72" spans="3:26" x14ac:dyDescent="0.5">
      <c r="C72" s="108"/>
      <c r="D72" s="108"/>
      <c r="E72" s="108"/>
      <c r="F72" s="108"/>
      <c r="H72" s="108"/>
      <c r="I72" s="108"/>
      <c r="J72" s="108"/>
      <c r="K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  <c r="Y72" s="108"/>
      <c r="Z72" s="108"/>
    </row>
    <row r="73" spans="3:26" x14ac:dyDescent="0.5">
      <c r="C73" s="108"/>
      <c r="D73" s="108"/>
      <c r="E73" s="108"/>
      <c r="F73" s="108"/>
      <c r="H73" s="108"/>
      <c r="I73" s="108"/>
      <c r="J73" s="108"/>
      <c r="K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  <c r="Y73" s="108"/>
      <c r="Z73" s="108"/>
    </row>
    <row r="74" spans="3:26" x14ac:dyDescent="0.5">
      <c r="C74" s="108"/>
      <c r="D74" s="108"/>
      <c r="E74" s="108"/>
      <c r="F74" s="108"/>
      <c r="H74" s="108"/>
      <c r="I74" s="108"/>
      <c r="J74" s="108"/>
      <c r="K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  <c r="Y74" s="108"/>
      <c r="Z74" s="108"/>
    </row>
    <row r="75" spans="3:26" x14ac:dyDescent="0.5">
      <c r="C75" s="108"/>
      <c r="D75" s="108"/>
      <c r="E75" s="108"/>
      <c r="F75" s="108"/>
      <c r="H75" s="108"/>
      <c r="I75" s="108"/>
      <c r="J75" s="108"/>
      <c r="K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  <c r="Y75" s="108"/>
      <c r="Z75" s="108"/>
    </row>
    <row r="76" spans="3:26" x14ac:dyDescent="0.5">
      <c r="C76" s="108"/>
      <c r="D76" s="108"/>
      <c r="E76" s="108"/>
      <c r="F76" s="108"/>
      <c r="H76" s="108"/>
      <c r="I76" s="108"/>
      <c r="J76" s="108"/>
      <c r="K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  <c r="Y76" s="108"/>
      <c r="Z76" s="108"/>
    </row>
    <row r="77" spans="3:26" x14ac:dyDescent="0.5">
      <c r="C77" s="108"/>
      <c r="D77" s="108"/>
      <c r="E77" s="108"/>
      <c r="F77" s="108"/>
      <c r="H77" s="108"/>
      <c r="I77" s="108"/>
      <c r="J77" s="108"/>
      <c r="K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  <c r="Y77" s="108"/>
      <c r="Z77" s="108"/>
    </row>
    <row r="78" spans="3:26" x14ac:dyDescent="0.5">
      <c r="C78" s="108"/>
      <c r="D78" s="108"/>
      <c r="E78" s="108"/>
      <c r="F78" s="108"/>
      <c r="H78" s="108"/>
      <c r="I78" s="108"/>
      <c r="J78" s="108"/>
      <c r="K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</row>
    <row r="79" spans="3:26" x14ac:dyDescent="0.5">
      <c r="C79" s="108"/>
      <c r="D79" s="108"/>
      <c r="E79" s="108"/>
      <c r="F79" s="108"/>
      <c r="H79" s="108"/>
      <c r="I79" s="108"/>
      <c r="J79" s="108"/>
      <c r="K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</row>
    <row r="80" spans="3:26" x14ac:dyDescent="0.5">
      <c r="C80" s="108"/>
      <c r="D80" s="108"/>
      <c r="E80" s="108"/>
      <c r="F80" s="108"/>
      <c r="H80" s="108"/>
      <c r="I80" s="108"/>
      <c r="J80" s="108"/>
      <c r="K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  <c r="Y80" s="108"/>
      <c r="Z80" s="108"/>
    </row>
    <row r="81" spans="3:26" x14ac:dyDescent="0.5">
      <c r="C81" s="108"/>
      <c r="D81" s="108"/>
      <c r="E81" s="108"/>
      <c r="F81" s="108"/>
      <c r="H81" s="108"/>
      <c r="I81" s="108"/>
      <c r="J81" s="108"/>
      <c r="K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  <c r="Z81" s="108"/>
    </row>
    <row r="82" spans="3:26" x14ac:dyDescent="0.5">
      <c r="C82" s="108"/>
      <c r="D82" s="108"/>
      <c r="E82" s="108"/>
      <c r="F82" s="108"/>
      <c r="H82" s="108"/>
      <c r="I82" s="108"/>
      <c r="J82" s="108"/>
      <c r="K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  <c r="Z82" s="108"/>
    </row>
    <row r="83" spans="3:26" x14ac:dyDescent="0.5">
      <c r="C83" s="108"/>
      <c r="D83" s="108"/>
      <c r="E83" s="108"/>
      <c r="F83" s="108"/>
      <c r="H83" s="108"/>
      <c r="I83" s="108"/>
      <c r="J83" s="108"/>
      <c r="K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  <c r="Y83" s="108"/>
      <c r="Z83" s="108"/>
    </row>
    <row r="84" spans="3:26" x14ac:dyDescent="0.5">
      <c r="C84" s="108"/>
      <c r="D84" s="108"/>
      <c r="E84" s="108"/>
      <c r="F84" s="108"/>
      <c r="H84" s="108"/>
      <c r="I84" s="108"/>
      <c r="J84" s="108"/>
      <c r="K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  <c r="Y84" s="108"/>
      <c r="Z84" s="108"/>
    </row>
    <row r="85" spans="3:26" x14ac:dyDescent="0.5">
      <c r="C85" s="108"/>
      <c r="D85" s="108"/>
      <c r="E85" s="108"/>
      <c r="F85" s="108"/>
      <c r="H85" s="108"/>
      <c r="I85" s="108"/>
      <c r="J85" s="108"/>
      <c r="K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  <c r="Y85" s="108"/>
      <c r="Z85" s="108"/>
    </row>
    <row r="86" spans="3:26" x14ac:dyDescent="0.5">
      <c r="C86" s="108"/>
      <c r="D86" s="108"/>
      <c r="E86" s="108"/>
      <c r="F86" s="108"/>
      <c r="H86" s="108"/>
      <c r="I86" s="108"/>
      <c r="J86" s="108"/>
      <c r="K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</row>
    <row r="87" spans="3:26" x14ac:dyDescent="0.5">
      <c r="C87" s="108"/>
      <c r="D87" s="108"/>
      <c r="E87" s="108"/>
      <c r="F87" s="108"/>
      <c r="H87" s="108"/>
      <c r="I87" s="108"/>
      <c r="J87" s="108"/>
      <c r="K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  <c r="Y87" s="108"/>
      <c r="Z87" s="108"/>
    </row>
    <row r="88" spans="3:26" x14ac:dyDescent="0.5">
      <c r="C88" s="108"/>
      <c r="D88" s="108"/>
      <c r="E88" s="108"/>
      <c r="F88" s="108"/>
      <c r="H88" s="108"/>
      <c r="I88" s="108"/>
      <c r="J88" s="108"/>
      <c r="K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</row>
    <row r="89" spans="3:26" x14ac:dyDescent="0.5">
      <c r="C89" s="108"/>
      <c r="D89" s="108"/>
      <c r="E89" s="108"/>
      <c r="F89" s="108"/>
      <c r="H89" s="108"/>
      <c r="I89" s="108"/>
      <c r="J89" s="108"/>
      <c r="K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</row>
    <row r="90" spans="3:26" x14ac:dyDescent="0.5">
      <c r="C90" s="108"/>
      <c r="D90" s="108"/>
      <c r="E90" s="108"/>
      <c r="F90" s="108"/>
      <c r="H90" s="108"/>
      <c r="I90" s="108"/>
      <c r="J90" s="108"/>
      <c r="K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</row>
    <row r="91" spans="3:26" x14ac:dyDescent="0.5"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</row>
    <row r="92" spans="3:26" x14ac:dyDescent="0.5"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4"/>
      <c r="N92" s="144"/>
      <c r="O92" s="144"/>
      <c r="P92" s="144"/>
      <c r="Q92" s="144"/>
      <c r="R92" s="144"/>
      <c r="S92" s="144"/>
      <c r="T92" s="144"/>
      <c r="U92" s="144"/>
      <c r="V92" s="144"/>
      <c r="W92" s="144"/>
      <c r="X92" s="144"/>
      <c r="Y92" s="144"/>
      <c r="Z92" s="144"/>
    </row>
    <row r="93" spans="3:26" x14ac:dyDescent="0.5"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4"/>
      <c r="N93" s="144"/>
      <c r="O93" s="144"/>
      <c r="P93" s="144"/>
      <c r="Q93" s="144"/>
      <c r="R93" s="144"/>
      <c r="S93" s="144"/>
      <c r="T93" s="144"/>
      <c r="U93" s="144"/>
      <c r="V93" s="144"/>
      <c r="W93" s="144"/>
      <c r="X93" s="144"/>
      <c r="Y93" s="144"/>
      <c r="Z93" s="144"/>
    </row>
    <row r="94" spans="3:26" x14ac:dyDescent="0.5"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4"/>
      <c r="N94" s="144"/>
      <c r="O94" s="144"/>
      <c r="P94" s="144"/>
      <c r="Q94" s="144"/>
      <c r="R94" s="144"/>
      <c r="S94" s="144"/>
      <c r="T94" s="144"/>
      <c r="U94" s="144"/>
      <c r="V94" s="144"/>
      <c r="W94" s="144"/>
      <c r="X94" s="144"/>
      <c r="Y94" s="144"/>
      <c r="Z94" s="144"/>
    </row>
    <row r="95" spans="3:26" x14ac:dyDescent="0.5">
      <c r="C95" s="144"/>
      <c r="D95" s="144"/>
      <c r="E95" s="144"/>
      <c r="F95" s="144"/>
      <c r="G95" s="144"/>
      <c r="H95" s="144"/>
      <c r="I95" s="144"/>
      <c r="J95" s="144"/>
      <c r="K95" s="144"/>
      <c r="L95" s="144"/>
      <c r="M95" s="144"/>
      <c r="N95" s="144"/>
      <c r="O95" s="144"/>
      <c r="P95" s="144"/>
      <c r="Q95" s="144"/>
      <c r="R95" s="144"/>
      <c r="S95" s="144"/>
      <c r="T95" s="144"/>
      <c r="U95" s="144"/>
      <c r="V95" s="144"/>
      <c r="W95" s="144"/>
      <c r="X95" s="144"/>
      <c r="Y95" s="144"/>
      <c r="Z95" s="144"/>
    </row>
    <row r="96" spans="3:26" x14ac:dyDescent="0.5">
      <c r="C96" s="144"/>
      <c r="D96" s="144"/>
      <c r="E96" s="144"/>
      <c r="F96" s="144"/>
      <c r="G96" s="144"/>
      <c r="H96" s="144"/>
      <c r="I96" s="144"/>
      <c r="J96" s="144"/>
      <c r="K96" s="144"/>
      <c r="L96" s="144"/>
      <c r="M96" s="144"/>
      <c r="N96" s="144"/>
      <c r="O96" s="144"/>
      <c r="P96" s="144"/>
      <c r="Q96" s="144"/>
      <c r="R96" s="144"/>
      <c r="S96" s="144"/>
      <c r="T96" s="144"/>
      <c r="U96" s="144"/>
      <c r="V96" s="144"/>
      <c r="W96" s="144"/>
      <c r="X96" s="144"/>
      <c r="Y96" s="144"/>
      <c r="Z96" s="144"/>
    </row>
    <row r="97" spans="3:26" x14ac:dyDescent="0.5">
      <c r="C97" s="144"/>
      <c r="D97" s="144"/>
      <c r="E97" s="144"/>
      <c r="F97" s="144"/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  <c r="W97" s="144"/>
      <c r="X97" s="144"/>
      <c r="Y97" s="144"/>
      <c r="Z97" s="144"/>
    </row>
    <row r="98" spans="3:26" x14ac:dyDescent="0.5">
      <c r="C98" s="144"/>
      <c r="D98" s="144"/>
      <c r="E98" s="144"/>
      <c r="F98" s="144"/>
      <c r="G98" s="144"/>
      <c r="H98" s="144"/>
      <c r="I98" s="144"/>
      <c r="J98" s="144"/>
      <c r="K98" s="144"/>
      <c r="L98" s="144"/>
      <c r="M98" s="144"/>
      <c r="N98" s="144"/>
      <c r="O98" s="144"/>
      <c r="P98" s="144"/>
      <c r="Q98" s="144"/>
      <c r="R98" s="144"/>
      <c r="S98" s="144"/>
      <c r="T98" s="144"/>
      <c r="U98" s="144"/>
      <c r="V98" s="144"/>
      <c r="W98" s="144"/>
      <c r="X98" s="144"/>
      <c r="Y98" s="144"/>
      <c r="Z98" s="144"/>
    </row>
    <row r="99" spans="3:26" x14ac:dyDescent="0.5">
      <c r="C99" s="144"/>
      <c r="D99" s="144"/>
      <c r="E99" s="144"/>
      <c r="F99" s="144"/>
      <c r="G99" s="144"/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</row>
    <row r="100" spans="3:26" x14ac:dyDescent="0.5">
      <c r="C100" s="144"/>
      <c r="D100" s="144"/>
      <c r="E100" s="144"/>
      <c r="F100" s="144"/>
      <c r="G100" s="144"/>
      <c r="H100" s="144"/>
      <c r="I100" s="144"/>
      <c r="J100" s="144"/>
      <c r="K100" s="144"/>
      <c r="L100" s="144"/>
      <c r="M100" s="144"/>
      <c r="N100" s="144"/>
      <c r="O100" s="144"/>
      <c r="P100" s="144"/>
      <c r="Q100" s="144"/>
      <c r="R100" s="144"/>
      <c r="S100" s="144"/>
      <c r="T100" s="144"/>
      <c r="U100" s="144"/>
      <c r="V100" s="144"/>
      <c r="W100" s="144"/>
      <c r="X100" s="144"/>
      <c r="Y100" s="144"/>
      <c r="Z100" s="144"/>
    </row>
    <row r="101" spans="3:26" x14ac:dyDescent="0.5">
      <c r="C101" s="144"/>
      <c r="D101" s="144"/>
      <c r="E101" s="144"/>
      <c r="F101" s="144"/>
      <c r="G101" s="144"/>
      <c r="H101" s="144"/>
      <c r="I101" s="144"/>
      <c r="J101" s="144"/>
      <c r="K101" s="144"/>
      <c r="L101" s="144"/>
      <c r="M101" s="144"/>
      <c r="N101" s="144"/>
      <c r="O101" s="144"/>
      <c r="P101" s="144"/>
      <c r="Q101" s="144"/>
      <c r="R101" s="144"/>
      <c r="S101" s="144"/>
      <c r="T101" s="144"/>
      <c r="U101" s="144"/>
      <c r="V101" s="144"/>
      <c r="W101" s="144"/>
      <c r="X101" s="144"/>
      <c r="Y101" s="144"/>
      <c r="Z101" s="144"/>
    </row>
    <row r="102" spans="3:26" x14ac:dyDescent="0.5">
      <c r="C102" s="144"/>
      <c r="D102" s="144"/>
      <c r="E102" s="144"/>
      <c r="F102" s="144"/>
      <c r="G102" s="144"/>
      <c r="H102" s="144"/>
      <c r="I102" s="144"/>
      <c r="J102" s="144"/>
      <c r="K102" s="144"/>
      <c r="L102" s="144"/>
      <c r="M102" s="144"/>
      <c r="N102" s="144"/>
      <c r="O102" s="144"/>
      <c r="P102" s="144"/>
      <c r="Q102" s="144"/>
      <c r="R102" s="144"/>
      <c r="S102" s="144"/>
      <c r="T102" s="144"/>
      <c r="U102" s="144"/>
      <c r="V102" s="144"/>
      <c r="W102" s="144"/>
      <c r="X102" s="144"/>
      <c r="Y102" s="144"/>
      <c r="Z102" s="144"/>
    </row>
    <row r="103" spans="3:26" x14ac:dyDescent="0.5">
      <c r="C103" s="144"/>
      <c r="D103" s="144"/>
      <c r="E103" s="144"/>
      <c r="F103" s="144"/>
      <c r="G103" s="144"/>
      <c r="H103" s="144"/>
      <c r="I103" s="144"/>
      <c r="J103" s="144"/>
      <c r="K103" s="144"/>
      <c r="L103" s="144"/>
      <c r="M103" s="144"/>
      <c r="N103" s="144"/>
      <c r="O103" s="144"/>
      <c r="P103" s="144"/>
      <c r="Q103" s="144"/>
      <c r="R103" s="144"/>
      <c r="S103" s="144"/>
      <c r="T103" s="144"/>
      <c r="U103" s="144"/>
      <c r="V103" s="144"/>
      <c r="W103" s="144"/>
      <c r="X103" s="144"/>
      <c r="Y103" s="144"/>
      <c r="Z103" s="144"/>
    </row>
    <row r="104" spans="3:26" x14ac:dyDescent="0.5">
      <c r="C104" s="144"/>
      <c r="D104" s="144"/>
      <c r="E104" s="144"/>
      <c r="F104" s="144"/>
      <c r="G104" s="144"/>
      <c r="H104" s="144"/>
      <c r="I104" s="144"/>
      <c r="J104" s="144"/>
      <c r="K104" s="144"/>
      <c r="L104" s="144"/>
      <c r="M104" s="144"/>
      <c r="N104" s="144"/>
      <c r="O104" s="144"/>
      <c r="P104" s="144"/>
      <c r="Q104" s="144"/>
      <c r="R104" s="144"/>
      <c r="S104" s="144"/>
      <c r="T104" s="144"/>
      <c r="U104" s="144"/>
      <c r="V104" s="144"/>
      <c r="W104" s="144"/>
      <c r="X104" s="144"/>
      <c r="Y104" s="144"/>
      <c r="Z104" s="144"/>
    </row>
    <row r="105" spans="3:26" x14ac:dyDescent="0.5">
      <c r="C105" s="144"/>
      <c r="D105" s="144"/>
      <c r="E105" s="144"/>
      <c r="F105" s="144"/>
      <c r="G105" s="144"/>
      <c r="H105" s="144"/>
      <c r="I105" s="144"/>
      <c r="J105" s="144"/>
      <c r="K105" s="144"/>
      <c r="L105" s="144"/>
      <c r="M105" s="144"/>
      <c r="N105" s="144"/>
      <c r="O105" s="144"/>
      <c r="P105" s="144"/>
      <c r="Q105" s="144"/>
      <c r="R105" s="144"/>
      <c r="S105" s="144"/>
      <c r="T105" s="144"/>
      <c r="U105" s="144"/>
      <c r="V105" s="144"/>
      <c r="W105" s="144"/>
      <c r="X105" s="144"/>
      <c r="Y105" s="144"/>
      <c r="Z105" s="144"/>
    </row>
    <row r="106" spans="3:26" x14ac:dyDescent="0.5">
      <c r="C106" s="144"/>
      <c r="D106" s="144"/>
      <c r="E106" s="144"/>
      <c r="F106" s="144"/>
      <c r="G106" s="144"/>
      <c r="H106" s="144"/>
      <c r="I106" s="144"/>
      <c r="J106" s="144"/>
      <c r="K106" s="144"/>
      <c r="L106" s="144"/>
      <c r="M106" s="144"/>
      <c r="N106" s="144"/>
      <c r="O106" s="144"/>
      <c r="P106" s="144"/>
      <c r="Q106" s="144"/>
      <c r="R106" s="144"/>
      <c r="S106" s="144"/>
      <c r="T106" s="144"/>
      <c r="U106" s="144"/>
      <c r="V106" s="144"/>
      <c r="W106" s="144"/>
      <c r="X106" s="144"/>
      <c r="Y106" s="144"/>
      <c r="Z106" s="144"/>
    </row>
    <row r="107" spans="3:26" x14ac:dyDescent="0.5">
      <c r="C107" s="144"/>
      <c r="D107" s="144"/>
      <c r="E107" s="144"/>
      <c r="F107" s="144"/>
      <c r="G107" s="144"/>
      <c r="H107" s="144"/>
      <c r="I107" s="144"/>
      <c r="J107" s="144"/>
      <c r="K107" s="144"/>
      <c r="L107" s="144"/>
      <c r="M107" s="144"/>
      <c r="N107" s="144"/>
      <c r="O107" s="144"/>
      <c r="P107" s="144"/>
      <c r="Q107" s="144"/>
      <c r="R107" s="144"/>
      <c r="S107" s="144"/>
      <c r="T107" s="144"/>
      <c r="U107" s="144"/>
      <c r="V107" s="144"/>
      <c r="W107" s="144"/>
      <c r="X107" s="144"/>
      <c r="Y107" s="144"/>
      <c r="Z107" s="144"/>
    </row>
    <row r="108" spans="3:26" x14ac:dyDescent="0.5">
      <c r="C108" s="144"/>
      <c r="D108" s="144"/>
      <c r="E108" s="144"/>
      <c r="F108" s="144"/>
      <c r="G108" s="144"/>
      <c r="H108" s="144"/>
      <c r="I108" s="144"/>
      <c r="J108" s="144"/>
      <c r="K108" s="144"/>
      <c r="L108" s="144"/>
      <c r="M108" s="144"/>
      <c r="N108" s="144"/>
      <c r="O108" s="144"/>
      <c r="P108" s="144"/>
      <c r="Q108" s="144"/>
      <c r="R108" s="144"/>
      <c r="S108" s="144"/>
      <c r="T108" s="144"/>
      <c r="U108" s="144"/>
      <c r="V108" s="144"/>
      <c r="W108" s="144"/>
      <c r="X108" s="144"/>
      <c r="Y108" s="144"/>
      <c r="Z108" s="144"/>
    </row>
    <row r="109" spans="3:26" x14ac:dyDescent="0.5">
      <c r="C109" s="144"/>
      <c r="D109" s="144"/>
      <c r="E109" s="144"/>
      <c r="F109" s="144"/>
      <c r="G109" s="144"/>
      <c r="H109" s="144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</row>
    <row r="110" spans="3:26" x14ac:dyDescent="0.5">
      <c r="C110" s="144"/>
      <c r="D110" s="144"/>
      <c r="E110" s="144"/>
      <c r="F110" s="144"/>
      <c r="G110" s="144"/>
      <c r="H110" s="144"/>
      <c r="I110" s="144"/>
      <c r="J110" s="144"/>
      <c r="K110" s="144"/>
      <c r="L110" s="144"/>
      <c r="M110" s="144"/>
      <c r="N110" s="144"/>
      <c r="O110" s="144"/>
      <c r="P110" s="144"/>
      <c r="Q110" s="144"/>
      <c r="R110" s="144"/>
      <c r="S110" s="144"/>
      <c r="T110" s="144"/>
      <c r="U110" s="144"/>
      <c r="V110" s="144"/>
      <c r="W110" s="144"/>
      <c r="X110" s="144"/>
      <c r="Y110" s="144"/>
      <c r="Z110" s="144"/>
    </row>
    <row r="111" spans="3:26" x14ac:dyDescent="0.5">
      <c r="C111" s="144"/>
      <c r="D111" s="144"/>
      <c r="E111" s="144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</row>
    <row r="112" spans="3:26" x14ac:dyDescent="0.5">
      <c r="C112" s="144"/>
      <c r="D112" s="144"/>
      <c r="E112" s="144"/>
      <c r="F112" s="144"/>
      <c r="G112" s="144"/>
      <c r="H112" s="144"/>
      <c r="I112" s="144"/>
      <c r="J112" s="144"/>
      <c r="K112" s="144"/>
      <c r="L112" s="144"/>
      <c r="M112" s="144"/>
      <c r="N112" s="144"/>
      <c r="O112" s="144"/>
      <c r="P112" s="144"/>
      <c r="Q112" s="144"/>
      <c r="R112" s="144"/>
      <c r="S112" s="144"/>
      <c r="T112" s="144"/>
      <c r="U112" s="144"/>
      <c r="V112" s="144"/>
      <c r="W112" s="144"/>
      <c r="X112" s="144"/>
      <c r="Y112" s="144"/>
      <c r="Z112" s="144"/>
    </row>
    <row r="113" spans="3:26" x14ac:dyDescent="0.5">
      <c r="C113" s="144"/>
      <c r="D113" s="144"/>
      <c r="E113" s="144"/>
      <c r="F113" s="144"/>
      <c r="G113" s="144"/>
      <c r="H113" s="144"/>
      <c r="I113" s="144"/>
      <c r="J113" s="144"/>
      <c r="K113" s="144"/>
      <c r="L113" s="144"/>
      <c r="M113" s="144"/>
      <c r="N113" s="144"/>
      <c r="O113" s="144"/>
      <c r="P113" s="144"/>
      <c r="Q113" s="144"/>
      <c r="R113" s="144"/>
      <c r="S113" s="144"/>
      <c r="T113" s="144"/>
      <c r="U113" s="144"/>
      <c r="V113" s="144"/>
      <c r="W113" s="144"/>
      <c r="X113" s="144"/>
      <c r="Y113" s="144"/>
      <c r="Z113" s="144"/>
    </row>
    <row r="114" spans="3:26" x14ac:dyDescent="0.5">
      <c r="C114" s="144"/>
      <c r="D114" s="144"/>
      <c r="E114" s="144"/>
      <c r="F114" s="144"/>
      <c r="G114" s="144"/>
      <c r="H114" s="144"/>
      <c r="I114" s="144"/>
      <c r="J114" s="144"/>
      <c r="K114" s="144"/>
      <c r="L114" s="144"/>
      <c r="M114" s="144"/>
      <c r="N114" s="144"/>
      <c r="O114" s="144"/>
      <c r="P114" s="144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</row>
    <row r="115" spans="3:26" x14ac:dyDescent="0.5">
      <c r="C115" s="144"/>
      <c r="D115" s="144"/>
      <c r="E115" s="144"/>
      <c r="F115" s="144"/>
      <c r="G115" s="144"/>
      <c r="H115" s="144"/>
      <c r="I115" s="144"/>
      <c r="J115" s="144"/>
      <c r="K115" s="144"/>
      <c r="L115" s="144"/>
      <c r="M115" s="144"/>
      <c r="N115" s="144"/>
      <c r="O115" s="144"/>
      <c r="P115" s="144"/>
      <c r="Q115" s="144"/>
      <c r="R115" s="144"/>
      <c r="S115" s="144"/>
      <c r="T115" s="144"/>
      <c r="U115" s="144"/>
      <c r="V115" s="144"/>
      <c r="W115" s="144"/>
      <c r="X115" s="144"/>
      <c r="Y115" s="144"/>
      <c r="Z115" s="144"/>
    </row>
    <row r="116" spans="3:26" x14ac:dyDescent="0.5">
      <c r="C116" s="144"/>
      <c r="D116" s="144"/>
      <c r="E116" s="144"/>
      <c r="F116" s="144"/>
      <c r="G116" s="144"/>
      <c r="H116" s="144"/>
      <c r="I116" s="144"/>
      <c r="J116" s="144"/>
      <c r="K116" s="144"/>
      <c r="L116" s="144"/>
      <c r="M116" s="144"/>
      <c r="N116" s="144"/>
      <c r="O116" s="144"/>
      <c r="P116" s="144"/>
      <c r="Q116" s="144"/>
      <c r="R116" s="144"/>
      <c r="S116" s="144"/>
      <c r="T116" s="144"/>
      <c r="U116" s="144"/>
      <c r="V116" s="144"/>
      <c r="W116" s="144"/>
      <c r="X116" s="144"/>
      <c r="Y116" s="144"/>
      <c r="Z116" s="144"/>
    </row>
    <row r="117" spans="3:26" x14ac:dyDescent="0.5">
      <c r="C117" s="144"/>
      <c r="D117" s="144"/>
      <c r="E117" s="144"/>
      <c r="F117" s="144"/>
      <c r="G117" s="144"/>
      <c r="H117" s="144"/>
      <c r="I117" s="144"/>
      <c r="J117" s="144"/>
      <c r="K117" s="144"/>
      <c r="L117" s="144"/>
      <c r="M117" s="144"/>
      <c r="N117" s="144"/>
      <c r="O117" s="144"/>
      <c r="P117" s="144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</row>
    <row r="118" spans="3:26" x14ac:dyDescent="0.5">
      <c r="C118" s="144"/>
      <c r="D118" s="144"/>
      <c r="E118" s="144"/>
      <c r="F118" s="144"/>
      <c r="G118" s="144"/>
      <c r="H118" s="144"/>
      <c r="I118" s="144"/>
      <c r="J118" s="144"/>
      <c r="K118" s="144"/>
      <c r="L118" s="144"/>
      <c r="M118" s="144"/>
      <c r="N118" s="144"/>
      <c r="O118" s="144"/>
      <c r="P118" s="144"/>
      <c r="Q118" s="144"/>
      <c r="R118" s="144"/>
      <c r="S118" s="144"/>
      <c r="T118" s="144"/>
      <c r="U118" s="144"/>
      <c r="V118" s="144"/>
      <c r="W118" s="144"/>
      <c r="X118" s="144"/>
      <c r="Y118" s="144"/>
      <c r="Z118" s="144"/>
    </row>
    <row r="119" spans="3:26" x14ac:dyDescent="0.5">
      <c r="C119" s="144"/>
      <c r="D119" s="144"/>
      <c r="E119" s="144"/>
      <c r="F119" s="144"/>
      <c r="G119" s="144"/>
      <c r="H119" s="144"/>
      <c r="I119" s="144"/>
      <c r="J119" s="144"/>
      <c r="K119" s="144"/>
      <c r="L119" s="144"/>
      <c r="M119" s="144"/>
      <c r="N119" s="144"/>
      <c r="O119" s="144"/>
      <c r="P119" s="144"/>
      <c r="Q119" s="144"/>
      <c r="R119" s="144"/>
      <c r="S119" s="144"/>
      <c r="T119" s="144"/>
      <c r="U119" s="144"/>
      <c r="V119" s="144"/>
      <c r="W119" s="144"/>
      <c r="X119" s="144"/>
      <c r="Y119" s="144"/>
      <c r="Z119" s="144"/>
    </row>
    <row r="120" spans="3:26" x14ac:dyDescent="0.5">
      <c r="C120" s="144"/>
      <c r="D120" s="144"/>
      <c r="E120" s="144"/>
      <c r="F120" s="144"/>
      <c r="G120" s="144"/>
      <c r="H120" s="144"/>
      <c r="I120" s="144"/>
      <c r="J120" s="144"/>
      <c r="K120" s="144"/>
      <c r="L120" s="144"/>
      <c r="M120" s="144"/>
      <c r="N120" s="144"/>
      <c r="O120" s="144"/>
      <c r="P120" s="144"/>
      <c r="Q120" s="144"/>
      <c r="R120" s="144"/>
      <c r="S120" s="144"/>
      <c r="T120" s="144"/>
      <c r="U120" s="144"/>
      <c r="V120" s="144"/>
      <c r="W120" s="144"/>
      <c r="X120" s="144"/>
      <c r="Y120" s="144"/>
      <c r="Z120" s="144"/>
    </row>
    <row r="121" spans="3:26" x14ac:dyDescent="0.5">
      <c r="C121" s="144"/>
      <c r="D121" s="144"/>
      <c r="E121" s="144"/>
      <c r="F121" s="144"/>
      <c r="G121" s="144"/>
      <c r="H121" s="144"/>
      <c r="I121" s="144"/>
      <c r="J121" s="144"/>
      <c r="K121" s="144"/>
      <c r="L121" s="144"/>
      <c r="M121" s="144"/>
      <c r="N121" s="144"/>
      <c r="O121" s="144"/>
      <c r="P121" s="144"/>
      <c r="Q121" s="144"/>
      <c r="R121" s="144"/>
      <c r="S121" s="144"/>
      <c r="T121" s="144"/>
      <c r="U121" s="144"/>
      <c r="V121" s="144"/>
      <c r="W121" s="144"/>
      <c r="X121" s="144"/>
      <c r="Y121" s="144"/>
      <c r="Z121" s="144"/>
    </row>
    <row r="122" spans="3:26" x14ac:dyDescent="0.5">
      <c r="C122" s="144"/>
      <c r="D122" s="144"/>
      <c r="E122" s="144"/>
      <c r="F122" s="144"/>
      <c r="G122" s="144"/>
      <c r="H122" s="144"/>
      <c r="I122" s="144"/>
      <c r="J122" s="144"/>
      <c r="K122" s="144"/>
      <c r="L122" s="144"/>
      <c r="M122" s="144"/>
      <c r="N122" s="144"/>
      <c r="O122" s="144"/>
      <c r="P122" s="144"/>
      <c r="Q122" s="144"/>
      <c r="R122" s="144"/>
      <c r="S122" s="144"/>
      <c r="T122" s="144"/>
      <c r="U122" s="144"/>
      <c r="V122" s="144"/>
      <c r="W122" s="144"/>
      <c r="X122" s="144"/>
      <c r="Y122" s="144"/>
      <c r="Z122" s="144"/>
    </row>
    <row r="123" spans="3:26" x14ac:dyDescent="0.5">
      <c r="C123" s="144"/>
      <c r="D123" s="144"/>
      <c r="E123" s="144"/>
      <c r="F123" s="144"/>
      <c r="G123" s="144"/>
      <c r="H123" s="144"/>
      <c r="I123" s="144"/>
      <c r="J123" s="144"/>
      <c r="K123" s="144"/>
      <c r="L123" s="144"/>
      <c r="M123" s="144"/>
      <c r="N123" s="144"/>
      <c r="O123" s="144"/>
      <c r="P123" s="144"/>
      <c r="Q123" s="144"/>
      <c r="R123" s="144"/>
      <c r="S123" s="144"/>
      <c r="T123" s="144"/>
      <c r="U123" s="144"/>
      <c r="V123" s="144"/>
      <c r="W123" s="144"/>
      <c r="X123" s="144"/>
      <c r="Y123" s="144"/>
      <c r="Z123" s="144"/>
    </row>
    <row r="124" spans="3:26" x14ac:dyDescent="0.5">
      <c r="C124" s="4"/>
      <c r="D124" s="4"/>
      <c r="E124" s="4"/>
      <c r="F124" s="110"/>
      <c r="G124" s="4"/>
      <c r="H124" s="4"/>
      <c r="I124" s="4"/>
      <c r="J124" s="4"/>
      <c r="K124" s="110"/>
      <c r="L124" s="4"/>
      <c r="M124" s="4"/>
      <c r="N124" s="4"/>
      <c r="O124" s="4"/>
      <c r="P124" s="110"/>
      <c r="Q124" s="4"/>
      <c r="R124" s="4"/>
      <c r="S124" s="4"/>
      <c r="T124" s="4"/>
      <c r="U124" s="110"/>
      <c r="V124" s="4"/>
      <c r="W124" s="4"/>
      <c r="X124" s="4"/>
      <c r="Y124" s="4"/>
      <c r="Z124" s="110"/>
    </row>
    <row r="125" spans="3:26" x14ac:dyDescent="0.5">
      <c r="C125" s="4"/>
      <c r="D125" s="4"/>
      <c r="E125" s="4"/>
      <c r="F125" s="110"/>
      <c r="G125" s="4"/>
      <c r="H125" s="4"/>
      <c r="I125" s="4"/>
      <c r="J125" s="4"/>
      <c r="K125" s="110"/>
      <c r="L125" s="4"/>
      <c r="M125" s="4"/>
      <c r="N125" s="4"/>
      <c r="O125" s="4"/>
      <c r="P125" s="110"/>
      <c r="Q125" s="4"/>
      <c r="R125" s="4"/>
      <c r="S125" s="4"/>
      <c r="T125" s="4"/>
      <c r="U125" s="110"/>
      <c r="V125" s="4"/>
      <c r="W125" s="4"/>
      <c r="X125" s="4"/>
      <c r="Y125" s="4"/>
      <c r="Z125" s="110"/>
    </row>
    <row r="126" spans="3:26" x14ac:dyDescent="0.5">
      <c r="C126" s="4"/>
      <c r="D126" s="4"/>
      <c r="E126" s="4"/>
      <c r="F126" s="110"/>
      <c r="G126" s="4"/>
      <c r="H126" s="4"/>
      <c r="I126" s="4"/>
      <c r="J126" s="4"/>
      <c r="K126" s="110"/>
      <c r="L126" s="4"/>
      <c r="M126" s="4"/>
      <c r="N126" s="4"/>
      <c r="O126" s="4"/>
      <c r="P126" s="110"/>
      <c r="Q126" s="4"/>
      <c r="R126" s="4"/>
      <c r="S126" s="4"/>
      <c r="T126" s="4"/>
      <c r="U126" s="110"/>
      <c r="V126" s="4"/>
      <c r="W126" s="4"/>
      <c r="X126" s="4"/>
      <c r="Y126" s="4"/>
      <c r="Z126" s="110"/>
    </row>
    <row r="127" spans="3:26" x14ac:dyDescent="0.5">
      <c r="C127" s="111"/>
      <c r="D127" s="111"/>
      <c r="E127" s="111"/>
      <c r="F127" s="112"/>
      <c r="G127" s="111"/>
      <c r="H127" s="111"/>
      <c r="I127" s="111"/>
      <c r="J127" s="111"/>
      <c r="K127" s="112"/>
      <c r="L127" s="111"/>
      <c r="M127" s="111"/>
      <c r="N127" s="111"/>
      <c r="O127" s="111"/>
      <c r="P127" s="112"/>
      <c r="Q127" s="111"/>
      <c r="R127" s="111"/>
      <c r="S127" s="111"/>
      <c r="T127" s="111"/>
      <c r="U127" s="112"/>
      <c r="V127" s="111"/>
      <c r="W127" s="111"/>
      <c r="X127" s="111"/>
      <c r="Y127" s="111"/>
      <c r="Z127" s="112"/>
    </row>
  </sheetData>
  <mergeCells count="10">
    <mergeCell ref="AA52:AD52"/>
    <mergeCell ref="M5:P5"/>
    <mergeCell ref="R5:U5"/>
    <mergeCell ref="A1:AE1"/>
    <mergeCell ref="A2:AE2"/>
    <mergeCell ref="A3:AE3"/>
    <mergeCell ref="A4:AE4"/>
    <mergeCell ref="C5:F5"/>
    <mergeCell ref="H5:K5"/>
    <mergeCell ref="W5:Z5"/>
  </mergeCells>
  <pageMargins left="0.52" right="0.3" top="0.42" bottom="0.56999999999999995" header="0.3" footer="0.3"/>
  <pageSetup paperSize="9" scale="44" fitToHeight="0" orientation="landscape" horizontalDpi="4294967295" verticalDpi="4294967295" r:id="rId1"/>
  <rowBreaks count="1" manualBreakCount="1">
    <brk id="56" max="16383" man="1"/>
  </rowBreaks>
  <colBreaks count="1" manualBreakCount="1">
    <brk id="3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14.7</vt:lpstr>
      <vt:lpstr>'14.7'!Print_Area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2018-04-17T04:39:32Z</cp:lastPrinted>
  <dcterms:created xsi:type="dcterms:W3CDTF">2013-04-01T04:26:10Z</dcterms:created>
  <dcterms:modified xsi:type="dcterms:W3CDTF">2018-04-17T04:39:42Z</dcterms:modified>
</cp:coreProperties>
</file>