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3" sheetId="1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'14.3'!$A$1:$Z$48</definedName>
  </definedNames>
  <calcPr calcId="162913"/>
</workbook>
</file>

<file path=xl/calcChain.xml><?xml version="1.0" encoding="utf-8"?>
<calcChain xmlns="http://schemas.openxmlformats.org/spreadsheetml/2006/main">
  <c r="V42" i="1" l="1"/>
  <c r="U42" i="1"/>
  <c r="T42" i="1"/>
  <c r="S42" i="1"/>
  <c r="V41" i="1"/>
  <c r="U41" i="1"/>
  <c r="T41" i="1"/>
  <c r="S41" i="1"/>
  <c r="V40" i="1"/>
  <c r="U40" i="1"/>
  <c r="T40" i="1"/>
  <c r="S40" i="1"/>
  <c r="V39" i="1"/>
  <c r="U39" i="1"/>
  <c r="T39" i="1"/>
  <c r="S39" i="1"/>
  <c r="V38" i="1"/>
  <c r="U38" i="1"/>
  <c r="T38" i="1"/>
  <c r="S38" i="1"/>
  <c r="V37" i="1"/>
  <c r="U37" i="1"/>
  <c r="T37" i="1"/>
  <c r="S37" i="1"/>
  <c r="V36" i="1"/>
  <c r="U36" i="1"/>
  <c r="T36" i="1"/>
  <c r="S36" i="1"/>
  <c r="V35" i="1"/>
  <c r="U35" i="1"/>
  <c r="T35" i="1"/>
  <c r="S35" i="1"/>
  <c r="V34" i="1"/>
  <c r="U34" i="1"/>
  <c r="T34" i="1"/>
  <c r="S34" i="1"/>
  <c r="V33" i="1"/>
  <c r="U33" i="1"/>
  <c r="T33" i="1"/>
  <c r="S33" i="1"/>
  <c r="Q42" i="1" l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L42" i="1" l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</calcChain>
</file>

<file path=xl/sharedStrings.xml><?xml version="1.0" encoding="utf-8"?>
<sst xmlns="http://schemas.openxmlformats.org/spreadsheetml/2006/main" count="121" uniqueCount="85">
  <si>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</si>
  <si>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</si>
  <si>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</si>
  <si>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</si>
  <si>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</si>
  <si>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</si>
  <si>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</si>
  <si>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</si>
  <si>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</si>
  <si>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</si>
  <si>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</si>
  <si>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</si>
  <si>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</si>
  <si>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</si>
  <si>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</si>
  <si>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</si>
  <si>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</si>
  <si>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</si>
  <si>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</si>
  <si>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</si>
  <si>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</si>
  <si>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</si>
  <si>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</si>
  <si>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</si>
  <si>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</si>
  <si>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</si>
  <si>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</si>
  <si>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</si>
  <si>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</si>
  <si>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</si>
  <si>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</si>
  <si>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</si>
  <si>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</si>
  <si>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</si>
  <si>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</si>
  <si>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</si>
  <si>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</si>
  <si>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</si>
  <si>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</si>
  <si>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</si>
  <si>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</si>
  <si>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</si>
  <si>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</si>
  <si>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</si>
  <si>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</si>
  <si>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</si>
  <si>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</si>
  <si>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</si>
  <si>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</si>
  <si>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</si>
  <si>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</si>
  <si>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</si>
  <si>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</si>
  <si>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</si>
  <si>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</si>
  <si>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</si>
  <si>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</si>
  <si>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</si>
  <si>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</si>
  <si>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</si>
  <si>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</si>
  <si>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</si>
  <si>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</si>
  <si>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</si>
  <si>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</si>
  <si>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</si>
  <si>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</si>
  <si>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</si>
  <si>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</si>
  <si>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</si>
  <si>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</si>
  <si>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</si>
  <si>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</si>
  <si>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</si>
  <si>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</si>
  <si>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</si>
  <si>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</si>
  <si>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</si>
  <si>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</si>
  <si>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ނޯޓް:</t>
  </si>
  <si>
    <t>NOTE:</t>
  </si>
  <si>
    <t>2015 ޑިސެންބަރު އިސްލާޙުކުރެވިފައި</t>
  </si>
  <si>
    <t>1_/ :  2015 December revised</t>
  </si>
  <si>
    <t>Table 14.3 :  DEPOSITORY CORPORATIONS SURVEY, 2015 - 2017</t>
  </si>
  <si>
    <t xml:space="preserve">ތާވަލު 14.3: ޑިޕޮސިޓަރީ ކޯޕަރޭޝަންސް (ސެންޓްރަލް ބޭންކް އަދި ވިޔަފާރި ބޭންކުތަކުގެ) ސާރވޭ 2015 - 2017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</si>
</sst>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_Reethi"/>
      <charset val="1"/>
    </font>
    <font>
      <sz val="10"/>
      <name val="A_Viligil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0"/>
      <name val="A_Faseyha"/>
    </font>
    <font>
      <b/>
      <u/>
      <vertAlign val="superscript"/>
      <sz val="10"/>
      <name val="Faruma"/>
    </font>
    <font>
      <b/>
      <u/>
      <sz val="10"/>
      <name val="Faruma"/>
    </font>
    <font>
      <b/>
      <sz val="11"/>
      <name val="Calibri"/>
      <family val="2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39" fillId="2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9" fillId="2" borderId="0" applyNumberFormat="0" applyBorder="0" applyAlignment="0" applyProtection="0"/>
    <xf numFmtId="0" fontId="39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4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17" fontId="4" fillId="0" borderId="0" applyFont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0" fontId="4" fillId="0" borderId="0" applyFill="0" applyBorder="0" applyAlignment="0"/>
    <xf numFmtId="0" fontId="4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17" fontId="4" fillId="0" borderId="0" applyFont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14" fontId="46" fillId="0" borderId="0" applyFill="0" applyBorder="0" applyAlignment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38" fontId="37" fillId="19" borderId="0" applyNumberFormat="0" applyBorder="0" applyAlignment="0" applyProtection="0"/>
    <xf numFmtId="0" fontId="49" fillId="0" borderId="10" applyNumberFormat="0" applyAlignment="0" applyProtection="0">
      <alignment horizontal="left" vertical="center"/>
    </xf>
    <xf numFmtId="0" fontId="49" fillId="0" borderId="7">
      <alignment horizontal="left" vertical="center"/>
    </xf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0" fontId="37" fillId="20" borderId="14" applyNumberFormat="0" applyBorder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176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5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49" fontId="4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59" fillId="0" borderId="0">
      <alignment vertical="top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101">
    <xf numFmtId="0" fontId="0" fillId="0" borderId="0" xfId="0"/>
    <xf numFmtId="164" fontId="7" fillId="21" borderId="0" xfId="2" applyNumberFormat="1" applyFont="1" applyFill="1" applyBorder="1" applyAlignment="1">
      <alignment horizontal="right"/>
    </xf>
    <xf numFmtId="164" fontId="15" fillId="21" borderId="0" xfId="2" applyNumberFormat="1" applyFont="1" applyFill="1" applyBorder="1" applyAlignment="1">
      <alignment horizontal="right" vertical="center"/>
    </xf>
    <xf numFmtId="164" fontId="21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horizontal="right" vertical="center"/>
    </xf>
    <xf numFmtId="164" fontId="13" fillId="21" borderId="1" xfId="2" applyNumberFormat="1" applyFont="1" applyFill="1" applyBorder="1" applyAlignment="1">
      <alignment horizontal="right" vertical="center"/>
    </xf>
    <xf numFmtId="164" fontId="12" fillId="21" borderId="1" xfId="2" applyNumberFormat="1" applyFont="1" applyFill="1" applyBorder="1" applyAlignment="1">
      <alignment horizontal="right" vertical="center"/>
    </xf>
    <xf numFmtId="166" fontId="12" fillId="21" borderId="0" xfId="2" applyNumberFormat="1" applyFont="1" applyFill="1" applyBorder="1" applyAlignment="1">
      <alignment horizontal="right" vertical="center"/>
    </xf>
    <xf numFmtId="0" fontId="26" fillId="21" borderId="0" xfId="0" applyFont="1" applyFill="1" applyBorder="1" applyAlignment="1" applyProtection="1">
      <alignment horizontal="left"/>
    </xf>
    <xf numFmtId="164" fontId="10" fillId="21" borderId="0" xfId="2" applyNumberFormat="1" applyFont="1" applyFill="1" applyAlignment="1">
      <alignment vertical="center"/>
    </xf>
    <xf numFmtId="164" fontId="13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Border="1" applyAlignment="1">
      <alignment vertical="center"/>
    </xf>
    <xf numFmtId="164" fontId="28" fillId="21" borderId="0" xfId="2" applyNumberFormat="1" applyFont="1" applyFill="1" applyAlignment="1">
      <alignment horizontal="left" vertical="center" indent="2"/>
    </xf>
    <xf numFmtId="164" fontId="13" fillId="21" borderId="0" xfId="2" applyNumberFormat="1" applyFont="1" applyFill="1" applyBorder="1" applyAlignment="1">
      <alignment vertical="center" readingOrder="2"/>
    </xf>
    <xf numFmtId="0" fontId="9" fillId="21" borderId="0" xfId="0" applyFont="1" applyFill="1" applyBorder="1" applyAlignment="1">
      <alignment horizontal="left"/>
    </xf>
    <xf numFmtId="165" fontId="17" fillId="21" borderId="0" xfId="0" applyNumberFormat="1" applyFont="1" applyFill="1" applyAlignment="1">
      <alignment vertical="center"/>
    </xf>
    <xf numFmtId="164" fontId="7" fillId="21" borderId="0" xfId="2" applyNumberFormat="1" applyFont="1" applyFill="1" applyBorder="1" applyAlignment="1">
      <alignment horizontal="right" vertical="center"/>
    </xf>
    <xf numFmtId="165" fontId="19" fillId="21" borderId="0" xfId="0" applyNumberFormat="1" applyFont="1" applyFill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7" fontId="24" fillId="21" borderId="0" xfId="1" applyNumberFormat="1" applyFont="1" applyFill="1" applyBorder="1" applyAlignment="1" applyProtection="1">
      <alignment vertical="center"/>
    </xf>
    <xf numFmtId="165" fontId="19" fillId="21" borderId="1" xfId="0" applyNumberFormat="1" applyFont="1" applyFill="1" applyBorder="1" applyAlignment="1">
      <alignment vertical="center"/>
    </xf>
    <xf numFmtId="164" fontId="4" fillId="21" borderId="0" xfId="2" applyNumberFormat="1" applyFont="1" applyFill="1" applyBorder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164" fontId="6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Alignment="1">
      <alignment horizontal="left" vertical="center"/>
    </xf>
    <xf numFmtId="164" fontId="10" fillId="21" borderId="0" xfId="2" applyNumberFormat="1" applyFont="1" applyFill="1" applyAlignment="1">
      <alignment horizontal="left" vertical="center"/>
    </xf>
    <xf numFmtId="164" fontId="11" fillId="21" borderId="2" xfId="2" applyNumberFormat="1" applyFont="1" applyFill="1" applyBorder="1" applyAlignment="1">
      <alignment vertical="center"/>
    </xf>
    <xf numFmtId="164" fontId="8" fillId="21" borderId="2" xfId="2" applyNumberFormat="1" applyFont="1" applyFill="1" applyBorder="1" applyAlignment="1" applyProtection="1">
      <alignment horizontal="center" vertical="center"/>
    </xf>
    <xf numFmtId="164" fontId="13" fillId="21" borderId="2" xfId="2" applyNumberFormat="1" applyFont="1" applyFill="1" applyBorder="1" applyAlignment="1">
      <alignment vertical="center"/>
    </xf>
    <xf numFmtId="164" fontId="7" fillId="21" borderId="0" xfId="2" applyNumberFormat="1" applyFont="1" applyFill="1" applyBorder="1" applyAlignment="1">
      <alignment vertical="center"/>
    </xf>
    <xf numFmtId="164" fontId="8" fillId="21" borderId="0" xfId="2" applyNumberFormat="1" applyFont="1" applyFill="1" applyAlignment="1">
      <alignment vertical="center"/>
    </xf>
    <xf numFmtId="164" fontId="8" fillId="21" borderId="0" xfId="2" applyNumberFormat="1" applyFont="1" applyFill="1" applyBorder="1" applyAlignment="1" applyProtection="1">
      <alignment horizontal="left" vertical="center"/>
    </xf>
    <xf numFmtId="164" fontId="7" fillId="21" borderId="4" xfId="2" applyNumberFormat="1" applyFont="1" applyFill="1" applyBorder="1" applyAlignment="1">
      <alignment horizontal="right" vertical="center"/>
    </xf>
    <xf numFmtId="164" fontId="8" fillId="21" borderId="1" xfId="2" applyNumberFormat="1" applyFont="1" applyFill="1" applyBorder="1" applyAlignment="1" applyProtection="1">
      <alignment horizontal="left" vertical="center"/>
    </xf>
    <xf numFmtId="164" fontId="8" fillId="21" borderId="1" xfId="2" applyNumberFormat="1" applyFont="1" applyFill="1" applyBorder="1" applyAlignment="1" applyProtection="1">
      <alignment horizontal="right" vertical="center"/>
    </xf>
    <xf numFmtId="166" fontId="17" fillId="21" borderId="0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19" fillId="21" borderId="0" xfId="2" applyNumberFormat="1" applyFont="1" applyFill="1" applyBorder="1" applyAlignment="1">
      <alignment vertical="center"/>
    </xf>
    <xf numFmtId="166" fontId="17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Border="1" applyAlignment="1">
      <alignment horizontal="right" vertical="center"/>
    </xf>
    <xf numFmtId="166" fontId="19" fillId="21" borderId="0" xfId="2" applyNumberFormat="1" applyFont="1" applyFill="1" applyAlignment="1">
      <alignment vertical="center"/>
    </xf>
    <xf numFmtId="166" fontId="17" fillId="21" borderId="0" xfId="2" applyNumberFormat="1" applyFont="1" applyFill="1" applyAlignment="1">
      <alignment vertical="center"/>
    </xf>
    <xf numFmtId="166" fontId="19" fillId="21" borderId="0" xfId="2" applyNumberFormat="1" applyFont="1" applyFill="1" applyAlignment="1" applyProtection="1">
      <alignment vertical="center"/>
    </xf>
    <xf numFmtId="164" fontId="20" fillId="21" borderId="0" xfId="2" applyNumberFormat="1" applyFont="1" applyFill="1" applyAlignment="1">
      <alignment vertical="center"/>
    </xf>
    <xf numFmtId="164" fontId="13" fillId="21" borderId="0" xfId="2" applyNumberFormat="1" applyFont="1" applyFill="1" applyBorder="1" applyAlignment="1" applyProtection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164" fontId="11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right" vertical="center"/>
    </xf>
    <xf numFmtId="164" fontId="23" fillId="21" borderId="0" xfId="2" applyNumberFormat="1" applyFont="1" applyFill="1" applyBorder="1" applyAlignment="1" applyProtection="1">
      <alignment horizontal="left" vertical="center"/>
    </xf>
    <xf numFmtId="37" fontId="10" fillId="21" borderId="0" xfId="2" applyNumberFormat="1" applyFont="1" applyFill="1" applyAlignment="1" applyProtection="1">
      <alignment vertical="center"/>
    </xf>
    <xf numFmtId="166" fontId="17" fillId="21" borderId="1" xfId="2" applyNumberFormat="1" applyFont="1" applyFill="1" applyBorder="1" applyAlignment="1">
      <alignment vertical="center"/>
    </xf>
    <xf numFmtId="164" fontId="19" fillId="21" borderId="0" xfId="2" applyNumberFormat="1" applyFont="1" applyFill="1" applyAlignment="1">
      <alignment vertical="center"/>
    </xf>
    <xf numFmtId="166" fontId="19" fillId="21" borderId="1" xfId="2" applyNumberFormat="1" applyFont="1" applyFill="1" applyBorder="1" applyAlignment="1">
      <alignment vertical="center"/>
    </xf>
    <xf numFmtId="165" fontId="24" fillId="21" borderId="5" xfId="0" applyNumberFormat="1" applyFont="1" applyFill="1" applyBorder="1" applyAlignment="1">
      <alignment horizontal="left" vertical="center"/>
    </xf>
    <xf numFmtId="164" fontId="25" fillId="21" borderId="5" xfId="2" applyNumberFormat="1" applyFont="1" applyFill="1" applyBorder="1" applyAlignment="1">
      <alignment horizontal="right" vertical="center"/>
    </xf>
    <xf numFmtId="165" fontId="19" fillId="21" borderId="6" xfId="0" applyNumberFormat="1" applyFont="1" applyFill="1" applyBorder="1" applyAlignment="1">
      <alignment horizontal="left" vertical="center"/>
    </xf>
    <xf numFmtId="164" fontId="27" fillId="21" borderId="0" xfId="2" applyNumberFormat="1" applyFont="1" applyFill="1" applyAlignment="1">
      <alignment vertical="center"/>
    </xf>
    <xf numFmtId="164" fontId="27" fillId="21" borderId="0" xfId="2" applyNumberFormat="1" applyFont="1" applyFill="1" applyBorder="1" applyAlignment="1">
      <alignment vertical="center"/>
    </xf>
    <xf numFmtId="0" fontId="29" fillId="21" borderId="0" xfId="0" applyFont="1" applyFill="1" applyAlignment="1">
      <alignment horizontal="left" indent="4"/>
    </xf>
    <xf numFmtId="164" fontId="4" fillId="21" borderId="0" xfId="2" applyNumberFormat="1" applyFont="1" applyFill="1" applyAlignment="1">
      <alignment vertical="center"/>
    </xf>
    <xf numFmtId="164" fontId="30" fillId="21" borderId="0" xfId="2" applyNumberFormat="1" applyFont="1" applyFill="1" applyAlignment="1">
      <alignment vertical="center"/>
    </xf>
    <xf numFmtId="164" fontId="4" fillId="21" borderId="0" xfId="2" applyNumberFormat="1" applyFont="1" applyFill="1" applyBorder="1" applyAlignment="1">
      <alignment vertical="center"/>
    </xf>
    <xf numFmtId="164" fontId="36" fillId="21" borderId="0" xfId="2" applyNumberFormat="1" applyFont="1" applyFill="1" applyAlignment="1">
      <alignment horizontal="right" vertical="center"/>
    </xf>
    <xf numFmtId="164" fontId="32" fillId="21" borderId="1" xfId="2" applyNumberFormat="1" applyFont="1" applyFill="1" applyBorder="1" applyAlignment="1" applyProtection="1">
      <alignment horizontal="right" vertical="center"/>
    </xf>
    <xf numFmtId="43" fontId="4" fillId="21" borderId="0" xfId="1" applyFont="1" applyFill="1" applyAlignment="1">
      <alignment vertical="center"/>
    </xf>
    <xf numFmtId="164" fontId="62" fillId="21" borderId="0" xfId="2" applyNumberFormat="1" applyFont="1" applyFill="1" applyAlignment="1">
      <alignment horizontal="left" vertical="center" indent="2"/>
    </xf>
    <xf numFmtId="164" fontId="61" fillId="21" borderId="0" xfId="2" applyNumberFormat="1" applyFont="1" applyFill="1" applyAlignment="1">
      <alignment vertical="center"/>
    </xf>
    <xf numFmtId="164" fontId="38" fillId="21" borderId="0" xfId="2" applyNumberFormat="1" applyFont="1" applyFill="1" applyAlignment="1">
      <alignment vertical="center"/>
    </xf>
    <xf numFmtId="164" fontId="64" fillId="21" borderId="0" xfId="2" applyNumberFormat="1" applyFont="1" applyFill="1" applyBorder="1" applyAlignment="1">
      <alignment horizontal="center" vertical="center"/>
    </xf>
    <xf numFmtId="164" fontId="30" fillId="21" borderId="0" xfId="2" applyNumberFormat="1" applyFont="1" applyFill="1" applyAlignment="1">
      <alignment horizontal="right" vertical="center"/>
    </xf>
    <xf numFmtId="166" fontId="30" fillId="21" borderId="0" xfId="1" applyNumberFormat="1" applyFont="1" applyFill="1" applyBorder="1" applyAlignment="1">
      <alignment horizontal="right" vertical="center"/>
    </xf>
    <xf numFmtId="164" fontId="31" fillId="21" borderId="0" xfId="2" applyNumberFormat="1" applyFont="1" applyFill="1" applyBorder="1" applyAlignment="1">
      <alignment horizontal="right" vertical="center"/>
    </xf>
    <xf numFmtId="164" fontId="30" fillId="21" borderId="1" xfId="2" applyNumberFormat="1" applyFont="1" applyFill="1" applyBorder="1" applyAlignment="1">
      <alignment horizontal="right" vertical="center"/>
    </xf>
    <xf numFmtId="164" fontId="31" fillId="21" borderId="2" xfId="2" applyNumberFormat="1" applyFont="1" applyFill="1" applyBorder="1" applyAlignment="1" applyProtection="1">
      <alignment horizontal="center" vertical="center"/>
    </xf>
    <xf numFmtId="164" fontId="31" fillId="21" borderId="1" xfId="2" applyNumberFormat="1" applyFont="1" applyFill="1" applyBorder="1" applyAlignment="1" applyProtection="1">
      <alignment horizontal="right" vertical="center"/>
    </xf>
    <xf numFmtId="166" fontId="30" fillId="21" borderId="0" xfId="2" applyNumberFormat="1" applyFont="1" applyFill="1" applyBorder="1" applyAlignment="1">
      <alignment horizontal="right" vertical="center"/>
    </xf>
    <xf numFmtId="166" fontId="30" fillId="21" borderId="0" xfId="2" applyNumberFormat="1" applyFont="1" applyFill="1" applyBorder="1" applyAlignment="1">
      <alignment vertical="center"/>
    </xf>
    <xf numFmtId="164" fontId="30" fillId="21" borderId="0" xfId="2" applyNumberFormat="1" applyFont="1" applyFill="1" applyBorder="1" applyAlignment="1">
      <alignment horizontal="right" vertical="center"/>
    </xf>
    <xf numFmtId="37" fontId="30" fillId="21" borderId="0" xfId="2" applyNumberFormat="1" applyFont="1" applyFill="1" applyAlignment="1" applyProtection="1">
      <alignment vertical="center"/>
    </xf>
    <xf numFmtId="0" fontId="65" fillId="21" borderId="0" xfId="3" applyFont="1" applyFill="1" applyAlignment="1">
      <alignment horizontal="right" vertical="center"/>
    </xf>
    <xf numFmtId="0" fontId="65" fillId="21" borderId="0" xfId="3" applyFont="1" applyFill="1" applyBorder="1" applyAlignment="1">
      <alignment horizontal="right" vertical="center"/>
    </xf>
    <xf numFmtId="164" fontId="30" fillId="21" borderId="1" xfId="2" applyNumberFormat="1" applyFont="1" applyFill="1" applyBorder="1" applyAlignment="1">
      <alignment vertical="center"/>
    </xf>
    <xf numFmtId="164" fontId="66" fillId="21" borderId="0" xfId="2" applyNumberFormat="1" applyFont="1" applyFill="1" applyAlignment="1">
      <alignment horizontal="right" vertical="center"/>
    </xf>
    <xf numFmtId="164" fontId="67" fillId="21" borderId="0" xfId="2" applyNumberFormat="1" applyFont="1" applyFill="1" applyAlignment="1">
      <alignment vertical="center"/>
    </xf>
    <xf numFmtId="164" fontId="30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8" fillId="21" borderId="3" xfId="2" applyNumberFormat="1" applyFont="1" applyFill="1" applyBorder="1" applyAlignment="1" applyProtection="1">
      <alignment horizontal="center" vertical="center"/>
    </xf>
    <xf numFmtId="164" fontId="8" fillId="21" borderId="3" xfId="2" applyNumberFormat="1" applyFont="1" applyFill="1" applyBorder="1" applyAlignment="1" applyProtection="1">
      <alignment horizontal="center" vertical="center"/>
    </xf>
    <xf numFmtId="165" fontId="68" fillId="21" borderId="0" xfId="0" applyNumberFormat="1" applyFont="1" applyFill="1" applyAlignment="1">
      <alignment vertical="center"/>
    </xf>
    <xf numFmtId="165" fontId="69" fillId="21" borderId="0" xfId="0" applyNumberFormat="1" applyFont="1" applyFill="1" applyAlignment="1">
      <alignment horizontal="left" vertical="center" indent="2"/>
    </xf>
    <xf numFmtId="164" fontId="3" fillId="21" borderId="0" xfId="2" applyNumberFormat="1" applyFont="1" applyFill="1" applyAlignment="1">
      <alignment horizontal="center" vertical="center" readingOrder="2"/>
    </xf>
    <xf numFmtId="164" fontId="33" fillId="21" borderId="0" xfId="2" applyNumberFormat="1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164" fontId="63" fillId="21" borderId="0" xfId="2" applyNumberFormat="1" applyFont="1" applyFill="1" applyBorder="1" applyAlignment="1">
      <alignment horizontal="right" vertical="center" readingOrder="2"/>
    </xf>
    <xf numFmtId="164" fontId="8" fillId="21" borderId="3" xfId="2" applyNumberFormat="1" applyFont="1" applyFill="1" applyBorder="1" applyAlignment="1" applyProtection="1">
      <alignment horizontal="center" vertical="center"/>
    </xf>
    <xf numFmtId="164" fontId="49" fillId="21" borderId="0" xfId="2" applyNumberFormat="1" applyFont="1" applyFill="1" applyBorder="1" applyAlignment="1" applyProtection="1">
      <alignment horizontal="center" vertical="center"/>
    </xf>
    <xf numFmtId="0" fontId="49" fillId="21" borderId="1" xfId="0" applyFont="1" applyFill="1" applyBorder="1" applyAlignment="1">
      <alignment horizontal="center" vertical="top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02"/>
  <sheetViews>
    <sheetView tabSelected="1" zoomScaleNormal="100" workbookViewId="0">
      <selection activeCell="AB6" sqref="AB6:AB22"/>
    </sheetView>
  </sheetViews>
  <sheetFormatPr defaultColWidth="11.140625" defaultRowHeight="18.75"/>
  <cols>
    <col min="1" max="1" width="45.7109375" style="63" customWidth="1"/>
    <col min="2" max="2" width="5.140625" style="63" customWidth="1"/>
    <col min="3" max="3" width="1.5703125" style="63" customWidth="1"/>
    <col min="4" max="7" width="11.140625" style="63" hidden="1" customWidth="1"/>
    <col min="8" max="8" width="1.5703125" style="63" hidden="1" customWidth="1"/>
    <col min="9" max="12" width="11.140625" style="63" customWidth="1"/>
    <col min="13" max="13" width="1.140625" style="63" customWidth="1"/>
    <col min="14" max="17" width="11.140625" style="63" customWidth="1"/>
    <col min="18" max="18" width="1.140625" style="63" customWidth="1"/>
    <col min="19" max="22" width="11.140625" style="63" customWidth="1"/>
    <col min="23" max="23" width="45.42578125" style="64" customWidth="1"/>
    <col min="24" max="24" width="2.85546875" style="64" customWidth="1"/>
    <col min="25" max="25" width="2.42578125" style="64" customWidth="1"/>
    <col min="26" max="26" width="2.28515625" style="65" customWidth="1"/>
    <col min="27" max="27" width="2.7109375" style="63" customWidth="1"/>
    <col min="28" max="29" width="11.140625" style="63"/>
    <col min="30" max="30" width="12.5703125" style="63" customWidth="1"/>
    <col min="31" max="16384" width="11.140625" style="63"/>
  </cols>
  <sheetData>
    <row r="1" spans="1:28" s="24" customFormat="1" ht="21.75">
      <c r="A1" s="94" t="s">
        <v>84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23"/>
    </row>
    <row r="2" spans="1:28" s="24" customFormat="1" ht="21.75">
      <c r="A2" s="99" t="s">
        <v>83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25"/>
    </row>
    <row r="3" spans="1:28" s="27" customFormat="1" ht="14.25" customHeight="1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26"/>
    </row>
    <row r="4" spans="1:28" s="28" customFormat="1" ht="19.5" customHeight="1">
      <c r="A4" s="100" t="s">
        <v>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6"/>
    </row>
    <row r="5" spans="1:28" s="33" customFormat="1">
      <c r="A5" s="29"/>
      <c r="B5" s="30"/>
      <c r="C5" s="30"/>
      <c r="D5" s="96">
        <v>2014</v>
      </c>
      <c r="E5" s="96"/>
      <c r="F5" s="96"/>
      <c r="G5" s="96"/>
      <c r="H5" s="30"/>
      <c r="I5" s="98">
        <v>2015</v>
      </c>
      <c r="J5" s="98"/>
      <c r="K5" s="98"/>
      <c r="L5" s="98"/>
      <c r="M5" s="90"/>
      <c r="N5" s="98">
        <v>2016</v>
      </c>
      <c r="O5" s="98"/>
      <c r="P5" s="98"/>
      <c r="Q5" s="98"/>
      <c r="R5" s="91"/>
      <c r="S5" s="98">
        <v>2017</v>
      </c>
      <c r="T5" s="98"/>
      <c r="U5" s="98"/>
      <c r="V5" s="98"/>
      <c r="W5" s="77"/>
      <c r="X5" s="77"/>
      <c r="Y5" s="31"/>
      <c r="Z5" s="32"/>
    </row>
    <row r="6" spans="1:28" s="33" customFormat="1">
      <c r="A6" s="34" t="s">
        <v>2</v>
      </c>
      <c r="B6" s="18"/>
      <c r="C6" s="18"/>
      <c r="D6" s="18" t="s">
        <v>3</v>
      </c>
      <c r="E6" s="18" t="s">
        <v>4</v>
      </c>
      <c r="F6" s="18" t="s">
        <v>5</v>
      </c>
      <c r="G6" s="35" t="s">
        <v>7</v>
      </c>
      <c r="H6" s="18"/>
      <c r="I6" s="18" t="s">
        <v>3</v>
      </c>
      <c r="J6" s="18" t="s">
        <v>4</v>
      </c>
      <c r="K6" s="18" t="s">
        <v>5</v>
      </c>
      <c r="L6" s="1" t="s">
        <v>6</v>
      </c>
      <c r="M6" s="18"/>
      <c r="N6" s="18" t="s">
        <v>3</v>
      </c>
      <c r="O6" s="18" t="s">
        <v>4</v>
      </c>
      <c r="P6" s="18" t="s">
        <v>5</v>
      </c>
      <c r="Q6" s="35" t="s">
        <v>7</v>
      </c>
      <c r="R6" s="18"/>
      <c r="S6" s="18" t="s">
        <v>3</v>
      </c>
      <c r="T6" s="18" t="s">
        <v>4</v>
      </c>
      <c r="U6" s="18" t="s">
        <v>5</v>
      </c>
      <c r="V6" s="35" t="s">
        <v>7</v>
      </c>
      <c r="W6" s="75"/>
      <c r="X6" s="75"/>
      <c r="Y6" s="2" t="s">
        <v>8</v>
      </c>
      <c r="Z6" s="32"/>
    </row>
    <row r="7" spans="1:28" s="33" customFormat="1" ht="24.75" customHeight="1">
      <c r="A7" s="36"/>
      <c r="B7" s="37"/>
      <c r="C7" s="37"/>
      <c r="D7" s="37" t="s">
        <v>9</v>
      </c>
      <c r="E7" s="37" t="s">
        <v>10</v>
      </c>
      <c r="F7" s="37" t="s">
        <v>11</v>
      </c>
      <c r="G7" s="37" t="s">
        <v>12</v>
      </c>
      <c r="H7" s="37"/>
      <c r="I7" s="37" t="s">
        <v>9</v>
      </c>
      <c r="J7" s="37" t="s">
        <v>10</v>
      </c>
      <c r="K7" s="37" t="s">
        <v>11</v>
      </c>
      <c r="L7" s="67" t="s">
        <v>78</v>
      </c>
      <c r="M7" s="37"/>
      <c r="N7" s="37" t="s">
        <v>9</v>
      </c>
      <c r="O7" s="37" t="s">
        <v>10</v>
      </c>
      <c r="P7" s="37" t="s">
        <v>11</v>
      </c>
      <c r="Q7" s="37" t="s">
        <v>12</v>
      </c>
      <c r="R7" s="37"/>
      <c r="S7" s="37" t="s">
        <v>9</v>
      </c>
      <c r="T7" s="37" t="s">
        <v>10</v>
      </c>
      <c r="U7" s="37" t="s">
        <v>11</v>
      </c>
      <c r="V7" s="37" t="s">
        <v>12</v>
      </c>
      <c r="W7" s="78"/>
      <c r="X7" s="78"/>
      <c r="Y7" s="6"/>
      <c r="Z7" s="32"/>
    </row>
    <row r="8" spans="1:28" s="33" customFormat="1">
      <c r="A8" s="17" t="s">
        <v>13</v>
      </c>
      <c r="B8" s="38"/>
      <c r="C8" s="38"/>
      <c r="D8" s="38">
        <v>13743.070216377171</v>
      </c>
      <c r="E8" s="38">
        <v>12275.832399945844</v>
      </c>
      <c r="F8" s="38">
        <v>11256.584072879481</v>
      </c>
      <c r="G8" s="38">
        <v>12519.913163833235</v>
      </c>
      <c r="H8" s="38"/>
      <c r="I8" s="38">
        <v>13897.037089405614</v>
      </c>
      <c r="J8" s="38">
        <v>14792.442960910001</v>
      </c>
      <c r="K8" s="38">
        <v>13224.343226721201</v>
      </c>
      <c r="L8" s="38">
        <v>12297.384249700928</v>
      </c>
      <c r="M8" s="38"/>
      <c r="N8" s="38">
        <v>14208.74021391408</v>
      </c>
      <c r="O8" s="38">
        <v>12457.271467341176</v>
      </c>
      <c r="P8" s="38">
        <v>11693.715271220342</v>
      </c>
      <c r="Q8" s="38">
        <v>7868.7720019578446</v>
      </c>
      <c r="R8" s="38"/>
      <c r="S8" s="38">
        <v>8425.0201271311926</v>
      </c>
      <c r="T8" s="38">
        <v>11071.566078943506</v>
      </c>
      <c r="U8" s="38">
        <v>8676.5592488327311</v>
      </c>
      <c r="V8" s="38">
        <v>10291.859759880565</v>
      </c>
      <c r="W8" s="79"/>
      <c r="X8" s="79"/>
      <c r="Y8" s="39" t="s">
        <v>14</v>
      </c>
      <c r="Z8" s="32"/>
    </row>
    <row r="9" spans="1:28" s="33" customFormat="1">
      <c r="A9" s="19" t="s">
        <v>15</v>
      </c>
      <c r="B9" s="40"/>
      <c r="C9" s="40"/>
      <c r="D9" s="40">
        <v>7323.23421637717</v>
      </c>
      <c r="E9" s="40">
        <v>6970.7863999458423</v>
      </c>
      <c r="F9" s="40">
        <v>7669.1664212060823</v>
      </c>
      <c r="G9" s="40">
        <v>9109.9561638332343</v>
      </c>
      <c r="H9" s="40"/>
      <c r="I9" s="40">
        <v>9626.621089405613</v>
      </c>
      <c r="J9" s="40">
        <v>10605.589960910002</v>
      </c>
      <c r="K9" s="40">
        <v>9341.450226721201</v>
      </c>
      <c r="L9" s="40">
        <v>8227.2452497009272</v>
      </c>
      <c r="M9" s="41"/>
      <c r="N9" s="40">
        <v>9757.2462139140771</v>
      </c>
      <c r="O9" s="40">
        <v>9140.4744673411769</v>
      </c>
      <c r="P9" s="40">
        <v>7981.1622712203425</v>
      </c>
      <c r="Q9" s="40">
        <v>5247.4540019578444</v>
      </c>
      <c r="R9" s="41"/>
      <c r="S9" s="40">
        <v>5785.3741271311919</v>
      </c>
      <c r="T9" s="40">
        <v>8792.2800789435059</v>
      </c>
      <c r="U9" s="40">
        <v>7668.8132488327301</v>
      </c>
      <c r="V9" s="40">
        <v>8603.308759880565</v>
      </c>
      <c r="W9" s="80"/>
      <c r="X9" s="80" t="s">
        <v>16</v>
      </c>
      <c r="Y9" s="89"/>
      <c r="Z9" s="32"/>
    </row>
    <row r="10" spans="1:28" s="10" customFormat="1">
      <c r="A10" s="19" t="s">
        <v>17</v>
      </c>
      <c r="B10" s="40"/>
      <c r="C10" s="40"/>
      <c r="D10" s="40">
        <v>6419.8360000000011</v>
      </c>
      <c r="E10" s="40">
        <v>5305.0460000000012</v>
      </c>
      <c r="F10" s="40">
        <v>3587.4176516733992</v>
      </c>
      <c r="G10" s="40">
        <v>3409.9570000000003</v>
      </c>
      <c r="H10" s="40"/>
      <c r="I10" s="40">
        <v>4270.4160000000011</v>
      </c>
      <c r="J10" s="40">
        <v>4186.8530000000001</v>
      </c>
      <c r="K10" s="40">
        <v>3882.893</v>
      </c>
      <c r="L10" s="40">
        <v>4070.1390000000001</v>
      </c>
      <c r="M10" s="40"/>
      <c r="N10" s="40">
        <v>4451.4940000000015</v>
      </c>
      <c r="O10" s="40">
        <v>3316.7969999999996</v>
      </c>
      <c r="P10" s="40">
        <v>3712.5530000000008</v>
      </c>
      <c r="Q10" s="40">
        <v>2621.3179999999998</v>
      </c>
      <c r="R10" s="40"/>
      <c r="S10" s="40">
        <v>2639.6460000000002</v>
      </c>
      <c r="T10" s="40">
        <v>2279.2860000000005</v>
      </c>
      <c r="U10" s="40">
        <v>1007.7460000000001</v>
      </c>
      <c r="V10" s="40">
        <v>1688.5509999999999</v>
      </c>
      <c r="W10" s="64"/>
      <c r="X10" s="80" t="s">
        <v>18</v>
      </c>
      <c r="Y10" s="89"/>
      <c r="Z10" s="13"/>
      <c r="AB10" s="92"/>
    </row>
    <row r="11" spans="1:28" s="10" customFormat="1">
      <c r="A11" s="17" t="s">
        <v>19</v>
      </c>
      <c r="B11" s="41"/>
      <c r="C11" s="41"/>
      <c r="D11" s="41">
        <v>25253.472823750002</v>
      </c>
      <c r="E11" s="41">
        <v>25491.082175540003</v>
      </c>
      <c r="F11" s="41">
        <v>25968.031641190002</v>
      </c>
      <c r="G11" s="41">
        <v>25817.770621569998</v>
      </c>
      <c r="H11" s="41"/>
      <c r="I11" s="41">
        <v>25512.261436550001</v>
      </c>
      <c r="J11" s="41">
        <v>26043.94353158</v>
      </c>
      <c r="K11" s="41">
        <v>28119.146094809999</v>
      </c>
      <c r="L11" s="41">
        <v>29993.831403969998</v>
      </c>
      <c r="M11" s="40"/>
      <c r="N11" s="41">
        <v>30662.074057769998</v>
      </c>
      <c r="O11" s="41">
        <v>31969.767944610001</v>
      </c>
      <c r="P11" s="41">
        <v>33211.148446079998</v>
      </c>
      <c r="Q11" s="41">
        <v>35958.584935849998</v>
      </c>
      <c r="R11" s="40"/>
      <c r="S11" s="41">
        <v>36174.36627988</v>
      </c>
      <c r="T11" s="41">
        <v>35040.566992479995</v>
      </c>
      <c r="U11" s="41">
        <v>35516.588169280003</v>
      </c>
      <c r="V11" s="41">
        <v>36535.064233570003</v>
      </c>
      <c r="W11" s="80"/>
      <c r="X11" s="80"/>
      <c r="Y11" s="4" t="s">
        <v>20</v>
      </c>
      <c r="Z11" s="13"/>
      <c r="AB11" s="93"/>
    </row>
    <row r="12" spans="1:28" s="10" customFormat="1">
      <c r="A12" s="19" t="s">
        <v>21</v>
      </c>
      <c r="B12" s="40"/>
      <c r="C12" s="40"/>
      <c r="D12" s="40">
        <v>8722.458999049999</v>
      </c>
      <c r="E12" s="40">
        <v>9238.5284253300015</v>
      </c>
      <c r="F12" s="40">
        <v>8700.1459120300024</v>
      </c>
      <c r="G12" s="40">
        <v>9145.5234145899994</v>
      </c>
      <c r="H12" s="40"/>
      <c r="I12" s="40">
        <v>9117.0185638100011</v>
      </c>
      <c r="J12" s="40">
        <v>9793.6079052000023</v>
      </c>
      <c r="K12" s="40">
        <v>10288.732416159999</v>
      </c>
      <c r="L12" s="40">
        <v>11379.973560689999</v>
      </c>
      <c r="M12" s="40"/>
      <c r="N12" s="40">
        <v>11719.620838620001</v>
      </c>
      <c r="O12" s="40">
        <v>12476.55494283</v>
      </c>
      <c r="P12" s="40">
        <v>13175.94978889</v>
      </c>
      <c r="Q12" s="40">
        <v>13394.445110889999</v>
      </c>
      <c r="R12" s="40"/>
      <c r="S12" s="40">
        <v>13042.62188651</v>
      </c>
      <c r="T12" s="40">
        <v>11465.534845329999</v>
      </c>
      <c r="U12" s="40">
        <v>11211.577295800002</v>
      </c>
      <c r="V12" s="40">
        <v>11630.610611950002</v>
      </c>
      <c r="W12" s="64"/>
      <c r="X12" s="80" t="s">
        <v>22</v>
      </c>
      <c r="Y12" s="89"/>
      <c r="Z12" s="13"/>
      <c r="AB12" s="93"/>
    </row>
    <row r="13" spans="1:28" s="10" customFormat="1">
      <c r="A13" s="19" t="s">
        <v>23</v>
      </c>
      <c r="B13" s="40"/>
      <c r="C13" s="40"/>
      <c r="D13" s="40">
        <v>11407.02345153</v>
      </c>
      <c r="E13" s="40">
        <v>12387.60802209</v>
      </c>
      <c r="F13" s="40">
        <v>12097.290783830002</v>
      </c>
      <c r="G13" s="40">
        <v>12354.747919469999</v>
      </c>
      <c r="H13" s="40"/>
      <c r="I13" s="40">
        <v>12838.40589066</v>
      </c>
      <c r="J13" s="40">
        <v>13237.959466600001</v>
      </c>
      <c r="K13" s="40">
        <v>14077.460474989999</v>
      </c>
      <c r="L13" s="40">
        <v>14231.0776071</v>
      </c>
      <c r="M13" s="40"/>
      <c r="N13" s="40">
        <v>14811.665918180001</v>
      </c>
      <c r="O13" s="40">
        <v>15411.068953760001</v>
      </c>
      <c r="P13" s="40">
        <v>15818.666515200001</v>
      </c>
      <c r="Q13" s="40">
        <v>16481.465854710001</v>
      </c>
      <c r="R13" s="40"/>
      <c r="S13" s="40">
        <v>16220.54306136</v>
      </c>
      <c r="T13" s="40">
        <v>16914.161469430001</v>
      </c>
      <c r="U13" s="40">
        <v>14794.063458390001</v>
      </c>
      <c r="V13" s="40">
        <v>15317.521112210001</v>
      </c>
      <c r="W13" s="80" t="s">
        <v>24</v>
      </c>
      <c r="X13" s="80"/>
      <c r="Y13" s="42"/>
      <c r="Z13" s="13"/>
      <c r="AB13" s="93"/>
    </row>
    <row r="14" spans="1:28" s="10" customFormat="1">
      <c r="A14" s="19" t="s">
        <v>25</v>
      </c>
      <c r="B14" s="40"/>
      <c r="C14" s="40"/>
      <c r="D14" s="40">
        <v>-2684.56445248</v>
      </c>
      <c r="E14" s="40">
        <v>-3149.0795967599997</v>
      </c>
      <c r="F14" s="40">
        <v>-3397.1448718000001</v>
      </c>
      <c r="G14" s="40">
        <v>-3209.2245048799996</v>
      </c>
      <c r="H14" s="40"/>
      <c r="I14" s="40">
        <v>-3721.3873268499997</v>
      </c>
      <c r="J14" s="40">
        <v>-3444.3515613999998</v>
      </c>
      <c r="K14" s="40">
        <v>-3788.72805883</v>
      </c>
      <c r="L14" s="40">
        <v>-2851.1040464099997</v>
      </c>
      <c r="M14" s="40"/>
      <c r="N14" s="40">
        <v>-3092.04507956</v>
      </c>
      <c r="O14" s="40">
        <v>-2934.51401093</v>
      </c>
      <c r="P14" s="40">
        <v>-2642.71672631</v>
      </c>
      <c r="Q14" s="40">
        <v>-3087.0207438200005</v>
      </c>
      <c r="R14" s="40"/>
      <c r="S14" s="40">
        <v>-3177.9211748500002</v>
      </c>
      <c r="T14" s="40">
        <v>-5448.6266241000003</v>
      </c>
      <c r="U14" s="40">
        <v>-3582.4861625900003</v>
      </c>
      <c r="V14" s="40">
        <v>-3686.9105002599995</v>
      </c>
      <c r="W14" s="73" t="s">
        <v>26</v>
      </c>
      <c r="X14" s="80"/>
      <c r="Y14" s="89"/>
      <c r="Z14" s="13"/>
    </row>
    <row r="15" spans="1:28" s="10" customFormat="1">
      <c r="A15" s="19" t="s">
        <v>27</v>
      </c>
      <c r="B15" s="43"/>
      <c r="C15" s="43"/>
      <c r="D15" s="43">
        <v>16531.013824700003</v>
      </c>
      <c r="E15" s="43">
        <v>16252.55375021</v>
      </c>
      <c r="F15" s="43">
        <v>17267.88572916</v>
      </c>
      <c r="G15" s="43">
        <v>16672.247206979999</v>
      </c>
      <c r="H15" s="43"/>
      <c r="I15" s="43">
        <v>16395.24287274</v>
      </c>
      <c r="J15" s="43">
        <v>16250.33562638</v>
      </c>
      <c r="K15" s="43">
        <v>17830.413678650002</v>
      </c>
      <c r="L15" s="43">
        <v>18613.857843279999</v>
      </c>
      <c r="M15" s="43"/>
      <c r="N15" s="43">
        <v>18942.453219149997</v>
      </c>
      <c r="O15" s="43">
        <v>19493.213001780001</v>
      </c>
      <c r="P15" s="43">
        <v>20035.198657190002</v>
      </c>
      <c r="Q15" s="43">
        <v>22564.139824959999</v>
      </c>
      <c r="R15" s="43"/>
      <c r="S15" s="43">
        <v>23131.744393369998</v>
      </c>
      <c r="T15" s="43">
        <v>23575.032147149996</v>
      </c>
      <c r="U15" s="43">
        <v>24305.010873480001</v>
      </c>
      <c r="V15" s="43">
        <v>24904.453621619999</v>
      </c>
      <c r="W15" s="64"/>
      <c r="X15" s="80" t="s">
        <v>28</v>
      </c>
      <c r="Y15" s="89"/>
      <c r="Z15" s="13"/>
    </row>
    <row r="16" spans="1:28" s="10" customFormat="1">
      <c r="A16" s="19" t="s">
        <v>29</v>
      </c>
      <c r="B16" s="43"/>
      <c r="C16" s="43"/>
      <c r="D16" s="43">
        <v>279.93099999999998</v>
      </c>
      <c r="E16" s="43">
        <v>304.803</v>
      </c>
      <c r="F16" s="43">
        <v>268.23400000000004</v>
      </c>
      <c r="G16" s="43">
        <v>288.30900000000003</v>
      </c>
      <c r="H16" s="43"/>
      <c r="I16" s="43">
        <v>329.00299999999999</v>
      </c>
      <c r="J16" s="43">
        <v>311.13800000000003</v>
      </c>
      <c r="K16" s="43">
        <v>304.36300000000006</v>
      </c>
      <c r="L16" s="43">
        <v>303.904</v>
      </c>
      <c r="M16" s="43"/>
      <c r="N16" s="43">
        <v>289.697</v>
      </c>
      <c r="O16" s="43">
        <v>345.32799999999997</v>
      </c>
      <c r="P16" s="43">
        <v>364.41200000000003</v>
      </c>
      <c r="Q16" s="43">
        <v>429.74599999999998</v>
      </c>
      <c r="R16" s="43"/>
      <c r="S16" s="43">
        <v>517.58600000000001</v>
      </c>
      <c r="T16" s="43">
        <v>544.21299999999997</v>
      </c>
      <c r="U16" s="43">
        <v>514.23199999999997</v>
      </c>
      <c r="V16" s="43">
        <v>572.30500000000006</v>
      </c>
      <c r="W16" s="74" t="s">
        <v>30</v>
      </c>
      <c r="X16" s="64"/>
      <c r="Y16" s="89"/>
      <c r="Z16" s="13"/>
    </row>
    <row r="17" spans="1:29" s="10" customFormat="1">
      <c r="A17" s="19" t="s">
        <v>31</v>
      </c>
      <c r="B17" s="43"/>
      <c r="C17" s="43"/>
      <c r="D17" s="43">
        <v>1741.1799999999998</v>
      </c>
      <c r="E17" s="43">
        <v>1332.875</v>
      </c>
      <c r="F17" s="43">
        <v>1512.0800000000002</v>
      </c>
      <c r="G17" s="43">
        <v>1333.845</v>
      </c>
      <c r="H17" s="43"/>
      <c r="I17" s="43">
        <v>1334.692</v>
      </c>
      <c r="J17" s="43">
        <v>1208.345</v>
      </c>
      <c r="K17" s="43">
        <v>1569.03</v>
      </c>
      <c r="L17" s="43">
        <v>1492.913</v>
      </c>
      <c r="M17" s="43"/>
      <c r="N17" s="43">
        <v>1503.402</v>
      </c>
      <c r="O17" s="43">
        <v>1463.4540000000002</v>
      </c>
      <c r="P17" s="43">
        <v>1372.432</v>
      </c>
      <c r="Q17" s="43">
        <v>3551.3665981700001</v>
      </c>
      <c r="R17" s="43"/>
      <c r="S17" s="43">
        <v>3464.10749592</v>
      </c>
      <c r="T17" s="43">
        <v>3220.8665702799999</v>
      </c>
      <c r="U17" s="43">
        <v>3137.64316383</v>
      </c>
      <c r="V17" s="43">
        <v>3037.2701816899998</v>
      </c>
      <c r="W17" s="73" t="s">
        <v>32</v>
      </c>
      <c r="X17" s="64"/>
      <c r="Y17" s="89"/>
      <c r="Z17" s="13"/>
    </row>
    <row r="18" spans="1:29" s="10" customFormat="1">
      <c r="A18" s="19" t="s">
        <v>33</v>
      </c>
      <c r="B18" s="43"/>
      <c r="C18" s="43"/>
      <c r="D18" s="43">
        <v>14509.902824700002</v>
      </c>
      <c r="E18" s="43">
        <v>14614.87575021</v>
      </c>
      <c r="F18" s="43">
        <v>15487.571729160001</v>
      </c>
      <c r="G18" s="43">
        <v>15050.09320698</v>
      </c>
      <c r="H18" s="43"/>
      <c r="I18" s="43">
        <v>14731.54787274</v>
      </c>
      <c r="J18" s="43">
        <v>14730.852626379999</v>
      </c>
      <c r="K18" s="43">
        <v>15957.02067865</v>
      </c>
      <c r="L18" s="43">
        <v>16817.04084328</v>
      </c>
      <c r="M18" s="43"/>
      <c r="N18" s="43">
        <v>17149.354219149998</v>
      </c>
      <c r="O18" s="43">
        <v>17684.431001780002</v>
      </c>
      <c r="P18" s="43">
        <v>18298.354657190001</v>
      </c>
      <c r="Q18" s="43">
        <v>18583.02722679</v>
      </c>
      <c r="R18" s="43"/>
      <c r="S18" s="43">
        <v>19150.050897449997</v>
      </c>
      <c r="T18" s="43">
        <v>19809.952576869997</v>
      </c>
      <c r="U18" s="43">
        <v>20653.13570965</v>
      </c>
      <c r="V18" s="43">
        <v>21294.878439929998</v>
      </c>
      <c r="W18" s="73" t="s">
        <v>34</v>
      </c>
      <c r="X18" s="64"/>
      <c r="Y18" s="89"/>
      <c r="Z18" s="13"/>
    </row>
    <row r="19" spans="1:29" s="10" customFormat="1">
      <c r="A19" s="17" t="s">
        <v>35</v>
      </c>
      <c r="B19" s="44"/>
      <c r="C19" s="44"/>
      <c r="D19" s="44">
        <v>28445.427767900001</v>
      </c>
      <c r="E19" s="44">
        <v>26804.129685150001</v>
      </c>
      <c r="F19" s="44">
        <v>26020.641622579999</v>
      </c>
      <c r="G19" s="44">
        <v>27197.055754289999</v>
      </c>
      <c r="H19" s="44"/>
      <c r="I19" s="44">
        <v>28310.485159850006</v>
      </c>
      <c r="J19" s="44">
        <v>29291.941049020003</v>
      </c>
      <c r="K19" s="44">
        <v>29986.008741309997</v>
      </c>
      <c r="L19" s="44">
        <v>30491.924283619999</v>
      </c>
      <c r="M19" s="44"/>
      <c r="N19" s="44">
        <v>32624.660625600001</v>
      </c>
      <c r="O19" s="44">
        <v>31847.228288010003</v>
      </c>
      <c r="P19" s="44">
        <v>31753.546186060001</v>
      </c>
      <c r="Q19" s="44">
        <v>30436.28260907</v>
      </c>
      <c r="R19" s="44"/>
      <c r="S19" s="44">
        <v>30929.907710719999</v>
      </c>
      <c r="T19" s="44">
        <v>31838.658134459998</v>
      </c>
      <c r="U19" s="44">
        <v>29848.874524790001</v>
      </c>
      <c r="V19" s="44">
        <v>32007.750289079999</v>
      </c>
      <c r="W19" s="64"/>
      <c r="X19" s="64"/>
      <c r="Y19" s="4" t="s">
        <v>36</v>
      </c>
      <c r="Z19" s="13"/>
    </row>
    <row r="20" spans="1:29" s="10" customFormat="1">
      <c r="A20" s="19" t="s">
        <v>37</v>
      </c>
      <c r="B20" s="43"/>
      <c r="C20" s="43"/>
      <c r="D20" s="43">
        <v>10916.7117679</v>
      </c>
      <c r="E20" s="43">
        <v>11711.734685149999</v>
      </c>
      <c r="F20" s="43">
        <v>11100.108622579999</v>
      </c>
      <c r="G20" s="43">
        <v>11232.438754289999</v>
      </c>
      <c r="H20" s="43"/>
      <c r="I20" s="43">
        <v>11854.01015985</v>
      </c>
      <c r="J20" s="43">
        <v>12781.122049019999</v>
      </c>
      <c r="K20" s="43">
        <v>12787.100741310001</v>
      </c>
      <c r="L20" s="43">
        <v>13337.884283619998</v>
      </c>
      <c r="M20" s="43"/>
      <c r="N20" s="43">
        <v>13883.3136256</v>
      </c>
      <c r="O20" s="43">
        <v>13902.496288009999</v>
      </c>
      <c r="P20" s="43">
        <v>13907.057186059999</v>
      </c>
      <c r="Q20" s="43">
        <v>13468.481609070001</v>
      </c>
      <c r="R20" s="43"/>
      <c r="S20" s="43">
        <v>13245.10771072</v>
      </c>
      <c r="T20" s="43">
        <v>14350.89113446</v>
      </c>
      <c r="U20" s="43">
        <v>13732.181524790001</v>
      </c>
      <c r="V20" s="43">
        <v>14471.31128908</v>
      </c>
      <c r="W20" s="64"/>
      <c r="X20" s="73" t="s">
        <v>38</v>
      </c>
      <c r="Y20" s="89"/>
      <c r="Z20" s="13"/>
    </row>
    <row r="21" spans="1:29" s="10" customFormat="1">
      <c r="A21" s="19" t="s">
        <v>39</v>
      </c>
      <c r="B21" s="45"/>
      <c r="C21" s="45"/>
      <c r="D21" s="45">
        <v>2833.5166134900001</v>
      </c>
      <c r="E21" s="45">
        <v>2659.1273657900001</v>
      </c>
      <c r="F21" s="45">
        <v>2635.4066289299999</v>
      </c>
      <c r="G21" s="45">
        <v>2682.71255634</v>
      </c>
      <c r="H21" s="45"/>
      <c r="I21" s="45">
        <v>2705.7715267400004</v>
      </c>
      <c r="J21" s="45">
        <v>2904.2333889300003</v>
      </c>
      <c r="K21" s="45">
        <v>2792.1942611100003</v>
      </c>
      <c r="L21" s="45">
        <v>2756.1351263099996</v>
      </c>
      <c r="M21" s="45"/>
      <c r="N21" s="45">
        <v>2726.06959336</v>
      </c>
      <c r="O21" s="45">
        <v>2821.11374406</v>
      </c>
      <c r="P21" s="45">
        <v>2626.9959949999998</v>
      </c>
      <c r="Q21" s="45">
        <v>2695.0316090700003</v>
      </c>
      <c r="R21" s="45"/>
      <c r="S21" s="45">
        <v>2703.5334021100002</v>
      </c>
      <c r="T21" s="45">
        <v>2843.8632806800001</v>
      </c>
      <c r="U21" s="45">
        <v>2745.5429223299998</v>
      </c>
      <c r="V21" s="45">
        <v>2913.6352890799999</v>
      </c>
      <c r="W21" s="81" t="s">
        <v>40</v>
      </c>
      <c r="X21" s="82"/>
      <c r="Y21" s="89"/>
      <c r="Z21" s="13"/>
    </row>
    <row r="22" spans="1:29" s="10" customFormat="1">
      <c r="A22" s="19" t="s">
        <v>41</v>
      </c>
      <c r="B22" s="43"/>
      <c r="C22" s="43"/>
      <c r="D22" s="43">
        <v>8083.1951544099993</v>
      </c>
      <c r="E22" s="43">
        <v>9052.6073193599987</v>
      </c>
      <c r="F22" s="43">
        <v>8464.7019936500001</v>
      </c>
      <c r="G22" s="43">
        <v>8549.7261979499981</v>
      </c>
      <c r="H22" s="43"/>
      <c r="I22" s="43">
        <v>9148.2386331100006</v>
      </c>
      <c r="J22" s="43">
        <v>9876.8886600899987</v>
      </c>
      <c r="K22" s="43">
        <v>9994.9064802000012</v>
      </c>
      <c r="L22" s="43">
        <v>10581.74915731</v>
      </c>
      <c r="M22" s="43"/>
      <c r="N22" s="43">
        <v>11157.24403224</v>
      </c>
      <c r="O22" s="43">
        <v>11081.38254395</v>
      </c>
      <c r="P22" s="43">
        <v>11280.06119106</v>
      </c>
      <c r="Q22" s="43">
        <v>10773.45</v>
      </c>
      <c r="R22" s="43"/>
      <c r="S22" s="43">
        <v>10541.574308609999</v>
      </c>
      <c r="T22" s="43">
        <v>11507.02785378</v>
      </c>
      <c r="U22" s="43">
        <v>10986.638602460001</v>
      </c>
      <c r="V22" s="43">
        <v>11557.675999999999</v>
      </c>
      <c r="W22" s="64" t="s">
        <v>42</v>
      </c>
      <c r="X22" s="64"/>
      <c r="Y22" s="89"/>
      <c r="Z22" s="13"/>
    </row>
    <row r="23" spans="1:29" s="10" customFormat="1">
      <c r="A23" s="19" t="s">
        <v>43</v>
      </c>
      <c r="B23" s="43"/>
      <c r="C23" s="43"/>
      <c r="D23" s="43">
        <v>17528.716</v>
      </c>
      <c r="E23" s="43">
        <v>15092.394999999999</v>
      </c>
      <c r="F23" s="43">
        <v>14920.532999999999</v>
      </c>
      <c r="G23" s="43">
        <v>15964.616999999998</v>
      </c>
      <c r="H23" s="43"/>
      <c r="I23" s="43">
        <v>16456.474999999999</v>
      </c>
      <c r="J23" s="43">
        <v>16510.819</v>
      </c>
      <c r="K23" s="43">
        <v>17198.907999999999</v>
      </c>
      <c r="L23" s="43">
        <v>17154.04</v>
      </c>
      <c r="M23" s="43"/>
      <c r="N23" s="43">
        <v>18741.347000000002</v>
      </c>
      <c r="O23" s="43">
        <v>17944.732</v>
      </c>
      <c r="P23" s="43">
        <v>17846.489000000001</v>
      </c>
      <c r="Q23" s="43">
        <v>16967.800999999999</v>
      </c>
      <c r="R23" s="43"/>
      <c r="S23" s="43">
        <v>17684.8</v>
      </c>
      <c r="T23" s="43">
        <v>17487.767</v>
      </c>
      <c r="U23" s="43">
        <v>16116.692999999999</v>
      </c>
      <c r="V23" s="43">
        <v>17536.438999999998</v>
      </c>
      <c r="W23" s="64"/>
      <c r="X23" s="73" t="s">
        <v>44</v>
      </c>
      <c r="Y23" s="89"/>
      <c r="Z23" s="46"/>
    </row>
    <row r="24" spans="1:29" s="10" customFormat="1">
      <c r="A24" s="19" t="s">
        <v>45</v>
      </c>
      <c r="B24" s="43"/>
      <c r="C24" s="43"/>
      <c r="D24" s="43">
        <v>1724.1279999999999</v>
      </c>
      <c r="E24" s="43">
        <v>1280.5999999999999</v>
      </c>
      <c r="F24" s="43">
        <v>1430.684</v>
      </c>
      <c r="G24" s="43">
        <v>1370.7629999999999</v>
      </c>
      <c r="H24" s="43"/>
      <c r="I24" s="43">
        <v>1573.165</v>
      </c>
      <c r="J24" s="43">
        <v>1572.329</v>
      </c>
      <c r="K24" s="43">
        <v>1650.6080000000002</v>
      </c>
      <c r="L24" s="43">
        <v>1710.2339999999999</v>
      </c>
      <c r="M24" s="43"/>
      <c r="N24" s="43">
        <v>1851.2109999999998</v>
      </c>
      <c r="O24" s="43">
        <v>2021.384</v>
      </c>
      <c r="P24" s="43">
        <v>1971.104</v>
      </c>
      <c r="Q24" s="43">
        <v>2205.8029999999999</v>
      </c>
      <c r="R24" s="43"/>
      <c r="S24" s="43">
        <v>2361.4110000000001</v>
      </c>
      <c r="T24" s="43">
        <v>1996.6909999999998</v>
      </c>
      <c r="U24" s="43">
        <v>1753.0709999999999</v>
      </c>
      <c r="V24" s="43">
        <v>1935.597</v>
      </c>
      <c r="W24" s="83" t="s">
        <v>46</v>
      </c>
      <c r="X24" s="64"/>
      <c r="Y24" s="89"/>
      <c r="Z24" s="46"/>
    </row>
    <row r="25" spans="1:29" s="10" customFormat="1">
      <c r="A25" s="19" t="s">
        <v>47</v>
      </c>
      <c r="B25" s="43"/>
      <c r="C25" s="43"/>
      <c r="D25" s="43">
        <v>15804.588</v>
      </c>
      <c r="E25" s="43">
        <v>13811.794999999998</v>
      </c>
      <c r="F25" s="43">
        <v>13489.848999999998</v>
      </c>
      <c r="G25" s="43">
        <v>14593.853999999999</v>
      </c>
      <c r="H25" s="43"/>
      <c r="I25" s="43">
        <v>14883.31</v>
      </c>
      <c r="J25" s="43">
        <v>14938.489999999998</v>
      </c>
      <c r="K25" s="43">
        <v>15548.3</v>
      </c>
      <c r="L25" s="43">
        <v>15443.805999999999</v>
      </c>
      <c r="M25" s="43"/>
      <c r="N25" s="43">
        <v>16890.135999999999</v>
      </c>
      <c r="O25" s="43">
        <v>15923.348</v>
      </c>
      <c r="P25" s="43">
        <v>15875.385000000002</v>
      </c>
      <c r="Q25" s="43">
        <v>14761.998</v>
      </c>
      <c r="R25" s="43"/>
      <c r="S25" s="43">
        <v>15323.388999999999</v>
      </c>
      <c r="T25" s="43">
        <v>15491.076000000001</v>
      </c>
      <c r="U25" s="43">
        <v>14363.621999999999</v>
      </c>
      <c r="V25" s="43">
        <v>15600.841999999999</v>
      </c>
      <c r="W25" s="84" t="s">
        <v>48</v>
      </c>
      <c r="X25" s="64"/>
      <c r="Y25" s="47"/>
      <c r="Z25" s="46"/>
    </row>
    <row r="26" spans="1:29" s="10" customFormat="1">
      <c r="A26" s="19" t="s">
        <v>49</v>
      </c>
      <c r="B26" s="43"/>
      <c r="C26" s="43"/>
      <c r="D26" s="43">
        <v>0</v>
      </c>
      <c r="E26" s="43">
        <v>0</v>
      </c>
      <c r="F26" s="43">
        <v>0</v>
      </c>
      <c r="G26" s="43">
        <v>0</v>
      </c>
      <c r="H26" s="43"/>
      <c r="I26" s="43">
        <v>0</v>
      </c>
      <c r="J26" s="43">
        <v>0</v>
      </c>
      <c r="K26" s="43">
        <v>0</v>
      </c>
      <c r="L26" s="43">
        <v>0</v>
      </c>
      <c r="M26" s="43"/>
      <c r="N26" s="43">
        <v>0</v>
      </c>
      <c r="O26" s="43">
        <v>0</v>
      </c>
      <c r="P26" s="43">
        <v>0</v>
      </c>
      <c r="Q26" s="43">
        <v>0</v>
      </c>
      <c r="R26" s="43"/>
      <c r="S26" s="43">
        <v>0</v>
      </c>
      <c r="T26" s="43">
        <v>0</v>
      </c>
      <c r="U26" s="43">
        <v>0</v>
      </c>
      <c r="V26" s="43">
        <v>0</v>
      </c>
      <c r="W26" s="64" t="s">
        <v>50</v>
      </c>
      <c r="X26" s="64"/>
      <c r="Y26" s="47"/>
      <c r="Z26" s="46"/>
    </row>
    <row r="27" spans="1:29" s="10" customFormat="1">
      <c r="A27" s="17" t="s">
        <v>51</v>
      </c>
      <c r="B27" s="44"/>
      <c r="C27" s="44"/>
      <c r="D27" s="44">
        <v>341.553</v>
      </c>
      <c r="E27" s="44">
        <v>402.85599999999999</v>
      </c>
      <c r="F27" s="44">
        <v>353.59000000000003</v>
      </c>
      <c r="G27" s="44">
        <v>385.99099999999999</v>
      </c>
      <c r="H27" s="44"/>
      <c r="I27" s="44">
        <v>443.90100000000001</v>
      </c>
      <c r="J27" s="44">
        <v>403.66899999999998</v>
      </c>
      <c r="K27" s="44">
        <v>450.98899999999998</v>
      </c>
      <c r="L27" s="44">
        <v>358.89993364000003</v>
      </c>
      <c r="M27" s="44"/>
      <c r="N27" s="44">
        <v>447.68993364000005</v>
      </c>
      <c r="O27" s="44">
        <v>493.02093364000001</v>
      </c>
      <c r="P27" s="44">
        <v>527.24793363999993</v>
      </c>
      <c r="Q27" s="44">
        <v>539.54961920000005</v>
      </c>
      <c r="R27" s="44"/>
      <c r="S27" s="44">
        <v>370.57861919999993</v>
      </c>
      <c r="T27" s="44">
        <v>475.85943503999999</v>
      </c>
      <c r="U27" s="44">
        <v>460.05226108000005</v>
      </c>
      <c r="V27" s="44">
        <v>493.49736366999997</v>
      </c>
      <c r="W27" s="64"/>
      <c r="X27" s="64"/>
      <c r="Y27" s="4" t="s">
        <v>52</v>
      </c>
      <c r="Z27" s="48"/>
      <c r="AA27" s="49"/>
      <c r="AB27" s="49"/>
      <c r="AC27" s="50"/>
    </row>
    <row r="28" spans="1:29" s="10" customFormat="1">
      <c r="A28" s="17" t="s">
        <v>53</v>
      </c>
      <c r="B28" s="44"/>
      <c r="C28" s="44"/>
      <c r="D28" s="44">
        <v>0</v>
      </c>
      <c r="E28" s="44">
        <v>0</v>
      </c>
      <c r="F28" s="44">
        <v>0</v>
      </c>
      <c r="G28" s="44">
        <v>0</v>
      </c>
      <c r="H28" s="44"/>
      <c r="I28" s="44">
        <v>0</v>
      </c>
      <c r="J28" s="44">
        <v>0</v>
      </c>
      <c r="K28" s="44">
        <v>0</v>
      </c>
      <c r="L28" s="44">
        <v>0</v>
      </c>
      <c r="M28" s="44"/>
      <c r="N28" s="44">
        <v>0</v>
      </c>
      <c r="O28" s="44">
        <v>0</v>
      </c>
      <c r="P28" s="44">
        <v>0</v>
      </c>
      <c r="Q28" s="44">
        <v>0</v>
      </c>
      <c r="R28" s="44"/>
      <c r="S28" s="44">
        <v>0</v>
      </c>
      <c r="T28" s="44">
        <v>0</v>
      </c>
      <c r="U28" s="44">
        <v>0</v>
      </c>
      <c r="V28" s="44">
        <v>0</v>
      </c>
      <c r="W28" s="64"/>
      <c r="X28" s="64"/>
      <c r="Y28" s="51" t="s">
        <v>54</v>
      </c>
      <c r="Z28" s="52"/>
      <c r="AA28" s="53"/>
      <c r="AB28" s="53"/>
      <c r="AC28" s="50"/>
    </row>
    <row r="29" spans="1:29" s="10" customFormat="1">
      <c r="A29" s="17" t="s">
        <v>55</v>
      </c>
      <c r="B29" s="44"/>
      <c r="C29" s="44"/>
      <c r="D29" s="44">
        <v>0</v>
      </c>
      <c r="E29" s="44">
        <v>0</v>
      </c>
      <c r="F29" s="44">
        <v>0</v>
      </c>
      <c r="G29" s="44">
        <v>0</v>
      </c>
      <c r="H29" s="44"/>
      <c r="I29" s="44">
        <v>0</v>
      </c>
      <c r="J29" s="44">
        <v>0</v>
      </c>
      <c r="K29" s="44">
        <v>0</v>
      </c>
      <c r="L29" s="44">
        <v>0</v>
      </c>
      <c r="M29" s="44"/>
      <c r="N29" s="44">
        <v>0</v>
      </c>
      <c r="O29" s="44">
        <v>0</v>
      </c>
      <c r="P29" s="44">
        <v>0</v>
      </c>
      <c r="Q29" s="44">
        <v>0</v>
      </c>
      <c r="R29" s="44"/>
      <c r="S29" s="44">
        <v>0</v>
      </c>
      <c r="T29" s="44">
        <v>0</v>
      </c>
      <c r="U29" s="44">
        <v>0</v>
      </c>
      <c r="V29" s="44">
        <v>0</v>
      </c>
      <c r="W29" s="64"/>
      <c r="X29" s="64"/>
      <c r="Y29" s="51" t="s">
        <v>56</v>
      </c>
      <c r="Z29" s="52"/>
      <c r="AA29" s="53"/>
      <c r="AB29" s="53"/>
      <c r="AC29" s="50"/>
    </row>
    <row r="30" spans="1:29" s="10" customFormat="1">
      <c r="A30" s="17" t="s">
        <v>57</v>
      </c>
      <c r="B30" s="44"/>
      <c r="C30" s="44"/>
      <c r="D30" s="44">
        <v>8322.1112380899995</v>
      </c>
      <c r="E30" s="44">
        <v>8503.582714619999</v>
      </c>
      <c r="F30" s="44">
        <v>8619.7000622233991</v>
      </c>
      <c r="G30" s="44">
        <v>8898.8896651400009</v>
      </c>
      <c r="H30" s="44"/>
      <c r="I30" s="44">
        <v>9031.5300291200001</v>
      </c>
      <c r="J30" s="44">
        <v>9215.7635750400004</v>
      </c>
      <c r="K30" s="44">
        <v>9743.7415643900003</v>
      </c>
      <c r="L30" s="44">
        <v>9733.8994098199983</v>
      </c>
      <c r="M30" s="44"/>
      <c r="N30" s="44">
        <v>10167.36314591</v>
      </c>
      <c r="O30" s="44">
        <v>10294.382308369999</v>
      </c>
      <c r="P30" s="44">
        <v>10855.292772040002</v>
      </c>
      <c r="Q30" s="44">
        <v>11390.58593979</v>
      </c>
      <c r="R30" s="44"/>
      <c r="S30" s="44">
        <v>11342.91175474</v>
      </c>
      <c r="T30" s="44">
        <v>11598.079719020001</v>
      </c>
      <c r="U30" s="44">
        <v>11590.227266670001</v>
      </c>
      <c r="V30" s="44">
        <v>12336.583751569999</v>
      </c>
      <c r="W30" s="64"/>
      <c r="X30" s="64"/>
      <c r="Y30" s="5" t="s">
        <v>58</v>
      </c>
      <c r="Z30" s="13"/>
    </row>
    <row r="31" spans="1:29" s="10" customFormat="1">
      <c r="A31" s="20" t="s">
        <v>59</v>
      </c>
      <c r="B31" s="54"/>
      <c r="C31" s="54"/>
      <c r="D31" s="54">
        <v>1887.4510341371686</v>
      </c>
      <c r="E31" s="54">
        <v>2056.346175715842</v>
      </c>
      <c r="F31" s="54">
        <v>2230.6840292660818</v>
      </c>
      <c r="G31" s="54">
        <v>1855.7473659732339</v>
      </c>
      <c r="H31" s="54"/>
      <c r="I31" s="54">
        <v>1623.3823369856159</v>
      </c>
      <c r="J31" s="54">
        <v>1925.0128684300032</v>
      </c>
      <c r="K31" s="54">
        <v>1162.7500158311973</v>
      </c>
      <c r="L31" s="54">
        <v>1706.4920265909291</v>
      </c>
      <c r="M31" s="54"/>
      <c r="N31" s="54">
        <v>1631.1005665340751</v>
      </c>
      <c r="O31" s="54">
        <v>1792.4078819311771</v>
      </c>
      <c r="P31" s="54">
        <v>1768.776825560343</v>
      </c>
      <c r="Q31" s="54">
        <v>1460.9387697478453</v>
      </c>
      <c r="R31" s="54"/>
      <c r="S31" s="54">
        <v>1955.9883223511931</v>
      </c>
      <c r="T31" s="54">
        <v>2199.5357829035079</v>
      </c>
      <c r="U31" s="54">
        <v>2293.9933655727291</v>
      </c>
      <c r="V31" s="54">
        <v>1989.092589130566</v>
      </c>
      <c r="W31" s="85"/>
      <c r="X31" s="85"/>
      <c r="Y31" s="7" t="s">
        <v>60</v>
      </c>
      <c r="Z31" s="13"/>
    </row>
    <row r="32" spans="1:29" s="10" customFormat="1" ht="19.5">
      <c r="A32" s="21" t="s">
        <v>61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86"/>
      <c r="X32" s="87"/>
      <c r="Y32" s="8" t="s">
        <v>62</v>
      </c>
      <c r="Z32" s="13"/>
    </row>
    <row r="33" spans="1:26" s="10" customFormat="1">
      <c r="A33" s="17" t="s">
        <v>63</v>
      </c>
      <c r="B33" s="44"/>
      <c r="C33" s="44"/>
      <c r="D33" s="44">
        <v>66.315460192585562</v>
      </c>
      <c r="E33" s="44">
        <v>65.038117030045157</v>
      </c>
      <c r="F33" s="44">
        <v>46.383998044841988</v>
      </c>
      <c r="G33" s="44">
        <v>42.294941886176886</v>
      </c>
      <c r="H33" s="44"/>
      <c r="I33" s="44">
        <f t="shared" ref="I33:L37" si="0">+(I8/D8-1)*100</f>
        <v>1.1203237020863455</v>
      </c>
      <c r="J33" s="44">
        <f t="shared" si="0"/>
        <v>20.50052883562714</v>
      </c>
      <c r="K33" s="44">
        <f t="shared" si="0"/>
        <v>17.48096172961251</v>
      </c>
      <c r="L33" s="44">
        <f t="shared" si="0"/>
        <v>-1.7773998207522235</v>
      </c>
      <c r="M33" s="44"/>
      <c r="N33" s="44">
        <f t="shared" ref="N33:Q37" si="1">+(N8/I8-1)*100</f>
        <v>2.2429466259832553</v>
      </c>
      <c r="O33" s="44">
        <f t="shared" si="1"/>
        <v>-15.786246394457415</v>
      </c>
      <c r="P33" s="44">
        <f t="shared" si="1"/>
        <v>-11.574321153492606</v>
      </c>
      <c r="Q33" s="44">
        <f t="shared" si="1"/>
        <v>-36.012636165701565</v>
      </c>
      <c r="R33" s="44"/>
      <c r="S33" s="44">
        <f t="shared" ref="S33:V37" si="2">+(S8/N8-1)*100</f>
        <v>-40.705368665401522</v>
      </c>
      <c r="T33" s="44">
        <f t="shared" si="2"/>
        <v>-11.123666944487232</v>
      </c>
      <c r="U33" s="44">
        <f t="shared" si="2"/>
        <v>-25.801517758972636</v>
      </c>
      <c r="V33" s="44">
        <f t="shared" si="2"/>
        <v>30.793721781744686</v>
      </c>
      <c r="W33" s="79"/>
      <c r="X33" s="79"/>
      <c r="Y33" s="39" t="s">
        <v>14</v>
      </c>
      <c r="Z33" s="46"/>
    </row>
    <row r="34" spans="1:26" s="10" customFormat="1">
      <c r="A34" s="19" t="s">
        <v>64</v>
      </c>
      <c r="B34" s="43"/>
      <c r="C34" s="43"/>
      <c r="D34" s="43">
        <v>52.298055850743388</v>
      </c>
      <c r="E34" s="43">
        <v>42.752920144048815</v>
      </c>
      <c r="F34" s="43">
        <v>55.195463133044953</v>
      </c>
      <c r="G34" s="43">
        <v>71.627190005808814</v>
      </c>
      <c r="H34" s="43"/>
      <c r="I34" s="43">
        <f t="shared" si="0"/>
        <v>31.453136755851794</v>
      </c>
      <c r="J34" s="43">
        <f t="shared" si="0"/>
        <v>52.14337884449305</v>
      </c>
      <c r="K34" s="43">
        <f t="shared" si="0"/>
        <v>21.805287741456112</v>
      </c>
      <c r="L34" s="43">
        <f t="shared" si="0"/>
        <v>-9.6895187886489769</v>
      </c>
      <c r="M34" s="43"/>
      <c r="N34" s="43">
        <f t="shared" si="1"/>
        <v>1.3569156123971693</v>
      </c>
      <c r="O34" s="43">
        <f t="shared" si="1"/>
        <v>-13.814559104858247</v>
      </c>
      <c r="P34" s="43">
        <f t="shared" si="1"/>
        <v>-14.561849846501962</v>
      </c>
      <c r="Q34" s="43">
        <f t="shared" si="1"/>
        <v>-36.218578118251699</v>
      </c>
      <c r="R34" s="43"/>
      <c r="S34" s="43">
        <f t="shared" si="2"/>
        <v>-40.70689618469293</v>
      </c>
      <c r="T34" s="43">
        <f t="shared" si="2"/>
        <v>-3.8093688641849588</v>
      </c>
      <c r="U34" s="43">
        <f t="shared" si="2"/>
        <v>-3.9135781453025542</v>
      </c>
      <c r="V34" s="43">
        <f t="shared" si="2"/>
        <v>63.952056686359505</v>
      </c>
      <c r="W34" s="80"/>
      <c r="X34" s="80" t="s">
        <v>16</v>
      </c>
      <c r="Y34" s="89"/>
      <c r="Z34" s="46"/>
    </row>
    <row r="35" spans="1:26" s="10" customFormat="1">
      <c r="A35" s="19" t="s">
        <v>65</v>
      </c>
      <c r="B35" s="43"/>
      <c r="C35" s="43"/>
      <c r="D35" s="43">
        <v>85.825494403962594</v>
      </c>
      <c r="E35" s="43">
        <v>107.62853092640276</v>
      </c>
      <c r="F35" s="43">
        <v>30.539510865808815</v>
      </c>
      <c r="G35" s="43">
        <v>-2.1208254661363668</v>
      </c>
      <c r="H35" s="43"/>
      <c r="I35" s="43">
        <f t="shared" si="0"/>
        <v>-33.480917581072156</v>
      </c>
      <c r="J35" s="43">
        <f t="shared" si="0"/>
        <v>-21.077913367763468</v>
      </c>
      <c r="K35" s="43">
        <f t="shared" si="0"/>
        <v>8.2364357043505301</v>
      </c>
      <c r="L35" s="43">
        <f t="shared" si="0"/>
        <v>19.360420087408727</v>
      </c>
      <c r="M35" s="43"/>
      <c r="N35" s="43">
        <f t="shared" si="1"/>
        <v>4.2402894706276895</v>
      </c>
      <c r="O35" s="43">
        <f t="shared" si="1"/>
        <v>-20.780667484623905</v>
      </c>
      <c r="P35" s="43">
        <f t="shared" si="1"/>
        <v>-4.3869352052708921</v>
      </c>
      <c r="Q35" s="43">
        <f t="shared" si="1"/>
        <v>-35.596351869063938</v>
      </c>
      <c r="R35" s="43"/>
      <c r="S35" s="43">
        <f t="shared" si="2"/>
        <v>-40.702020490199487</v>
      </c>
      <c r="T35" s="43">
        <f t="shared" si="2"/>
        <v>-31.280509479476713</v>
      </c>
      <c r="U35" s="43">
        <f t="shared" si="2"/>
        <v>-72.855714113710974</v>
      </c>
      <c r="V35" s="43">
        <f t="shared" si="2"/>
        <v>-35.583893293373791</v>
      </c>
      <c r="W35" s="64"/>
      <c r="X35" s="80" t="s">
        <v>18</v>
      </c>
      <c r="Y35" s="89"/>
      <c r="Z35" s="46"/>
    </row>
    <row r="36" spans="1:26" s="10" customFormat="1">
      <c r="A36" s="17" t="s">
        <v>19</v>
      </c>
      <c r="B36" s="44"/>
      <c r="C36" s="44"/>
      <c r="D36" s="44">
        <v>6.3215496712241581</v>
      </c>
      <c r="E36" s="44">
        <v>4.1294605018344033</v>
      </c>
      <c r="F36" s="44">
        <v>5.800883572924298</v>
      </c>
      <c r="G36" s="44">
        <v>4.0892838632985651</v>
      </c>
      <c r="H36" s="44"/>
      <c r="I36" s="44">
        <f t="shared" si="0"/>
        <v>1.0247644536105938</v>
      </c>
      <c r="J36" s="44">
        <f t="shared" si="0"/>
        <v>2.1688422336596513</v>
      </c>
      <c r="K36" s="44">
        <f t="shared" si="0"/>
        <v>8.2837023742990965</v>
      </c>
      <c r="L36" s="44">
        <f t="shared" si="0"/>
        <v>16.175140927586607</v>
      </c>
      <c r="M36" s="44"/>
      <c r="N36" s="44">
        <f t="shared" si="1"/>
        <v>20.185637537572987</v>
      </c>
      <c r="O36" s="44">
        <f t="shared" si="1"/>
        <v>22.753176399129217</v>
      </c>
      <c r="P36" s="44">
        <f t="shared" si="1"/>
        <v>18.10866636597417</v>
      </c>
      <c r="Q36" s="44">
        <f t="shared" si="1"/>
        <v>19.886600853169114</v>
      </c>
      <c r="R36" s="44"/>
      <c r="S36" s="44">
        <f t="shared" si="2"/>
        <v>17.977558242551915</v>
      </c>
      <c r="T36" s="44">
        <f t="shared" si="2"/>
        <v>9.6053216688666065</v>
      </c>
      <c r="U36" s="44">
        <f t="shared" si="2"/>
        <v>6.941764531097161</v>
      </c>
      <c r="V36" s="44">
        <f t="shared" si="2"/>
        <v>1.6031757054634888</v>
      </c>
      <c r="W36" s="80"/>
      <c r="X36" s="80"/>
      <c r="Y36" s="4" t="s">
        <v>20</v>
      </c>
      <c r="Z36" s="46"/>
    </row>
    <row r="37" spans="1:26" s="10" customFormat="1">
      <c r="A37" s="19" t="s">
        <v>21</v>
      </c>
      <c r="B37" s="43"/>
      <c r="C37" s="43"/>
      <c r="D37" s="43">
        <v>20.176503703321714</v>
      </c>
      <c r="E37" s="43">
        <v>11.785194119735198</v>
      </c>
      <c r="F37" s="43">
        <v>6.1808229175497331</v>
      </c>
      <c r="G37" s="43">
        <v>7.212824450836397</v>
      </c>
      <c r="H37" s="43"/>
      <c r="I37" s="43">
        <f t="shared" si="0"/>
        <v>4.5234900479667051</v>
      </c>
      <c r="J37" s="43">
        <f t="shared" si="0"/>
        <v>6.0083105697666728</v>
      </c>
      <c r="K37" s="43">
        <f t="shared" si="0"/>
        <v>18.259308754045158</v>
      </c>
      <c r="L37" s="43">
        <f t="shared" si="0"/>
        <v>24.432173477740449</v>
      </c>
      <c r="M37" s="43"/>
      <c r="N37" s="43">
        <f t="shared" si="1"/>
        <v>28.546637879416291</v>
      </c>
      <c r="O37" s="43">
        <f t="shared" si="1"/>
        <v>27.394879023137776</v>
      </c>
      <c r="P37" s="43">
        <f t="shared" si="1"/>
        <v>28.061934706312243</v>
      </c>
      <c r="Q37" s="43">
        <f t="shared" si="1"/>
        <v>17.701900091917764</v>
      </c>
      <c r="R37" s="43"/>
      <c r="S37" s="43">
        <f t="shared" si="2"/>
        <v>11.288770055856023</v>
      </c>
      <c r="T37" s="43">
        <f t="shared" si="2"/>
        <v>-8.103359478098648</v>
      </c>
      <c r="U37" s="43">
        <f t="shared" si="2"/>
        <v>-14.908773367870332</v>
      </c>
      <c r="V37" s="43">
        <f t="shared" si="2"/>
        <v>-13.168402903872135</v>
      </c>
      <c r="W37" s="64"/>
      <c r="X37" s="80" t="s">
        <v>22</v>
      </c>
      <c r="Y37" s="89"/>
      <c r="Z37" s="46"/>
    </row>
    <row r="38" spans="1:26" s="10" customFormat="1">
      <c r="A38" s="19" t="s">
        <v>27</v>
      </c>
      <c r="B38" s="43"/>
      <c r="C38" s="43"/>
      <c r="D38" s="43">
        <v>0.2247760921039399</v>
      </c>
      <c r="E38" s="43">
        <v>0.22760597305264696</v>
      </c>
      <c r="F38" s="43">
        <v>5.6104854810299587</v>
      </c>
      <c r="G38" s="43">
        <v>2.4354117590254631</v>
      </c>
      <c r="H38" s="43"/>
      <c r="I38" s="43">
        <f t="shared" ref="I38" si="3">+(I15/D15-1)*100</f>
        <v>-0.82131049795106659</v>
      </c>
      <c r="J38" s="43">
        <f t="shared" ref="J38" si="4">+(J15/E15-1)*100</f>
        <v>-1.3647847988018658E-2</v>
      </c>
      <c r="K38" s="43">
        <f t="shared" ref="K38" si="5">+(K15/F15-1)*100</f>
        <v>3.2576538802319588</v>
      </c>
      <c r="L38" s="43">
        <f t="shared" ref="L38" si="6">+(L15/G15-1)*100</f>
        <v>11.645764438324345</v>
      </c>
      <c r="M38" s="43"/>
      <c r="N38" s="43">
        <f t="shared" ref="N38" si="7">+(N15/I15-1)*100</f>
        <v>15.536276993158694</v>
      </c>
      <c r="O38" s="43">
        <f t="shared" ref="O38" si="8">+(O15/J15-1)*100</f>
        <v>19.955756299184824</v>
      </c>
      <c r="P38" s="43">
        <f t="shared" ref="P38" si="9">+(P15/K15-1)*100</f>
        <v>12.365304688247324</v>
      </c>
      <c r="Q38" s="43">
        <f t="shared" ref="Q38" si="10">+(Q15/L15-1)*100</f>
        <v>21.222263621757143</v>
      </c>
      <c r="R38" s="43"/>
      <c r="S38" s="43">
        <f t="shared" ref="S38" si="11">+(S15/N15-1)*100</f>
        <v>22.115885021612769</v>
      </c>
      <c r="T38" s="43">
        <f t="shared" ref="T38" si="12">+(T15/O15-1)*100</f>
        <v>20.939693959109086</v>
      </c>
      <c r="U38" s="43">
        <f t="shared" ref="U38" si="13">+(U15/P15-1)*100</f>
        <v>21.311554176966929</v>
      </c>
      <c r="V38" s="43">
        <f t="shared" ref="V38" si="14">+(V15/Q15-1)*100</f>
        <v>10.371828107851</v>
      </c>
      <c r="W38" s="64"/>
      <c r="X38" s="80" t="s">
        <v>28</v>
      </c>
      <c r="Y38" s="42"/>
      <c r="Z38" s="46"/>
    </row>
    <row r="39" spans="1:26" s="10" customFormat="1">
      <c r="A39" s="19" t="s">
        <v>66</v>
      </c>
      <c r="B39" s="43"/>
      <c r="C39" s="43"/>
      <c r="D39" s="43">
        <v>-2.9560258493411706</v>
      </c>
      <c r="E39" s="43">
        <v>-0.84869369464000144</v>
      </c>
      <c r="F39" s="43">
        <v>4.2127299078863256</v>
      </c>
      <c r="G39" s="43">
        <v>3.1351024206878186</v>
      </c>
      <c r="H39" s="43"/>
      <c r="I39" s="43">
        <f t="shared" ref="I39:I41" si="15">+(I18/D18-1)*100</f>
        <v>1.5275432972762237</v>
      </c>
      <c r="J39" s="43">
        <f t="shared" ref="J39:J41" si="16">+(J18/E18-1)*100</f>
        <v>0.79355362407602659</v>
      </c>
      <c r="K39" s="43">
        <f t="shared" ref="K39:K41" si="17">+(K18/F18-1)*100</f>
        <v>3.0311333351639602</v>
      </c>
      <c r="L39" s="43">
        <f t="shared" ref="L39:L41" si="18">+(L18/G18-1)*100</f>
        <v>11.740443145431922</v>
      </c>
      <c r="M39" s="43"/>
      <c r="N39" s="43">
        <f t="shared" ref="N39:N41" si="19">+(N18/I18-1)*100</f>
        <v>16.412439258226421</v>
      </c>
      <c r="O39" s="43">
        <f t="shared" ref="O39:O41" si="20">+(O18/J18-1)*100</f>
        <v>20.050287992907734</v>
      </c>
      <c r="P39" s="43">
        <f t="shared" ref="P39:P41" si="21">+(P18/K18-1)*100</f>
        <v>14.672751422028508</v>
      </c>
      <c r="Q39" s="43">
        <f t="shared" ref="Q39:Q41" si="22">+(Q18/L18-1)*100</f>
        <v>10.501171995521897</v>
      </c>
      <c r="R39" s="43"/>
      <c r="S39" s="43">
        <f t="shared" ref="S39:S41" si="23">+(S18/N18-1)*100</f>
        <v>11.666309137552844</v>
      </c>
      <c r="T39" s="43">
        <f t="shared" ref="T39:T41" si="24">+(T18/O18-1)*100</f>
        <v>12.01916858323604</v>
      </c>
      <c r="U39" s="43">
        <f t="shared" ref="U39:U41" si="25">+(U18/P18-1)*100</f>
        <v>12.868813052187345</v>
      </c>
      <c r="V39" s="43">
        <f t="shared" ref="V39:V41" si="26">+(V18/Q18-1)*100</f>
        <v>14.593161706347235</v>
      </c>
      <c r="W39" s="80" t="s">
        <v>67</v>
      </c>
      <c r="X39" s="80"/>
      <c r="Y39" s="89"/>
      <c r="Z39" s="46"/>
    </row>
    <row r="40" spans="1:26" s="10" customFormat="1">
      <c r="A40" s="17" t="s">
        <v>35</v>
      </c>
      <c r="B40" s="44"/>
      <c r="C40" s="44"/>
      <c r="D40" s="44">
        <v>25.880799618735949</v>
      </c>
      <c r="E40" s="44">
        <v>19.45062204026522</v>
      </c>
      <c r="F40" s="44">
        <v>14.974638072774237</v>
      </c>
      <c r="G40" s="44">
        <v>14.71703031385192</v>
      </c>
      <c r="H40" s="44"/>
      <c r="I40" s="44">
        <f t="shared" si="15"/>
        <v>-0.47439120673823387</v>
      </c>
      <c r="J40" s="44">
        <f t="shared" si="16"/>
        <v>9.281448019736672</v>
      </c>
      <c r="K40" s="44">
        <f t="shared" si="17"/>
        <v>15.239313373767693</v>
      </c>
      <c r="L40" s="44">
        <f t="shared" si="18"/>
        <v>12.114798598411802</v>
      </c>
      <c r="M40" s="44"/>
      <c r="N40" s="44">
        <f t="shared" si="19"/>
        <v>15.238790297625737</v>
      </c>
      <c r="O40" s="44">
        <f t="shared" si="20"/>
        <v>8.7235162555930668</v>
      </c>
      <c r="P40" s="44">
        <f t="shared" si="21"/>
        <v>5.8945405505567372</v>
      </c>
      <c r="Q40" s="44">
        <f t="shared" si="22"/>
        <v>-0.18248003645965349</v>
      </c>
      <c r="R40" s="44"/>
      <c r="S40" s="44">
        <f t="shared" si="23"/>
        <v>-5.1946989865395254</v>
      </c>
      <c r="T40" s="44">
        <f t="shared" si="24"/>
        <v>-2.6910202270979955E-2</v>
      </c>
      <c r="U40" s="44">
        <f t="shared" si="25"/>
        <v>-5.9982959072022108</v>
      </c>
      <c r="V40" s="44">
        <f t="shared" si="26"/>
        <v>5.1631393366734724</v>
      </c>
      <c r="W40" s="64"/>
      <c r="X40" s="64"/>
      <c r="Y40" s="4" t="s">
        <v>36</v>
      </c>
      <c r="Z40" s="13"/>
    </row>
    <row r="41" spans="1:26" s="10" customFormat="1">
      <c r="A41" s="19" t="s">
        <v>37</v>
      </c>
      <c r="B41" s="43"/>
      <c r="C41" s="43"/>
      <c r="D41" s="43">
        <v>17.779432713449349</v>
      </c>
      <c r="E41" s="43">
        <v>18.394442182957384</v>
      </c>
      <c r="F41" s="43">
        <v>9.9004982778961192</v>
      </c>
      <c r="G41" s="43">
        <v>7.4969303449370139</v>
      </c>
      <c r="H41" s="43"/>
      <c r="I41" s="43">
        <f t="shared" si="15"/>
        <v>8.5859039963487547</v>
      </c>
      <c r="J41" s="43">
        <f t="shared" si="16"/>
        <v>9.1309049651367111</v>
      </c>
      <c r="K41" s="43">
        <f t="shared" si="17"/>
        <v>15.197978471114236</v>
      </c>
      <c r="L41" s="43">
        <f t="shared" si="18"/>
        <v>18.744331265780257</v>
      </c>
      <c r="M41" s="43"/>
      <c r="N41" s="43">
        <f t="shared" si="19"/>
        <v>17.119130474709145</v>
      </c>
      <c r="O41" s="43">
        <f t="shared" si="20"/>
        <v>8.7736760097364197</v>
      </c>
      <c r="P41" s="43">
        <f t="shared" si="21"/>
        <v>8.7584861291650551</v>
      </c>
      <c r="Q41" s="43">
        <f t="shared" si="22"/>
        <v>0.97914573760686796</v>
      </c>
      <c r="R41" s="43"/>
      <c r="S41" s="43">
        <f t="shared" si="23"/>
        <v>-4.5969278811305303</v>
      </c>
      <c r="T41" s="43">
        <f t="shared" si="24"/>
        <v>3.2252829791201698</v>
      </c>
      <c r="U41" s="43">
        <f t="shared" si="25"/>
        <v>-1.2574598560311401</v>
      </c>
      <c r="V41" s="43">
        <f t="shared" si="26"/>
        <v>7.4457515636704663</v>
      </c>
      <c r="W41" s="64"/>
      <c r="X41" s="64" t="s">
        <v>38</v>
      </c>
      <c r="Y41" s="89"/>
      <c r="Z41" s="13"/>
    </row>
    <row r="42" spans="1:26" s="10" customFormat="1">
      <c r="A42" s="22" t="s">
        <v>68</v>
      </c>
      <c r="B42" s="56"/>
      <c r="C42" s="56"/>
      <c r="D42" s="56">
        <v>31.514641960610557</v>
      </c>
      <c r="E42" s="56">
        <v>20.283295931084844</v>
      </c>
      <c r="F42" s="56">
        <v>19.064298169763006</v>
      </c>
      <c r="G42" s="56">
        <v>20.388099198183408</v>
      </c>
      <c r="H42" s="56"/>
      <c r="I42" s="56">
        <f t="shared" ref="I42" si="27">+(I23/D23-1)*100</f>
        <v>-6.117053867493782</v>
      </c>
      <c r="J42" s="56">
        <f t="shared" ref="J42" si="28">+(J23/E23-1)*100</f>
        <v>9.3982697908449921</v>
      </c>
      <c r="K42" s="56">
        <f t="shared" ref="K42" si="29">+(K23/F23-1)*100</f>
        <v>15.270064413918716</v>
      </c>
      <c r="L42" s="56">
        <f t="shared" ref="L42" si="30">+(L23/G23-1)*100</f>
        <v>7.4503697771139965</v>
      </c>
      <c r="M42" s="56"/>
      <c r="N42" s="56">
        <f t="shared" ref="N42" si="31">+(N23/I23-1)*100</f>
        <v>13.884334281794874</v>
      </c>
      <c r="O42" s="56">
        <f t="shared" ref="O42" si="32">+(O23/J23-1)*100</f>
        <v>8.6846872950397049</v>
      </c>
      <c r="P42" s="56">
        <f t="shared" ref="P42" si="33">+(P23/K23-1)*100</f>
        <v>3.7652448632204072</v>
      </c>
      <c r="Q42" s="56">
        <f t="shared" ref="Q42" si="34">+(Q23/L23-1)*100</f>
        <v>-1.0856859375400818</v>
      </c>
      <c r="R42" s="56"/>
      <c r="S42" s="56">
        <f t="shared" ref="S42" si="35">+(S23/N23-1)*100</f>
        <v>-5.6375190107733619</v>
      </c>
      <c r="T42" s="56">
        <f t="shared" ref="T42" si="36">+(T23/O23-1)*100</f>
        <v>-2.5465133722810673</v>
      </c>
      <c r="U42" s="56">
        <f t="shared" ref="U42" si="37">+(U23/P23-1)*100</f>
        <v>-9.6926403843355491</v>
      </c>
      <c r="V42" s="56">
        <f t="shared" ref="V42" si="38">+(V23/Q23-1)*100</f>
        <v>3.3512769273991383</v>
      </c>
      <c r="W42" s="85"/>
      <c r="X42" s="76" t="s">
        <v>44</v>
      </c>
      <c r="Y42" s="6"/>
      <c r="Z42" s="13"/>
    </row>
    <row r="43" spans="1:26" s="10" customFormat="1">
      <c r="A43" s="57" t="s">
        <v>69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88"/>
      <c r="X43" s="81"/>
      <c r="Y43" s="58" t="s">
        <v>70</v>
      </c>
      <c r="Z43" s="13"/>
    </row>
    <row r="44" spans="1:26" s="10" customFormat="1">
      <c r="A44" s="59" t="s">
        <v>71</v>
      </c>
      <c r="B44" s="56"/>
      <c r="C44" s="56"/>
      <c r="D44" s="56">
        <v>55.561083942759716</v>
      </c>
      <c r="E44" s="56">
        <v>51.528608323559922</v>
      </c>
      <c r="F44" s="56">
        <v>51.842876112224225</v>
      </c>
      <c r="G44" s="56">
        <v>53.767350577925598</v>
      </c>
      <c r="H44" s="56"/>
      <c r="I44" s="56">
        <v>52.571723571546357</v>
      </c>
      <c r="J44" s="56">
        <v>50.998634658592501</v>
      </c>
      <c r="K44" s="56">
        <v>51.851849087804744</v>
      </c>
      <c r="L44" s="56">
        <v>51.280423982021958</v>
      </c>
      <c r="M44" s="56"/>
      <c r="N44" s="56">
        <v>51.771070337959635</v>
      </c>
      <c r="O44" s="56">
        <v>49.999164310304828</v>
      </c>
      <c r="P44" s="56">
        <v>49.995628541700931</v>
      </c>
      <c r="Q44" s="56">
        <v>48.407097895087077</v>
      </c>
      <c r="R44" s="56"/>
      <c r="S44" s="56">
        <v>49.542304307261361</v>
      </c>
      <c r="T44" s="56">
        <v>48.654927398568695</v>
      </c>
      <c r="U44" s="56">
        <v>48.121151060723463</v>
      </c>
      <c r="V44" s="56">
        <v>48.740826390796038</v>
      </c>
      <c r="W44" s="85"/>
      <c r="X44" s="76" t="s">
        <v>72</v>
      </c>
      <c r="Y44" s="6"/>
      <c r="Z44" s="13"/>
    </row>
    <row r="45" spans="1:26" s="60" customFormat="1" ht="14.25" customHeight="1">
      <c r="A45" s="9" t="s">
        <v>80</v>
      </c>
      <c r="Y45" s="12" t="s">
        <v>79</v>
      </c>
      <c r="Z45" s="61"/>
    </row>
    <row r="46" spans="1:26" s="70" customFormat="1" ht="14.25" customHeight="1">
      <c r="A46" s="69" t="s">
        <v>82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97" t="s">
        <v>81</v>
      </c>
      <c r="X46" s="97"/>
      <c r="Y46" s="72" t="s">
        <v>73</v>
      </c>
    </row>
    <row r="47" spans="1:26" s="60" customFormat="1" ht="20.25" customHeight="1">
      <c r="A47" s="14" t="s">
        <v>74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 t="s">
        <v>75</v>
      </c>
      <c r="Y47" s="11"/>
      <c r="Z47" s="61"/>
    </row>
    <row r="48" spans="1:26" s="60" customFormat="1" ht="15.75" customHeight="1">
      <c r="A48" s="14" t="s">
        <v>76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3" t="s">
        <v>77</v>
      </c>
      <c r="Y48" s="11"/>
    </row>
    <row r="49" spans="1:28" s="60" customFormat="1" ht="12"/>
    <row r="50" spans="1:28" s="60" customFormat="1" ht="15">
      <c r="A50" s="62"/>
      <c r="Z50" s="61"/>
    </row>
    <row r="51" spans="1:28">
      <c r="X51" s="15"/>
      <c r="Y51" s="15"/>
      <c r="AB51" s="66"/>
    </row>
    <row r="74" spans="3:22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</row>
    <row r="75" spans="3:22"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</row>
    <row r="76" spans="3:22"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</row>
    <row r="77" spans="3:22"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</row>
    <row r="78" spans="3:22"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</row>
    <row r="79" spans="3:22"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</row>
    <row r="80" spans="3:22"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</row>
    <row r="81" spans="3:22"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 spans="3:22"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</row>
    <row r="83" spans="3:22"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spans="3:22"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 spans="3:22"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 spans="3:22"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 spans="3:22"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 spans="3:22"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  <row r="89" spans="3:22"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</row>
    <row r="90" spans="3:22"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</row>
    <row r="91" spans="3:22"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</row>
    <row r="92" spans="3:22"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3:22"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</row>
    <row r="94" spans="3:22"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</row>
    <row r="95" spans="3:22"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</row>
    <row r="96" spans="3:22"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3:22"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spans="3:22"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  <row r="99" spans="3:22"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3:22"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  <row r="101" spans="3:22"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</row>
    <row r="102" spans="3:22"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</sheetData>
  <mergeCells count="9">
    <mergeCell ref="W46:X46"/>
    <mergeCell ref="I5:L5"/>
    <mergeCell ref="N5:Q5"/>
    <mergeCell ref="A1:Y1"/>
    <mergeCell ref="A2:Y2"/>
    <mergeCell ref="A3:Y3"/>
    <mergeCell ref="A4:Y4"/>
    <mergeCell ref="D5:G5"/>
    <mergeCell ref="S5:V5"/>
  </mergeCells>
  <pageMargins left="0.21" right="0.17" top="0.21" bottom="0.16" header="0.18" footer="0.16"/>
  <pageSetup paperSize="9" scale="59" orientation="landscape" horizontalDpi="4294967295" verticalDpi="4294967295" r:id="rId1"/>
  <rowBreaks count="1" manualBreakCount="1">
    <brk id="48" max="20" man="1"/>
  </rowBreaks>
  <colBreaks count="2" manualBreakCount="2">
    <brk id="26" max="47" man="1"/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2018-04-17T04:13:09Z</cp:lastPrinted>
  <dcterms:created xsi:type="dcterms:W3CDTF">2013-04-01T04:26:10Z</dcterms:created>
  <dcterms:modified xsi:type="dcterms:W3CDTF">2018-04-17T04:13:51Z</dcterms:modified>
</cp:coreProperties>
</file>