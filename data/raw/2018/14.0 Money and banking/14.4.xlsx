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4" sheetId="1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'14.4'!$A$1:$Y$37</definedName>
  </definedNames>
  <calcPr calcId="162913"/>
</workbook>
</file>

<file path=xl/calcChain.xml><?xml version="1.0" encoding="utf-8"?>
<calcChain xmlns="http://schemas.openxmlformats.org/spreadsheetml/2006/main">
  <c r="V32" i="14" l="1"/>
  <c r="V31" i="14"/>
  <c r="U32" i="14"/>
  <c r="U31" i="14"/>
  <c r="T32" i="14"/>
  <c r="T31" i="14"/>
  <c r="S32" i="14"/>
  <c r="S31" i="14"/>
  <c r="Q32" i="14" l="1"/>
  <c r="P32" i="14"/>
  <c r="O32" i="14"/>
  <c r="N32" i="14"/>
  <c r="Q31" i="14"/>
  <c r="P31" i="14"/>
  <c r="O31" i="14"/>
  <c r="N31" i="14"/>
  <c r="L32" i="14" l="1"/>
  <c r="K32" i="14"/>
  <c r="J32" i="14"/>
  <c r="I32" i="14"/>
  <c r="L31" i="14"/>
  <c r="K31" i="14"/>
  <c r="J31" i="14"/>
  <c r="I31" i="14"/>
</calcChain>
</file>

<file path=xl/sharedStrings.xml><?xml version="1.0" encoding="utf-8"?>
<sst xmlns="http://schemas.openxmlformats.org/spreadsheetml/2006/main" count="86" uniqueCount="58">
  <si>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</si>
  <si>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</si>
  <si>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</si>
  <si>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</si>
  <si>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</si>
  <si>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</si>
  <si>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</si>
  <si>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</si>
  <si>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</si>
  <si>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</si>
  <si>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</si>
  <si>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</si>
  <si>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</si>
  <si>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</si>
  <si>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</si>
  <si>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</si>
  <si>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</si>
  <si>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</si>
  <si>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</si>
  <si>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</si>
  <si>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</si>
  <si>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</si>
  <si>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</si>
  <si>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</si>
  <si>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</si>
  <si>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</si>
  <si>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</si>
  <si>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</si>
  <si>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</si>
  <si>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</si>
  <si>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</si>
  <si>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</si>
  <si>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</si>
  <si>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</si>
  <si>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</si>
  <si>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</si>
  <si>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</si>
  <si>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</si>
  <si>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</si>
  <si>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</si>
  <si>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</si>
  <si>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</si>
  <si>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</si>
  <si>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</si>
  <si>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</si>
  <si>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</si>
  <si>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</si>
  <si>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</si>
  <si>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</si>
  <si>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</si>
  <si>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</si>
  <si>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</si>
  <si>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</si>
  <si>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</si>
  <si>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</si>
  <si>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</si>
  <si>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Table 14.4: OTHER FINANCIAL CORPORATIONS SURVEY, 2015 - 2017</t>
  </si>
  <si>
    <t>ތާވަލު 14.4: އެހެނިހެން މާލީދާއިރާގެ ކުންފުނިތަކުގެ ސަރވޭ 2015- 2017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</si>
</sst>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  <font>
      <b/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4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4" fillId="0" borderId="0" applyFill="0" applyBorder="0" applyAlignment="0"/>
    <xf numFmtId="0" fontId="32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0" fontId="33" fillId="14" borderId="15" applyNumberFormat="0" applyAlignment="0" applyProtection="0"/>
    <xf numFmtId="17" fontId="4" fillId="0" borderId="0" applyFont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17" applyNumberFormat="0" applyAlignment="0" applyProtection="0">
      <alignment horizontal="left" vertical="center"/>
    </xf>
    <xf numFmtId="0" fontId="38" fillId="0" borderId="14">
      <alignment horizontal="left" vertical="center"/>
    </xf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21" applyNumberFormat="0" applyBorder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0" fontId="42" fillId="11" borderId="15" applyNumberFormat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" fillId="10" borderId="23" applyNumberFormat="0" applyFon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6" fillId="14" borderId="24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2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36" fillId="0" borderId="25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64">
    <xf numFmtId="0" fontId="0" fillId="0" borderId="0" xfId="0"/>
    <xf numFmtId="0" fontId="15" fillId="21" borderId="0" xfId="0" applyFont="1" applyFill="1" applyBorder="1" applyAlignment="1"/>
    <xf numFmtId="164" fontId="17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1" fillId="21" borderId="0" xfId="2" applyNumberFormat="1" applyFont="1" applyFill="1" applyAlignment="1">
      <alignment vertical="center"/>
    </xf>
    <xf numFmtId="164" fontId="25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3" fillId="21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right"/>
    </xf>
    <xf numFmtId="167" fontId="18" fillId="21" borderId="0" xfId="1" applyNumberFormat="1" applyFont="1" applyFill="1" applyBorder="1" applyAlignment="1" applyProtection="1">
      <alignment vertical="center"/>
    </xf>
    <xf numFmtId="166" fontId="11" fillId="21" borderId="0" xfId="2" applyNumberFormat="1" applyFont="1" applyFill="1" applyBorder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22" fillId="21" borderId="0" xfId="2" applyNumberFormat="1" applyFont="1" applyFill="1" applyBorder="1" applyAlignment="1">
      <alignment vertical="center"/>
    </xf>
    <xf numFmtId="164" fontId="22" fillId="21" borderId="0" xfId="2" applyNumberFormat="1" applyFont="1" applyFill="1" applyAlignment="1">
      <alignment vertical="center" wrapText="1"/>
    </xf>
    <xf numFmtId="164" fontId="6" fillId="21" borderId="9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0" fillId="21" borderId="3" xfId="0" applyFill="1" applyBorder="1"/>
    <xf numFmtId="0" fontId="8" fillId="21" borderId="11" xfId="0" applyFont="1" applyFill="1" applyBorder="1"/>
    <xf numFmtId="0" fontId="7" fillId="21" borderId="11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3" xfId="1" applyFont="1" applyFill="1" applyBorder="1" applyAlignment="1">
      <alignment horizontal="right"/>
    </xf>
    <xf numFmtId="0" fontId="13" fillId="21" borderId="0" xfId="0" applyFont="1" applyFill="1" applyBorder="1"/>
    <xf numFmtId="0" fontId="15" fillId="21" borderId="0" xfId="0" applyFont="1" applyFill="1" applyBorder="1"/>
    <xf numFmtId="0" fontId="13" fillId="21" borderId="0" xfId="0" applyFont="1" applyFill="1" applyBorder="1" applyAlignment="1">
      <alignment horizontal="left"/>
    </xf>
    <xf numFmtId="166" fontId="13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0" fontId="9" fillId="21" borderId="13" xfId="0" applyFont="1" applyFill="1" applyBorder="1" applyAlignment="1">
      <alignment horizontal="right"/>
    </xf>
    <xf numFmtId="43" fontId="27" fillId="21" borderId="0" xfId="1" applyFont="1" applyFill="1" applyBorder="1"/>
    <xf numFmtId="0" fontId="13" fillId="21" borderId="1" xfId="0" applyFont="1" applyFill="1" applyBorder="1" applyAlignment="1">
      <alignment horizontal="left"/>
    </xf>
    <xf numFmtId="0" fontId="13" fillId="21" borderId="1" xfId="0" applyFont="1" applyFill="1" applyBorder="1"/>
    <xf numFmtId="0" fontId="27" fillId="21" borderId="0" xfId="0" applyFont="1" applyFill="1" applyBorder="1"/>
    <xf numFmtId="0" fontId="24" fillId="21" borderId="0" xfId="0" applyFont="1" applyFill="1" applyBorder="1"/>
    <xf numFmtId="0" fontId="50" fillId="21" borderId="3" xfId="0" applyFont="1" applyFill="1" applyBorder="1"/>
    <xf numFmtId="0" fontId="13" fillId="21" borderId="0" xfId="0" applyFont="1" applyFill="1" applyBorder="1" applyAlignment="1"/>
    <xf numFmtId="0" fontId="7" fillId="21" borderId="8" xfId="0" applyFont="1" applyFill="1" applyBorder="1" applyAlignment="1">
      <alignment horizontal="center" vertical="center"/>
    </xf>
    <xf numFmtId="0" fontId="15" fillId="21" borderId="0" xfId="0" applyFont="1" applyFill="1" applyBorder="1" applyAlignment="1">
      <alignment horizontal="left"/>
    </xf>
    <xf numFmtId="164" fontId="10" fillId="21" borderId="7" xfId="2" applyNumberFormat="1" applyFont="1" applyFill="1" applyBorder="1" applyAlignment="1">
      <alignment horizontal="right" vertical="center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164" fontId="51" fillId="21" borderId="0" xfId="2" applyNumberFormat="1" applyFont="1" applyFill="1" applyBorder="1" applyAlignment="1">
      <alignment horizontal="right" vertical="center"/>
    </xf>
    <xf numFmtId="164" fontId="11" fillId="21" borderId="0" xfId="2" applyNumberFormat="1" applyFont="1" applyFill="1" applyAlignment="1">
      <alignment horizontal="right" vertical="center"/>
    </xf>
    <xf numFmtId="0" fontId="7" fillId="21" borderId="12" xfId="0" applyFont="1" applyFill="1" applyBorder="1" applyAlignment="1">
      <alignment horizontal="center" vertical="center"/>
    </xf>
    <xf numFmtId="0" fontId="0" fillId="21" borderId="4" xfId="0" applyFill="1" applyBorder="1"/>
    <xf numFmtId="0" fontId="7" fillId="21" borderId="1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0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71"/>
  <sheetViews>
    <sheetView showGridLines="0" tabSelected="1" zoomScaleNormal="100" workbookViewId="0">
      <selection activeCell="R20" sqref="R20"/>
    </sheetView>
  </sheetViews>
  <sheetFormatPr defaultColWidth="9.140625" defaultRowHeight="12.75" x14ac:dyDescent="0.2"/>
  <cols>
    <col min="1" max="1" width="1.85546875" style="43" customWidth="1"/>
    <col min="2" max="2" width="43" style="43" customWidth="1"/>
    <col min="3" max="3" width="0.42578125" style="43" customWidth="1"/>
    <col min="4" max="7" width="9.5703125" style="43" hidden="1" customWidth="1"/>
    <col min="8" max="8" width="2.42578125" style="43" hidden="1" customWidth="1"/>
    <col min="9" max="12" width="9.5703125" style="43" bestFit="1" customWidth="1"/>
    <col min="13" max="13" width="2" style="43" customWidth="1"/>
    <col min="14" max="17" width="9.5703125" style="43" bestFit="1" customWidth="1"/>
    <col min="18" max="18" width="2" style="43" customWidth="1"/>
    <col min="19" max="22" width="9.5703125" style="43" bestFit="1" customWidth="1"/>
    <col min="23" max="23" width="41" style="43" bestFit="1" customWidth="1"/>
    <col min="24" max="24" width="10" style="43" customWidth="1"/>
    <col min="25" max="25" width="3" style="43" customWidth="1"/>
    <col min="26" max="16384" width="9.140625" style="43"/>
  </cols>
  <sheetData>
    <row r="1" spans="1:24" ht="21.75" x14ac:dyDescent="0.2">
      <c r="A1" s="58" t="s">
        <v>57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spans="1:24" s="44" customFormat="1" ht="22.5" customHeight="1" x14ac:dyDescent="0.2">
      <c r="A2" s="61" t="s">
        <v>56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s="44" customFormat="1" ht="15" customHeight="1" x14ac:dyDescent="0.2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</row>
    <row r="4" spans="1:24" s="35" customFormat="1" ht="15" customHeight="1" x14ac:dyDescent="0.2">
      <c r="A4" s="60" t="s">
        <v>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s="29" customFormat="1" ht="15" x14ac:dyDescent="0.25">
      <c r="A5" s="30"/>
      <c r="B5" s="31"/>
      <c r="C5" s="54"/>
      <c r="D5" s="57">
        <v>2014</v>
      </c>
      <c r="E5" s="57"/>
      <c r="F5" s="57"/>
      <c r="G5" s="57"/>
      <c r="H5" s="47"/>
      <c r="I5" s="63">
        <v>2015</v>
      </c>
      <c r="J5" s="63"/>
      <c r="K5" s="63"/>
      <c r="L5" s="63"/>
      <c r="M5" s="54"/>
      <c r="N5" s="63">
        <v>2016</v>
      </c>
      <c r="O5" s="63"/>
      <c r="P5" s="63"/>
      <c r="Q5" s="63"/>
      <c r="R5" s="56"/>
      <c r="S5" s="63">
        <v>2017</v>
      </c>
      <c r="T5" s="63"/>
      <c r="U5" s="63"/>
      <c r="V5" s="63"/>
    </row>
    <row r="6" spans="1:24" s="29" customFormat="1" ht="18" x14ac:dyDescent="0.45">
      <c r="A6" s="32" t="s">
        <v>2</v>
      </c>
      <c r="B6" s="28"/>
      <c r="C6" s="27"/>
      <c r="D6" s="27" t="s">
        <v>3</v>
      </c>
      <c r="E6" s="27" t="s">
        <v>4</v>
      </c>
      <c r="F6" s="27" t="s">
        <v>5</v>
      </c>
      <c r="G6" s="27" t="s">
        <v>6</v>
      </c>
      <c r="H6" s="27"/>
      <c r="I6" s="27" t="s">
        <v>3</v>
      </c>
      <c r="J6" s="27" t="s">
        <v>4</v>
      </c>
      <c r="K6" s="27" t="s">
        <v>5</v>
      </c>
      <c r="L6" s="27" t="s">
        <v>6</v>
      </c>
      <c r="M6" s="27"/>
      <c r="N6" s="27" t="s">
        <v>3</v>
      </c>
      <c r="O6" s="27" t="s">
        <v>4</v>
      </c>
      <c r="P6" s="27" t="s">
        <v>5</v>
      </c>
      <c r="Q6" s="27" t="s">
        <v>6</v>
      </c>
      <c r="R6" s="27"/>
      <c r="S6" s="27" t="s">
        <v>3</v>
      </c>
      <c r="T6" s="27" t="s">
        <v>4</v>
      </c>
      <c r="U6" s="27" t="s">
        <v>5</v>
      </c>
      <c r="V6" s="27" t="s">
        <v>6</v>
      </c>
      <c r="W6" s="45"/>
      <c r="X6" s="52" t="s">
        <v>7</v>
      </c>
    </row>
    <row r="7" spans="1:24" s="29" customFormat="1" ht="15" x14ac:dyDescent="0.25">
      <c r="A7" s="39"/>
      <c r="B7" s="33"/>
      <c r="C7" s="33"/>
      <c r="D7" s="33" t="s">
        <v>8</v>
      </c>
      <c r="E7" s="33" t="s">
        <v>9</v>
      </c>
      <c r="F7" s="33" t="s">
        <v>10</v>
      </c>
      <c r="G7" s="33" t="s">
        <v>29</v>
      </c>
      <c r="H7" s="33"/>
      <c r="I7" s="33" t="s">
        <v>8</v>
      </c>
      <c r="J7" s="33" t="s">
        <v>9</v>
      </c>
      <c r="K7" s="33" t="s">
        <v>10</v>
      </c>
      <c r="L7" s="33" t="s">
        <v>29</v>
      </c>
      <c r="M7" s="33"/>
      <c r="N7" s="33" t="s">
        <v>8</v>
      </c>
      <c r="O7" s="33" t="s">
        <v>9</v>
      </c>
      <c r="P7" s="33" t="s">
        <v>10</v>
      </c>
      <c r="Q7" s="33" t="s">
        <v>29</v>
      </c>
      <c r="R7" s="33"/>
      <c r="S7" s="33" t="s">
        <v>8</v>
      </c>
      <c r="T7" s="33" t="s">
        <v>9</v>
      </c>
      <c r="U7" s="33" t="s">
        <v>10</v>
      </c>
      <c r="V7" s="33" t="s">
        <v>29</v>
      </c>
      <c r="W7" s="55"/>
      <c r="X7" s="55"/>
    </row>
    <row r="8" spans="1:24" s="34" customFormat="1" ht="15" customHeight="1" x14ac:dyDescent="0.2">
      <c r="A8" s="36" t="s">
        <v>24</v>
      </c>
      <c r="D8" s="37">
        <v>-95.581894018518597</v>
      </c>
      <c r="E8" s="37">
        <v>-37.977042180635294</v>
      </c>
      <c r="F8" s="37">
        <v>5.7490623714236904</v>
      </c>
      <c r="G8" s="37">
        <v>-105.93394229125317</v>
      </c>
      <c r="H8" s="37"/>
      <c r="I8" s="37">
        <v>-84.329526364907593</v>
      </c>
      <c r="J8" s="37">
        <v>-75.191514796339959</v>
      </c>
      <c r="K8" s="37">
        <v>-87.208714852711864</v>
      </c>
      <c r="L8" s="37">
        <v>-100.43099243885285</v>
      </c>
      <c r="M8" s="37"/>
      <c r="N8" s="37">
        <v>-89.633818191136641</v>
      </c>
      <c r="O8" s="37">
        <v>-107.44610038291677</v>
      </c>
      <c r="P8" s="37">
        <v>-35.636026310798627</v>
      </c>
      <c r="Q8" s="37">
        <v>-72.771974603170747</v>
      </c>
      <c r="R8" s="37"/>
      <c r="S8" s="37">
        <v>-136.27097970375286</v>
      </c>
      <c r="T8" s="37">
        <v>-126.02762017531816</v>
      </c>
      <c r="U8" s="37">
        <v>-56.649606366537967</v>
      </c>
      <c r="V8" s="37">
        <v>-17.840873334166645</v>
      </c>
      <c r="W8" s="53"/>
      <c r="X8" s="2" t="s">
        <v>11</v>
      </c>
    </row>
    <row r="9" spans="1:24" s="35" customFormat="1" ht="15" customHeight="1" x14ac:dyDescent="0.2">
      <c r="A9" s="1"/>
      <c r="B9" s="48" t="s">
        <v>41</v>
      </c>
      <c r="C9" s="48"/>
      <c r="D9" s="38">
        <v>261.28974280528138</v>
      </c>
      <c r="E9" s="38">
        <v>277.69221177528135</v>
      </c>
      <c r="F9" s="38">
        <v>258.02357142518571</v>
      </c>
      <c r="G9" s="38">
        <v>237.36472596999999</v>
      </c>
      <c r="H9" s="38"/>
      <c r="I9" s="38">
        <v>251.32058699000001</v>
      </c>
      <c r="J9" s="38">
        <v>295.42469706000003</v>
      </c>
      <c r="K9" s="38">
        <v>259.51798070000001</v>
      </c>
      <c r="L9" s="38">
        <v>280.42006098999997</v>
      </c>
      <c r="M9" s="38"/>
      <c r="N9" s="38">
        <v>268.58747038999996</v>
      </c>
      <c r="O9" s="38">
        <v>246.65542139999997</v>
      </c>
      <c r="P9" s="38">
        <v>283.17182679000001</v>
      </c>
      <c r="Q9" s="38">
        <v>241.72464714</v>
      </c>
      <c r="R9" s="38"/>
      <c r="S9" s="38">
        <v>314.99499402000004</v>
      </c>
      <c r="T9" s="38">
        <v>230.4582740621818</v>
      </c>
      <c r="U9" s="38">
        <v>258.17975243554542</v>
      </c>
      <c r="V9" s="38">
        <v>282.31398371</v>
      </c>
      <c r="W9" s="53" t="s">
        <v>30</v>
      </c>
      <c r="X9" s="53"/>
    </row>
    <row r="10" spans="1:24" s="35" customFormat="1" ht="15" customHeight="1" x14ac:dyDescent="0.2">
      <c r="A10" s="1"/>
      <c r="B10" s="48" t="s">
        <v>42</v>
      </c>
      <c r="C10" s="48"/>
      <c r="D10" s="38">
        <v>-356.87163682379997</v>
      </c>
      <c r="E10" s="38">
        <v>-315.66925395591664</v>
      </c>
      <c r="F10" s="38">
        <v>-252.27450905376202</v>
      </c>
      <c r="G10" s="38">
        <v>-343.29866826125317</v>
      </c>
      <c r="H10" s="38"/>
      <c r="I10" s="38">
        <v>-335.6501133549076</v>
      </c>
      <c r="J10" s="38">
        <v>-370.61621185633999</v>
      </c>
      <c r="K10" s="38">
        <v>-346.72669555271187</v>
      </c>
      <c r="L10" s="38">
        <v>-380.85105342885282</v>
      </c>
      <c r="M10" s="38"/>
      <c r="N10" s="38">
        <v>-358.2212885811366</v>
      </c>
      <c r="O10" s="38">
        <v>-354.10152178291673</v>
      </c>
      <c r="P10" s="38">
        <v>-318.80785310079864</v>
      </c>
      <c r="Q10" s="38">
        <v>-314.49662174317075</v>
      </c>
      <c r="R10" s="38"/>
      <c r="S10" s="38">
        <v>-451.26597372375289</v>
      </c>
      <c r="T10" s="38">
        <v>-356.48589423749996</v>
      </c>
      <c r="U10" s="38">
        <v>-314.82935880208339</v>
      </c>
      <c r="V10" s="38">
        <v>-300.15485704416665</v>
      </c>
      <c r="W10" s="53" t="s">
        <v>31</v>
      </c>
      <c r="X10" s="53"/>
    </row>
    <row r="11" spans="1:24" s="35" customFormat="1" ht="12.6" customHeight="1" x14ac:dyDescent="0.2">
      <c r="A11" s="1"/>
      <c r="B11" s="48"/>
      <c r="C11" s="4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</row>
    <row r="12" spans="1:24" s="34" customFormat="1" ht="12.75" customHeight="1" x14ac:dyDescent="0.2">
      <c r="A12" s="36" t="s">
        <v>50</v>
      </c>
      <c r="D12" s="37">
        <v>550.13788241272175</v>
      </c>
      <c r="E12" s="37">
        <v>524.0255407927217</v>
      </c>
      <c r="F12" s="37">
        <v>440.14436456272171</v>
      </c>
      <c r="G12" s="37">
        <v>466.03587812999996</v>
      </c>
      <c r="H12" s="37"/>
      <c r="I12" s="37">
        <v>575.65767038000013</v>
      </c>
      <c r="J12" s="37">
        <v>513.34399889999997</v>
      </c>
      <c r="K12" s="37">
        <v>567.69768189000001</v>
      </c>
      <c r="L12" s="37">
        <v>583.8237335204276</v>
      </c>
      <c r="M12" s="37"/>
      <c r="N12" s="37">
        <v>588.68705696000006</v>
      </c>
      <c r="O12" s="37">
        <v>598.48774312237742</v>
      </c>
      <c r="P12" s="37">
        <v>511.63371308125807</v>
      </c>
      <c r="Q12" s="37">
        <v>482.07012466218333</v>
      </c>
      <c r="R12" s="37"/>
      <c r="S12" s="37">
        <v>657.71535929000004</v>
      </c>
      <c r="T12" s="37">
        <v>625.79671874000007</v>
      </c>
      <c r="U12" s="37">
        <v>536.52956863344662</v>
      </c>
      <c r="V12" s="37">
        <v>603.01218706615259</v>
      </c>
      <c r="W12" s="53"/>
      <c r="X12" s="3" t="s">
        <v>32</v>
      </c>
    </row>
    <row r="13" spans="1:24" s="35" customFormat="1" ht="12.75" customHeight="1" x14ac:dyDescent="0.2">
      <c r="A13" s="4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4" s="34" customFormat="1" ht="15" customHeight="1" x14ac:dyDescent="0.2">
      <c r="A14" s="36" t="s">
        <v>33</v>
      </c>
      <c r="D14" s="37">
        <v>4803.767775567916</v>
      </c>
      <c r="E14" s="37">
        <v>5379.9596890775028</v>
      </c>
      <c r="F14" s="37">
        <v>5620.1559764441536</v>
      </c>
      <c r="G14" s="37">
        <v>6081.3141406797358</v>
      </c>
      <c r="H14" s="37"/>
      <c r="I14" s="37">
        <v>6250.0784226129335</v>
      </c>
      <c r="J14" s="37">
        <v>6644.8728479776919</v>
      </c>
      <c r="K14" s="37">
        <v>6966.0129041172731</v>
      </c>
      <c r="L14" s="37">
        <v>7260.8854928299634</v>
      </c>
      <c r="M14" s="37"/>
      <c r="N14" s="37">
        <v>7584.8868002575091</v>
      </c>
      <c r="O14" s="37">
        <v>7905.6104158228272</v>
      </c>
      <c r="P14" s="37">
        <v>8263.4673569549741</v>
      </c>
      <c r="Q14" s="37">
        <v>8644.8616750113251</v>
      </c>
      <c r="R14" s="37"/>
      <c r="S14" s="37">
        <v>8893.59451862274</v>
      </c>
      <c r="T14" s="37">
        <v>9094.3395685491178</v>
      </c>
      <c r="U14" s="37">
        <v>9542.5854169417617</v>
      </c>
      <c r="V14" s="37">
        <v>9947.3240415717955</v>
      </c>
      <c r="W14" s="53"/>
      <c r="X14" s="3" t="s">
        <v>12</v>
      </c>
    </row>
    <row r="15" spans="1:24" s="35" customFormat="1" ht="15" customHeight="1" x14ac:dyDescent="0.2">
      <c r="A15" s="1"/>
      <c r="B15" s="48" t="s">
        <v>43</v>
      </c>
      <c r="C15" s="48"/>
      <c r="D15" s="38">
        <v>4953.8716217599995</v>
      </c>
      <c r="E15" s="38">
        <v>5532.7762143599994</v>
      </c>
      <c r="F15" s="38">
        <v>5789.8635654899999</v>
      </c>
      <c r="G15" s="38">
        <v>6195.5800857799995</v>
      </c>
      <c r="H15" s="38"/>
      <c r="I15" s="38">
        <v>6403.7897497966987</v>
      </c>
      <c r="J15" s="38">
        <v>6753.40290774</v>
      </c>
      <c r="K15" s="38">
        <v>7073.3685362099995</v>
      </c>
      <c r="L15" s="38">
        <v>7432.8960747499987</v>
      </c>
      <c r="M15" s="38"/>
      <c r="N15" s="38">
        <v>7734.4807328855604</v>
      </c>
      <c r="O15" s="38">
        <v>8061.1042054600002</v>
      </c>
      <c r="P15" s="38">
        <v>8433.6905641800004</v>
      </c>
      <c r="Q15" s="38">
        <v>8820.8389275099998</v>
      </c>
      <c r="R15" s="38"/>
      <c r="S15" s="38">
        <v>9119.8166609933505</v>
      </c>
      <c r="T15" s="38">
        <v>9159.306689770001</v>
      </c>
      <c r="U15" s="38">
        <v>9574.8502685900003</v>
      </c>
      <c r="V15" s="38">
        <v>9977.6640254600006</v>
      </c>
      <c r="W15" s="53" t="s">
        <v>13</v>
      </c>
      <c r="X15" s="53"/>
    </row>
    <row r="16" spans="1:24" s="35" customFormat="1" ht="15" customHeight="1" x14ac:dyDescent="0.2">
      <c r="A16" s="1"/>
      <c r="B16" s="48" t="s">
        <v>44</v>
      </c>
      <c r="C16" s="48"/>
      <c r="D16" s="38">
        <v>-150.10384619208332</v>
      </c>
      <c r="E16" s="38">
        <v>-152.81652528249666</v>
      </c>
      <c r="F16" s="38">
        <v>-169.70758904584667</v>
      </c>
      <c r="G16" s="38">
        <v>-114.26594510026334</v>
      </c>
      <c r="H16" s="38"/>
      <c r="I16" s="38">
        <v>-153.71132718376509</v>
      </c>
      <c r="J16" s="38">
        <v>-108.53005976230841</v>
      </c>
      <c r="K16" s="38">
        <v>-107.35563209272675</v>
      </c>
      <c r="L16" s="38">
        <v>-172.01058192003507</v>
      </c>
      <c r="M16" s="38"/>
      <c r="N16" s="38">
        <v>-149.59393262805111</v>
      </c>
      <c r="O16" s="38">
        <v>-155.49378963717282</v>
      </c>
      <c r="P16" s="38">
        <v>-170.22320722502621</v>
      </c>
      <c r="Q16" s="38">
        <v>-175.97725249867494</v>
      </c>
      <c r="R16" s="38"/>
      <c r="S16" s="38">
        <v>-226.22214237061081</v>
      </c>
      <c r="T16" s="38">
        <v>-64.967121220883428</v>
      </c>
      <c r="U16" s="38">
        <v>-32.264851648239123</v>
      </c>
      <c r="V16" s="38">
        <v>-30.339983888205573</v>
      </c>
      <c r="W16" s="53" t="s">
        <v>14</v>
      </c>
      <c r="X16" s="53"/>
    </row>
    <row r="17" spans="1:25" s="35" customFormat="1" ht="15" customHeight="1" x14ac:dyDescent="0.2">
      <c r="A17" s="36" t="s">
        <v>34</v>
      </c>
      <c r="B17" s="36"/>
      <c r="C17" s="36"/>
      <c r="D17" s="38">
        <v>1285.180496050998</v>
      </c>
      <c r="E17" s="38">
        <v>1400.3446568709981</v>
      </c>
      <c r="F17" s="38">
        <v>1451.5239474109976</v>
      </c>
      <c r="G17" s="38">
        <v>1523.4952088700004</v>
      </c>
      <c r="H17" s="38"/>
      <c r="I17" s="38">
        <v>1586.9085915500002</v>
      </c>
      <c r="J17" s="38">
        <v>1595.1431457260228</v>
      </c>
      <c r="K17" s="38">
        <v>1576.5930755806294</v>
      </c>
      <c r="L17" s="38">
        <v>1728.2892294630954</v>
      </c>
      <c r="M17" s="38"/>
      <c r="N17" s="38">
        <v>1808.0119734699997</v>
      </c>
      <c r="O17" s="38">
        <v>1899.619557613333</v>
      </c>
      <c r="P17" s="38">
        <v>1946.7735926783332</v>
      </c>
      <c r="Q17" s="38">
        <v>2069.4234331794951</v>
      </c>
      <c r="R17" s="38"/>
      <c r="S17" s="38">
        <v>2134.0134488600002</v>
      </c>
      <c r="T17" s="38">
        <v>2170.666079540606</v>
      </c>
      <c r="U17" s="38">
        <v>2392.8349627798989</v>
      </c>
      <c r="V17" s="38">
        <v>2496.6808174500002</v>
      </c>
      <c r="W17" s="53"/>
      <c r="X17" s="3" t="s">
        <v>35</v>
      </c>
    </row>
    <row r="18" spans="1:25" s="34" customFormat="1" ht="15" customHeight="1" x14ac:dyDescent="0.2">
      <c r="A18" s="1"/>
      <c r="B18" s="48" t="s">
        <v>45</v>
      </c>
      <c r="C18" s="48"/>
      <c r="D18" s="37">
        <v>83.427012460000014</v>
      </c>
      <c r="E18" s="37">
        <v>60.140039209999998</v>
      </c>
      <c r="F18" s="37">
        <v>95.412132560000003</v>
      </c>
      <c r="G18" s="37">
        <v>107.87896110999999</v>
      </c>
      <c r="H18" s="37"/>
      <c r="I18" s="37">
        <v>121.88898236999998</v>
      </c>
      <c r="J18" s="37">
        <v>112.98700352999998</v>
      </c>
      <c r="K18" s="37">
        <v>77.251006950000004</v>
      </c>
      <c r="L18" s="37">
        <v>78.896565980000005</v>
      </c>
      <c r="M18" s="37"/>
      <c r="N18" s="37">
        <v>80.459754049999987</v>
      </c>
      <c r="O18" s="37">
        <v>90.416591009999991</v>
      </c>
      <c r="P18" s="37">
        <v>79.482853149999997</v>
      </c>
      <c r="Q18" s="37">
        <v>84.725344239999998</v>
      </c>
      <c r="R18" s="37"/>
      <c r="S18" s="37">
        <v>84.372335159999977</v>
      </c>
      <c r="T18" s="37">
        <v>88.561428519999978</v>
      </c>
      <c r="U18" s="37">
        <v>104.7041473999999</v>
      </c>
      <c r="V18" s="37">
        <v>98.436462839999962</v>
      </c>
      <c r="W18" s="53" t="s">
        <v>15</v>
      </c>
      <c r="X18" s="53"/>
    </row>
    <row r="19" spans="1:25" s="35" customFormat="1" ht="15" customHeight="1" x14ac:dyDescent="0.2">
      <c r="A19" s="1"/>
      <c r="B19" s="48" t="s">
        <v>46</v>
      </c>
      <c r="C19" s="48"/>
      <c r="D19" s="38">
        <v>1201.753483590998</v>
      </c>
      <c r="E19" s="38">
        <v>1340.2046176609981</v>
      </c>
      <c r="F19" s="38">
        <v>1356.1118148509977</v>
      </c>
      <c r="G19" s="38">
        <v>1415.6162477600003</v>
      </c>
      <c r="H19" s="38"/>
      <c r="I19" s="38">
        <v>1465.0196091800003</v>
      </c>
      <c r="J19" s="38">
        <v>1482.1561421960228</v>
      </c>
      <c r="K19" s="38">
        <v>1499.3420686306295</v>
      </c>
      <c r="L19" s="38">
        <v>1649.3926634830952</v>
      </c>
      <c r="M19" s="38"/>
      <c r="N19" s="38">
        <v>1727.5522194199998</v>
      </c>
      <c r="O19" s="38">
        <v>1809.2029666033329</v>
      </c>
      <c r="P19" s="38">
        <v>1867.2907395283332</v>
      </c>
      <c r="Q19" s="38">
        <v>1984.6980889394952</v>
      </c>
      <c r="R19" s="38"/>
      <c r="S19" s="38">
        <v>2049.6411137</v>
      </c>
      <c r="T19" s="38">
        <v>2082.1046510206061</v>
      </c>
      <c r="U19" s="38">
        <v>2288.1308153798991</v>
      </c>
      <c r="V19" s="38">
        <v>2398.2443546100003</v>
      </c>
      <c r="W19" s="53" t="s">
        <v>16</v>
      </c>
      <c r="X19" s="53"/>
    </row>
    <row r="20" spans="1:25" s="35" customFormat="1" ht="15" customHeight="1" x14ac:dyDescent="0.2">
      <c r="A20" s="1"/>
      <c r="B20" s="48"/>
      <c r="C20" s="4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X20" s="53"/>
    </row>
    <row r="21" spans="1:25" s="34" customFormat="1" ht="15" customHeight="1" x14ac:dyDescent="0.2">
      <c r="A21" s="36" t="s">
        <v>51</v>
      </c>
      <c r="D21" s="37">
        <v>0</v>
      </c>
      <c r="E21" s="37">
        <v>0</v>
      </c>
      <c r="F21" s="37">
        <v>0</v>
      </c>
      <c r="G21" s="37">
        <v>0</v>
      </c>
      <c r="H21" s="37"/>
      <c r="I21" s="37">
        <v>0</v>
      </c>
      <c r="J21" s="37">
        <v>0</v>
      </c>
      <c r="K21" s="37">
        <v>0</v>
      </c>
      <c r="L21" s="37">
        <v>0</v>
      </c>
      <c r="M21" s="37"/>
      <c r="N21" s="37">
        <v>0</v>
      </c>
      <c r="O21" s="37">
        <v>0</v>
      </c>
      <c r="P21" s="37">
        <v>0</v>
      </c>
      <c r="Q21" s="37">
        <v>0</v>
      </c>
      <c r="R21" s="37"/>
      <c r="S21" s="37">
        <v>0</v>
      </c>
      <c r="T21" s="37">
        <v>0</v>
      </c>
      <c r="U21" s="37">
        <v>0</v>
      </c>
      <c r="V21" s="37">
        <v>0</v>
      </c>
      <c r="X21" s="3" t="s">
        <v>47</v>
      </c>
    </row>
    <row r="22" spans="1:25" s="34" customFormat="1" ht="15" customHeight="1" x14ac:dyDescent="0.2">
      <c r="A22" s="36" t="s">
        <v>52</v>
      </c>
      <c r="D22" s="37">
        <v>0</v>
      </c>
      <c r="E22" s="37">
        <v>0</v>
      </c>
      <c r="F22" s="37">
        <v>0</v>
      </c>
      <c r="G22" s="37">
        <v>0</v>
      </c>
      <c r="H22" s="37"/>
      <c r="I22" s="37">
        <v>0</v>
      </c>
      <c r="J22" s="37">
        <v>0</v>
      </c>
      <c r="K22" s="37">
        <v>0</v>
      </c>
      <c r="L22" s="37">
        <v>0</v>
      </c>
      <c r="M22" s="37"/>
      <c r="N22" s="37">
        <v>0</v>
      </c>
      <c r="O22" s="37">
        <v>0</v>
      </c>
      <c r="P22" s="37">
        <v>0</v>
      </c>
      <c r="Q22" s="37">
        <v>0</v>
      </c>
      <c r="R22" s="37"/>
      <c r="S22" s="37">
        <v>0</v>
      </c>
      <c r="T22" s="37">
        <v>0</v>
      </c>
      <c r="U22" s="37">
        <v>0</v>
      </c>
      <c r="V22" s="37">
        <v>0</v>
      </c>
      <c r="X22" s="3" t="s">
        <v>36</v>
      </c>
    </row>
    <row r="23" spans="1:25" s="34" customFormat="1" ht="15" customHeight="1" x14ac:dyDescent="0.2">
      <c r="A23" s="36" t="s">
        <v>17</v>
      </c>
      <c r="D23" s="37">
        <v>62.853000000000002</v>
      </c>
      <c r="E23" s="37">
        <v>57.596000000000004</v>
      </c>
      <c r="F23" s="37">
        <v>56.684999999999995</v>
      </c>
      <c r="G23" s="37">
        <v>56.155000000000001</v>
      </c>
      <c r="H23" s="37"/>
      <c r="I23" s="37">
        <v>54.679000000000002</v>
      </c>
      <c r="J23" s="37">
        <v>63.166999999999994</v>
      </c>
      <c r="K23" s="37">
        <v>69.38</v>
      </c>
      <c r="L23" s="37">
        <v>70.762</v>
      </c>
      <c r="M23" s="37"/>
      <c r="N23" s="37">
        <v>77.792999999999992</v>
      </c>
      <c r="O23" s="37">
        <v>74.988</v>
      </c>
      <c r="P23" s="37">
        <v>78.823000000000008</v>
      </c>
      <c r="Q23" s="37">
        <v>74.561000000000007</v>
      </c>
      <c r="R23" s="37"/>
      <c r="S23" s="37">
        <v>78.900999999999996</v>
      </c>
      <c r="T23" s="37">
        <v>67.623999999999995</v>
      </c>
      <c r="U23" s="37">
        <v>69.038999999999987</v>
      </c>
      <c r="V23" s="37">
        <v>70.403999999999996</v>
      </c>
      <c r="X23" s="3" t="s">
        <v>37</v>
      </c>
    </row>
    <row r="24" spans="1:25" s="34" customFormat="1" ht="15" customHeight="1" x14ac:dyDescent="0.45">
      <c r="A24" s="36" t="s">
        <v>18</v>
      </c>
      <c r="D24" s="37">
        <v>3.786</v>
      </c>
      <c r="E24" s="37">
        <v>3.786</v>
      </c>
      <c r="F24" s="37">
        <v>3.786</v>
      </c>
      <c r="G24" s="37">
        <v>3.786</v>
      </c>
      <c r="H24" s="37"/>
      <c r="I24" s="37">
        <v>3.786</v>
      </c>
      <c r="J24" s="37">
        <v>3.746</v>
      </c>
      <c r="K24" s="37">
        <v>3.746</v>
      </c>
      <c r="L24" s="37">
        <v>3.746</v>
      </c>
      <c r="M24" s="37"/>
      <c r="N24" s="37">
        <v>4.4020000000000001</v>
      </c>
      <c r="O24" s="37">
        <v>4.4020000000000001</v>
      </c>
      <c r="P24" s="37">
        <v>4.4020000000000001</v>
      </c>
      <c r="Q24" s="37">
        <v>4.4020000000000001</v>
      </c>
      <c r="R24" s="37"/>
      <c r="S24" s="37">
        <v>4.1879999999999997</v>
      </c>
      <c r="T24" s="37">
        <v>3.5259999999999998</v>
      </c>
      <c r="U24" s="37">
        <v>3.5259999999999998</v>
      </c>
      <c r="V24" s="37">
        <v>9.5619999999999994</v>
      </c>
      <c r="X24" s="15" t="s">
        <v>38</v>
      </c>
    </row>
    <row r="25" spans="1:25" s="34" customFormat="1" ht="15" customHeight="1" x14ac:dyDescent="0.45">
      <c r="A25" s="36" t="s">
        <v>19</v>
      </c>
      <c r="D25" s="37">
        <v>236.024</v>
      </c>
      <c r="E25" s="37">
        <v>265.15499999999997</v>
      </c>
      <c r="F25" s="37">
        <v>247.59800000000001</v>
      </c>
      <c r="G25" s="37">
        <v>248.321</v>
      </c>
      <c r="H25" s="37"/>
      <c r="I25" s="37">
        <v>258.69200000000001</v>
      </c>
      <c r="J25" s="37">
        <v>260.49400000000003</v>
      </c>
      <c r="K25" s="37">
        <v>286.488</v>
      </c>
      <c r="L25" s="37">
        <v>290.84899999999999</v>
      </c>
      <c r="M25" s="37"/>
      <c r="N25" s="37">
        <v>298.32599999999996</v>
      </c>
      <c r="O25" s="37">
        <v>307.64400000000001</v>
      </c>
      <c r="P25" s="37">
        <v>354.18200000000002</v>
      </c>
      <c r="Q25" s="37">
        <v>396.75</v>
      </c>
      <c r="R25" s="37"/>
      <c r="S25" s="37">
        <v>525.13</v>
      </c>
      <c r="T25" s="37">
        <v>520.56100000000004</v>
      </c>
      <c r="U25" s="37">
        <v>494.666</v>
      </c>
      <c r="V25" s="37">
        <v>548.97799999999995</v>
      </c>
      <c r="X25" s="15" t="s">
        <v>48</v>
      </c>
    </row>
    <row r="26" spans="1:25" s="34" customFormat="1" ht="15" customHeight="1" x14ac:dyDescent="0.45">
      <c r="A26" s="36" t="s">
        <v>53</v>
      </c>
      <c r="D26" s="37">
        <v>5544.0094013349508</v>
      </c>
      <c r="E26" s="37">
        <v>6248.1722801597953</v>
      </c>
      <c r="F26" s="37">
        <v>6520.8696603644748</v>
      </c>
      <c r="G26" s="37">
        <v>6822.1588595646508</v>
      </c>
      <c r="H26" s="37"/>
      <c r="I26" s="37">
        <v>7185.3454353150591</v>
      </c>
      <c r="J26" s="37">
        <v>7554.9425296812042</v>
      </c>
      <c r="K26" s="37">
        <v>7855.0065399681534</v>
      </c>
      <c r="L26" s="37">
        <v>8168.0849239167737</v>
      </c>
      <c r="M26" s="37"/>
      <c r="N26" s="37">
        <v>8582.1379160759461</v>
      </c>
      <c r="O26" s="37">
        <v>8924.7685991180388</v>
      </c>
      <c r="P26" s="37">
        <v>9255.6800619433088</v>
      </c>
      <c r="Q26" s="37">
        <v>9549.7928416439754</v>
      </c>
      <c r="R26" s="37"/>
      <c r="S26" s="37">
        <v>9916.1497014413708</v>
      </c>
      <c r="T26" s="37">
        <v>10286.420721190449</v>
      </c>
      <c r="U26" s="37">
        <v>10666.355587885168</v>
      </c>
      <c r="V26" s="37">
        <v>11048.582867599565</v>
      </c>
      <c r="X26" s="15" t="s">
        <v>49</v>
      </c>
    </row>
    <row r="27" spans="1:25" s="34" customFormat="1" ht="15" customHeight="1" x14ac:dyDescent="0.2">
      <c r="A27" s="36" t="s">
        <v>54</v>
      </c>
      <c r="D27" s="37">
        <v>659.07663222999997</v>
      </c>
      <c r="E27" s="37">
        <v>628.24563534000004</v>
      </c>
      <c r="F27" s="37">
        <v>664.65137991000006</v>
      </c>
      <c r="G27" s="37">
        <v>773.03221501000007</v>
      </c>
      <c r="H27" s="37"/>
      <c r="I27" s="37">
        <v>793.43758457999991</v>
      </c>
      <c r="J27" s="37">
        <v>750.8166402999999</v>
      </c>
      <c r="K27" s="37">
        <v>813.36044388999994</v>
      </c>
      <c r="L27" s="37">
        <v>842.0378463699999</v>
      </c>
      <c r="M27" s="37"/>
      <c r="N27" s="37">
        <v>880.32248033999997</v>
      </c>
      <c r="O27" s="37">
        <v>875.78987585999994</v>
      </c>
      <c r="P27" s="37">
        <v>889.53739533999988</v>
      </c>
      <c r="Q27" s="37">
        <v>952.82704795999996</v>
      </c>
      <c r="R27" s="37"/>
      <c r="S27" s="37">
        <v>956.32481523999979</v>
      </c>
      <c r="T27" s="37">
        <v>987.28171384999996</v>
      </c>
      <c r="U27" s="37">
        <v>1015.27188453</v>
      </c>
      <c r="V27" s="37">
        <v>1076.6067210899998</v>
      </c>
      <c r="X27" s="49" t="s">
        <v>20</v>
      </c>
    </row>
    <row r="28" spans="1:25" s="34" customFormat="1" ht="15" customHeight="1" x14ac:dyDescent="0.2">
      <c r="A28" s="46" t="s">
        <v>55</v>
      </c>
      <c r="D28" s="37">
        <v>37.75522644816769</v>
      </c>
      <c r="E28" s="37">
        <v>63.397929060792706</v>
      </c>
      <c r="F28" s="37">
        <v>23.983310514822051</v>
      </c>
      <c r="G28" s="37">
        <v>61.458210813833318</v>
      </c>
      <c r="H28" s="37"/>
      <c r="I28" s="37">
        <v>32.375138282966951</v>
      </c>
      <c r="J28" s="37">
        <v>45.002307826170501</v>
      </c>
      <c r="K28" s="37">
        <v>-4.8860371229622501</v>
      </c>
      <c r="L28" s="37">
        <v>97.087693087861865</v>
      </c>
      <c r="M28" s="37"/>
      <c r="N28" s="37">
        <v>48.970616080426602</v>
      </c>
      <c r="O28" s="37">
        <v>108.67914119758129</v>
      </c>
      <c r="P28" s="37">
        <v>103.61417912045856</v>
      </c>
      <c r="Q28" s="37">
        <v>145.25036864585579</v>
      </c>
      <c r="R28" s="37"/>
      <c r="S28" s="37">
        <v>68.358830387615853</v>
      </c>
      <c r="T28" s="37">
        <v>-100.63868838604589</v>
      </c>
      <c r="U28" s="37">
        <v>166.44186957339946</v>
      </c>
      <c r="V28" s="37">
        <v>275.04258406421468</v>
      </c>
      <c r="X28" s="4" t="s">
        <v>21</v>
      </c>
    </row>
    <row r="29" spans="1:25" s="34" customFormat="1" ht="15" customHeight="1" x14ac:dyDescent="0.2">
      <c r="A29" s="50"/>
      <c r="B29" s="50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42"/>
      <c r="X29" s="42"/>
    </row>
    <row r="30" spans="1:25" s="9" customFormat="1" ht="18" x14ac:dyDescent="0.25">
      <c r="A30" s="16" t="s">
        <v>22</v>
      </c>
      <c r="B30" s="21"/>
      <c r="C30" s="21"/>
      <c r="D30" s="21"/>
      <c r="E30" s="21"/>
      <c r="F30" s="21"/>
      <c r="G30" s="22"/>
      <c r="H30" s="21"/>
      <c r="I30" s="21"/>
      <c r="J30" s="21"/>
      <c r="K30" s="21"/>
      <c r="L30" s="22"/>
      <c r="M30" s="22"/>
      <c r="N30" s="21"/>
      <c r="O30" s="21"/>
      <c r="P30" s="21"/>
      <c r="Q30" s="22"/>
      <c r="R30" s="22"/>
      <c r="S30" s="21"/>
      <c r="T30" s="21"/>
      <c r="U30" s="21"/>
      <c r="V30" s="22"/>
      <c r="W30" s="23"/>
      <c r="X30" s="7" t="s">
        <v>23</v>
      </c>
      <c r="Y30" s="12"/>
    </row>
    <row r="31" spans="1:25" s="40" customFormat="1" ht="17.25" x14ac:dyDescent="0.2">
      <c r="A31" s="14" t="s">
        <v>24</v>
      </c>
      <c r="B31" s="19"/>
      <c r="C31" s="19"/>
      <c r="D31" s="19">
        <v>-51.283082952486204</v>
      </c>
      <c r="E31" s="19">
        <v>-78.807429127949305</v>
      </c>
      <c r="F31" s="19">
        <v>-103.83956998938632</v>
      </c>
      <c r="G31" s="19">
        <v>-16.000599241762849</v>
      </c>
      <c r="H31" s="19"/>
      <c r="I31" s="19">
        <f>+(I8/D8-1)*100</f>
        <v>-11.7724886801583</v>
      </c>
      <c r="J31" s="19">
        <f>+(J8/E8-1)*100</f>
        <v>97.992024862537946</v>
      </c>
      <c r="K31" s="19">
        <f>+(K8/F8-1)*100</f>
        <v>-1616.9206597269117</v>
      </c>
      <c r="L31" s="19">
        <f>+(L8/G8-1)*100</f>
        <v>-5.1946993884836257</v>
      </c>
      <c r="M31" s="19"/>
      <c r="N31" s="19">
        <f>+(N8/I8-1)*100</f>
        <v>6.2899580430186619</v>
      </c>
      <c r="O31" s="19">
        <f>+(O8/J8-1)*100</f>
        <v>42.896576394211493</v>
      </c>
      <c r="P31" s="19">
        <f>+(P8/K8-1)*100</f>
        <v>-59.137081229800415</v>
      </c>
      <c r="Q31" s="19">
        <f>+(Q8/L8-1)*100</f>
        <v>-27.540321133958944</v>
      </c>
      <c r="R31" s="19"/>
      <c r="S31" s="19">
        <f>+(S8/N8-1)*100</f>
        <v>52.030765233236373</v>
      </c>
      <c r="T31" s="19">
        <f>+(T8/O8-1)*100</f>
        <v>17.293805662728111</v>
      </c>
      <c r="U31" s="19">
        <f>+(U8/P8-1)*100</f>
        <v>58.967236898047993</v>
      </c>
      <c r="V31" s="19">
        <f>+(V8/Q8-1)*100</f>
        <v>-75.483868025494942</v>
      </c>
      <c r="W31" s="17"/>
      <c r="X31" s="18" t="s">
        <v>11</v>
      </c>
    </row>
    <row r="32" spans="1:25" s="40" customFormat="1" ht="17.25" x14ac:dyDescent="0.2">
      <c r="A32" s="41" t="s">
        <v>33</v>
      </c>
      <c r="B32" s="42"/>
      <c r="C32" s="42"/>
      <c r="D32" s="20">
        <v>19.856206788539833</v>
      </c>
      <c r="E32" s="20">
        <v>25.472523216256082</v>
      </c>
      <c r="F32" s="20">
        <v>26.437210697394242</v>
      </c>
      <c r="G32" s="20">
        <v>31.460422592194391</v>
      </c>
      <c r="H32" s="20"/>
      <c r="I32" s="20">
        <f>+(I14/D14-1)*100</f>
        <v>30.107838567904754</v>
      </c>
      <c r="J32" s="20">
        <f>+(J14/E14-1)*100</f>
        <v>23.511573171602752</v>
      </c>
      <c r="K32" s="20">
        <f>+(K14/F14-1)*100</f>
        <v>23.946967545278653</v>
      </c>
      <c r="L32" s="20">
        <f>+(L14/G14-1)*100</f>
        <v>19.396652185088104</v>
      </c>
      <c r="M32" s="20"/>
      <c r="N32" s="20">
        <f>+(N14/I14-1)*100</f>
        <v>21.356666067024154</v>
      </c>
      <c r="O32" s="20">
        <f>+(O14/J14-1)*100</f>
        <v>18.973087923402932</v>
      </c>
      <c r="P32" s="20">
        <f>+(P14/K14-1)*100</f>
        <v>18.625495971602902</v>
      </c>
      <c r="Q32" s="20">
        <f>+(Q14/L14-1)*100</f>
        <v>19.060708002460871</v>
      </c>
      <c r="R32" s="20"/>
      <c r="S32" s="20">
        <f>+(S14/N14-1)*100</f>
        <v>17.254149637682126</v>
      </c>
      <c r="T32" s="20">
        <f>+(T14/O14-1)*100</f>
        <v>15.036525836728387</v>
      </c>
      <c r="U32" s="20">
        <f>+(U14/P14-1)*100</f>
        <v>15.47919299167091</v>
      </c>
      <c r="V32" s="20">
        <f>+(V14/Q14-1)*100</f>
        <v>15.066318184423277</v>
      </c>
      <c r="W32" s="5"/>
      <c r="X32" s="6" t="s">
        <v>12</v>
      </c>
    </row>
    <row r="33" spans="1:25" s="24" customFormat="1" ht="14.25" customHeight="1" x14ac:dyDescent="0.2">
      <c r="A33" s="8" t="s">
        <v>40</v>
      </c>
      <c r="X33" s="11" t="s">
        <v>39</v>
      </c>
      <c r="Y33" s="25"/>
    </row>
    <row r="34" spans="1:25" s="24" customFormat="1" ht="20.25" customHeight="1" x14ac:dyDescent="0.2">
      <c r="A34" s="13" t="s">
        <v>25</v>
      </c>
      <c r="C34" s="26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43"/>
      <c r="X34" s="10" t="s">
        <v>26</v>
      </c>
      <c r="Y34" s="25"/>
    </row>
    <row r="35" spans="1:25" s="24" customFormat="1" ht="15.75" customHeight="1" x14ac:dyDescent="0.2">
      <c r="A35" s="13" t="s">
        <v>27</v>
      </c>
      <c r="C35" s="26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43"/>
      <c r="X35" s="2" t="s">
        <v>28</v>
      </c>
    </row>
    <row r="55" spans="4:22" x14ac:dyDescent="0.2"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4:22" x14ac:dyDescent="0.2"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4:22" x14ac:dyDescent="0.2"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4:22" x14ac:dyDescent="0.2"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4:22" x14ac:dyDescent="0.2"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4:22" x14ac:dyDescent="0.2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4:22" x14ac:dyDescent="0.2"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4:22" x14ac:dyDescent="0.2"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4:22" x14ac:dyDescent="0.2"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4:22" x14ac:dyDescent="0.2"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4:22" x14ac:dyDescent="0.2"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4:22" x14ac:dyDescent="0.2"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4:22" x14ac:dyDescent="0.2"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4:22" x14ac:dyDescent="0.2"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4:22" x14ac:dyDescent="0.2"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4:22" x14ac:dyDescent="0.2"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4:22" x14ac:dyDescent="0.2"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</sheetData>
  <mergeCells count="8">
    <mergeCell ref="A1:X1"/>
    <mergeCell ref="A4:X4"/>
    <mergeCell ref="A2:X2"/>
    <mergeCell ref="A3:X3"/>
    <mergeCell ref="D5:G5"/>
    <mergeCell ref="I5:L5"/>
    <mergeCell ref="N5:Q5"/>
    <mergeCell ref="S5:V5"/>
  </mergeCells>
  <printOptions horizontalCentered="1"/>
  <pageMargins left="0.17" right="0.16" top="0.5" bottom="0.5" header="0.3" footer="0.3"/>
  <pageSetup paperSize="9" scale="6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2018-04-17T04:14:27Z</cp:lastPrinted>
  <dcterms:created xsi:type="dcterms:W3CDTF">2013-04-01T04:26:10Z</dcterms:created>
  <dcterms:modified xsi:type="dcterms:W3CDTF">2018-04-17T04:14:31Z</dcterms:modified>
</cp:coreProperties>
</file>