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2" sheetId="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'14.2'!$A$1:$AD$44</definedName>
  </definedNames>
  <calcPr calcId="162913"/>
</workbook>
</file>

<file path=xl/calcChain.xml><?xml version="1.0" encoding="utf-8"?>
<calcChain xmlns="http://schemas.openxmlformats.org/spreadsheetml/2006/main">
  <c r="Z40" i="3" l="1"/>
  <c r="Y40" i="3"/>
  <c r="X40" i="3"/>
  <c r="W40" i="3"/>
  <c r="Z39" i="3"/>
  <c r="Y39" i="3"/>
  <c r="X39" i="3"/>
  <c r="W39" i="3"/>
  <c r="Z38" i="3"/>
  <c r="Y38" i="3"/>
  <c r="X38" i="3"/>
  <c r="W38" i="3"/>
  <c r="Z37" i="3"/>
  <c r="Y37" i="3"/>
  <c r="X37" i="3"/>
  <c r="W37" i="3"/>
  <c r="Z36" i="3"/>
  <c r="Y36" i="3"/>
  <c r="X36" i="3"/>
  <c r="W36" i="3"/>
  <c r="Z35" i="3"/>
  <c r="Y35" i="3"/>
  <c r="X35" i="3"/>
  <c r="W35" i="3"/>
  <c r="Z34" i="3"/>
  <c r="Y34" i="3"/>
  <c r="X34" i="3"/>
  <c r="W34" i="3"/>
  <c r="Z33" i="3"/>
  <c r="Y33" i="3"/>
  <c r="X33" i="3"/>
  <c r="W33" i="3"/>
  <c r="U40" i="3" l="1"/>
  <c r="T40" i="3"/>
  <c r="S40" i="3"/>
  <c r="R40" i="3"/>
  <c r="U39" i="3"/>
  <c r="T39" i="3"/>
  <c r="S39" i="3"/>
  <c r="R39" i="3"/>
  <c r="U38" i="3"/>
  <c r="T38" i="3"/>
  <c r="S38" i="3"/>
  <c r="R38" i="3"/>
  <c r="U37" i="3"/>
  <c r="T37" i="3"/>
  <c r="S37" i="3"/>
  <c r="R37" i="3"/>
  <c r="U36" i="3"/>
  <c r="T36" i="3"/>
  <c r="S36" i="3"/>
  <c r="R36" i="3"/>
  <c r="U35" i="3"/>
  <c r="T35" i="3"/>
  <c r="S35" i="3"/>
  <c r="R35" i="3"/>
  <c r="U34" i="3"/>
  <c r="T34" i="3"/>
  <c r="S34" i="3"/>
  <c r="R34" i="3"/>
  <c r="U33" i="3"/>
  <c r="T33" i="3"/>
  <c r="S33" i="3"/>
  <c r="R33" i="3"/>
  <c r="P40" i="3" l="1"/>
  <c r="O40" i="3"/>
  <c r="N40" i="3"/>
  <c r="M40" i="3"/>
  <c r="P39" i="3"/>
  <c r="O39" i="3"/>
  <c r="N39" i="3"/>
  <c r="M39" i="3"/>
  <c r="P38" i="3"/>
  <c r="O38" i="3"/>
  <c r="N38" i="3"/>
  <c r="M38" i="3"/>
  <c r="P37" i="3"/>
  <c r="O37" i="3"/>
  <c r="N37" i="3"/>
  <c r="M37" i="3"/>
  <c r="P36" i="3"/>
  <c r="O36" i="3"/>
  <c r="N36" i="3"/>
  <c r="M36" i="3"/>
  <c r="P35" i="3"/>
  <c r="O35" i="3"/>
  <c r="N35" i="3"/>
  <c r="M35" i="3"/>
  <c r="P34" i="3"/>
  <c r="O34" i="3"/>
  <c r="N34" i="3"/>
  <c r="M34" i="3"/>
  <c r="P33" i="3"/>
  <c r="O33" i="3"/>
  <c r="N33" i="3"/>
  <c r="M33" i="3"/>
  <c r="K40" i="3" l="1"/>
  <c r="K39" i="3"/>
  <c r="K38" i="3"/>
  <c r="K37" i="3"/>
  <c r="K36" i="3"/>
  <c r="K35" i="3"/>
  <c r="K34" i="3"/>
  <c r="K33" i="3"/>
</calcChain>
</file>

<file path=xl/sharedStrings.xml><?xml version="1.0" encoding="utf-8"?>
<sst xmlns="http://schemas.openxmlformats.org/spreadsheetml/2006/main" count="121" uniqueCount="82">
  <si>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</si>
  <si>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</si>
  <si>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</si>
  <si>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</si>
  <si>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</si>
  <si>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</si>
  <si>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</si>
  <si>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</si>
  <si>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</si>
  <si>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</si>
  <si>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</si>
  <si>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</si>
  <si>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</si>
  <si>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</si>
  <si>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</si>
  <si>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</si>
  <si>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</si>
  <si>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</si>
  <si>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Other items (net)</t>
  </si>
  <si>
    <t>Annual percentage change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</si>
  <si>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</si>
  <si>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</si>
  <si>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</si>
  <si>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</si>
  <si>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</si>
  <si>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</si>
  <si>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</si>
  <si>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</si>
  <si>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</si>
  <si>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</si>
  <si>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</si>
  <si>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  Claims on nonresidents</t>
  </si>
  <si>
    <t xml:space="preserve"> ބޭރުގެ ފަރާތްތަކުން ލިބެންވާ </t>
  </si>
  <si>
    <t xml:space="preserve">   Liabilities to nonresidents </t>
  </si>
  <si>
    <t xml:space="preserve"> ބޭރުގެ ފަރާތްތަކަށް ދައްކަންޖެހޭ </t>
  </si>
  <si>
    <t>Claims on central bank</t>
  </si>
  <si>
    <t xml:space="preserve"> ސެންޓްރަލް ބޭންކުން ލިބެންވާ</t>
  </si>
  <si>
    <t xml:space="preserve">   Currency</t>
  </si>
  <si>
    <t xml:space="preserve">Wsiawf udugwn </t>
  </si>
  <si>
    <t xml:space="preserve">   Deposits</t>
  </si>
  <si>
    <t xml:space="preserve"> ޑިޕޮސިޓް</t>
  </si>
  <si>
    <t xml:space="preserve">   Securities other than shares</t>
  </si>
  <si>
    <t xml:space="preserve"> ސެކިޔުރިޓީސް (ހިއްސާ ނުހިމަނައި)</t>
  </si>
  <si>
    <t xml:space="preserve">  Other claims</t>
  </si>
  <si>
    <t xml:space="preserve"> އެހެނިހެން</t>
  </si>
  <si>
    <t xml:space="preserve"> ސަރުކާރަށް ދޫކުރެވުނު ދަރަނީގެ ސާފު ބާކީ</t>
  </si>
  <si>
    <t xml:space="preserve">  Claims on central government</t>
  </si>
  <si>
    <t xml:space="preserve"> ސަރުކާރަށް ދޫކުރެވުނު ދަރަނި</t>
  </si>
  <si>
    <t xml:space="preserve">  Liabilities to central government</t>
  </si>
  <si>
    <t xml:space="preserve"> ސަރުކާރަށް ލިބެންވާ ( ޑިޕޮސިޓް އަދި އެހެނިހެން ފައިސާ)</t>
  </si>
  <si>
    <t xml:space="preserve"> އެހެނިހެން ފަރާތްތަކުން ލިބެންވާ</t>
  </si>
  <si>
    <t xml:space="preserve">  Claims on other financial corporations</t>
  </si>
  <si>
    <t xml:space="preserve"> އެހެނިހެން މާލީދާއިރާގެ ކުންފުނިތަކުން</t>
  </si>
  <si>
    <t xml:space="preserve">  Claims on public non-financial corporations</t>
  </si>
  <si>
    <t xml:space="preserve"> ސަރުކާރު ހިއްސާވާ ކުންފުނިތަކުން (މާލީދާއިރާގެ ކުންފުނިތައް ނުހިމަނައި)</t>
  </si>
  <si>
    <t xml:space="preserve">  Claims on private sector</t>
  </si>
  <si>
    <t xml:space="preserve"> އަމިއްލަ ފަރާތްތަކުން    </t>
  </si>
  <si>
    <t>Liabilities to central bank</t>
  </si>
  <si>
    <t xml:space="preserve"> ސެންޓްރަލް ބޭންކަށް ލިބެންވާ</t>
  </si>
  <si>
    <t>Transferable deposits included in broad money</t>
  </si>
  <si>
    <t xml:space="preserve"> ބްރޯޑްމަނީގައި ހިމެނިފައިވާ  ޓްރާސްފަރަބަލް ޑިޕޮސިޓް</t>
  </si>
  <si>
    <t>Other deposits included in broad money</t>
  </si>
  <si>
    <t xml:space="preserve"> ބްރޯޑްމަނީގައި ހިމެނިފައިވާ  އެހެނިހެން ޑިޕޮސިޓް</t>
  </si>
  <si>
    <t>Securities other than shares included in broad money</t>
  </si>
  <si>
    <t xml:space="preserve"> ބްރޯޑްމަނީގައި ހިމެނިފައިވާ  ސެކިޔުރިޓީސް ( ހިއްސާ ނުހިމަނައި)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</si>
  <si>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</si>
  <si>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</si>
  <si>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 xml:space="preserve"> ލޯނު</t>
  </si>
  <si>
    <t>Shares and other equity (Capital accounts)</t>
  </si>
  <si>
    <t xml:space="preserve"> ރަޢުސުލްމާލުގެ ހިސާބު</t>
  </si>
  <si>
    <t xml:space="preserve"> އެހެނިހެން އެސްޓްތަކާއި ލައިބިލިޓީތަކުގެ ސާފު ބާކީ</t>
  </si>
  <si>
    <t xml:space="preserve"> އަހަރުން އަހަރަށް އިތުރުވި މިންވަރު އިންސައްތަ</t>
  </si>
  <si>
    <r>
      <t xml:space="preserve"> </t>
    </r>
    <r>
      <rPr>
        <b/>
        <sz val="9"/>
        <rFont val="A_Randhoo"/>
      </rPr>
      <t xml:space="preserve">IkWbufWs egukwtcTesea egurEb  </t>
    </r>
  </si>
  <si>
    <t>Claims on central government</t>
  </si>
  <si>
    <t>Liabilities to central government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</si>
  <si>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</si>
  <si>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ނޯޓް:</t>
  </si>
  <si>
    <t>NOTE:</t>
  </si>
  <si>
    <t>2015 ޑިސެންބަރު އިސްލާޙުކުރެވިފައި</t>
  </si>
  <si>
    <t xml:space="preserve">            ތާވަލު 14.2: ވިޔަފާރި ބޭންކުތަކުގެ ސާރވޭ 2014 - 2017            </t>
  </si>
  <si>
    <t>Table 14.2: OTHER DEPOSITORY CORPORATIONS SURVEY, 2014 - 2017</t>
  </si>
  <si>
    <t>1_/ :  2014 and 2016 December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</si>
</sst>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vertAlign val="superscript"/>
      <sz val="9"/>
      <name val="Faruma"/>
    </font>
    <font>
      <sz val="9"/>
      <name val="Akuru"/>
      <family val="2"/>
      <charset val="2"/>
    </font>
    <font>
      <b/>
      <u/>
      <vertAlign val="superscript"/>
      <sz val="10"/>
      <name val="A_Randhoo"/>
    </font>
    <font>
      <b/>
      <u/>
      <sz val="10"/>
      <name val="Arial"/>
      <family val="2"/>
    </font>
    <font>
      <b/>
      <u/>
      <sz val="10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4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17" fontId="4" fillId="0" borderId="0" applyFont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70" fontId="4" fillId="0" borderId="0" applyFill="0" applyBorder="0" applyAlignment="0"/>
    <xf numFmtId="0" fontId="41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17" fontId="4" fillId="0" borderId="0" applyFont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1" fillId="0" borderId="0" applyFont="0" applyFill="0" applyBorder="0" applyAlignment="0" applyProtection="0"/>
    <xf numFmtId="14" fontId="44" fillId="0" borderId="0" applyFill="0" applyBorder="0" applyAlignment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7" borderId="0" applyNumberFormat="0" applyBorder="0" applyAlignment="0" applyProtection="0"/>
    <xf numFmtId="170" fontId="4" fillId="0" borderId="0" applyFill="0" applyBorder="0" applyAlignment="0"/>
    <xf numFmtId="0" fontId="41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38" fontId="36" fillId="19" borderId="0" applyNumberFormat="0" applyBorder="0" applyAlignment="0" applyProtection="0"/>
    <xf numFmtId="0" fontId="47" fillId="0" borderId="8" applyNumberFormat="0" applyAlignment="0" applyProtection="0">
      <alignment horizontal="left" vertical="center"/>
    </xf>
    <xf numFmtId="0" fontId="47" fillId="0" borderId="5">
      <alignment horizontal="left" vertical="center"/>
    </xf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0" fontId="36" fillId="20" borderId="12" applyNumberFormat="0" applyBorder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170" fontId="4" fillId="0" borderId="0" applyFill="0" applyBorder="0" applyAlignment="0"/>
    <xf numFmtId="0" fontId="41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176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4" fontId="53" fillId="0" borderId="0" applyFont="0" applyFill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41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56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9" fontId="44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57" fillId="0" borderId="0">
      <alignment vertical="top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146">
    <xf numFmtId="0" fontId="0" fillId="0" borderId="0" xfId="0"/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25" fillId="21" borderId="1" xfId="0" applyFont="1" applyFill="1" applyBorder="1" applyAlignment="1">
      <alignment horizontal="right"/>
    </xf>
    <xf numFmtId="166" fontId="25" fillId="21" borderId="0" xfId="0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6" fontId="22" fillId="21" borderId="0" xfId="0" applyNumberFormat="1" applyFont="1" applyFill="1" applyBorder="1" applyAlignment="1">
      <alignment vertical="center"/>
    </xf>
    <xf numFmtId="166" fontId="9" fillId="21" borderId="0" xfId="0" applyNumberFormat="1" applyFont="1" applyFill="1" applyBorder="1" applyAlignment="1"/>
    <xf numFmtId="0" fontId="17" fillId="21" borderId="0" xfId="0" applyFont="1" applyFill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26" fillId="21" borderId="0" xfId="0" applyFont="1" applyFill="1" applyAlignment="1">
      <alignment horizontal="right"/>
    </xf>
    <xf numFmtId="166" fontId="12" fillId="21" borderId="0" xfId="1" applyNumberFormat="1" applyFont="1" applyFill="1" applyBorder="1" applyAlignment="1">
      <alignment horizontal="right" vertical="center"/>
    </xf>
    <xf numFmtId="0" fontId="17" fillId="21" borderId="0" xfId="0" applyFont="1" applyFill="1" applyAlignment="1">
      <alignment horizontal="right" vertical="center"/>
    </xf>
    <xf numFmtId="166" fontId="9" fillId="21" borderId="0" xfId="0" applyNumberFormat="1" applyFont="1" applyFill="1" applyAlignment="1"/>
    <xf numFmtId="0" fontId="9" fillId="21" borderId="0" xfId="0" applyFont="1" applyFill="1"/>
    <xf numFmtId="164" fontId="6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Border="1" applyAlignment="1">
      <alignment horizontal="right" vertical="center"/>
    </xf>
    <xf numFmtId="0" fontId="26" fillId="21" borderId="0" xfId="0" applyFont="1" applyFill="1" applyAlignment="1">
      <alignment horizontal="right" vertical="center"/>
    </xf>
    <xf numFmtId="164" fontId="11" fillId="21" borderId="0" xfId="2" applyNumberFormat="1" applyFont="1" applyFill="1" applyBorder="1" applyAlignment="1">
      <alignment horizontal="right" vertical="center"/>
    </xf>
    <xf numFmtId="166" fontId="25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6" fontId="11" fillId="21" borderId="0" xfId="2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35" fillId="21" borderId="0" xfId="2" applyNumberFormat="1" applyFont="1" applyFill="1" applyAlignment="1">
      <alignment horizontal="right" vertical="center"/>
    </xf>
    <xf numFmtId="164" fontId="23" fillId="21" borderId="0" xfId="2" applyNumberFormat="1" applyFont="1" applyFill="1" applyAlignment="1">
      <alignment horizontal="left" vertical="center" indent="2"/>
    </xf>
    <xf numFmtId="164" fontId="12" fillId="21" borderId="0" xfId="2" applyNumberFormat="1" applyFont="1" applyFill="1" applyAlignment="1">
      <alignment vertical="center" wrapText="1"/>
    </xf>
    <xf numFmtId="164" fontId="9" fillId="21" borderId="0" xfId="2" applyNumberFormat="1" applyFont="1" applyFill="1" applyBorder="1" applyAlignment="1">
      <alignment vertical="center"/>
    </xf>
    <xf numFmtId="0" fontId="27" fillId="21" borderId="0" xfId="0" applyFont="1" applyFill="1" applyAlignment="1">
      <alignment horizontal="left" indent="4"/>
    </xf>
    <xf numFmtId="0" fontId="0" fillId="21" borderId="0" xfId="0" applyFill="1" applyBorder="1"/>
    <xf numFmtId="0" fontId="0" fillId="21" borderId="0" xfId="0" applyFill="1"/>
    <xf numFmtId="0" fontId="24" fillId="21" borderId="0" xfId="0" applyFont="1" applyFill="1"/>
    <xf numFmtId="164" fontId="3" fillId="21" borderId="0" xfId="2" applyNumberFormat="1" applyFont="1" applyFill="1" applyAlignment="1">
      <alignment vertical="center" readingOrder="2"/>
    </xf>
    <xf numFmtId="164" fontId="28" fillId="21" borderId="0" xfId="2" applyNumberFormat="1" applyFont="1" applyFill="1" applyBorder="1" applyAlignment="1">
      <alignment horizontal="left" vertical="center"/>
    </xf>
    <xf numFmtId="0" fontId="0" fillId="21" borderId="0" xfId="0" applyFill="1" applyBorder="1" applyAlignment="1">
      <alignment horizontal="left"/>
    </xf>
    <xf numFmtId="0" fontId="0" fillId="21" borderId="0" xfId="0" applyFill="1" applyAlignment="1">
      <alignment horizontal="left"/>
    </xf>
    <xf numFmtId="164" fontId="5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 applyProtection="1">
      <alignment horizontal="left" vertical="center"/>
    </xf>
    <xf numFmtId="0" fontId="6" fillId="21" borderId="0" xfId="0" applyFont="1" applyFill="1" applyBorder="1" applyAlignment="1">
      <alignment horizontal="left"/>
    </xf>
    <xf numFmtId="0" fontId="4" fillId="21" borderId="0" xfId="0" applyFont="1" applyFill="1" applyBorder="1" applyAlignment="1">
      <alignment horizontal="left"/>
    </xf>
    <xf numFmtId="0" fontId="8" fillId="21" borderId="0" xfId="0" applyFont="1" applyFill="1" applyBorder="1" applyAlignment="1">
      <alignment horizontal="left"/>
    </xf>
    <xf numFmtId="0" fontId="8" fillId="21" borderId="2" xfId="0" applyFont="1" applyFill="1" applyBorder="1"/>
    <xf numFmtId="0" fontId="15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Continuous"/>
    </xf>
    <xf numFmtId="0" fontId="11" fillId="21" borderId="2" xfId="0" applyFont="1" applyFill="1" applyBorder="1" applyAlignment="1">
      <alignment horizontal="centerContinuous"/>
    </xf>
    <xf numFmtId="0" fontId="24" fillId="21" borderId="2" xfId="0" applyFont="1" applyFill="1" applyBorder="1"/>
    <xf numFmtId="0" fontId="4" fillId="21" borderId="0" xfId="0" applyFont="1" applyFill="1" applyBorder="1"/>
    <xf numFmtId="165" fontId="15" fillId="21" borderId="0" xfId="0" applyNumberFormat="1" applyFont="1" applyFill="1" applyAlignment="1">
      <alignment vertical="center"/>
    </xf>
    <xf numFmtId="0" fontId="7" fillId="21" borderId="0" xfId="0" applyFont="1" applyFill="1" applyBorder="1" applyAlignment="1">
      <alignment horizontal="centerContinuous"/>
    </xf>
    <xf numFmtId="0" fontId="11" fillId="21" borderId="0" xfId="0" applyFont="1" applyFill="1" applyBorder="1" applyAlignment="1">
      <alignment horizontal="centerContinuous"/>
    </xf>
    <xf numFmtId="164" fontId="6" fillId="21" borderId="0" xfId="2" applyNumberFormat="1" applyFont="1" applyFill="1" applyBorder="1" applyAlignment="1">
      <alignment horizontal="right" vertical="center"/>
    </xf>
    <xf numFmtId="0" fontId="16" fillId="21" borderId="1" xfId="0" applyFont="1" applyFill="1" applyBorder="1" applyAlignment="1">
      <alignment horizontal="right"/>
    </xf>
    <xf numFmtId="43" fontId="25" fillId="21" borderId="1" xfId="1" applyFont="1" applyFill="1" applyBorder="1" applyAlignment="1">
      <alignment horizontal="right"/>
    </xf>
    <xf numFmtId="43" fontId="7" fillId="21" borderId="1" xfId="1" applyFont="1" applyFill="1" applyBorder="1" applyAlignment="1">
      <alignment horizontal="right"/>
    </xf>
    <xf numFmtId="43" fontId="11" fillId="21" borderId="1" xfId="1" applyFont="1" applyFill="1" applyBorder="1" applyAlignment="1">
      <alignment horizontal="right"/>
    </xf>
    <xf numFmtId="0" fontId="12" fillId="21" borderId="1" xfId="0" applyFont="1" applyFill="1" applyBorder="1"/>
    <xf numFmtId="0" fontId="9" fillId="21" borderId="0" xfId="0" applyFont="1" applyFill="1" applyBorder="1"/>
    <xf numFmtId="166" fontId="25" fillId="21" borderId="0" xfId="1" applyNumberFormat="1" applyFont="1" applyFill="1" applyBorder="1" applyAlignment="1">
      <alignment vertical="center"/>
    </xf>
    <xf numFmtId="166" fontId="6" fillId="21" borderId="0" xfId="1" applyNumberFormat="1" applyFont="1" applyFill="1" applyAlignment="1"/>
    <xf numFmtId="166" fontId="11" fillId="21" borderId="0" xfId="1" applyNumberFormat="1" applyFont="1" applyFill="1" applyAlignment="1"/>
    <xf numFmtId="164" fontId="1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Border="1" applyAlignment="1">
      <alignment horizontal="right" vertical="center"/>
    </xf>
    <xf numFmtId="165" fontId="16" fillId="21" borderId="0" xfId="0" applyNumberFormat="1" applyFont="1" applyFill="1" applyAlignment="1">
      <alignment vertical="center"/>
    </xf>
    <xf numFmtId="166" fontId="17" fillId="21" borderId="0" xfId="0" applyNumberFormat="1" applyFont="1" applyFill="1" applyBorder="1" applyAlignment="1"/>
    <xf numFmtId="166" fontId="12" fillId="21" borderId="0" xfId="0" applyNumberFormat="1" applyFont="1" applyFill="1" applyBorder="1" applyAlignment="1"/>
    <xf numFmtId="164" fontId="12" fillId="21" borderId="0" xfId="2" applyNumberFormat="1" applyFont="1" applyFill="1" applyAlignment="1">
      <alignment horizontal="right"/>
    </xf>
    <xf numFmtId="164" fontId="17" fillId="21" borderId="0" xfId="2" applyNumberFormat="1" applyFont="1" applyFill="1" applyAlignment="1">
      <alignment horizontal="right"/>
    </xf>
    <xf numFmtId="164" fontId="17" fillId="21" borderId="0" xfId="2" applyNumberFormat="1" applyFont="1" applyFill="1" applyBorder="1" applyAlignment="1">
      <alignment horizontal="right"/>
    </xf>
    <xf numFmtId="164" fontId="7" fillId="21" borderId="0" xfId="2" applyNumberFormat="1" applyFont="1" applyFill="1" applyBorder="1" applyAlignment="1" applyProtection="1">
      <alignment horizontal="right" vertical="center"/>
    </xf>
    <xf numFmtId="164" fontId="19" fillId="21" borderId="0" xfId="2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right" indent="1"/>
    </xf>
    <xf numFmtId="0" fontId="17" fillId="21" borderId="0" xfId="0" applyFont="1" applyFill="1" applyAlignment="1">
      <alignment horizontal="right" indent="1"/>
    </xf>
    <xf numFmtId="0" fontId="17" fillId="21" borderId="0" xfId="0" applyFont="1" applyFill="1" applyBorder="1" applyAlignment="1">
      <alignment horizontal="right" indent="1"/>
    </xf>
    <xf numFmtId="0" fontId="26" fillId="21" borderId="0" xfId="3" applyFont="1" applyFill="1" applyBorder="1" applyAlignment="1">
      <alignment horizontal="right"/>
    </xf>
    <xf numFmtId="166" fontId="9" fillId="21" borderId="0" xfId="2" applyNumberFormat="1" applyFont="1" applyFill="1" applyBorder="1" applyAlignment="1">
      <alignment horizontal="right"/>
    </xf>
    <xf numFmtId="0" fontId="29" fillId="21" borderId="0" xfId="0" applyFont="1" applyFill="1" applyAlignment="1">
      <alignment horizontal="right"/>
    </xf>
    <xf numFmtId="166" fontId="11" fillId="21" borderId="0" xfId="2" applyNumberFormat="1" applyFont="1" applyFill="1" applyBorder="1" applyAlignment="1">
      <alignment vertical="center"/>
    </xf>
    <xf numFmtId="166" fontId="7" fillId="21" borderId="0" xfId="2" applyNumberFormat="1" applyFont="1" applyFill="1" applyBorder="1" applyAlignment="1">
      <alignment vertical="center"/>
    </xf>
    <xf numFmtId="166" fontId="9" fillId="21" borderId="0" xfId="2" applyNumberFormat="1" applyFont="1" applyFill="1" applyBorder="1" applyAlignment="1">
      <alignment vertical="center"/>
    </xf>
    <xf numFmtId="0" fontId="17" fillId="21" borderId="0" xfId="3" applyFont="1" applyFill="1" applyAlignment="1">
      <alignment horizontal="right"/>
    </xf>
    <xf numFmtId="0" fontId="12" fillId="21" borderId="0" xfId="0" applyFont="1" applyFill="1"/>
    <xf numFmtId="166" fontId="17" fillId="21" borderId="0" xfId="0" applyNumberFormat="1" applyFont="1" applyFill="1" applyAlignment="1">
      <alignment horizontal="right"/>
    </xf>
    <xf numFmtId="166" fontId="12" fillId="21" borderId="0" xfId="0" applyNumberFormat="1" applyFont="1" applyFill="1" applyAlignment="1">
      <alignment horizontal="right"/>
    </xf>
    <xf numFmtId="166" fontId="17" fillId="21" borderId="0" xfId="0" applyNumberFormat="1" applyFont="1" applyFill="1" applyBorder="1" applyAlignment="1">
      <alignment horizontal="right"/>
    </xf>
    <xf numFmtId="0" fontId="12" fillId="21" borderId="0" xfId="3" applyFont="1" applyFill="1" applyAlignment="1">
      <alignment horizontal="right"/>
    </xf>
    <xf numFmtId="166" fontId="22" fillId="21" borderId="0" xfId="1" applyNumberFormat="1" applyFont="1" applyFill="1" applyBorder="1" applyAlignment="1">
      <alignment vertical="center"/>
    </xf>
    <xf numFmtId="0" fontId="12" fillId="21" borderId="0" xfId="0" applyFont="1" applyFill="1" applyAlignment="1">
      <alignment horizontal="right"/>
    </xf>
    <xf numFmtId="166" fontId="17" fillId="21" borderId="0" xfId="0" applyNumberFormat="1" applyFont="1" applyFill="1" applyAlignment="1"/>
    <xf numFmtId="0" fontId="17" fillId="21" borderId="0" xfId="0" applyFont="1" applyFill="1"/>
    <xf numFmtId="166" fontId="12" fillId="21" borderId="0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0" fontId="15" fillId="21" borderId="0" xfId="0" applyFont="1" applyFill="1"/>
    <xf numFmtId="166" fontId="6" fillId="21" borderId="0" xfId="1" applyNumberFormat="1" applyFont="1" applyFill="1" applyBorder="1" applyAlignment="1"/>
    <xf numFmtId="166" fontId="17" fillId="21" borderId="0" xfId="1" applyNumberFormat="1" applyFont="1" applyFill="1" applyBorder="1" applyAlignment="1"/>
    <xf numFmtId="164" fontId="26" fillId="21" borderId="0" xfId="2" applyNumberFormat="1" applyFont="1" applyFill="1" applyBorder="1" applyAlignment="1">
      <alignment horizontal="right" vertical="center"/>
    </xf>
    <xf numFmtId="166" fontId="17" fillId="21" borderId="0" xfId="1" applyNumberFormat="1" applyFont="1" applyFill="1" applyBorder="1" applyAlignment="1">
      <alignment horizontal="right" vertical="center"/>
    </xf>
    <xf numFmtId="0" fontId="11" fillId="21" borderId="0" xfId="0" applyFont="1" applyFill="1" applyAlignment="1">
      <alignment horizontal="right"/>
    </xf>
    <xf numFmtId="0" fontId="17" fillId="21" borderId="0" xfId="0" applyFont="1" applyFill="1" applyBorder="1" applyAlignment="1">
      <alignment horizontal="right"/>
    </xf>
    <xf numFmtId="37" fontId="9" fillId="21" borderId="0" xfId="2" applyNumberFormat="1" applyFont="1" applyFill="1" applyBorder="1" applyAlignment="1" applyProtection="1">
      <alignment vertical="center"/>
    </xf>
    <xf numFmtId="0" fontId="29" fillId="21" borderId="0" xfId="0" applyFont="1" applyFill="1" applyAlignment="1">
      <alignment horizontal="right" vertical="center"/>
    </xf>
    <xf numFmtId="164" fontId="30" fillId="21" borderId="0" xfId="2" applyNumberFormat="1" applyFont="1" applyFill="1" applyBorder="1" applyAlignment="1">
      <alignment horizontal="right" vertical="center"/>
    </xf>
    <xf numFmtId="166" fontId="12" fillId="21" borderId="0" xfId="0" applyNumberFormat="1" applyFont="1" applyFill="1" applyAlignment="1"/>
    <xf numFmtId="164" fontId="9" fillId="21" borderId="0" xfId="2" applyNumberFormat="1" applyFont="1" applyFill="1" applyBorder="1" applyAlignment="1" applyProtection="1">
      <alignment horizontal="left" vertical="center"/>
    </xf>
    <xf numFmtId="166" fontId="25" fillId="21" borderId="0" xfId="0" applyNumberFormat="1" applyFont="1" applyFill="1" applyAlignment="1">
      <alignment vertical="center"/>
    </xf>
    <xf numFmtId="165" fontId="15" fillId="21" borderId="1" xfId="0" applyNumberFormat="1" applyFont="1" applyFill="1" applyBorder="1" applyAlignment="1">
      <alignment vertical="center"/>
    </xf>
    <xf numFmtId="166" fontId="17" fillId="21" borderId="1" xfId="0" applyNumberFormat="1" applyFont="1" applyFill="1" applyBorder="1" applyAlignment="1"/>
    <xf numFmtId="166" fontId="12" fillId="21" borderId="1" xfId="0" applyNumberFormat="1" applyFont="1" applyFill="1" applyBorder="1" applyAlignment="1"/>
    <xf numFmtId="167" fontId="20" fillId="21" borderId="0" xfId="1" applyNumberFormat="1" applyFont="1" applyFill="1" applyBorder="1" applyAlignment="1" applyProtection="1">
      <alignment vertical="center"/>
    </xf>
    <xf numFmtId="0" fontId="22" fillId="21" borderId="0" xfId="0" applyFont="1" applyFill="1" applyAlignment="1">
      <alignment vertical="center"/>
    </xf>
    <xf numFmtId="164" fontId="31" fillId="21" borderId="0" xfId="2" applyNumberFormat="1" applyFont="1" applyFill="1" applyBorder="1" applyAlignment="1">
      <alignment horizontal="right" vertical="center"/>
    </xf>
    <xf numFmtId="164" fontId="32" fillId="21" borderId="0" xfId="2" applyNumberFormat="1" applyFont="1" applyFill="1" applyBorder="1" applyAlignment="1">
      <alignment vertical="center"/>
    </xf>
    <xf numFmtId="164" fontId="33" fillId="21" borderId="0" xfId="2" applyNumberFormat="1" applyFont="1" applyFill="1" applyBorder="1" applyAlignment="1">
      <alignment horizontal="right" vertical="center"/>
    </xf>
    <xf numFmtId="166" fontId="25" fillId="21" borderId="0" xfId="0" applyNumberFormat="1" applyFont="1" applyFill="1"/>
    <xf numFmtId="166" fontId="22" fillId="21" borderId="0" xfId="0" applyNumberFormat="1" applyFont="1" applyFill="1"/>
    <xf numFmtId="166" fontId="17" fillId="21" borderId="0" xfId="0" applyNumberFormat="1" applyFont="1" applyFill="1" applyBorder="1" applyAlignment="1">
      <alignment vertical="center"/>
    </xf>
    <xf numFmtId="165" fontId="16" fillId="21" borderId="1" xfId="0" applyNumberFormat="1" applyFont="1" applyFill="1" applyBorder="1" applyAlignment="1">
      <alignment vertical="center"/>
    </xf>
    <xf numFmtId="166" fontId="22" fillId="21" borderId="1" xfId="0" applyNumberFormat="1" applyFont="1" applyFill="1" applyBorder="1" applyAlignment="1">
      <alignment vertical="center"/>
    </xf>
    <xf numFmtId="166" fontId="17" fillId="21" borderId="1" xfId="0" applyNumberFormat="1" applyFont="1" applyFill="1" applyBorder="1" applyAlignment="1">
      <alignment vertical="center"/>
    </xf>
    <xf numFmtId="0" fontId="12" fillId="21" borderId="1" xfId="0" applyFont="1" applyFill="1" applyBorder="1" applyAlignment="1">
      <alignment horizontal="right"/>
    </xf>
    <xf numFmtId="166" fontId="9" fillId="21" borderId="0" xfId="0" applyNumberFormat="1" applyFont="1" applyFill="1"/>
    <xf numFmtId="164" fontId="25" fillId="21" borderId="1" xfId="2" applyNumberFormat="1" applyFont="1" applyFill="1" applyBorder="1" applyAlignment="1" applyProtection="1">
      <alignment horizontal="right" vertical="center"/>
    </xf>
    <xf numFmtId="166" fontId="15" fillId="21" borderId="0" xfId="0" applyNumberFormat="1" applyFont="1" applyFill="1" applyBorder="1" applyAlignment="1">
      <alignment vertical="center"/>
    </xf>
    <xf numFmtId="166" fontId="16" fillId="21" borderId="0" xfId="0" applyNumberFormat="1" applyFont="1" applyFill="1" applyBorder="1" applyAlignment="1">
      <alignment vertical="center"/>
    </xf>
    <xf numFmtId="166" fontId="15" fillId="21" borderId="1" xfId="0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166" fontId="16" fillId="21" borderId="0" xfId="1" applyNumberFormat="1" applyFont="1" applyFill="1" applyBorder="1" applyAlignment="1">
      <alignment vertical="center"/>
    </xf>
    <xf numFmtId="166" fontId="15" fillId="21" borderId="0" xfId="0" applyNumberFormat="1" applyFont="1" applyFill="1" applyAlignment="1">
      <alignment vertical="center"/>
    </xf>
    <xf numFmtId="0" fontId="16" fillId="21" borderId="0" xfId="0" applyFont="1" applyFill="1" applyAlignment="1">
      <alignment vertical="center"/>
    </xf>
    <xf numFmtId="166" fontId="15" fillId="21" borderId="0" xfId="0" applyNumberFormat="1" applyFont="1" applyFill="1"/>
    <xf numFmtId="166" fontId="16" fillId="21" borderId="0" xfId="0" applyNumberFormat="1" applyFont="1" applyFill="1"/>
    <xf numFmtId="166" fontId="16" fillId="21" borderId="1" xfId="0" applyNumberFormat="1" applyFont="1" applyFill="1" applyBorder="1" applyAlignment="1">
      <alignment vertical="center"/>
    </xf>
    <xf numFmtId="43" fontId="9" fillId="21" borderId="0" xfId="1" applyFont="1" applyFill="1"/>
    <xf numFmtId="164" fontId="59" fillId="21" borderId="0" xfId="2" applyNumberFormat="1" applyFont="1" applyFill="1" applyAlignment="1">
      <alignment horizontal="left" vertical="center" indent="2"/>
    </xf>
    <xf numFmtId="164" fontId="60" fillId="21" borderId="0" xfId="2" applyNumberFormat="1" applyFont="1" applyFill="1" applyAlignment="1">
      <alignment vertical="center"/>
    </xf>
    <xf numFmtId="164" fontId="60" fillId="21" borderId="0" xfId="2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4" fontId="3" fillId="21" borderId="0" xfId="2" applyNumberFormat="1" applyFont="1" applyFill="1" applyAlignment="1">
      <alignment horizontal="center" vertical="center" readingOrder="2"/>
    </xf>
    <xf numFmtId="0" fontId="5" fillId="21" borderId="3" xfId="0" applyFont="1" applyFill="1" applyBorder="1" applyAlignment="1">
      <alignment horizontal="center" vertical="center"/>
    </xf>
    <xf numFmtId="164" fontId="61" fillId="21" borderId="0" xfId="2" applyNumberFormat="1" applyFont="1" applyFill="1" applyBorder="1" applyAlignment="1">
      <alignment horizontal="right" vertical="center" readingOrder="2"/>
    </xf>
    <xf numFmtId="164" fontId="62" fillId="21" borderId="0" xfId="2" applyNumberFormat="1" applyFont="1" applyFill="1" applyBorder="1" applyAlignment="1" applyProtection="1">
      <alignment horizontal="center" vertical="center"/>
    </xf>
    <xf numFmtId="0" fontId="28" fillId="21" borderId="0" xfId="0" applyFont="1" applyFill="1" applyBorder="1" applyAlignment="1">
      <alignment horizontal="center"/>
    </xf>
    <xf numFmtId="0" fontId="62" fillId="21" borderId="1" xfId="0" applyFont="1" applyFill="1" applyBorder="1" applyAlignment="1">
      <alignment horizontal="center"/>
    </xf>
    <xf numFmtId="0" fontId="15" fillId="21" borderId="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L97"/>
  <sheetViews>
    <sheetView tabSelected="1" zoomScaleNormal="100" workbookViewId="0">
      <selection activeCell="O15" sqref="O15"/>
    </sheetView>
  </sheetViews>
  <sheetFormatPr defaultColWidth="8.85546875" defaultRowHeight="18.75"/>
  <cols>
    <col min="1" max="1" width="56.5703125" style="33" customWidth="1"/>
    <col min="2" max="2" width="1.28515625" style="33" customWidth="1"/>
    <col min="3" max="6" width="10.140625" style="33" hidden="1" customWidth="1"/>
    <col min="7" max="7" width="1.28515625" style="33" hidden="1" customWidth="1"/>
    <col min="8" max="11" width="10.140625" style="33" customWidth="1"/>
    <col min="12" max="12" width="1.28515625" style="33" customWidth="1"/>
    <col min="13" max="16" width="10.140625" style="33" customWidth="1"/>
    <col min="17" max="17" width="1.85546875" style="33" customWidth="1"/>
    <col min="18" max="21" width="10.140625" style="33" customWidth="1"/>
    <col min="22" max="22" width="1.85546875" style="33" customWidth="1"/>
    <col min="23" max="26" width="10.140625" style="33" customWidth="1"/>
    <col min="27" max="27" width="28.85546875" style="33" customWidth="1"/>
    <col min="28" max="28" width="5.5703125" style="33" customWidth="1"/>
    <col min="29" max="29" width="5.85546875" style="34" customWidth="1"/>
    <col min="30" max="30" width="5.42578125" style="34" customWidth="1"/>
    <col min="31" max="31" width="2.5703125" style="33" customWidth="1"/>
    <col min="32" max="33" width="4" style="33" customWidth="1"/>
    <col min="34" max="16384" width="8.85546875" style="33"/>
  </cols>
  <sheetData>
    <row r="1" spans="1:38" s="38" customFormat="1" ht="17.45" customHeight="1">
      <c r="A1" s="139" t="s">
        <v>79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35"/>
      <c r="AF1" s="36"/>
      <c r="AG1" s="36"/>
      <c r="AH1" s="37"/>
      <c r="AI1" s="37"/>
      <c r="AJ1" s="37"/>
      <c r="AK1" s="37"/>
      <c r="AL1" s="37"/>
    </row>
    <row r="2" spans="1:38" s="38" customFormat="1" ht="17.25" customHeight="1">
      <c r="A2" s="142" t="s">
        <v>80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39"/>
      <c r="AF2" s="40"/>
      <c r="AG2" s="40"/>
      <c r="AH2" s="37"/>
      <c r="AI2" s="37"/>
      <c r="AJ2" s="37"/>
      <c r="AK2" s="37"/>
      <c r="AL2" s="37"/>
    </row>
    <row r="3" spans="1:38" s="38" customFormat="1" ht="19.5">
      <c r="A3" s="143" t="s">
        <v>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41"/>
      <c r="AF3" s="41"/>
      <c r="AG3" s="41"/>
      <c r="AH3" s="42"/>
      <c r="AI3" s="37"/>
      <c r="AJ3" s="37"/>
      <c r="AK3" s="37"/>
      <c r="AL3" s="37"/>
    </row>
    <row r="4" spans="1:38" s="38" customFormat="1" ht="15.75">
      <c r="A4" s="144" t="s">
        <v>1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43"/>
      <c r="AF4" s="43"/>
      <c r="AG4" s="43"/>
      <c r="AH4" s="42"/>
      <c r="AI4" s="37"/>
      <c r="AJ4" s="37"/>
      <c r="AK4" s="37"/>
      <c r="AL4" s="37"/>
    </row>
    <row r="5" spans="1:38" ht="24.75" customHeight="1">
      <c r="A5" s="44"/>
      <c r="B5" s="45"/>
      <c r="C5" s="140">
        <v>2013</v>
      </c>
      <c r="D5" s="140"/>
      <c r="E5" s="140"/>
      <c r="F5" s="140"/>
      <c r="G5" s="45"/>
      <c r="H5" s="140">
        <v>2014</v>
      </c>
      <c r="I5" s="140"/>
      <c r="J5" s="140"/>
      <c r="K5" s="140"/>
      <c r="L5" s="45"/>
      <c r="M5" s="145">
        <v>2015</v>
      </c>
      <c r="N5" s="145"/>
      <c r="O5" s="145"/>
      <c r="P5" s="145"/>
      <c r="Q5" s="45"/>
      <c r="R5" s="145">
        <v>2016</v>
      </c>
      <c r="S5" s="145"/>
      <c r="T5" s="145"/>
      <c r="U5" s="145"/>
      <c r="V5" s="45"/>
      <c r="W5" s="145">
        <v>2017</v>
      </c>
      <c r="X5" s="145"/>
      <c r="Y5" s="145"/>
      <c r="Z5" s="145"/>
      <c r="AA5" s="46"/>
      <c r="AB5" s="46"/>
      <c r="AC5" s="47"/>
      <c r="AD5" s="48"/>
      <c r="AE5" s="49"/>
      <c r="AF5" s="49"/>
      <c r="AG5" s="49"/>
      <c r="AH5" s="49"/>
      <c r="AI5" s="32"/>
      <c r="AJ5" s="32"/>
      <c r="AK5" s="32"/>
      <c r="AL5" s="32"/>
    </row>
    <row r="6" spans="1:38" ht="18">
      <c r="A6" s="50" t="s">
        <v>2</v>
      </c>
      <c r="B6" s="1"/>
      <c r="C6" s="2" t="s">
        <v>3</v>
      </c>
      <c r="D6" s="2" t="s">
        <v>4</v>
      </c>
      <c r="E6" s="2" t="s">
        <v>5</v>
      </c>
      <c r="F6" s="2" t="s">
        <v>7</v>
      </c>
      <c r="G6" s="1"/>
      <c r="H6" s="2" t="s">
        <v>3</v>
      </c>
      <c r="I6" s="2" t="s">
        <v>4</v>
      </c>
      <c r="J6" s="2" t="s">
        <v>5</v>
      </c>
      <c r="K6" s="1" t="s">
        <v>6</v>
      </c>
      <c r="L6" s="1"/>
      <c r="M6" s="2" t="s">
        <v>3</v>
      </c>
      <c r="N6" s="2" t="s">
        <v>4</v>
      </c>
      <c r="O6" s="2" t="s">
        <v>5</v>
      </c>
      <c r="P6" s="1" t="s">
        <v>7</v>
      </c>
      <c r="Q6" s="1"/>
      <c r="R6" s="2" t="s">
        <v>3</v>
      </c>
      <c r="S6" s="2" t="s">
        <v>4</v>
      </c>
      <c r="T6" s="2" t="s">
        <v>5</v>
      </c>
      <c r="U6" s="1" t="s">
        <v>6</v>
      </c>
      <c r="V6" s="1"/>
      <c r="W6" s="2" t="s">
        <v>3</v>
      </c>
      <c r="X6" s="2" t="s">
        <v>4</v>
      </c>
      <c r="Y6" s="2" t="s">
        <v>5</v>
      </c>
      <c r="Z6" s="1" t="s">
        <v>7</v>
      </c>
      <c r="AA6" s="51"/>
      <c r="AB6" s="51"/>
      <c r="AC6" s="52"/>
      <c r="AD6" s="53" t="s">
        <v>8</v>
      </c>
      <c r="AE6" s="53"/>
      <c r="AF6" s="53"/>
      <c r="AG6" s="53"/>
      <c r="AH6" s="49"/>
      <c r="AI6" s="32"/>
      <c r="AJ6" s="32"/>
      <c r="AK6" s="32"/>
      <c r="AL6" s="32"/>
    </row>
    <row r="7" spans="1:38" ht="17.25" customHeight="1">
      <c r="A7" s="54"/>
      <c r="B7" s="55"/>
      <c r="C7" s="3" t="s">
        <v>9</v>
      </c>
      <c r="D7" s="3" t="s">
        <v>10</v>
      </c>
      <c r="E7" s="3" t="s">
        <v>11</v>
      </c>
      <c r="F7" s="3" t="s">
        <v>26</v>
      </c>
      <c r="G7" s="55"/>
      <c r="H7" s="55" t="s">
        <v>9</v>
      </c>
      <c r="I7" s="55" t="s">
        <v>10</v>
      </c>
      <c r="J7" s="55" t="s">
        <v>11</v>
      </c>
      <c r="K7" s="123" t="s">
        <v>75</v>
      </c>
      <c r="L7" s="55"/>
      <c r="M7" s="55" t="s">
        <v>9</v>
      </c>
      <c r="N7" s="55" t="s">
        <v>10</v>
      </c>
      <c r="O7" s="55" t="s">
        <v>11</v>
      </c>
      <c r="P7" s="55" t="s">
        <v>26</v>
      </c>
      <c r="Q7" s="55"/>
      <c r="R7" s="55" t="s">
        <v>9</v>
      </c>
      <c r="S7" s="55" t="s">
        <v>10</v>
      </c>
      <c r="T7" s="55" t="s">
        <v>11</v>
      </c>
      <c r="U7" s="123" t="s">
        <v>75</v>
      </c>
      <c r="V7" s="55"/>
      <c r="W7" s="55" t="s">
        <v>9</v>
      </c>
      <c r="X7" s="55" t="s">
        <v>10</v>
      </c>
      <c r="Y7" s="55" t="s">
        <v>11</v>
      </c>
      <c r="Z7" s="55" t="s">
        <v>26</v>
      </c>
      <c r="AA7" s="56"/>
      <c r="AB7" s="56"/>
      <c r="AC7" s="57"/>
      <c r="AD7" s="58"/>
      <c r="AE7" s="59"/>
      <c r="AF7" s="59"/>
      <c r="AG7" s="59"/>
      <c r="AH7" s="59"/>
      <c r="AI7" s="32"/>
      <c r="AJ7" s="32"/>
      <c r="AK7" s="32"/>
      <c r="AL7" s="32"/>
    </row>
    <row r="8" spans="1:38" s="15" customFormat="1" ht="16.5" customHeight="1">
      <c r="A8" s="50" t="s">
        <v>20</v>
      </c>
      <c r="B8" s="60"/>
      <c r="C8" s="127">
        <v>3454.7659999999996</v>
      </c>
      <c r="D8" s="127">
        <v>2555.0659999999998</v>
      </c>
      <c r="E8" s="127">
        <v>2748.1469999999999</v>
      </c>
      <c r="F8" s="127">
        <v>3505.4120000000003</v>
      </c>
      <c r="G8" s="127"/>
      <c r="H8" s="127">
        <v>6419.8360000000011</v>
      </c>
      <c r="I8" s="127">
        <v>5305.0460000000012</v>
      </c>
      <c r="J8" s="127">
        <v>3587.4176516733992</v>
      </c>
      <c r="K8" s="127">
        <v>3409.9570000000003</v>
      </c>
      <c r="L8" s="127"/>
      <c r="M8" s="127">
        <v>4270.4160000000011</v>
      </c>
      <c r="N8" s="127">
        <v>4186.8530000000001</v>
      </c>
      <c r="O8" s="127">
        <v>3882.893</v>
      </c>
      <c r="P8" s="127">
        <v>4070.1390000000001</v>
      </c>
      <c r="Q8" s="127"/>
      <c r="R8" s="127">
        <v>4451.4940000000015</v>
      </c>
      <c r="S8" s="127">
        <v>3316.7969999999996</v>
      </c>
      <c r="T8" s="127">
        <v>3712.5530000000008</v>
      </c>
      <c r="U8" s="127">
        <v>2621.3179999999998</v>
      </c>
      <c r="V8" s="127"/>
      <c r="W8" s="127">
        <v>2639.6460000000002</v>
      </c>
      <c r="X8" s="127">
        <v>2279.2860000000005</v>
      </c>
      <c r="Y8" s="127">
        <v>1007.7460000000001</v>
      </c>
      <c r="Z8" s="127">
        <v>1688.5509999999999</v>
      </c>
      <c r="AA8" s="61"/>
      <c r="AB8" s="61"/>
      <c r="AC8" s="62"/>
      <c r="AD8" s="63" t="s">
        <v>30</v>
      </c>
      <c r="AE8" s="63"/>
      <c r="AF8" s="64"/>
      <c r="AG8" s="64"/>
      <c r="AH8" s="59"/>
      <c r="AI8" s="59"/>
      <c r="AJ8" s="53"/>
      <c r="AK8" s="53"/>
      <c r="AL8" s="53"/>
    </row>
    <row r="9" spans="1:38" s="15" customFormat="1" ht="16.5" customHeight="1">
      <c r="A9" s="65" t="s">
        <v>31</v>
      </c>
      <c r="B9" s="7"/>
      <c r="C9" s="125">
        <v>4400.8339999999998</v>
      </c>
      <c r="D9" s="125">
        <v>3514.067</v>
      </c>
      <c r="E9" s="125">
        <v>3617.0369999999998</v>
      </c>
      <c r="F9" s="125">
        <v>4727.7890000000007</v>
      </c>
      <c r="G9" s="125"/>
      <c r="H9" s="125">
        <v>7340.5570000000007</v>
      </c>
      <c r="I9" s="125">
        <v>5903.7850000000008</v>
      </c>
      <c r="J9" s="125">
        <v>4556.3306516733992</v>
      </c>
      <c r="K9" s="125">
        <v>4600.5140000000001</v>
      </c>
      <c r="L9" s="125"/>
      <c r="M9" s="125">
        <v>5209.4740000000011</v>
      </c>
      <c r="N9" s="125">
        <v>5203.68</v>
      </c>
      <c r="O9" s="125">
        <v>4747.0309999999999</v>
      </c>
      <c r="P9" s="125">
        <v>5112.7849999999999</v>
      </c>
      <c r="Q9" s="125"/>
      <c r="R9" s="125">
        <v>5610.7910000000011</v>
      </c>
      <c r="S9" s="125">
        <v>5005.8369999999995</v>
      </c>
      <c r="T9" s="125">
        <v>5388.3660000000009</v>
      </c>
      <c r="U9" s="125">
        <v>4519.4179999999997</v>
      </c>
      <c r="V9" s="125"/>
      <c r="W9" s="125">
        <v>4619.8140000000003</v>
      </c>
      <c r="X9" s="125">
        <v>3928.1240000000003</v>
      </c>
      <c r="Y9" s="125">
        <v>3230.3100000000004</v>
      </c>
      <c r="Z9" s="125">
        <v>3906.5149999999999</v>
      </c>
      <c r="AA9" s="66"/>
      <c r="AB9" s="66"/>
      <c r="AC9" s="67" t="s">
        <v>32</v>
      </c>
      <c r="AD9" s="68"/>
      <c r="AE9" s="69"/>
      <c r="AF9" s="70"/>
      <c r="AG9" s="70"/>
      <c r="AH9" s="59"/>
      <c r="AI9" s="59"/>
      <c r="AJ9" s="71"/>
      <c r="AK9" s="71"/>
      <c r="AL9" s="72"/>
    </row>
    <row r="10" spans="1:38" s="15" customFormat="1" ht="16.5" customHeight="1">
      <c r="A10" s="65" t="s">
        <v>33</v>
      </c>
      <c r="B10" s="7"/>
      <c r="C10" s="125">
        <v>-946.06799999999998</v>
      </c>
      <c r="D10" s="125">
        <v>-959.00100000000009</v>
      </c>
      <c r="E10" s="125">
        <v>-868.89</v>
      </c>
      <c r="F10" s="125">
        <v>-1222.3770000000002</v>
      </c>
      <c r="G10" s="125"/>
      <c r="H10" s="125">
        <v>-920.721</v>
      </c>
      <c r="I10" s="125">
        <v>-598.73899999999992</v>
      </c>
      <c r="J10" s="125">
        <v>-968.91300000000001</v>
      </c>
      <c r="K10" s="125">
        <v>-1190.5569999999998</v>
      </c>
      <c r="L10" s="125"/>
      <c r="M10" s="125">
        <v>-939.05799999999988</v>
      </c>
      <c r="N10" s="125">
        <v>-1016.8270000000001</v>
      </c>
      <c r="O10" s="125">
        <v>-864.13800000000003</v>
      </c>
      <c r="P10" s="125">
        <v>-1042.646</v>
      </c>
      <c r="Q10" s="125"/>
      <c r="R10" s="125">
        <v>-1159.2969999999998</v>
      </c>
      <c r="S10" s="125">
        <v>-1689.04</v>
      </c>
      <c r="T10" s="125">
        <v>-1675.8130000000001</v>
      </c>
      <c r="U10" s="125">
        <v>-1898.1</v>
      </c>
      <c r="V10" s="125"/>
      <c r="W10" s="125">
        <v>-1980.1680000000001</v>
      </c>
      <c r="X10" s="125">
        <v>-1648.8379999999997</v>
      </c>
      <c r="Y10" s="125">
        <v>-2222.5640000000003</v>
      </c>
      <c r="Z10" s="125">
        <v>-2217.9639999999999</v>
      </c>
      <c r="AA10" s="9"/>
      <c r="AB10" s="9"/>
      <c r="AC10" s="67" t="s">
        <v>34</v>
      </c>
      <c r="AD10" s="73"/>
      <c r="AE10" s="74"/>
      <c r="AF10" s="75"/>
      <c r="AG10" s="75"/>
      <c r="AH10" s="76"/>
      <c r="AI10" s="59"/>
      <c r="AJ10" s="77"/>
      <c r="AK10" s="77"/>
      <c r="AL10" s="64"/>
    </row>
    <row r="11" spans="1:38" s="15" customFormat="1" ht="16.5" customHeight="1">
      <c r="A11" s="50" t="s">
        <v>35</v>
      </c>
      <c r="B11" s="4"/>
      <c r="C11" s="124">
        <v>7055.701</v>
      </c>
      <c r="D11" s="124">
        <v>7663.8980000000001</v>
      </c>
      <c r="E11" s="124">
        <v>7431.1360000000004</v>
      </c>
      <c r="F11" s="124">
        <v>7810.5360000000001</v>
      </c>
      <c r="G11" s="124"/>
      <c r="H11" s="124">
        <v>9417.69</v>
      </c>
      <c r="I11" s="124">
        <v>9515.8360000000011</v>
      </c>
      <c r="J11" s="124">
        <v>10433.374</v>
      </c>
      <c r="K11" s="124">
        <v>11496.556999999999</v>
      </c>
      <c r="L11" s="124"/>
      <c r="M11" s="124">
        <v>12044.128999999999</v>
      </c>
      <c r="N11" s="124">
        <v>12949.737999999999</v>
      </c>
      <c r="O11" s="124">
        <v>11109.649000000001</v>
      </c>
      <c r="P11" s="124">
        <v>10810.08</v>
      </c>
      <c r="Q11" s="124"/>
      <c r="R11" s="124">
        <v>12224.622000000001</v>
      </c>
      <c r="S11" s="124">
        <v>11496.288</v>
      </c>
      <c r="T11" s="124">
        <v>10696.642999999998</v>
      </c>
      <c r="U11" s="124">
        <v>9681.6290000000008</v>
      </c>
      <c r="V11" s="124"/>
      <c r="W11" s="124">
        <v>10149.427</v>
      </c>
      <c r="X11" s="124">
        <v>9750.3269999999993</v>
      </c>
      <c r="Y11" s="124">
        <v>10346.641</v>
      </c>
      <c r="Z11" s="124">
        <v>11090.992000000002</v>
      </c>
      <c r="AA11" s="11"/>
      <c r="AB11" s="11"/>
      <c r="AC11" s="78"/>
      <c r="AD11" s="79" t="s">
        <v>36</v>
      </c>
      <c r="AE11" s="80"/>
      <c r="AF11" s="80"/>
      <c r="AG11" s="80"/>
      <c r="AH11" s="59"/>
      <c r="AI11" s="59"/>
      <c r="AJ11" s="81"/>
      <c r="AK11" s="81"/>
      <c r="AL11" s="17"/>
    </row>
    <row r="12" spans="1:38" s="15" customFormat="1" ht="16.5" customHeight="1">
      <c r="A12" s="65" t="s">
        <v>37</v>
      </c>
      <c r="B12" s="7"/>
      <c r="C12" s="125">
        <v>369.072</v>
      </c>
      <c r="D12" s="125">
        <v>408.654</v>
      </c>
      <c r="E12" s="125">
        <v>402.33</v>
      </c>
      <c r="F12" s="125">
        <v>450.54199999999997</v>
      </c>
      <c r="G12" s="125"/>
      <c r="H12" s="125">
        <v>406.68799999999999</v>
      </c>
      <c r="I12" s="125">
        <v>490.03899999999999</v>
      </c>
      <c r="J12" s="125">
        <v>411.94799999999998</v>
      </c>
      <c r="K12" s="125">
        <v>416.71899999999999</v>
      </c>
      <c r="L12" s="125"/>
      <c r="M12" s="125">
        <v>467.10300000000001</v>
      </c>
      <c r="N12" s="125">
        <v>489.99700000000001</v>
      </c>
      <c r="O12" s="125">
        <v>555.53800000000001</v>
      </c>
      <c r="P12" s="125">
        <v>464.55</v>
      </c>
      <c r="Q12" s="125"/>
      <c r="R12" s="125">
        <v>568.15200000000004</v>
      </c>
      <c r="S12" s="125">
        <v>636.24300000000005</v>
      </c>
      <c r="T12" s="125">
        <v>548.23699999999997</v>
      </c>
      <c r="U12" s="125">
        <v>548.50199999999995</v>
      </c>
      <c r="V12" s="125"/>
      <c r="W12" s="125">
        <v>598.27</v>
      </c>
      <c r="X12" s="125">
        <v>648.39099999999996</v>
      </c>
      <c r="Y12" s="125">
        <v>609.23900000000003</v>
      </c>
      <c r="Z12" s="125">
        <v>582.66399999999999</v>
      </c>
      <c r="AA12" s="9"/>
      <c r="AB12" s="9"/>
      <c r="AC12" s="82" t="s">
        <v>38</v>
      </c>
      <c r="AD12" s="83"/>
      <c r="AF12" s="59"/>
      <c r="AG12" s="59"/>
      <c r="AH12" s="59"/>
      <c r="AI12" s="59"/>
      <c r="AJ12" s="81"/>
      <c r="AK12" s="81"/>
      <c r="AL12" s="17"/>
    </row>
    <row r="13" spans="1:38" s="15" customFormat="1" ht="16.5" customHeight="1">
      <c r="A13" s="65" t="s">
        <v>39</v>
      </c>
      <c r="B13" s="7"/>
      <c r="C13" s="125">
        <v>6271.2470000000003</v>
      </c>
      <c r="D13" s="125">
        <v>6819.81</v>
      </c>
      <c r="E13" s="125">
        <v>6197.8610000000008</v>
      </c>
      <c r="F13" s="125">
        <v>6457.799</v>
      </c>
      <c r="G13" s="125"/>
      <c r="H13" s="125">
        <v>8029.8739999999998</v>
      </c>
      <c r="I13" s="125">
        <v>9025.7970000000005</v>
      </c>
      <c r="J13" s="125">
        <v>10021.425999999999</v>
      </c>
      <c r="K13" s="125">
        <v>11079.838</v>
      </c>
      <c r="L13" s="125"/>
      <c r="M13" s="125">
        <v>11577.026</v>
      </c>
      <c r="N13" s="125">
        <v>12459.741</v>
      </c>
      <c r="O13" s="125">
        <v>10554.111000000001</v>
      </c>
      <c r="P13" s="125">
        <v>10345.530000000001</v>
      </c>
      <c r="Q13" s="125"/>
      <c r="R13" s="125">
        <v>11656.470000000001</v>
      </c>
      <c r="S13" s="125">
        <v>10860.045</v>
      </c>
      <c r="T13" s="125">
        <v>10148.405999999999</v>
      </c>
      <c r="U13" s="125">
        <v>9133.1270000000004</v>
      </c>
      <c r="V13" s="125"/>
      <c r="W13" s="125">
        <v>9551.1569999999992</v>
      </c>
      <c r="X13" s="125">
        <v>9101.9359999999997</v>
      </c>
      <c r="Y13" s="125">
        <v>9737.402</v>
      </c>
      <c r="Z13" s="125">
        <v>10508.328000000001</v>
      </c>
      <c r="AA13" s="84"/>
      <c r="AB13" s="84"/>
      <c r="AC13" s="85" t="s">
        <v>40</v>
      </c>
      <c r="AD13" s="68"/>
      <c r="AE13" s="69"/>
      <c r="AF13" s="70"/>
      <c r="AG13" s="70"/>
      <c r="AH13" s="59"/>
      <c r="AI13" s="59"/>
      <c r="AJ13" s="81"/>
      <c r="AK13" s="81"/>
      <c r="AL13" s="53"/>
    </row>
    <row r="14" spans="1:38" s="15" customFormat="1" ht="16.5" customHeight="1">
      <c r="A14" s="65" t="s">
        <v>41</v>
      </c>
      <c r="B14" s="7"/>
      <c r="C14" s="125">
        <v>0</v>
      </c>
      <c r="D14" s="125">
        <v>0</v>
      </c>
      <c r="E14" s="125">
        <v>0</v>
      </c>
      <c r="F14" s="125">
        <v>0</v>
      </c>
      <c r="G14" s="125"/>
      <c r="H14" s="125">
        <v>0</v>
      </c>
      <c r="I14" s="125">
        <v>0</v>
      </c>
      <c r="J14" s="125">
        <v>0</v>
      </c>
      <c r="K14" s="125">
        <v>0</v>
      </c>
      <c r="L14" s="125"/>
      <c r="M14" s="125">
        <v>0</v>
      </c>
      <c r="N14" s="125">
        <v>0</v>
      </c>
      <c r="O14" s="125">
        <v>0</v>
      </c>
      <c r="P14" s="125">
        <v>0</v>
      </c>
      <c r="Q14" s="125"/>
      <c r="R14" s="125">
        <v>0</v>
      </c>
      <c r="S14" s="125">
        <v>0</v>
      </c>
      <c r="T14" s="125">
        <v>0</v>
      </c>
      <c r="U14" s="125">
        <v>0</v>
      </c>
      <c r="V14" s="125"/>
      <c r="W14" s="125">
        <v>0</v>
      </c>
      <c r="X14" s="125">
        <v>0</v>
      </c>
      <c r="Y14" s="125">
        <v>0</v>
      </c>
      <c r="Z14" s="125">
        <v>0</v>
      </c>
      <c r="AA14" s="86"/>
      <c r="AB14" s="86"/>
      <c r="AC14" s="87" t="s">
        <v>42</v>
      </c>
      <c r="AD14" s="68"/>
      <c r="AE14" s="69"/>
      <c r="AF14" s="70"/>
      <c r="AG14" s="70"/>
      <c r="AH14" s="59"/>
      <c r="AI14" s="59"/>
      <c r="AJ14" s="30"/>
      <c r="AK14" s="17"/>
      <c r="AL14" s="17"/>
    </row>
    <row r="15" spans="1:38" s="15" customFormat="1" ht="16.5" customHeight="1">
      <c r="A15" s="65" t="s">
        <v>43</v>
      </c>
      <c r="B15" s="88"/>
      <c r="C15" s="128">
        <v>415.38200000000001</v>
      </c>
      <c r="D15" s="128">
        <v>435.43400000000003</v>
      </c>
      <c r="E15" s="128">
        <v>830.94500000000005</v>
      </c>
      <c r="F15" s="128">
        <v>902.19500000000005</v>
      </c>
      <c r="G15" s="128"/>
      <c r="H15" s="128">
        <v>981.12800000000004</v>
      </c>
      <c r="I15" s="128">
        <v>0</v>
      </c>
      <c r="J15" s="128">
        <v>0</v>
      </c>
      <c r="K15" s="128">
        <v>0</v>
      </c>
      <c r="L15" s="128"/>
      <c r="M15" s="128">
        <v>0</v>
      </c>
      <c r="N15" s="128">
        <v>0</v>
      </c>
      <c r="O15" s="128">
        <v>0</v>
      </c>
      <c r="P15" s="128">
        <v>0</v>
      </c>
      <c r="Q15" s="128"/>
      <c r="R15" s="128">
        <v>0</v>
      </c>
      <c r="S15" s="128">
        <v>0</v>
      </c>
      <c r="T15" s="128">
        <v>0</v>
      </c>
      <c r="U15" s="128">
        <v>0</v>
      </c>
      <c r="V15" s="128"/>
      <c r="W15" s="128">
        <v>0</v>
      </c>
      <c r="X15" s="128">
        <v>0</v>
      </c>
      <c r="Y15" s="128">
        <v>0</v>
      </c>
      <c r="Z15" s="128">
        <v>0</v>
      </c>
      <c r="AA15" s="9"/>
      <c r="AB15" s="9"/>
      <c r="AC15" s="89" t="s">
        <v>44</v>
      </c>
      <c r="AD15" s="73"/>
      <c r="AE15" s="74"/>
      <c r="AF15" s="75"/>
      <c r="AG15" s="75"/>
      <c r="AH15" s="59"/>
      <c r="AI15" s="59"/>
      <c r="AJ15" s="81"/>
      <c r="AK15" s="81"/>
      <c r="AL15" s="17"/>
    </row>
    <row r="16" spans="1:38" s="15" customFormat="1" ht="16.5" customHeight="1">
      <c r="A16" s="50" t="s">
        <v>27</v>
      </c>
      <c r="B16" s="4"/>
      <c r="C16" s="124">
        <v>2385.7199999999993</v>
      </c>
      <c r="D16" s="124">
        <v>2798.0260000000003</v>
      </c>
      <c r="E16" s="124">
        <v>2747.4829999999997</v>
      </c>
      <c r="F16" s="124">
        <v>2680.4869999999996</v>
      </c>
      <c r="G16" s="124"/>
      <c r="H16" s="124">
        <v>3158.5669999999991</v>
      </c>
      <c r="I16" s="124">
        <v>3473.24</v>
      </c>
      <c r="J16" s="124">
        <v>3524.8010000000008</v>
      </c>
      <c r="K16" s="124">
        <v>3821.2919999999995</v>
      </c>
      <c r="L16" s="124"/>
      <c r="M16" s="124">
        <v>3955.708000000001</v>
      </c>
      <c r="N16" s="124">
        <v>4507.3959999999997</v>
      </c>
      <c r="O16" s="124">
        <v>5836.6009999999997</v>
      </c>
      <c r="P16" s="124">
        <v>5924.6669999999995</v>
      </c>
      <c r="Q16" s="124"/>
      <c r="R16" s="124">
        <v>6354.0410000000002</v>
      </c>
      <c r="S16" s="124">
        <v>7259.9580000000005</v>
      </c>
      <c r="T16" s="124">
        <v>7639.4900000000007</v>
      </c>
      <c r="U16" s="124">
        <v>8115.0990000000011</v>
      </c>
      <c r="V16" s="124"/>
      <c r="W16" s="124">
        <v>7560.8140000000003</v>
      </c>
      <c r="X16" s="124">
        <v>9047.603000000001</v>
      </c>
      <c r="Y16" s="124">
        <v>6877.915</v>
      </c>
      <c r="Z16" s="124">
        <v>7230.1350000000002</v>
      </c>
      <c r="AA16" s="13"/>
      <c r="AB16" s="13"/>
      <c r="AC16" s="83"/>
      <c r="AD16" s="79" t="s">
        <v>45</v>
      </c>
      <c r="AE16" s="74"/>
      <c r="AF16" s="75"/>
      <c r="AG16" s="75"/>
      <c r="AH16" s="59"/>
      <c r="AI16" s="59"/>
      <c r="AJ16" s="81"/>
      <c r="AK16" s="81"/>
      <c r="AL16" s="17"/>
    </row>
    <row r="17" spans="1:38" s="15" customFormat="1" ht="16.5" customHeight="1">
      <c r="A17" s="65" t="s">
        <v>46</v>
      </c>
      <c r="B17" s="7"/>
      <c r="C17" s="125">
        <v>4368.7879999999996</v>
      </c>
      <c r="D17" s="125">
        <v>4563.6400000000003</v>
      </c>
      <c r="E17" s="125">
        <v>4398.2669999999998</v>
      </c>
      <c r="F17" s="125">
        <v>4475.0169999999998</v>
      </c>
      <c r="G17" s="125"/>
      <c r="H17" s="125">
        <v>5540.8269999999993</v>
      </c>
      <c r="I17" s="125">
        <v>5958.6279999999997</v>
      </c>
      <c r="J17" s="125">
        <v>5685.7540000000008</v>
      </c>
      <c r="K17" s="125">
        <v>5914.2789999999995</v>
      </c>
      <c r="L17" s="125"/>
      <c r="M17" s="125">
        <v>6415.1860000000006</v>
      </c>
      <c r="N17" s="125">
        <v>6831.6679999999997</v>
      </c>
      <c r="O17" s="125">
        <v>7687.7759999999998</v>
      </c>
      <c r="P17" s="125">
        <v>7858.1019999999999</v>
      </c>
      <c r="Q17" s="125"/>
      <c r="R17" s="125">
        <v>8455.92</v>
      </c>
      <c r="S17" s="125">
        <v>9072.6560000000009</v>
      </c>
      <c r="T17" s="125">
        <v>9497.2720000000008</v>
      </c>
      <c r="U17" s="125">
        <v>10109.079000000002</v>
      </c>
      <c r="V17" s="125"/>
      <c r="W17" s="125">
        <v>9867.2070000000003</v>
      </c>
      <c r="X17" s="125">
        <v>10578.969000000001</v>
      </c>
      <c r="Y17" s="125">
        <v>8462.2860000000001</v>
      </c>
      <c r="Z17" s="125">
        <v>9003.1139999999996</v>
      </c>
      <c r="AA17" s="90"/>
      <c r="AB17" s="91"/>
      <c r="AC17" s="92" t="s">
        <v>47</v>
      </c>
      <c r="AD17" s="68"/>
      <c r="AE17" s="69"/>
      <c r="AF17" s="70"/>
      <c r="AG17" s="70"/>
      <c r="AH17" s="59"/>
      <c r="AI17" s="59"/>
      <c r="AJ17" s="30"/>
      <c r="AK17" s="81"/>
      <c r="AL17" s="30"/>
    </row>
    <row r="18" spans="1:38" s="15" customFormat="1" ht="16.5" customHeight="1">
      <c r="A18" s="65" t="s">
        <v>48</v>
      </c>
      <c r="B18" s="7"/>
      <c r="C18" s="125">
        <v>-1983.068</v>
      </c>
      <c r="D18" s="125">
        <v>-1765.614</v>
      </c>
      <c r="E18" s="125">
        <v>-1650.7840000000001</v>
      </c>
      <c r="F18" s="125">
        <v>-1794.5300000000002</v>
      </c>
      <c r="G18" s="125"/>
      <c r="H18" s="125">
        <v>-2382.2600000000002</v>
      </c>
      <c r="I18" s="125">
        <v>-2485.3879999999999</v>
      </c>
      <c r="J18" s="125">
        <v>-2160.953</v>
      </c>
      <c r="K18" s="125">
        <v>-2092.9870000000001</v>
      </c>
      <c r="L18" s="125"/>
      <c r="M18" s="125">
        <v>-2459.4779999999996</v>
      </c>
      <c r="N18" s="125">
        <v>-2324.2719999999999</v>
      </c>
      <c r="O18" s="125">
        <v>-1851.1750000000002</v>
      </c>
      <c r="P18" s="125">
        <v>-1933.4349999999999</v>
      </c>
      <c r="Q18" s="125"/>
      <c r="R18" s="125">
        <v>-2101.8789999999999</v>
      </c>
      <c r="S18" s="125">
        <v>-1812.6979999999999</v>
      </c>
      <c r="T18" s="125">
        <v>-1857.7820000000002</v>
      </c>
      <c r="U18" s="125">
        <v>-1993.9800000000005</v>
      </c>
      <c r="V18" s="125"/>
      <c r="W18" s="125">
        <v>-2306.393</v>
      </c>
      <c r="X18" s="125">
        <v>-1531.366</v>
      </c>
      <c r="Y18" s="125">
        <v>-1584.3710000000001</v>
      </c>
      <c r="Z18" s="125">
        <v>-1772.9789999999998</v>
      </c>
      <c r="AA18" s="90"/>
      <c r="AB18" s="91"/>
      <c r="AC18" s="68" t="s">
        <v>49</v>
      </c>
      <c r="AD18" s="68"/>
      <c r="AE18" s="69"/>
      <c r="AF18" s="70"/>
      <c r="AG18" s="70"/>
      <c r="AH18" s="59"/>
      <c r="AI18" s="59"/>
      <c r="AJ18" s="81"/>
      <c r="AK18" s="93"/>
      <c r="AL18" s="17"/>
    </row>
    <row r="19" spans="1:38" s="15" customFormat="1" ht="16.5" customHeight="1">
      <c r="A19" s="94" t="s">
        <v>28</v>
      </c>
      <c r="B19" s="60"/>
      <c r="C19" s="127">
        <v>16487.942999999999</v>
      </c>
      <c r="D19" s="127">
        <v>16210.236999999999</v>
      </c>
      <c r="E19" s="127">
        <v>16344.25</v>
      </c>
      <c r="F19" s="127">
        <v>16314.062000000002</v>
      </c>
      <c r="G19" s="127"/>
      <c r="H19" s="127">
        <v>16524.533000000003</v>
      </c>
      <c r="I19" s="127">
        <v>16246.105</v>
      </c>
      <c r="J19" s="127">
        <v>17260.942000000003</v>
      </c>
      <c r="K19" s="127">
        <v>16665.727999999999</v>
      </c>
      <c r="L19" s="127"/>
      <c r="M19" s="127">
        <v>16388.255000000001</v>
      </c>
      <c r="N19" s="127">
        <v>16243.652</v>
      </c>
      <c r="O19" s="127">
        <v>17823.684000000001</v>
      </c>
      <c r="P19" s="127">
        <v>18522.336000000003</v>
      </c>
      <c r="Q19" s="127"/>
      <c r="R19" s="127">
        <v>18871.988999999998</v>
      </c>
      <c r="S19" s="127">
        <v>19439.917000000001</v>
      </c>
      <c r="T19" s="127">
        <v>20003.448</v>
      </c>
      <c r="U19" s="127">
        <v>20440.933999999997</v>
      </c>
      <c r="V19" s="127"/>
      <c r="W19" s="127">
        <v>21179.805</v>
      </c>
      <c r="X19" s="127">
        <v>21798.734999999997</v>
      </c>
      <c r="Y19" s="127">
        <v>22704.972999999998</v>
      </c>
      <c r="Z19" s="127">
        <v>23476.731999999996</v>
      </c>
      <c r="AA19" s="95"/>
      <c r="AB19" s="95"/>
      <c r="AC19" s="83"/>
      <c r="AD19" s="23" t="s">
        <v>50</v>
      </c>
      <c r="AF19" s="1"/>
      <c r="AG19" s="1"/>
      <c r="AH19" s="59"/>
      <c r="AI19" s="59"/>
      <c r="AJ19" s="17"/>
      <c r="AK19" s="93"/>
      <c r="AL19" s="17"/>
    </row>
    <row r="20" spans="1:38" s="15" customFormat="1" ht="16.5" customHeight="1">
      <c r="A20" s="65" t="s">
        <v>51</v>
      </c>
      <c r="B20" s="7"/>
      <c r="C20" s="125">
        <v>120.855</v>
      </c>
      <c r="D20" s="125">
        <v>67.334000000000003</v>
      </c>
      <c r="E20" s="125">
        <v>84.122</v>
      </c>
      <c r="F20" s="125">
        <v>109.22699999999999</v>
      </c>
      <c r="G20" s="125"/>
      <c r="H20" s="125">
        <v>279.93099999999998</v>
      </c>
      <c r="I20" s="125">
        <v>304.803</v>
      </c>
      <c r="J20" s="125">
        <v>268.23400000000004</v>
      </c>
      <c r="K20" s="125">
        <v>288.30900000000003</v>
      </c>
      <c r="L20" s="125"/>
      <c r="M20" s="125">
        <v>329.00299999999999</v>
      </c>
      <c r="N20" s="125">
        <v>311.13800000000003</v>
      </c>
      <c r="O20" s="125">
        <v>304.36300000000006</v>
      </c>
      <c r="P20" s="125">
        <v>303.904</v>
      </c>
      <c r="Q20" s="125"/>
      <c r="R20" s="125">
        <v>289.697</v>
      </c>
      <c r="S20" s="125">
        <v>345.32799999999997</v>
      </c>
      <c r="T20" s="125">
        <v>364.41200000000003</v>
      </c>
      <c r="U20" s="125">
        <v>429.74599999999998</v>
      </c>
      <c r="V20" s="125"/>
      <c r="W20" s="125">
        <v>517.58600000000001</v>
      </c>
      <c r="X20" s="125">
        <v>544.21299999999997</v>
      </c>
      <c r="Y20" s="125">
        <v>514.23199999999997</v>
      </c>
      <c r="Z20" s="125">
        <v>572.30500000000006</v>
      </c>
      <c r="AA20" s="84"/>
      <c r="AB20" s="96"/>
      <c r="AC20" s="12" t="s">
        <v>52</v>
      </c>
      <c r="AD20" s="83"/>
      <c r="AF20" s="97"/>
      <c r="AG20" s="97"/>
      <c r="AH20" s="59"/>
      <c r="AI20" s="98"/>
      <c r="AJ20" s="17"/>
      <c r="AK20" s="93"/>
      <c r="AL20" s="17"/>
    </row>
    <row r="21" spans="1:38" s="15" customFormat="1" ht="16.5" customHeight="1">
      <c r="A21" s="65" t="s">
        <v>53</v>
      </c>
      <c r="B21" s="7"/>
      <c r="C21" s="125">
        <v>1421.2000000000003</v>
      </c>
      <c r="D21" s="125">
        <v>1408.3390000000002</v>
      </c>
      <c r="E21" s="125">
        <v>1404.922</v>
      </c>
      <c r="F21" s="125">
        <v>1574.433</v>
      </c>
      <c r="G21" s="125"/>
      <c r="H21" s="125">
        <v>1741.1799999999998</v>
      </c>
      <c r="I21" s="125">
        <v>1332.875</v>
      </c>
      <c r="J21" s="125">
        <v>1512.0800000000002</v>
      </c>
      <c r="K21" s="125">
        <v>1333.845</v>
      </c>
      <c r="L21" s="125"/>
      <c r="M21" s="125">
        <v>1334.692</v>
      </c>
      <c r="N21" s="125">
        <v>1208.345</v>
      </c>
      <c r="O21" s="125">
        <v>1569.03</v>
      </c>
      <c r="P21" s="125">
        <v>1408.1579999999999</v>
      </c>
      <c r="Q21" s="125"/>
      <c r="R21" s="125">
        <v>1438.932</v>
      </c>
      <c r="S21" s="125">
        <v>1417.3140000000001</v>
      </c>
      <c r="T21" s="125">
        <v>1346.3030000000001</v>
      </c>
      <c r="U21" s="125">
        <v>1434.3029999999999</v>
      </c>
      <c r="V21" s="125"/>
      <c r="W21" s="125">
        <v>1518.2079999999999</v>
      </c>
      <c r="X21" s="125">
        <v>1451.2159999999997</v>
      </c>
      <c r="Y21" s="125">
        <v>1544.885</v>
      </c>
      <c r="Z21" s="125">
        <v>1619.704</v>
      </c>
      <c r="AA21" s="90"/>
      <c r="AB21" s="90"/>
      <c r="AC21" s="138" t="s">
        <v>54</v>
      </c>
      <c r="AD21" s="83"/>
      <c r="AE21" s="5"/>
      <c r="AF21" s="97"/>
      <c r="AG21" s="97"/>
      <c r="AH21" s="59"/>
      <c r="AI21" s="5"/>
      <c r="AJ21" s="93"/>
      <c r="AK21" s="93"/>
      <c r="AL21" s="53"/>
    </row>
    <row r="22" spans="1:38" s="15" customFormat="1" ht="16.5" customHeight="1">
      <c r="A22" s="65" t="s">
        <v>55</v>
      </c>
      <c r="B22" s="7"/>
      <c r="C22" s="125">
        <v>14945.887999999999</v>
      </c>
      <c r="D22" s="125">
        <v>14734.563999999998</v>
      </c>
      <c r="E22" s="125">
        <v>14855.206</v>
      </c>
      <c r="F22" s="125">
        <v>14630.402000000002</v>
      </c>
      <c r="G22" s="125"/>
      <c r="H22" s="125">
        <v>14503.422000000002</v>
      </c>
      <c r="I22" s="125">
        <v>14608.427</v>
      </c>
      <c r="J22" s="125">
        <v>15480.628000000001</v>
      </c>
      <c r="K22" s="125">
        <v>15043.574000000001</v>
      </c>
      <c r="L22" s="125"/>
      <c r="M22" s="125">
        <v>14724.560000000001</v>
      </c>
      <c r="N22" s="125">
        <v>14724.169</v>
      </c>
      <c r="O22" s="125">
        <v>15950.291000000001</v>
      </c>
      <c r="P22" s="125">
        <v>16810.274000000001</v>
      </c>
      <c r="Q22" s="125"/>
      <c r="R22" s="125">
        <v>17143.359999999997</v>
      </c>
      <c r="S22" s="125">
        <v>17677.275000000001</v>
      </c>
      <c r="T22" s="125">
        <v>18292.733</v>
      </c>
      <c r="U22" s="125">
        <v>18576.884999999998</v>
      </c>
      <c r="V22" s="125"/>
      <c r="W22" s="125">
        <v>19144.010999999999</v>
      </c>
      <c r="X22" s="125">
        <v>19803.305999999997</v>
      </c>
      <c r="Y22" s="125">
        <v>20645.856</v>
      </c>
      <c r="Z22" s="125">
        <v>21284.722999999998</v>
      </c>
      <c r="AA22" s="66"/>
      <c r="AB22" s="66"/>
      <c r="AC22" s="138" t="s">
        <v>56</v>
      </c>
      <c r="AD22" s="83"/>
      <c r="AE22" s="5"/>
      <c r="AF22" s="17"/>
      <c r="AG22" s="17"/>
      <c r="AH22" s="59"/>
      <c r="AI22" s="5"/>
      <c r="AJ22" s="30"/>
      <c r="AK22" s="17"/>
      <c r="AL22" s="30"/>
    </row>
    <row r="23" spans="1:38" s="15" customFormat="1" ht="16.5" customHeight="1">
      <c r="A23" s="50" t="s">
        <v>57</v>
      </c>
      <c r="B23" s="4"/>
      <c r="C23" s="124">
        <v>0</v>
      </c>
      <c r="D23" s="124">
        <v>0</v>
      </c>
      <c r="E23" s="124">
        <v>0</v>
      </c>
      <c r="F23" s="124">
        <v>0</v>
      </c>
      <c r="G23" s="124"/>
      <c r="H23" s="124">
        <v>0</v>
      </c>
      <c r="I23" s="124">
        <v>0</v>
      </c>
      <c r="J23" s="124">
        <v>0</v>
      </c>
      <c r="K23" s="124">
        <v>0</v>
      </c>
      <c r="L23" s="124"/>
      <c r="M23" s="124">
        <v>0</v>
      </c>
      <c r="N23" s="124">
        <v>0</v>
      </c>
      <c r="O23" s="124">
        <v>0</v>
      </c>
      <c r="P23" s="124">
        <v>0</v>
      </c>
      <c r="Q23" s="124"/>
      <c r="R23" s="124">
        <v>0</v>
      </c>
      <c r="S23" s="124">
        <v>0</v>
      </c>
      <c r="T23" s="124">
        <v>0</v>
      </c>
      <c r="U23" s="124">
        <v>0</v>
      </c>
      <c r="V23" s="124"/>
      <c r="W23" s="124">
        <v>0</v>
      </c>
      <c r="X23" s="124">
        <v>0</v>
      </c>
      <c r="Y23" s="124">
        <v>0</v>
      </c>
      <c r="Z23" s="124">
        <v>0</v>
      </c>
      <c r="AA23" s="9"/>
      <c r="AB23" s="9"/>
      <c r="AC23" s="89"/>
      <c r="AD23" s="99" t="s">
        <v>58</v>
      </c>
      <c r="AE23" s="9"/>
      <c r="AF23" s="100"/>
      <c r="AG23" s="100"/>
      <c r="AH23" s="59"/>
      <c r="AI23" s="59"/>
      <c r="AJ23" s="17"/>
      <c r="AK23" s="101"/>
      <c r="AL23" s="30"/>
    </row>
    <row r="24" spans="1:38" s="15" customFormat="1" ht="16.5" customHeight="1">
      <c r="A24" s="50" t="s">
        <v>59</v>
      </c>
      <c r="B24" s="4"/>
      <c r="C24" s="124">
        <v>16311.911999999998</v>
      </c>
      <c r="D24" s="124">
        <v>16190.973</v>
      </c>
      <c r="E24" s="124">
        <v>15810.918000000001</v>
      </c>
      <c r="F24" s="124">
        <v>16684.201000000001</v>
      </c>
      <c r="G24" s="124"/>
      <c r="H24" s="124">
        <v>20635.573</v>
      </c>
      <c r="I24" s="124">
        <v>19540.894</v>
      </c>
      <c r="J24" s="124">
        <v>18630.580999999998</v>
      </c>
      <c r="K24" s="124">
        <v>19435.883999999998</v>
      </c>
      <c r="L24" s="124"/>
      <c r="M24" s="124">
        <v>20674.549000000003</v>
      </c>
      <c r="N24" s="124">
        <v>21465.87</v>
      </c>
      <c r="O24" s="124">
        <v>22164.685000000001</v>
      </c>
      <c r="P24" s="124">
        <v>22870.678</v>
      </c>
      <c r="Q24" s="124"/>
      <c r="R24" s="124">
        <v>24036.155000000002</v>
      </c>
      <c r="S24" s="124">
        <v>23030.773000000001</v>
      </c>
      <c r="T24" s="124">
        <v>23093.136999999999</v>
      </c>
      <c r="U24" s="124">
        <v>21920.218999999997</v>
      </c>
      <c r="V24" s="124"/>
      <c r="W24" s="124">
        <v>22402.950999999997</v>
      </c>
      <c r="X24" s="124">
        <v>23395.618000000002</v>
      </c>
      <c r="Y24" s="124">
        <v>21824.916000000001</v>
      </c>
      <c r="Z24" s="124">
        <v>23521.492999999999</v>
      </c>
      <c r="AA24" s="18"/>
      <c r="AB24" s="18"/>
      <c r="AC24" s="102"/>
      <c r="AD24" s="99" t="s">
        <v>60</v>
      </c>
      <c r="AE24" s="9"/>
      <c r="AF24" s="100"/>
      <c r="AG24" s="100"/>
      <c r="AH24" s="59"/>
      <c r="AI24" s="59"/>
      <c r="AJ24" s="30"/>
      <c r="AK24" s="30"/>
      <c r="AL24" s="103"/>
    </row>
    <row r="25" spans="1:38" s="15" customFormat="1" ht="16.5" customHeight="1">
      <c r="A25" s="50" t="s">
        <v>61</v>
      </c>
      <c r="B25" s="4"/>
      <c r="C25" s="124">
        <v>4098.8530000000001</v>
      </c>
      <c r="D25" s="124">
        <v>4094.8889999999997</v>
      </c>
      <c r="E25" s="124">
        <v>4350.3969999999999</v>
      </c>
      <c r="F25" s="124">
        <v>4189.0829999999996</v>
      </c>
      <c r="G25" s="124"/>
      <c r="H25" s="124">
        <v>5009.5069999999996</v>
      </c>
      <c r="I25" s="124">
        <v>4656.8639999999996</v>
      </c>
      <c r="J25" s="124">
        <v>4761.1020000000008</v>
      </c>
      <c r="K25" s="124">
        <v>5077.4049999999997</v>
      </c>
      <c r="L25" s="124"/>
      <c r="M25" s="124">
        <v>4999.6109999999999</v>
      </c>
      <c r="N25" s="124">
        <v>5053.5810000000001</v>
      </c>
      <c r="O25" s="124">
        <v>5035.7269999999999</v>
      </c>
      <c r="P25" s="124">
        <v>4864.0199999999995</v>
      </c>
      <c r="Q25" s="124"/>
      <c r="R25" s="124">
        <v>5881.3259999999991</v>
      </c>
      <c r="S25" s="124">
        <v>6030.4169999999995</v>
      </c>
      <c r="T25" s="124">
        <v>6084.3080000000009</v>
      </c>
      <c r="U25" s="124">
        <v>5821.0319999999992</v>
      </c>
      <c r="V25" s="124"/>
      <c r="W25" s="124">
        <v>5839.7400000000007</v>
      </c>
      <c r="X25" s="124">
        <v>5632.6399999999994</v>
      </c>
      <c r="Y25" s="124">
        <v>5289.6379999999999</v>
      </c>
      <c r="Z25" s="124">
        <v>5572.6220000000003</v>
      </c>
      <c r="AA25" s="90"/>
      <c r="AB25" s="90"/>
      <c r="AC25" s="104"/>
      <c r="AD25" s="99" t="s">
        <v>62</v>
      </c>
      <c r="AE25" s="5"/>
      <c r="AF25" s="17"/>
      <c r="AG25" s="17"/>
      <c r="AH25" s="59"/>
      <c r="AI25" s="59"/>
      <c r="AJ25" s="17"/>
      <c r="AK25" s="30"/>
      <c r="AL25" s="30"/>
    </row>
    <row r="26" spans="1:38" s="15" customFormat="1" ht="16.5" customHeight="1">
      <c r="A26" s="50" t="s">
        <v>63</v>
      </c>
      <c r="B26" s="4"/>
      <c r="C26" s="124">
        <v>0</v>
      </c>
      <c r="D26" s="124">
        <v>0</v>
      </c>
      <c r="E26" s="124">
        <v>0</v>
      </c>
      <c r="F26" s="124">
        <v>0</v>
      </c>
      <c r="G26" s="124"/>
      <c r="H26" s="124">
        <v>0</v>
      </c>
      <c r="I26" s="124">
        <v>0</v>
      </c>
      <c r="J26" s="124">
        <v>0</v>
      </c>
      <c r="K26" s="124">
        <v>0</v>
      </c>
      <c r="L26" s="124"/>
      <c r="M26" s="124">
        <v>0</v>
      </c>
      <c r="N26" s="124">
        <v>0</v>
      </c>
      <c r="O26" s="124">
        <v>0</v>
      </c>
      <c r="P26" s="124">
        <v>0</v>
      </c>
      <c r="Q26" s="124"/>
      <c r="R26" s="124">
        <v>0</v>
      </c>
      <c r="S26" s="124">
        <v>0</v>
      </c>
      <c r="T26" s="124">
        <v>0</v>
      </c>
      <c r="U26" s="124">
        <v>0</v>
      </c>
      <c r="V26" s="124"/>
      <c r="W26" s="124">
        <v>0</v>
      </c>
      <c r="X26" s="124">
        <v>0</v>
      </c>
      <c r="Y26" s="124">
        <v>0</v>
      </c>
      <c r="Z26" s="124">
        <v>0</v>
      </c>
      <c r="AA26" s="90"/>
      <c r="AB26" s="90"/>
      <c r="AC26" s="104"/>
      <c r="AD26" s="99" t="s">
        <v>64</v>
      </c>
      <c r="AE26" s="9"/>
      <c r="AF26" s="100"/>
      <c r="AG26" s="100"/>
      <c r="AH26" s="59"/>
      <c r="AI26" s="59"/>
      <c r="AJ26" s="30"/>
      <c r="AK26" s="30"/>
      <c r="AL26" s="103"/>
    </row>
    <row r="27" spans="1:38" s="15" customFormat="1" ht="16.5" customHeight="1">
      <c r="A27" s="50" t="s">
        <v>15</v>
      </c>
      <c r="B27" s="4"/>
      <c r="C27" s="124">
        <v>263.49099999999999</v>
      </c>
      <c r="D27" s="124">
        <v>281.64400000000001</v>
      </c>
      <c r="E27" s="124">
        <v>287.06</v>
      </c>
      <c r="F27" s="124">
        <v>370.32600000000002</v>
      </c>
      <c r="G27" s="124"/>
      <c r="H27" s="124">
        <v>331.553</v>
      </c>
      <c r="I27" s="124">
        <v>392.85599999999999</v>
      </c>
      <c r="J27" s="124">
        <v>343.59000000000003</v>
      </c>
      <c r="K27" s="124">
        <v>375.99099999999999</v>
      </c>
      <c r="L27" s="124"/>
      <c r="M27" s="124">
        <v>433.90100000000001</v>
      </c>
      <c r="N27" s="124">
        <v>393.66899999999998</v>
      </c>
      <c r="O27" s="124">
        <v>441.48899999999998</v>
      </c>
      <c r="P27" s="124">
        <v>349.50400000000002</v>
      </c>
      <c r="Q27" s="124"/>
      <c r="R27" s="124">
        <v>438.29400000000004</v>
      </c>
      <c r="S27" s="124">
        <v>481.625</v>
      </c>
      <c r="T27" s="124">
        <v>513.85199999999998</v>
      </c>
      <c r="U27" s="124">
        <v>526.20100000000002</v>
      </c>
      <c r="V27" s="124"/>
      <c r="W27" s="124">
        <v>357.22999999999996</v>
      </c>
      <c r="X27" s="124">
        <v>333.38099999999997</v>
      </c>
      <c r="Y27" s="124">
        <v>317.01700000000005</v>
      </c>
      <c r="Z27" s="124">
        <v>350.53699999999998</v>
      </c>
      <c r="AA27" s="90"/>
      <c r="AB27" s="90"/>
      <c r="AC27" s="104"/>
      <c r="AD27" s="10" t="s">
        <v>65</v>
      </c>
      <c r="AE27" s="5"/>
      <c r="AF27" s="17"/>
      <c r="AG27" s="17"/>
      <c r="AH27" s="59"/>
      <c r="AI27" s="59"/>
      <c r="AJ27" s="17"/>
      <c r="AK27" s="30"/>
      <c r="AL27" s="105"/>
    </row>
    <row r="28" spans="1:38" s="15" customFormat="1" ht="16.5" customHeight="1">
      <c r="A28" s="50" t="s">
        <v>16</v>
      </c>
      <c r="B28" s="106"/>
      <c r="C28" s="129">
        <v>0</v>
      </c>
      <c r="D28" s="129">
        <v>0</v>
      </c>
      <c r="E28" s="129">
        <v>0</v>
      </c>
      <c r="F28" s="129">
        <v>0</v>
      </c>
      <c r="G28" s="129"/>
      <c r="H28" s="129">
        <v>0</v>
      </c>
      <c r="I28" s="129">
        <v>0</v>
      </c>
      <c r="J28" s="129">
        <v>0</v>
      </c>
      <c r="K28" s="129">
        <v>0</v>
      </c>
      <c r="L28" s="129"/>
      <c r="M28" s="129">
        <v>0</v>
      </c>
      <c r="N28" s="129">
        <v>0</v>
      </c>
      <c r="O28" s="129">
        <v>0</v>
      </c>
      <c r="P28" s="129">
        <v>0</v>
      </c>
      <c r="Q28" s="129"/>
      <c r="R28" s="129">
        <v>0</v>
      </c>
      <c r="S28" s="129">
        <v>0</v>
      </c>
      <c r="T28" s="129">
        <v>0</v>
      </c>
      <c r="U28" s="129">
        <v>0</v>
      </c>
      <c r="V28" s="129"/>
      <c r="W28" s="129">
        <v>0</v>
      </c>
      <c r="X28" s="129">
        <v>0</v>
      </c>
      <c r="Y28" s="129">
        <v>0</v>
      </c>
      <c r="Z28" s="129">
        <v>0</v>
      </c>
      <c r="AA28" s="90"/>
      <c r="AB28" s="90"/>
      <c r="AC28" s="104"/>
      <c r="AD28" s="99" t="s">
        <v>66</v>
      </c>
      <c r="AE28" s="16"/>
      <c r="AF28" s="53"/>
      <c r="AG28" s="53"/>
      <c r="AH28" s="59"/>
      <c r="AI28" s="59"/>
      <c r="AJ28" s="30"/>
      <c r="AK28" s="30"/>
      <c r="AL28" s="105"/>
    </row>
    <row r="29" spans="1:38" s="15" customFormat="1" ht="16.5" customHeight="1">
      <c r="A29" s="50" t="s">
        <v>17</v>
      </c>
      <c r="B29" s="106"/>
      <c r="C29" s="129">
        <v>0</v>
      </c>
      <c r="D29" s="129">
        <v>0</v>
      </c>
      <c r="E29" s="129">
        <v>0</v>
      </c>
      <c r="F29" s="129">
        <v>0</v>
      </c>
      <c r="G29" s="129"/>
      <c r="H29" s="129">
        <v>0</v>
      </c>
      <c r="I29" s="129">
        <v>0</v>
      </c>
      <c r="J29" s="129">
        <v>0</v>
      </c>
      <c r="K29" s="129">
        <v>0</v>
      </c>
      <c r="L29" s="129"/>
      <c r="M29" s="129">
        <v>0</v>
      </c>
      <c r="N29" s="129">
        <v>0</v>
      </c>
      <c r="O29" s="129">
        <v>0</v>
      </c>
      <c r="P29" s="129">
        <v>0</v>
      </c>
      <c r="Q29" s="129"/>
      <c r="R29" s="129">
        <v>0</v>
      </c>
      <c r="S29" s="129">
        <v>0</v>
      </c>
      <c r="T29" s="129">
        <v>0</v>
      </c>
      <c r="U29" s="129">
        <v>0</v>
      </c>
      <c r="V29" s="129"/>
      <c r="W29" s="129">
        <v>0</v>
      </c>
      <c r="X29" s="129">
        <v>0</v>
      </c>
      <c r="Y29" s="129">
        <v>0</v>
      </c>
      <c r="Z29" s="129">
        <v>0</v>
      </c>
      <c r="AA29" s="90"/>
      <c r="AB29" s="90"/>
      <c r="AC29" s="104"/>
      <c r="AD29" s="99" t="s">
        <v>67</v>
      </c>
      <c r="AE29" s="16"/>
      <c r="AF29" s="53"/>
      <c r="AG29" s="53"/>
      <c r="AH29" s="59"/>
      <c r="AI29" s="59"/>
      <c r="AJ29" s="30"/>
      <c r="AK29" s="30"/>
      <c r="AL29" s="105"/>
    </row>
    <row r="30" spans="1:38" s="15" customFormat="1" ht="16.5" customHeight="1">
      <c r="A30" s="50" t="s">
        <v>68</v>
      </c>
      <c r="B30" s="106"/>
      <c r="C30" s="129">
        <v>6305.0860000000002</v>
      </c>
      <c r="D30" s="129">
        <v>6557.96</v>
      </c>
      <c r="E30" s="129">
        <v>6974.3550000000005</v>
      </c>
      <c r="F30" s="129">
        <v>7170.1810000000005</v>
      </c>
      <c r="G30" s="129"/>
      <c r="H30" s="129">
        <v>7555.1559999999999</v>
      </c>
      <c r="I30" s="129">
        <v>7802.6839999999993</v>
      </c>
      <c r="J30" s="129">
        <v>8331.0006516733993</v>
      </c>
      <c r="K30" s="129">
        <v>8720.9440029600009</v>
      </c>
      <c r="L30" s="129"/>
      <c r="M30" s="129">
        <v>8927.4</v>
      </c>
      <c r="N30" s="129">
        <v>9035.7790000000005</v>
      </c>
      <c r="O30" s="129">
        <v>9482.4179999999997</v>
      </c>
      <c r="P30" s="129">
        <v>9414.4979999999978</v>
      </c>
      <c r="Q30" s="129"/>
      <c r="R30" s="129">
        <v>9803.8580000000002</v>
      </c>
      <c r="S30" s="129">
        <v>10011.329</v>
      </c>
      <c r="T30" s="129">
        <v>10566.018000000002</v>
      </c>
      <c r="U30" s="129">
        <v>11109.237999999999</v>
      </c>
      <c r="V30" s="129"/>
      <c r="W30" s="129">
        <v>11003.251</v>
      </c>
      <c r="X30" s="129">
        <v>11287.743</v>
      </c>
      <c r="Y30" s="129">
        <v>11217.993</v>
      </c>
      <c r="Z30" s="129">
        <v>11899.224999999999</v>
      </c>
      <c r="AA30" s="90"/>
      <c r="AB30" s="90"/>
      <c r="AC30" s="104"/>
      <c r="AD30" s="19" t="s">
        <v>69</v>
      </c>
      <c r="AE30" s="16"/>
      <c r="AF30" s="53"/>
      <c r="AG30" s="53"/>
      <c r="AH30" s="59"/>
      <c r="AI30" s="59"/>
      <c r="AJ30" s="30"/>
      <c r="AK30" s="30"/>
      <c r="AL30" s="53"/>
    </row>
    <row r="31" spans="1:38" s="15" customFormat="1" ht="16.5" customHeight="1">
      <c r="A31" s="107" t="s">
        <v>18</v>
      </c>
      <c r="B31" s="20"/>
      <c r="C31" s="126">
        <v>2404.7879999999996</v>
      </c>
      <c r="D31" s="126">
        <v>2101.7610000000004</v>
      </c>
      <c r="E31" s="126">
        <v>1848.2860000000001</v>
      </c>
      <c r="F31" s="126">
        <v>1896.7060000000001</v>
      </c>
      <c r="G31" s="126"/>
      <c r="H31" s="126">
        <v>1988.837</v>
      </c>
      <c r="I31" s="126">
        <v>2146.9290000000005</v>
      </c>
      <c r="J31" s="126">
        <v>2740.2610000000004</v>
      </c>
      <c r="K31" s="126">
        <v>1783.3099970399996</v>
      </c>
      <c r="L31" s="126"/>
      <c r="M31" s="126">
        <v>1623.0470000000003</v>
      </c>
      <c r="N31" s="126">
        <v>1938.7400000000002</v>
      </c>
      <c r="O31" s="126">
        <v>1528.5079999999998</v>
      </c>
      <c r="P31" s="126">
        <v>1828.5219999999997</v>
      </c>
      <c r="Q31" s="126"/>
      <c r="R31" s="126">
        <v>1742.5130000000004</v>
      </c>
      <c r="S31" s="126">
        <v>1958.816</v>
      </c>
      <c r="T31" s="126">
        <v>1794.819</v>
      </c>
      <c r="U31" s="126">
        <v>1482.2899999999997</v>
      </c>
      <c r="V31" s="126"/>
      <c r="W31" s="126">
        <v>1926.52</v>
      </c>
      <c r="X31" s="126">
        <v>2226.5689999999995</v>
      </c>
      <c r="Y31" s="126">
        <v>2287.7110000000002</v>
      </c>
      <c r="Z31" s="126">
        <v>2142.5330000000004</v>
      </c>
      <c r="AA31" s="108"/>
      <c r="AB31" s="108"/>
      <c r="AC31" s="109"/>
      <c r="AD31" s="22" t="s">
        <v>70</v>
      </c>
      <c r="AE31" s="16"/>
      <c r="AF31" s="53"/>
      <c r="AG31" s="53"/>
      <c r="AH31" s="59"/>
      <c r="AI31" s="59"/>
      <c r="AJ31" s="30"/>
      <c r="AK31" s="30"/>
      <c r="AL31" s="53"/>
    </row>
    <row r="32" spans="1:38" s="15" customFormat="1" ht="16.5" customHeight="1">
      <c r="A32" s="110" t="s">
        <v>19</v>
      </c>
      <c r="B32" s="111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90"/>
      <c r="AB32" s="90"/>
      <c r="AC32" s="104"/>
      <c r="AD32" s="23" t="s">
        <v>71</v>
      </c>
      <c r="AE32" s="16"/>
      <c r="AF32" s="53"/>
      <c r="AG32" s="53"/>
      <c r="AH32" s="59"/>
      <c r="AI32" s="59"/>
      <c r="AJ32" s="30"/>
      <c r="AK32" s="30"/>
      <c r="AL32" s="53"/>
    </row>
    <row r="33" spans="1:38" s="15" customFormat="1" ht="16.5" customHeight="1">
      <c r="A33" s="50" t="s">
        <v>20</v>
      </c>
      <c r="B33" s="106"/>
      <c r="C33" s="129">
        <v>-364.52870120244285</v>
      </c>
      <c r="D33" s="129">
        <v>-304.90327692423665</v>
      </c>
      <c r="E33" s="129">
        <v>-406.40950309236274</v>
      </c>
      <c r="F33" s="129">
        <v>244.59249967805783</v>
      </c>
      <c r="G33" s="129"/>
      <c r="H33" s="129">
        <v>85.825494403962594</v>
      </c>
      <c r="I33" s="129">
        <v>107.62853092640276</v>
      </c>
      <c r="J33" s="129">
        <v>30.539510865808815</v>
      </c>
      <c r="K33" s="129">
        <f>+(K8/F8-1)*100</f>
        <v>-2.7230750622180722</v>
      </c>
      <c r="L33" s="129"/>
      <c r="M33" s="129">
        <f>+(M8/H8-1)*100</f>
        <v>-33.480917581072156</v>
      </c>
      <c r="N33" s="129">
        <f>+(N8/I8-1)*100</f>
        <v>-21.077913367763468</v>
      </c>
      <c r="O33" s="129">
        <f>+(O8/J8-1)*100</f>
        <v>8.2364357043505301</v>
      </c>
      <c r="P33" s="129">
        <f>+(P8/K8-1)*100</f>
        <v>19.360420087408727</v>
      </c>
      <c r="Q33" s="129"/>
      <c r="R33" s="129">
        <f>+(R8/M8-1)*100</f>
        <v>4.2402894706276895</v>
      </c>
      <c r="S33" s="129">
        <f>+(S8/N8-1)*100</f>
        <v>-20.780667484623905</v>
      </c>
      <c r="T33" s="129">
        <f>+(T8/O8-1)*100</f>
        <v>-4.3869352052708921</v>
      </c>
      <c r="U33" s="129">
        <f>+(U8/P8-1)*100</f>
        <v>-35.596351869063938</v>
      </c>
      <c r="V33" s="129"/>
      <c r="W33" s="129">
        <f t="shared" ref="W33:Z33" si="0">+(W8/R8-1)*100</f>
        <v>-40.702020490199487</v>
      </c>
      <c r="X33" s="129">
        <f t="shared" si="0"/>
        <v>-31.280509479476713</v>
      </c>
      <c r="Y33" s="129">
        <f t="shared" si="0"/>
        <v>-72.855714113710974</v>
      </c>
      <c r="Z33" s="129">
        <f t="shared" si="0"/>
        <v>-35.583893293373791</v>
      </c>
      <c r="AA33" s="90"/>
      <c r="AB33" s="90"/>
      <c r="AC33" s="104"/>
      <c r="AD33" s="63" t="s">
        <v>72</v>
      </c>
      <c r="AE33" s="16"/>
      <c r="AF33" s="53"/>
      <c r="AG33" s="53"/>
      <c r="AH33" s="59"/>
      <c r="AI33" s="59"/>
      <c r="AJ33" s="30"/>
      <c r="AK33" s="30"/>
      <c r="AL33" s="30"/>
    </row>
    <row r="34" spans="1:38" s="15" customFormat="1" ht="16.5" customHeight="1">
      <c r="A34" s="50" t="s">
        <v>35</v>
      </c>
      <c r="B34" s="106"/>
      <c r="C34" s="129">
        <v>15.497410446836458</v>
      </c>
      <c r="D34" s="129">
        <v>29.225436301837139</v>
      </c>
      <c r="E34" s="129">
        <v>26.100769487396434</v>
      </c>
      <c r="F34" s="129">
        <v>24.940849126761798</v>
      </c>
      <c r="G34" s="129"/>
      <c r="H34" s="129">
        <v>33.476319362172525</v>
      </c>
      <c r="I34" s="129">
        <v>24.164439558042151</v>
      </c>
      <c r="J34" s="129">
        <v>40.400794710256946</v>
      </c>
      <c r="K34" s="129">
        <f>+(K11/F11-1)*100</f>
        <v>47.192932725743788</v>
      </c>
      <c r="L34" s="129"/>
      <c r="M34" s="129">
        <f>+(M11/H11-1)*100</f>
        <v>27.888356911302004</v>
      </c>
      <c r="N34" s="129">
        <f>+(N11/I11-1)*100</f>
        <v>36.086183074193357</v>
      </c>
      <c r="O34" s="129">
        <f>+(O11/J11-1)*100</f>
        <v>6.4818437448902033</v>
      </c>
      <c r="P34" s="129">
        <f>+(P11/K11-1)*100</f>
        <v>-5.9711529286550658</v>
      </c>
      <c r="Q34" s="129"/>
      <c r="R34" s="129">
        <f>+(R11/M11-1)*100</f>
        <v>1.4985973664015217</v>
      </c>
      <c r="S34" s="129">
        <f>+(S11/N11-1)*100</f>
        <v>-11.223779199239392</v>
      </c>
      <c r="T34" s="129">
        <f>+(T11/O11-1)*100</f>
        <v>-3.7175431915085988</v>
      </c>
      <c r="U34" s="129">
        <f>+(U11/P11-1)*100</f>
        <v>-10.438877418113456</v>
      </c>
      <c r="V34" s="129"/>
      <c r="W34" s="129">
        <f t="shared" ref="W34:Z34" si="1">+(W11/R11-1)*100</f>
        <v>-16.975535112660346</v>
      </c>
      <c r="X34" s="129">
        <f t="shared" si="1"/>
        <v>-15.187171720123926</v>
      </c>
      <c r="Y34" s="129">
        <f t="shared" si="1"/>
        <v>-3.2720733037458483</v>
      </c>
      <c r="Z34" s="129">
        <f t="shared" si="1"/>
        <v>14.557085383048673</v>
      </c>
      <c r="AA34" s="90"/>
      <c r="AB34" s="90"/>
      <c r="AC34" s="104"/>
      <c r="AD34" s="79" t="s">
        <v>36</v>
      </c>
      <c r="AE34" s="16"/>
      <c r="AF34" s="53"/>
      <c r="AG34" s="53"/>
      <c r="AH34" s="59"/>
      <c r="AI34" s="59"/>
      <c r="AJ34" s="112"/>
      <c r="AK34" s="113"/>
      <c r="AL34" s="114"/>
    </row>
    <row r="35" spans="1:38" s="15" customFormat="1" ht="16.5" customHeight="1">
      <c r="A35" s="50" t="s">
        <v>73</v>
      </c>
      <c r="B35" s="106"/>
      <c r="C35" s="129">
        <v>-19.766763205885653</v>
      </c>
      <c r="D35" s="129">
        <v>-22.711790464009717</v>
      </c>
      <c r="E35" s="129">
        <v>-19.848048560605356</v>
      </c>
      <c r="F35" s="129">
        <v>-5.4998458439095677</v>
      </c>
      <c r="G35" s="129"/>
      <c r="H35" s="129">
        <v>26.82755491912172</v>
      </c>
      <c r="I35" s="129">
        <v>30.567441778930849</v>
      </c>
      <c r="J35" s="129">
        <v>29.272597593552206</v>
      </c>
      <c r="K35" s="129">
        <f t="shared" ref="K35:K40" si="2">+(K17/F17-1)*100</f>
        <v>32.162157149347138</v>
      </c>
      <c r="L35" s="129"/>
      <c r="M35" s="129">
        <f t="shared" ref="M35:M40" si="3">+(M17/H17-1)*100</f>
        <v>15.78029777865293</v>
      </c>
      <c r="N35" s="129">
        <f t="shared" ref="N35:N40" si="4">+(N17/I17-1)*100</f>
        <v>14.651694987503827</v>
      </c>
      <c r="O35" s="129">
        <f t="shared" ref="O35:O40" si="5">+(O17/J17-1)*100</f>
        <v>35.211196263503467</v>
      </c>
      <c r="P35" s="129">
        <f t="shared" ref="P35:P40" si="6">+(P17/K17-1)*100</f>
        <v>32.866609776102898</v>
      </c>
      <c r="Q35" s="129"/>
      <c r="R35" s="129">
        <f t="shared" ref="R35:R40" si="7">+(R17/M17-1)*100</f>
        <v>31.810987241835221</v>
      </c>
      <c r="S35" s="129">
        <f t="shared" ref="S35:S40" si="8">+(S17/N17-1)*100</f>
        <v>32.802940658123326</v>
      </c>
      <c r="T35" s="129">
        <f t="shared" ref="T35:T40" si="9">+(T17/O17-1)*100</f>
        <v>23.537314302601953</v>
      </c>
      <c r="U35" s="129">
        <f t="shared" ref="U35:U40" si="10">+(U17/P17-1)*100</f>
        <v>28.645301371756204</v>
      </c>
      <c r="V35" s="129"/>
      <c r="W35" s="129">
        <f t="shared" ref="W35:W40" si="11">+(W17/R17-1)*100</f>
        <v>16.689928476144523</v>
      </c>
      <c r="X35" s="129">
        <f t="shared" ref="X35:X40" si="12">+(X17/S17-1)*100</f>
        <v>16.602778723231658</v>
      </c>
      <c r="Y35" s="129">
        <f t="shared" ref="Y35:Y40" si="13">+(Y17/T17-1)*100</f>
        <v>-10.897718839683657</v>
      </c>
      <c r="Z35" s="129">
        <f t="shared" ref="Z35:Z40" si="14">+(Z17/U17-1)*100</f>
        <v>-10.940314147312547</v>
      </c>
      <c r="AA35" s="90"/>
      <c r="AB35" s="90"/>
      <c r="AC35" s="104"/>
      <c r="AD35" s="79" t="s">
        <v>47</v>
      </c>
      <c r="AE35" s="16"/>
      <c r="AF35" s="53"/>
      <c r="AG35" s="53"/>
      <c r="AH35" s="59"/>
      <c r="AI35" s="59"/>
      <c r="AJ35" s="30"/>
      <c r="AK35" s="30"/>
      <c r="AL35" s="64"/>
    </row>
    <row r="36" spans="1:38" s="15" customFormat="1" ht="16.5" customHeight="1">
      <c r="A36" s="50" t="s">
        <v>74</v>
      </c>
      <c r="B36" s="106"/>
      <c r="C36" s="129">
        <v>18.56072336899399</v>
      </c>
      <c r="D36" s="129">
        <v>4.9279992583308507</v>
      </c>
      <c r="E36" s="129">
        <v>4.7397944648783996</v>
      </c>
      <c r="F36" s="129">
        <v>1.3026015337674446</v>
      </c>
      <c r="G36" s="129"/>
      <c r="H36" s="129">
        <v>20.130020755717926</v>
      </c>
      <c r="I36" s="129">
        <v>40.766215039074226</v>
      </c>
      <c r="J36" s="129">
        <v>30.904648942563039</v>
      </c>
      <c r="K36" s="129">
        <f t="shared" si="2"/>
        <v>16.631485681487625</v>
      </c>
      <c r="L36" s="129"/>
      <c r="M36" s="129">
        <f t="shared" si="3"/>
        <v>3.2413758363906364</v>
      </c>
      <c r="N36" s="129">
        <f t="shared" si="4"/>
        <v>-6.4825290860018647</v>
      </c>
      <c r="O36" s="129">
        <f t="shared" si="5"/>
        <v>-14.335249308985421</v>
      </c>
      <c r="P36" s="129">
        <f t="shared" si="6"/>
        <v>-7.6231720502803029</v>
      </c>
      <c r="Q36" s="129"/>
      <c r="R36" s="129">
        <f t="shared" si="7"/>
        <v>-14.539629953998357</v>
      </c>
      <c r="S36" s="129">
        <f t="shared" si="8"/>
        <v>-22.010074552375968</v>
      </c>
      <c r="T36" s="129">
        <f t="shared" si="9"/>
        <v>0.35690845003848448</v>
      </c>
      <c r="U36" s="129">
        <f t="shared" si="10"/>
        <v>3.1314732587338412</v>
      </c>
      <c r="V36" s="129"/>
      <c r="W36" s="129">
        <f t="shared" si="11"/>
        <v>9.7300558214816526</v>
      </c>
      <c r="X36" s="129">
        <f t="shared" si="12"/>
        <v>-15.520070083378467</v>
      </c>
      <c r="Y36" s="129">
        <f t="shared" si="13"/>
        <v>-14.717065834419751</v>
      </c>
      <c r="Z36" s="129">
        <f t="shared" si="14"/>
        <v>-11.083411067312642</v>
      </c>
      <c r="AA36" s="90"/>
      <c r="AB36" s="90"/>
      <c r="AC36" s="104"/>
      <c r="AD36" s="23" t="s">
        <v>49</v>
      </c>
      <c r="AE36" s="16"/>
      <c r="AF36" s="53"/>
      <c r="AG36" s="53"/>
      <c r="AH36" s="59"/>
      <c r="AI36" s="59"/>
      <c r="AJ36" s="30"/>
      <c r="AK36" s="81"/>
      <c r="AL36" s="30"/>
    </row>
    <row r="37" spans="1:38" s="15" customFormat="1" ht="16.5" customHeight="1">
      <c r="A37" s="50" t="s">
        <v>28</v>
      </c>
      <c r="B37" s="115"/>
      <c r="C37" s="131">
        <v>-6.879067242209647</v>
      </c>
      <c r="D37" s="131">
        <v>-4.4502486025537413</v>
      </c>
      <c r="E37" s="131">
        <v>-9.3877555012333858E-2</v>
      </c>
      <c r="F37" s="131">
        <v>0.47361730746018349</v>
      </c>
      <c r="G37" s="131"/>
      <c r="H37" s="131">
        <v>0.22191973856291458</v>
      </c>
      <c r="I37" s="131">
        <v>0.22126758541531899</v>
      </c>
      <c r="J37" s="131">
        <v>5.6086513605702493</v>
      </c>
      <c r="K37" s="131">
        <f t="shared" si="2"/>
        <v>2.1556004874812684</v>
      </c>
      <c r="L37" s="131"/>
      <c r="M37" s="131">
        <f t="shared" si="3"/>
        <v>-0.82470106719507719</v>
      </c>
      <c r="N37" s="131">
        <f t="shared" si="4"/>
        <v>-1.5099003730434379E-2</v>
      </c>
      <c r="O37" s="131">
        <f t="shared" si="5"/>
        <v>3.2602044546583775</v>
      </c>
      <c r="P37" s="131">
        <f t="shared" si="6"/>
        <v>11.140275420311685</v>
      </c>
      <c r="Q37" s="131"/>
      <c r="R37" s="131">
        <f t="shared" si="7"/>
        <v>15.15557330539461</v>
      </c>
      <c r="S37" s="131">
        <f t="shared" si="8"/>
        <v>19.677009825130455</v>
      </c>
      <c r="T37" s="131">
        <f t="shared" si="9"/>
        <v>12.229592939372115</v>
      </c>
      <c r="U37" s="131">
        <f t="shared" si="10"/>
        <v>10.35829389986227</v>
      </c>
      <c r="V37" s="131"/>
      <c r="W37" s="131">
        <f t="shared" si="11"/>
        <v>12.228790510634591</v>
      </c>
      <c r="X37" s="131">
        <f t="shared" si="12"/>
        <v>12.133889254774054</v>
      </c>
      <c r="Y37" s="131">
        <f t="shared" si="13"/>
        <v>13.505296686851164</v>
      </c>
      <c r="Z37" s="131">
        <f t="shared" si="14"/>
        <v>14.851562066586578</v>
      </c>
      <c r="AA37" s="91"/>
      <c r="AB37" s="91"/>
      <c r="AC37" s="83"/>
      <c r="AD37" s="79" t="s">
        <v>29</v>
      </c>
      <c r="AF37" s="59"/>
      <c r="AG37" s="59"/>
      <c r="AH37" s="59"/>
      <c r="AI37" s="59"/>
      <c r="AJ37" s="30"/>
      <c r="AK37" s="81"/>
      <c r="AL37" s="30"/>
    </row>
    <row r="38" spans="1:38" s="15" customFormat="1" ht="16.5" customHeight="1">
      <c r="A38" s="65" t="s">
        <v>51</v>
      </c>
      <c r="B38" s="116"/>
      <c r="C38" s="132">
        <v>131.15986381546233</v>
      </c>
      <c r="D38" s="132">
        <v>37.770593771739591</v>
      </c>
      <c r="E38" s="132">
        <v>-13.302208618042034</v>
      </c>
      <c r="F38" s="132">
        <v>-32.169782028193531</v>
      </c>
      <c r="G38" s="132"/>
      <c r="H38" s="132">
        <v>131.6255016341897</v>
      </c>
      <c r="I38" s="132">
        <v>352.67324085900134</v>
      </c>
      <c r="J38" s="132">
        <v>218.8630798126531</v>
      </c>
      <c r="K38" s="132">
        <f t="shared" si="2"/>
        <v>163.95396742563656</v>
      </c>
      <c r="L38" s="132"/>
      <c r="M38" s="132">
        <f t="shared" si="3"/>
        <v>17.53003418699608</v>
      </c>
      <c r="N38" s="132">
        <f t="shared" si="4"/>
        <v>2.0783916168804151</v>
      </c>
      <c r="O38" s="132">
        <f t="shared" si="5"/>
        <v>13.469209719871467</v>
      </c>
      <c r="P38" s="132">
        <f t="shared" si="6"/>
        <v>5.4091270130311564</v>
      </c>
      <c r="Q38" s="132"/>
      <c r="R38" s="132">
        <f t="shared" si="7"/>
        <v>-11.947003522764222</v>
      </c>
      <c r="S38" s="132">
        <f t="shared" si="8"/>
        <v>10.988693120094606</v>
      </c>
      <c r="T38" s="132">
        <f t="shared" si="9"/>
        <v>19.729402062668576</v>
      </c>
      <c r="U38" s="132">
        <f t="shared" si="10"/>
        <v>41.408471096135614</v>
      </c>
      <c r="V38" s="132"/>
      <c r="W38" s="132">
        <f t="shared" si="11"/>
        <v>78.664604742196161</v>
      </c>
      <c r="X38" s="132">
        <f t="shared" si="12"/>
        <v>57.593070935458471</v>
      </c>
      <c r="Y38" s="132">
        <f t="shared" si="13"/>
        <v>41.112806383982935</v>
      </c>
      <c r="Z38" s="132">
        <f t="shared" si="14"/>
        <v>33.172850939857511</v>
      </c>
      <c r="AA38" s="91"/>
      <c r="AB38" s="91"/>
      <c r="AC38" s="12" t="s">
        <v>12</v>
      </c>
      <c r="AD38" s="83"/>
      <c r="AF38" s="59"/>
      <c r="AG38" s="59"/>
      <c r="AH38" s="59"/>
      <c r="AI38" s="59"/>
      <c r="AJ38" s="30"/>
      <c r="AK38" s="30"/>
      <c r="AL38" s="53"/>
    </row>
    <row r="39" spans="1:38" s="15" customFormat="1" ht="16.5" customHeight="1">
      <c r="A39" s="65" t="s">
        <v>53</v>
      </c>
      <c r="B39" s="7"/>
      <c r="C39" s="125">
        <v>-29.440198433306275</v>
      </c>
      <c r="D39" s="125">
        <v>-30.639035996471698</v>
      </c>
      <c r="E39" s="125">
        <v>-4.2794568221876776</v>
      </c>
      <c r="F39" s="125">
        <v>-0.19777465479765555</v>
      </c>
      <c r="G39" s="125"/>
      <c r="H39" s="125">
        <v>22.514776245426372</v>
      </c>
      <c r="I39" s="125">
        <v>-5.3583689722431993</v>
      </c>
      <c r="J39" s="125">
        <v>7.6273273534046782</v>
      </c>
      <c r="K39" s="125">
        <f t="shared" si="2"/>
        <v>-15.28092970612277</v>
      </c>
      <c r="L39" s="125"/>
      <c r="M39" s="125">
        <f t="shared" si="3"/>
        <v>-23.345547272539303</v>
      </c>
      <c r="N39" s="125">
        <f t="shared" si="4"/>
        <v>-9.3429616430648075</v>
      </c>
      <c r="O39" s="125">
        <f t="shared" si="5"/>
        <v>3.7663351145441837</v>
      </c>
      <c r="P39" s="125">
        <f t="shared" si="6"/>
        <v>5.5713369994264683</v>
      </c>
      <c r="Q39" s="125"/>
      <c r="R39" s="125">
        <f t="shared" si="7"/>
        <v>7.8100415676425783</v>
      </c>
      <c r="S39" s="125">
        <f t="shared" si="8"/>
        <v>17.293819232090168</v>
      </c>
      <c r="T39" s="125">
        <f t="shared" si="9"/>
        <v>-14.195203405925948</v>
      </c>
      <c r="U39" s="125">
        <f t="shared" si="10"/>
        <v>1.8566808554153713</v>
      </c>
      <c r="V39" s="125"/>
      <c r="W39" s="125">
        <f t="shared" si="11"/>
        <v>5.5093638893290109</v>
      </c>
      <c r="X39" s="125">
        <f t="shared" si="12"/>
        <v>2.3919893545113924</v>
      </c>
      <c r="Y39" s="125">
        <f t="shared" si="13"/>
        <v>14.750171395295109</v>
      </c>
      <c r="Z39" s="125">
        <f t="shared" si="14"/>
        <v>12.926208757842673</v>
      </c>
      <c r="AA39" s="117"/>
      <c r="AB39" s="117"/>
      <c r="AC39" s="138" t="s">
        <v>13</v>
      </c>
      <c r="AD39" s="104"/>
      <c r="AE39" s="14"/>
      <c r="AF39" s="8"/>
      <c r="AG39" s="8"/>
      <c r="AH39" s="100"/>
      <c r="AI39" s="59"/>
      <c r="AJ39" s="30"/>
      <c r="AK39" s="17"/>
      <c r="AL39" s="30"/>
    </row>
    <row r="40" spans="1:38" s="15" customFormat="1" ht="16.5" customHeight="1">
      <c r="A40" s="118" t="s">
        <v>55</v>
      </c>
      <c r="B40" s="119"/>
      <c r="C40" s="133">
        <v>-4.4349216825334654</v>
      </c>
      <c r="D40" s="133">
        <v>-1.0166997527662147</v>
      </c>
      <c r="E40" s="133">
        <v>0.4079799140862983</v>
      </c>
      <c r="F40" s="133">
        <v>0.90922716070689358</v>
      </c>
      <c r="G40" s="133"/>
      <c r="H40" s="133">
        <v>-2.9604530690983122</v>
      </c>
      <c r="I40" s="133">
        <v>-0.85606197780945248</v>
      </c>
      <c r="J40" s="133">
        <v>4.210120007760243</v>
      </c>
      <c r="K40" s="133">
        <f t="shared" si="2"/>
        <v>2.8240645745755799</v>
      </c>
      <c r="L40" s="133"/>
      <c r="M40" s="133">
        <f t="shared" si="3"/>
        <v>1.5247298189351444</v>
      </c>
      <c r="N40" s="133">
        <f t="shared" si="4"/>
        <v>0.79229611785034404</v>
      </c>
      <c r="O40" s="133">
        <f t="shared" si="5"/>
        <v>3.0338756283013968</v>
      </c>
      <c r="P40" s="133">
        <f t="shared" si="6"/>
        <v>11.743884797588656</v>
      </c>
      <c r="Q40" s="133"/>
      <c r="R40" s="133">
        <f t="shared" si="7"/>
        <v>16.426976425781103</v>
      </c>
      <c r="S40" s="133">
        <f t="shared" si="8"/>
        <v>20.056181099252534</v>
      </c>
      <c r="T40" s="133">
        <f t="shared" si="9"/>
        <v>14.685888802906465</v>
      </c>
      <c r="U40" s="133">
        <f t="shared" si="10"/>
        <v>10.509114842506406</v>
      </c>
      <c r="V40" s="133"/>
      <c r="W40" s="133">
        <f t="shared" si="11"/>
        <v>11.670121843092618</v>
      </c>
      <c r="X40" s="133">
        <f t="shared" si="12"/>
        <v>12.026915913227555</v>
      </c>
      <c r="Y40" s="133">
        <f t="shared" si="13"/>
        <v>12.863703854421304</v>
      </c>
      <c r="Z40" s="133">
        <f t="shared" si="14"/>
        <v>14.576383500247747</v>
      </c>
      <c r="AA40" s="120"/>
      <c r="AB40" s="120"/>
      <c r="AC40" s="21" t="s">
        <v>14</v>
      </c>
      <c r="AD40" s="121"/>
      <c r="AE40" s="9"/>
      <c r="AF40" s="100"/>
      <c r="AG40" s="100"/>
      <c r="AH40" s="59"/>
      <c r="AI40" s="59"/>
      <c r="AJ40" s="81"/>
      <c r="AK40" s="30"/>
      <c r="AL40" s="30"/>
    </row>
    <row r="41" spans="1:38" s="25" customFormat="1" ht="12.75" customHeight="1">
      <c r="A41" s="24" t="s">
        <v>77</v>
      </c>
      <c r="AA41" s="26"/>
      <c r="AB41" s="26"/>
      <c r="AD41" s="27" t="s">
        <v>76</v>
      </c>
    </row>
    <row r="42" spans="1:38" s="136" customFormat="1" ht="13.9" customHeight="1">
      <c r="A42" s="135" t="s">
        <v>81</v>
      </c>
      <c r="AA42" s="141" t="s">
        <v>78</v>
      </c>
      <c r="AB42" s="141"/>
      <c r="AC42" s="141"/>
      <c r="AD42" s="137" t="s">
        <v>21</v>
      </c>
    </row>
    <row r="43" spans="1:38" s="25" customFormat="1" ht="15.6" customHeight="1">
      <c r="A43" s="28" t="s">
        <v>22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 t="s">
        <v>23</v>
      </c>
    </row>
    <row r="44" spans="1:38" s="25" customFormat="1" ht="16.5" customHeight="1">
      <c r="A44" s="28" t="s">
        <v>24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C44" s="6" t="s">
        <v>25</v>
      </c>
    </row>
    <row r="45" spans="1:38" s="25" customFormat="1" ht="12.75" customHeight="1">
      <c r="AA45" s="26"/>
      <c r="AB45" s="26"/>
    </row>
    <row r="46" spans="1:38" s="25" customFormat="1" ht="17.25">
      <c r="A46" s="31"/>
      <c r="AB46" s="26"/>
      <c r="AC46" s="26"/>
      <c r="AD46" s="30"/>
    </row>
    <row r="47" spans="1:38" ht="18">
      <c r="A47" s="15"/>
      <c r="B47" s="122"/>
      <c r="C47" s="122"/>
      <c r="D47" s="122"/>
      <c r="E47" s="122"/>
      <c r="F47" s="122"/>
      <c r="H47" s="122"/>
      <c r="I47" s="122"/>
      <c r="J47" s="122"/>
      <c r="K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5"/>
      <c r="AC47" s="83"/>
      <c r="AD47" s="83"/>
      <c r="AE47" s="15"/>
      <c r="AF47" s="15"/>
      <c r="AG47" s="15"/>
      <c r="AH47" s="15"/>
    </row>
    <row r="48" spans="1:38" ht="18">
      <c r="A48" s="15"/>
      <c r="B48" s="122"/>
      <c r="C48" s="122"/>
      <c r="D48" s="122"/>
      <c r="E48" s="122"/>
      <c r="F48" s="122"/>
      <c r="H48" s="122"/>
      <c r="I48" s="122"/>
      <c r="J48" s="122"/>
      <c r="K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5"/>
      <c r="AC48" s="83"/>
      <c r="AD48" s="83"/>
      <c r="AE48" s="15"/>
      <c r="AF48" s="15"/>
      <c r="AG48" s="15"/>
      <c r="AH48" s="15"/>
    </row>
    <row r="49" spans="1:34" ht="18">
      <c r="A49" s="15"/>
      <c r="B49" s="122"/>
      <c r="C49" s="122"/>
      <c r="D49" s="122"/>
      <c r="E49" s="122"/>
      <c r="F49" s="122"/>
      <c r="H49" s="122"/>
      <c r="I49" s="122"/>
      <c r="J49" s="122"/>
      <c r="K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5"/>
      <c r="AC49" s="83"/>
      <c r="AD49" s="83"/>
      <c r="AE49" s="15"/>
      <c r="AF49" s="15"/>
      <c r="AG49" s="15"/>
      <c r="AH49" s="15"/>
    </row>
    <row r="50" spans="1:34" ht="18">
      <c r="A50" s="15"/>
      <c r="B50" s="122"/>
      <c r="C50" s="122"/>
      <c r="D50" s="122"/>
      <c r="E50" s="122"/>
      <c r="F50" s="122"/>
      <c r="H50" s="122"/>
      <c r="I50" s="122"/>
      <c r="J50" s="122"/>
      <c r="K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5"/>
      <c r="AC50" s="83"/>
      <c r="AD50" s="83"/>
      <c r="AE50" s="15"/>
      <c r="AF50" s="15"/>
      <c r="AG50" s="15"/>
      <c r="AH50" s="15"/>
    </row>
    <row r="51" spans="1:34" ht="18">
      <c r="A51" s="15"/>
      <c r="B51" s="122"/>
      <c r="C51" s="122"/>
      <c r="D51" s="122"/>
      <c r="E51" s="122"/>
      <c r="F51" s="122"/>
      <c r="H51" s="122"/>
      <c r="I51" s="122"/>
      <c r="J51" s="122"/>
      <c r="K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5"/>
      <c r="AC51" s="83"/>
      <c r="AD51" s="83"/>
      <c r="AE51" s="15"/>
      <c r="AF51" s="15"/>
      <c r="AG51" s="15"/>
      <c r="AH51" s="15"/>
    </row>
    <row r="52" spans="1:34" ht="18">
      <c r="A52" s="15"/>
      <c r="B52" s="122"/>
      <c r="C52" s="122"/>
      <c r="D52" s="122"/>
      <c r="E52" s="122"/>
      <c r="F52" s="122"/>
      <c r="H52" s="122"/>
      <c r="I52" s="122"/>
      <c r="J52" s="122"/>
      <c r="K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5"/>
      <c r="AC52" s="83"/>
      <c r="AD52" s="83"/>
      <c r="AE52" s="15"/>
      <c r="AF52" s="15"/>
      <c r="AG52" s="15"/>
      <c r="AH52" s="15"/>
    </row>
    <row r="53" spans="1:34" ht="18">
      <c r="A53" s="15"/>
      <c r="B53" s="122"/>
      <c r="C53" s="122"/>
      <c r="D53" s="122"/>
      <c r="E53" s="122"/>
      <c r="F53" s="122"/>
      <c r="H53" s="122"/>
      <c r="I53" s="122"/>
      <c r="J53" s="122"/>
      <c r="K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5"/>
      <c r="AC53" s="83"/>
      <c r="AD53" s="83"/>
      <c r="AE53" s="15"/>
      <c r="AF53" s="15"/>
      <c r="AG53" s="15"/>
      <c r="AH53" s="15"/>
    </row>
    <row r="54" spans="1:34" ht="18">
      <c r="A54" s="15"/>
      <c r="B54" s="122"/>
      <c r="C54" s="122"/>
      <c r="D54" s="122"/>
      <c r="E54" s="122"/>
      <c r="F54" s="122"/>
      <c r="H54" s="122"/>
      <c r="I54" s="122"/>
      <c r="J54" s="122"/>
      <c r="K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5"/>
      <c r="AC54" s="83"/>
      <c r="AD54" s="83"/>
      <c r="AE54" s="15"/>
      <c r="AF54" s="15"/>
      <c r="AG54" s="15"/>
      <c r="AH54" s="15"/>
    </row>
    <row r="55" spans="1:34" ht="15">
      <c r="A55" s="15"/>
      <c r="B55" s="122"/>
      <c r="C55" s="122"/>
      <c r="D55" s="122"/>
      <c r="E55" s="122"/>
      <c r="F55" s="122"/>
      <c r="H55" s="122"/>
      <c r="I55" s="122"/>
      <c r="J55" s="122"/>
      <c r="K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39"/>
      <c r="AC55" s="39"/>
      <c r="AD55" s="39"/>
      <c r="AE55" s="39"/>
      <c r="AF55" s="15"/>
      <c r="AG55" s="15"/>
      <c r="AH55" s="15"/>
    </row>
    <row r="56" spans="1:34" ht="18">
      <c r="A56" s="15"/>
      <c r="B56" s="122"/>
      <c r="C56" s="122"/>
      <c r="D56" s="122"/>
      <c r="E56" s="122"/>
      <c r="F56" s="122"/>
      <c r="H56" s="122"/>
      <c r="I56" s="122"/>
      <c r="J56" s="122"/>
      <c r="K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5"/>
      <c r="AC56" s="83"/>
      <c r="AD56" s="83"/>
      <c r="AE56" s="15"/>
      <c r="AF56" s="15"/>
      <c r="AG56" s="15"/>
      <c r="AH56" s="15"/>
    </row>
    <row r="57" spans="1:34" ht="18">
      <c r="A57" s="15"/>
      <c r="B57" s="122"/>
      <c r="C57" s="122"/>
      <c r="D57" s="122"/>
      <c r="E57" s="122"/>
      <c r="F57" s="122"/>
      <c r="H57" s="122"/>
      <c r="I57" s="122"/>
      <c r="J57" s="122"/>
      <c r="K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5"/>
      <c r="AC57" s="83"/>
      <c r="AD57" s="83"/>
      <c r="AE57" s="15"/>
      <c r="AF57" s="15"/>
      <c r="AG57" s="15"/>
      <c r="AH57" s="15"/>
    </row>
    <row r="58" spans="1:34" ht="18">
      <c r="A58" s="15"/>
      <c r="B58" s="122"/>
      <c r="C58" s="122"/>
      <c r="D58" s="122"/>
      <c r="E58" s="122"/>
      <c r="F58" s="122"/>
      <c r="H58" s="122"/>
      <c r="I58" s="122"/>
      <c r="J58" s="122"/>
      <c r="K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5"/>
      <c r="AC58" s="83"/>
      <c r="AD58" s="83"/>
      <c r="AE58" s="15"/>
      <c r="AF58" s="15"/>
      <c r="AG58" s="15"/>
      <c r="AH58" s="15"/>
    </row>
    <row r="59" spans="1:34" ht="18">
      <c r="A59" s="15"/>
      <c r="B59" s="122"/>
      <c r="C59" s="122"/>
      <c r="D59" s="122"/>
      <c r="E59" s="122"/>
      <c r="F59" s="122"/>
      <c r="H59" s="122"/>
      <c r="I59" s="122"/>
      <c r="J59" s="122"/>
      <c r="K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5"/>
      <c r="AC59" s="83"/>
      <c r="AD59" s="83"/>
      <c r="AE59" s="15"/>
      <c r="AF59" s="15"/>
      <c r="AG59" s="15"/>
      <c r="AH59" s="15"/>
    </row>
    <row r="60" spans="1:34" ht="18">
      <c r="A60" s="15"/>
      <c r="B60" s="122"/>
      <c r="C60" s="122"/>
      <c r="D60" s="122"/>
      <c r="E60" s="122"/>
      <c r="F60" s="122"/>
      <c r="H60" s="122"/>
      <c r="I60" s="122"/>
      <c r="J60" s="122"/>
      <c r="K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5"/>
      <c r="AC60" s="83"/>
      <c r="AD60" s="83"/>
      <c r="AE60" s="15"/>
      <c r="AF60" s="15"/>
      <c r="AG60" s="15"/>
      <c r="AH60" s="15"/>
    </row>
    <row r="61" spans="1:34" ht="18">
      <c r="A61" s="15"/>
      <c r="B61" s="122"/>
      <c r="C61" s="122"/>
      <c r="D61" s="122"/>
      <c r="E61" s="122"/>
      <c r="F61" s="122"/>
      <c r="H61" s="122"/>
      <c r="I61" s="122"/>
      <c r="J61" s="122"/>
      <c r="K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5"/>
      <c r="AC61" s="83"/>
      <c r="AD61" s="83"/>
      <c r="AE61" s="15"/>
      <c r="AF61" s="15"/>
      <c r="AG61" s="15"/>
      <c r="AH61" s="15"/>
    </row>
    <row r="62" spans="1:34" ht="18">
      <c r="A62" s="15"/>
      <c r="B62" s="122"/>
      <c r="C62" s="122"/>
      <c r="D62" s="122"/>
      <c r="E62" s="122"/>
      <c r="F62" s="122"/>
      <c r="H62" s="122"/>
      <c r="I62" s="122"/>
      <c r="J62" s="122"/>
      <c r="K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5"/>
      <c r="AC62" s="83"/>
      <c r="AD62" s="83"/>
      <c r="AE62" s="15"/>
      <c r="AF62" s="15"/>
      <c r="AG62" s="15"/>
      <c r="AH62" s="15"/>
    </row>
    <row r="63" spans="1:34" ht="18">
      <c r="A63" s="15"/>
      <c r="B63" s="122"/>
      <c r="C63" s="122"/>
      <c r="D63" s="122"/>
      <c r="E63" s="122"/>
      <c r="F63" s="122"/>
      <c r="H63" s="122"/>
      <c r="I63" s="122"/>
      <c r="J63" s="122"/>
      <c r="K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5"/>
      <c r="AC63" s="83"/>
      <c r="AD63" s="83"/>
      <c r="AE63" s="15"/>
      <c r="AF63" s="15"/>
      <c r="AG63" s="15"/>
      <c r="AH63" s="15"/>
    </row>
    <row r="64" spans="1:34" ht="18">
      <c r="A64" s="15"/>
      <c r="B64" s="122"/>
      <c r="C64" s="122"/>
      <c r="D64" s="122"/>
      <c r="E64" s="122"/>
      <c r="F64" s="122"/>
      <c r="H64" s="122"/>
      <c r="I64" s="122"/>
      <c r="J64" s="122"/>
      <c r="K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5"/>
      <c r="AC64" s="83"/>
      <c r="AD64" s="83"/>
      <c r="AE64" s="15"/>
      <c r="AF64" s="15"/>
      <c r="AG64" s="15"/>
      <c r="AH64" s="15"/>
    </row>
    <row r="65" spans="1:34" ht="18">
      <c r="A65" s="15"/>
      <c r="B65" s="122"/>
      <c r="C65" s="122"/>
      <c r="D65" s="122"/>
      <c r="E65" s="122"/>
      <c r="F65" s="122"/>
      <c r="H65" s="122"/>
      <c r="I65" s="122"/>
      <c r="J65" s="122"/>
      <c r="K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5"/>
      <c r="AC65" s="83"/>
      <c r="AD65" s="83"/>
      <c r="AE65" s="15"/>
      <c r="AF65" s="15"/>
      <c r="AG65" s="15"/>
      <c r="AH65" s="15"/>
    </row>
    <row r="66" spans="1:34" ht="18">
      <c r="A66" s="15"/>
      <c r="B66" s="122"/>
      <c r="C66" s="122"/>
      <c r="D66" s="122"/>
      <c r="E66" s="122"/>
      <c r="F66" s="122"/>
      <c r="H66" s="122"/>
      <c r="I66" s="122"/>
      <c r="J66" s="122"/>
      <c r="K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5"/>
      <c r="AC66" s="83"/>
      <c r="AD66" s="83"/>
      <c r="AE66" s="15"/>
      <c r="AF66" s="15"/>
      <c r="AG66" s="15"/>
      <c r="AH66" s="15"/>
    </row>
    <row r="67" spans="1:34" ht="18">
      <c r="A67" s="15"/>
      <c r="B67" s="122"/>
      <c r="C67" s="122"/>
      <c r="D67" s="122"/>
      <c r="E67" s="122"/>
      <c r="F67" s="122"/>
      <c r="H67" s="122"/>
      <c r="I67" s="122"/>
      <c r="J67" s="122"/>
      <c r="K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5"/>
      <c r="AC67" s="83"/>
      <c r="AD67" s="83"/>
      <c r="AE67" s="15"/>
      <c r="AF67" s="15"/>
      <c r="AG67" s="15"/>
      <c r="AH67" s="15"/>
    </row>
    <row r="68" spans="1:34" ht="18">
      <c r="A68" s="15"/>
      <c r="B68" s="122"/>
      <c r="C68" s="122"/>
      <c r="D68" s="122"/>
      <c r="E68" s="122"/>
      <c r="F68" s="122"/>
      <c r="H68" s="122"/>
      <c r="I68" s="122"/>
      <c r="J68" s="122"/>
      <c r="K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5"/>
      <c r="AC68" s="83"/>
      <c r="AD68" s="83"/>
      <c r="AE68" s="15"/>
      <c r="AF68" s="15"/>
      <c r="AG68" s="15"/>
      <c r="AH68" s="15"/>
    </row>
    <row r="69" spans="1:34" ht="18">
      <c r="A69" s="15"/>
      <c r="B69" s="122"/>
      <c r="C69" s="122"/>
      <c r="D69" s="122"/>
      <c r="E69" s="122"/>
      <c r="F69" s="122"/>
      <c r="H69" s="122"/>
      <c r="I69" s="122"/>
      <c r="J69" s="122"/>
      <c r="K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5"/>
      <c r="AC69" s="83"/>
      <c r="AD69" s="83"/>
      <c r="AE69" s="15"/>
      <c r="AF69" s="15"/>
      <c r="AG69" s="15"/>
      <c r="AH69" s="15"/>
    </row>
    <row r="70" spans="1:34" ht="18">
      <c r="A70" s="15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5"/>
      <c r="AB70" s="15"/>
      <c r="AC70" s="83"/>
      <c r="AD70" s="83"/>
      <c r="AE70" s="15"/>
      <c r="AF70" s="15"/>
      <c r="AG70" s="15"/>
      <c r="AH70" s="15"/>
    </row>
    <row r="71" spans="1:34" ht="18">
      <c r="A71" s="15"/>
      <c r="B71" s="122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5"/>
      <c r="AB71" s="15"/>
      <c r="AC71" s="83"/>
      <c r="AD71" s="83"/>
      <c r="AE71" s="15"/>
      <c r="AF71" s="15"/>
      <c r="AG71" s="15"/>
      <c r="AH71" s="15"/>
    </row>
    <row r="72" spans="1:34" ht="18">
      <c r="A72" s="15"/>
      <c r="B72" s="122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5"/>
      <c r="AB72" s="15"/>
      <c r="AC72" s="83"/>
      <c r="AD72" s="83"/>
      <c r="AE72" s="15"/>
      <c r="AF72" s="15"/>
      <c r="AG72" s="15"/>
      <c r="AH72" s="15"/>
    </row>
    <row r="73" spans="1:34" ht="18">
      <c r="A73" s="15"/>
      <c r="B73" s="122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5"/>
      <c r="AB73" s="15"/>
      <c r="AC73" s="83"/>
      <c r="AD73" s="83"/>
      <c r="AE73" s="15"/>
      <c r="AF73" s="15"/>
      <c r="AG73" s="15"/>
      <c r="AH73" s="15"/>
    </row>
    <row r="74" spans="1:34" ht="18">
      <c r="A74" s="15"/>
      <c r="B74" s="122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5"/>
      <c r="AB74" s="15"/>
      <c r="AC74" s="83"/>
      <c r="AD74" s="83"/>
      <c r="AE74" s="15"/>
      <c r="AF74" s="15"/>
      <c r="AG74" s="15"/>
      <c r="AH74" s="15"/>
    </row>
    <row r="75" spans="1:34" ht="18">
      <c r="A75" s="15"/>
      <c r="B75" s="122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5"/>
      <c r="AB75" s="15"/>
      <c r="AC75" s="83"/>
      <c r="AD75" s="83"/>
      <c r="AE75" s="15"/>
      <c r="AF75" s="15"/>
      <c r="AG75" s="15"/>
      <c r="AH75" s="15"/>
    </row>
    <row r="76" spans="1:34" ht="18">
      <c r="A76" s="15"/>
      <c r="B76" s="122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5"/>
      <c r="AB76" s="15"/>
      <c r="AC76" s="83"/>
      <c r="AD76" s="83"/>
      <c r="AE76" s="15"/>
      <c r="AF76" s="15"/>
      <c r="AG76" s="15"/>
      <c r="AH76" s="15"/>
    </row>
    <row r="77" spans="1:34" ht="18">
      <c r="A77" s="15"/>
      <c r="B77" s="122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5"/>
      <c r="AB77" s="15"/>
      <c r="AC77" s="83"/>
      <c r="AD77" s="83"/>
      <c r="AE77" s="15"/>
      <c r="AF77" s="15"/>
      <c r="AG77" s="15"/>
      <c r="AH77" s="15"/>
    </row>
    <row r="78" spans="1:34" ht="18">
      <c r="A78" s="15"/>
      <c r="B78" s="15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5"/>
      <c r="AB78" s="15"/>
      <c r="AC78" s="83"/>
      <c r="AD78" s="83"/>
      <c r="AE78" s="15"/>
      <c r="AF78" s="15"/>
      <c r="AG78" s="15"/>
      <c r="AH78" s="15"/>
    </row>
    <row r="79" spans="1:34" ht="18">
      <c r="A79" s="15"/>
      <c r="B79" s="15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5"/>
      <c r="AB79" s="15"/>
      <c r="AC79" s="83"/>
      <c r="AD79" s="83"/>
      <c r="AE79" s="15"/>
      <c r="AF79" s="15"/>
      <c r="AG79" s="15"/>
      <c r="AH79" s="15"/>
    </row>
    <row r="80" spans="1:34" ht="18">
      <c r="A80" s="15"/>
      <c r="B80" s="15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5"/>
      <c r="AB80" s="15"/>
      <c r="AC80" s="83"/>
      <c r="AD80" s="83"/>
      <c r="AE80" s="15"/>
      <c r="AF80" s="15"/>
      <c r="AG80" s="15"/>
      <c r="AH80" s="15"/>
    </row>
    <row r="81" spans="1:34" ht="18">
      <c r="A81" s="15"/>
      <c r="B81" s="15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5"/>
      <c r="AB81" s="15"/>
      <c r="AC81" s="83"/>
      <c r="AD81" s="83"/>
      <c r="AE81" s="15"/>
      <c r="AF81" s="15"/>
      <c r="AG81" s="15"/>
      <c r="AH81" s="15"/>
    </row>
    <row r="82" spans="1:34" ht="18">
      <c r="A82" s="15"/>
      <c r="B82" s="1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5"/>
      <c r="AB82" s="15"/>
      <c r="AC82" s="83"/>
      <c r="AD82" s="83"/>
      <c r="AE82" s="15"/>
      <c r="AF82" s="15"/>
      <c r="AG82" s="15"/>
      <c r="AH82" s="15"/>
    </row>
    <row r="83" spans="1:34" ht="18">
      <c r="A83" s="15"/>
      <c r="B83" s="1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5"/>
      <c r="AB83" s="15"/>
      <c r="AC83" s="83"/>
      <c r="AD83" s="83"/>
      <c r="AE83" s="15"/>
      <c r="AF83" s="15"/>
      <c r="AG83" s="15"/>
      <c r="AH83" s="15"/>
    </row>
    <row r="84" spans="1:34"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spans="1:34"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spans="1:34"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spans="1:34"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spans="1:34"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spans="1:34"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spans="1:34"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spans="1:34"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spans="1:34"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spans="1:34"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spans="1:34"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spans="1:34"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34"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3:26"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</sheetData>
  <mergeCells count="10">
    <mergeCell ref="AA42:AC42"/>
    <mergeCell ref="A1:AD1"/>
    <mergeCell ref="A2:AD2"/>
    <mergeCell ref="A3:AD3"/>
    <mergeCell ref="A4:AD4"/>
    <mergeCell ref="C5:F5"/>
    <mergeCell ref="H5:K5"/>
    <mergeCell ref="M5:P5"/>
    <mergeCell ref="R5:U5"/>
    <mergeCell ref="W5:Z5"/>
  </mergeCells>
  <printOptions horizontalCentered="1"/>
  <pageMargins left="0.24" right="0.17" top="0.24" bottom="0.19" header="0.17" footer="0.16"/>
  <pageSetup paperSize="9" scale="52" fitToHeight="0" orientation="landscape" horizontalDpi="4294967295" verticalDpi="4294967295" r:id="rId1"/>
  <colBreaks count="1" manualBreakCount="1">
    <brk id="3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14.2</vt:lpstr>
      <vt:lpstr>'14.2'!Print_Area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2018-04-17T04:10:07Z</cp:lastPrinted>
  <dcterms:created xsi:type="dcterms:W3CDTF">2013-04-01T04:26:10Z</dcterms:created>
  <dcterms:modified xsi:type="dcterms:W3CDTF">2018-04-17T04:10:15Z</dcterms:modified>
</cp:coreProperties>
</file>