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3. PUBLIC FINANCE\"/>
    </mc:Choice>
  </mc:AlternateContent>
  <bookViews>
    <workbookView xWindow="0" yWindow="0" windowWidth="28800" windowHeight="12330" tabRatio="688"/>
  </bookViews>
  <sheets>
    <sheet name="13.3" sheetId="3" r:id="rId1"/>
    <sheet name="13.5" sheetId="14" state="hidden" r:id="rId2"/>
    <sheet name="13.6" sheetId="16" state="hidden" r:id="rId3"/>
    <sheet name="13.7" sheetId="15" state="hidden" r:id="rId4"/>
    <sheet name="Fig 1.5 &amp; 1.6" sheetId="17" state="hidden" r:id="rId5"/>
  </sheets>
  <externalReferences>
    <externalReference r:id="rId6"/>
  </externalReferences>
  <definedNames>
    <definedName name="_xlnm.Print_Area" localSheetId="0">'13.3'!$A$1:$P$59</definedName>
    <definedName name="_xlnm.Print_Area" localSheetId="1">'13.5'!$A$1:$T$34</definedName>
    <definedName name="_xlnm.Print_Area" localSheetId="2">'13.6'!$A$1:$Y$37</definedName>
    <definedName name="_xlnm.Print_Area" localSheetId="3">'13.7'!$A$1:$Z$34</definedName>
    <definedName name="_xlnm.Print_Area" localSheetId="4">'Fig 1.5 &amp; 1.6'!$A$1:$O$62</definedName>
    <definedName name="_xlnm.Print_Titles" localSheetId="0">'13.3'!$5:$7</definedName>
  </definedNames>
  <calcPr calcId="162913"/>
</workbook>
</file>

<file path=xl/calcChain.xml><?xml version="1.0" encoding="utf-8"?>
<calcChain xmlns="http://schemas.openxmlformats.org/spreadsheetml/2006/main">
  <c r="H11" i="3" l="1"/>
  <c r="I11" i="3"/>
  <c r="J11" i="3"/>
  <c r="K11" i="3"/>
  <c r="L11" i="3"/>
  <c r="M11" i="3"/>
  <c r="N11" i="3"/>
  <c r="S21" i="15" l="1"/>
  <c r="S15" i="15"/>
  <c r="S10" i="15"/>
  <c r="X31" i="15"/>
  <c r="X30" i="15"/>
  <c r="X28" i="15"/>
  <c r="X27" i="15"/>
  <c r="X26" i="15"/>
  <c r="X25" i="15"/>
  <c r="X24" i="15"/>
  <c r="X23" i="15"/>
  <c r="X22" i="15"/>
  <c r="X20" i="15"/>
  <c r="X18" i="15"/>
  <c r="X17" i="15"/>
  <c r="X16" i="15"/>
  <c r="X14" i="15"/>
  <c r="X13" i="15"/>
  <c r="X12" i="15"/>
  <c r="X11" i="15"/>
  <c r="S20" i="16"/>
  <c r="S14" i="16"/>
  <c r="S9" i="16"/>
  <c r="W27" i="16"/>
  <c r="W26" i="16"/>
  <c r="W25" i="16"/>
  <c r="W24" i="16"/>
  <c r="W23" i="16"/>
  <c r="W22" i="16"/>
  <c r="W21" i="16"/>
  <c r="W19" i="16"/>
  <c r="W17" i="16"/>
  <c r="W16" i="16"/>
  <c r="W15" i="16"/>
  <c r="W13" i="16"/>
  <c r="W12" i="16"/>
  <c r="W11" i="16"/>
  <c r="W10" i="16"/>
  <c r="S33" i="14"/>
  <c r="S31" i="14"/>
  <c r="S30" i="14"/>
  <c r="S29" i="14"/>
  <c r="S28" i="14"/>
  <c r="S27" i="14"/>
  <c r="S26" i="14"/>
  <c r="S25" i="14"/>
  <c r="S24" i="14"/>
  <c r="S22" i="14"/>
  <c r="S20" i="14"/>
  <c r="S19" i="14"/>
  <c r="S18" i="14"/>
  <c r="S16" i="14"/>
  <c r="S15" i="14"/>
  <c r="S14" i="14"/>
  <c r="S13" i="14"/>
  <c r="S11" i="14"/>
  <c r="O23" i="14"/>
  <c r="O17" i="14"/>
  <c r="O10" i="14"/>
  <c r="N47" i="3"/>
  <c r="N23" i="3" s="1"/>
  <c r="N10" i="3" l="1"/>
  <c r="N9" i="3" s="1"/>
  <c r="N8" i="3" s="1"/>
  <c r="S9" i="15"/>
  <c r="S8" i="15" s="1"/>
  <c r="S8" i="16"/>
  <c r="R10" i="15" l="1"/>
  <c r="R15" i="15"/>
  <c r="R21" i="15"/>
  <c r="R9" i="16"/>
  <c r="R14" i="16"/>
  <c r="R20" i="16"/>
  <c r="N12" i="14"/>
  <c r="N10" i="14" s="1"/>
  <c r="N17" i="14"/>
  <c r="N23" i="14"/>
  <c r="M47" i="3"/>
  <c r="M23" i="3" s="1"/>
  <c r="M10" i="3" l="1"/>
  <c r="M9" i="3" s="1"/>
  <c r="M8" i="3" s="1"/>
  <c r="R9" i="15"/>
  <c r="R8" i="15" s="1"/>
  <c r="R8" i="16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V10" i="16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K47" i="3" l="1"/>
  <c r="K23" i="3" s="1"/>
  <c r="J47" i="3"/>
  <c r="J23" i="3" s="1"/>
  <c r="J10" i="3" l="1"/>
  <c r="J9" i="3" s="1"/>
  <c r="J8" i="3" s="1"/>
  <c r="K10" i="3"/>
  <c r="K9" i="3" s="1"/>
  <c r="K8" i="3" s="1"/>
  <c r="Q21" i="15" l="1"/>
  <c r="Q15" i="15"/>
  <c r="Q10" i="15"/>
  <c r="Q20" i="16"/>
  <c r="Q14" i="16"/>
  <c r="Q9" i="16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Q9" i="15" l="1"/>
  <c r="Q8" i="15" s="1"/>
  <c r="Q8" i="16"/>
  <c r="H47" i="3"/>
  <c r="H23" i="3" s="1"/>
  <c r="H10" i="3" s="1"/>
  <c r="H9" i="3" s="1"/>
  <c r="L47" i="3" l="1"/>
  <c r="L23" i="3" s="1"/>
  <c r="L10" i="3" l="1"/>
  <c r="L9" i="3" s="1"/>
  <c r="L8" i="3" s="1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L12" i="14"/>
  <c r="G12" i="14"/>
  <c r="H12" i="14"/>
  <c r="J12" i="14"/>
  <c r="K12" i="14"/>
  <c r="F12" i="14"/>
  <c r="X15" i="15" l="1"/>
  <c r="W20" i="16"/>
  <c r="W14" i="16"/>
  <c r="S12" i="14"/>
  <c r="S17" i="14"/>
  <c r="W15" i="15"/>
  <c r="V20" i="16"/>
  <c r="V14" i="16"/>
  <c r="R12" i="14"/>
  <c r="R17" i="14"/>
  <c r="I47" i="3"/>
  <c r="I23" i="3" s="1"/>
  <c r="I10" i="3" s="1"/>
  <c r="I9" i="3" s="1"/>
  <c r="I8" i="3" s="1"/>
  <c r="P21" i="15" l="1"/>
  <c r="P10" i="15"/>
  <c r="P9" i="16"/>
  <c r="K23" i="14"/>
  <c r="K10" i="14"/>
  <c r="P8" i="16" l="1"/>
  <c r="P9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X21" i="15" s="1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X10" i="1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W9" i="16" s="1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P8" i="15" l="1"/>
  <c r="R21" i="14"/>
  <c r="Q25" i="14"/>
  <c r="Q33" i="14"/>
  <c r="Q24" i="14"/>
  <c r="Q16" i="14"/>
  <c r="Q31" i="14"/>
  <c r="Q15" i="14"/>
  <c r="S21" i="14"/>
  <c r="Q30" i="14"/>
  <c r="Q22" i="14"/>
  <c r="Q14" i="14"/>
  <c r="Q18" i="14"/>
  <c r="Q29" i="14"/>
  <c r="Q21" i="14"/>
  <c r="Q13" i="14"/>
  <c r="Q26" i="14"/>
  <c r="Q28" i="14"/>
  <c r="Q20" i="14"/>
  <c r="Q27" i="14"/>
  <c r="Q19" i="14"/>
  <c r="Q11" i="14"/>
  <c r="Q17" i="14"/>
  <c r="Q12" i="14"/>
  <c r="D9" i="15"/>
  <c r="D8" i="15" s="1"/>
  <c r="H9" i="15"/>
  <c r="H8" i="15" s="1"/>
  <c r="L9" i="15"/>
  <c r="L8" i="15" s="1"/>
  <c r="F9" i="15"/>
  <c r="F8" i="15" s="1"/>
  <c r="N9" i="15"/>
  <c r="E9" i="15"/>
  <c r="E8" i="15" s="1"/>
  <c r="P23" i="14"/>
  <c r="P10" i="14"/>
  <c r="W21" i="15"/>
  <c r="W10" i="15"/>
  <c r="I9" i="15"/>
  <c r="I8" i="15" s="1"/>
  <c r="J9" i="15"/>
  <c r="J8" i="15" s="1"/>
  <c r="G9" i="15"/>
  <c r="G8" i="15" s="1"/>
  <c r="O9" i="15"/>
  <c r="X9" i="15" s="1"/>
  <c r="C9" i="15"/>
  <c r="C8" i="15" s="1"/>
  <c r="K9" i="15"/>
  <c r="K8" i="15" s="1"/>
  <c r="D8" i="16"/>
  <c r="V9" i="16"/>
  <c r="O8" i="16"/>
  <c r="W8" i="16" s="1"/>
  <c r="B8" i="16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F8" i="16"/>
  <c r="B9" i="15"/>
  <c r="B8" i="15" s="1"/>
  <c r="H8" i="16"/>
  <c r="N8" i="15"/>
  <c r="C8" i="16"/>
  <c r="G8" i="16"/>
  <c r="E8" i="16"/>
  <c r="I8" i="16"/>
  <c r="M8" i="16"/>
  <c r="M9" i="15"/>
  <c r="U9" i="15" l="1"/>
  <c r="T10" i="15"/>
  <c r="U28" i="15"/>
  <c r="U20" i="15"/>
  <c r="U11" i="15"/>
  <c r="U18" i="15"/>
  <c r="U26" i="15"/>
  <c r="U17" i="15"/>
  <c r="U25" i="15"/>
  <c r="U16" i="15"/>
  <c r="U23" i="15"/>
  <c r="U27" i="15"/>
  <c r="U24" i="15"/>
  <c r="U14" i="15"/>
  <c r="U31" i="15"/>
  <c r="U22" i="15"/>
  <c r="U13" i="15"/>
  <c r="U30" i="15"/>
  <c r="U12" i="15"/>
  <c r="U15" i="15"/>
  <c r="U10" i="15"/>
  <c r="U21" i="15"/>
  <c r="U27" i="16"/>
  <c r="U19" i="16"/>
  <c r="U11" i="16"/>
  <c r="U10" i="16"/>
  <c r="U25" i="16"/>
  <c r="U24" i="16"/>
  <c r="U16" i="16"/>
  <c r="U23" i="16"/>
  <c r="U15" i="16"/>
  <c r="U18" i="16"/>
  <c r="U17" i="16"/>
  <c r="W18" i="16"/>
  <c r="U22" i="16"/>
  <c r="U26" i="16"/>
  <c r="U21" i="16"/>
  <c r="U13" i="16"/>
  <c r="U12" i="16"/>
  <c r="U20" i="16"/>
  <c r="U14" i="16"/>
  <c r="U9" i="16"/>
  <c r="U8" i="16"/>
  <c r="V8" i="16"/>
  <c r="V18" i="16"/>
  <c r="T21" i="15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T9" i="16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  <c r="M8" i="15"/>
  <c r="X8" i="15" l="1"/>
  <c r="L23" i="14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F10" i="14"/>
  <c r="E10" i="14"/>
  <c r="D10" i="14"/>
  <c r="C10" i="14"/>
  <c r="B10" i="14"/>
  <c r="G9" i="14" l="1"/>
  <c r="Q10" i="14"/>
  <c r="S10" i="14"/>
  <c r="S23" i="14"/>
  <c r="Q23" i="14"/>
  <c r="F9" i="14"/>
  <c r="F8" i="14" s="1"/>
  <c r="C9" i="14"/>
  <c r="C8" i="14" s="1"/>
  <c r="D9" i="14"/>
  <c r="D8" i="14" s="1"/>
  <c r="R10" i="14"/>
  <c r="J9" i="14"/>
  <c r="E9" i="14"/>
  <c r="E8" i="14" s="1"/>
  <c r="B9" i="14"/>
  <c r="B8" i="14" s="1"/>
  <c r="H9" i="14"/>
  <c r="G8" i="14"/>
  <c r="I9" i="14"/>
  <c r="S8" i="14" l="1"/>
  <c r="Q9" i="14"/>
  <c r="S9" i="14"/>
  <c r="R9" i="14"/>
  <c r="J8" i="14"/>
  <c r="I8" i="14"/>
  <c r="H8" i="14"/>
  <c r="R8" i="14" l="1"/>
  <c r="G47" i="3" l="1"/>
  <c r="G23" i="3" s="1"/>
  <c r="F47" i="3"/>
  <c r="E47" i="3"/>
  <c r="E23" i="3" s="1"/>
  <c r="D47" i="3"/>
  <c r="D23" i="3" s="1"/>
  <c r="C47" i="3"/>
  <c r="C23" i="3" s="1"/>
  <c r="B47" i="3"/>
  <c r="B23" i="3" s="1"/>
  <c r="G11" i="3"/>
  <c r="F11" i="3"/>
  <c r="E11" i="3"/>
  <c r="D11" i="3"/>
  <c r="C11" i="3"/>
  <c r="B11" i="3"/>
  <c r="B10" i="3" l="1"/>
  <c r="B9" i="3" s="1"/>
  <c r="B8" i="3" s="1"/>
  <c r="C10" i="3"/>
  <c r="C9" i="3" s="1"/>
  <c r="C8" i="3" s="1"/>
  <c r="E10" i="3"/>
  <c r="E9" i="3" s="1"/>
  <c r="E8" i="3" s="1"/>
  <c r="F23" i="3"/>
  <c r="F10" i="3" s="1"/>
  <c r="F9" i="3" s="1"/>
  <c r="F8" i="3" s="1"/>
  <c r="D10" i="3"/>
  <c r="D9" i="3" s="1"/>
  <c r="D8" i="3" s="1"/>
  <c r="G10" i="3"/>
  <c r="G9" i="3" s="1"/>
  <c r="G8" i="3" s="1"/>
  <c r="H8" i="3" l="1"/>
</calcChain>
</file>

<file path=xl/sharedStrings.xml><?xml version="1.0" encoding="utf-8"?>
<sst xmlns="http://schemas.openxmlformats.org/spreadsheetml/2006/main" count="371" uniqueCount="273">
  <si>
    <t>(cniaWyifur cnwailim)</t>
  </si>
  <si>
    <t>Particulars</t>
  </si>
  <si>
    <t>(iawfiverukuhWlcsia)</t>
  </si>
  <si>
    <t>clIBcfwt</t>
  </si>
  <si>
    <t>Actual</t>
  </si>
  <si>
    <t>(MTEF)</t>
  </si>
  <si>
    <t>(cTejwbWtcsWrudem)</t>
  </si>
  <si>
    <t>Total Revenue and grants</t>
  </si>
  <si>
    <t>Current Revenue</t>
  </si>
  <si>
    <t>InwdcmWA cTcnwrwk</t>
  </si>
  <si>
    <t>Capital Revenue</t>
  </si>
  <si>
    <t>Total Expenditure</t>
  </si>
  <si>
    <t>udwrwK</t>
  </si>
  <si>
    <t>Current expenditure</t>
  </si>
  <si>
    <t>udwrwK Wditenivua</t>
  </si>
  <si>
    <t>Net lending</t>
  </si>
  <si>
    <t>IkWbufWs egInwrwd EverukUd</t>
  </si>
  <si>
    <t>Wsiawf unubiliawgutog egIhea egurEb iaWaInwdcmWA</t>
  </si>
  <si>
    <t>Total Revenue</t>
  </si>
  <si>
    <t>InwdcmWA</t>
  </si>
  <si>
    <t>Tax Revenue</t>
  </si>
  <si>
    <t xml:space="preserve"> InwdcmWA Ebil iawgutog egcsckeT</t>
  </si>
  <si>
    <t xml:space="preserve">              Import duty</t>
  </si>
  <si>
    <t xml:space="preserve">                                                           ITuaiD cTrOpcmia</t>
  </si>
  <si>
    <t xml:space="preserve">              Export duty</t>
  </si>
  <si>
    <t>އެކްސްޕޯޓް ޑިއުޓީ</t>
  </si>
  <si>
    <t xml:space="preserve">              Tourism Tax</t>
  </si>
  <si>
    <t xml:space="preserve">                                                           csckeT cmwzirUT</t>
  </si>
  <si>
    <t xml:space="preserve">              Bank profit tax</t>
  </si>
  <si>
    <t xml:space="preserve">                                                      csckeT egWdiawf ukcnEb</t>
  </si>
  <si>
    <t xml:space="preserve">              GST on Tourism </t>
  </si>
  <si>
    <t xml:space="preserve">ޓުއަރިޒަމް އިން ނެގޭ  ޓެކްސް        </t>
  </si>
  <si>
    <t xml:space="preserve">              Goods and Services Tax </t>
  </si>
  <si>
    <t xml:space="preserve">މުދަލާއި ޚިދުމަތުން ނެގޭ ޓެކްސް     </t>
  </si>
  <si>
    <t xml:space="preserve">              Airport Service Charge </t>
  </si>
  <si>
    <t>އެއަރޕޯރޓް ސަރވިސް ޗާރޖް</t>
  </si>
  <si>
    <t xml:space="preserve">              Business Profit Tax </t>
  </si>
  <si>
    <t>ބިޒްނަސް ޕްރޮފިޓް ޓެކްސް</t>
  </si>
  <si>
    <t xml:space="preserve">              Other  1/</t>
  </si>
  <si>
    <t xml:space="preserve">                                                            1_/ cnehinehea</t>
  </si>
  <si>
    <t>Nontax Revenue</t>
  </si>
  <si>
    <t>State Trading Organisation</t>
  </si>
  <si>
    <t>cnwxEziawnwgOa gcniDErcT cTETcs</t>
  </si>
  <si>
    <t>Dhivehi Raajjeyge Gulhun Pvt Ltd (DHIRAAGU)</t>
  </si>
  <si>
    <t>ދިވެހިރާއްޖޭގެ ގުޅުން ޕްރައިވެޓް ލިމިޓެޑް (ދިރާގު)</t>
  </si>
  <si>
    <t>Maldives Post Limited</t>
  </si>
  <si>
    <t>މޯޅްޑީވްސް ޕޯސްޓް ލިމިޓެޑް</t>
  </si>
  <si>
    <t>Maldives Monetary Authority</t>
  </si>
  <si>
    <t>މޯޅްޑިވްސް މަނިޓަރީ އޮތޯރިޓީ</t>
  </si>
  <si>
    <t>Maldives Industrial Fisheries Corporation</t>
  </si>
  <si>
    <t>މޯލްޑިވްސް އިންޑަސްޓްރިއަލް ފިޝަރީޒް ކޯޕަރޭޝަން</t>
  </si>
  <si>
    <t>Island Aviation Services Limited</t>
  </si>
  <si>
    <t>އައިލަންޑް އޭވިއޭޝަން ސާރވިސަސް ލިމިޓެޑް</t>
  </si>
  <si>
    <t xml:space="preserve">Building Construction and Machanical Workshop/ Public Works Services </t>
  </si>
  <si>
    <t>ބިލްޑީން ކޮންސްޓްރަކްޝަން އެންޑް މެކޭނިކަލް ވޯރކްޝޮޕް</t>
  </si>
  <si>
    <t>Maldives Transport &amp; Contracting Co.</t>
  </si>
  <si>
    <t>މޯލްޑީވްސް ޓްރާންސްޕޯރޓް އެންޑް ކޮންޓްރެކްޓިން ކޯ</t>
  </si>
  <si>
    <t>Maldives Ports Authority/ Maldives Ports Limited</t>
  </si>
  <si>
    <t xml:space="preserve">                                                    ITirOtoa cscTOp cscviDclOm</t>
  </si>
  <si>
    <t>Bank of Maldives</t>
  </si>
  <si>
    <t xml:space="preserve">                                                        cscviDclOm cfoa ckcnEb</t>
  </si>
  <si>
    <t>Maldives Airports Company Ltd</t>
  </si>
  <si>
    <t>މޯލްޑިވްސް އެއަރޕޯރޓްސް ކޮމްޕެނީ ލިމިޓެޑް</t>
  </si>
  <si>
    <t>Hulhumale Development Corperation</t>
  </si>
  <si>
    <t>ހުޅުމާލެ ޑިވެލޮޕްމަންޓް ކޯރޕަރޭޝަން</t>
  </si>
  <si>
    <t>Housing Development Corperation</t>
  </si>
  <si>
    <t>ހައުސިން ޑިވެލޮޕްމަންޓް  ކޯޕަރޭޝަން</t>
  </si>
  <si>
    <t>Government hotels</t>
  </si>
  <si>
    <t>ސަރުކާރުގެ ހޮޓެލްތައް</t>
  </si>
  <si>
    <t>Maldives Inflight Catering Services</t>
  </si>
  <si>
    <t>މޯލްޑިވްސް އިންފްލައިޓް ކޭޓަރިންގ ސަރވިސަސް</t>
  </si>
  <si>
    <t>Maldives Water &amp; Swerage Company</t>
  </si>
  <si>
    <t xml:space="preserve"> cDeTimil Inepcmok cjErwvcs cDcnea rwTOv cscviDclOm</t>
  </si>
  <si>
    <t xml:space="preserve">Housing Development Finance Corporation </t>
  </si>
  <si>
    <t>ހައުސިން ޑިވެލޮޕްމަންޓް ފައިނޭންސް ކޯޕަރޭޝަން</t>
  </si>
  <si>
    <t xml:space="preserve">Maldives Tourism Development Corporation </t>
  </si>
  <si>
    <t xml:space="preserve">Maldives National Shipping Limited </t>
  </si>
  <si>
    <t>މޯލްޑިވްސް ނެޝަނަލް ޝިޕިންގް ލިމިޓެޑް</t>
  </si>
  <si>
    <t>Thilafushi Corperation Limited</t>
  </si>
  <si>
    <t>ތިލަފުށި ކޯޕަރޭޝަން ލިމިޓެޑް</t>
  </si>
  <si>
    <t>Maldives National Broadcasting Corporation</t>
  </si>
  <si>
    <t>މޯލްޑިވްސް ނެޝަނަލް ބުރޯޑްކާސްޓިންގ ކޯޕަރޭޝަން</t>
  </si>
  <si>
    <t>މޯލްޑިވްސް ޓޫރިޒަމް ޑިވެލޮޕްމަންޓް ކޯޕަރޭޝަން</t>
  </si>
  <si>
    <t xml:space="preserve">    Lease and rents of Government property</t>
  </si>
  <si>
    <t>iluk egunwtcnwt WkwtctWrWmiA WviawfWvcawrukUd cSwycauk cnurWkurws</t>
  </si>
  <si>
    <t xml:space="preserve">            Resort lease rent</t>
  </si>
  <si>
    <t xml:space="preserve">                         iluk egukwtcTOsir WviawfWvcawrukUd cSwycauk cnurWkurws</t>
  </si>
  <si>
    <t xml:space="preserve">            Lease and rents of other Government property</t>
  </si>
  <si>
    <t xml:space="preserve">           iluk egunwtcnwt cnehinehea iaWkwtctWrWmiA WviawfWvcawrukUd cSwycauk cnurWkurws</t>
  </si>
  <si>
    <t xml:space="preserve">    Others 2_/</t>
  </si>
  <si>
    <t xml:space="preserve">                                                             2_/ cnehinehea</t>
  </si>
  <si>
    <t xml:space="preserve">                                                             InwdcmWA clwTipek</t>
  </si>
  <si>
    <t>Grants 3_/</t>
  </si>
  <si>
    <t xml:space="preserve">                                                             3_/ IheaegurEb</t>
  </si>
  <si>
    <t>.eveaenemih iawgiawbim ITuaiD egcpcmETcs ,IfWkcawd cSwmuruk IrwTcsijwr inufcnuk -If cscnwsiawl 1_/</t>
  </si>
  <si>
    <t>3_/  Excludes grants for direct expenditure by donors.</t>
  </si>
  <si>
    <t>.eveaevuncaeawfinemihIhea EdiawfcSokudwrwKWdIs ctWrwf EdIhea  3_/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</si>
  <si>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</si>
  <si>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</si>
  <si>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</si>
  <si>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</si>
  <si>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</si>
  <si>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Current Expenditure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</si>
  <si>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</si>
  <si>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</si>
  <si>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</si>
  <si>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</si>
  <si>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</si>
  <si>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</si>
  <si>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</si>
  <si>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</si>
  <si>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</si>
  <si>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</si>
  <si>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</si>
  <si>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</si>
  <si>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</si>
  <si>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</si>
  <si>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</si>
  <si>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</si>
  <si>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</si>
  <si>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</si>
  <si>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</si>
  <si>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</si>
  <si>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</si>
  <si>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</si>
  <si>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</si>
  <si>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</si>
  <si>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</si>
  <si>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</si>
  <si>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</si>
  <si>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</si>
  <si>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</si>
  <si>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</si>
  <si>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</si>
  <si>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</si>
  <si>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</si>
  <si>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</si>
  <si>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</si>
  <si>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</si>
  <si>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</si>
  <si>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</si>
  <si>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</si>
  <si>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</si>
  <si>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</si>
  <si>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</si>
  <si>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</si>
  <si>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 xml:space="preserve">ޓެކްސްގެ ގޮތުގައި ނުހިމެނޭ އާމްދަނީ </t>
  </si>
  <si>
    <t xml:space="preserve">   .eveawgutog egInwdcmWa Ebil iawgutog egcsckeT Inwviawfiveleb ITclwyOr cnegiSef cn 2012  4_/</t>
  </si>
  <si>
    <t xml:space="preserve">                                                            4_/ ITclwyOr</t>
  </si>
  <si>
    <t>އިތުރުވި މިންވަރު</t>
  </si>
  <si>
    <t>(In million MVR)</t>
  </si>
  <si>
    <t xml:space="preserve"> cniawfis</t>
  </si>
  <si>
    <t>cnuhuluf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</si>
  <si>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</si>
  <si>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</si>
  <si>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</si>
  <si>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</si>
  <si>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</si>
  <si>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</si>
  <si>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</si>
  <si>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</si>
  <si>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</si>
  <si>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</si>
  <si>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</si>
  <si>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</si>
  <si>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</si>
  <si>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</si>
  <si>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</si>
  <si>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</si>
  <si>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</si>
  <si>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</si>
  <si>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</si>
  <si>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</si>
  <si>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</si>
  <si>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</si>
  <si>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</si>
  <si>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</si>
  <si>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</si>
  <si>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</si>
  <si>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</si>
  <si>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</si>
  <si>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</si>
  <si>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</si>
  <si>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</si>
  <si>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</si>
  <si>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</si>
  <si>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</si>
  <si>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</si>
  <si>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</si>
  <si>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</si>
  <si>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</si>
  <si>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</si>
  <si>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</si>
  <si>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</si>
  <si>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</si>
  <si>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</si>
  <si>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</si>
  <si>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</si>
  <si>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</si>
  <si>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</si>
  <si>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</si>
  <si>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</si>
  <si>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</si>
  <si>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</si>
  <si>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</si>
  <si>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</si>
  <si>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</si>
  <si>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</si>
  <si>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</si>
  <si>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</si>
  <si>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</si>
  <si>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</si>
  <si>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</si>
  <si>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</si>
  <si>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</si>
  <si>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</si>
  <si>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</si>
  <si>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</si>
  <si>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</si>
  <si>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</si>
  <si>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</si>
  <si>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</si>
  <si>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</si>
  <si>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</si>
  <si>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</si>
  <si>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</si>
  <si>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</si>
  <si>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</si>
  <si>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</si>
  <si>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</si>
  <si>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</si>
  <si>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</si>
  <si>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</si>
  <si>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</si>
  <si>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>ގްރީން ޓެކްސް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</si>
  <si>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</si>
  <si>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</si>
  <si>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</si>
  <si>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</si>
  <si>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>-</t>
  </si>
  <si>
    <t>ދީނީ، ސަޤާފީ، މުނިފޫހިފިލުވުން</t>
  </si>
  <si>
    <t>2015-2016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</si>
  <si>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</si>
  <si>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2015 - 2016</t>
  </si>
  <si>
    <t>Estimate</t>
  </si>
  <si>
    <t xml:space="preserve">  Community programmes*</t>
  </si>
  <si>
    <t>* From 2015 onwards, "community programmes" included in "Religion, Culture and Entertainment".</t>
  </si>
  <si>
    <t>2016 Rev</t>
  </si>
  <si>
    <t>2017 Est</t>
  </si>
  <si>
    <t>2018 Est</t>
  </si>
  <si>
    <t>2019 Est</t>
  </si>
  <si>
    <t>1_/  Includes airport tax, business profit tax, GST, licence fees, company registration fees,remittence tax and stamp duties.</t>
  </si>
  <si>
    <t>2016-2017</t>
  </si>
  <si>
    <r>
      <t xml:space="preserve">2020 - 2013 </t>
    </r>
    <r>
      <rPr>
        <b/>
        <sz val="12"/>
        <color theme="1"/>
        <rFont val="Faruma"/>
      </rPr>
      <t>އާމްދަނީ،</t>
    </r>
    <r>
      <rPr>
        <b/>
        <sz val="12"/>
        <color theme="1"/>
        <rFont val="A_Randhoo"/>
      </rPr>
      <t xml:space="preserve"> egurWkurws  : 13.2 ulwvWt</t>
    </r>
  </si>
  <si>
    <t>Table  13.3:  GOVERNMENT REVENUE, 2013 - 2020</t>
  </si>
  <si>
    <t>2020 -2013 ,ctogWviawfiverukudwrwK cnuTejwb egurWkurws cnutogegukwtiawb WviawfiLeawDnwk cSwmugcnihudwrwK : 13.5 ulwvWt</t>
  </si>
  <si>
    <t>Table  13.5 :  FUNCTIONAL CLASSIFICATION OF CENTRAL GOVERNMENT EXPENDITURE, 2013- 2020</t>
  </si>
  <si>
    <t>2020-2013 ,ctogEverukudwrwK Wditenivua cnurWkurws cnutog egukwtiawb WviawfiLeawDnwk cSwmugcnihudwrwK : 13.6 ulwvWt</t>
  </si>
  <si>
    <t>Table  13.6 :  FUNCTIONAL CLASSIFICATION OF CENTRAL GOVERNMENT  CURRENT EXPENDITURE, 2013 - 2020</t>
  </si>
  <si>
    <t>2016 - 2017</t>
  </si>
  <si>
    <t>2020 -2013 ,ctEverukudwrwK ivinwncnuhimed cnurWkurws cnutog egukwtiawb WviawfiLeawDnwk cSwmugcnihudwrwK : 13.7 ulwvWt</t>
  </si>
  <si>
    <t>Table  13.7 :  FUNCTIONAL CLASSIFICATION OF CENTRAL GOVERNMENT  CAPITAL EXPENDITURE, 2013 - 2020</t>
  </si>
  <si>
    <t>2020 Est</t>
  </si>
  <si>
    <t xml:space="preserve">Revised </t>
  </si>
  <si>
    <t xml:space="preserve">GulhiFalhu Investments </t>
  </si>
  <si>
    <t>2_/  Includes fines, confiscated properties, penalties and administrative charges. From 2017 onwards; includes Airport Development Fee</t>
  </si>
  <si>
    <t>4_/ from 2012 royalty is classified as a tax revenue</t>
  </si>
  <si>
    <t xml:space="preserve">                  Green Tax</t>
  </si>
  <si>
    <t xml:space="preserve">   Royalties  4_/</t>
  </si>
  <si>
    <t>ގުޅިފަޅު އިންޑަސްޓްރިއަލް ޒޯން</t>
  </si>
  <si>
    <t xml:space="preserve">  އަދި 2017 ވަނަ އަހަރުން ފެށިގެން ނަގަންފެށުނު އެއާޕޯޓް ޑިވެލޮޕްމަންޓް ފީ.Wsiawf Egen cnutog IrWdia iaWaITclenep ,itekwt WrukcTEkcsifcnok ,WnwmirUj  2_/</t>
  </si>
  <si>
    <t>5_/  Data Revised</t>
  </si>
  <si>
    <r>
      <rPr>
        <sz val="9"/>
        <color theme="1"/>
        <rFont val="A_Randhoo"/>
      </rPr>
      <t>iawfiverukuhWlcsia</t>
    </r>
    <r>
      <rPr>
        <sz val="7"/>
        <color theme="1"/>
        <rFont val="A_Randhoo"/>
      </rPr>
      <t xml:space="preserve"> </t>
    </r>
    <r>
      <rPr>
        <sz val="9"/>
        <color theme="1"/>
        <rFont val="A_Randhoo"/>
      </rPr>
      <t>5</t>
    </r>
    <r>
      <rPr>
        <sz val="7"/>
        <color theme="1"/>
        <rFont val="A_Randhoo"/>
      </rPr>
      <t>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</si>
</sst>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_);_(@_)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.5"/>
      <color theme="1"/>
      <name val="Faruma"/>
    </font>
    <font>
      <sz val="9"/>
      <color theme="1"/>
      <name val="Faruma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7"/>
      <color theme="1"/>
      <name val="A_Randhoo"/>
    </font>
    <font>
      <b/>
      <sz val="12"/>
      <color theme="1"/>
      <name val="Faruma"/>
    </font>
    <font>
      <b/>
      <sz val="9.5"/>
      <color theme="1"/>
      <name val="Calibri"/>
      <family val="2"/>
      <scheme val="minor"/>
    </font>
    <font>
      <b/>
      <sz val="9.8000000000000007"/>
      <color theme="1"/>
      <name val="Calibri"/>
      <family val="2"/>
      <scheme val="minor"/>
    </font>
    <font>
      <b/>
      <sz val="9.5"/>
      <color theme="1"/>
      <name val="A_Randhoo"/>
    </font>
    <font>
      <sz val="9.5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sz val="9.5"/>
      <color theme="1"/>
      <name val="A_Randhoo"/>
    </font>
    <font>
      <b/>
      <sz val="9.5"/>
      <color theme="1"/>
      <name val="Faruma"/>
    </font>
    <font>
      <sz val="8.5"/>
      <color theme="1"/>
      <name val="Calibri"/>
      <family val="2"/>
      <scheme val="minor"/>
    </font>
    <font>
      <sz val="8.5"/>
      <color theme="1"/>
      <name val="A_Randhoo"/>
    </font>
    <font>
      <sz val="9"/>
      <color theme="1"/>
      <name val="Times New Roman"/>
      <family val="1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5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7" fillId="0" borderId="0"/>
    <xf numFmtId="171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7" fillId="0" borderId="0" applyFont="0" applyFill="0" applyBorder="0" applyAlignment="0" applyProtection="0"/>
    <xf numFmtId="0" fontId="49" fillId="0" borderId="0" applyNumberFormat="0" applyFill="0" applyBorder="0" applyAlignment="0" applyProtection="0"/>
  </cellStyleXfs>
  <cellXfs count="325">
    <xf numFmtId="0" fontId="0" fillId="0" borderId="0" xfId="0"/>
    <xf numFmtId="164" fontId="4" fillId="2" borderId="0" xfId="4" applyNumberFormat="1" applyFont="1" applyFill="1" applyAlignment="1" applyProtection="1">
      <alignment horizontal="left" vertical="center"/>
    </xf>
    <xf numFmtId="164" fontId="4" fillId="2" borderId="0" xfId="4" applyNumberFormat="1" applyFont="1" applyFill="1"/>
    <xf numFmtId="2" fontId="4" fillId="2" borderId="0" xfId="4" applyNumberFormat="1" applyFont="1" applyFill="1"/>
    <xf numFmtId="164" fontId="3" fillId="2" borderId="0" xfId="4" applyNumberFormat="1" applyFont="1" applyFill="1" applyBorder="1" applyAlignment="1">
      <alignment horizontal="center"/>
    </xf>
    <xf numFmtId="1" fontId="3" fillId="2" borderId="9" xfId="4" applyNumberFormat="1" applyFont="1" applyFill="1" applyBorder="1"/>
    <xf numFmtId="164" fontId="3" fillId="2" borderId="9" xfId="4" applyNumberFormat="1" applyFont="1" applyFill="1" applyBorder="1"/>
    <xf numFmtId="164" fontId="3" fillId="2" borderId="9" xfId="4" applyNumberFormat="1" applyFont="1" applyFill="1" applyBorder="1" applyAlignment="1" applyProtection="1">
      <alignment horizontal="left" vertical="center"/>
    </xf>
    <xf numFmtId="167" fontId="4" fillId="2" borderId="9" xfId="1" applyNumberFormat="1" applyFont="1" applyFill="1" applyBorder="1"/>
    <xf numFmtId="164" fontId="4" fillId="2" borderId="0" xfId="4" applyNumberFormat="1" applyFont="1" applyFill="1" applyAlignment="1"/>
    <xf numFmtId="165" fontId="6" fillId="2" borderId="0" xfId="2" applyNumberFormat="1" applyFont="1" applyFill="1" applyBorder="1" applyAlignment="1" applyProtection="1">
      <alignment horizontal="right" vertical="center"/>
      <protection locked="0"/>
    </xf>
    <xf numFmtId="164" fontId="9" fillId="2" borderId="3" xfId="2" applyNumberFormat="1" applyFont="1" applyFill="1" applyBorder="1" applyAlignment="1">
      <alignment horizontal="center" vertical="center"/>
    </xf>
    <xf numFmtId="164" fontId="10" fillId="2" borderId="3" xfId="2" applyNumberFormat="1" applyFont="1" applyFill="1" applyBorder="1" applyAlignment="1">
      <alignment vertical="center"/>
    </xf>
    <xf numFmtId="164" fontId="11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2" xfId="2" applyNumberFormat="1" applyFont="1" applyFill="1" applyBorder="1" applyAlignment="1">
      <alignment horizontal="right" vertical="center"/>
    </xf>
    <xf numFmtId="164" fontId="10" fillId="2" borderId="2" xfId="2" applyNumberFormat="1" applyFont="1" applyFill="1" applyBorder="1" applyAlignment="1">
      <alignment vertical="center"/>
    </xf>
    <xf numFmtId="164" fontId="6" fillId="2" borderId="0" xfId="2" applyNumberFormat="1" applyFont="1" applyFill="1" applyBorder="1" applyAlignment="1" applyProtection="1">
      <alignment horizontal="right" vertical="center"/>
      <protection locked="0"/>
    </xf>
    <xf numFmtId="164" fontId="6" fillId="2" borderId="1" xfId="2" applyNumberFormat="1" applyFont="1" applyFill="1" applyBorder="1" applyAlignment="1" applyProtection="1">
      <alignment horizontal="right" vertical="center"/>
    </xf>
    <xf numFmtId="165" fontId="18" fillId="2" borderId="0" xfId="2" applyNumberFormat="1" applyFont="1" applyFill="1" applyAlignment="1">
      <alignment horizontal="right" vertical="center"/>
    </xf>
    <xf numFmtId="164" fontId="23" fillId="2" borderId="0" xfId="2" applyNumberFormat="1" applyFont="1" applyFill="1" applyAlignment="1">
      <alignment vertical="center"/>
    </xf>
    <xf numFmtId="164" fontId="24" fillId="2" borderId="0" xfId="2" applyNumberFormat="1" applyFont="1" applyFill="1" applyAlignment="1">
      <alignment vertical="center"/>
    </xf>
    <xf numFmtId="164" fontId="6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4" fontId="10" fillId="2" borderId="0" xfId="2" applyNumberFormat="1" applyFont="1" applyFill="1" applyAlignment="1">
      <alignment vertical="center"/>
    </xf>
    <xf numFmtId="164" fontId="28" fillId="2" borderId="0" xfId="2" applyNumberFormat="1" applyFont="1" applyFill="1" applyAlignment="1">
      <alignment vertical="center"/>
    </xf>
    <xf numFmtId="164" fontId="21" fillId="2" borderId="0" xfId="2" applyNumberFormat="1" applyFont="1" applyFill="1" applyAlignment="1" applyProtection="1">
      <alignment horizontal="left" vertical="center"/>
    </xf>
    <xf numFmtId="164" fontId="17" fillId="2" borderId="0" xfId="2" applyNumberFormat="1" applyFont="1" applyFill="1" applyAlignment="1">
      <alignment vertical="center"/>
    </xf>
    <xf numFmtId="164" fontId="13" fillId="2" borderId="0" xfId="2" applyNumberFormat="1" applyFont="1" applyFill="1" applyAlignment="1">
      <alignment horizontal="center" vertical="center"/>
    </xf>
    <xf numFmtId="164" fontId="23" fillId="2" borderId="0" xfId="2" applyNumberFormat="1" applyFont="1" applyFill="1" applyAlignment="1">
      <alignment horizontal="center" vertical="center"/>
    </xf>
    <xf numFmtId="164" fontId="28" fillId="2" borderId="0" xfId="2" applyNumberFormat="1" applyFont="1" applyFill="1" applyBorder="1" applyAlignment="1">
      <alignment vertical="center"/>
    </xf>
    <xf numFmtId="165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7" fillId="2" borderId="2" xfId="2" applyNumberFormat="1" applyFont="1" applyFill="1" applyBorder="1" applyAlignment="1" applyProtection="1">
      <alignment horizontal="left" vertical="center"/>
    </xf>
    <xf numFmtId="41" fontId="29" fillId="2" borderId="2" xfId="3" applyNumberFormat="1" applyFont="1" applyFill="1" applyBorder="1" applyAlignment="1" applyProtection="1">
      <alignment horizontal="right" vertical="center"/>
      <protection locked="0"/>
    </xf>
    <xf numFmtId="164" fontId="27" fillId="2" borderId="2" xfId="2" applyNumberFormat="1" applyFont="1" applyFill="1" applyBorder="1" applyAlignment="1">
      <alignment horizontal="right" vertical="center"/>
    </xf>
    <xf numFmtId="164" fontId="30" fillId="2" borderId="0" xfId="2" applyNumberFormat="1" applyFont="1" applyFill="1" applyAlignment="1" applyProtection="1">
      <alignment horizontal="left" vertical="center"/>
    </xf>
    <xf numFmtId="164" fontId="31" fillId="2" borderId="0" xfId="2" applyNumberFormat="1" applyFont="1" applyFill="1" applyAlignment="1">
      <alignment horizontal="right" vertical="center"/>
    </xf>
    <xf numFmtId="164" fontId="27" fillId="2" borderId="0" xfId="2" applyNumberFormat="1" applyFont="1" applyFill="1" applyAlignment="1">
      <alignment horizontal="right" vertical="center"/>
    </xf>
    <xf numFmtId="164" fontId="11" fillId="2" borderId="0" xfId="2" applyNumberFormat="1" applyFont="1" applyFill="1" applyBorder="1" applyAlignment="1">
      <alignment vertical="center"/>
    </xf>
    <xf numFmtId="164" fontId="10" fillId="2" borderId="0" xfId="2" applyNumberFormat="1" applyFont="1" applyFill="1" applyBorder="1" applyAlignment="1">
      <alignment vertical="center"/>
    </xf>
    <xf numFmtId="164" fontId="11" fillId="2" borderId="2" xfId="2" applyNumberFormat="1" applyFont="1" applyFill="1" applyBorder="1" applyAlignment="1" applyProtection="1">
      <alignment horizontal="right" vertical="center"/>
    </xf>
    <xf numFmtId="164" fontId="33" fillId="2" borderId="0" xfId="2" applyNumberFormat="1" applyFont="1" applyFill="1" applyAlignment="1" applyProtection="1">
      <alignment horizontal="left" vertical="center"/>
    </xf>
    <xf numFmtId="167" fontId="34" fillId="2" borderId="0" xfId="1" applyNumberFormat="1" applyFont="1" applyFill="1" applyAlignment="1" applyProtection="1">
      <alignment horizontal="right" vertical="center"/>
    </xf>
    <xf numFmtId="164" fontId="35" fillId="2" borderId="0" xfId="2" applyNumberFormat="1" applyFont="1" applyFill="1" applyAlignment="1">
      <alignment horizontal="right" vertical="center"/>
    </xf>
    <xf numFmtId="165" fontId="35" fillId="2" borderId="0" xfId="2" applyNumberFormat="1" applyFont="1" applyFill="1" applyAlignment="1">
      <alignment horizontal="right" vertical="center"/>
    </xf>
    <xf numFmtId="164" fontId="36" fillId="2" borderId="0" xfId="2" applyNumberFormat="1" applyFont="1" applyFill="1" applyAlignment="1" applyProtection="1">
      <alignment horizontal="left" vertical="center" indent="1"/>
    </xf>
    <xf numFmtId="167" fontId="37" fillId="2" borderId="0" xfId="1" applyNumberFormat="1" applyFont="1" applyFill="1" applyAlignment="1" applyProtection="1">
      <alignment horizontal="right" vertical="center"/>
      <protection locked="0"/>
    </xf>
    <xf numFmtId="165" fontId="38" fillId="2" borderId="0" xfId="2" applyNumberFormat="1" applyFont="1" applyFill="1" applyAlignment="1">
      <alignment horizontal="right" vertical="center"/>
    </xf>
    <xf numFmtId="41" fontId="29" fillId="2" borderId="0" xfId="3" applyNumberFormat="1" applyFont="1" applyFill="1" applyAlignment="1" applyProtection="1">
      <alignment horizontal="right" vertical="center"/>
      <protection locked="0"/>
    </xf>
    <xf numFmtId="167" fontId="29" fillId="2" borderId="0" xfId="3" applyNumberFormat="1" applyFont="1" applyFill="1" applyAlignment="1" applyProtection="1">
      <alignment horizontal="right" vertical="center"/>
      <protection locked="0"/>
    </xf>
    <xf numFmtId="164" fontId="36" fillId="2" borderId="0" xfId="2" applyNumberFormat="1" applyFont="1" applyFill="1" applyAlignment="1" applyProtection="1">
      <alignment horizontal="left" vertical="center"/>
    </xf>
    <xf numFmtId="164" fontId="36" fillId="2" borderId="0" xfId="2" applyNumberFormat="1" applyFont="1" applyFill="1" applyAlignment="1" applyProtection="1">
      <alignment horizontal="left" vertical="center" indent="4"/>
    </xf>
    <xf numFmtId="166" fontId="29" fillId="2" borderId="0" xfId="3" applyNumberFormat="1" applyFont="1" applyFill="1" applyAlignment="1" applyProtection="1">
      <alignment horizontal="right" vertical="center"/>
      <protection locked="0"/>
    </xf>
    <xf numFmtId="164" fontId="10" fillId="2" borderId="0" xfId="2" applyNumberFormat="1" applyFont="1" applyFill="1" applyAlignment="1"/>
    <xf numFmtId="167" fontId="34" fillId="2" borderId="0" xfId="1" applyNumberFormat="1" applyFont="1" applyFill="1" applyAlignment="1" applyProtection="1">
      <alignment horizontal="right"/>
    </xf>
    <xf numFmtId="165" fontId="39" fillId="2" borderId="0" xfId="2" applyNumberFormat="1" applyFont="1" applyFill="1" applyAlignment="1">
      <alignment horizontal="right" vertical="center"/>
    </xf>
    <xf numFmtId="167" fontId="37" fillId="2" borderId="0" xfId="1" applyNumberFormat="1" applyFont="1" applyFill="1" applyAlignment="1">
      <alignment horizontal="right"/>
    </xf>
    <xf numFmtId="164" fontId="18" fillId="2" borderId="0" xfId="2" applyNumberFormat="1" applyFont="1" applyFill="1" applyAlignment="1">
      <alignment vertical="center"/>
    </xf>
    <xf numFmtId="164" fontId="36" fillId="2" borderId="0" xfId="2" applyNumberFormat="1" applyFont="1" applyFill="1" applyAlignment="1">
      <alignment horizontal="left" vertical="center" indent="1"/>
    </xf>
    <xf numFmtId="164" fontId="36" fillId="2" borderId="0" xfId="2" applyNumberFormat="1" applyFont="1" applyFill="1" applyBorder="1" applyAlignment="1">
      <alignment horizontal="left" vertical="center" indent="1"/>
    </xf>
    <xf numFmtId="164" fontId="36" fillId="2" borderId="0" xfId="2" applyNumberFormat="1" applyFont="1" applyFill="1" applyBorder="1" applyAlignment="1" applyProtection="1">
      <alignment horizontal="left" vertical="center" indent="1"/>
    </xf>
    <xf numFmtId="164" fontId="18" fillId="2" borderId="0" xfId="2" applyNumberFormat="1" applyFont="1" applyFill="1" applyAlignment="1">
      <alignment horizontal="right" vertical="center" readingOrder="1"/>
    </xf>
    <xf numFmtId="167" fontId="34" fillId="2" borderId="0" xfId="1" applyNumberFormat="1" applyFont="1" applyFill="1" applyAlignment="1">
      <alignment vertical="center"/>
    </xf>
    <xf numFmtId="167" fontId="34" fillId="2" borderId="0" xfId="1" applyNumberFormat="1" applyFont="1" applyFill="1" applyAlignment="1">
      <alignment horizontal="right"/>
    </xf>
    <xf numFmtId="167" fontId="37" fillId="2" borderId="0" xfId="1" applyNumberFormat="1" applyFont="1" applyFill="1" applyAlignment="1">
      <alignment vertical="center"/>
    </xf>
    <xf numFmtId="164" fontId="38" fillId="2" borderId="0" xfId="2" applyNumberFormat="1" applyFont="1" applyFill="1" applyAlignment="1">
      <alignment horizontal="right" vertical="center"/>
    </xf>
    <xf numFmtId="167" fontId="34" fillId="2" borderId="0" xfId="1" applyNumberFormat="1" applyFont="1" applyFill="1" applyAlignment="1" applyProtection="1">
      <alignment vertical="center"/>
      <protection locked="0"/>
    </xf>
    <xf numFmtId="164" fontId="33" fillId="2" borderId="2" xfId="2" applyNumberFormat="1" applyFont="1" applyFill="1" applyBorder="1" applyAlignment="1" applyProtection="1">
      <alignment horizontal="left" vertical="center"/>
    </xf>
    <xf numFmtId="167" fontId="34" fillId="2" borderId="2" xfId="1" applyNumberFormat="1" applyFont="1" applyFill="1" applyBorder="1" applyAlignment="1" applyProtection="1">
      <alignment vertical="center"/>
      <protection locked="0"/>
    </xf>
    <xf numFmtId="164" fontId="38" fillId="2" borderId="2" xfId="2" applyNumberFormat="1" applyFont="1" applyFill="1" applyBorder="1" applyAlignment="1">
      <alignment horizontal="right" vertical="center"/>
    </xf>
    <xf numFmtId="37" fontId="17" fillId="2" borderId="0" xfId="2" applyNumberFormat="1" applyFont="1" applyFill="1" applyAlignment="1" applyProtection="1">
      <alignment vertical="center"/>
    </xf>
    <xf numFmtId="37" fontId="40" fillId="2" borderId="0" xfId="2" applyNumberFormat="1" applyFont="1" applyFill="1" applyAlignment="1" applyProtection="1">
      <alignment vertical="center"/>
    </xf>
    <xf numFmtId="164" fontId="41" fillId="2" borderId="0" xfId="2" applyNumberFormat="1" applyFont="1" applyFill="1" applyAlignment="1">
      <alignment horizontal="right" vertical="center"/>
    </xf>
    <xf numFmtId="164" fontId="19" fillId="2" borderId="0" xfId="2" applyNumberFormat="1" applyFont="1" applyFill="1" applyAlignment="1">
      <alignment vertical="center"/>
    </xf>
    <xf numFmtId="0" fontId="42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164" fontId="11" fillId="2" borderId="0" xfId="2" applyNumberFormat="1" applyFont="1" applyFill="1" applyAlignment="1" applyProtection="1">
      <alignment horizontal="left" vertical="center"/>
    </xf>
    <xf numFmtId="165" fontId="11" fillId="2" borderId="0" xfId="2" applyNumberFormat="1" applyFont="1" applyFill="1" applyAlignment="1" applyProtection="1">
      <alignment horizontal="right" vertical="center"/>
    </xf>
    <xf numFmtId="165" fontId="11" fillId="2" borderId="0" xfId="2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Alignment="1">
      <alignment horizontal="right" vertical="center"/>
    </xf>
    <xf numFmtId="164" fontId="17" fillId="2" borderId="0" xfId="2" applyNumberFormat="1" applyFont="1" applyFill="1" applyAlignment="1" applyProtection="1">
      <alignment horizontal="left" vertical="center"/>
    </xf>
    <xf numFmtId="41" fontId="29" fillId="2" borderId="0" xfId="3" applyNumberFormat="1" applyFont="1" applyFill="1" applyBorder="1" applyAlignment="1" applyProtection="1">
      <alignment horizontal="right" vertical="center"/>
      <protection locked="0"/>
    </xf>
    <xf numFmtId="164" fontId="17" fillId="2" borderId="0" xfId="2" applyNumberFormat="1" applyFont="1" applyFill="1" applyBorder="1" applyAlignment="1" applyProtection="1">
      <alignment horizontal="left" vertical="center"/>
    </xf>
    <xf numFmtId="165" fontId="17" fillId="2" borderId="0" xfId="2" applyNumberFormat="1" applyFont="1" applyFill="1" applyBorder="1" applyAlignment="1" applyProtection="1">
      <alignment horizontal="right" vertical="center"/>
    </xf>
    <xf numFmtId="165" fontId="11" fillId="2" borderId="2" xfId="2" applyNumberFormat="1" applyFont="1" applyFill="1" applyBorder="1" applyAlignment="1" applyProtection="1">
      <alignment horizontal="right" vertical="center"/>
      <protection locked="0"/>
    </xf>
    <xf numFmtId="164" fontId="44" fillId="2" borderId="0" xfId="2" applyNumberFormat="1" applyFont="1" applyFill="1" applyAlignment="1">
      <alignment vertical="center" wrapText="1"/>
    </xf>
    <xf numFmtId="164" fontId="26" fillId="2" borderId="3" xfId="2" applyNumberFormat="1" applyFont="1" applyFill="1" applyBorder="1" applyAlignment="1">
      <alignment vertical="center"/>
    </xf>
    <xf numFmtId="164" fontId="25" fillId="2" borderId="0" xfId="2" applyNumberFormat="1" applyFont="1" applyFill="1" applyBorder="1" applyAlignment="1"/>
    <xf numFmtId="164" fontId="25" fillId="2" borderId="0" xfId="2" applyNumberFormat="1" applyFont="1" applyFill="1" applyBorder="1" applyAlignment="1">
      <alignment horizontal="center"/>
    </xf>
    <xf numFmtId="164" fontId="26" fillId="2" borderId="0" xfId="2" applyNumberFormat="1" applyFont="1" applyFill="1" applyBorder="1" applyAlignment="1">
      <alignment vertical="center"/>
    </xf>
    <xf numFmtId="164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26" fillId="2" borderId="0" xfId="2" applyNumberFormat="1" applyFont="1" applyFill="1" applyBorder="1" applyAlignment="1" applyProtection="1">
      <alignment horizontal="center" vertical="center"/>
      <protection locked="0"/>
    </xf>
    <xf numFmtId="164" fontId="26" fillId="2" borderId="0" xfId="2" applyNumberFormat="1" applyFont="1" applyFill="1" applyBorder="1" applyAlignment="1" applyProtection="1">
      <alignment horizontal="right" vertical="center"/>
      <protection locked="0"/>
    </xf>
    <xf numFmtId="168" fontId="11" fillId="2" borderId="17" xfId="2" applyNumberFormat="1" applyFont="1" applyFill="1" applyBorder="1" applyAlignment="1">
      <alignment horizontal="right" vertical="center"/>
    </xf>
    <xf numFmtId="164" fontId="46" fillId="2" borderId="2" xfId="2" applyNumberFormat="1" applyFont="1" applyFill="1" applyBorder="1" applyAlignment="1">
      <alignment horizontal="right" vertical="center"/>
    </xf>
    <xf numFmtId="3" fontId="6" fillId="2" borderId="0" xfId="2" applyNumberFormat="1" applyFont="1" applyFill="1" applyBorder="1" applyAlignment="1" applyProtection="1">
      <alignment horizontal="right" vertical="center"/>
    </xf>
    <xf numFmtId="3" fontId="6" fillId="2" borderId="3" xfId="2" applyNumberFormat="1" applyFont="1" applyFill="1" applyBorder="1" applyAlignment="1" applyProtection="1">
      <alignment horizontal="right" vertical="center"/>
    </xf>
    <xf numFmtId="165" fontId="6" fillId="2" borderId="3" xfId="2" applyNumberFormat="1" applyFont="1" applyFill="1" applyBorder="1" applyAlignment="1" applyProtection="1">
      <alignment horizontal="right" vertical="center"/>
    </xf>
    <xf numFmtId="168" fontId="6" fillId="2" borderId="0" xfId="2" applyNumberFormat="1" applyFont="1" applyFill="1" applyBorder="1" applyAlignment="1" applyProtection="1">
      <alignment horizontal="right" vertical="center"/>
      <protection locked="0"/>
    </xf>
    <xf numFmtId="3" fontId="6" fillId="2" borderId="0" xfId="2" applyNumberFormat="1" applyFont="1" applyFill="1" applyBorder="1" applyAlignment="1" applyProtection="1">
      <alignment horizontal="right" vertical="center"/>
      <protection locked="0"/>
    </xf>
    <xf numFmtId="168" fontId="6" fillId="2" borderId="10" xfId="2" applyNumberFormat="1" applyFont="1" applyFill="1" applyBorder="1" applyAlignment="1" applyProtection="1">
      <alignment vertical="center"/>
      <protection locked="0"/>
    </xf>
    <xf numFmtId="164" fontId="13" fillId="2" borderId="0" xfId="2" applyNumberFormat="1" applyFont="1" applyFill="1" applyAlignment="1" applyProtection="1">
      <alignment horizontal="left" vertical="center"/>
    </xf>
    <xf numFmtId="3" fontId="13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0" xfId="2" applyNumberFormat="1" applyFont="1" applyFill="1" applyBorder="1" applyAlignment="1" applyProtection="1">
      <alignment vertical="center"/>
      <protection locked="0"/>
    </xf>
    <xf numFmtId="168" fontId="13" fillId="2" borderId="10" xfId="2" applyNumberFormat="1" applyFont="1" applyFill="1" applyBorder="1" applyAlignment="1" applyProtection="1">
      <alignment vertical="center"/>
      <protection locked="0"/>
    </xf>
    <xf numFmtId="168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27" fillId="2" borderId="0" xfId="2" applyNumberFormat="1" applyFont="1" applyFill="1" applyAlignment="1">
      <alignment horizontal="right" vertical="center" indent="3"/>
    </xf>
    <xf numFmtId="3" fontId="13" fillId="2" borderId="0" xfId="2" applyNumberFormat="1" applyFont="1" applyFill="1" applyBorder="1" applyAlignment="1">
      <alignment vertical="center"/>
    </xf>
    <xf numFmtId="164" fontId="19" fillId="2" borderId="0" xfId="2" applyNumberFormat="1" applyFont="1" applyFill="1" applyAlignment="1">
      <alignment horizontal="right" vertical="center"/>
    </xf>
    <xf numFmtId="3" fontId="13" fillId="2" borderId="0" xfId="2" applyNumberFormat="1" applyFont="1" applyFill="1" applyBorder="1" applyAlignment="1" applyProtection="1">
      <alignment horizontal="righ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3" fontId="13" fillId="2" borderId="2" xfId="2" applyNumberFormat="1" applyFont="1" applyFill="1" applyBorder="1" applyAlignment="1" applyProtection="1">
      <alignment horizontal="center" vertical="center"/>
      <protection locked="0"/>
    </xf>
    <xf numFmtId="3" fontId="13" fillId="2" borderId="2" xfId="2" applyNumberFormat="1" applyFont="1" applyFill="1" applyBorder="1" applyAlignment="1" applyProtection="1">
      <alignment horizontal="right" vertical="center"/>
      <protection locked="0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8" fontId="13" fillId="2" borderId="11" xfId="2" applyNumberFormat="1" applyFont="1" applyFill="1" applyBorder="1" applyAlignment="1" applyProtection="1">
      <alignment vertical="center"/>
      <protection locked="0"/>
    </xf>
    <xf numFmtId="168" fontId="13" fillId="2" borderId="2" xfId="2" applyNumberFormat="1" applyFont="1" applyFill="1" applyBorder="1" applyAlignment="1" applyProtection="1">
      <alignment horizontal="right" vertical="center"/>
      <protection locked="0"/>
    </xf>
    <xf numFmtId="164" fontId="19" fillId="2" borderId="2" xfId="2" applyNumberFormat="1" applyFont="1" applyFill="1" applyBorder="1" applyAlignment="1">
      <alignment horizontal="right" vertical="center"/>
    </xf>
    <xf numFmtId="37" fontId="17" fillId="2" borderId="0" xfId="2" applyNumberFormat="1" applyFont="1" applyFill="1" applyAlignment="1" applyProtection="1">
      <alignment horizontal="center" vertical="center"/>
    </xf>
    <xf numFmtId="168" fontId="17" fillId="2" borderId="0" xfId="2" applyNumberFormat="1" applyFont="1" applyFill="1" applyAlignment="1" applyProtection="1">
      <alignment horizontal="center" vertical="center"/>
    </xf>
    <xf numFmtId="168" fontId="23" fillId="2" borderId="0" xfId="2" applyNumberFormat="1" applyFont="1" applyFill="1" applyAlignment="1">
      <alignment horizontal="center" vertical="center"/>
    </xf>
    <xf numFmtId="165" fontId="10" fillId="2" borderId="0" xfId="2" applyNumberFormat="1" applyFont="1" applyFill="1" applyAlignment="1" applyProtection="1">
      <alignment horizontal="right" vertical="center"/>
    </xf>
    <xf numFmtId="165" fontId="10" fillId="2" borderId="0" xfId="2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Border="1" applyAlignment="1"/>
    <xf numFmtId="164" fontId="9" fillId="2" borderId="3" xfId="2" applyNumberFormat="1" applyFont="1" applyFill="1" applyBorder="1" applyAlignment="1">
      <alignment horizontal="center"/>
    </xf>
    <xf numFmtId="0" fontId="15" fillId="2" borderId="3" xfId="2" applyFont="1" applyFill="1" applyBorder="1" applyAlignment="1" applyProtection="1">
      <alignment horizontal="center" vertical="center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0" fillId="2" borderId="0" xfId="2" applyNumberFormat="1" applyFont="1" applyFill="1" applyBorder="1" applyAlignment="1">
      <alignment horizontal="right"/>
    </xf>
    <xf numFmtId="1" fontId="11" fillId="2" borderId="2" xfId="2" applyNumberFormat="1" applyFont="1" applyFill="1" applyBorder="1" applyAlignment="1" applyProtection="1">
      <alignment horizontal="right" vertical="center"/>
    </xf>
    <xf numFmtId="1" fontId="11" fillId="2" borderId="2" xfId="2" applyNumberFormat="1" applyFont="1" applyFill="1" applyBorder="1" applyAlignment="1" applyProtection="1">
      <alignment horizontal="center" vertical="center"/>
    </xf>
    <xf numFmtId="1" fontId="11" fillId="2" borderId="2" xfId="2" applyNumberFormat="1" applyFont="1" applyFill="1" applyBorder="1" applyAlignment="1">
      <alignment horizontal="right" vertical="center"/>
    </xf>
    <xf numFmtId="1" fontId="11" fillId="2" borderId="0" xfId="2" applyNumberFormat="1" applyFont="1" applyFill="1" applyAlignment="1">
      <alignment horizontal="right" vertical="center"/>
    </xf>
    <xf numFmtId="165" fontId="11" fillId="2" borderId="0" xfId="2" applyNumberFormat="1" applyFont="1" applyFill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 indent="3"/>
    </xf>
    <xf numFmtId="165" fontId="17" fillId="2" borderId="0" xfId="2" applyNumberFormat="1" applyFont="1" applyFill="1" applyAlignment="1">
      <alignment horizontal="right" vertical="center"/>
    </xf>
    <xf numFmtId="165" fontId="17" fillId="2" borderId="0" xfId="2" applyNumberFormat="1" applyFont="1" applyFill="1" applyBorder="1" applyAlignment="1">
      <alignment horizontal="right" vertical="center"/>
    </xf>
    <xf numFmtId="165" fontId="17" fillId="2" borderId="0" xfId="2" applyNumberFormat="1" applyFont="1" applyFill="1" applyBorder="1" applyAlignment="1">
      <alignment horizontal="right" vertical="center" indent="3"/>
    </xf>
    <xf numFmtId="164" fontId="19" fillId="2" borderId="0" xfId="2" applyNumberFormat="1" applyFont="1" applyFill="1" applyAlignment="1">
      <alignment horizontal="right" vertical="center" indent="4"/>
    </xf>
    <xf numFmtId="165" fontId="17" fillId="2" borderId="0" xfId="2" applyNumberFormat="1" applyFont="1" applyFill="1" applyAlignment="1" applyProtection="1">
      <alignment horizontal="right" vertical="center"/>
    </xf>
    <xf numFmtId="168" fontId="17" fillId="2" borderId="0" xfId="2" applyNumberFormat="1" applyFont="1" applyFill="1" applyBorder="1" applyAlignment="1" applyProtection="1">
      <alignment horizontal="right" vertical="center"/>
      <protection locked="0"/>
    </xf>
    <xf numFmtId="168" fontId="17" fillId="2" borderId="0" xfId="2" applyNumberFormat="1" applyFont="1" applyFill="1" applyAlignment="1">
      <alignment vertical="center"/>
    </xf>
    <xf numFmtId="164" fontId="27" fillId="2" borderId="0" xfId="2" applyNumberFormat="1" applyFont="1" applyFill="1" applyBorder="1" applyAlignment="1">
      <alignment horizontal="right" vertical="center"/>
    </xf>
    <xf numFmtId="168" fontId="17" fillId="2" borderId="2" xfId="2" applyNumberFormat="1" applyFont="1" applyFill="1" applyBorder="1" applyAlignment="1" applyProtection="1">
      <alignment horizontal="right" vertical="center"/>
      <protection locked="0"/>
    </xf>
    <xf numFmtId="164" fontId="17" fillId="2" borderId="0" xfId="2" applyNumberFormat="1" applyFont="1" applyFill="1" applyAlignment="1">
      <alignment horizontal="center" vertical="center"/>
    </xf>
    <xf numFmtId="164" fontId="47" fillId="2" borderId="0" xfId="2" applyNumberFormat="1" applyFont="1" applyFill="1"/>
    <xf numFmtId="164" fontId="6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Alignment="1">
      <alignment horizontal="right" vertical="center"/>
    </xf>
    <xf numFmtId="164" fontId="11" fillId="2" borderId="0" xfId="2" applyNumberFormat="1" applyFont="1" applyFill="1" applyBorder="1" applyAlignment="1">
      <alignment horizontal="right"/>
    </xf>
    <xf numFmtId="164" fontId="11" fillId="2" borderId="3" xfId="2" applyNumberFormat="1" applyFont="1" applyFill="1" applyBorder="1" applyAlignment="1">
      <alignment horizontal="right"/>
    </xf>
    <xf numFmtId="0" fontId="16" fillId="2" borderId="0" xfId="2" applyFont="1" applyFill="1" applyBorder="1" applyAlignment="1" applyProtection="1">
      <alignment horizontal="center" vertical="center"/>
    </xf>
    <xf numFmtId="164" fontId="24" fillId="2" borderId="0" xfId="2" applyNumberFormat="1" applyFont="1" applyFill="1" applyBorder="1" applyAlignment="1">
      <alignment horizontal="center" vertical="center"/>
    </xf>
    <xf numFmtId="164" fontId="11" fillId="2" borderId="0" xfId="2" applyNumberFormat="1" applyFont="1" applyFill="1" applyBorder="1" applyAlignment="1">
      <alignment horizontal="right" vertical="center"/>
    </xf>
    <xf numFmtId="168" fontId="11" fillId="2" borderId="0" xfId="2" applyNumberFormat="1" applyFont="1" applyFill="1" applyBorder="1" applyAlignment="1" applyProtection="1">
      <alignment horizontal="center" vertical="center"/>
      <protection locked="0"/>
    </xf>
    <xf numFmtId="168" fontId="11" fillId="2" borderId="2" xfId="2" applyNumberFormat="1" applyFont="1" applyFill="1" applyBorder="1" applyAlignment="1">
      <alignment horizontal="right" vertical="center"/>
    </xf>
    <xf numFmtId="164" fontId="46" fillId="2" borderId="2" xfId="2" applyNumberFormat="1" applyFont="1" applyFill="1" applyBorder="1" applyAlignment="1">
      <alignment vertical="center"/>
    </xf>
    <xf numFmtId="165" fontId="11" fillId="2" borderId="0" xfId="2" applyNumberFormat="1" applyFont="1" applyFill="1" applyBorder="1" applyAlignment="1" applyProtection="1">
      <alignment horizontal="right" vertical="center"/>
    </xf>
    <xf numFmtId="168" fontId="11" fillId="2" borderId="0" xfId="2" applyNumberFormat="1" applyFont="1" applyFill="1" applyBorder="1" applyAlignment="1" applyProtection="1">
      <alignment horizontal="right" vertical="center"/>
    </xf>
    <xf numFmtId="168" fontId="17" fillId="2" borderId="0" xfId="2" applyNumberFormat="1" applyFont="1" applyFill="1" applyBorder="1" applyAlignment="1" applyProtection="1">
      <alignment horizontal="right" vertical="center"/>
    </xf>
    <xf numFmtId="164" fontId="17" fillId="2" borderId="0" xfId="2" applyNumberFormat="1" applyFont="1" applyFill="1" applyBorder="1" applyAlignment="1">
      <alignment vertical="center"/>
    </xf>
    <xf numFmtId="165" fontId="17" fillId="2" borderId="0" xfId="2" applyNumberFormat="1" applyFont="1" applyFill="1" applyBorder="1" applyAlignment="1" applyProtection="1">
      <alignment horizontal="right"/>
    </xf>
    <xf numFmtId="164" fontId="27" fillId="2" borderId="0" xfId="2" applyNumberFormat="1" applyFont="1" applyFill="1" applyAlignment="1">
      <alignment horizontal="center" vertical="center"/>
    </xf>
    <xf numFmtId="164" fontId="27" fillId="2" borderId="0" xfId="2" applyNumberFormat="1" applyFont="1" applyFill="1" applyBorder="1" applyAlignment="1">
      <alignment horizontal="center" vertical="center"/>
    </xf>
    <xf numFmtId="165" fontId="11" fillId="2" borderId="2" xfId="2" applyNumberFormat="1" applyFont="1" applyFill="1" applyBorder="1" applyAlignment="1" applyProtection="1">
      <alignment horizontal="right" vertical="center"/>
    </xf>
    <xf numFmtId="168" fontId="11" fillId="2" borderId="2" xfId="2" applyNumberFormat="1" applyFont="1" applyFill="1" applyBorder="1" applyAlignment="1" applyProtection="1">
      <alignment horizontal="right" vertical="center"/>
    </xf>
    <xf numFmtId="164" fontId="9" fillId="2" borderId="2" xfId="2" applyNumberFormat="1" applyFont="1" applyFill="1" applyBorder="1" applyAlignment="1">
      <alignment horizontal="right" vertical="center"/>
    </xf>
    <xf numFmtId="168" fontId="17" fillId="2" borderId="0" xfId="2" applyNumberFormat="1" applyFont="1" applyFill="1" applyAlignment="1">
      <alignment horizontal="center" vertical="center"/>
    </xf>
    <xf numFmtId="164" fontId="17" fillId="2" borderId="0" xfId="2" applyNumberFormat="1" applyFont="1" applyFill="1"/>
    <xf numFmtId="164" fontId="17" fillId="2" borderId="0" xfId="2" applyNumberFormat="1" applyFont="1" applyFill="1" applyAlignment="1">
      <alignment horizontal="center"/>
    </xf>
    <xf numFmtId="168" fontId="17" fillId="2" borderId="0" xfId="2" applyNumberFormat="1" applyFont="1" applyFill="1" applyAlignment="1">
      <alignment horizontal="center"/>
    </xf>
    <xf numFmtId="164" fontId="48" fillId="2" borderId="0" xfId="2" applyNumberFormat="1" applyFont="1" applyFill="1"/>
    <xf numFmtId="164" fontId="48" fillId="2" borderId="0" xfId="2" applyNumberFormat="1" applyFont="1" applyFill="1" applyAlignment="1">
      <alignment horizontal="center"/>
    </xf>
    <xf numFmtId="168" fontId="48" fillId="2" borderId="0" xfId="2" applyNumberFormat="1" applyFont="1" applyFill="1" applyAlignment="1">
      <alignment horizontal="center"/>
    </xf>
    <xf numFmtId="164" fontId="47" fillId="2" borderId="0" xfId="2" applyNumberFormat="1" applyFont="1" applyFill="1" applyAlignment="1">
      <alignment horizontal="center"/>
    </xf>
    <xf numFmtId="168" fontId="47" fillId="2" borderId="0" xfId="2" applyNumberFormat="1" applyFont="1" applyFill="1" applyAlignment="1">
      <alignment horizontal="center"/>
    </xf>
    <xf numFmtId="164" fontId="6" fillId="2" borderId="7" xfId="2" applyNumberFormat="1" applyFont="1" applyFill="1" applyBorder="1" applyAlignment="1" applyProtection="1">
      <alignment horizontal="center" vertical="center"/>
      <protection locked="0"/>
    </xf>
    <xf numFmtId="164" fontId="28" fillId="2" borderId="2" xfId="2" applyNumberFormat="1" applyFont="1" applyFill="1" applyBorder="1" applyAlignment="1">
      <alignment vertical="center"/>
    </xf>
    <xf numFmtId="164" fontId="10" fillId="2" borderId="10" xfId="2" applyNumberFormat="1" applyFont="1" applyFill="1" applyBorder="1" applyAlignment="1">
      <alignment vertical="center"/>
    </xf>
    <xf numFmtId="168" fontId="15" fillId="2" borderId="3" xfId="2" applyNumberFormat="1" applyFont="1" applyFill="1" applyBorder="1" applyAlignment="1" applyProtection="1">
      <alignment vertical="center"/>
      <protection hidden="1"/>
    </xf>
    <xf numFmtId="1" fontId="6" fillId="2" borderId="0" xfId="2" applyNumberFormat="1" applyFont="1" applyFill="1" applyBorder="1" applyAlignment="1" applyProtection="1">
      <alignment vertical="center"/>
      <protection locked="0"/>
    </xf>
    <xf numFmtId="165" fontId="17" fillId="2" borderId="2" xfId="2" applyNumberFormat="1" applyFont="1" applyFill="1" applyBorder="1" applyAlignment="1">
      <alignment horizontal="right" vertical="center" indent="3"/>
    </xf>
    <xf numFmtId="167" fontId="11" fillId="2" borderId="0" xfId="1" applyNumberFormat="1" applyFont="1" applyFill="1" applyAlignment="1">
      <alignment horizontal="right" vertical="center"/>
    </xf>
    <xf numFmtId="167" fontId="17" fillId="2" borderId="0" xfId="1" applyNumberFormat="1" applyFont="1" applyFill="1" applyBorder="1" applyAlignment="1" applyProtection="1">
      <alignment horizontal="right" vertical="center"/>
    </xf>
    <xf numFmtId="167" fontId="17" fillId="2" borderId="0" xfId="1" applyNumberFormat="1" applyFont="1" applyFill="1" applyAlignment="1">
      <alignment horizontal="right" vertical="center"/>
    </xf>
    <xf numFmtId="167" fontId="11" fillId="2" borderId="0" xfId="1" applyNumberFormat="1" applyFont="1" applyFill="1" applyAlignment="1" applyProtection="1">
      <alignment horizontal="right" vertical="center"/>
    </xf>
    <xf numFmtId="167" fontId="17" fillId="2" borderId="0" xfId="1" applyNumberFormat="1" applyFont="1" applyFill="1" applyAlignment="1" applyProtection="1">
      <alignment horizontal="right" vertical="center"/>
    </xf>
    <xf numFmtId="167" fontId="17" fillId="2" borderId="0" xfId="1" applyNumberFormat="1" applyFont="1" applyFill="1" applyAlignment="1">
      <alignment vertical="center"/>
    </xf>
    <xf numFmtId="167" fontId="17" fillId="2" borderId="2" xfId="1" applyNumberFormat="1" applyFont="1" applyFill="1" applyBorder="1" applyAlignment="1" applyProtection="1">
      <alignment horizontal="right" vertical="center"/>
      <protection locked="0"/>
    </xf>
    <xf numFmtId="1" fontId="3" fillId="2" borderId="9" xfId="4" applyNumberFormat="1" applyFont="1" applyFill="1" applyBorder="1" applyAlignment="1">
      <alignment horizontal="center" vertical="center"/>
    </xf>
    <xf numFmtId="164" fontId="3" fillId="2" borderId="9" xfId="4" applyNumberFormat="1" applyFont="1" applyFill="1" applyBorder="1" applyAlignment="1">
      <alignment horizontal="center" vertical="center"/>
    </xf>
    <xf numFmtId="167" fontId="4" fillId="2" borderId="9" xfId="1" applyNumberFormat="1" applyFont="1" applyFill="1" applyBorder="1" applyAlignment="1" applyProtection="1">
      <alignment horizontal="right" vertical="center"/>
    </xf>
    <xf numFmtId="164" fontId="3" fillId="0" borderId="9" xfId="4" applyNumberFormat="1" applyFont="1" applyFill="1" applyBorder="1" applyAlignment="1">
      <alignment horizontal="center" vertical="center"/>
    </xf>
    <xf numFmtId="164" fontId="9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Border="1" applyAlignment="1">
      <alignment horizontal="center" vertical="center"/>
    </xf>
    <xf numFmtId="165" fontId="17" fillId="2" borderId="0" xfId="2" applyNumberFormat="1" applyFont="1" applyFill="1" applyAlignment="1" applyProtection="1">
      <alignment horizontal="right" vertical="center"/>
      <protection locked="0"/>
    </xf>
    <xf numFmtId="165" fontId="17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1" fillId="2" borderId="2" xfId="2" applyNumberFormat="1" applyFont="1" applyFill="1" applyBorder="1" applyAlignment="1" applyProtection="1">
      <alignment horizontal="left" vertical="center"/>
    </xf>
    <xf numFmtId="164" fontId="24" fillId="2" borderId="0" xfId="2" applyNumberFormat="1" applyFont="1" applyFill="1" applyBorder="1" applyAlignment="1" applyProtection="1">
      <alignment horizontal="center" vertical="center"/>
    </xf>
    <xf numFmtId="164" fontId="50" fillId="2" borderId="0" xfId="2" applyNumberFormat="1" applyFont="1" applyFill="1" applyAlignment="1">
      <alignment vertical="center"/>
    </xf>
    <xf numFmtId="164" fontId="51" fillId="2" borderId="0" xfId="2" applyNumberFormat="1" applyFont="1" applyFill="1" applyAlignment="1">
      <alignment horizontal="center" vertical="center"/>
    </xf>
    <xf numFmtId="168" fontId="51" fillId="2" borderId="0" xfId="2" applyNumberFormat="1" applyFont="1" applyFill="1" applyAlignment="1">
      <alignment horizontal="center" vertical="center"/>
    </xf>
    <xf numFmtId="164" fontId="51" fillId="2" borderId="0" xfId="2" applyNumberFormat="1" applyFont="1" applyFill="1" applyAlignment="1">
      <alignment horizontal="right" vertical="center"/>
    </xf>
    <xf numFmtId="164" fontId="51" fillId="2" borderId="0" xfId="2" applyNumberFormat="1" applyFont="1" applyFill="1" applyAlignment="1">
      <alignment vertical="center"/>
    </xf>
    <xf numFmtId="167" fontId="17" fillId="2" borderId="0" xfId="1" applyNumberFormat="1" applyFont="1" applyFill="1" applyAlignment="1">
      <alignment horizontal="right" vertical="center" indent="2"/>
    </xf>
    <xf numFmtId="164" fontId="6" fillId="5" borderId="0" xfId="2" applyNumberFormat="1" applyFont="1" applyFill="1" applyBorder="1" applyAlignment="1" applyProtection="1">
      <alignment horizontal="right" vertical="center"/>
      <protection locked="0"/>
    </xf>
    <xf numFmtId="164" fontId="6" fillId="5" borderId="1" xfId="2" applyNumberFormat="1" applyFont="1" applyFill="1" applyBorder="1" applyAlignment="1" applyProtection="1">
      <alignment horizontal="right" vertical="center"/>
    </xf>
    <xf numFmtId="165" fontId="6" fillId="5" borderId="0" xfId="2" applyNumberFormat="1" applyFont="1" applyFill="1" applyBorder="1" applyAlignment="1" applyProtection="1">
      <alignment horizontal="right" vertical="center"/>
      <protection locked="0"/>
    </xf>
    <xf numFmtId="164" fontId="25" fillId="2" borderId="14" xfId="2" applyNumberFormat="1" applyFont="1" applyFill="1" applyBorder="1" applyAlignment="1">
      <alignment vertical="center"/>
    </xf>
    <xf numFmtId="165" fontId="13" fillId="5" borderId="11" xfId="2" applyNumberFormat="1" applyFont="1" applyFill="1" applyBorder="1" applyAlignment="1" applyProtection="1">
      <alignment horizontal="right" vertical="center"/>
      <protection locked="0"/>
    </xf>
    <xf numFmtId="165" fontId="13" fillId="5" borderId="10" xfId="2" applyNumberFormat="1" applyFont="1" applyFill="1" applyBorder="1" applyAlignment="1" applyProtection="1">
      <alignment horizontal="right" vertical="center"/>
      <protection locked="0"/>
    </xf>
    <xf numFmtId="164" fontId="6" fillId="5" borderId="16" xfId="2" applyNumberFormat="1" applyFont="1" applyFill="1" applyBorder="1" applyAlignment="1" applyProtection="1">
      <alignment horizontal="right" vertical="center"/>
      <protection locked="0"/>
    </xf>
    <xf numFmtId="164" fontId="6" fillId="5" borderId="20" xfId="2" applyNumberFormat="1" applyFont="1" applyFill="1" applyBorder="1" applyAlignment="1" applyProtection="1">
      <alignment horizontal="right" vertical="center"/>
    </xf>
    <xf numFmtId="165" fontId="6" fillId="5" borderId="3" xfId="2" applyNumberFormat="1" applyFont="1" applyFill="1" applyBorder="1" applyAlignment="1" applyProtection="1">
      <alignment horizontal="right" vertical="center"/>
    </xf>
    <xf numFmtId="165" fontId="6" fillId="5" borderId="12" xfId="2" applyNumberFormat="1" applyFont="1" applyFill="1" applyBorder="1" applyAlignment="1" applyProtection="1">
      <alignment horizontal="right" vertical="center"/>
    </xf>
    <xf numFmtId="165" fontId="6" fillId="5" borderId="10" xfId="2" applyNumberFormat="1" applyFont="1" applyFill="1" applyBorder="1" applyAlignment="1" applyProtection="1">
      <alignment horizontal="right" vertical="center"/>
      <protection locked="0"/>
    </xf>
    <xf numFmtId="165" fontId="13" fillId="5" borderId="0" xfId="2" applyNumberFormat="1" applyFont="1" applyFill="1" applyBorder="1" applyAlignment="1" applyProtection="1">
      <alignment horizontal="right" vertical="center"/>
      <protection locked="0"/>
    </xf>
    <xf numFmtId="165" fontId="13" fillId="5" borderId="2" xfId="2" applyNumberFormat="1" applyFont="1" applyFill="1" applyBorder="1" applyAlignment="1" applyProtection="1">
      <alignment horizontal="right" vertical="center"/>
      <protection locked="0"/>
    </xf>
    <xf numFmtId="164" fontId="25" fillId="2" borderId="14" xfId="2" applyNumberFormat="1" applyFont="1" applyFill="1" applyBorder="1" applyAlignment="1">
      <alignment horizontal="center"/>
    </xf>
    <xf numFmtId="164" fontId="26" fillId="2" borderId="14" xfId="2" applyNumberFormat="1" applyFont="1" applyFill="1" applyBorder="1" applyAlignment="1">
      <alignment vertical="center"/>
    </xf>
    <xf numFmtId="164" fontId="11" fillId="5" borderId="23" xfId="2" applyNumberFormat="1" applyFont="1" applyFill="1" applyBorder="1" applyAlignment="1">
      <alignment horizontal="right" vertical="center"/>
    </xf>
    <xf numFmtId="164" fontId="10" fillId="5" borderId="10" xfId="2" applyNumberFormat="1" applyFont="1" applyFill="1" applyBorder="1" applyAlignment="1">
      <alignment vertical="center"/>
    </xf>
    <xf numFmtId="168" fontId="6" fillId="5" borderId="10" xfId="2" applyNumberFormat="1" applyFont="1" applyFill="1" applyBorder="1" applyAlignment="1" applyProtection="1">
      <alignment vertical="center"/>
      <protection locked="0"/>
    </xf>
    <xf numFmtId="168" fontId="13" fillId="5" borderId="10" xfId="2" applyNumberFormat="1" applyFont="1" applyFill="1" applyBorder="1" applyAlignment="1" applyProtection="1">
      <alignment vertical="center"/>
      <protection locked="0"/>
    </xf>
    <xf numFmtId="168" fontId="13" fillId="5" borderId="11" xfId="2" applyNumberFormat="1" applyFont="1" applyFill="1" applyBorder="1" applyAlignment="1" applyProtection="1">
      <alignment vertical="center"/>
      <protection locked="0"/>
    </xf>
    <xf numFmtId="168" fontId="11" fillId="5" borderId="17" xfId="2" applyNumberFormat="1" applyFont="1" applyFill="1" applyBorder="1" applyAlignment="1">
      <alignment horizontal="right" vertical="center"/>
    </xf>
    <xf numFmtId="168" fontId="6" fillId="5" borderId="0" xfId="2" applyNumberFormat="1" applyFont="1" applyFill="1" applyBorder="1" applyAlignment="1" applyProtection="1">
      <alignment horizontal="right" vertical="center"/>
      <protection locked="0"/>
    </xf>
    <xf numFmtId="168" fontId="13" fillId="5" borderId="0" xfId="2" applyNumberFormat="1" applyFont="1" applyFill="1" applyBorder="1" applyAlignment="1" applyProtection="1">
      <alignment horizontal="right" vertical="center"/>
      <protection locked="0"/>
    </xf>
    <xf numFmtId="168" fontId="13" fillId="5" borderId="0" xfId="2" applyNumberFormat="1" applyFont="1" applyFill="1" applyBorder="1" applyAlignment="1" applyProtection="1">
      <alignment vertical="center"/>
      <protection locked="0"/>
    </xf>
    <xf numFmtId="168" fontId="13" fillId="5" borderId="2" xfId="2" applyNumberFormat="1" applyFont="1" applyFill="1" applyBorder="1" applyAlignment="1" applyProtection="1">
      <alignment horizontal="right" vertical="center"/>
      <protection locked="0"/>
    </xf>
    <xf numFmtId="164" fontId="52" fillId="2" borderId="0" xfId="2" applyNumberFormat="1" applyFont="1" applyFill="1" applyBorder="1" applyAlignment="1" applyProtection="1">
      <alignment horizontal="right" vertical="center"/>
      <protection locked="0"/>
    </xf>
    <xf numFmtId="164" fontId="52" fillId="5" borderId="22" xfId="2" applyNumberFormat="1" applyFont="1" applyFill="1" applyBorder="1" applyAlignment="1" applyProtection="1">
      <alignment horizontal="right" vertical="center"/>
      <protection locked="0"/>
    </xf>
    <xf numFmtId="168" fontId="11" fillId="2" borderId="5" xfId="2" applyNumberFormat="1" applyFont="1" applyFill="1" applyBorder="1" applyAlignment="1">
      <alignment horizontal="right" vertical="center"/>
    </xf>
    <xf numFmtId="164" fontId="11" fillId="2" borderId="21" xfId="2" applyNumberFormat="1" applyFont="1" applyFill="1" applyBorder="1" applyAlignment="1" applyProtection="1">
      <alignment horizontal="right" vertical="center"/>
    </xf>
    <xf numFmtId="165" fontId="11" fillId="2" borderId="24" xfId="2" applyNumberFormat="1" applyFont="1" applyFill="1" applyBorder="1" applyAlignment="1" applyProtection="1">
      <alignment horizontal="right" vertical="center"/>
    </xf>
    <xf numFmtId="165" fontId="17" fillId="2" borderId="24" xfId="2" applyNumberFormat="1" applyFont="1" applyFill="1" applyBorder="1" applyAlignment="1" applyProtection="1">
      <alignment horizontal="right" vertical="center"/>
    </xf>
    <xf numFmtId="165" fontId="11" fillId="2" borderId="23" xfId="2" applyNumberFormat="1" applyFont="1" applyFill="1" applyBorder="1" applyAlignment="1" applyProtection="1">
      <alignment horizontal="right" vertical="center"/>
    </xf>
    <xf numFmtId="165" fontId="17" fillId="5" borderId="0" xfId="2" applyNumberFormat="1" applyFont="1" applyFill="1" applyBorder="1" applyAlignment="1" applyProtection="1">
      <alignment horizontal="right" vertical="center"/>
    </xf>
    <xf numFmtId="165" fontId="11" fillId="5" borderId="2" xfId="2" applyNumberFormat="1" applyFont="1" applyFill="1" applyBorder="1" applyAlignment="1" applyProtection="1">
      <alignment horizontal="right" vertical="center"/>
    </xf>
    <xf numFmtId="165" fontId="11" fillId="5" borderId="0" xfId="2" applyNumberFormat="1" applyFont="1" applyFill="1" applyBorder="1" applyAlignment="1" applyProtection="1">
      <alignment horizontal="right" vertical="center"/>
    </xf>
    <xf numFmtId="164" fontId="11" fillId="5" borderId="19" xfId="2" applyNumberFormat="1" applyFont="1" applyFill="1" applyBorder="1" applyAlignment="1" applyProtection="1">
      <alignment horizontal="right" vertical="center"/>
    </xf>
    <xf numFmtId="165" fontId="11" fillId="5" borderId="10" xfId="2" applyNumberFormat="1" applyFont="1" applyFill="1" applyBorder="1" applyAlignment="1" applyProtection="1">
      <alignment horizontal="right" vertical="center"/>
    </xf>
    <xf numFmtId="165" fontId="17" fillId="5" borderId="10" xfId="2" applyNumberFormat="1" applyFont="1" applyFill="1" applyBorder="1" applyAlignment="1" applyProtection="1">
      <alignment horizontal="right" vertical="center"/>
    </xf>
    <xf numFmtId="165" fontId="11" fillId="5" borderId="11" xfId="2" applyNumberFormat="1" applyFont="1" applyFill="1" applyBorder="1" applyAlignment="1" applyProtection="1">
      <alignment horizontal="right" vertical="center"/>
    </xf>
    <xf numFmtId="168" fontId="11" fillId="5" borderId="0" xfId="2" applyNumberFormat="1" applyFont="1" applyFill="1" applyBorder="1" applyAlignment="1" applyProtection="1">
      <alignment horizontal="right" vertical="center"/>
    </xf>
    <xf numFmtId="168" fontId="17" fillId="5" borderId="0" xfId="2" applyNumberFormat="1" applyFont="1" applyFill="1" applyBorder="1" applyAlignment="1" applyProtection="1">
      <alignment horizontal="right" vertical="center"/>
    </xf>
    <xf numFmtId="168" fontId="11" fillId="5" borderId="2" xfId="2" applyNumberFormat="1" applyFont="1" applyFill="1" applyBorder="1" applyAlignment="1" applyProtection="1">
      <alignment horizontal="right" vertical="center"/>
    </xf>
    <xf numFmtId="168" fontId="11" fillId="5" borderId="2" xfId="2" applyNumberFormat="1" applyFont="1" applyFill="1" applyBorder="1" applyAlignment="1">
      <alignment horizontal="right" vertical="center"/>
    </xf>
    <xf numFmtId="1" fontId="11" fillId="2" borderId="23" xfId="2" applyNumberFormat="1" applyFont="1" applyFill="1" applyBorder="1" applyAlignment="1" applyProtection="1">
      <alignment horizontal="right" vertical="center"/>
    </xf>
    <xf numFmtId="165" fontId="11" fillId="2" borderId="25" xfId="2" applyNumberFormat="1" applyFont="1" applyFill="1" applyBorder="1" applyAlignment="1">
      <alignment horizontal="right" vertical="center"/>
    </xf>
    <xf numFmtId="165" fontId="11" fillId="2" borderId="24" xfId="2" applyNumberFormat="1" applyFont="1" applyFill="1" applyBorder="1" applyAlignment="1">
      <alignment horizontal="right" vertical="center"/>
    </xf>
    <xf numFmtId="165" fontId="17" fillId="2" borderId="24" xfId="2" applyNumberFormat="1" applyFont="1" applyFill="1" applyBorder="1" applyAlignment="1">
      <alignment horizontal="right" vertical="center"/>
    </xf>
    <xf numFmtId="167" fontId="17" fillId="2" borderId="24" xfId="1" applyNumberFormat="1" applyFont="1" applyFill="1" applyBorder="1" applyAlignment="1">
      <alignment horizontal="right" vertical="center"/>
    </xf>
    <xf numFmtId="165" fontId="17" fillId="2" borderId="23" xfId="2" applyNumberFormat="1" applyFont="1" applyFill="1" applyBorder="1" applyAlignment="1">
      <alignment horizontal="right" vertical="center"/>
    </xf>
    <xf numFmtId="167" fontId="17" fillId="5" borderId="0" xfId="1" applyNumberFormat="1" applyFont="1" applyFill="1" applyBorder="1" applyAlignment="1" applyProtection="1">
      <alignment horizontal="right" vertical="center"/>
    </xf>
    <xf numFmtId="167" fontId="17" fillId="5" borderId="0" xfId="1" applyNumberFormat="1" applyFont="1" applyFill="1" applyAlignment="1">
      <alignment horizontal="right" vertical="center"/>
    </xf>
    <xf numFmtId="167" fontId="17" fillId="5" borderId="0" xfId="1" applyNumberFormat="1" applyFont="1" applyFill="1" applyAlignment="1">
      <alignment vertical="center"/>
    </xf>
    <xf numFmtId="167" fontId="17" fillId="5" borderId="2" xfId="1" applyNumberFormat="1" applyFont="1" applyFill="1" applyBorder="1" applyAlignment="1" applyProtection="1">
      <alignment horizontal="right" vertical="center"/>
      <protection locked="0"/>
    </xf>
    <xf numFmtId="167" fontId="11" fillId="5" borderId="0" xfId="1" applyNumberFormat="1" applyFont="1" applyFill="1" applyAlignment="1">
      <alignment horizontal="right" vertical="center"/>
    </xf>
    <xf numFmtId="167" fontId="11" fillId="5" borderId="0" xfId="1" applyNumberFormat="1" applyFont="1" applyFill="1" applyAlignment="1" applyProtection="1">
      <alignment horizontal="right" vertical="center"/>
    </xf>
    <xf numFmtId="167" fontId="17" fillId="5" borderId="0" xfId="1" applyNumberFormat="1" applyFont="1" applyFill="1" applyAlignment="1" applyProtection="1">
      <alignment horizontal="right" vertical="center"/>
    </xf>
    <xf numFmtId="1" fontId="11" fillId="5" borderId="11" xfId="2" applyNumberFormat="1" applyFont="1" applyFill="1" applyBorder="1" applyAlignment="1" applyProtection="1">
      <alignment horizontal="right" vertical="center"/>
    </xf>
    <xf numFmtId="165" fontId="11" fillId="5" borderId="12" xfId="2" applyNumberFormat="1" applyFont="1" applyFill="1" applyBorder="1" applyAlignment="1">
      <alignment horizontal="right" vertical="center"/>
    </xf>
    <xf numFmtId="165" fontId="11" fillId="5" borderId="10" xfId="2" applyNumberFormat="1" applyFont="1" applyFill="1" applyBorder="1" applyAlignment="1">
      <alignment horizontal="right" vertical="center"/>
    </xf>
    <xf numFmtId="165" fontId="17" fillId="5" borderId="10" xfId="2" applyNumberFormat="1" applyFont="1" applyFill="1" applyBorder="1" applyAlignment="1">
      <alignment horizontal="right" vertical="center"/>
    </xf>
    <xf numFmtId="167" fontId="17" fillId="5" borderId="10" xfId="1" applyNumberFormat="1" applyFont="1" applyFill="1" applyBorder="1" applyAlignment="1">
      <alignment horizontal="right" vertical="center"/>
    </xf>
    <xf numFmtId="165" fontId="17" fillId="5" borderId="11" xfId="2" applyNumberFormat="1" applyFont="1" applyFill="1" applyBorder="1" applyAlignment="1">
      <alignment horizontal="right" vertical="center"/>
    </xf>
    <xf numFmtId="1" fontId="11" fillId="5" borderId="2" xfId="2" applyNumberFormat="1" applyFont="1" applyFill="1" applyBorder="1" applyAlignment="1" applyProtection="1">
      <alignment horizontal="center" vertical="center"/>
    </xf>
    <xf numFmtId="165" fontId="11" fillId="5" borderId="0" xfId="2" applyNumberFormat="1" applyFont="1" applyFill="1" applyBorder="1" applyAlignment="1">
      <alignment horizontal="right" vertical="center" indent="3"/>
    </xf>
    <xf numFmtId="165" fontId="17" fillId="5" borderId="0" xfId="2" applyNumberFormat="1" applyFont="1" applyFill="1" applyBorder="1" applyAlignment="1">
      <alignment horizontal="right" vertical="center" indent="3"/>
    </xf>
    <xf numFmtId="167" fontId="17" fillId="5" borderId="0" xfId="1" applyNumberFormat="1" applyFont="1" applyFill="1" applyAlignment="1">
      <alignment horizontal="right" vertical="center" indent="2"/>
    </xf>
    <xf numFmtId="165" fontId="17" fillId="5" borderId="2" xfId="2" applyNumberFormat="1" applyFont="1" applyFill="1" applyBorder="1" applyAlignment="1">
      <alignment horizontal="right" vertical="center" indent="3"/>
    </xf>
    <xf numFmtId="164" fontId="53" fillId="3" borderId="9" xfId="4" applyNumberFormat="1" applyFont="1" applyFill="1" applyBorder="1" applyAlignment="1">
      <alignment horizontal="center" vertical="center"/>
    </xf>
    <xf numFmtId="167" fontId="54" fillId="4" borderId="9" xfId="1" applyNumberFormat="1" applyFont="1" applyFill="1" applyBorder="1"/>
    <xf numFmtId="167" fontId="54" fillId="4" borderId="9" xfId="1" applyNumberFormat="1" applyFont="1" applyFill="1" applyBorder="1" applyAlignment="1" applyProtection="1">
      <alignment horizontal="right" vertical="center"/>
    </xf>
    <xf numFmtId="167" fontId="23" fillId="2" borderId="0" xfId="1" applyNumberFormat="1" applyFont="1" applyFill="1" applyAlignment="1">
      <alignment vertical="center"/>
    </xf>
    <xf numFmtId="167" fontId="24" fillId="2" borderId="0" xfId="1" applyNumberFormat="1" applyFont="1" applyFill="1" applyAlignment="1">
      <alignment vertical="center"/>
    </xf>
    <xf numFmtId="167" fontId="10" fillId="2" borderId="0" xfId="1" applyNumberFormat="1" applyFont="1" applyFill="1" applyAlignment="1">
      <alignment vertical="center"/>
    </xf>
    <xf numFmtId="167" fontId="10" fillId="2" borderId="0" xfId="1" applyNumberFormat="1" applyFont="1" applyFill="1" applyBorder="1" applyAlignment="1">
      <alignment vertical="center"/>
    </xf>
    <xf numFmtId="167" fontId="28" fillId="2" borderId="0" xfId="1" applyNumberFormat="1" applyFont="1" applyFill="1" applyAlignment="1">
      <alignment vertical="center"/>
    </xf>
    <xf numFmtId="167" fontId="10" fillId="2" borderId="0" xfId="1" applyNumberFormat="1" applyFont="1" applyFill="1" applyAlignment="1"/>
    <xf numFmtId="164" fontId="41" fillId="2" borderId="0" xfId="2" applyNumberFormat="1" applyFont="1" applyFill="1" applyAlignment="1">
      <alignment horizontal="right" vertical="center" readingOrder="1"/>
    </xf>
    <xf numFmtId="0" fontId="6" fillId="2" borderId="1" xfId="1" applyNumberFormat="1" applyFont="1" applyFill="1" applyBorder="1" applyAlignment="1" applyProtection="1">
      <alignment horizontal="right" vertical="center"/>
    </xf>
    <xf numFmtId="164" fontId="9" fillId="2" borderId="3" xfId="2" applyNumberFormat="1" applyFont="1" applyFill="1" applyBorder="1" applyAlignment="1">
      <alignment horizontal="right" vertical="center"/>
    </xf>
    <xf numFmtId="164" fontId="9" fillId="2" borderId="0" xfId="2" applyNumberFormat="1" applyFont="1" applyFill="1" applyBorder="1" applyAlignment="1">
      <alignment horizontal="right" vertical="center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1" fillId="2" borderId="2" xfId="2" applyNumberFormat="1" applyFont="1" applyFill="1" applyBorder="1" applyAlignment="1" applyProtection="1">
      <alignment horizontal="left" vertical="center"/>
    </xf>
    <xf numFmtId="164" fontId="22" fillId="2" borderId="0" xfId="2" applyNumberFormat="1" applyFont="1" applyFill="1" applyAlignment="1">
      <alignment horizontal="center" vertical="center"/>
    </xf>
    <xf numFmtId="164" fontId="12" fillId="2" borderId="0" xfId="2" applyNumberFormat="1" applyFont="1" applyFill="1" applyBorder="1" applyAlignment="1" applyProtection="1">
      <alignment horizontal="center" vertical="center"/>
    </xf>
    <xf numFmtId="164" fontId="9" fillId="2" borderId="0" xfId="2" applyNumberFormat="1" applyFont="1" applyFill="1" applyAlignment="1">
      <alignment horizontal="center" vertical="center" wrapText="1"/>
    </xf>
    <xf numFmtId="164" fontId="24" fillId="2" borderId="2" xfId="2" applyNumberFormat="1" applyFont="1" applyFill="1" applyBorder="1" applyAlignment="1" applyProtection="1">
      <alignment horizontal="center" vertical="center"/>
    </xf>
    <xf numFmtId="164" fontId="14" fillId="2" borderId="0" xfId="2" applyNumberFormat="1" applyFont="1" applyFill="1" applyBorder="1" applyAlignment="1" applyProtection="1">
      <alignment horizontal="center" vertical="center" wrapText="1"/>
    </xf>
    <xf numFmtId="164" fontId="43" fillId="2" borderId="0" xfId="2" applyNumberFormat="1" applyFont="1" applyFill="1" applyAlignment="1">
      <alignment horizontal="center" vertical="center" wrapText="1"/>
    </xf>
    <xf numFmtId="164" fontId="24" fillId="2" borderId="2" xfId="2" applyNumberFormat="1" applyFont="1" applyFill="1" applyBorder="1" applyAlignment="1">
      <alignment horizontal="center" vertical="center"/>
    </xf>
    <xf numFmtId="164" fontId="11" fillId="2" borderId="3" xfId="2" applyNumberFormat="1" applyFont="1" applyFill="1" applyBorder="1" applyAlignment="1" applyProtection="1">
      <alignment horizontal="left" vertical="center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1" fillId="2" borderId="2" xfId="2" applyNumberFormat="1" applyFont="1" applyFill="1" applyBorder="1" applyAlignment="1" applyProtection="1">
      <alignment horizontal="left" vertical="center"/>
    </xf>
    <xf numFmtId="164" fontId="25" fillId="2" borderId="14" xfId="2" applyNumberFormat="1" applyFont="1" applyFill="1" applyBorder="1" applyAlignment="1">
      <alignment horizontal="center" vertical="center"/>
    </xf>
    <xf numFmtId="164" fontId="25" fillId="2" borderId="18" xfId="2" applyNumberFormat="1" applyFont="1" applyFill="1" applyBorder="1" applyAlignment="1">
      <alignment horizontal="center" vertical="center"/>
    </xf>
    <xf numFmtId="164" fontId="26" fillId="2" borderId="15" xfId="2" applyNumberFormat="1" applyFont="1" applyFill="1" applyBorder="1" applyAlignment="1">
      <alignment horizontal="center" vertical="center"/>
    </xf>
    <xf numFmtId="164" fontId="26" fillId="2" borderId="18" xfId="2" applyNumberFormat="1" applyFont="1" applyFill="1" applyBorder="1" applyAlignment="1">
      <alignment horizontal="center" vertical="center"/>
    </xf>
    <xf numFmtId="168" fontId="25" fillId="2" borderId="6" xfId="2" applyNumberFormat="1" applyFont="1" applyFill="1" applyBorder="1" applyAlignment="1" applyProtection="1">
      <alignment horizontal="center" vertical="center"/>
      <protection hidden="1"/>
    </xf>
    <xf numFmtId="168" fontId="25" fillId="2" borderId="3" xfId="2" applyNumberFormat="1" applyFont="1" applyFill="1" applyBorder="1" applyAlignment="1" applyProtection="1">
      <alignment horizontal="center" vertical="center"/>
      <protection hidden="1"/>
    </xf>
    <xf numFmtId="168" fontId="26" fillId="2" borderId="5" xfId="2" applyNumberFormat="1" applyFont="1" applyFill="1" applyBorder="1" applyAlignment="1" applyProtection="1">
      <alignment horizontal="center" vertical="center"/>
      <protection locked="0"/>
    </xf>
    <xf numFmtId="168" fontId="26" fillId="2" borderId="2" xfId="2" applyNumberFormat="1" applyFont="1" applyFill="1" applyBorder="1" applyAlignment="1" applyProtection="1">
      <alignment horizontal="center" vertical="center"/>
      <protection locked="0"/>
    </xf>
    <xf numFmtId="164" fontId="11" fillId="2" borderId="8" xfId="2" applyNumberFormat="1" applyFont="1" applyFill="1" applyBorder="1" applyAlignment="1" applyProtection="1">
      <alignment horizontal="center" vertical="center"/>
      <protection locked="0"/>
    </xf>
    <xf numFmtId="164" fontId="11" fillId="2" borderId="13" xfId="2" applyNumberFormat="1" applyFont="1" applyFill="1" applyBorder="1" applyAlignment="1" applyProtection="1">
      <alignment horizontal="center" vertical="center"/>
      <protection locked="0"/>
    </xf>
    <xf numFmtId="164" fontId="24" fillId="2" borderId="0" xfId="2" applyNumberFormat="1" applyFont="1" applyFill="1" applyBorder="1" applyAlignment="1" applyProtection="1">
      <alignment horizontal="center" vertical="center"/>
    </xf>
    <xf numFmtId="164" fontId="44" fillId="2" borderId="0" xfId="2" applyNumberFormat="1" applyFont="1" applyFill="1" applyAlignment="1">
      <alignment horizontal="center" vertical="center" wrapText="1"/>
    </xf>
    <xf numFmtId="164" fontId="11" fillId="2" borderId="14" xfId="2" applyNumberFormat="1" applyFont="1" applyFill="1" applyBorder="1" applyAlignment="1">
      <alignment horizontal="right"/>
    </xf>
    <xf numFmtId="0" fontId="16" fillId="2" borderId="6" xfId="2" applyFont="1" applyFill="1" applyBorder="1" applyAlignment="1" applyProtection="1">
      <alignment horizontal="center" vertical="center"/>
    </xf>
    <xf numFmtId="0" fontId="16" fillId="2" borderId="12" xfId="2" applyFont="1" applyFill="1" applyBorder="1" applyAlignment="1" applyProtection="1">
      <alignment horizontal="center" vertical="center"/>
    </xf>
    <xf numFmtId="0" fontId="16" fillId="2" borderId="3" xfId="2" applyFont="1" applyFill="1" applyBorder="1" applyAlignment="1" applyProtection="1">
      <alignment horizontal="center" vertical="center"/>
    </xf>
    <xf numFmtId="168" fontId="11" fillId="2" borderId="8" xfId="2" applyNumberFormat="1" applyFont="1" applyFill="1" applyBorder="1" applyAlignment="1" applyProtection="1">
      <alignment horizontal="center" vertical="center"/>
      <protection locked="0"/>
    </xf>
    <xf numFmtId="168" fontId="11" fillId="2" borderId="7" xfId="2" applyNumberFormat="1" applyFont="1" applyFill="1" applyBorder="1" applyAlignment="1" applyProtection="1">
      <alignment horizontal="center" vertical="center"/>
      <protection locked="0"/>
    </xf>
    <xf numFmtId="1" fontId="6" fillId="2" borderId="7" xfId="2" applyNumberFormat="1" applyFont="1" applyFill="1" applyBorder="1" applyAlignment="1" applyProtection="1">
      <alignment horizontal="center" vertical="center"/>
      <protection locked="0"/>
    </xf>
    <xf numFmtId="164" fontId="6" fillId="2" borderId="8" xfId="2" applyNumberFormat="1" applyFont="1" applyFill="1" applyBorder="1" applyAlignment="1" applyProtection="1">
      <alignment horizontal="center" vertical="center"/>
      <protection locked="0"/>
    </xf>
    <xf numFmtId="164" fontId="6" fillId="2" borderId="13" xfId="2" applyNumberFormat="1" applyFont="1" applyFill="1" applyBorder="1" applyAlignment="1" applyProtection="1">
      <alignment horizontal="center" vertical="center"/>
      <protection locked="0"/>
    </xf>
    <xf numFmtId="0" fontId="15" fillId="2" borderId="6" xfId="2" applyFont="1" applyFill="1" applyBorder="1" applyAlignment="1" applyProtection="1">
      <alignment horizontal="center" vertical="center"/>
    </xf>
    <xf numFmtId="0" fontId="15" fillId="2" borderId="12" xfId="2" applyFont="1" applyFill="1" applyBorder="1" applyAlignment="1" applyProtection="1">
      <alignment horizontal="center" vertical="center"/>
    </xf>
    <xf numFmtId="164" fontId="9" fillId="2" borderId="14" xfId="2" applyNumberFormat="1" applyFont="1" applyFill="1" applyBorder="1" applyAlignment="1">
      <alignment horizontal="center"/>
    </xf>
    <xf numFmtId="168" fontId="15" fillId="2" borderId="3" xfId="2" applyNumberFormat="1" applyFont="1" applyFill="1" applyBorder="1" applyAlignment="1" applyProtection="1">
      <alignment horizontal="center" vertical="center"/>
      <protection hidden="1"/>
    </xf>
    <xf numFmtId="164" fontId="4" fillId="2" borderId="0" xfId="4" applyNumberFormat="1" applyFont="1" applyFill="1" applyAlignment="1">
      <alignment horizontal="center"/>
    </xf>
    <xf numFmtId="164" fontId="3" fillId="2" borderId="4" xfId="4" applyNumberFormat="1" applyFont="1" applyFill="1" applyBorder="1" applyAlignment="1">
      <alignment horizontal="center"/>
    </xf>
    <xf numFmtId="164" fontId="3" fillId="2" borderId="2" xfId="4" applyNumberFormat="1" applyFont="1" applyFill="1" applyBorder="1" applyAlignment="1">
      <alignment horizontal="center"/>
    </xf>
    <xf numFmtId="167" fontId="29" fillId="2" borderId="0" xfId="1" applyNumberFormat="1" applyFont="1" applyFill="1" applyAlignment="1" applyProtection="1">
      <alignment horizontal="right" vertical="center"/>
      <protection locked="0"/>
    </xf>
    <xf numFmtId="167" fontId="37" fillId="2" borderId="0" xfId="1" applyNumberFormat="1" applyFont="1" applyFill="1" applyAlignment="1" applyProtection="1">
      <alignment vertical="center"/>
      <protection locked="0"/>
    </xf>
  </cellXfs>
  <cellStyles count="13">
    <cellStyle name="Comma" xfId="1" builtinId="3"/>
    <cellStyle name="Comma 2" xfId="8"/>
    <cellStyle name="Comma 3" xfId="9"/>
    <cellStyle name="Comma 4" xfId="5"/>
    <cellStyle name="Comma 6" xfId="11"/>
    <cellStyle name="Comma_13 Public Finance_done" xfId="3"/>
    <cellStyle name="Excel Built-in Comma" xfId="7"/>
    <cellStyle name="Excel Built-in Normal" xfId="6"/>
    <cellStyle name="Normal" xfId="0" builtinId="0"/>
    <cellStyle name="Normal 2" xfId="12"/>
    <cellStyle name="Normal 4" xfId="10"/>
    <cellStyle name="Normal_13 Public Finance" xfId="4"/>
    <cellStyle name="Normal_13 Public Finance_done" xfId="2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1.6'!$B$5:$N$5</c:f>
              <c:numCache>
                <c:formatCode>_(* #,##0.0_);_(* \(#,##0.0\);_(* "-"??_);_(@_)</c:formatCode>
                <c:ptCount val="13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2079.0821064299998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F91-9D75-AA0B0E910D10}"/>
            </c:ext>
          </c:extLst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1.6'!$B$6:$N$6</c:f>
              <c:numCache>
                <c:formatCode>_(* #,##0.0_);_(* \(#,##0.0\);_(* "-"??_);_(@_)</c:formatCode>
                <c:ptCount val="13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1812.3305333000001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F91-9D75-AA0B0E910D10}"/>
            </c:ext>
          </c:extLst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1.6'!$B$7:$N$7</c:f>
              <c:numCache>
                <c:formatCode>_(* #,##0.0_);_(* \(#,##0.0\);_(* "-"??_);_(@_)</c:formatCode>
                <c:ptCount val="13"/>
                <c:pt idx="0">
                  <c:v>329.9</c:v>
                </c:pt>
                <c:pt idx="1">
                  <c:v>937.10000000000014</c:v>
                </c:pt>
                <c:pt idx="2">
                  <c:v>581.73487699999998</c:v>
                </c:pt>
                <c:pt idx="3">
                  <c:v>174.8779509</c:v>
                </c:pt>
                <c:pt idx="4">
                  <c:v>919.10181</c:v>
                </c:pt>
                <c:pt idx="5">
                  <c:v>662.15555800000004</c:v>
                </c:pt>
                <c:pt idx="6">
                  <c:v>522.22979633</c:v>
                </c:pt>
                <c:pt idx="7">
                  <c:v>750.4553719999999</c:v>
                </c:pt>
                <c:pt idx="8">
                  <c:v>870.97274229999994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F91-9D75-AA0B0E91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8928"/>
        <c:axId val="548690496"/>
      </c:barChart>
      <c:catAx>
        <c:axId val="54868892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90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690496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548688928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1.6'!$B$36:$N$36</c:f>
              <c:numCache>
                <c:formatCode>_(* #,##0.0_);_(* \(#,##0.0\);_(* "-"??_);_(@_)</c:formatCode>
                <c:ptCount val="13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6243.3481799699994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BA-B365-334D662F221F}"/>
            </c:ext>
          </c:extLst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1.6'!$B$37:$N$37</c:f>
              <c:numCache>
                <c:formatCode>_(* #,##0.0_);_(* \(#,##0.0\);_(* "-"??_);_(@_)</c:formatCode>
                <c:ptCount val="13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8742.95622215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A-B365-334D662F221F}"/>
            </c:ext>
          </c:extLst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1.6'!$B$38:$N$38</c:f>
              <c:numCache>
                <c:formatCode>_(* #,##0.0_);_(* \(#,##0.0\);_(* "-"??_);_(@_)</c:formatCode>
                <c:ptCount val="13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344.55713775999999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A-B365-334D662F2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9648080"/>
        <c:axId val="381618720"/>
      </c:barChart>
      <c:catAx>
        <c:axId val="77964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6187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648080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8</xdr:row>
      <xdr:rowOff>128270</xdr:rowOff>
    </xdr:from>
    <xdr:to>
      <xdr:col>13</xdr:col>
      <xdr:colOff>638174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379325</xdr:colOff>
      <xdr:row>38</xdr:row>
      <xdr:rowOff>138545</xdr:rowOff>
    </xdr:from>
    <xdr:to>
      <xdr:col>13</xdr:col>
      <xdr:colOff>638174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1</xdr:col>
      <xdr:colOff>247649</xdr:colOff>
      <xdr:row>41</xdr:row>
      <xdr:rowOff>57149</xdr:rowOff>
    </xdr:from>
    <xdr:to>
      <xdr:col>13</xdr:col>
      <xdr:colOff>180974</xdr:colOff>
      <xdr:row>41</xdr:row>
      <xdr:rowOff>66674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6305549"/>
          <a:ext cx="67341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85725</xdr:colOff>
      <xdr:row>10</xdr:row>
      <xdr:rowOff>133349</xdr:rowOff>
    </xdr:from>
    <xdr:to>
      <xdr:col>13</xdr:col>
      <xdr:colOff>66675</xdr:colOff>
      <xdr:row>10</xdr:row>
      <xdr:rowOff>142874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133475" y="1657349"/>
          <a:ext cx="67818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0.1377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6897" y="115443"/>
          <a:ext cx="6348748" cy="337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s\F.shifaza\AppData\Local\Microsoft\Windows\Temporary%20Internet%20Files\Content.Outlook\UI66VG49\Public%20Finance_%2013%206%2013%2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68"/>
  <sheetViews>
    <sheetView tabSelected="1" zoomScale="120" zoomScaleNormal="120" zoomScaleSheetLayoutView="102" workbookViewId="0">
      <pane ySplit="7" topLeftCell="A8" activePane="bottomLeft" state="frozen"/>
      <selection pane="bottomLeft" activeCell="K13" sqref="K13"/>
    </sheetView>
  </sheetViews>
  <sheetFormatPr defaultColWidth="13.28515625" defaultRowHeight="12.75"/>
  <cols>
    <col min="1" max="1" width="59.42578125" style="19" customWidth="1"/>
    <col min="2" max="6" width="9.140625" style="19" hidden="1" customWidth="1"/>
    <col min="7" max="14" width="9.140625" style="19" customWidth="1"/>
    <col min="15" max="15" width="48.5703125" style="19" customWidth="1"/>
    <col min="16" max="16" width="1.28515625" style="273" customWidth="1"/>
    <col min="17" max="20" width="13.28515625" style="273"/>
    <col min="21" max="16384" width="13.28515625" style="19"/>
  </cols>
  <sheetData>
    <row r="1" spans="1:20" ht="21.75">
      <c r="A1" s="285" t="s">
        <v>253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</row>
    <row r="2" spans="1:20" ht="15">
      <c r="A2" s="286" t="s">
        <v>254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</row>
    <row r="3" spans="1:20" s="20" customFormat="1" ht="15">
      <c r="A3" s="287" t="s">
        <v>0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74"/>
      <c r="Q3" s="274"/>
      <c r="R3" s="274"/>
      <c r="S3" s="274"/>
      <c r="T3" s="274"/>
    </row>
    <row r="4" spans="1:20" s="20" customFormat="1">
      <c r="A4" s="288" t="s">
        <v>150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74"/>
      <c r="Q4" s="274"/>
      <c r="R4" s="274"/>
      <c r="S4" s="274"/>
      <c r="T4" s="274"/>
    </row>
    <row r="5" spans="1:20" s="23" customFormat="1" ht="15">
      <c r="A5" s="12"/>
      <c r="B5" s="281"/>
      <c r="C5" s="12"/>
      <c r="D5" s="28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275"/>
      <c r="Q5" s="275"/>
      <c r="R5" s="275"/>
      <c r="S5" s="275"/>
      <c r="T5" s="275"/>
    </row>
    <row r="6" spans="1:20" s="23" customFormat="1" ht="15">
      <c r="A6" s="283" t="s">
        <v>1</v>
      </c>
      <c r="B6" s="13"/>
      <c r="C6" s="37"/>
      <c r="D6" s="38"/>
      <c r="E6" s="13"/>
      <c r="F6" s="13" t="s">
        <v>4</v>
      </c>
      <c r="G6" s="13" t="s">
        <v>4</v>
      </c>
      <c r="H6" s="13" t="s">
        <v>4</v>
      </c>
      <c r="I6" s="16" t="s">
        <v>4</v>
      </c>
      <c r="J6" s="16" t="s">
        <v>4</v>
      </c>
      <c r="K6" s="16" t="s">
        <v>263</v>
      </c>
      <c r="L6" s="16" t="s">
        <v>244</v>
      </c>
      <c r="M6" s="16" t="s">
        <v>244</v>
      </c>
      <c r="N6" s="16" t="s">
        <v>244</v>
      </c>
      <c r="O6" s="282"/>
      <c r="P6" s="275"/>
      <c r="Q6" s="275"/>
      <c r="R6" s="275"/>
      <c r="S6" s="275"/>
      <c r="T6" s="275"/>
    </row>
    <row r="7" spans="1:20" s="38" customFormat="1">
      <c r="A7" s="284"/>
      <c r="B7" s="39">
        <v>2008</v>
      </c>
      <c r="C7" s="39">
        <v>2009</v>
      </c>
      <c r="D7" s="14">
        <v>2010</v>
      </c>
      <c r="E7" s="14">
        <v>2011</v>
      </c>
      <c r="F7" s="14">
        <v>2012</v>
      </c>
      <c r="G7" s="14">
        <v>2013</v>
      </c>
      <c r="H7" s="14">
        <v>2014</v>
      </c>
      <c r="I7" s="17">
        <v>2015</v>
      </c>
      <c r="J7" s="280">
        <v>2016</v>
      </c>
      <c r="K7" s="280">
        <v>2017</v>
      </c>
      <c r="L7" s="280">
        <v>2018</v>
      </c>
      <c r="M7" s="280">
        <v>2019</v>
      </c>
      <c r="N7" s="280">
        <v>2020</v>
      </c>
      <c r="O7" s="15"/>
      <c r="P7" s="276"/>
      <c r="Q7" s="276"/>
      <c r="R7" s="276"/>
      <c r="S7" s="276"/>
      <c r="T7" s="276"/>
    </row>
    <row r="8" spans="1:20" s="23" customFormat="1" ht="21.75" customHeight="1">
      <c r="A8" s="40" t="s">
        <v>7</v>
      </c>
      <c r="B8" s="41">
        <f t="shared" ref="B8:N8" si="0">SUM(B9,B52)</f>
        <v>7456.54</v>
      </c>
      <c r="C8" s="41">
        <f t="shared" si="0"/>
        <v>5734.8352960000002</v>
      </c>
      <c r="D8" s="41">
        <f t="shared" si="0"/>
        <v>6546.9287702799966</v>
      </c>
      <c r="E8" s="41">
        <f t="shared" si="0"/>
        <v>9904.5614829999995</v>
      </c>
      <c r="F8" s="41">
        <f t="shared" si="0"/>
        <v>10138.11294952</v>
      </c>
      <c r="G8" s="41">
        <f t="shared" si="0"/>
        <v>11900.748051729997</v>
      </c>
      <c r="H8" s="41">
        <f t="shared" si="0"/>
        <v>15164.227912</v>
      </c>
      <c r="I8" s="41">
        <f t="shared" si="0"/>
        <v>17306.201467370003</v>
      </c>
      <c r="J8" s="41">
        <f t="shared" si="0"/>
        <v>18578.088404259994</v>
      </c>
      <c r="K8" s="41">
        <f t="shared" si="0"/>
        <v>20814.89700898292</v>
      </c>
      <c r="L8" s="41">
        <f t="shared" si="0"/>
        <v>22400.728222184007</v>
      </c>
      <c r="M8" s="41">
        <f t="shared" si="0"/>
        <v>23089.675934694533</v>
      </c>
      <c r="N8" s="41">
        <f t="shared" si="0"/>
        <v>23886.749457968588</v>
      </c>
      <c r="O8" s="42" t="s">
        <v>17</v>
      </c>
      <c r="P8" s="275"/>
      <c r="Q8" s="275"/>
      <c r="R8" s="275"/>
      <c r="S8" s="275"/>
      <c r="T8" s="275"/>
    </row>
    <row r="9" spans="1:20" s="23" customFormat="1" ht="21.75" customHeight="1">
      <c r="A9" s="40" t="s">
        <v>18</v>
      </c>
      <c r="B9" s="41">
        <f t="shared" ref="B9:N9" si="1">SUM(B10,B51)</f>
        <v>6939.54</v>
      </c>
      <c r="C9" s="41">
        <f t="shared" si="1"/>
        <v>5313.319469</v>
      </c>
      <c r="D9" s="41">
        <f t="shared" si="1"/>
        <v>6392.3855347199969</v>
      </c>
      <c r="E9" s="41">
        <f t="shared" si="1"/>
        <v>9172.1262260000003</v>
      </c>
      <c r="F9" s="41">
        <f t="shared" si="1"/>
        <v>9771.4430765199995</v>
      </c>
      <c r="G9" s="41">
        <f t="shared" si="1"/>
        <v>11783.092824199997</v>
      </c>
      <c r="H9" s="41">
        <f t="shared" si="1"/>
        <v>14998.954087</v>
      </c>
      <c r="I9" s="41">
        <f t="shared" si="1"/>
        <v>16669.260271000003</v>
      </c>
      <c r="J9" s="41">
        <f t="shared" si="1"/>
        <v>18324.962636339995</v>
      </c>
      <c r="K9" s="41">
        <f t="shared" si="1"/>
        <v>20096.69350670026</v>
      </c>
      <c r="L9" s="41">
        <f t="shared" si="1"/>
        <v>21667.029705184006</v>
      </c>
      <c r="M9" s="41">
        <f t="shared" si="1"/>
        <v>22203.319268694533</v>
      </c>
      <c r="N9" s="41">
        <f t="shared" si="1"/>
        <v>23212.464164968587</v>
      </c>
      <c r="O9" s="43" t="s">
        <v>19</v>
      </c>
      <c r="P9" s="275"/>
      <c r="Q9" s="275"/>
      <c r="R9" s="275"/>
      <c r="S9" s="275"/>
      <c r="T9" s="275"/>
    </row>
    <row r="10" spans="1:20" s="23" customFormat="1" ht="21.75" customHeight="1">
      <c r="A10" s="40" t="s">
        <v>8</v>
      </c>
      <c r="B10" s="41">
        <f t="shared" ref="B10:N10" si="2">SUM(B11,B23)</f>
        <v>6897.24</v>
      </c>
      <c r="C10" s="41">
        <f t="shared" si="2"/>
        <v>5299.4316959999996</v>
      </c>
      <c r="D10" s="41">
        <f t="shared" si="2"/>
        <v>6343.0314386499977</v>
      </c>
      <c r="E10" s="41">
        <f t="shared" si="2"/>
        <v>8637.6616890000005</v>
      </c>
      <c r="F10" s="41">
        <f t="shared" si="2"/>
        <v>9723.3702617999988</v>
      </c>
      <c r="G10" s="41">
        <f t="shared" si="2"/>
        <v>11514.974798199997</v>
      </c>
      <c r="H10" s="41">
        <f t="shared" si="2"/>
        <v>14874.843471</v>
      </c>
      <c r="I10" s="41">
        <f t="shared" si="2"/>
        <v>16548.977957000003</v>
      </c>
      <c r="J10" s="41">
        <f t="shared" si="2"/>
        <v>17455.601598019995</v>
      </c>
      <c r="K10" s="41">
        <f t="shared" si="2"/>
        <v>19549.196369850026</v>
      </c>
      <c r="L10" s="41">
        <f t="shared" si="2"/>
        <v>21625.724973711232</v>
      </c>
      <c r="M10" s="41">
        <f t="shared" si="2"/>
        <v>22165.173927719399</v>
      </c>
      <c r="N10" s="41">
        <f t="shared" si="2"/>
        <v>23180.766436097721</v>
      </c>
      <c r="O10" s="43" t="s">
        <v>9</v>
      </c>
      <c r="P10" s="275"/>
      <c r="Q10" s="275"/>
      <c r="R10" s="275"/>
      <c r="S10" s="275"/>
      <c r="T10" s="275"/>
    </row>
    <row r="11" spans="1:20" s="24" customFormat="1" ht="21.75" customHeight="1">
      <c r="A11" s="40" t="s">
        <v>20</v>
      </c>
      <c r="B11" s="41">
        <f t="shared" ref="B11:N11" si="3">SUM(B12:B22)</f>
        <v>3366.8</v>
      </c>
      <c r="C11" s="41">
        <f t="shared" si="3"/>
        <v>2731.9902730000003</v>
      </c>
      <c r="D11" s="41">
        <f t="shared" si="3"/>
        <v>2931.0472653899988</v>
      </c>
      <c r="E11" s="41">
        <f t="shared" si="3"/>
        <v>4892.9547389999998</v>
      </c>
      <c r="F11" s="41">
        <f t="shared" si="3"/>
        <v>6880.0618489999988</v>
      </c>
      <c r="G11" s="41">
        <f t="shared" si="3"/>
        <v>8872.8437029999986</v>
      </c>
      <c r="H11" s="41">
        <f t="shared" si="3"/>
        <v>10837.855577</v>
      </c>
      <c r="I11" s="41">
        <f t="shared" si="3"/>
        <v>12270.646260000001</v>
      </c>
      <c r="J11" s="41">
        <f t="shared" si="3"/>
        <v>13293.027889009998</v>
      </c>
      <c r="K11" s="41">
        <f t="shared" si="3"/>
        <v>14595.288942225343</v>
      </c>
      <c r="L11" s="41">
        <f t="shared" si="3"/>
        <v>16300.988766205728</v>
      </c>
      <c r="M11" s="41">
        <f t="shared" si="3"/>
        <v>16717.132183796592</v>
      </c>
      <c r="N11" s="41">
        <f t="shared" si="3"/>
        <v>17700.3884467178</v>
      </c>
      <c r="O11" s="43" t="s">
        <v>21</v>
      </c>
      <c r="P11" s="277"/>
      <c r="Q11" s="277"/>
      <c r="R11" s="277"/>
      <c r="S11" s="277"/>
      <c r="T11" s="277"/>
    </row>
    <row r="12" spans="1:20" s="24" customFormat="1" ht="18" customHeight="1">
      <c r="A12" s="44" t="s">
        <v>22</v>
      </c>
      <c r="B12" s="45">
        <v>2448.8000000000002</v>
      </c>
      <c r="C12" s="45">
        <v>1848.7620629999999</v>
      </c>
      <c r="D12" s="45">
        <v>2055.8138285199989</v>
      </c>
      <c r="E12" s="45">
        <v>2586.5219179999999</v>
      </c>
      <c r="F12" s="45">
        <v>1369.0409910000001</v>
      </c>
      <c r="G12" s="45">
        <v>1575.877761</v>
      </c>
      <c r="H12" s="45">
        <v>1975.2379679999999</v>
      </c>
      <c r="I12" s="45">
        <v>2346.4173430000001</v>
      </c>
      <c r="J12" s="45">
        <v>2487.3604338699997</v>
      </c>
      <c r="K12" s="45">
        <v>2741.6172208499997</v>
      </c>
      <c r="L12" s="45">
        <v>3029.6420480000002</v>
      </c>
      <c r="M12" s="45">
        <v>3181.124151</v>
      </c>
      <c r="N12" s="45">
        <v>3340.1803580000001</v>
      </c>
      <c r="O12" s="46" t="s">
        <v>23</v>
      </c>
      <c r="P12" s="277"/>
      <c r="Q12" s="277"/>
      <c r="R12" s="277"/>
      <c r="S12" s="277"/>
      <c r="T12" s="277"/>
    </row>
    <row r="13" spans="1:20" s="24" customFormat="1" ht="18" customHeight="1">
      <c r="A13" s="44" t="s">
        <v>24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5" t="s">
        <v>239</v>
      </c>
      <c r="H13" s="45" t="s">
        <v>239</v>
      </c>
      <c r="I13" s="45" t="s">
        <v>239</v>
      </c>
      <c r="J13" s="45" t="s">
        <v>239</v>
      </c>
      <c r="K13" s="45" t="s">
        <v>239</v>
      </c>
      <c r="L13" s="45" t="s">
        <v>239</v>
      </c>
      <c r="M13" s="45" t="s">
        <v>239</v>
      </c>
      <c r="N13" s="45" t="s">
        <v>239</v>
      </c>
      <c r="O13" s="18" t="s">
        <v>25</v>
      </c>
      <c r="P13" s="277"/>
      <c r="Q13" s="277"/>
      <c r="R13" s="277"/>
      <c r="S13" s="277"/>
      <c r="T13" s="277"/>
    </row>
    <row r="14" spans="1:20" s="24" customFormat="1" ht="18" customHeight="1">
      <c r="A14" s="44" t="s">
        <v>26</v>
      </c>
      <c r="B14" s="45">
        <v>566.6</v>
      </c>
      <c r="C14" s="45">
        <v>531.41379099999995</v>
      </c>
      <c r="D14" s="45">
        <v>597.28680473999998</v>
      </c>
      <c r="E14" s="45">
        <v>750.80410500000005</v>
      </c>
      <c r="F14" s="45">
        <v>804.72110199999997</v>
      </c>
      <c r="G14" s="45">
        <v>861.64270799999997</v>
      </c>
      <c r="H14" s="45">
        <v>804.82832599999995</v>
      </c>
      <c r="I14" s="45">
        <v>0.64350200000000002</v>
      </c>
      <c r="J14" s="45">
        <v>0.15296662</v>
      </c>
      <c r="K14" s="45" t="s">
        <v>239</v>
      </c>
      <c r="L14" s="45" t="s">
        <v>239</v>
      </c>
      <c r="M14" s="45" t="s">
        <v>239</v>
      </c>
      <c r="N14" s="45" t="s">
        <v>239</v>
      </c>
      <c r="O14" s="46" t="s">
        <v>27</v>
      </c>
      <c r="P14" s="277"/>
      <c r="Q14" s="277"/>
      <c r="R14" s="277"/>
      <c r="S14" s="277"/>
      <c r="T14" s="277"/>
    </row>
    <row r="15" spans="1:20" s="24" customFormat="1" ht="18" customHeight="1">
      <c r="A15" s="44" t="s">
        <v>28</v>
      </c>
      <c r="B15" s="45">
        <v>240.8</v>
      </c>
      <c r="C15" s="45">
        <v>245.71401800000001</v>
      </c>
      <c r="D15" s="45">
        <v>203.32941162</v>
      </c>
      <c r="E15" s="45">
        <v>229.856989</v>
      </c>
      <c r="F15" s="45">
        <v>313.15251699999999</v>
      </c>
      <c r="G15" s="45">
        <v>355.03669400000001</v>
      </c>
      <c r="H15" s="45">
        <v>482.38556</v>
      </c>
      <c r="I15" s="45">
        <v>512.72516800000005</v>
      </c>
      <c r="J15" s="45">
        <v>491.6696116</v>
      </c>
      <c r="K15" s="45">
        <v>649.89482680999993</v>
      </c>
      <c r="L15" s="45">
        <v>570.96438194849986</v>
      </c>
      <c r="M15" s="45">
        <v>544.69292043705252</v>
      </c>
      <c r="N15" s="45">
        <v>595.78217159229348</v>
      </c>
      <c r="O15" s="46" t="s">
        <v>29</v>
      </c>
      <c r="P15" s="277"/>
      <c r="Q15" s="277"/>
      <c r="R15" s="277"/>
      <c r="S15" s="277"/>
      <c r="T15" s="277"/>
    </row>
    <row r="16" spans="1:20" s="24" customFormat="1" ht="18" customHeight="1">
      <c r="A16" s="44" t="s">
        <v>30</v>
      </c>
      <c r="B16" s="47">
        <v>0</v>
      </c>
      <c r="C16" s="47">
        <v>0</v>
      </c>
      <c r="D16" s="47">
        <v>0</v>
      </c>
      <c r="E16" s="45">
        <v>665.32438500000001</v>
      </c>
      <c r="F16" s="45">
        <v>1553.5654959999999</v>
      </c>
      <c r="G16" s="45">
        <v>2154.68813</v>
      </c>
      <c r="H16" s="45">
        <v>3001.8213529999998</v>
      </c>
      <c r="I16" s="45">
        <v>4150.3114690000002</v>
      </c>
      <c r="J16" s="45">
        <v>3920.6999466000007</v>
      </c>
      <c r="K16" s="45">
        <v>4137.7321828227759</v>
      </c>
      <c r="L16" s="45">
        <v>4311.2753668303403</v>
      </c>
      <c r="M16" s="45">
        <v>4491.577275061878</v>
      </c>
      <c r="N16" s="45">
        <v>4656.0533705444295</v>
      </c>
      <c r="O16" s="18" t="s">
        <v>31</v>
      </c>
      <c r="P16" s="277"/>
      <c r="Q16" s="277"/>
      <c r="R16" s="277"/>
      <c r="S16" s="277"/>
      <c r="T16" s="277"/>
    </row>
    <row r="17" spans="1:20" s="24" customFormat="1" ht="18" customHeight="1">
      <c r="A17" s="44" t="s">
        <v>32</v>
      </c>
      <c r="B17" s="47">
        <v>0</v>
      </c>
      <c r="C17" s="47">
        <v>0</v>
      </c>
      <c r="D17" s="47">
        <v>0</v>
      </c>
      <c r="E17" s="45">
        <v>242.984275</v>
      </c>
      <c r="F17" s="45">
        <v>1005.650731</v>
      </c>
      <c r="G17" s="45">
        <v>1538.4096460000001</v>
      </c>
      <c r="H17" s="45">
        <v>1512.8577889999999</v>
      </c>
      <c r="I17" s="45">
        <v>1904.154755</v>
      </c>
      <c r="J17" s="45">
        <v>2328.10044896</v>
      </c>
      <c r="K17" s="45">
        <v>2630.01281427404</v>
      </c>
      <c r="L17" s="45">
        <v>3148.0495466230605</v>
      </c>
      <c r="M17" s="45">
        <v>3342.6208167001901</v>
      </c>
      <c r="N17" s="45">
        <v>3650.5976567368002</v>
      </c>
      <c r="O17" s="18" t="s">
        <v>33</v>
      </c>
      <c r="P17" s="277"/>
      <c r="Q17" s="277"/>
      <c r="R17" s="277"/>
      <c r="S17" s="277"/>
      <c r="T17" s="277"/>
    </row>
    <row r="18" spans="1:20" s="24" customFormat="1" ht="18" customHeight="1">
      <c r="A18" s="44" t="s">
        <v>34</v>
      </c>
      <c r="B18" s="47">
        <v>0</v>
      </c>
      <c r="C18" s="45">
        <v>1.6042050000000001</v>
      </c>
      <c r="D18" s="45">
        <v>35.501533500000001</v>
      </c>
      <c r="E18" s="45">
        <v>337.49470400000001</v>
      </c>
      <c r="F18" s="45">
        <v>299.92006099999998</v>
      </c>
      <c r="G18" s="45">
        <v>350.25651399999998</v>
      </c>
      <c r="H18" s="45">
        <v>431.97786300000001</v>
      </c>
      <c r="I18" s="45">
        <v>496.70397500000001</v>
      </c>
      <c r="J18" s="45">
        <v>537.50240712999914</v>
      </c>
      <c r="K18" s="45">
        <v>704.00626189345439</v>
      </c>
      <c r="L18" s="45">
        <v>648.15943667956765</v>
      </c>
      <c r="M18" s="45">
        <v>686.91193118593048</v>
      </c>
      <c r="N18" s="45">
        <v>724.93468371615313</v>
      </c>
      <c r="O18" s="18" t="s">
        <v>35</v>
      </c>
      <c r="P18" s="277"/>
      <c r="Q18" s="277"/>
      <c r="R18" s="277"/>
      <c r="S18" s="277"/>
      <c r="T18" s="277"/>
    </row>
    <row r="19" spans="1:20" s="24" customFormat="1" ht="18" customHeight="1">
      <c r="A19" s="44" t="s">
        <v>36</v>
      </c>
      <c r="B19" s="47">
        <v>0</v>
      </c>
      <c r="C19" s="47">
        <v>0</v>
      </c>
      <c r="D19" s="47">
        <v>0</v>
      </c>
      <c r="E19" s="45">
        <v>34.870806000000002</v>
      </c>
      <c r="F19" s="45">
        <v>1401.2985719999999</v>
      </c>
      <c r="G19" s="45">
        <v>1880.9622440000001</v>
      </c>
      <c r="H19" s="45">
        <v>2471.3657050000002</v>
      </c>
      <c r="I19" s="45">
        <v>2673.6295089999999</v>
      </c>
      <c r="J19" s="45">
        <v>2747.9680953399993</v>
      </c>
      <c r="K19" s="45">
        <v>2666.0701182912335</v>
      </c>
      <c r="L19" s="45">
        <v>3524.9802454101277</v>
      </c>
      <c r="M19" s="45">
        <v>3344.8547093221591</v>
      </c>
      <c r="N19" s="45">
        <v>3570.4545043193375</v>
      </c>
      <c r="O19" s="18" t="s">
        <v>37</v>
      </c>
      <c r="P19" s="277"/>
      <c r="Q19" s="277"/>
      <c r="R19" s="277"/>
      <c r="S19" s="277"/>
      <c r="T19" s="277"/>
    </row>
    <row r="20" spans="1:20" s="24" customFormat="1" ht="18" customHeight="1">
      <c r="A20" s="49" t="s">
        <v>267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8">
        <v>0</v>
      </c>
      <c r="I20" s="48">
        <v>36.715299999999999</v>
      </c>
      <c r="J20" s="323">
        <v>623.07052577000002</v>
      </c>
      <c r="K20" s="323">
        <v>682.99267486065116</v>
      </c>
      <c r="L20" s="323">
        <v>757.34055419406639</v>
      </c>
      <c r="M20" s="323">
        <v>783.89413169093041</v>
      </c>
      <c r="N20" s="323">
        <v>813.63732874972652</v>
      </c>
      <c r="O20" s="18" t="s">
        <v>234</v>
      </c>
      <c r="P20" s="277"/>
      <c r="Q20" s="277"/>
      <c r="R20" s="277"/>
      <c r="S20" s="277"/>
      <c r="T20" s="277"/>
    </row>
    <row r="21" spans="1:20" s="24" customFormat="1" ht="18" customHeight="1">
      <c r="A21" s="50" t="s">
        <v>268</v>
      </c>
      <c r="B21" s="47">
        <v>0</v>
      </c>
      <c r="C21" s="47">
        <v>0</v>
      </c>
      <c r="D21" s="47">
        <v>0</v>
      </c>
      <c r="E21" s="47">
        <v>0</v>
      </c>
      <c r="F21" s="51">
        <v>76.585507000000007</v>
      </c>
      <c r="G21" s="51">
        <v>101.369692</v>
      </c>
      <c r="H21" s="48">
        <v>89.108745999999996</v>
      </c>
      <c r="I21" s="48">
        <v>78.572284999999994</v>
      </c>
      <c r="J21" s="323">
        <v>74.137837039999923</v>
      </c>
      <c r="K21" s="323">
        <v>76.985367621484372</v>
      </c>
      <c r="L21" s="323">
        <v>77.551324583976253</v>
      </c>
      <c r="M21" s="323">
        <v>79.895754976260122</v>
      </c>
      <c r="N21" s="323">
        <v>81.715034291762677</v>
      </c>
      <c r="O21" s="46" t="s">
        <v>148</v>
      </c>
      <c r="P21" s="277"/>
      <c r="Q21" s="277"/>
      <c r="R21" s="277"/>
      <c r="S21" s="277"/>
      <c r="T21" s="277"/>
    </row>
    <row r="22" spans="1:20" s="52" customFormat="1" ht="18" customHeight="1">
      <c r="A22" s="44" t="s">
        <v>38</v>
      </c>
      <c r="B22" s="45">
        <v>110.60000000000001</v>
      </c>
      <c r="C22" s="45">
        <v>104.496196</v>
      </c>
      <c r="D22" s="45">
        <v>39.115687010000002</v>
      </c>
      <c r="E22" s="45">
        <v>45.097557000000002</v>
      </c>
      <c r="F22" s="45">
        <v>56.126871999999999</v>
      </c>
      <c r="G22" s="45">
        <v>54.600313999999997</v>
      </c>
      <c r="H22" s="45">
        <v>68.272266999999999</v>
      </c>
      <c r="I22" s="45">
        <v>70.772953999999999</v>
      </c>
      <c r="J22" s="45">
        <v>82.36561607999991</v>
      </c>
      <c r="K22" s="45">
        <v>305.9774748017025</v>
      </c>
      <c r="L22" s="45">
        <v>233.02586193609034</v>
      </c>
      <c r="M22" s="45">
        <v>261.56049342219245</v>
      </c>
      <c r="N22" s="45">
        <v>267.03333876729658</v>
      </c>
      <c r="O22" s="46" t="s">
        <v>39</v>
      </c>
      <c r="P22" s="278"/>
      <c r="Q22" s="278"/>
      <c r="R22" s="278"/>
      <c r="S22" s="278"/>
      <c r="T22" s="278"/>
    </row>
    <row r="23" spans="1:20" s="23" customFormat="1" ht="18" customHeight="1">
      <c r="A23" s="40" t="s">
        <v>40</v>
      </c>
      <c r="B23" s="53">
        <f t="shared" ref="B23:F23" si="4">SUM(B24:B47,B50)</f>
        <v>3530.4399999999996</v>
      </c>
      <c r="C23" s="53">
        <f t="shared" si="4"/>
        <v>2567.4414229999993</v>
      </c>
      <c r="D23" s="53">
        <f t="shared" si="4"/>
        <v>3411.9841732599989</v>
      </c>
      <c r="E23" s="53">
        <f t="shared" si="4"/>
        <v>3744.7069500000007</v>
      </c>
      <c r="F23" s="53">
        <f t="shared" si="4"/>
        <v>2843.3084128</v>
      </c>
      <c r="G23" s="53">
        <f>SUM(G24:G47,G50)</f>
        <v>2642.1310951999994</v>
      </c>
      <c r="H23" s="53">
        <f>SUM(H24:H47,H50)</f>
        <v>4036.9878939999999</v>
      </c>
      <c r="I23" s="53">
        <f t="shared" ref="I23:N23" si="5">SUM(I24:I47,I50)</f>
        <v>4278.3316970000014</v>
      </c>
      <c r="J23" s="53">
        <f t="shared" si="5"/>
        <v>4162.5737090099956</v>
      </c>
      <c r="K23" s="53">
        <f t="shared" si="5"/>
        <v>4953.9074276246847</v>
      </c>
      <c r="L23" s="53">
        <f t="shared" si="5"/>
        <v>5324.7362075055034</v>
      </c>
      <c r="M23" s="53">
        <f t="shared" si="5"/>
        <v>5448.0417439228086</v>
      </c>
      <c r="N23" s="53">
        <f t="shared" si="5"/>
        <v>5480.3779893799201</v>
      </c>
      <c r="O23" s="54" t="s">
        <v>146</v>
      </c>
      <c r="P23" s="275"/>
      <c r="Q23" s="275"/>
      <c r="R23" s="275"/>
      <c r="S23" s="275"/>
      <c r="T23" s="275"/>
    </row>
    <row r="24" spans="1:20" s="24" customFormat="1" ht="18" customHeight="1">
      <c r="A24" s="44" t="s">
        <v>41</v>
      </c>
      <c r="B24" s="45">
        <v>2.5</v>
      </c>
      <c r="C24" s="45">
        <v>137.9</v>
      </c>
      <c r="D24" s="45">
        <v>106.88384000000001</v>
      </c>
      <c r="E24" s="47">
        <v>0</v>
      </c>
      <c r="F24" s="47">
        <v>0</v>
      </c>
      <c r="G24" s="47">
        <v>0</v>
      </c>
      <c r="H24" s="48">
        <v>0</v>
      </c>
      <c r="I24" s="48" t="s">
        <v>239</v>
      </c>
      <c r="J24" s="323">
        <v>0</v>
      </c>
      <c r="K24" s="323">
        <v>64.650000000000006</v>
      </c>
      <c r="L24" s="323">
        <v>177.92911319999999</v>
      </c>
      <c r="M24" s="323">
        <v>177.92911319999999</v>
      </c>
      <c r="N24" s="323">
        <v>177.92911319999999</v>
      </c>
      <c r="O24" s="46" t="s">
        <v>42</v>
      </c>
      <c r="P24" s="277"/>
      <c r="Q24" s="277"/>
      <c r="R24" s="277"/>
      <c r="S24" s="277"/>
      <c r="T24" s="277"/>
    </row>
    <row r="25" spans="1:20" s="24" customFormat="1" ht="18" customHeight="1">
      <c r="A25" s="44" t="s">
        <v>43</v>
      </c>
      <c r="B25" s="55">
        <v>392.5</v>
      </c>
      <c r="C25" s="55">
        <v>192.02865</v>
      </c>
      <c r="D25" s="55">
        <v>505.718143</v>
      </c>
      <c r="E25" s="55">
        <v>487.06551999999999</v>
      </c>
      <c r="F25" s="55">
        <v>254.47890200000001</v>
      </c>
      <c r="G25" s="55">
        <v>156.94454099999999</v>
      </c>
      <c r="H25" s="55">
        <v>325.00863500000003</v>
      </c>
      <c r="I25" s="55">
        <v>303.72263400000003</v>
      </c>
      <c r="J25" s="55">
        <v>337.08129150000002</v>
      </c>
      <c r="K25" s="55">
        <v>458.16811150000001</v>
      </c>
      <c r="L25" s="55">
        <v>258.43959999999998</v>
      </c>
      <c r="M25" s="55">
        <v>258.43959999999998</v>
      </c>
      <c r="N25" s="55">
        <v>258.43959999999998</v>
      </c>
      <c r="O25" s="56" t="s">
        <v>44</v>
      </c>
      <c r="P25" s="277"/>
      <c r="Q25" s="277"/>
      <c r="R25" s="277"/>
      <c r="S25" s="277"/>
      <c r="T25" s="277"/>
    </row>
    <row r="26" spans="1:20" s="24" customFormat="1" ht="18" customHeight="1">
      <c r="A26" s="44" t="s">
        <v>45</v>
      </c>
      <c r="B26" s="55">
        <v>4.3</v>
      </c>
      <c r="C26" s="55">
        <v>0.93521100000000001</v>
      </c>
      <c r="D26" s="47">
        <v>0</v>
      </c>
      <c r="E26" s="47">
        <v>0</v>
      </c>
      <c r="F26" s="55">
        <v>0</v>
      </c>
      <c r="G26" s="47">
        <v>0</v>
      </c>
      <c r="H26" s="55">
        <v>0</v>
      </c>
      <c r="I26" s="55">
        <v>0.185081</v>
      </c>
      <c r="J26" s="55">
        <v>1.37016128</v>
      </c>
      <c r="K26" s="55">
        <v>49.504308600000009</v>
      </c>
      <c r="L26" s="55">
        <v>2.7222094619999999</v>
      </c>
      <c r="M26" s="55">
        <v>2.7222094619999999</v>
      </c>
      <c r="N26" s="55">
        <v>2.7222094619999999</v>
      </c>
      <c r="O26" s="56" t="s">
        <v>46</v>
      </c>
      <c r="P26" s="277"/>
      <c r="Q26" s="277"/>
      <c r="R26" s="277"/>
      <c r="S26" s="277"/>
      <c r="T26" s="277"/>
    </row>
    <row r="27" spans="1:20" s="24" customFormat="1" ht="18" customHeight="1">
      <c r="A27" s="44" t="s">
        <v>47</v>
      </c>
      <c r="B27" s="55">
        <v>237.89999999999998</v>
      </c>
      <c r="C27" s="55">
        <v>146.74612099999999</v>
      </c>
      <c r="D27" s="55">
        <v>304.89391938999898</v>
      </c>
      <c r="E27" s="55">
        <v>132.57864000000001</v>
      </c>
      <c r="F27" s="55">
        <v>205.310123</v>
      </c>
      <c r="G27" s="55">
        <v>188.03864400000001</v>
      </c>
      <c r="H27" s="55">
        <v>266.40812199999999</v>
      </c>
      <c r="I27" s="55">
        <v>24.317045</v>
      </c>
      <c r="J27" s="55">
        <v>82.029877819999896</v>
      </c>
      <c r="K27" s="55">
        <v>67.189931370000011</v>
      </c>
      <c r="L27" s="55">
        <v>90</v>
      </c>
      <c r="M27" s="55">
        <v>90</v>
      </c>
      <c r="N27" s="55">
        <v>90</v>
      </c>
      <c r="O27" s="56" t="s">
        <v>48</v>
      </c>
      <c r="P27" s="277"/>
      <c r="Q27" s="277"/>
      <c r="R27" s="277"/>
      <c r="S27" s="277"/>
      <c r="T27" s="277"/>
    </row>
    <row r="28" spans="1:20" s="24" customFormat="1" ht="18" customHeight="1">
      <c r="A28" s="44" t="s">
        <v>49</v>
      </c>
      <c r="B28" s="55">
        <v>2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8">
        <v>0</v>
      </c>
      <c r="I28" s="48">
        <v>0</v>
      </c>
      <c r="J28" s="323">
        <v>0</v>
      </c>
      <c r="K28" s="323">
        <v>0</v>
      </c>
      <c r="L28" s="323">
        <v>0</v>
      </c>
      <c r="M28" s="323">
        <v>0</v>
      </c>
      <c r="N28" s="323">
        <v>0</v>
      </c>
      <c r="O28" s="56" t="s">
        <v>50</v>
      </c>
      <c r="P28" s="277"/>
      <c r="Q28" s="277"/>
      <c r="R28" s="277"/>
      <c r="S28" s="277"/>
      <c r="T28" s="277"/>
    </row>
    <row r="29" spans="1:20" s="24" customFormat="1" ht="18" customHeight="1">
      <c r="A29" s="44" t="s">
        <v>51</v>
      </c>
      <c r="B29" s="55">
        <v>7.98</v>
      </c>
      <c r="C29" s="55">
        <v>8.7629000000000001</v>
      </c>
      <c r="D29" s="55">
        <v>3.43828829</v>
      </c>
      <c r="E29" s="55">
        <v>2.6666660000000002</v>
      </c>
      <c r="F29" s="55">
        <v>9.0000009999999993</v>
      </c>
      <c r="G29" s="47">
        <v>0</v>
      </c>
      <c r="H29" s="55">
        <v>0</v>
      </c>
      <c r="I29" s="55">
        <v>0</v>
      </c>
      <c r="J29" s="55">
        <v>10</v>
      </c>
      <c r="K29" s="55">
        <v>88.690444799999995</v>
      </c>
      <c r="L29" s="55">
        <v>20</v>
      </c>
      <c r="M29" s="55">
        <v>20</v>
      </c>
      <c r="N29" s="55">
        <v>20</v>
      </c>
      <c r="O29" s="56" t="s">
        <v>52</v>
      </c>
      <c r="P29" s="277"/>
      <c r="Q29" s="277"/>
      <c r="R29" s="277"/>
      <c r="S29" s="277"/>
      <c r="T29" s="277"/>
    </row>
    <row r="30" spans="1:20" s="24" customFormat="1" ht="18" customHeight="1">
      <c r="A30" s="44" t="s">
        <v>53</v>
      </c>
      <c r="B30" s="55">
        <v>1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8">
        <v>0</v>
      </c>
      <c r="I30" s="48">
        <v>0</v>
      </c>
      <c r="J30" s="323">
        <v>0</v>
      </c>
      <c r="K30" s="323">
        <v>0</v>
      </c>
      <c r="L30" s="323">
        <v>0</v>
      </c>
      <c r="M30" s="323">
        <v>0</v>
      </c>
      <c r="N30" s="323">
        <v>0</v>
      </c>
      <c r="O30" s="56" t="s">
        <v>54</v>
      </c>
      <c r="P30" s="277"/>
      <c r="Q30" s="277"/>
      <c r="R30" s="277"/>
      <c r="S30" s="277"/>
      <c r="T30" s="277"/>
    </row>
    <row r="31" spans="1:20" s="24" customFormat="1" ht="18" customHeight="1">
      <c r="A31" s="57" t="s">
        <v>55</v>
      </c>
      <c r="B31" s="47">
        <v>0</v>
      </c>
      <c r="C31" s="55">
        <v>10.016769999999999</v>
      </c>
      <c r="D31" s="47">
        <v>0</v>
      </c>
      <c r="E31" s="47">
        <v>0</v>
      </c>
      <c r="F31" s="47">
        <v>0</v>
      </c>
      <c r="G31" s="47">
        <v>0</v>
      </c>
      <c r="H31" s="48">
        <v>0</v>
      </c>
      <c r="I31" s="48">
        <v>0</v>
      </c>
      <c r="J31" s="323">
        <v>0</v>
      </c>
      <c r="K31" s="323">
        <v>7.6583040000000002</v>
      </c>
      <c r="L31" s="323">
        <v>10</v>
      </c>
      <c r="M31" s="323">
        <v>10</v>
      </c>
      <c r="N31" s="323">
        <v>10</v>
      </c>
      <c r="O31" s="56" t="s">
        <v>56</v>
      </c>
      <c r="P31" s="277"/>
      <c r="Q31" s="277"/>
      <c r="R31" s="277"/>
      <c r="S31" s="277"/>
      <c r="T31" s="277"/>
    </row>
    <row r="32" spans="1:20" s="24" customFormat="1" ht="18" customHeight="1">
      <c r="A32" s="58" t="s">
        <v>57</v>
      </c>
      <c r="B32" s="55">
        <v>60</v>
      </c>
      <c r="C32" s="55">
        <v>60</v>
      </c>
      <c r="D32" s="55">
        <v>36.166326929999997</v>
      </c>
      <c r="E32" s="55">
        <v>40</v>
      </c>
      <c r="F32" s="55">
        <v>39.405994</v>
      </c>
      <c r="G32" s="55">
        <v>76.2</v>
      </c>
      <c r="H32" s="55">
        <v>33.799999999999997</v>
      </c>
      <c r="I32" s="55">
        <v>60</v>
      </c>
      <c r="J32" s="55">
        <v>60</v>
      </c>
      <c r="K32" s="55">
        <v>119.03421299999999</v>
      </c>
      <c r="L32" s="55">
        <v>60</v>
      </c>
      <c r="M32" s="55">
        <v>60</v>
      </c>
      <c r="N32" s="55">
        <v>60</v>
      </c>
      <c r="O32" s="46" t="s">
        <v>58</v>
      </c>
      <c r="P32" s="277"/>
      <c r="Q32" s="277"/>
      <c r="R32" s="277"/>
      <c r="S32" s="277"/>
      <c r="T32" s="277"/>
    </row>
    <row r="33" spans="1:20" s="24" customFormat="1" ht="18" customHeight="1">
      <c r="A33" s="59" t="s">
        <v>59</v>
      </c>
      <c r="B33" s="55">
        <v>27.4</v>
      </c>
      <c r="C33" s="55">
        <v>24.702947999999999</v>
      </c>
      <c r="D33" s="47">
        <v>0</v>
      </c>
      <c r="E33" s="47">
        <v>0</v>
      </c>
      <c r="F33" s="47">
        <v>0</v>
      </c>
      <c r="G33" s="51">
        <v>3.837278</v>
      </c>
      <c r="H33" s="48">
        <v>17.862296000000001</v>
      </c>
      <c r="I33" s="48">
        <v>50.051968000000002</v>
      </c>
      <c r="J33" s="323">
        <v>53.180216000000001</v>
      </c>
      <c r="K33" s="323">
        <v>62.564959999999999</v>
      </c>
      <c r="L33" s="323">
        <v>57.4</v>
      </c>
      <c r="M33" s="323">
        <v>57.4</v>
      </c>
      <c r="N33" s="323">
        <v>57.4</v>
      </c>
      <c r="O33" s="46" t="s">
        <v>60</v>
      </c>
      <c r="P33" s="277"/>
      <c r="Q33" s="277"/>
      <c r="R33" s="277"/>
      <c r="S33" s="277"/>
      <c r="T33" s="277"/>
    </row>
    <row r="34" spans="1:20" s="24" customFormat="1" ht="18" customHeight="1">
      <c r="A34" s="59" t="s">
        <v>61</v>
      </c>
      <c r="B34" s="55">
        <v>171.5</v>
      </c>
      <c r="C34" s="55">
        <v>65.525085000000004</v>
      </c>
      <c r="D34" s="55">
        <v>62.790163999999997</v>
      </c>
      <c r="E34" s="55">
        <v>244.34785600000001</v>
      </c>
      <c r="F34" s="47">
        <v>0</v>
      </c>
      <c r="G34" s="47">
        <v>0</v>
      </c>
      <c r="H34" s="48">
        <v>120</v>
      </c>
      <c r="I34" s="48">
        <v>0</v>
      </c>
      <c r="J34" s="323">
        <v>0</v>
      </c>
      <c r="K34" s="323">
        <v>0</v>
      </c>
      <c r="L34" s="323">
        <v>201.94418429999999</v>
      </c>
      <c r="M34" s="323">
        <v>201.94418429999999</v>
      </c>
      <c r="N34" s="323">
        <v>201.94418429999999</v>
      </c>
      <c r="O34" s="18" t="s">
        <v>62</v>
      </c>
      <c r="P34" s="277"/>
      <c r="Q34" s="277"/>
      <c r="R34" s="277"/>
      <c r="S34" s="277"/>
      <c r="T34" s="277"/>
    </row>
    <row r="35" spans="1:20" s="24" customFormat="1" ht="18" customHeight="1">
      <c r="A35" s="59" t="s">
        <v>63</v>
      </c>
      <c r="B35" s="47">
        <v>0</v>
      </c>
      <c r="C35" s="47">
        <v>0</v>
      </c>
      <c r="D35" s="55">
        <v>6.63</v>
      </c>
      <c r="E35" s="47">
        <v>0</v>
      </c>
      <c r="F35" s="47">
        <v>0</v>
      </c>
      <c r="G35" s="47">
        <v>0</v>
      </c>
      <c r="H35" s="48">
        <v>0</v>
      </c>
      <c r="I35" s="48">
        <v>0</v>
      </c>
      <c r="J35" s="323">
        <v>0</v>
      </c>
      <c r="K35" s="323">
        <v>0</v>
      </c>
      <c r="L35" s="323">
        <v>0</v>
      </c>
      <c r="M35" s="323">
        <v>0</v>
      </c>
      <c r="N35" s="323">
        <v>0</v>
      </c>
      <c r="O35" s="18" t="s">
        <v>64</v>
      </c>
      <c r="P35" s="277"/>
      <c r="Q35" s="277"/>
      <c r="R35" s="277"/>
      <c r="S35" s="277"/>
      <c r="T35" s="277"/>
    </row>
    <row r="36" spans="1:20" s="24" customFormat="1" ht="18" customHeight="1">
      <c r="A36" s="59" t="s">
        <v>65</v>
      </c>
      <c r="B36" s="47">
        <v>0</v>
      </c>
      <c r="C36" s="47">
        <v>0</v>
      </c>
      <c r="D36" s="47">
        <v>0</v>
      </c>
      <c r="E36" s="47">
        <v>0</v>
      </c>
      <c r="F36" s="55">
        <v>11.05</v>
      </c>
      <c r="G36" s="47">
        <v>0</v>
      </c>
      <c r="H36" s="55">
        <v>11.05</v>
      </c>
      <c r="I36" s="55">
        <v>0</v>
      </c>
      <c r="J36" s="55">
        <v>0</v>
      </c>
      <c r="K36" s="55">
        <v>44.2490934</v>
      </c>
      <c r="L36" s="55">
        <v>20</v>
      </c>
      <c r="M36" s="55">
        <v>20</v>
      </c>
      <c r="N36" s="55">
        <v>20</v>
      </c>
      <c r="O36" s="60" t="s">
        <v>66</v>
      </c>
      <c r="P36" s="277"/>
      <c r="Q36" s="277"/>
      <c r="R36" s="277"/>
      <c r="S36" s="277"/>
      <c r="T36" s="277"/>
    </row>
    <row r="37" spans="1:20" s="24" customFormat="1" ht="18" customHeight="1">
      <c r="A37" s="59" t="s">
        <v>67</v>
      </c>
      <c r="B37" s="55">
        <v>5.5</v>
      </c>
      <c r="C37" s="47">
        <v>0</v>
      </c>
      <c r="D37" s="47">
        <v>0</v>
      </c>
      <c r="E37" s="47">
        <v>0</v>
      </c>
      <c r="F37" s="55">
        <v>0</v>
      </c>
      <c r="G37" s="47">
        <v>0</v>
      </c>
      <c r="H37" s="47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18" t="s">
        <v>68</v>
      </c>
      <c r="P37" s="277"/>
      <c r="Q37" s="277"/>
      <c r="R37" s="277"/>
      <c r="S37" s="277"/>
      <c r="T37" s="277"/>
    </row>
    <row r="38" spans="1:20" s="24" customFormat="1" ht="18" customHeight="1">
      <c r="A38" s="59" t="s">
        <v>69</v>
      </c>
      <c r="B38" s="47">
        <v>0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18" t="s">
        <v>70</v>
      </c>
      <c r="P38" s="277"/>
      <c r="Q38" s="277"/>
      <c r="R38" s="277"/>
      <c r="S38" s="277"/>
      <c r="T38" s="277"/>
    </row>
    <row r="39" spans="1:20" s="24" customFormat="1" ht="18" customHeight="1">
      <c r="A39" s="59" t="s">
        <v>71</v>
      </c>
      <c r="B39" s="55">
        <v>54.5</v>
      </c>
      <c r="C39" s="55">
        <v>16.276667</v>
      </c>
      <c r="D39" s="55">
        <v>41.804403549999897</v>
      </c>
      <c r="E39" s="55">
        <v>52.75</v>
      </c>
      <c r="F39" s="55">
        <v>95.199361999999994</v>
      </c>
      <c r="G39" s="55">
        <v>43.042678000000002</v>
      </c>
      <c r="H39" s="55">
        <v>0</v>
      </c>
      <c r="I39" s="55">
        <v>30.877223999999998</v>
      </c>
      <c r="J39" s="55">
        <v>57.542190240000004</v>
      </c>
      <c r="K39" s="55">
        <v>30</v>
      </c>
      <c r="L39" s="55">
        <v>172.56059999999999</v>
      </c>
      <c r="M39" s="55">
        <v>172.56059999999999</v>
      </c>
      <c r="N39" s="55">
        <v>172.56059999999999</v>
      </c>
      <c r="O39" s="46" t="s">
        <v>72</v>
      </c>
      <c r="P39" s="277"/>
      <c r="Q39" s="277"/>
      <c r="R39" s="277"/>
      <c r="S39" s="277"/>
      <c r="T39" s="277"/>
    </row>
    <row r="40" spans="1:20" s="24" customFormat="1" ht="18" customHeight="1">
      <c r="A40" s="59" t="s">
        <v>73</v>
      </c>
      <c r="B40" s="47">
        <v>0</v>
      </c>
      <c r="C40" s="47">
        <v>0</v>
      </c>
      <c r="D40" s="47">
        <v>0</v>
      </c>
      <c r="E40" s="55">
        <v>14.306495999999999</v>
      </c>
      <c r="F40" s="55">
        <v>18.859279999999998</v>
      </c>
      <c r="G40" s="55">
        <v>7.8092800000000002</v>
      </c>
      <c r="H40" s="55">
        <v>7.8092800000000002</v>
      </c>
      <c r="I40" s="55">
        <v>19.523199999999999</v>
      </c>
      <c r="J40" s="55">
        <v>26.666239999999998</v>
      </c>
      <c r="K40" s="55">
        <v>15.61875</v>
      </c>
      <c r="L40" s="55">
        <v>15.5</v>
      </c>
      <c r="M40" s="55">
        <v>15.5</v>
      </c>
      <c r="N40" s="55">
        <v>15.5</v>
      </c>
      <c r="O40" s="56" t="s">
        <v>74</v>
      </c>
      <c r="P40" s="277"/>
      <c r="Q40" s="277"/>
      <c r="R40" s="277"/>
      <c r="S40" s="277"/>
      <c r="T40" s="277"/>
    </row>
    <row r="41" spans="1:20" s="24" customFormat="1" ht="18" customHeight="1">
      <c r="A41" s="57" t="s">
        <v>75</v>
      </c>
      <c r="B41" s="55">
        <v>47.6</v>
      </c>
      <c r="C41" s="55">
        <v>13.870419999999999</v>
      </c>
      <c r="D41" s="55">
        <v>12</v>
      </c>
      <c r="E41" s="47">
        <v>0</v>
      </c>
      <c r="F41" s="55">
        <v>0</v>
      </c>
      <c r="G41" s="47">
        <v>0</v>
      </c>
      <c r="H41" s="47">
        <v>0</v>
      </c>
      <c r="I41" s="47">
        <v>0</v>
      </c>
      <c r="J41" s="323">
        <v>0</v>
      </c>
      <c r="K41" s="55">
        <v>8.4245300000000007</v>
      </c>
      <c r="L41" s="55">
        <v>8</v>
      </c>
      <c r="M41" s="55">
        <v>8</v>
      </c>
      <c r="N41" s="55">
        <v>8</v>
      </c>
      <c r="O41" s="18" t="s">
        <v>82</v>
      </c>
      <c r="P41" s="277"/>
      <c r="Q41" s="277"/>
      <c r="R41" s="277"/>
      <c r="S41" s="277"/>
      <c r="T41" s="277"/>
    </row>
    <row r="42" spans="1:20" s="24" customFormat="1" ht="18" customHeight="1">
      <c r="A42" s="57" t="s">
        <v>76</v>
      </c>
      <c r="B42" s="47">
        <v>0</v>
      </c>
      <c r="C42" s="47">
        <v>0</v>
      </c>
      <c r="D42" s="47">
        <v>0</v>
      </c>
      <c r="E42" s="47">
        <v>0</v>
      </c>
      <c r="F42" s="55">
        <v>0</v>
      </c>
      <c r="G42" s="47">
        <v>0</v>
      </c>
      <c r="H42" s="47">
        <v>0</v>
      </c>
      <c r="I42" s="47">
        <v>0</v>
      </c>
      <c r="J42" s="323">
        <v>0</v>
      </c>
      <c r="K42" s="323">
        <v>0</v>
      </c>
      <c r="L42" s="323">
        <v>0</v>
      </c>
      <c r="M42" s="323">
        <v>0</v>
      </c>
      <c r="N42" s="323">
        <v>0</v>
      </c>
      <c r="O42" s="60" t="s">
        <v>77</v>
      </c>
      <c r="P42" s="277"/>
      <c r="Q42" s="277"/>
      <c r="R42" s="277"/>
      <c r="S42" s="277"/>
      <c r="T42" s="277"/>
    </row>
    <row r="43" spans="1:20" s="24" customFormat="1" ht="18" customHeight="1">
      <c r="A43" s="44" t="s">
        <v>78</v>
      </c>
      <c r="B43" s="47">
        <v>0</v>
      </c>
      <c r="C43" s="47">
        <v>0</v>
      </c>
      <c r="D43" s="47">
        <v>0</v>
      </c>
      <c r="E43" s="47">
        <v>0</v>
      </c>
      <c r="F43" s="55">
        <v>0</v>
      </c>
      <c r="G43" s="47">
        <v>0</v>
      </c>
      <c r="H43" s="47">
        <v>0</v>
      </c>
      <c r="I43" s="47">
        <v>0</v>
      </c>
      <c r="J43" s="323">
        <v>0</v>
      </c>
      <c r="K43" s="323">
        <v>14.5562796</v>
      </c>
      <c r="L43" s="323">
        <v>14.556279999999999</v>
      </c>
      <c r="M43" s="323">
        <v>14.556279999999999</v>
      </c>
      <c r="N43" s="323">
        <v>14.556279999999999</v>
      </c>
      <c r="O43" s="60" t="s">
        <v>79</v>
      </c>
      <c r="P43" s="277"/>
      <c r="Q43" s="277"/>
      <c r="R43" s="277"/>
      <c r="S43" s="277"/>
      <c r="T43" s="277"/>
    </row>
    <row r="44" spans="1:20" s="24" customFormat="1" ht="18" customHeight="1">
      <c r="A44" s="44" t="s">
        <v>80</v>
      </c>
      <c r="B44" s="47">
        <v>0</v>
      </c>
      <c r="C44" s="47">
        <v>0</v>
      </c>
      <c r="D44" s="47">
        <v>0</v>
      </c>
      <c r="E44" s="47">
        <v>0</v>
      </c>
      <c r="F44" s="55">
        <v>0</v>
      </c>
      <c r="G44" s="47">
        <v>0</v>
      </c>
      <c r="H44" s="47">
        <v>0</v>
      </c>
      <c r="I44" s="47">
        <v>0</v>
      </c>
      <c r="J44" s="323">
        <v>0</v>
      </c>
      <c r="K44" s="323">
        <v>0</v>
      </c>
      <c r="L44" s="323">
        <v>0</v>
      </c>
      <c r="M44" s="323">
        <v>0</v>
      </c>
      <c r="N44" s="323">
        <v>0</v>
      </c>
      <c r="O44" s="60" t="s">
        <v>81</v>
      </c>
      <c r="P44" s="277"/>
      <c r="Q44" s="277"/>
      <c r="R44" s="277"/>
      <c r="S44" s="277"/>
      <c r="T44" s="277"/>
    </row>
    <row r="45" spans="1:20" s="24" customFormat="1" ht="18" customHeight="1">
      <c r="A45" s="44" t="s">
        <v>264</v>
      </c>
      <c r="B45" s="47">
        <v>0</v>
      </c>
      <c r="C45" s="47">
        <v>0</v>
      </c>
      <c r="D45" s="47">
        <v>0</v>
      </c>
      <c r="E45" s="47">
        <v>0</v>
      </c>
      <c r="F45" s="55">
        <v>0</v>
      </c>
      <c r="G45" s="47">
        <v>0</v>
      </c>
      <c r="H45" s="47">
        <v>0</v>
      </c>
      <c r="I45" s="47">
        <v>0</v>
      </c>
      <c r="J45" s="323">
        <v>0</v>
      </c>
      <c r="K45" s="323">
        <v>0</v>
      </c>
      <c r="L45" s="323">
        <v>7.2312000000000003</v>
      </c>
      <c r="M45" s="323">
        <v>7.2312000000000003</v>
      </c>
      <c r="N45" s="323">
        <v>7.2312000000000003</v>
      </c>
      <c r="O45" s="60" t="s">
        <v>269</v>
      </c>
      <c r="P45" s="277"/>
      <c r="Q45" s="277"/>
      <c r="R45" s="277"/>
      <c r="S45" s="277"/>
      <c r="T45" s="277"/>
    </row>
    <row r="46" spans="1:20" s="24" customFormat="1" ht="0.75" customHeight="1">
      <c r="A46" s="44"/>
      <c r="B46" s="47"/>
      <c r="C46" s="47"/>
      <c r="D46" s="47"/>
      <c r="E46" s="47"/>
      <c r="F46" s="55"/>
      <c r="G46" s="47"/>
      <c r="H46" s="47"/>
      <c r="I46" s="47"/>
      <c r="J46" s="323"/>
      <c r="K46" s="323"/>
      <c r="L46" s="323"/>
      <c r="M46" s="323"/>
      <c r="N46" s="323"/>
      <c r="O46" s="60"/>
      <c r="P46" s="277"/>
      <c r="Q46" s="277"/>
      <c r="R46" s="277"/>
      <c r="S46" s="277"/>
      <c r="T46" s="277"/>
    </row>
    <row r="47" spans="1:20" s="24" customFormat="1" ht="18" customHeight="1">
      <c r="A47" s="49" t="s">
        <v>83</v>
      </c>
      <c r="B47" s="61">
        <f t="shared" ref="B47:M47" si="6">SUM(B48:B49)</f>
        <v>1517.2</v>
      </c>
      <c r="C47" s="61">
        <f t="shared" si="6"/>
        <v>995.66539599999999</v>
      </c>
      <c r="D47" s="61">
        <f t="shared" si="6"/>
        <v>1218.15239903</v>
      </c>
      <c r="E47" s="61">
        <f>SUM(E48:E49)</f>
        <v>1258.555134</v>
      </c>
      <c r="F47" s="62">
        <f t="shared" si="6"/>
        <v>1131.3926084999998</v>
      </c>
      <c r="G47" s="62">
        <f t="shared" si="6"/>
        <v>1209.1183469999999</v>
      </c>
      <c r="H47" s="62">
        <f>SUM(H48:H49)</f>
        <v>1641.4926660000001</v>
      </c>
      <c r="I47" s="62">
        <f t="shared" si="6"/>
        <v>1336.944409</v>
      </c>
      <c r="J47" s="62">
        <f>SUM(J48:J49)</f>
        <v>1494.81354106</v>
      </c>
      <c r="K47" s="62">
        <f>SUM(K48:K49)</f>
        <v>1789.0649281695237</v>
      </c>
      <c r="L47" s="62">
        <f t="shared" si="6"/>
        <v>2065.8514858945996</v>
      </c>
      <c r="M47" s="62">
        <f t="shared" si="6"/>
        <v>2135.3490694681645</v>
      </c>
      <c r="N47" s="62">
        <f t="shared" ref="N47" si="7">SUM(N48:N49)</f>
        <v>2043.02827818281</v>
      </c>
      <c r="O47" s="46" t="s">
        <v>84</v>
      </c>
      <c r="P47" s="277"/>
      <c r="Q47" s="277"/>
      <c r="R47" s="277"/>
      <c r="S47" s="277"/>
      <c r="T47" s="277"/>
    </row>
    <row r="48" spans="1:20" s="24" customFormat="1" ht="18" customHeight="1">
      <c r="A48" s="49" t="s">
        <v>85</v>
      </c>
      <c r="B48" s="63">
        <v>1403.2</v>
      </c>
      <c r="C48" s="63">
        <v>898.39401799999996</v>
      </c>
      <c r="D48" s="63">
        <v>1106.32749016</v>
      </c>
      <c r="E48" s="63">
        <v>1152.1696119999999</v>
      </c>
      <c r="F48" s="55">
        <v>1031.2231979999999</v>
      </c>
      <c r="G48" s="55">
        <v>1106.3326259999999</v>
      </c>
      <c r="H48" s="55">
        <v>1534.5484730000001</v>
      </c>
      <c r="I48" s="55">
        <v>1247.016365</v>
      </c>
      <c r="J48" s="55">
        <v>1357.4135410599999</v>
      </c>
      <c r="K48" s="55">
        <v>1629.3649281695236</v>
      </c>
      <c r="L48" s="55">
        <v>1905.1470809971329</v>
      </c>
      <c r="M48" s="55">
        <v>1954.2691556050959</v>
      </c>
      <c r="N48" s="55">
        <v>1852.4243573372821</v>
      </c>
      <c r="O48" s="64" t="s">
        <v>86</v>
      </c>
      <c r="P48" s="277"/>
      <c r="Q48" s="277"/>
      <c r="R48" s="277"/>
      <c r="S48" s="277"/>
      <c r="T48" s="277"/>
    </row>
    <row r="49" spans="1:20" s="24" customFormat="1" ht="18" customHeight="1">
      <c r="A49" s="49" t="s">
        <v>87</v>
      </c>
      <c r="B49" s="63">
        <v>114</v>
      </c>
      <c r="C49" s="63">
        <v>97.271377999999999</v>
      </c>
      <c r="D49" s="63">
        <v>111.82490887</v>
      </c>
      <c r="E49" s="63">
        <v>106.38552200000001</v>
      </c>
      <c r="F49" s="55">
        <v>100.1694105</v>
      </c>
      <c r="G49" s="55">
        <v>102.785721</v>
      </c>
      <c r="H49" s="55">
        <v>106.944193</v>
      </c>
      <c r="I49" s="55">
        <v>89.928044</v>
      </c>
      <c r="J49" s="55">
        <v>137.4</v>
      </c>
      <c r="K49" s="55">
        <v>159.69999999999999</v>
      </c>
      <c r="L49" s="55">
        <v>160.7044048974667</v>
      </c>
      <c r="M49" s="55">
        <v>181.07991386306887</v>
      </c>
      <c r="N49" s="55">
        <v>190.6039208455278</v>
      </c>
      <c r="O49" s="64" t="s">
        <v>88</v>
      </c>
      <c r="P49" s="277"/>
      <c r="Q49" s="277"/>
      <c r="R49" s="277"/>
      <c r="S49" s="277"/>
      <c r="T49" s="277"/>
    </row>
    <row r="50" spans="1:20" s="24" customFormat="1" ht="18" customHeight="1">
      <c r="A50" s="49" t="s">
        <v>89</v>
      </c>
      <c r="B50" s="63">
        <v>998.55999999999926</v>
      </c>
      <c r="C50" s="63">
        <v>895.01125499999932</v>
      </c>
      <c r="D50" s="63">
        <v>1113.5066890700002</v>
      </c>
      <c r="E50" s="63">
        <v>1512.4366380000008</v>
      </c>
      <c r="F50" s="55">
        <v>1078.6121423</v>
      </c>
      <c r="G50" s="55">
        <v>957.14032719999977</v>
      </c>
      <c r="H50" s="55">
        <v>1613.5568949999999</v>
      </c>
      <c r="I50" s="55">
        <v>2452.7101360000015</v>
      </c>
      <c r="J50" s="324">
        <v>2039.8901911099961</v>
      </c>
      <c r="K50" s="324">
        <v>2134.533573185161</v>
      </c>
      <c r="L50" s="324">
        <v>2142.6015346489039</v>
      </c>
      <c r="M50" s="324">
        <v>2196.4094874926441</v>
      </c>
      <c r="N50" s="324">
        <v>2321.0665242351106</v>
      </c>
      <c r="O50" s="64" t="s">
        <v>90</v>
      </c>
      <c r="P50" s="277"/>
      <c r="Q50" s="277"/>
      <c r="R50" s="277"/>
      <c r="S50" s="277"/>
      <c r="T50" s="277"/>
    </row>
    <row r="51" spans="1:20" s="24" customFormat="1" ht="18" customHeight="1">
      <c r="A51" s="40" t="s">
        <v>10</v>
      </c>
      <c r="B51" s="65">
        <v>42.3</v>
      </c>
      <c r="C51" s="65">
        <v>13.887772999999999</v>
      </c>
      <c r="D51" s="65">
        <v>49.354096069998995</v>
      </c>
      <c r="E51" s="65">
        <v>534.46453699999995</v>
      </c>
      <c r="F51" s="65">
        <v>48.072814719999997</v>
      </c>
      <c r="G51" s="65">
        <v>268.11802599999999</v>
      </c>
      <c r="H51" s="65">
        <v>124.11061599999999</v>
      </c>
      <c r="I51" s="65">
        <v>120.282314</v>
      </c>
      <c r="J51" s="65">
        <v>869.36103832000015</v>
      </c>
      <c r="K51" s="65">
        <v>547.49713685023244</v>
      </c>
      <c r="L51" s="65">
        <v>41.304731472772893</v>
      </c>
      <c r="M51" s="65">
        <v>38.145340975133898</v>
      </c>
      <c r="N51" s="65">
        <v>31.697728870867536</v>
      </c>
      <c r="O51" s="64" t="s">
        <v>91</v>
      </c>
      <c r="P51" s="277"/>
      <c r="Q51" s="277"/>
      <c r="R51" s="277"/>
      <c r="S51" s="277"/>
      <c r="T51" s="277"/>
    </row>
    <row r="52" spans="1:20" s="24" customFormat="1" ht="18" customHeight="1">
      <c r="A52" s="66" t="s">
        <v>92</v>
      </c>
      <c r="B52" s="67">
        <v>517</v>
      </c>
      <c r="C52" s="67">
        <v>421.515827</v>
      </c>
      <c r="D52" s="67">
        <v>154.54323556</v>
      </c>
      <c r="E52" s="67">
        <v>732.43525699999998</v>
      </c>
      <c r="F52" s="67">
        <v>366.669873</v>
      </c>
      <c r="G52" s="67">
        <v>117.65522752999999</v>
      </c>
      <c r="H52" s="67">
        <v>165.27382499999999</v>
      </c>
      <c r="I52" s="67">
        <v>636.94119636999983</v>
      </c>
      <c r="J52" s="67">
        <v>253.12576791999993</v>
      </c>
      <c r="K52" s="67">
        <v>718.20350228266</v>
      </c>
      <c r="L52" s="67">
        <v>733.69851700000004</v>
      </c>
      <c r="M52" s="67">
        <v>886.35666600000002</v>
      </c>
      <c r="N52" s="67">
        <v>674.28529300000002</v>
      </c>
      <c r="O52" s="68" t="s">
        <v>93</v>
      </c>
      <c r="P52" s="277"/>
      <c r="Q52" s="277"/>
      <c r="R52" s="277"/>
      <c r="S52" s="277"/>
      <c r="T52" s="277"/>
    </row>
    <row r="53" spans="1:20" s="24" customFormat="1" ht="13.5">
      <c r="A53" s="25" t="s">
        <v>251</v>
      </c>
      <c r="B53" s="69"/>
      <c r="C53" s="69"/>
      <c r="D53" s="69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1" t="s">
        <v>94</v>
      </c>
      <c r="P53" s="277"/>
      <c r="Q53" s="277"/>
      <c r="R53" s="277"/>
      <c r="S53" s="277"/>
      <c r="T53" s="277"/>
    </row>
    <row r="54" spans="1:20" s="24" customFormat="1" ht="13.5">
      <c r="A54" s="25" t="s">
        <v>265</v>
      </c>
      <c r="B54" s="69"/>
      <c r="C54" s="69"/>
      <c r="D54" s="69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279" t="s">
        <v>270</v>
      </c>
      <c r="P54" s="277"/>
      <c r="Q54" s="277"/>
      <c r="R54" s="277"/>
      <c r="S54" s="277"/>
      <c r="T54" s="277"/>
    </row>
    <row r="55" spans="1:20" s="24" customFormat="1" ht="13.5">
      <c r="A55" s="25" t="s">
        <v>95</v>
      </c>
      <c r="B55" s="69"/>
      <c r="C55" s="69"/>
      <c r="D55" s="69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1" t="s">
        <v>96</v>
      </c>
      <c r="P55" s="277"/>
      <c r="Q55" s="277"/>
      <c r="R55" s="277"/>
      <c r="S55" s="277"/>
      <c r="T55" s="277"/>
    </row>
    <row r="56" spans="1:20" s="24" customFormat="1" ht="13.5">
      <c r="A56" s="25" t="s">
        <v>266</v>
      </c>
      <c r="B56" s="69"/>
      <c r="C56" s="69"/>
      <c r="D56" s="69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1" t="s">
        <v>147</v>
      </c>
      <c r="P56" s="277"/>
      <c r="Q56" s="277"/>
      <c r="R56" s="277"/>
      <c r="S56" s="277"/>
      <c r="T56" s="277"/>
    </row>
    <row r="57" spans="1:20" s="24" customFormat="1" ht="15">
      <c r="A57" s="34" t="s">
        <v>271</v>
      </c>
      <c r="B57" s="69"/>
      <c r="C57" s="69"/>
      <c r="D57" s="69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35" t="s">
        <v>272</v>
      </c>
      <c r="P57" s="277"/>
      <c r="Q57" s="277"/>
      <c r="R57" s="277"/>
      <c r="S57" s="277"/>
      <c r="T57" s="277"/>
    </row>
    <row r="58" spans="1:20" ht="13.5">
      <c r="A58" s="25" t="s">
        <v>97</v>
      </c>
      <c r="O58" s="71" t="s">
        <v>98</v>
      </c>
    </row>
    <row r="59" spans="1:20" s="24" customFormat="1" ht="17.25">
      <c r="A59" s="74"/>
      <c r="O59" s="72"/>
      <c r="P59" s="277"/>
      <c r="Q59" s="277"/>
      <c r="R59" s="277"/>
      <c r="S59" s="277"/>
      <c r="T59" s="277"/>
    </row>
    <row r="60" spans="1:20" s="24" customFormat="1" ht="15" customHeight="1">
      <c r="A60" s="74"/>
      <c r="P60" s="277"/>
      <c r="Q60" s="277"/>
      <c r="R60" s="277"/>
      <c r="S60" s="277"/>
      <c r="T60" s="277"/>
    </row>
    <row r="61" spans="1:20" ht="15" customHeight="1">
      <c r="A61" s="74"/>
    </row>
    <row r="63" spans="1:20" s="23" customFormat="1" ht="12"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P63" s="275"/>
      <c r="Q63" s="275"/>
      <c r="R63" s="275"/>
      <c r="S63" s="275"/>
      <c r="T63" s="275"/>
    </row>
    <row r="68" spans="1:1">
      <c r="A68" s="73"/>
    </row>
  </sheetData>
  <mergeCells count="4">
    <mergeCell ref="A1:O1"/>
    <mergeCell ref="A2:O2"/>
    <mergeCell ref="A3:O3"/>
    <mergeCell ref="A4:O4"/>
  </mergeCells>
  <pageMargins left="0.17" right="0.16" top="0.41" bottom="0.36" header="0.3" footer="0.3"/>
  <pageSetup paperSize="9" scale="7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8"/>
  <sheetViews>
    <sheetView zoomScale="130" zoomScaleNormal="130" workbookViewId="0">
      <selection activeCell="L27" sqref="L27"/>
    </sheetView>
  </sheetViews>
  <sheetFormatPr defaultColWidth="8.85546875" defaultRowHeight="12.75"/>
  <cols>
    <col min="1" max="1" width="32.7109375" style="19" customWidth="1"/>
    <col min="2" max="7" width="8.85546875" style="28" hidden="1" customWidth="1"/>
    <col min="8" max="8" width="8.85546875" style="28"/>
    <col min="9" max="15" width="10.7109375" style="28" customWidth="1"/>
    <col min="16" max="17" width="12.7109375" style="28" customWidth="1"/>
    <col min="18" max="19" width="10.7109375" style="118" customWidth="1"/>
    <col min="20" max="20" width="39" style="19" customWidth="1"/>
    <col min="21" max="16384" width="8.85546875" style="19"/>
  </cols>
  <sheetData>
    <row r="1" spans="1:21" ht="19.5">
      <c r="A1" s="285" t="s">
        <v>255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</row>
    <row r="2" spans="1:21" ht="15.75">
      <c r="A2" s="289" t="s">
        <v>256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</row>
    <row r="3" spans="1:21" ht="14.25">
      <c r="A3" s="290" t="s">
        <v>99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84"/>
    </row>
    <row r="4" spans="1:21" s="20" customFormat="1">
      <c r="A4" s="291" t="s">
        <v>153</v>
      </c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</row>
    <row r="5" spans="1:21" s="88" customFormat="1" ht="26.45" customHeight="1">
      <c r="A5" s="292" t="s">
        <v>1</v>
      </c>
      <c r="B5" s="85"/>
      <c r="C5" s="86"/>
      <c r="D5" s="86"/>
      <c r="E5" s="86"/>
      <c r="F5" s="86"/>
      <c r="G5" s="87"/>
      <c r="H5" s="216"/>
      <c r="I5" s="217"/>
      <c r="J5" s="206"/>
      <c r="K5" s="206"/>
      <c r="L5" s="295" t="s">
        <v>6</v>
      </c>
      <c r="M5" s="295"/>
      <c r="N5" s="295"/>
      <c r="O5" s="296"/>
      <c r="P5" s="297" t="s">
        <v>242</v>
      </c>
      <c r="Q5" s="298"/>
      <c r="R5" s="299" t="s">
        <v>103</v>
      </c>
      <c r="S5" s="300"/>
    </row>
    <row r="6" spans="1:21" s="38" customFormat="1" ht="15">
      <c r="A6" s="293"/>
      <c r="C6" s="89"/>
      <c r="D6" s="89"/>
      <c r="E6" s="89"/>
      <c r="F6" s="89"/>
      <c r="G6" s="90"/>
      <c r="H6" s="90" t="s">
        <v>4</v>
      </c>
      <c r="I6" s="91" t="s">
        <v>4</v>
      </c>
      <c r="J6" s="16" t="s">
        <v>4</v>
      </c>
      <c r="K6" s="203" t="s">
        <v>4</v>
      </c>
      <c r="L6" s="203" t="s">
        <v>263</v>
      </c>
      <c r="M6" s="203" t="s">
        <v>244</v>
      </c>
      <c r="N6" s="203" t="s">
        <v>244</v>
      </c>
      <c r="O6" s="209" t="s">
        <v>244</v>
      </c>
      <c r="P6" s="228" t="s">
        <v>4</v>
      </c>
      <c r="Q6" s="229" t="s">
        <v>4</v>
      </c>
      <c r="R6" s="301" t="s">
        <v>104</v>
      </c>
      <c r="S6" s="302"/>
      <c r="T6" s="190" t="s">
        <v>3</v>
      </c>
    </row>
    <row r="7" spans="1:21" s="23" customFormat="1">
      <c r="A7" s="294"/>
      <c r="B7" s="14">
        <v>2007</v>
      </c>
      <c r="C7" s="14">
        <v>2008</v>
      </c>
      <c r="D7" s="14">
        <v>2009</v>
      </c>
      <c r="E7" s="14">
        <v>2010</v>
      </c>
      <c r="F7" s="14">
        <v>2011</v>
      </c>
      <c r="G7" s="14">
        <v>2012</v>
      </c>
      <c r="H7" s="14">
        <v>2013</v>
      </c>
      <c r="I7" s="14">
        <v>2014</v>
      </c>
      <c r="J7" s="17">
        <v>2015</v>
      </c>
      <c r="K7" s="204">
        <v>2016</v>
      </c>
      <c r="L7" s="204">
        <v>2017</v>
      </c>
      <c r="M7" s="204">
        <v>2018</v>
      </c>
      <c r="N7" s="204">
        <v>2019</v>
      </c>
      <c r="O7" s="210">
        <v>2020</v>
      </c>
      <c r="P7" s="14">
        <v>2016</v>
      </c>
      <c r="Q7" s="218">
        <v>2017</v>
      </c>
      <c r="R7" s="92" t="s">
        <v>241</v>
      </c>
      <c r="S7" s="223" t="s">
        <v>252</v>
      </c>
      <c r="T7" s="93"/>
    </row>
    <row r="8" spans="1:21" s="23" customFormat="1" ht="15">
      <c r="A8" s="21" t="s">
        <v>105</v>
      </c>
      <c r="B8" s="94">
        <f t="shared" ref="B8:J8" si="0">SUM(B9,B31)</f>
        <v>8200.9</v>
      </c>
      <c r="C8" s="95">
        <f t="shared" si="0"/>
        <v>10175.996671999999</v>
      </c>
      <c r="D8" s="95">
        <f t="shared" si="0"/>
        <v>10953.434156000003</v>
      </c>
      <c r="E8" s="95">
        <f t="shared" si="0"/>
        <v>10815.062102899999</v>
      </c>
      <c r="F8" s="96">
        <f t="shared" si="0"/>
        <v>12264.741933000001</v>
      </c>
      <c r="G8" s="96">
        <f t="shared" si="0"/>
        <v>13110.002924999997</v>
      </c>
      <c r="H8" s="96">
        <f t="shared" si="0"/>
        <v>13530.77100239</v>
      </c>
      <c r="I8" s="96">
        <f t="shared" si="0"/>
        <v>16417.281596000001</v>
      </c>
      <c r="J8" s="96">
        <f t="shared" si="0"/>
        <v>21336.878536910001</v>
      </c>
      <c r="K8" s="211"/>
      <c r="L8" s="211"/>
      <c r="M8" s="211"/>
      <c r="N8" s="211"/>
      <c r="O8" s="212"/>
      <c r="P8" s="175"/>
      <c r="Q8" s="219"/>
      <c r="R8" s="97">
        <f t="shared" ref="R8:S31" si="1">+((K8/J8)-1)*100</f>
        <v>-100</v>
      </c>
      <c r="S8" s="224" t="e">
        <f t="shared" si="1"/>
        <v>#DIV/0!</v>
      </c>
      <c r="T8" s="78" t="s">
        <v>106</v>
      </c>
    </row>
    <row r="9" spans="1:21" s="23" customFormat="1" ht="15">
      <c r="A9" s="21" t="s">
        <v>11</v>
      </c>
      <c r="B9" s="98">
        <f t="shared" ref="B9:J9" si="2">SUM(B10,B17,B23,B30)</f>
        <v>8325.4</v>
      </c>
      <c r="C9" s="98">
        <f t="shared" si="2"/>
        <v>10342.396671999999</v>
      </c>
      <c r="D9" s="98">
        <f t="shared" si="2"/>
        <v>11104.270489000002</v>
      </c>
      <c r="E9" s="98">
        <f t="shared" si="2"/>
        <v>10996.362102899999</v>
      </c>
      <c r="F9" s="10">
        <f t="shared" si="2"/>
        <v>12663.741933000001</v>
      </c>
      <c r="G9" s="10">
        <f t="shared" si="2"/>
        <v>13200.234560999997</v>
      </c>
      <c r="H9" s="10">
        <f t="shared" si="2"/>
        <v>13666.256009389999</v>
      </c>
      <c r="I9" s="10">
        <f t="shared" si="2"/>
        <v>16539.443646</v>
      </c>
      <c r="J9" s="10">
        <f t="shared" si="2"/>
        <v>21440.89678291</v>
      </c>
      <c r="K9" s="205"/>
      <c r="L9" s="205"/>
      <c r="M9" s="205"/>
      <c r="N9" s="205"/>
      <c r="O9" s="213"/>
      <c r="P9" s="99" t="e">
        <f>+(K9/$K$9)*100</f>
        <v>#DIV/0!</v>
      </c>
      <c r="Q9" s="220" t="e">
        <f>+(L9/$K$9)*100</f>
        <v>#DIV/0!</v>
      </c>
      <c r="R9" s="97">
        <f t="shared" si="1"/>
        <v>-100</v>
      </c>
      <c r="S9" s="224" t="e">
        <f t="shared" si="1"/>
        <v>#DIV/0!</v>
      </c>
      <c r="T9" s="78" t="s">
        <v>12</v>
      </c>
    </row>
    <row r="10" spans="1:21" s="23" customFormat="1" ht="15">
      <c r="A10" s="21" t="s">
        <v>107</v>
      </c>
      <c r="B10" s="98">
        <f>SUM(B11,B12,B15,B16)</f>
        <v>3050.7999999999997</v>
      </c>
      <c r="C10" s="98">
        <f t="shared" ref="C10:L10" si="3">SUM(C11,C12,C15,C16)</f>
        <v>3708.5</v>
      </c>
      <c r="D10" s="98">
        <f t="shared" si="3"/>
        <v>4216.3047380000016</v>
      </c>
      <c r="E10" s="98">
        <f t="shared" si="3"/>
        <v>4614.6055389999992</v>
      </c>
      <c r="F10" s="10">
        <f>SUM(F11,F12,F15,F16)</f>
        <v>5881.7756770000005</v>
      </c>
      <c r="G10" s="10">
        <f t="shared" si="3"/>
        <v>5914.3218849999994</v>
      </c>
      <c r="H10" s="10">
        <f t="shared" si="3"/>
        <v>5246.6271609999994</v>
      </c>
      <c r="I10" s="10">
        <f t="shared" si="3"/>
        <v>6216.7655439999999</v>
      </c>
      <c r="J10" s="10">
        <f t="shared" si="3"/>
        <v>8322.4302864000001</v>
      </c>
      <c r="K10" s="205">
        <f t="shared" ref="K10" si="4">SUM(K11,K12,K15,K16)</f>
        <v>0</v>
      </c>
      <c r="L10" s="205">
        <f t="shared" si="3"/>
        <v>0</v>
      </c>
      <c r="M10" s="205">
        <f t="shared" ref="M10:N10" si="5">SUM(M11,M12,M15,M16)</f>
        <v>0</v>
      </c>
      <c r="N10" s="205">
        <f t="shared" si="5"/>
        <v>0</v>
      </c>
      <c r="O10" s="213">
        <f t="shared" ref="O10" si="6">SUM(O11,O12,O15,O16)</f>
        <v>0</v>
      </c>
      <c r="P10" s="99" t="e">
        <f>+(K10/$K$9)*100</f>
        <v>#DIV/0!</v>
      </c>
      <c r="Q10" s="220" t="e">
        <f>+(L10/$K$9)*100</f>
        <v>#DIV/0!</v>
      </c>
      <c r="R10" s="97">
        <f t="shared" si="1"/>
        <v>-100</v>
      </c>
      <c r="S10" s="224" t="e">
        <f t="shared" si="1"/>
        <v>#DIV/0!</v>
      </c>
      <c r="T10" s="78" t="s">
        <v>108</v>
      </c>
    </row>
    <row r="11" spans="1:21" s="24" customFormat="1" ht="15">
      <c r="A11" s="100" t="s">
        <v>109</v>
      </c>
      <c r="B11" s="101">
        <v>1607.3</v>
      </c>
      <c r="C11" s="101">
        <v>2043.9</v>
      </c>
      <c r="D11" s="101">
        <v>2197.6652670000008</v>
      </c>
      <c r="E11" s="101">
        <v>2684.2828549999995</v>
      </c>
      <c r="F11" s="30">
        <v>3414.360107</v>
      </c>
      <c r="G11" s="30">
        <v>3431.8828060000001</v>
      </c>
      <c r="H11" s="30">
        <v>2539.0598371399997</v>
      </c>
      <c r="I11" s="30">
        <v>3189.9729499999999</v>
      </c>
      <c r="J11" s="30">
        <v>3623.5494148099997</v>
      </c>
      <c r="K11" s="214"/>
      <c r="L11" s="214"/>
      <c r="M11" s="214"/>
      <c r="N11" s="214"/>
      <c r="O11" s="208"/>
      <c r="P11" s="103" t="e">
        <f t="shared" ref="P11:Q33" si="7">+(K11/$K$9)*100</f>
        <v>#DIV/0!</v>
      </c>
      <c r="Q11" s="221" t="e">
        <f t="shared" si="7"/>
        <v>#DIV/0!</v>
      </c>
      <c r="R11" s="104">
        <f t="shared" si="1"/>
        <v>-100</v>
      </c>
      <c r="S11" s="225" t="e">
        <f t="shared" si="1"/>
        <v>#DIV/0!</v>
      </c>
      <c r="T11" s="36" t="s">
        <v>110</v>
      </c>
    </row>
    <row r="12" spans="1:21" s="24" customFormat="1" ht="15">
      <c r="A12" s="100" t="s">
        <v>111</v>
      </c>
      <c r="B12" s="101">
        <v>475.70000000000005</v>
      </c>
      <c r="C12" s="101">
        <v>586.4</v>
      </c>
      <c r="D12" s="101">
        <v>752.52470600000004</v>
      </c>
      <c r="E12" s="101">
        <v>669.42846799999995</v>
      </c>
      <c r="F12" s="10">
        <f>SUM(F13:F14)</f>
        <v>910.58722000000012</v>
      </c>
      <c r="G12" s="10">
        <f t="shared" ref="G12:L12" si="8">SUM(G13:G14)</f>
        <v>812.66227900000001</v>
      </c>
      <c r="H12" s="10">
        <f t="shared" si="8"/>
        <v>796.60127067999997</v>
      </c>
      <c r="I12" s="10">
        <f>SUM(I13:I14)</f>
        <v>923.31431999999995</v>
      </c>
      <c r="J12" s="10">
        <f t="shared" si="8"/>
        <v>1195.3441013700001</v>
      </c>
      <c r="K12" s="205">
        <f t="shared" si="8"/>
        <v>0</v>
      </c>
      <c r="L12" s="205">
        <f t="shared" si="8"/>
        <v>0</v>
      </c>
      <c r="M12" s="205">
        <f t="shared" ref="M12:N12" si="9">SUM(M13:M14)</f>
        <v>0</v>
      </c>
      <c r="N12" s="205">
        <f t="shared" si="9"/>
        <v>0</v>
      </c>
      <c r="O12" s="213"/>
      <c r="P12" s="103" t="e">
        <f t="shared" si="7"/>
        <v>#DIV/0!</v>
      </c>
      <c r="Q12" s="221" t="e">
        <f t="shared" si="7"/>
        <v>#DIV/0!</v>
      </c>
      <c r="R12" s="97">
        <f t="shared" si="1"/>
        <v>-100</v>
      </c>
      <c r="S12" s="224" t="e">
        <f t="shared" si="1"/>
        <v>#DIV/0!</v>
      </c>
      <c r="T12" s="36" t="s">
        <v>112</v>
      </c>
    </row>
    <row r="13" spans="1:21" s="24" customFormat="1" ht="15">
      <c r="A13" s="100" t="s">
        <v>113</v>
      </c>
      <c r="B13" s="101">
        <v>0</v>
      </c>
      <c r="C13" s="101">
        <v>0</v>
      </c>
      <c r="D13" s="101">
        <v>0</v>
      </c>
      <c r="E13" s="101">
        <v>0</v>
      </c>
      <c r="F13" s="30">
        <v>777.54432100000008</v>
      </c>
      <c r="G13" s="30">
        <v>800.809574</v>
      </c>
      <c r="H13" s="30">
        <v>787.97938867999994</v>
      </c>
      <c r="I13" s="30">
        <v>913.25778199999991</v>
      </c>
      <c r="J13" s="30">
        <v>1178.86784837</v>
      </c>
      <c r="K13" s="214"/>
      <c r="L13" s="214"/>
      <c r="M13" s="214"/>
      <c r="N13" s="214"/>
      <c r="O13" s="208"/>
      <c r="P13" s="103" t="e">
        <f t="shared" si="7"/>
        <v>#DIV/0!</v>
      </c>
      <c r="Q13" s="221" t="e">
        <f t="shared" si="7"/>
        <v>#DIV/0!</v>
      </c>
      <c r="R13" s="104">
        <f t="shared" si="1"/>
        <v>-100</v>
      </c>
      <c r="S13" s="225" t="e">
        <f t="shared" si="1"/>
        <v>#DIV/0!</v>
      </c>
      <c r="T13" s="105" t="s">
        <v>151</v>
      </c>
    </row>
    <row r="14" spans="1:21" s="24" customFormat="1" ht="15">
      <c r="A14" s="100" t="s">
        <v>114</v>
      </c>
      <c r="B14" s="101">
        <v>0</v>
      </c>
      <c r="C14" s="101">
        <v>0</v>
      </c>
      <c r="D14" s="101">
        <v>0</v>
      </c>
      <c r="E14" s="101">
        <v>0</v>
      </c>
      <c r="F14" s="30">
        <v>133.04289900000001</v>
      </c>
      <c r="G14" s="30">
        <v>11.852705</v>
      </c>
      <c r="H14" s="30">
        <v>8.6218819999999994</v>
      </c>
      <c r="I14" s="30">
        <v>10.056538</v>
      </c>
      <c r="J14" s="30">
        <v>16.476253</v>
      </c>
      <c r="K14" s="214"/>
      <c r="L14" s="214"/>
      <c r="M14" s="214"/>
      <c r="N14" s="214"/>
      <c r="O14" s="208"/>
      <c r="P14" s="103" t="e">
        <f t="shared" si="7"/>
        <v>#DIV/0!</v>
      </c>
      <c r="Q14" s="221" t="e">
        <f t="shared" si="7"/>
        <v>#DIV/0!</v>
      </c>
      <c r="R14" s="104">
        <f t="shared" si="1"/>
        <v>-100</v>
      </c>
      <c r="S14" s="225" t="e">
        <f t="shared" si="1"/>
        <v>#DIV/0!</v>
      </c>
      <c r="T14" s="105" t="s">
        <v>152</v>
      </c>
    </row>
    <row r="15" spans="1:21" s="24" customFormat="1" ht="15">
      <c r="A15" s="100" t="s">
        <v>115</v>
      </c>
      <c r="B15" s="101">
        <v>825.69999999999993</v>
      </c>
      <c r="C15" s="106">
        <v>982.5</v>
      </c>
      <c r="D15" s="101">
        <v>1170.997198</v>
      </c>
      <c r="E15" s="101">
        <v>1192.3427610000001</v>
      </c>
      <c r="F15" s="30">
        <v>1364.5149330000002</v>
      </c>
      <c r="G15" s="30">
        <v>1525.6040499999999</v>
      </c>
      <c r="H15" s="30">
        <v>1725.97350061</v>
      </c>
      <c r="I15" s="30">
        <v>1982.1994500000001</v>
      </c>
      <c r="J15" s="30">
        <v>2681.8339682300002</v>
      </c>
      <c r="K15" s="214"/>
      <c r="L15" s="214"/>
      <c r="M15" s="214"/>
      <c r="N15" s="214"/>
      <c r="O15" s="208"/>
      <c r="P15" s="103" t="e">
        <f t="shared" si="7"/>
        <v>#DIV/0!</v>
      </c>
      <c r="Q15" s="221" t="e">
        <f t="shared" si="7"/>
        <v>#DIV/0!</v>
      </c>
      <c r="R15" s="104">
        <f t="shared" si="1"/>
        <v>-100</v>
      </c>
      <c r="S15" s="225" t="e">
        <f t="shared" si="1"/>
        <v>#DIV/0!</v>
      </c>
      <c r="T15" s="36" t="s">
        <v>116</v>
      </c>
    </row>
    <row r="16" spans="1:21" s="24" customFormat="1" ht="15">
      <c r="A16" s="100" t="s">
        <v>117</v>
      </c>
      <c r="B16" s="101">
        <v>142.1</v>
      </c>
      <c r="C16" s="101">
        <v>95.7</v>
      </c>
      <c r="D16" s="101">
        <v>95.117567000000008</v>
      </c>
      <c r="E16" s="101">
        <v>68.551455000000004</v>
      </c>
      <c r="F16" s="30">
        <v>192.31341699999999</v>
      </c>
      <c r="G16" s="30">
        <v>144.17275000000001</v>
      </c>
      <c r="H16" s="30">
        <v>184.99255256999999</v>
      </c>
      <c r="I16" s="30">
        <v>121.27882399999999</v>
      </c>
      <c r="J16" s="30">
        <v>821.70280199000001</v>
      </c>
      <c r="K16" s="214"/>
      <c r="L16" s="214"/>
      <c r="M16" s="214"/>
      <c r="N16" s="214"/>
      <c r="O16" s="208"/>
      <c r="P16" s="103" t="e">
        <f t="shared" si="7"/>
        <v>#DIV/0!</v>
      </c>
      <c r="Q16" s="221" t="e">
        <f t="shared" si="7"/>
        <v>#DIV/0!</v>
      </c>
      <c r="R16" s="104">
        <f t="shared" si="1"/>
        <v>-100</v>
      </c>
      <c r="S16" s="225" t="e">
        <f t="shared" si="1"/>
        <v>#DIV/0!</v>
      </c>
      <c r="T16" s="36" t="s">
        <v>118</v>
      </c>
    </row>
    <row r="17" spans="1:20" s="23" customFormat="1" ht="15">
      <c r="A17" s="21" t="s">
        <v>119</v>
      </c>
      <c r="B17" s="98">
        <f>SUM(B18:B21)</f>
        <v>4444.1000000000004</v>
      </c>
      <c r="C17" s="98">
        <f>SUM(C18:C21)</f>
        <v>5122.8</v>
      </c>
      <c r="D17" s="98">
        <f>SUM(D18:D21)</f>
        <v>5432.5708530000002</v>
      </c>
      <c r="E17" s="98">
        <f>SUM(E18:E21)</f>
        <v>5279.2611290000004</v>
      </c>
      <c r="F17" s="10">
        <f>SUM(F18:F22)</f>
        <v>4927.7102970000005</v>
      </c>
      <c r="G17" s="10">
        <f t="shared" ref="G17:L17" si="10">SUM(G18:G22)</f>
        <v>5307.4933679999995</v>
      </c>
      <c r="H17" s="10">
        <f t="shared" si="10"/>
        <v>6639.8532862999991</v>
      </c>
      <c r="I17" s="10">
        <f t="shared" si="10"/>
        <v>8245.5721549999998</v>
      </c>
      <c r="J17" s="10">
        <f t="shared" si="10"/>
        <v>10555.286755449999</v>
      </c>
      <c r="K17" s="205">
        <f t="shared" si="10"/>
        <v>0</v>
      </c>
      <c r="L17" s="205">
        <f t="shared" si="10"/>
        <v>0</v>
      </c>
      <c r="M17" s="205">
        <f t="shared" ref="M17:N17" si="11">SUM(M18:M22)</f>
        <v>0</v>
      </c>
      <c r="N17" s="205">
        <f t="shared" si="11"/>
        <v>0</v>
      </c>
      <c r="O17" s="213">
        <f t="shared" ref="O17" si="12">SUM(O18:O22)</f>
        <v>0</v>
      </c>
      <c r="P17" s="99" t="e">
        <f t="shared" si="7"/>
        <v>#DIV/0!</v>
      </c>
      <c r="Q17" s="220" t="e">
        <f t="shared" si="7"/>
        <v>#DIV/0!</v>
      </c>
      <c r="R17" s="97">
        <f t="shared" si="1"/>
        <v>-100</v>
      </c>
      <c r="S17" s="224" t="e">
        <f t="shared" si="1"/>
        <v>#DIV/0!</v>
      </c>
      <c r="T17" s="78" t="s">
        <v>120</v>
      </c>
    </row>
    <row r="18" spans="1:20" s="24" customFormat="1" ht="15">
      <c r="A18" s="100" t="s">
        <v>121</v>
      </c>
      <c r="B18" s="101">
        <v>1313.8000000000002</v>
      </c>
      <c r="C18" s="101">
        <v>1630.5</v>
      </c>
      <c r="D18" s="101">
        <v>1935.0878400000001</v>
      </c>
      <c r="E18" s="101">
        <v>1643.137213</v>
      </c>
      <c r="F18" s="30">
        <v>1796.661055</v>
      </c>
      <c r="G18" s="30">
        <v>2203.168764</v>
      </c>
      <c r="H18" s="30">
        <v>2002.2797697200001</v>
      </c>
      <c r="I18" s="30">
        <v>2212.015058</v>
      </c>
      <c r="J18" s="30">
        <v>2933.05047655</v>
      </c>
      <c r="K18" s="214"/>
      <c r="L18" s="214"/>
      <c r="M18" s="214"/>
      <c r="N18" s="214"/>
      <c r="O18" s="208"/>
      <c r="P18" s="103" t="e">
        <f t="shared" si="7"/>
        <v>#DIV/0!</v>
      </c>
      <c r="Q18" s="221" t="e">
        <f t="shared" si="7"/>
        <v>#DIV/0!</v>
      </c>
      <c r="R18" s="104">
        <f t="shared" si="1"/>
        <v>-100</v>
      </c>
      <c r="S18" s="225" t="e">
        <f t="shared" si="1"/>
        <v>#DIV/0!</v>
      </c>
      <c r="T18" s="36" t="s">
        <v>122</v>
      </c>
    </row>
    <row r="19" spans="1:20" s="24" customFormat="1" ht="15">
      <c r="A19" s="100" t="s">
        <v>123</v>
      </c>
      <c r="B19" s="101">
        <v>782.19999999999993</v>
      </c>
      <c r="C19" s="101">
        <v>1326.4</v>
      </c>
      <c r="D19" s="101">
        <v>1396.1558639999998</v>
      </c>
      <c r="E19" s="101">
        <v>990.87232799999992</v>
      </c>
      <c r="F19" s="30">
        <v>368.31382600000001</v>
      </c>
      <c r="G19" s="30">
        <v>296.66393599999998</v>
      </c>
      <c r="H19" s="30">
        <v>1391.70545487</v>
      </c>
      <c r="I19" s="30">
        <v>1866.0390179999999</v>
      </c>
      <c r="J19" s="30">
        <v>2525.9593407700004</v>
      </c>
      <c r="K19" s="214"/>
      <c r="L19" s="214"/>
      <c r="M19" s="214"/>
      <c r="N19" s="214"/>
      <c r="O19" s="208"/>
      <c r="P19" s="103" t="e">
        <f t="shared" si="7"/>
        <v>#DIV/0!</v>
      </c>
      <c r="Q19" s="221" t="e">
        <f t="shared" si="7"/>
        <v>#DIV/0!</v>
      </c>
      <c r="R19" s="104">
        <f t="shared" si="1"/>
        <v>-100</v>
      </c>
      <c r="S19" s="225" t="e">
        <f t="shared" si="1"/>
        <v>#DIV/0!</v>
      </c>
      <c r="T19" s="36" t="s">
        <v>124</v>
      </c>
    </row>
    <row r="20" spans="1:20" s="24" customFormat="1" ht="15">
      <c r="A20" s="100" t="s">
        <v>125</v>
      </c>
      <c r="B20" s="101">
        <v>235.5</v>
      </c>
      <c r="C20" s="101">
        <v>640.6</v>
      </c>
      <c r="D20" s="101">
        <v>464.54098499999998</v>
      </c>
      <c r="E20" s="101">
        <v>578.16290700000002</v>
      </c>
      <c r="F20" s="30">
        <v>1135.3461150000001</v>
      </c>
      <c r="G20" s="30">
        <v>1578.1540559999999</v>
      </c>
      <c r="H20" s="30">
        <v>1959.2764668599998</v>
      </c>
      <c r="I20" s="30">
        <v>2925.2288200000003</v>
      </c>
      <c r="J20" s="30">
        <v>3222.1829934400002</v>
      </c>
      <c r="K20" s="214"/>
      <c r="L20" s="214"/>
      <c r="M20" s="214"/>
      <c r="N20" s="214"/>
      <c r="O20" s="208"/>
      <c r="P20" s="103" t="e">
        <f t="shared" si="7"/>
        <v>#DIV/0!</v>
      </c>
      <c r="Q20" s="221" t="e">
        <f t="shared" si="7"/>
        <v>#DIV/0!</v>
      </c>
      <c r="R20" s="104">
        <f t="shared" si="1"/>
        <v>-100</v>
      </c>
      <c r="S20" s="225" t="e">
        <f t="shared" si="1"/>
        <v>#DIV/0!</v>
      </c>
      <c r="T20" s="36" t="s">
        <v>126</v>
      </c>
    </row>
    <row r="21" spans="1:20" s="24" customFormat="1" ht="15">
      <c r="A21" s="100" t="s">
        <v>245</v>
      </c>
      <c r="B21" s="101">
        <v>2112.6</v>
      </c>
      <c r="C21" s="101">
        <v>1525.3000000000002</v>
      </c>
      <c r="D21" s="101">
        <v>1636.7861640000001</v>
      </c>
      <c r="E21" s="101">
        <v>2067.0886810000002</v>
      </c>
      <c r="F21" s="30">
        <v>1627.3893010000002</v>
      </c>
      <c r="G21" s="30">
        <v>1229.5066119999999</v>
      </c>
      <c r="H21" s="30">
        <v>979.91802029999997</v>
      </c>
      <c r="I21" s="30">
        <v>772.59129199999995</v>
      </c>
      <c r="J21" s="30">
        <v>0</v>
      </c>
      <c r="K21" s="214"/>
      <c r="L21" s="214"/>
      <c r="M21" s="214"/>
      <c r="N21" s="214"/>
      <c r="O21" s="208"/>
      <c r="P21" s="103" t="e">
        <f t="shared" si="7"/>
        <v>#DIV/0!</v>
      </c>
      <c r="Q21" s="221" t="e">
        <f t="shared" si="7"/>
        <v>#DIV/0!</v>
      </c>
      <c r="R21" s="102" t="e">
        <f t="shared" ref="R21:S21" si="13">+(M21/$K$9)*100</f>
        <v>#DIV/0!</v>
      </c>
      <c r="S21" s="226" t="e">
        <f t="shared" si="13"/>
        <v>#DIV/0!</v>
      </c>
      <c r="T21" s="36" t="s">
        <v>127</v>
      </c>
    </row>
    <row r="22" spans="1:20" s="24" customFormat="1" ht="17.25">
      <c r="A22" s="100" t="s">
        <v>235</v>
      </c>
      <c r="B22" s="101"/>
      <c r="C22" s="101"/>
      <c r="D22" s="101"/>
      <c r="E22" s="101"/>
      <c r="F22" s="30"/>
      <c r="G22" s="80">
        <v>0</v>
      </c>
      <c r="H22" s="30">
        <v>306.67357454999978</v>
      </c>
      <c r="I22" s="30">
        <v>469.69796699999995</v>
      </c>
      <c r="J22" s="30">
        <v>1874.0939446899999</v>
      </c>
      <c r="K22" s="214"/>
      <c r="L22" s="214"/>
      <c r="M22" s="214"/>
      <c r="N22" s="214"/>
      <c r="O22" s="208"/>
      <c r="P22" s="103" t="e">
        <f t="shared" si="7"/>
        <v>#DIV/0!</v>
      </c>
      <c r="Q22" s="221" t="e">
        <f t="shared" si="7"/>
        <v>#DIV/0!</v>
      </c>
      <c r="R22" s="104">
        <f t="shared" si="1"/>
        <v>-100</v>
      </c>
      <c r="S22" s="225" t="e">
        <f t="shared" si="1"/>
        <v>#DIV/0!</v>
      </c>
      <c r="T22" s="107" t="s">
        <v>240</v>
      </c>
    </row>
    <row r="23" spans="1:20" s="23" customFormat="1" ht="15">
      <c r="A23" s="21" t="s">
        <v>128</v>
      </c>
      <c r="B23" s="98">
        <f t="shared" ref="B23:L23" si="14">SUM(B24:B29)</f>
        <v>596.20000000000005</v>
      </c>
      <c r="C23" s="98">
        <f t="shared" si="14"/>
        <v>1231.0999999999999</v>
      </c>
      <c r="D23" s="98">
        <f t="shared" si="14"/>
        <v>837.51612</v>
      </c>
      <c r="E23" s="98">
        <f t="shared" si="14"/>
        <v>440.44009790000001</v>
      </c>
      <c r="F23" s="10">
        <f t="shared" si="14"/>
        <v>1128.4559589999999</v>
      </c>
      <c r="G23" s="10">
        <f t="shared" si="14"/>
        <v>871.33807899999999</v>
      </c>
      <c r="H23" s="10">
        <f t="shared" si="14"/>
        <v>823.04936508999992</v>
      </c>
      <c r="I23" s="10">
        <f t="shared" si="14"/>
        <v>1098.7585779999999</v>
      </c>
      <c r="J23" s="10">
        <f t="shared" si="14"/>
        <v>1215.5298800600001</v>
      </c>
      <c r="K23" s="205">
        <f t="shared" ref="K23" si="15">SUM(K24:K29)</f>
        <v>0</v>
      </c>
      <c r="L23" s="205">
        <f t="shared" si="14"/>
        <v>0</v>
      </c>
      <c r="M23" s="205">
        <f t="shared" ref="M23:N23" si="16">SUM(M24:M29)</f>
        <v>0</v>
      </c>
      <c r="N23" s="205">
        <f t="shared" si="16"/>
        <v>0</v>
      </c>
      <c r="O23" s="213">
        <f t="shared" ref="O23" si="17">SUM(O24:O29)</f>
        <v>0</v>
      </c>
      <c r="P23" s="99" t="e">
        <f t="shared" si="7"/>
        <v>#DIV/0!</v>
      </c>
      <c r="Q23" s="220" t="e">
        <f t="shared" si="7"/>
        <v>#DIV/0!</v>
      </c>
      <c r="R23" s="97">
        <f t="shared" si="1"/>
        <v>-100</v>
      </c>
      <c r="S23" s="224" t="e">
        <f t="shared" si="1"/>
        <v>#DIV/0!</v>
      </c>
      <c r="T23" s="78" t="s">
        <v>129</v>
      </c>
    </row>
    <row r="24" spans="1:20" s="24" customFormat="1" ht="15">
      <c r="A24" s="100" t="s">
        <v>130</v>
      </c>
      <c r="B24" s="101">
        <v>179.9</v>
      </c>
      <c r="C24" s="101">
        <v>159.79999999999998</v>
      </c>
      <c r="D24" s="101">
        <v>58.986502000000002</v>
      </c>
      <c r="E24" s="101">
        <v>146.70229599999999</v>
      </c>
      <c r="F24" s="30">
        <v>93.345458000000008</v>
      </c>
      <c r="G24" s="30">
        <v>70.257467000000005</v>
      </c>
      <c r="H24" s="30">
        <v>70.500645059999997</v>
      </c>
      <c r="I24" s="30">
        <v>93.968531999999996</v>
      </c>
      <c r="J24" s="30">
        <v>67.21094626</v>
      </c>
      <c r="K24" s="214"/>
      <c r="L24" s="214"/>
      <c r="M24" s="214"/>
      <c r="N24" s="214"/>
      <c r="O24" s="208"/>
      <c r="P24" s="103" t="e">
        <f t="shared" si="7"/>
        <v>#DIV/0!</v>
      </c>
      <c r="Q24" s="221" t="e">
        <f t="shared" si="7"/>
        <v>#DIV/0!</v>
      </c>
      <c r="R24" s="104">
        <f t="shared" si="1"/>
        <v>-100</v>
      </c>
      <c r="S24" s="225" t="e">
        <f t="shared" si="1"/>
        <v>#DIV/0!</v>
      </c>
      <c r="T24" s="36" t="s">
        <v>131</v>
      </c>
    </row>
    <row r="25" spans="1:20" s="24" customFormat="1" ht="15">
      <c r="A25" s="100" t="s">
        <v>132</v>
      </c>
      <c r="B25" s="101">
        <v>172.2</v>
      </c>
      <c r="C25" s="101">
        <v>837.8</v>
      </c>
      <c r="D25" s="101">
        <v>106.089237</v>
      </c>
      <c r="E25" s="101">
        <v>120.04688899999999</v>
      </c>
      <c r="F25" s="30">
        <v>471.08129199999996</v>
      </c>
      <c r="G25" s="30">
        <v>607.73237199999994</v>
      </c>
      <c r="H25" s="30">
        <v>404.45810542000004</v>
      </c>
      <c r="I25" s="30">
        <v>735.60389299999997</v>
      </c>
      <c r="J25" s="30">
        <v>846.79535526999996</v>
      </c>
      <c r="K25" s="214"/>
      <c r="L25" s="214"/>
      <c r="M25" s="214"/>
      <c r="N25" s="214"/>
      <c r="O25" s="208"/>
      <c r="P25" s="103" t="e">
        <f t="shared" si="7"/>
        <v>#DIV/0!</v>
      </c>
      <c r="Q25" s="221" t="e">
        <f t="shared" si="7"/>
        <v>#DIV/0!</v>
      </c>
      <c r="R25" s="104">
        <f t="shared" si="1"/>
        <v>-100</v>
      </c>
      <c r="S25" s="225" t="e">
        <f t="shared" si="1"/>
        <v>#DIV/0!</v>
      </c>
      <c r="T25" s="36" t="s">
        <v>133</v>
      </c>
    </row>
    <row r="26" spans="1:20" s="24" customFormat="1" ht="15">
      <c r="A26" s="100" t="s">
        <v>134</v>
      </c>
      <c r="B26" s="101">
        <v>88.9</v>
      </c>
      <c r="C26" s="101">
        <v>35.700000000000003</v>
      </c>
      <c r="D26" s="101">
        <v>62.029623999999998</v>
      </c>
      <c r="E26" s="101">
        <v>43.271078000000003</v>
      </c>
      <c r="F26" s="30">
        <v>59.675843</v>
      </c>
      <c r="G26" s="30">
        <v>66.77496099999999</v>
      </c>
      <c r="H26" s="30">
        <v>31.982870659999989</v>
      </c>
      <c r="I26" s="30">
        <v>75.050148000000007</v>
      </c>
      <c r="J26" s="30">
        <v>52.374541500000007</v>
      </c>
      <c r="K26" s="214"/>
      <c r="L26" s="214"/>
      <c r="M26" s="214"/>
      <c r="N26" s="214"/>
      <c r="O26" s="208"/>
      <c r="P26" s="103" t="e">
        <f t="shared" si="7"/>
        <v>#DIV/0!</v>
      </c>
      <c r="Q26" s="221" t="e">
        <f t="shared" si="7"/>
        <v>#DIV/0!</v>
      </c>
      <c r="R26" s="104">
        <f t="shared" si="1"/>
        <v>-100</v>
      </c>
      <c r="S26" s="225" t="e">
        <f t="shared" si="1"/>
        <v>#DIV/0!</v>
      </c>
      <c r="T26" s="36" t="s">
        <v>135</v>
      </c>
    </row>
    <row r="27" spans="1:20" s="23" customFormat="1" ht="15">
      <c r="A27" s="100" t="s">
        <v>136</v>
      </c>
      <c r="B27" s="101">
        <v>108.2</v>
      </c>
      <c r="C27" s="101">
        <v>93.3</v>
      </c>
      <c r="D27" s="101">
        <v>78.466514000000004</v>
      </c>
      <c r="E27" s="101">
        <v>46.860301</v>
      </c>
      <c r="F27" s="30">
        <v>33.749803</v>
      </c>
      <c r="G27" s="30">
        <v>52.519985999999996</v>
      </c>
      <c r="H27" s="30">
        <v>33.124519409999998</v>
      </c>
      <c r="I27" s="30">
        <v>49.642775</v>
      </c>
      <c r="J27" s="30">
        <v>103.70914999999999</v>
      </c>
      <c r="K27" s="214"/>
      <c r="L27" s="214"/>
      <c r="M27" s="214"/>
      <c r="N27" s="214"/>
      <c r="O27" s="208"/>
      <c r="P27" s="103" t="e">
        <f t="shared" si="7"/>
        <v>#DIV/0!</v>
      </c>
      <c r="Q27" s="221" t="e">
        <f t="shared" si="7"/>
        <v>#DIV/0!</v>
      </c>
      <c r="R27" s="104">
        <f t="shared" si="1"/>
        <v>-100</v>
      </c>
      <c r="S27" s="225" t="e">
        <f t="shared" si="1"/>
        <v>#DIV/0!</v>
      </c>
      <c r="T27" s="36" t="s">
        <v>137</v>
      </c>
    </row>
    <row r="28" spans="1:20" s="23" customFormat="1" ht="15">
      <c r="A28" s="100" t="s">
        <v>138</v>
      </c>
      <c r="B28" s="101">
        <v>42.8</v>
      </c>
      <c r="C28" s="101">
        <v>92.3</v>
      </c>
      <c r="D28" s="101">
        <v>505.93436100000002</v>
      </c>
      <c r="E28" s="101">
        <v>52.495815900000004</v>
      </c>
      <c r="F28" s="30">
        <v>80.384180000000001</v>
      </c>
      <c r="G28" s="30">
        <v>54.566487000000002</v>
      </c>
      <c r="H28" s="30">
        <v>168.21187463999996</v>
      </c>
      <c r="I28" s="30">
        <v>51.606206</v>
      </c>
      <c r="J28" s="30">
        <v>131.16637020000002</v>
      </c>
      <c r="K28" s="214"/>
      <c r="L28" s="214"/>
      <c r="M28" s="214"/>
      <c r="N28" s="214"/>
      <c r="O28" s="208"/>
      <c r="P28" s="103" t="e">
        <f t="shared" si="7"/>
        <v>#DIV/0!</v>
      </c>
      <c r="Q28" s="221" t="e">
        <f t="shared" si="7"/>
        <v>#DIV/0!</v>
      </c>
      <c r="R28" s="104">
        <f t="shared" si="1"/>
        <v>-100</v>
      </c>
      <c r="S28" s="225" t="e">
        <f t="shared" si="1"/>
        <v>#DIV/0!</v>
      </c>
      <c r="T28" s="36" t="s">
        <v>139</v>
      </c>
    </row>
    <row r="29" spans="1:20" s="24" customFormat="1" ht="15">
      <c r="A29" s="100" t="s">
        <v>140</v>
      </c>
      <c r="B29" s="101">
        <v>4.2</v>
      </c>
      <c r="C29" s="101">
        <v>12.2</v>
      </c>
      <c r="D29" s="101">
        <v>26.009882000000001</v>
      </c>
      <c r="E29" s="101">
        <v>31.063718000000001</v>
      </c>
      <c r="F29" s="30">
        <v>390.21938299999999</v>
      </c>
      <c r="G29" s="30">
        <v>19.486806000000001</v>
      </c>
      <c r="H29" s="30">
        <v>114.7713499</v>
      </c>
      <c r="I29" s="30">
        <v>92.887023999999997</v>
      </c>
      <c r="J29" s="30">
        <v>14.27351683</v>
      </c>
      <c r="K29" s="214"/>
      <c r="L29" s="214"/>
      <c r="M29" s="214"/>
      <c r="N29" s="214"/>
      <c r="O29" s="208"/>
      <c r="P29" s="103" t="e">
        <f t="shared" si="7"/>
        <v>#DIV/0!</v>
      </c>
      <c r="Q29" s="221" t="e">
        <f t="shared" si="7"/>
        <v>#DIV/0!</v>
      </c>
      <c r="R29" s="104">
        <f t="shared" si="1"/>
        <v>-100</v>
      </c>
      <c r="S29" s="225" t="e">
        <f t="shared" si="1"/>
        <v>#DIV/0!</v>
      </c>
      <c r="T29" s="36" t="s">
        <v>141</v>
      </c>
    </row>
    <row r="30" spans="1:20" s="23" customFormat="1" ht="15">
      <c r="A30" s="21" t="s">
        <v>142</v>
      </c>
      <c r="B30" s="98">
        <v>234.3</v>
      </c>
      <c r="C30" s="98">
        <v>279.99667199999999</v>
      </c>
      <c r="D30" s="98">
        <v>617.87877800000001</v>
      </c>
      <c r="E30" s="98">
        <v>662.05533700000001</v>
      </c>
      <c r="F30" s="10">
        <v>725.8</v>
      </c>
      <c r="G30" s="10">
        <v>1107.0812289999999</v>
      </c>
      <c r="H30" s="10">
        <v>956.72619699999996</v>
      </c>
      <c r="I30" s="10">
        <v>978.34736899999996</v>
      </c>
      <c r="J30" s="10">
        <v>1347.6498610000001</v>
      </c>
      <c r="K30" s="205"/>
      <c r="L30" s="205"/>
      <c r="M30" s="205"/>
      <c r="N30" s="205"/>
      <c r="O30" s="213"/>
      <c r="P30" s="99" t="e">
        <f t="shared" si="7"/>
        <v>#DIV/0!</v>
      </c>
      <c r="Q30" s="220" t="e">
        <f t="shared" si="7"/>
        <v>#DIV/0!</v>
      </c>
      <c r="R30" s="97">
        <f t="shared" si="1"/>
        <v>-100</v>
      </c>
      <c r="S30" s="224" t="e">
        <f t="shared" si="1"/>
        <v>#DIV/0!</v>
      </c>
      <c r="T30" s="78" t="s">
        <v>143</v>
      </c>
    </row>
    <row r="31" spans="1:20" s="23" customFormat="1" ht="15">
      <c r="A31" s="21" t="s">
        <v>15</v>
      </c>
      <c r="B31" s="98">
        <v>-124.5</v>
      </c>
      <c r="C31" s="98">
        <v>-166.4</v>
      </c>
      <c r="D31" s="98">
        <v>-150.836333</v>
      </c>
      <c r="E31" s="98">
        <v>-181.3</v>
      </c>
      <c r="F31" s="10">
        <v>-399</v>
      </c>
      <c r="G31" s="10">
        <v>-90.231635999999995</v>
      </c>
      <c r="H31" s="10">
        <v>-135.485007</v>
      </c>
      <c r="I31" s="10">
        <v>-122.16204999999999</v>
      </c>
      <c r="J31" s="10">
        <v>-104.018246</v>
      </c>
      <c r="K31" s="205"/>
      <c r="L31" s="205"/>
      <c r="M31" s="205"/>
      <c r="N31" s="205"/>
      <c r="O31" s="213"/>
      <c r="P31" s="99" t="e">
        <f t="shared" si="7"/>
        <v>#DIV/0!</v>
      </c>
      <c r="Q31" s="220" t="e">
        <f t="shared" si="7"/>
        <v>#DIV/0!</v>
      </c>
      <c r="R31" s="97">
        <f t="shared" si="1"/>
        <v>-100</v>
      </c>
      <c r="S31" s="224" t="e">
        <f t="shared" si="1"/>
        <v>#DIV/0!</v>
      </c>
      <c r="T31" s="78" t="s">
        <v>16</v>
      </c>
    </row>
    <row r="32" spans="1:20" s="24" customFormat="1" ht="15">
      <c r="A32" s="100" t="s">
        <v>100</v>
      </c>
      <c r="B32" s="108"/>
      <c r="C32" s="108"/>
      <c r="D32" s="108"/>
      <c r="E32" s="108"/>
      <c r="F32" s="22"/>
      <c r="G32" s="10"/>
      <c r="H32" s="10"/>
      <c r="I32" s="10"/>
      <c r="J32" s="10"/>
      <c r="K32" s="205"/>
      <c r="L32" s="205"/>
      <c r="M32" s="205"/>
      <c r="N32" s="205"/>
      <c r="O32" s="213"/>
      <c r="P32" s="99"/>
      <c r="Q32" s="220"/>
      <c r="R32" s="104"/>
      <c r="S32" s="225"/>
      <c r="T32" s="36" t="s">
        <v>101</v>
      </c>
    </row>
    <row r="33" spans="1:20" ht="17.25">
      <c r="A33" s="109" t="s">
        <v>144</v>
      </c>
      <c r="B33" s="110">
        <v>1007.8</v>
      </c>
      <c r="C33" s="110">
        <v>390.30930799999999</v>
      </c>
      <c r="D33" s="111">
        <v>584.5</v>
      </c>
      <c r="E33" s="111">
        <v>877.1</v>
      </c>
      <c r="F33" s="112">
        <v>987.6</v>
      </c>
      <c r="G33" s="112">
        <v>1145.8582073000002</v>
      </c>
      <c r="H33" s="112">
        <v>1187.19235</v>
      </c>
      <c r="I33" s="112">
        <v>188.39416600000001</v>
      </c>
      <c r="J33" s="112">
        <v>635.05139099999997</v>
      </c>
      <c r="K33" s="215"/>
      <c r="L33" s="215"/>
      <c r="M33" s="215"/>
      <c r="N33" s="215"/>
      <c r="O33" s="207"/>
      <c r="P33" s="113" t="e">
        <f t="shared" si="7"/>
        <v>#DIV/0!</v>
      </c>
      <c r="Q33" s="222" t="e">
        <f t="shared" si="7"/>
        <v>#DIV/0!</v>
      </c>
      <c r="R33" s="114">
        <f>+((K33/J33)-1)*100</f>
        <v>-100</v>
      </c>
      <c r="S33" s="227" t="e">
        <f>+((L33/K33)-1)*100</f>
        <v>#DIV/0!</v>
      </c>
      <c r="T33" s="115" t="s">
        <v>145</v>
      </c>
    </row>
    <row r="34" spans="1:20" ht="15">
      <c r="A34" s="25" t="s">
        <v>97</v>
      </c>
      <c r="B34" s="116"/>
      <c r="C34" s="116"/>
      <c r="D34" s="116"/>
      <c r="E34" s="116"/>
      <c r="F34" s="116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36" t="s">
        <v>98</v>
      </c>
    </row>
    <row r="35" spans="1:20" s="201" customFormat="1" ht="11.25">
      <c r="A35" s="197" t="s">
        <v>246</v>
      </c>
      <c r="B35" s="198"/>
      <c r="C35" s="198"/>
      <c r="D35" s="198"/>
      <c r="E35" s="198"/>
      <c r="F35" s="198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200"/>
    </row>
    <row r="36" spans="1:20"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</row>
    <row r="37" spans="1:20">
      <c r="B37" s="119"/>
      <c r="C37" s="119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</row>
    <row r="38" spans="1:20">
      <c r="B38" s="120"/>
      <c r="C38" s="120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</row>
    <row r="39" spans="1:20"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</row>
    <row r="40" spans="1:20">
      <c r="P40" s="118"/>
      <c r="Q40" s="118"/>
    </row>
    <row r="41" spans="1:20">
      <c r="P41" s="118"/>
      <c r="Q41" s="118"/>
    </row>
    <row r="42" spans="1:20"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</row>
    <row r="43" spans="1:20"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</row>
    <row r="44" spans="1:20"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</row>
    <row r="45" spans="1:20"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</row>
    <row r="46" spans="1:20"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</row>
    <row r="47" spans="1:20"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</row>
    <row r="48" spans="1:20"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</row>
    <row r="49" spans="7:17"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</row>
    <row r="50" spans="7:17"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</row>
    <row r="51" spans="7:17"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</row>
    <row r="52" spans="7:17"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</row>
    <row r="53" spans="7:17"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</row>
    <row r="54" spans="7:17"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</row>
    <row r="55" spans="7:17"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</row>
    <row r="56" spans="7:17"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</row>
    <row r="57" spans="7:17"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</row>
    <row r="58" spans="7:17"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</row>
    <row r="59" spans="7:17"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</row>
    <row r="60" spans="7:17"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</row>
    <row r="61" spans="7:17"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</row>
    <row r="62" spans="7:17"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</row>
    <row r="63" spans="7:17"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</row>
    <row r="64" spans="7:17"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</row>
    <row r="65" spans="7:17"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</row>
    <row r="66" spans="7:17"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</row>
    <row r="67" spans="7:17"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</row>
    <row r="68" spans="7:17"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</row>
  </sheetData>
  <mergeCells count="9">
    <mergeCell ref="A1:T1"/>
    <mergeCell ref="A2:T2"/>
    <mergeCell ref="A3:T3"/>
    <mergeCell ref="A4:T4"/>
    <mergeCell ref="A5:A7"/>
    <mergeCell ref="L5:O5"/>
    <mergeCell ref="P5:Q5"/>
    <mergeCell ref="R5:S5"/>
    <mergeCell ref="R6:S6"/>
  </mergeCells>
  <pageMargins left="0.17" right="0.16" top="0.75" bottom="0.75" header="0.3" footer="0.3"/>
  <pageSetup paperSize="9" scale="80" orientation="landscape" horizontalDpi="4294967295" verticalDpi="4294967295" r:id="rId1"/>
  <ignoredErrors>
    <ignoredError sqref="R9:R20 R23:R33 G30:J30 G17:N17 G10:N10 P23:P33 P9:P20 G11:J11 G14:J15 G16:J16 G18:J22 G25:J29 G31:J33 G9:J9" unlockedFormula="1"/>
    <ignoredError sqref="G12:N12 G23:N23 G13:J13 G24:J24" formulaRange="1" unlockedFormula="1"/>
    <ignoredError sqref="R21:R22 P21:P22" formula="1" unlockedFormula="1"/>
    <ignoredError sqref="T21:T2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zoomScaleNormal="100" workbookViewId="0">
      <selection activeCell="L27" sqref="L27"/>
    </sheetView>
  </sheetViews>
  <sheetFormatPr defaultColWidth="8.85546875" defaultRowHeight="12"/>
  <cols>
    <col min="1" max="1" width="32.42578125" style="143" customWidth="1"/>
    <col min="2" max="3" width="0" style="171" hidden="1" customWidth="1"/>
    <col min="4" max="4" width="12.7109375" style="171" hidden="1" customWidth="1"/>
    <col min="5" max="7" width="8.85546875" style="171" hidden="1" customWidth="1"/>
    <col min="8" max="11" width="0" style="171" hidden="1" customWidth="1"/>
    <col min="12" max="14" width="8.85546875" style="171"/>
    <col min="15" max="19" width="9.28515625" style="171" customWidth="1"/>
    <col min="20" max="21" width="11.28515625" style="171" customWidth="1"/>
    <col min="22" max="23" width="11" style="172" customWidth="1"/>
    <col min="24" max="24" width="7.7109375" style="172" customWidth="1"/>
    <col min="25" max="25" width="43.42578125" style="143" customWidth="1"/>
    <col min="26" max="26" width="17.28515625" style="143" customWidth="1"/>
    <col min="27" max="16384" width="8.85546875" style="143"/>
  </cols>
  <sheetData>
    <row r="1" spans="1:27" ht="19.5">
      <c r="A1" s="285" t="s">
        <v>257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 spans="1:27" ht="12.75">
      <c r="A2" s="305" t="s">
        <v>258</v>
      </c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</row>
    <row r="3" spans="1:27" s="20" customFormat="1" ht="14.25">
      <c r="A3" s="306" t="s">
        <v>99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</row>
    <row r="4" spans="1:27" s="20" customFormat="1" ht="12.75">
      <c r="A4" s="291" t="s">
        <v>153</v>
      </c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</row>
    <row r="5" spans="1:27" s="20" customFormat="1" ht="17.25">
      <c r="A5" s="191"/>
      <c r="B5" s="144"/>
      <c r="C5" s="145"/>
      <c r="D5" s="146" t="s">
        <v>2</v>
      </c>
      <c r="E5" s="307" t="s">
        <v>6</v>
      </c>
      <c r="F5" s="307"/>
      <c r="G5" s="30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308" t="s">
        <v>191</v>
      </c>
      <c r="U5" s="309"/>
      <c r="V5" s="308" t="s">
        <v>149</v>
      </c>
      <c r="W5" s="310"/>
      <c r="X5" s="148"/>
      <c r="Y5" s="149"/>
    </row>
    <row r="6" spans="1:27" s="23" customFormat="1" ht="15" customHeight="1">
      <c r="A6" s="194" t="s">
        <v>1</v>
      </c>
      <c r="B6" s="150"/>
      <c r="C6" s="13"/>
      <c r="D6" s="13" t="s">
        <v>154</v>
      </c>
      <c r="E6" s="13" t="s">
        <v>5</v>
      </c>
      <c r="F6" s="13" t="s">
        <v>5</v>
      </c>
      <c r="G6" s="13" t="s">
        <v>5</v>
      </c>
      <c r="H6" s="13"/>
      <c r="I6" s="13"/>
      <c r="J6" s="13"/>
      <c r="K6" s="13" t="s">
        <v>4</v>
      </c>
      <c r="L6" s="13" t="s">
        <v>4</v>
      </c>
      <c r="M6" s="13" t="s">
        <v>4</v>
      </c>
      <c r="N6" s="16" t="s">
        <v>4</v>
      </c>
      <c r="O6" s="203" t="s">
        <v>4</v>
      </c>
      <c r="P6" s="203" t="s">
        <v>263</v>
      </c>
      <c r="Q6" s="203" t="s">
        <v>244</v>
      </c>
      <c r="R6" s="203" t="s">
        <v>244</v>
      </c>
      <c r="S6" s="203" t="s">
        <v>244</v>
      </c>
      <c r="T6" s="303" t="s">
        <v>155</v>
      </c>
      <c r="U6" s="304"/>
      <c r="V6" s="311" t="s">
        <v>104</v>
      </c>
      <c r="W6" s="312"/>
      <c r="X6" s="151"/>
      <c r="Y6" s="190" t="s">
        <v>3</v>
      </c>
    </row>
    <row r="7" spans="1:27" s="23" customFormat="1" ht="12.75">
      <c r="A7" s="195"/>
      <c r="B7" s="39">
        <v>2007</v>
      </c>
      <c r="C7" s="39">
        <v>2008</v>
      </c>
      <c r="D7" s="39">
        <v>2009</v>
      </c>
      <c r="E7" s="39">
        <v>2010</v>
      </c>
      <c r="F7" s="39">
        <v>2011</v>
      </c>
      <c r="G7" s="39">
        <v>2012</v>
      </c>
      <c r="H7" s="39">
        <v>2009</v>
      </c>
      <c r="I7" s="39">
        <v>2010</v>
      </c>
      <c r="J7" s="39">
        <v>2011</v>
      </c>
      <c r="K7" s="39">
        <v>2012</v>
      </c>
      <c r="L7" s="39">
        <v>2013</v>
      </c>
      <c r="M7" s="39">
        <v>2014</v>
      </c>
      <c r="N7" s="17">
        <v>2015</v>
      </c>
      <c r="O7" s="204">
        <v>2016</v>
      </c>
      <c r="P7" s="204">
        <v>2017</v>
      </c>
      <c r="Q7" s="204">
        <v>2018</v>
      </c>
      <c r="R7" s="204">
        <v>2019</v>
      </c>
      <c r="S7" s="204">
        <v>2020</v>
      </c>
      <c r="T7" s="231">
        <v>2016</v>
      </c>
      <c r="U7" s="238">
        <v>2017</v>
      </c>
      <c r="V7" s="230" t="s">
        <v>243</v>
      </c>
      <c r="W7" s="245" t="s">
        <v>259</v>
      </c>
      <c r="X7" s="152"/>
      <c r="Y7" s="153"/>
      <c r="Z7" s="38"/>
      <c r="AA7" s="38"/>
    </row>
    <row r="8" spans="1:27" s="23" customFormat="1" ht="15">
      <c r="A8" s="75" t="s">
        <v>13</v>
      </c>
      <c r="B8" s="154">
        <f t="shared" ref="B8:O8" si="0">SUM(B9,B14,B20,B27)</f>
        <v>6560.1</v>
      </c>
      <c r="C8" s="154">
        <f t="shared" si="0"/>
        <v>7463.2</v>
      </c>
      <c r="D8" s="154">
        <f t="shared" si="0"/>
        <v>7942.4</v>
      </c>
      <c r="E8" s="154">
        <f t="shared" si="0"/>
        <v>9115.1999999999989</v>
      </c>
      <c r="F8" s="154">
        <f t="shared" si="0"/>
        <v>8659.1</v>
      </c>
      <c r="G8" s="154">
        <f t="shared" si="0"/>
        <v>8744.8993789999986</v>
      </c>
      <c r="H8" s="154">
        <f t="shared" si="0"/>
        <v>8738.7354969999997</v>
      </c>
      <c r="I8" s="154">
        <f t="shared" si="0"/>
        <v>8369.1443089999993</v>
      </c>
      <c r="J8" s="154">
        <f t="shared" si="0"/>
        <v>9075.7587179999991</v>
      </c>
      <c r="K8" s="154">
        <f t="shared" si="0"/>
        <v>10316.485255000001</v>
      </c>
      <c r="L8" s="154">
        <f t="shared" si="0"/>
        <v>11573.21458545</v>
      </c>
      <c r="M8" s="154">
        <f t="shared" si="0"/>
        <v>13954.396592000001</v>
      </c>
      <c r="N8" s="154">
        <f t="shared" si="0"/>
        <v>16678.511400880001</v>
      </c>
      <c r="O8" s="237">
        <f t="shared" si="0"/>
        <v>0</v>
      </c>
      <c r="P8" s="237">
        <f t="shared" ref="P8:Q8" si="1">SUM(P9,P14,P20,P27)</f>
        <v>0</v>
      </c>
      <c r="Q8" s="237">
        <f t="shared" si="1"/>
        <v>0</v>
      </c>
      <c r="R8" s="237">
        <f t="shared" ref="R8:S8" si="2">SUM(R9,R14,R20,R27)</f>
        <v>0</v>
      </c>
      <c r="S8" s="237">
        <f t="shared" si="2"/>
        <v>0</v>
      </c>
      <c r="T8" s="232" t="e">
        <f>+(O8/$O$8)*100</f>
        <v>#DIV/0!</v>
      </c>
      <c r="U8" s="239" t="e">
        <f>+(P8/$O$8)*100</f>
        <v>#DIV/0!</v>
      </c>
      <c r="V8" s="155">
        <f t="shared" ref="V8:W27" si="3">+((O8/N8)-1)*100</f>
        <v>-100</v>
      </c>
      <c r="W8" s="242" t="e">
        <f t="shared" si="3"/>
        <v>#DIV/0!</v>
      </c>
      <c r="X8" s="155"/>
      <c r="Y8" s="78" t="s">
        <v>14</v>
      </c>
    </row>
    <row r="9" spans="1:27" s="23" customFormat="1" ht="15">
      <c r="A9" s="75" t="s">
        <v>156</v>
      </c>
      <c r="B9" s="154">
        <f t="shared" ref="B9:O9" si="4">SUM(B10:B13)</f>
        <v>2241.8999999999996</v>
      </c>
      <c r="C9" s="154">
        <f t="shared" si="4"/>
        <v>3209.7</v>
      </c>
      <c r="D9" s="154">
        <f t="shared" si="4"/>
        <v>3276.6</v>
      </c>
      <c r="E9" s="154">
        <f t="shared" si="4"/>
        <v>4021.9</v>
      </c>
      <c r="F9" s="154">
        <f t="shared" si="4"/>
        <v>3529.1</v>
      </c>
      <c r="G9" s="154">
        <f t="shared" si="4"/>
        <v>3593.374147</v>
      </c>
      <c r="H9" s="154">
        <f t="shared" si="4"/>
        <v>3519.7833220000007</v>
      </c>
      <c r="I9" s="154">
        <f t="shared" si="4"/>
        <v>3978.9039029999999</v>
      </c>
      <c r="J9" s="154">
        <f t="shared" si="4"/>
        <v>4596.1388089999991</v>
      </c>
      <c r="K9" s="154">
        <f t="shared" si="4"/>
        <v>4774.492886</v>
      </c>
      <c r="L9" s="154">
        <f t="shared" si="4"/>
        <v>4784.0412950399996</v>
      </c>
      <c r="M9" s="154">
        <f t="shared" si="4"/>
        <v>5537.7483140000004</v>
      </c>
      <c r="N9" s="154">
        <f t="shared" si="4"/>
        <v>6243.3481799699994</v>
      </c>
      <c r="O9" s="237">
        <f t="shared" si="4"/>
        <v>0</v>
      </c>
      <c r="P9" s="237">
        <f t="shared" ref="P9:Q9" si="5">SUM(P10:P13)</f>
        <v>0</v>
      </c>
      <c r="Q9" s="237">
        <f t="shared" si="5"/>
        <v>0</v>
      </c>
      <c r="R9" s="237">
        <f t="shared" ref="R9:S9" si="6">SUM(R10:R13)</f>
        <v>0</v>
      </c>
      <c r="S9" s="237">
        <f t="shared" si="6"/>
        <v>0</v>
      </c>
      <c r="T9" s="232" t="e">
        <f t="shared" ref="T9:U27" si="7">+(O9/$O$8)*100</f>
        <v>#DIV/0!</v>
      </c>
      <c r="U9" s="239" t="e">
        <f t="shared" si="7"/>
        <v>#DIV/0!</v>
      </c>
      <c r="V9" s="155">
        <f t="shared" si="3"/>
        <v>-100</v>
      </c>
      <c r="W9" s="242" t="e">
        <f t="shared" si="3"/>
        <v>#DIV/0!</v>
      </c>
      <c r="X9" s="155"/>
      <c r="Y9" s="78" t="s">
        <v>157</v>
      </c>
    </row>
    <row r="10" spans="1:27" s="24" customFormat="1" ht="15">
      <c r="A10" s="79" t="s">
        <v>158</v>
      </c>
      <c r="B10" s="193">
        <v>1141.8</v>
      </c>
      <c r="C10" s="82">
        <v>1743.5</v>
      </c>
      <c r="D10" s="82">
        <v>1620.1</v>
      </c>
      <c r="E10" s="82">
        <v>2323.1</v>
      </c>
      <c r="F10" s="82">
        <v>1785</v>
      </c>
      <c r="G10" s="82">
        <v>1807.6922320000001</v>
      </c>
      <c r="H10" s="82">
        <v>1640.2071530000007</v>
      </c>
      <c r="I10" s="82">
        <v>2160.2136339999997</v>
      </c>
      <c r="J10" s="82">
        <v>2490.5053929999999</v>
      </c>
      <c r="K10" s="82">
        <v>2464.698202</v>
      </c>
      <c r="L10" s="82">
        <v>2284.8721354499999</v>
      </c>
      <c r="M10" s="82">
        <v>2757.612995</v>
      </c>
      <c r="N10" s="82">
        <v>2566.7069908099998</v>
      </c>
      <c r="O10" s="235"/>
      <c r="P10" s="235"/>
      <c r="Q10" s="235"/>
      <c r="R10" s="235"/>
      <c r="S10" s="235"/>
      <c r="T10" s="233" t="e">
        <f t="shared" si="7"/>
        <v>#DIV/0!</v>
      </c>
      <c r="U10" s="240" t="e">
        <f t="shared" si="7"/>
        <v>#DIV/0!</v>
      </c>
      <c r="V10" s="156">
        <f t="shared" si="3"/>
        <v>-100</v>
      </c>
      <c r="W10" s="243" t="e">
        <f t="shared" si="3"/>
        <v>#DIV/0!</v>
      </c>
      <c r="X10" s="156"/>
      <c r="Y10" s="36" t="s">
        <v>159</v>
      </c>
    </row>
    <row r="11" spans="1:27" s="24" customFormat="1" ht="15">
      <c r="A11" s="79" t="s">
        <v>160</v>
      </c>
      <c r="B11" s="193">
        <v>404.6</v>
      </c>
      <c r="C11" s="82">
        <v>549.1</v>
      </c>
      <c r="D11" s="82">
        <v>593.9</v>
      </c>
      <c r="E11" s="82">
        <v>551.20000000000005</v>
      </c>
      <c r="F11" s="82">
        <v>611.5</v>
      </c>
      <c r="G11" s="82">
        <v>637.60149200000001</v>
      </c>
      <c r="H11" s="82">
        <v>712.88716299999999</v>
      </c>
      <c r="I11" s="82">
        <v>651.41233499999998</v>
      </c>
      <c r="J11" s="82">
        <v>774.11099200000001</v>
      </c>
      <c r="K11" s="82">
        <v>800.63111700000002</v>
      </c>
      <c r="L11" s="82">
        <v>794.20175268000003</v>
      </c>
      <c r="M11" s="82">
        <v>834.3948089999999</v>
      </c>
      <c r="N11" s="82">
        <v>1023.3242030399999</v>
      </c>
      <c r="O11" s="235"/>
      <c r="P11" s="235"/>
      <c r="Q11" s="235"/>
      <c r="R11" s="235"/>
      <c r="S11" s="235"/>
      <c r="T11" s="233" t="e">
        <f t="shared" si="7"/>
        <v>#DIV/0!</v>
      </c>
      <c r="U11" s="240" t="e">
        <f t="shared" si="7"/>
        <v>#DIV/0!</v>
      </c>
      <c r="V11" s="156">
        <f t="shared" si="3"/>
        <v>-100</v>
      </c>
      <c r="W11" s="243" t="e">
        <f t="shared" si="3"/>
        <v>#DIV/0!</v>
      </c>
      <c r="X11" s="156"/>
      <c r="Y11" s="36" t="s">
        <v>161</v>
      </c>
    </row>
    <row r="12" spans="1:27" s="24" customFormat="1" ht="15">
      <c r="A12" s="79" t="s">
        <v>162</v>
      </c>
      <c r="B12" s="157">
        <v>600.29999999999995</v>
      </c>
      <c r="C12" s="82">
        <v>833.4</v>
      </c>
      <c r="D12" s="82">
        <v>968.9</v>
      </c>
      <c r="E12" s="82">
        <v>1055.0999999999999</v>
      </c>
      <c r="F12" s="82">
        <v>1052.7</v>
      </c>
      <c r="G12" s="82">
        <v>1066.94895</v>
      </c>
      <c r="H12" s="82">
        <v>1097.180717</v>
      </c>
      <c r="I12" s="82">
        <v>1132.7824310000001</v>
      </c>
      <c r="J12" s="82">
        <v>1296.9194520000001</v>
      </c>
      <c r="K12" s="82">
        <v>1470.4859779999999</v>
      </c>
      <c r="L12" s="82">
        <v>1659.45558701</v>
      </c>
      <c r="M12" s="82">
        <v>1876.671333</v>
      </c>
      <c r="N12" s="82">
        <v>2512.6496932300001</v>
      </c>
      <c r="O12" s="235"/>
      <c r="P12" s="235"/>
      <c r="Q12" s="235"/>
      <c r="R12" s="235"/>
      <c r="S12" s="235"/>
      <c r="T12" s="233" t="e">
        <f t="shared" si="7"/>
        <v>#DIV/0!</v>
      </c>
      <c r="U12" s="240" t="e">
        <f t="shared" si="7"/>
        <v>#DIV/0!</v>
      </c>
      <c r="V12" s="156">
        <f t="shared" si="3"/>
        <v>-100</v>
      </c>
      <c r="W12" s="243" t="e">
        <f t="shared" si="3"/>
        <v>#DIV/0!</v>
      </c>
      <c r="X12" s="156"/>
      <c r="Y12" s="36" t="s">
        <v>163</v>
      </c>
    </row>
    <row r="13" spans="1:27" s="24" customFormat="1" ht="15">
      <c r="A13" s="79" t="s">
        <v>164</v>
      </c>
      <c r="B13" s="134">
        <v>95.2</v>
      </c>
      <c r="C13" s="82">
        <v>83.7</v>
      </c>
      <c r="D13" s="82">
        <v>93.7</v>
      </c>
      <c r="E13" s="82">
        <v>92.5</v>
      </c>
      <c r="F13" s="82">
        <v>79.900000000000006</v>
      </c>
      <c r="G13" s="82">
        <v>81.131473</v>
      </c>
      <c r="H13" s="82">
        <v>69.508289000000005</v>
      </c>
      <c r="I13" s="82">
        <v>34.495502999999999</v>
      </c>
      <c r="J13" s="82">
        <v>34.602972000000001</v>
      </c>
      <c r="K13" s="82">
        <v>38.677588999999998</v>
      </c>
      <c r="L13" s="82">
        <v>45.511819899999999</v>
      </c>
      <c r="M13" s="82">
        <v>69.069176999999996</v>
      </c>
      <c r="N13" s="82">
        <v>140.66729289</v>
      </c>
      <c r="O13" s="235"/>
      <c r="P13" s="235"/>
      <c r="Q13" s="235"/>
      <c r="R13" s="235"/>
      <c r="S13" s="235"/>
      <c r="T13" s="233" t="e">
        <f t="shared" si="7"/>
        <v>#DIV/0!</v>
      </c>
      <c r="U13" s="240" t="e">
        <f t="shared" si="7"/>
        <v>#DIV/0!</v>
      </c>
      <c r="V13" s="156">
        <f t="shared" si="3"/>
        <v>-100</v>
      </c>
      <c r="W13" s="243" t="e">
        <f t="shared" si="3"/>
        <v>#DIV/0!</v>
      </c>
      <c r="X13" s="156"/>
      <c r="Y13" s="36" t="s">
        <v>165</v>
      </c>
    </row>
    <row r="14" spans="1:27" s="23" customFormat="1" ht="15">
      <c r="A14" s="75" t="s">
        <v>166</v>
      </c>
      <c r="B14" s="154">
        <f t="shared" ref="B14:I14" si="8">SUM(B15:B18)</f>
        <v>3817.6</v>
      </c>
      <c r="C14" s="154">
        <f t="shared" si="8"/>
        <v>3679.5</v>
      </c>
      <c r="D14" s="154">
        <f t="shared" si="8"/>
        <v>4016.4</v>
      </c>
      <c r="E14" s="154">
        <f t="shared" si="8"/>
        <v>4170.5</v>
      </c>
      <c r="F14" s="154">
        <f t="shared" si="8"/>
        <v>4282.6000000000004</v>
      </c>
      <c r="G14" s="154">
        <f t="shared" si="8"/>
        <v>4413.3455789999998</v>
      </c>
      <c r="H14" s="154">
        <f t="shared" si="8"/>
        <v>4345.2921539999998</v>
      </c>
      <c r="I14" s="154">
        <f t="shared" si="8"/>
        <v>3462.622922</v>
      </c>
      <c r="J14" s="154">
        <f>SUM(J15:J19)</f>
        <v>3544.46576</v>
      </c>
      <c r="K14" s="154">
        <f t="shared" ref="K14:Q14" si="9">SUM(K15:K19)</f>
        <v>4225.7286190000004</v>
      </c>
      <c r="L14" s="154">
        <f t="shared" si="9"/>
        <v>5531.6275246499999</v>
      </c>
      <c r="M14" s="154">
        <f t="shared" si="9"/>
        <v>7089.9977030000009</v>
      </c>
      <c r="N14" s="154">
        <f t="shared" si="9"/>
        <v>8742.95622215</v>
      </c>
      <c r="O14" s="237">
        <f t="shared" si="9"/>
        <v>0</v>
      </c>
      <c r="P14" s="237">
        <f t="shared" si="9"/>
        <v>0</v>
      </c>
      <c r="Q14" s="237">
        <f t="shared" si="9"/>
        <v>0</v>
      </c>
      <c r="R14" s="237">
        <f t="shared" ref="R14:S14" si="10">SUM(R15:R19)</f>
        <v>0</v>
      </c>
      <c r="S14" s="237">
        <f t="shared" si="10"/>
        <v>0</v>
      </c>
      <c r="T14" s="232" t="e">
        <f t="shared" si="7"/>
        <v>#DIV/0!</v>
      </c>
      <c r="U14" s="239" t="e">
        <f t="shared" si="7"/>
        <v>#DIV/0!</v>
      </c>
      <c r="V14" s="155">
        <f t="shared" si="3"/>
        <v>-100</v>
      </c>
      <c r="W14" s="242" t="e">
        <f t="shared" si="3"/>
        <v>#DIV/0!</v>
      </c>
      <c r="X14" s="155"/>
      <c r="Y14" s="78" t="s">
        <v>167</v>
      </c>
    </row>
    <row r="15" spans="1:27" s="24" customFormat="1" ht="15">
      <c r="A15" s="79" t="s">
        <v>168</v>
      </c>
      <c r="B15" s="193">
        <v>1149.4000000000001</v>
      </c>
      <c r="C15" s="82">
        <v>1467.1</v>
      </c>
      <c r="D15" s="82">
        <v>1958.3</v>
      </c>
      <c r="E15" s="82">
        <v>1632</v>
      </c>
      <c r="F15" s="82">
        <v>1703.1</v>
      </c>
      <c r="G15" s="82">
        <v>1731.0649900000001</v>
      </c>
      <c r="H15" s="82">
        <v>1801.544161</v>
      </c>
      <c r="I15" s="82">
        <v>1588.6194419999999</v>
      </c>
      <c r="J15" s="82">
        <v>1701.1680309999999</v>
      </c>
      <c r="K15" s="158">
        <v>2095.118363</v>
      </c>
      <c r="L15" s="82">
        <v>1927.3062449400002</v>
      </c>
      <c r="M15" s="82">
        <v>2111.528174</v>
      </c>
      <c r="N15" s="82">
        <v>2660.2240680199998</v>
      </c>
      <c r="O15" s="235"/>
      <c r="P15" s="235"/>
      <c r="Q15" s="235"/>
      <c r="R15" s="235"/>
      <c r="S15" s="235"/>
      <c r="T15" s="233" t="e">
        <f t="shared" si="7"/>
        <v>#DIV/0!</v>
      </c>
      <c r="U15" s="240" t="e">
        <f t="shared" si="7"/>
        <v>#DIV/0!</v>
      </c>
      <c r="V15" s="156">
        <f t="shared" si="3"/>
        <v>-100</v>
      </c>
      <c r="W15" s="243" t="e">
        <f t="shared" si="3"/>
        <v>#DIV/0!</v>
      </c>
      <c r="X15" s="156"/>
      <c r="Y15" s="36" t="s">
        <v>169</v>
      </c>
    </row>
    <row r="16" spans="1:27" s="24" customFormat="1" ht="15">
      <c r="A16" s="79" t="s">
        <v>170</v>
      </c>
      <c r="B16" s="193">
        <v>682.3</v>
      </c>
      <c r="C16" s="82">
        <v>1037.3</v>
      </c>
      <c r="D16" s="82">
        <v>798.5</v>
      </c>
      <c r="E16" s="82">
        <v>875.1</v>
      </c>
      <c r="F16" s="82">
        <v>922.4</v>
      </c>
      <c r="G16" s="82">
        <v>966.45820000000003</v>
      </c>
      <c r="H16" s="82">
        <v>1327.7892979999999</v>
      </c>
      <c r="I16" s="82">
        <v>946.95926599999996</v>
      </c>
      <c r="J16" s="82">
        <v>356.75031100000001</v>
      </c>
      <c r="K16" s="82">
        <v>288.929912</v>
      </c>
      <c r="L16" s="82">
        <v>1369.90178399</v>
      </c>
      <c r="M16" s="82">
        <v>1723.199959</v>
      </c>
      <c r="N16" s="82">
        <v>2233.1620040500002</v>
      </c>
      <c r="O16" s="235"/>
      <c r="P16" s="235"/>
      <c r="Q16" s="235"/>
      <c r="R16" s="235"/>
      <c r="S16" s="235"/>
      <c r="T16" s="233" t="e">
        <f t="shared" si="7"/>
        <v>#DIV/0!</v>
      </c>
      <c r="U16" s="240" t="e">
        <f t="shared" si="7"/>
        <v>#DIV/0!</v>
      </c>
      <c r="V16" s="156">
        <f t="shared" si="3"/>
        <v>-100</v>
      </c>
      <c r="W16" s="243" t="e">
        <f t="shared" si="3"/>
        <v>#DIV/0!</v>
      </c>
      <c r="X16" s="156"/>
      <c r="Y16" s="36" t="s">
        <v>171</v>
      </c>
    </row>
    <row r="17" spans="1:25" s="24" customFormat="1" ht="15">
      <c r="A17" s="79" t="s">
        <v>172</v>
      </c>
      <c r="B17" s="193">
        <v>231.4</v>
      </c>
      <c r="C17" s="82">
        <v>638.4</v>
      </c>
      <c r="D17" s="82">
        <v>772.2</v>
      </c>
      <c r="E17" s="82">
        <v>1202</v>
      </c>
      <c r="F17" s="82">
        <v>1115.4000000000001</v>
      </c>
      <c r="G17" s="82">
        <v>1165.9169099999999</v>
      </c>
      <c r="H17" s="82">
        <v>463.99557299999998</v>
      </c>
      <c r="I17" s="82">
        <v>577.73113499999999</v>
      </c>
      <c r="J17" s="82">
        <v>1132.764089</v>
      </c>
      <c r="K17" s="82">
        <v>1577.597278</v>
      </c>
      <c r="L17" s="82">
        <v>1958.0622446499999</v>
      </c>
      <c r="M17" s="82">
        <v>2924.2179980000001</v>
      </c>
      <c r="N17" s="82">
        <v>3212.2614754400001</v>
      </c>
      <c r="O17" s="235"/>
      <c r="P17" s="235"/>
      <c r="Q17" s="235"/>
      <c r="R17" s="235"/>
      <c r="S17" s="235"/>
      <c r="T17" s="233" t="e">
        <f t="shared" si="7"/>
        <v>#DIV/0!</v>
      </c>
      <c r="U17" s="240" t="e">
        <f t="shared" si="7"/>
        <v>#DIV/0!</v>
      </c>
      <c r="V17" s="156">
        <f t="shared" si="3"/>
        <v>-100</v>
      </c>
      <c r="W17" s="243" t="e">
        <f t="shared" si="3"/>
        <v>#DIV/0!</v>
      </c>
      <c r="X17" s="156"/>
      <c r="Y17" s="36" t="s">
        <v>173</v>
      </c>
    </row>
    <row r="18" spans="1:25" s="24" customFormat="1" ht="15">
      <c r="A18" s="79" t="s">
        <v>174</v>
      </c>
      <c r="B18" s="193">
        <v>1754.5</v>
      </c>
      <c r="C18" s="82">
        <v>536.70000000000005</v>
      </c>
      <c r="D18" s="82">
        <v>487.4</v>
      </c>
      <c r="E18" s="82">
        <v>461.4</v>
      </c>
      <c r="F18" s="82">
        <v>541.70000000000005</v>
      </c>
      <c r="G18" s="82">
        <v>549.90547900000001</v>
      </c>
      <c r="H18" s="82">
        <v>751.963122</v>
      </c>
      <c r="I18" s="82">
        <v>349.31307900000002</v>
      </c>
      <c r="J18" s="82">
        <v>353.78332899999998</v>
      </c>
      <c r="K18" s="82">
        <v>264.08306599999997</v>
      </c>
      <c r="L18" s="82">
        <v>4.6041600000000003</v>
      </c>
      <c r="M18" s="82">
        <v>3.837771</v>
      </c>
      <c r="N18" s="82">
        <v>0</v>
      </c>
      <c r="O18" s="235"/>
      <c r="P18" s="235"/>
      <c r="Q18" s="235"/>
      <c r="R18" s="235"/>
      <c r="S18" s="235"/>
      <c r="T18" s="233" t="e">
        <f t="shared" si="7"/>
        <v>#DIV/0!</v>
      </c>
      <c r="U18" s="240" t="e">
        <f t="shared" si="7"/>
        <v>#DIV/0!</v>
      </c>
      <c r="V18" s="82" t="e">
        <f t="shared" ref="V18:W18" si="11">+(Q18/$O$8)*100</f>
        <v>#DIV/0!</v>
      </c>
      <c r="W18" s="235" t="e">
        <f t="shared" si="11"/>
        <v>#DIV/0!</v>
      </c>
      <c r="X18" s="156"/>
      <c r="Y18" s="36" t="s">
        <v>175</v>
      </c>
    </row>
    <row r="19" spans="1:25" s="24" customFormat="1" ht="17.25">
      <c r="A19" s="79" t="s">
        <v>236</v>
      </c>
      <c r="B19" s="193"/>
      <c r="C19" s="82"/>
      <c r="D19" s="82"/>
      <c r="E19" s="82"/>
      <c r="F19" s="82"/>
      <c r="G19" s="82"/>
      <c r="H19" s="82"/>
      <c r="I19" s="82"/>
      <c r="J19" s="80">
        <v>0</v>
      </c>
      <c r="K19" s="80">
        <v>0</v>
      </c>
      <c r="L19" s="82">
        <v>271.75309106999975</v>
      </c>
      <c r="M19" s="82">
        <v>327.21380099999999</v>
      </c>
      <c r="N19" s="82">
        <v>637.30867463999994</v>
      </c>
      <c r="O19" s="235"/>
      <c r="P19" s="235"/>
      <c r="Q19" s="235"/>
      <c r="R19" s="235"/>
      <c r="S19" s="235"/>
      <c r="T19" s="233" t="e">
        <f t="shared" si="7"/>
        <v>#DIV/0!</v>
      </c>
      <c r="U19" s="240" t="e">
        <f t="shared" si="7"/>
        <v>#DIV/0!</v>
      </c>
      <c r="V19" s="156">
        <f t="shared" si="3"/>
        <v>-100</v>
      </c>
      <c r="W19" s="243" t="e">
        <f t="shared" si="3"/>
        <v>#DIV/0!</v>
      </c>
      <c r="X19" s="156"/>
      <c r="Y19" s="136" t="s">
        <v>240</v>
      </c>
    </row>
    <row r="20" spans="1:25" s="23" customFormat="1" ht="15">
      <c r="A20" s="75" t="s">
        <v>176</v>
      </c>
      <c r="B20" s="154">
        <f t="shared" ref="B20:I20" si="12">SUM(B21:B25)</f>
        <v>266.3</v>
      </c>
      <c r="C20" s="154">
        <f t="shared" si="12"/>
        <v>293.99999999999994</v>
      </c>
      <c r="D20" s="154">
        <f t="shared" si="12"/>
        <v>309.5</v>
      </c>
      <c r="E20" s="154">
        <f t="shared" si="12"/>
        <v>330.00000000000006</v>
      </c>
      <c r="F20" s="154">
        <f t="shared" si="12"/>
        <v>292.89999999999998</v>
      </c>
      <c r="G20" s="154">
        <f t="shared" si="12"/>
        <v>304.13394399999993</v>
      </c>
      <c r="H20" s="154">
        <f t="shared" si="12"/>
        <v>255.78124300000002</v>
      </c>
      <c r="I20" s="154">
        <f t="shared" si="12"/>
        <v>265.56214700000004</v>
      </c>
      <c r="J20" s="154">
        <f>SUM(J21:J26)</f>
        <v>209.35414899999998</v>
      </c>
      <c r="K20" s="154">
        <f t="shared" ref="K20:Q20" si="13">SUM(K21:K26)</f>
        <v>209.18252100000001</v>
      </c>
      <c r="L20" s="154">
        <f t="shared" si="13"/>
        <v>300.81956875999992</v>
      </c>
      <c r="M20" s="154">
        <f t="shared" si="13"/>
        <v>348.30320599999999</v>
      </c>
      <c r="N20" s="154">
        <f t="shared" si="13"/>
        <v>344.55713775999999</v>
      </c>
      <c r="O20" s="237">
        <f t="shared" si="13"/>
        <v>0</v>
      </c>
      <c r="P20" s="237">
        <f t="shared" si="13"/>
        <v>0</v>
      </c>
      <c r="Q20" s="237">
        <f t="shared" si="13"/>
        <v>0</v>
      </c>
      <c r="R20" s="237">
        <f t="shared" ref="R20:S20" si="14">SUM(R21:R26)</f>
        <v>0</v>
      </c>
      <c r="S20" s="237">
        <f t="shared" si="14"/>
        <v>0</v>
      </c>
      <c r="T20" s="232" t="e">
        <f t="shared" si="7"/>
        <v>#DIV/0!</v>
      </c>
      <c r="U20" s="239" t="e">
        <f t="shared" si="7"/>
        <v>#DIV/0!</v>
      </c>
      <c r="V20" s="155">
        <f t="shared" si="3"/>
        <v>-100</v>
      </c>
      <c r="W20" s="242" t="e">
        <f t="shared" si="3"/>
        <v>#DIV/0!</v>
      </c>
      <c r="X20" s="155"/>
      <c r="Y20" s="78" t="s">
        <v>129</v>
      </c>
    </row>
    <row r="21" spans="1:25" s="24" customFormat="1" ht="15">
      <c r="A21" s="79" t="s">
        <v>177</v>
      </c>
      <c r="B21" s="193">
        <v>25.8</v>
      </c>
      <c r="C21" s="82">
        <v>30.1</v>
      </c>
      <c r="D21" s="82">
        <v>36.9</v>
      </c>
      <c r="E21" s="82">
        <v>61.7</v>
      </c>
      <c r="F21" s="82">
        <v>63.7</v>
      </c>
      <c r="G21" s="82">
        <v>56.472088999999997</v>
      </c>
      <c r="H21" s="82">
        <v>35.399478999999999</v>
      </c>
      <c r="I21" s="82">
        <v>108.925563</v>
      </c>
      <c r="J21" s="82">
        <v>59.694450000000003</v>
      </c>
      <c r="K21" s="82">
        <v>45.578457</v>
      </c>
      <c r="L21" s="82">
        <v>62.856177169999995</v>
      </c>
      <c r="M21" s="82">
        <v>77.722431999999998</v>
      </c>
      <c r="N21" s="82">
        <v>44.379290109999999</v>
      </c>
      <c r="O21" s="235"/>
      <c r="P21" s="235"/>
      <c r="Q21" s="235"/>
      <c r="R21" s="235"/>
      <c r="S21" s="235"/>
      <c r="T21" s="233" t="e">
        <f t="shared" si="7"/>
        <v>#DIV/0!</v>
      </c>
      <c r="U21" s="240" t="e">
        <f t="shared" si="7"/>
        <v>#DIV/0!</v>
      </c>
      <c r="V21" s="156">
        <f t="shared" si="3"/>
        <v>-100</v>
      </c>
      <c r="W21" s="243" t="e">
        <f t="shared" si="3"/>
        <v>#DIV/0!</v>
      </c>
      <c r="X21" s="156"/>
      <c r="Y21" s="159" t="s">
        <v>178</v>
      </c>
    </row>
    <row r="22" spans="1:25" s="24" customFormat="1" ht="15">
      <c r="A22" s="79" t="s">
        <v>179</v>
      </c>
      <c r="B22" s="193">
        <v>97.5</v>
      </c>
      <c r="C22" s="82">
        <v>145</v>
      </c>
      <c r="D22" s="82">
        <v>134</v>
      </c>
      <c r="E22" s="82">
        <v>176.9</v>
      </c>
      <c r="F22" s="82">
        <v>139.5</v>
      </c>
      <c r="G22" s="82">
        <v>154.75196</v>
      </c>
      <c r="H22" s="82">
        <v>95.280591000000001</v>
      </c>
      <c r="I22" s="82">
        <v>81.075993999999994</v>
      </c>
      <c r="J22" s="82">
        <v>78.940620999999993</v>
      </c>
      <c r="K22" s="82">
        <v>67.993539999999996</v>
      </c>
      <c r="L22" s="82">
        <v>35.804027499999997</v>
      </c>
      <c r="M22" s="82">
        <v>155.90539000000001</v>
      </c>
      <c r="N22" s="82">
        <v>71.299115999999998</v>
      </c>
      <c r="O22" s="235"/>
      <c r="P22" s="235"/>
      <c r="Q22" s="235"/>
      <c r="R22" s="235"/>
      <c r="S22" s="235"/>
      <c r="T22" s="233" t="e">
        <f t="shared" si="7"/>
        <v>#DIV/0!</v>
      </c>
      <c r="U22" s="240" t="e">
        <f t="shared" si="7"/>
        <v>#DIV/0!</v>
      </c>
      <c r="V22" s="156">
        <f t="shared" si="3"/>
        <v>-100</v>
      </c>
      <c r="W22" s="243" t="e">
        <f t="shared" si="3"/>
        <v>#DIV/0!</v>
      </c>
      <c r="X22" s="156"/>
      <c r="Y22" s="159" t="s">
        <v>180</v>
      </c>
    </row>
    <row r="23" spans="1:25" s="24" customFormat="1" ht="15">
      <c r="A23" s="79" t="s">
        <v>181</v>
      </c>
      <c r="B23" s="193">
        <v>16.899999999999999</v>
      </c>
      <c r="C23" s="82">
        <v>18.600000000000001</v>
      </c>
      <c r="D23" s="82">
        <v>32.700000000000003</v>
      </c>
      <c r="E23" s="82">
        <v>28.6</v>
      </c>
      <c r="F23" s="82">
        <v>33.5</v>
      </c>
      <c r="G23" s="82">
        <v>33.484577000000002</v>
      </c>
      <c r="H23" s="82">
        <v>29.27197</v>
      </c>
      <c r="I23" s="82">
        <v>17.173514000000001</v>
      </c>
      <c r="J23" s="82">
        <v>20.235569000000002</v>
      </c>
      <c r="K23" s="82">
        <v>27.574041999999999</v>
      </c>
      <c r="L23" s="82">
        <v>26.957459039999989</v>
      </c>
      <c r="M23" s="82">
        <v>32.610194</v>
      </c>
      <c r="N23" s="82">
        <v>31.466308000000001</v>
      </c>
      <c r="O23" s="235"/>
      <c r="P23" s="235"/>
      <c r="Q23" s="235"/>
      <c r="R23" s="235"/>
      <c r="S23" s="235"/>
      <c r="T23" s="233" t="e">
        <f t="shared" si="7"/>
        <v>#DIV/0!</v>
      </c>
      <c r="U23" s="240" t="e">
        <f t="shared" si="7"/>
        <v>#DIV/0!</v>
      </c>
      <c r="V23" s="156">
        <f t="shared" si="3"/>
        <v>-100</v>
      </c>
      <c r="W23" s="243" t="e">
        <f t="shared" si="3"/>
        <v>#DIV/0!</v>
      </c>
      <c r="X23" s="156"/>
      <c r="Y23" s="159" t="s">
        <v>182</v>
      </c>
    </row>
    <row r="24" spans="1:25" s="24" customFormat="1" ht="15">
      <c r="A24" s="81" t="s">
        <v>183</v>
      </c>
      <c r="B24" s="193">
        <v>107.8</v>
      </c>
      <c r="C24" s="82">
        <v>80.099999999999994</v>
      </c>
      <c r="D24" s="82">
        <v>87.7</v>
      </c>
      <c r="E24" s="82">
        <v>48.5</v>
      </c>
      <c r="F24" s="82">
        <v>38.9</v>
      </c>
      <c r="G24" s="82">
        <v>42.022793999999998</v>
      </c>
      <c r="H24" s="82">
        <v>78.335824000000002</v>
      </c>
      <c r="I24" s="82">
        <v>43.838565000000003</v>
      </c>
      <c r="J24" s="82">
        <v>33.652334000000003</v>
      </c>
      <c r="K24" s="82">
        <v>52.352131999999997</v>
      </c>
      <c r="L24" s="82">
        <v>33.053981409999999</v>
      </c>
      <c r="M24" s="82">
        <v>48.876987999999997</v>
      </c>
      <c r="N24" s="82">
        <v>103.028464</v>
      </c>
      <c r="O24" s="235"/>
      <c r="P24" s="235"/>
      <c r="Q24" s="235"/>
      <c r="R24" s="235"/>
      <c r="S24" s="235"/>
      <c r="T24" s="233" t="e">
        <f t="shared" si="7"/>
        <v>#DIV/0!</v>
      </c>
      <c r="U24" s="240" t="e">
        <f t="shared" si="7"/>
        <v>#DIV/0!</v>
      </c>
      <c r="V24" s="156">
        <f t="shared" si="3"/>
        <v>-100</v>
      </c>
      <c r="W24" s="243" t="e">
        <f t="shared" si="3"/>
        <v>#DIV/0!</v>
      </c>
      <c r="X24" s="156"/>
      <c r="Y24" s="159" t="s">
        <v>184</v>
      </c>
    </row>
    <row r="25" spans="1:25" s="24" customFormat="1" ht="15">
      <c r="A25" s="81" t="s">
        <v>185</v>
      </c>
      <c r="B25" s="193">
        <v>18.3</v>
      </c>
      <c r="C25" s="82">
        <v>20.2</v>
      </c>
      <c r="D25" s="82">
        <v>18.2</v>
      </c>
      <c r="E25" s="82">
        <v>14.3</v>
      </c>
      <c r="F25" s="82">
        <v>17.3</v>
      </c>
      <c r="G25" s="82">
        <v>17.402524</v>
      </c>
      <c r="H25" s="82">
        <v>17.493379000000001</v>
      </c>
      <c r="I25" s="82">
        <v>14.548511</v>
      </c>
      <c r="J25" s="82">
        <v>16.831175000000002</v>
      </c>
      <c r="K25" s="82">
        <v>15.68435</v>
      </c>
      <c r="L25" s="82">
        <v>140.28595263999998</v>
      </c>
      <c r="M25" s="82">
        <v>31.397749000000001</v>
      </c>
      <c r="N25" s="82">
        <v>92.426890650000004</v>
      </c>
      <c r="O25" s="235"/>
      <c r="P25" s="235"/>
      <c r="Q25" s="235"/>
      <c r="R25" s="235"/>
      <c r="S25" s="235"/>
      <c r="T25" s="233" t="e">
        <f t="shared" si="7"/>
        <v>#DIV/0!</v>
      </c>
      <c r="U25" s="240" t="e">
        <f t="shared" si="7"/>
        <v>#DIV/0!</v>
      </c>
      <c r="V25" s="156">
        <f t="shared" si="3"/>
        <v>-100</v>
      </c>
      <c r="W25" s="243" t="e">
        <f t="shared" si="3"/>
        <v>#DIV/0!</v>
      </c>
      <c r="X25" s="156"/>
      <c r="Y25" s="160" t="s">
        <v>186</v>
      </c>
    </row>
    <row r="26" spans="1:25" s="24" customFormat="1" ht="15">
      <c r="A26" s="81" t="s">
        <v>237</v>
      </c>
      <c r="B26" s="193"/>
      <c r="C26" s="82"/>
      <c r="D26" s="82"/>
      <c r="E26" s="82"/>
      <c r="F26" s="82"/>
      <c r="G26" s="82"/>
      <c r="H26" s="82"/>
      <c r="I26" s="82"/>
      <c r="J26" s="82">
        <v>0</v>
      </c>
      <c r="K26" s="82">
        <v>0</v>
      </c>
      <c r="L26" s="82">
        <v>1.861971</v>
      </c>
      <c r="M26" s="82">
        <v>1.7904530000000001</v>
      </c>
      <c r="N26" s="82">
        <v>1.9570689999999999</v>
      </c>
      <c r="O26" s="235"/>
      <c r="P26" s="235"/>
      <c r="Q26" s="235"/>
      <c r="R26" s="235"/>
      <c r="S26" s="235"/>
      <c r="T26" s="233" t="e">
        <f t="shared" si="7"/>
        <v>#DIV/0!</v>
      </c>
      <c r="U26" s="240" t="e">
        <f t="shared" si="7"/>
        <v>#DIV/0!</v>
      </c>
      <c r="V26" s="156">
        <f t="shared" si="3"/>
        <v>-100</v>
      </c>
      <c r="W26" s="243" t="e">
        <f t="shared" si="3"/>
        <v>#DIV/0!</v>
      </c>
      <c r="X26" s="156"/>
      <c r="Y26" s="160"/>
    </row>
    <row r="27" spans="1:25" s="23" customFormat="1" ht="15">
      <c r="A27" s="195" t="s">
        <v>187</v>
      </c>
      <c r="B27" s="83">
        <v>234.3</v>
      </c>
      <c r="C27" s="161">
        <v>280</v>
      </c>
      <c r="D27" s="161">
        <v>339.9</v>
      </c>
      <c r="E27" s="161">
        <v>592.79999999999995</v>
      </c>
      <c r="F27" s="161">
        <v>554.5</v>
      </c>
      <c r="G27" s="161">
        <v>434.04570899999999</v>
      </c>
      <c r="H27" s="161">
        <v>617.87877800000001</v>
      </c>
      <c r="I27" s="161">
        <v>662.05533700000001</v>
      </c>
      <c r="J27" s="161">
        <v>725.8</v>
      </c>
      <c r="K27" s="161">
        <v>1107.0812289999999</v>
      </c>
      <c r="L27" s="161">
        <v>956.72619699999996</v>
      </c>
      <c r="M27" s="161">
        <v>978.34736899999996</v>
      </c>
      <c r="N27" s="161">
        <v>1347.6498610000001</v>
      </c>
      <c r="O27" s="236"/>
      <c r="P27" s="236"/>
      <c r="Q27" s="236"/>
      <c r="R27" s="236"/>
      <c r="S27" s="236"/>
      <c r="T27" s="234" t="e">
        <f t="shared" si="7"/>
        <v>#DIV/0!</v>
      </c>
      <c r="U27" s="241" t="e">
        <f t="shared" si="7"/>
        <v>#DIV/0!</v>
      </c>
      <c r="V27" s="162">
        <f t="shared" si="3"/>
        <v>-100</v>
      </c>
      <c r="W27" s="244" t="e">
        <f t="shared" si="3"/>
        <v>#DIV/0!</v>
      </c>
      <c r="X27" s="162"/>
      <c r="Y27" s="163" t="s">
        <v>188</v>
      </c>
    </row>
    <row r="28" spans="1:25" s="24" customFormat="1" ht="15">
      <c r="A28" s="25" t="s">
        <v>97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7"/>
      <c r="W28" s="117"/>
      <c r="X28" s="117"/>
      <c r="Y28" s="36" t="s">
        <v>98</v>
      </c>
    </row>
    <row r="29" spans="1:25" s="24" customFormat="1" ht="15">
      <c r="A29" s="25" t="s">
        <v>189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7"/>
      <c r="W29" s="117"/>
      <c r="X29" s="117"/>
      <c r="Y29" s="36" t="s">
        <v>190</v>
      </c>
    </row>
    <row r="30" spans="1:25" s="24" customFormat="1">
      <c r="A30" s="25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64"/>
      <c r="W30" s="164"/>
      <c r="X30" s="164"/>
    </row>
    <row r="31" spans="1:25" s="168" customFormat="1" ht="12.75">
      <c r="A31" s="165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7"/>
      <c r="W31" s="167"/>
      <c r="X31" s="167"/>
    </row>
    <row r="32" spans="1:25" s="168" customFormat="1" ht="12.75">
      <c r="A32" s="165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7"/>
      <c r="W32" s="167"/>
      <c r="X32" s="167"/>
    </row>
    <row r="33" spans="1:24" s="168" customFormat="1" ht="12.75">
      <c r="A33" s="165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7"/>
      <c r="W33" s="167"/>
      <c r="X33" s="167"/>
    </row>
    <row r="34" spans="1:24" s="168" customFormat="1" ht="12.75">
      <c r="A34" s="165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7"/>
      <c r="W34" s="167"/>
      <c r="X34" s="167"/>
    </row>
    <row r="35" spans="1:24" s="168" customFormat="1" ht="12.75">
      <c r="A35" s="165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7"/>
      <c r="W35" s="167"/>
      <c r="X35" s="167"/>
    </row>
    <row r="36" spans="1:24" s="168" customFormat="1" ht="12.75">
      <c r="A36" s="165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7"/>
      <c r="W36" s="167"/>
      <c r="X36" s="167"/>
    </row>
    <row r="37" spans="1:24" s="168" customFormat="1"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70"/>
      <c r="W37" s="170"/>
      <c r="X37" s="170"/>
    </row>
  </sheetData>
  <mergeCells count="9">
    <mergeCell ref="T6:U6"/>
    <mergeCell ref="A1:Y1"/>
    <mergeCell ref="A2:Y2"/>
    <mergeCell ref="A3:Y3"/>
    <mergeCell ref="A4:Y4"/>
    <mergeCell ref="E5:G5"/>
    <mergeCell ref="T5:U5"/>
    <mergeCell ref="V5:W5"/>
    <mergeCell ref="V6:W6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5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"/>
  <sheetViews>
    <sheetView zoomScaleNormal="100" workbookViewId="0">
      <selection activeCell="L27" sqref="L27"/>
    </sheetView>
  </sheetViews>
  <sheetFormatPr defaultColWidth="8.85546875" defaultRowHeight="12.75"/>
  <cols>
    <col min="1" max="1" width="29.140625" style="19" customWidth="1"/>
    <col min="2" max="11" width="8.85546875" style="28" hidden="1" customWidth="1"/>
    <col min="12" max="12" width="8.85546875" style="28"/>
    <col min="13" max="13" width="10.140625" style="28" customWidth="1"/>
    <col min="14" max="14" width="11.5703125" style="28" customWidth="1"/>
    <col min="15" max="19" width="8.85546875" style="28"/>
    <col min="20" max="21" width="10.28515625" style="28" customWidth="1"/>
    <col min="22" max="22" width="1.28515625" style="28" customWidth="1"/>
    <col min="23" max="24" width="12.5703125" style="28" customWidth="1"/>
    <col min="25" max="25" width="3.85546875" style="28" customWidth="1"/>
    <col min="26" max="26" width="42" style="19" customWidth="1"/>
    <col min="27" max="16384" width="8.85546875" style="19"/>
  </cols>
  <sheetData>
    <row r="1" spans="1:26" ht="19.5">
      <c r="A1" s="285" t="s">
        <v>260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26">
      <c r="A2" s="305" t="s">
        <v>261</v>
      </c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</row>
    <row r="3" spans="1:26" ht="14.25">
      <c r="A3" s="306" t="s">
        <v>99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</row>
    <row r="4" spans="1:26" s="20" customFormat="1">
      <c r="A4" s="291" t="s">
        <v>153</v>
      </c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</row>
    <row r="5" spans="1:26" s="20" customFormat="1" ht="18.75">
      <c r="A5" s="196"/>
      <c r="B5" s="196"/>
      <c r="D5" s="121" t="s">
        <v>2</v>
      </c>
      <c r="E5" s="318" t="s">
        <v>6</v>
      </c>
      <c r="F5" s="318"/>
      <c r="G5" s="318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316" t="s">
        <v>191</v>
      </c>
      <c r="U5" s="317"/>
      <c r="V5" s="123"/>
      <c r="W5" s="319" t="s">
        <v>149</v>
      </c>
      <c r="X5" s="319"/>
      <c r="Y5" s="176"/>
    </row>
    <row r="6" spans="1:26" s="38" customFormat="1" ht="15">
      <c r="A6" s="124" t="s">
        <v>1</v>
      </c>
      <c r="D6" s="89" t="s">
        <v>192</v>
      </c>
      <c r="E6" s="125" t="s">
        <v>5</v>
      </c>
      <c r="F6" s="125" t="s">
        <v>5</v>
      </c>
      <c r="G6" s="125" t="s">
        <v>5</v>
      </c>
      <c r="H6" s="125"/>
      <c r="I6" s="125"/>
      <c r="J6" s="125"/>
      <c r="K6" s="125" t="s">
        <v>4</v>
      </c>
      <c r="L6" s="125" t="s">
        <v>4</v>
      </c>
      <c r="M6" s="125" t="s">
        <v>4</v>
      </c>
      <c r="N6" s="16" t="s">
        <v>4</v>
      </c>
      <c r="O6" s="203" t="s">
        <v>4</v>
      </c>
      <c r="P6" s="203" t="s">
        <v>263</v>
      </c>
      <c r="Q6" s="203" t="s">
        <v>244</v>
      </c>
      <c r="R6" s="203" t="s">
        <v>244</v>
      </c>
      <c r="S6" s="203" t="s">
        <v>244</v>
      </c>
      <c r="T6" s="314" t="s">
        <v>155</v>
      </c>
      <c r="U6" s="315"/>
      <c r="V6" s="173"/>
      <c r="W6" s="313" t="s">
        <v>104</v>
      </c>
      <c r="X6" s="313"/>
      <c r="Y6" s="177"/>
      <c r="Z6" s="190" t="s">
        <v>3</v>
      </c>
    </row>
    <row r="7" spans="1:26" s="129" customFormat="1">
      <c r="A7" s="126"/>
      <c r="B7" s="126">
        <v>2007</v>
      </c>
      <c r="C7" s="126">
        <v>2008</v>
      </c>
      <c r="D7" s="126">
        <v>2009</v>
      </c>
      <c r="E7" s="126">
        <v>2010</v>
      </c>
      <c r="F7" s="126">
        <v>2011</v>
      </c>
      <c r="G7" s="126">
        <v>2012</v>
      </c>
      <c r="H7" s="126">
        <v>2009</v>
      </c>
      <c r="I7" s="126">
        <v>2010</v>
      </c>
      <c r="J7" s="126">
        <v>2011</v>
      </c>
      <c r="K7" s="126">
        <v>2012</v>
      </c>
      <c r="L7" s="126">
        <v>2013</v>
      </c>
      <c r="M7" s="126">
        <v>2014</v>
      </c>
      <c r="N7" s="17">
        <v>2015</v>
      </c>
      <c r="O7" s="204">
        <v>2016</v>
      </c>
      <c r="P7" s="204">
        <v>2017</v>
      </c>
      <c r="Q7" s="204">
        <v>2018</v>
      </c>
      <c r="R7" s="204">
        <v>2019</v>
      </c>
      <c r="S7" s="204">
        <v>2020</v>
      </c>
      <c r="T7" s="246">
        <v>2016</v>
      </c>
      <c r="U7" s="259">
        <v>2017</v>
      </c>
      <c r="V7" s="126"/>
      <c r="W7" s="127" t="s">
        <v>243</v>
      </c>
      <c r="X7" s="265" t="s">
        <v>259</v>
      </c>
      <c r="Y7" s="128"/>
      <c r="Z7" s="128"/>
    </row>
    <row r="8" spans="1:26" s="23" customFormat="1" ht="18" customHeight="1">
      <c r="A8" s="75" t="s">
        <v>193</v>
      </c>
      <c r="B8" s="130">
        <f t="shared" ref="B8:O8" si="0">SUM(B9,B28)</f>
        <v>1640.8000000000002</v>
      </c>
      <c r="C8" s="130">
        <f t="shared" si="0"/>
        <v>2712.7999999999997</v>
      </c>
      <c r="D8" s="130">
        <f t="shared" si="0"/>
        <v>2938.9670029999997</v>
      </c>
      <c r="E8" s="130">
        <f t="shared" si="0"/>
        <v>1791.4</v>
      </c>
      <c r="F8" s="130">
        <f t="shared" si="0"/>
        <v>1261.8</v>
      </c>
      <c r="G8" s="130">
        <f t="shared" si="0"/>
        <v>1398.8000000000002</v>
      </c>
      <c r="H8" s="130">
        <f t="shared" si="0"/>
        <v>2214.6986589999997</v>
      </c>
      <c r="I8" s="130">
        <f t="shared" si="0"/>
        <v>2445.9177938999997</v>
      </c>
      <c r="J8" s="130">
        <f t="shared" si="0"/>
        <v>3188.9832150000002</v>
      </c>
      <c r="K8" s="130">
        <f t="shared" si="0"/>
        <v>2793.5176700000002</v>
      </c>
      <c r="L8" s="179">
        <f t="shared" si="0"/>
        <v>1957.5564169399997</v>
      </c>
      <c r="M8" s="179">
        <f t="shared" si="0"/>
        <v>2462.8850039999998</v>
      </c>
      <c r="N8" s="179">
        <f t="shared" si="0"/>
        <v>4658.3671360299995</v>
      </c>
      <c r="O8" s="256">
        <f t="shared" si="0"/>
        <v>0</v>
      </c>
      <c r="P8" s="256">
        <f t="shared" ref="P8" si="1">SUM(P9,P28)</f>
        <v>0</v>
      </c>
      <c r="Q8" s="256">
        <f t="shared" ref="Q8:R8" si="2">SUM(Q9,Q28)</f>
        <v>0</v>
      </c>
      <c r="R8" s="256">
        <f t="shared" si="2"/>
        <v>0</v>
      </c>
      <c r="S8" s="256">
        <f t="shared" ref="S8" si="3">SUM(S9,S28)</f>
        <v>0</v>
      </c>
      <c r="T8" s="247"/>
      <c r="U8" s="260"/>
      <c r="V8" s="131"/>
      <c r="W8" s="132">
        <f t="shared" ref="W8:X28" si="4">+((O8/N8)-1)*100</f>
        <v>-100</v>
      </c>
      <c r="X8" s="266" t="e">
        <f>+((P8/O8)-1)*100</f>
        <v>#DIV/0!</v>
      </c>
      <c r="Z8" s="78" t="s">
        <v>194</v>
      </c>
    </row>
    <row r="9" spans="1:26" s="23" customFormat="1" ht="18" customHeight="1">
      <c r="A9" s="75" t="s">
        <v>195</v>
      </c>
      <c r="B9" s="130">
        <f t="shared" ref="B9:O9" si="5">SUM(B10,B15,B21)</f>
        <v>1765.3000000000002</v>
      </c>
      <c r="C9" s="130">
        <f t="shared" si="5"/>
        <v>2879.2</v>
      </c>
      <c r="D9" s="130">
        <f t="shared" si="5"/>
        <v>3007.8670029999998</v>
      </c>
      <c r="E9" s="130">
        <f t="shared" si="5"/>
        <v>2038.9</v>
      </c>
      <c r="F9" s="130">
        <f t="shared" si="5"/>
        <v>1537</v>
      </c>
      <c r="G9" s="130">
        <f t="shared" si="5"/>
        <v>1645.0000000000002</v>
      </c>
      <c r="H9" s="130">
        <f t="shared" si="5"/>
        <v>2365.5349919999999</v>
      </c>
      <c r="I9" s="130">
        <f t="shared" si="5"/>
        <v>2627.2177938999998</v>
      </c>
      <c r="J9" s="130">
        <f t="shared" si="5"/>
        <v>3587.9832150000002</v>
      </c>
      <c r="K9" s="130">
        <f t="shared" si="5"/>
        <v>2883.7493060000002</v>
      </c>
      <c r="L9" s="179">
        <f t="shared" si="5"/>
        <v>2093.0414239399997</v>
      </c>
      <c r="M9" s="179">
        <f t="shared" si="5"/>
        <v>2585.0470539999997</v>
      </c>
      <c r="N9" s="179">
        <f t="shared" si="5"/>
        <v>4762.3853820299992</v>
      </c>
      <c r="O9" s="256">
        <f t="shared" si="5"/>
        <v>0</v>
      </c>
      <c r="P9" s="256">
        <f t="shared" ref="P9:Q9" si="6">SUM(P10,P15,P21)</f>
        <v>0</v>
      </c>
      <c r="Q9" s="256">
        <f t="shared" si="6"/>
        <v>0</v>
      </c>
      <c r="R9" s="256">
        <f t="shared" ref="R9:S9" si="7">SUM(R10,R15,R21)</f>
        <v>0</v>
      </c>
      <c r="S9" s="256">
        <f t="shared" si="7"/>
        <v>0</v>
      </c>
      <c r="T9" s="248" t="e">
        <f>+(O9/$O$9)*100</f>
        <v>#DIV/0!</v>
      </c>
      <c r="U9" s="261" t="e">
        <f>+(P9/$O$9)*100</f>
        <v>#DIV/0!</v>
      </c>
      <c r="V9" s="131"/>
      <c r="W9" s="132">
        <f t="shared" si="4"/>
        <v>-100</v>
      </c>
      <c r="X9" s="266" t="e">
        <f t="shared" si="4"/>
        <v>#DIV/0!</v>
      </c>
      <c r="Z9" s="78" t="s">
        <v>196</v>
      </c>
    </row>
    <row r="10" spans="1:26" s="23" customFormat="1" ht="18" customHeight="1">
      <c r="A10" s="75" t="s">
        <v>197</v>
      </c>
      <c r="B10" s="130">
        <f t="shared" ref="B10:O10" si="8">SUM(B11:B14)</f>
        <v>808.9</v>
      </c>
      <c r="C10" s="130">
        <f t="shared" si="8"/>
        <v>498.79999999999995</v>
      </c>
      <c r="D10" s="130">
        <f t="shared" si="8"/>
        <v>867.71007999999995</v>
      </c>
      <c r="E10" s="130">
        <f t="shared" si="8"/>
        <v>495.4</v>
      </c>
      <c r="F10" s="130">
        <f t="shared" si="8"/>
        <v>381.3</v>
      </c>
      <c r="G10" s="130">
        <f t="shared" si="8"/>
        <v>709.7</v>
      </c>
      <c r="H10" s="130">
        <f t="shared" si="8"/>
        <v>696.52141600000004</v>
      </c>
      <c r="I10" s="130">
        <f t="shared" si="8"/>
        <v>635.70163600000001</v>
      </c>
      <c r="J10" s="130">
        <f t="shared" si="8"/>
        <v>1285.636868</v>
      </c>
      <c r="K10" s="130">
        <f t="shared" si="8"/>
        <v>1139.8289990000001</v>
      </c>
      <c r="L10" s="179">
        <f t="shared" si="8"/>
        <v>462.58586595999998</v>
      </c>
      <c r="M10" s="179">
        <f t="shared" si="8"/>
        <v>679.01722999999993</v>
      </c>
      <c r="N10" s="179">
        <f t="shared" si="8"/>
        <v>2079.0821064299998</v>
      </c>
      <c r="O10" s="256">
        <f t="shared" si="8"/>
        <v>0</v>
      </c>
      <c r="P10" s="256">
        <f t="shared" ref="P10:Q10" si="9">SUM(P11:P14)</f>
        <v>0</v>
      </c>
      <c r="Q10" s="256">
        <f t="shared" si="9"/>
        <v>0</v>
      </c>
      <c r="R10" s="256">
        <f t="shared" ref="R10:S10" si="10">SUM(R11:R14)</f>
        <v>0</v>
      </c>
      <c r="S10" s="256">
        <f t="shared" si="10"/>
        <v>0</v>
      </c>
      <c r="T10" s="248" t="e">
        <f t="shared" ref="T10:U31" si="11">+(O10/$O$9)*100</f>
        <v>#DIV/0!</v>
      </c>
      <c r="U10" s="261" t="e">
        <f t="shared" si="11"/>
        <v>#DIV/0!</v>
      </c>
      <c r="V10" s="131"/>
      <c r="W10" s="132">
        <f t="shared" si="4"/>
        <v>-100</v>
      </c>
      <c r="X10" s="266" t="e">
        <f t="shared" si="4"/>
        <v>#DIV/0!</v>
      </c>
      <c r="Z10" s="78" t="s">
        <v>198</v>
      </c>
    </row>
    <row r="11" spans="1:26" s="24" customFormat="1" ht="18" customHeight="1">
      <c r="A11" s="79" t="s">
        <v>199</v>
      </c>
      <c r="B11" s="192">
        <v>465.50000000000006</v>
      </c>
      <c r="C11" s="133">
        <v>300.39999999999998</v>
      </c>
      <c r="D11" s="133">
        <v>659</v>
      </c>
      <c r="E11" s="133">
        <v>197</v>
      </c>
      <c r="F11" s="133">
        <v>230.9</v>
      </c>
      <c r="G11" s="133">
        <v>523.29999999999995</v>
      </c>
      <c r="H11" s="133">
        <v>557.45811400000002</v>
      </c>
      <c r="I11" s="133">
        <v>524.06922099999997</v>
      </c>
      <c r="J11" s="133">
        <v>923.85471400000006</v>
      </c>
      <c r="K11" s="133">
        <v>967.18460399999992</v>
      </c>
      <c r="L11" s="180">
        <v>254.18770169000001</v>
      </c>
      <c r="M11" s="180">
        <v>432.35995500000001</v>
      </c>
      <c r="N11" s="180">
        <v>1056.8424239999999</v>
      </c>
      <c r="O11" s="252"/>
      <c r="P11" s="252"/>
      <c r="Q11" s="252"/>
      <c r="R11" s="252"/>
      <c r="S11" s="252"/>
      <c r="T11" s="249" t="e">
        <f t="shared" si="11"/>
        <v>#DIV/0!</v>
      </c>
      <c r="U11" s="262" t="e">
        <f t="shared" si="11"/>
        <v>#DIV/0!</v>
      </c>
      <c r="V11" s="134"/>
      <c r="W11" s="135">
        <f t="shared" si="4"/>
        <v>-100</v>
      </c>
      <c r="X11" s="267" t="e">
        <f t="shared" si="4"/>
        <v>#DIV/0!</v>
      </c>
      <c r="Z11" s="36" t="s">
        <v>159</v>
      </c>
    </row>
    <row r="12" spans="1:26" s="24" customFormat="1" ht="18" customHeight="1">
      <c r="A12" s="79" t="s">
        <v>200</v>
      </c>
      <c r="B12" s="192">
        <v>71.099999999999994</v>
      </c>
      <c r="C12" s="133">
        <v>37.299999999999997</v>
      </c>
      <c r="D12" s="133">
        <v>41.634203999999997</v>
      </c>
      <c r="E12" s="133">
        <v>33</v>
      </c>
      <c r="F12" s="133">
        <v>26.7</v>
      </c>
      <c r="G12" s="133">
        <v>21.2</v>
      </c>
      <c r="H12" s="133">
        <v>39.637543000000001</v>
      </c>
      <c r="I12" s="133">
        <v>18.016133</v>
      </c>
      <c r="J12" s="133">
        <v>136.47622799999999</v>
      </c>
      <c r="K12" s="133">
        <v>12.031162</v>
      </c>
      <c r="L12" s="180">
        <v>2.399518</v>
      </c>
      <c r="M12" s="180">
        <v>88.919511</v>
      </c>
      <c r="N12" s="180">
        <v>172.01989833000002</v>
      </c>
      <c r="O12" s="252"/>
      <c r="P12" s="252"/>
      <c r="Q12" s="252"/>
      <c r="R12" s="252"/>
      <c r="S12" s="252"/>
      <c r="T12" s="249" t="e">
        <f t="shared" si="11"/>
        <v>#DIV/0!</v>
      </c>
      <c r="U12" s="262" t="e">
        <f t="shared" si="11"/>
        <v>#DIV/0!</v>
      </c>
      <c r="V12" s="134"/>
      <c r="W12" s="135">
        <f t="shared" si="4"/>
        <v>-100</v>
      </c>
      <c r="X12" s="267" t="e">
        <f t="shared" si="4"/>
        <v>#DIV/0!</v>
      </c>
      <c r="Z12" s="36" t="s">
        <v>161</v>
      </c>
    </row>
    <row r="13" spans="1:26" s="23" customFormat="1" ht="18" customHeight="1">
      <c r="A13" s="79" t="s">
        <v>201</v>
      </c>
      <c r="B13" s="133">
        <v>225.4</v>
      </c>
      <c r="C13" s="133">
        <v>149.1</v>
      </c>
      <c r="D13" s="133">
        <v>145.506271</v>
      </c>
      <c r="E13" s="133">
        <v>227.5</v>
      </c>
      <c r="F13" s="133">
        <v>86.3</v>
      </c>
      <c r="G13" s="133">
        <v>118</v>
      </c>
      <c r="H13" s="133">
        <v>73.816480999999996</v>
      </c>
      <c r="I13" s="133">
        <v>59.56033</v>
      </c>
      <c r="J13" s="133">
        <v>67.595481000000007</v>
      </c>
      <c r="K13" s="133">
        <v>55.118071999999998</v>
      </c>
      <c r="L13" s="180">
        <v>66.5179136</v>
      </c>
      <c r="M13" s="180">
        <v>105.52811699999999</v>
      </c>
      <c r="N13" s="180">
        <v>169.18427500000001</v>
      </c>
      <c r="O13" s="252"/>
      <c r="P13" s="252"/>
      <c r="Q13" s="252"/>
      <c r="R13" s="252"/>
      <c r="S13" s="252"/>
      <c r="T13" s="249" t="e">
        <f t="shared" si="11"/>
        <v>#DIV/0!</v>
      </c>
      <c r="U13" s="262" t="e">
        <f t="shared" si="11"/>
        <v>#DIV/0!</v>
      </c>
      <c r="V13" s="134"/>
      <c r="W13" s="135">
        <f t="shared" si="4"/>
        <v>-100</v>
      </c>
      <c r="X13" s="267" t="e">
        <f t="shared" si="4"/>
        <v>#DIV/0!</v>
      </c>
      <c r="Z13" s="36" t="s">
        <v>202</v>
      </c>
    </row>
    <row r="14" spans="1:26" s="24" customFormat="1" ht="18" customHeight="1">
      <c r="A14" s="79" t="s">
        <v>203</v>
      </c>
      <c r="B14" s="192">
        <v>46.9</v>
      </c>
      <c r="C14" s="133">
        <v>12</v>
      </c>
      <c r="D14" s="133">
        <v>21.569604999999999</v>
      </c>
      <c r="E14" s="133">
        <v>37.9</v>
      </c>
      <c r="F14" s="133">
        <v>37.4</v>
      </c>
      <c r="G14" s="133">
        <v>47.2</v>
      </c>
      <c r="H14" s="133">
        <v>25.609278</v>
      </c>
      <c r="I14" s="133">
        <v>34.055951999999998</v>
      </c>
      <c r="J14" s="133">
        <v>157.71044499999999</v>
      </c>
      <c r="K14" s="133">
        <v>105.495161</v>
      </c>
      <c r="L14" s="181">
        <v>139.48073266999998</v>
      </c>
      <c r="M14" s="181">
        <v>52.209646999999997</v>
      </c>
      <c r="N14" s="181">
        <v>681.03550910000001</v>
      </c>
      <c r="O14" s="253"/>
      <c r="P14" s="253"/>
      <c r="Q14" s="253"/>
      <c r="R14" s="253"/>
      <c r="S14" s="253"/>
      <c r="T14" s="249" t="e">
        <f t="shared" si="11"/>
        <v>#DIV/0!</v>
      </c>
      <c r="U14" s="262" t="e">
        <f t="shared" si="11"/>
        <v>#DIV/0!</v>
      </c>
      <c r="V14" s="134"/>
      <c r="W14" s="135">
        <f t="shared" si="4"/>
        <v>-100</v>
      </c>
      <c r="X14" s="267" t="e">
        <f t="shared" si="4"/>
        <v>#DIV/0!</v>
      </c>
      <c r="Z14" s="36" t="s">
        <v>165</v>
      </c>
    </row>
    <row r="15" spans="1:26" s="23" customFormat="1" ht="18" customHeight="1">
      <c r="A15" s="75" t="s">
        <v>204</v>
      </c>
      <c r="B15" s="130">
        <f>SUM(B16:B20)</f>
        <v>626.5</v>
      </c>
      <c r="C15" s="130">
        <f t="shared" ref="C15:P15" si="12">SUM(C16:C20)</f>
        <v>1443.3</v>
      </c>
      <c r="D15" s="130">
        <f t="shared" si="12"/>
        <v>849.36242600000003</v>
      </c>
      <c r="E15" s="130">
        <f t="shared" si="12"/>
        <v>896.5</v>
      </c>
      <c r="F15" s="130">
        <f t="shared" si="12"/>
        <v>834.6</v>
      </c>
      <c r="G15" s="130">
        <f t="shared" si="12"/>
        <v>734.1</v>
      </c>
      <c r="H15" s="130">
        <f t="shared" si="12"/>
        <v>1087.278699</v>
      </c>
      <c r="I15" s="130">
        <f t="shared" si="12"/>
        <v>1816.638207</v>
      </c>
      <c r="J15" s="130">
        <f t="shared" si="12"/>
        <v>1383.244537</v>
      </c>
      <c r="K15" s="130">
        <f t="shared" si="12"/>
        <v>1081.7647489999999</v>
      </c>
      <c r="L15" s="179">
        <f t="shared" si="12"/>
        <v>1108.2257616500001</v>
      </c>
      <c r="M15" s="179">
        <f t="shared" si="12"/>
        <v>1155.5744520000001</v>
      </c>
      <c r="N15" s="179">
        <f t="shared" si="12"/>
        <v>1812.3305333000001</v>
      </c>
      <c r="O15" s="256">
        <f t="shared" si="12"/>
        <v>0</v>
      </c>
      <c r="P15" s="256">
        <f t="shared" si="12"/>
        <v>0</v>
      </c>
      <c r="Q15" s="256">
        <f t="shared" ref="Q15:R15" si="13">SUM(Q16:Q20)</f>
        <v>0</v>
      </c>
      <c r="R15" s="256">
        <f t="shared" si="13"/>
        <v>0</v>
      </c>
      <c r="S15" s="256">
        <f t="shared" ref="S15" si="14">SUM(S16:S20)</f>
        <v>0</v>
      </c>
      <c r="T15" s="248" t="e">
        <f t="shared" si="11"/>
        <v>#DIV/0!</v>
      </c>
      <c r="U15" s="261" t="e">
        <f t="shared" si="11"/>
        <v>#DIV/0!</v>
      </c>
      <c r="V15" s="131"/>
      <c r="W15" s="132">
        <f t="shared" si="4"/>
        <v>-100</v>
      </c>
      <c r="X15" s="266" t="e">
        <f t="shared" si="4"/>
        <v>#DIV/0!</v>
      </c>
      <c r="Z15" s="78" t="s">
        <v>205</v>
      </c>
    </row>
    <row r="16" spans="1:26" s="24" customFormat="1" ht="18" customHeight="1">
      <c r="A16" s="79" t="s">
        <v>206</v>
      </c>
      <c r="B16" s="192">
        <v>164.4</v>
      </c>
      <c r="C16" s="133">
        <v>163.4</v>
      </c>
      <c r="D16" s="133">
        <v>108.19257</v>
      </c>
      <c r="E16" s="133">
        <v>68.400000000000006</v>
      </c>
      <c r="F16" s="133">
        <v>36.6</v>
      </c>
      <c r="G16" s="133">
        <v>29.5</v>
      </c>
      <c r="H16" s="133">
        <v>133.543679</v>
      </c>
      <c r="I16" s="133">
        <v>54.517771000000003</v>
      </c>
      <c r="J16" s="133">
        <v>95.493024000000005</v>
      </c>
      <c r="K16" s="133">
        <v>108.05040099999999</v>
      </c>
      <c r="L16" s="180">
        <v>74.973524780000005</v>
      </c>
      <c r="M16" s="180">
        <v>100.486884</v>
      </c>
      <c r="N16" s="180">
        <v>272.82640853000004</v>
      </c>
      <c r="O16" s="252"/>
      <c r="P16" s="252"/>
      <c r="Q16" s="252"/>
      <c r="R16" s="252"/>
      <c r="S16" s="252"/>
      <c r="T16" s="249" t="e">
        <f t="shared" si="11"/>
        <v>#DIV/0!</v>
      </c>
      <c r="U16" s="262" t="e">
        <f t="shared" si="11"/>
        <v>#DIV/0!</v>
      </c>
      <c r="V16" s="134"/>
      <c r="W16" s="135">
        <f t="shared" si="4"/>
        <v>-100</v>
      </c>
      <c r="X16" s="267" t="e">
        <f t="shared" si="4"/>
        <v>#DIV/0!</v>
      </c>
      <c r="Z16" s="36" t="s">
        <v>169</v>
      </c>
    </row>
    <row r="17" spans="1:26" s="23" customFormat="1" ht="18" customHeight="1">
      <c r="A17" s="79" t="s">
        <v>207</v>
      </c>
      <c r="B17" s="192">
        <v>99.9</v>
      </c>
      <c r="C17" s="133">
        <v>289.10000000000002</v>
      </c>
      <c r="D17" s="133">
        <v>46.711798999999999</v>
      </c>
      <c r="E17" s="133">
        <v>45.4</v>
      </c>
      <c r="F17" s="133">
        <v>27.2</v>
      </c>
      <c r="G17" s="133">
        <v>25.5</v>
      </c>
      <c r="H17" s="133">
        <v>68.366566000000006</v>
      </c>
      <c r="I17" s="133">
        <v>43.913061999999996</v>
      </c>
      <c r="J17" s="133">
        <v>11.563515000000001</v>
      </c>
      <c r="K17" s="133">
        <v>7.7340239999999998</v>
      </c>
      <c r="L17" s="180">
        <v>21.803670879999999</v>
      </c>
      <c r="M17" s="180">
        <v>142.83905899999999</v>
      </c>
      <c r="N17" s="180">
        <v>292.79733672000003</v>
      </c>
      <c r="O17" s="252"/>
      <c r="P17" s="252"/>
      <c r="Q17" s="252"/>
      <c r="R17" s="252"/>
      <c r="S17" s="252"/>
      <c r="T17" s="249" t="e">
        <f t="shared" si="11"/>
        <v>#DIV/0!</v>
      </c>
      <c r="U17" s="262" t="e">
        <f t="shared" si="11"/>
        <v>#DIV/0!</v>
      </c>
      <c r="V17" s="134"/>
      <c r="W17" s="135">
        <f t="shared" si="4"/>
        <v>-100</v>
      </c>
      <c r="X17" s="267" t="e">
        <f t="shared" si="4"/>
        <v>#DIV/0!</v>
      </c>
      <c r="Z17" s="36" t="s">
        <v>208</v>
      </c>
    </row>
    <row r="18" spans="1:26" s="23" customFormat="1" ht="18" customHeight="1">
      <c r="A18" s="79" t="s">
        <v>209</v>
      </c>
      <c r="B18" s="192">
        <v>4.0999999999999996</v>
      </c>
      <c r="C18" s="133">
        <v>2.2000000000000002</v>
      </c>
      <c r="D18" s="133">
        <v>0.68482100000000001</v>
      </c>
      <c r="E18" s="133">
        <v>8.4</v>
      </c>
      <c r="F18" s="133">
        <v>0.7</v>
      </c>
      <c r="G18" s="133">
        <v>1</v>
      </c>
      <c r="H18" s="133">
        <v>0.54541200000000001</v>
      </c>
      <c r="I18" s="133">
        <v>0.43177199999999999</v>
      </c>
      <c r="J18" s="133">
        <v>2.5820259999999999</v>
      </c>
      <c r="K18" s="133">
        <v>0.556778</v>
      </c>
      <c r="L18" s="180">
        <v>1.21422221</v>
      </c>
      <c r="M18" s="180">
        <v>1.0108220000000001</v>
      </c>
      <c r="N18" s="180">
        <v>9.9215180000000007</v>
      </c>
      <c r="O18" s="252"/>
      <c r="P18" s="252"/>
      <c r="Q18" s="252"/>
      <c r="R18" s="252"/>
      <c r="S18" s="252"/>
      <c r="T18" s="249" t="e">
        <f t="shared" si="11"/>
        <v>#DIV/0!</v>
      </c>
      <c r="U18" s="262" t="e">
        <f t="shared" si="11"/>
        <v>#DIV/0!</v>
      </c>
      <c r="V18" s="134"/>
      <c r="W18" s="135">
        <f t="shared" si="4"/>
        <v>-100</v>
      </c>
      <c r="X18" s="267" t="e">
        <f t="shared" si="4"/>
        <v>#DIV/0!</v>
      </c>
      <c r="Z18" s="36" t="s">
        <v>173</v>
      </c>
    </row>
    <row r="19" spans="1:26" s="24" customFormat="1" ht="18" customHeight="1">
      <c r="A19" s="79" t="s">
        <v>210</v>
      </c>
      <c r="B19" s="192">
        <v>358.1</v>
      </c>
      <c r="C19" s="133">
        <v>988.6</v>
      </c>
      <c r="D19" s="133">
        <v>693.773236</v>
      </c>
      <c r="E19" s="133">
        <v>774.3</v>
      </c>
      <c r="F19" s="133">
        <v>770.1</v>
      </c>
      <c r="G19" s="133">
        <v>678.1</v>
      </c>
      <c r="H19" s="133">
        <v>884.82304199999999</v>
      </c>
      <c r="I19" s="133">
        <v>1717.7756019999999</v>
      </c>
      <c r="J19" s="133">
        <v>1273.6059720000001</v>
      </c>
      <c r="K19" s="133">
        <v>965.42354599999999</v>
      </c>
      <c r="L19" s="181">
        <v>975.31386029999999</v>
      </c>
      <c r="M19" s="181">
        <v>768.75352099999998</v>
      </c>
      <c r="N19" s="181">
        <v>0</v>
      </c>
      <c r="O19" s="253"/>
      <c r="P19" s="253"/>
      <c r="Q19" s="253"/>
      <c r="R19" s="253"/>
      <c r="S19" s="253"/>
      <c r="T19" s="250">
        <v>0</v>
      </c>
      <c r="U19" s="263">
        <v>0</v>
      </c>
      <c r="V19" s="134"/>
      <c r="W19" s="202">
        <v>0</v>
      </c>
      <c r="X19" s="268">
        <v>0</v>
      </c>
      <c r="Z19" s="36" t="s">
        <v>211</v>
      </c>
    </row>
    <row r="20" spans="1:26" s="24" customFormat="1" ht="18" customHeight="1">
      <c r="A20" s="79" t="s">
        <v>238</v>
      </c>
      <c r="B20" s="192"/>
      <c r="C20" s="80">
        <v>0</v>
      </c>
      <c r="D20" s="80">
        <v>0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181">
        <v>34.920483480000001</v>
      </c>
      <c r="M20" s="181">
        <v>142.48416599999999</v>
      </c>
      <c r="N20" s="181">
        <v>1236.78527005</v>
      </c>
      <c r="O20" s="253"/>
      <c r="P20" s="253"/>
      <c r="Q20" s="253"/>
      <c r="R20" s="253"/>
      <c r="S20" s="253"/>
      <c r="T20" s="249" t="e">
        <f t="shared" si="11"/>
        <v>#DIV/0!</v>
      </c>
      <c r="U20" s="262" t="e">
        <f t="shared" si="11"/>
        <v>#DIV/0!</v>
      </c>
      <c r="V20" s="134"/>
      <c r="W20" s="135">
        <f t="shared" si="4"/>
        <v>-100</v>
      </c>
      <c r="X20" s="267" t="e">
        <f t="shared" si="4"/>
        <v>#DIV/0!</v>
      </c>
      <c r="Z20" s="136" t="s">
        <v>240</v>
      </c>
    </row>
    <row r="21" spans="1:26" s="23" customFormat="1" ht="18" customHeight="1">
      <c r="A21" s="75" t="s">
        <v>176</v>
      </c>
      <c r="B21" s="76">
        <f t="shared" ref="B21:O21" si="15">SUM(B22:B27)</f>
        <v>329.9</v>
      </c>
      <c r="C21" s="76">
        <f t="shared" si="15"/>
        <v>937.10000000000014</v>
      </c>
      <c r="D21" s="76">
        <f t="shared" si="15"/>
        <v>1290.7944969999999</v>
      </c>
      <c r="E21" s="76">
        <f t="shared" si="15"/>
        <v>647</v>
      </c>
      <c r="F21" s="76">
        <f t="shared" si="15"/>
        <v>321.10000000000002</v>
      </c>
      <c r="G21" s="76">
        <f t="shared" si="15"/>
        <v>201.2</v>
      </c>
      <c r="H21" s="76">
        <f t="shared" si="15"/>
        <v>581.73487699999998</v>
      </c>
      <c r="I21" s="76">
        <f t="shared" si="15"/>
        <v>174.8779509</v>
      </c>
      <c r="J21" s="76">
        <f t="shared" si="15"/>
        <v>919.10181</v>
      </c>
      <c r="K21" s="76">
        <f t="shared" si="15"/>
        <v>662.15555800000004</v>
      </c>
      <c r="L21" s="182">
        <f t="shared" si="15"/>
        <v>522.22979633</v>
      </c>
      <c r="M21" s="182">
        <f t="shared" si="15"/>
        <v>750.4553719999999</v>
      </c>
      <c r="N21" s="182">
        <f t="shared" si="15"/>
        <v>870.97274229999994</v>
      </c>
      <c r="O21" s="257">
        <f t="shared" si="15"/>
        <v>0</v>
      </c>
      <c r="P21" s="257">
        <f t="shared" ref="P21:Q21" si="16">SUM(P22:P27)</f>
        <v>0</v>
      </c>
      <c r="Q21" s="257">
        <f t="shared" si="16"/>
        <v>0</v>
      </c>
      <c r="R21" s="257">
        <f t="shared" ref="R21:S21" si="17">SUM(R22:R27)</f>
        <v>0</v>
      </c>
      <c r="S21" s="257">
        <f t="shared" si="17"/>
        <v>0</v>
      </c>
      <c r="T21" s="248" t="e">
        <f t="shared" si="11"/>
        <v>#DIV/0!</v>
      </c>
      <c r="U21" s="261" t="e">
        <f t="shared" si="11"/>
        <v>#DIV/0!</v>
      </c>
      <c r="V21" s="131"/>
      <c r="W21" s="132">
        <f t="shared" si="4"/>
        <v>-100</v>
      </c>
      <c r="X21" s="266" t="e">
        <f t="shared" si="4"/>
        <v>#DIV/0!</v>
      </c>
      <c r="Z21" s="78" t="s">
        <v>129</v>
      </c>
    </row>
    <row r="22" spans="1:26" s="24" customFormat="1" ht="18" customHeight="1">
      <c r="A22" s="79" t="s">
        <v>212</v>
      </c>
      <c r="B22" s="192">
        <v>154.1</v>
      </c>
      <c r="C22" s="133">
        <v>129.69999999999999</v>
      </c>
      <c r="D22" s="133">
        <v>42.402295000000002</v>
      </c>
      <c r="E22" s="133">
        <v>60.5</v>
      </c>
      <c r="F22" s="133">
        <v>71.900000000000006</v>
      </c>
      <c r="G22" s="133">
        <v>64.2</v>
      </c>
      <c r="H22" s="133">
        <v>23.587022999999999</v>
      </c>
      <c r="I22" s="133">
        <v>37.776733</v>
      </c>
      <c r="J22" s="133">
        <v>33.651007999999997</v>
      </c>
      <c r="K22" s="133">
        <v>24.679010000000002</v>
      </c>
      <c r="L22" s="180">
        <v>7.6444678900000005</v>
      </c>
      <c r="M22" s="180">
        <v>16.246099999999998</v>
      </c>
      <c r="N22" s="180">
        <v>22.831656149999997</v>
      </c>
      <c r="O22" s="252"/>
      <c r="P22" s="252"/>
      <c r="Q22" s="252"/>
      <c r="R22" s="252"/>
      <c r="S22" s="252"/>
      <c r="T22" s="249" t="e">
        <f t="shared" si="11"/>
        <v>#DIV/0!</v>
      </c>
      <c r="U22" s="262" t="e">
        <f t="shared" si="11"/>
        <v>#DIV/0!</v>
      </c>
      <c r="V22" s="134"/>
      <c r="W22" s="135">
        <f t="shared" si="4"/>
        <v>-100</v>
      </c>
      <c r="X22" s="267" t="e">
        <f t="shared" si="4"/>
        <v>#DIV/0!</v>
      </c>
      <c r="Z22" s="36" t="s">
        <v>213</v>
      </c>
    </row>
    <row r="23" spans="1:26" s="24" customFormat="1" ht="18" customHeight="1">
      <c r="A23" s="79" t="s">
        <v>214</v>
      </c>
      <c r="B23" s="192">
        <v>74.7</v>
      </c>
      <c r="C23" s="133">
        <v>692.8</v>
      </c>
      <c r="D23" s="133">
        <v>318.28409399999998</v>
      </c>
      <c r="E23" s="133">
        <v>294.2</v>
      </c>
      <c r="F23" s="133">
        <v>118.6</v>
      </c>
      <c r="G23" s="133">
        <v>66.7</v>
      </c>
      <c r="H23" s="133">
        <v>10.808646</v>
      </c>
      <c r="I23" s="133">
        <v>38.970894999999999</v>
      </c>
      <c r="J23" s="133">
        <v>392.140671</v>
      </c>
      <c r="K23" s="133">
        <v>539.738832</v>
      </c>
      <c r="L23" s="180">
        <v>368.65407792000002</v>
      </c>
      <c r="M23" s="180">
        <v>579.69850299999996</v>
      </c>
      <c r="N23" s="180">
        <v>775.49623926999993</v>
      </c>
      <c r="O23" s="252"/>
      <c r="P23" s="252"/>
      <c r="Q23" s="252"/>
      <c r="R23" s="252"/>
      <c r="S23" s="252"/>
      <c r="T23" s="249" t="e">
        <f t="shared" si="11"/>
        <v>#DIV/0!</v>
      </c>
      <c r="U23" s="262" t="e">
        <f t="shared" si="11"/>
        <v>#DIV/0!</v>
      </c>
      <c r="V23" s="134"/>
      <c r="W23" s="135">
        <f t="shared" si="4"/>
        <v>-100</v>
      </c>
      <c r="X23" s="267" t="e">
        <f t="shared" si="4"/>
        <v>#DIV/0!</v>
      </c>
      <c r="Z23" s="36" t="s">
        <v>215</v>
      </c>
    </row>
    <row r="24" spans="1:26" s="24" customFormat="1" ht="18" customHeight="1">
      <c r="A24" s="79" t="s">
        <v>216</v>
      </c>
      <c r="B24" s="192">
        <v>72</v>
      </c>
      <c r="C24" s="133">
        <v>17.100000000000001</v>
      </c>
      <c r="D24" s="133">
        <v>26.934477000000001</v>
      </c>
      <c r="E24" s="133">
        <v>16.8</v>
      </c>
      <c r="F24" s="133">
        <v>7.5</v>
      </c>
      <c r="G24" s="133">
        <v>14</v>
      </c>
      <c r="H24" s="133">
        <v>32.757654000000002</v>
      </c>
      <c r="I24" s="133">
        <v>26.097563999999998</v>
      </c>
      <c r="J24" s="133">
        <v>39.440274000000002</v>
      </c>
      <c r="K24" s="133">
        <v>39.200918999999999</v>
      </c>
      <c r="L24" s="180">
        <v>5.0254116199999999</v>
      </c>
      <c r="M24" s="180">
        <v>42.439954</v>
      </c>
      <c r="N24" s="180">
        <v>20.908233500000001</v>
      </c>
      <c r="O24" s="252"/>
      <c r="P24" s="252"/>
      <c r="Q24" s="252"/>
      <c r="R24" s="252"/>
      <c r="S24" s="252"/>
      <c r="T24" s="249" t="e">
        <f t="shared" si="11"/>
        <v>#DIV/0!</v>
      </c>
      <c r="U24" s="262" t="e">
        <f t="shared" si="11"/>
        <v>#DIV/0!</v>
      </c>
      <c r="V24" s="134"/>
      <c r="W24" s="135">
        <f t="shared" si="4"/>
        <v>-100</v>
      </c>
      <c r="X24" s="267" t="e">
        <f t="shared" si="4"/>
        <v>#DIV/0!</v>
      </c>
      <c r="Z24" s="36" t="s">
        <v>217</v>
      </c>
    </row>
    <row r="25" spans="1:26" s="23" customFormat="1" ht="18" customHeight="1">
      <c r="A25" s="79" t="s">
        <v>218</v>
      </c>
      <c r="B25" s="192">
        <v>0.4</v>
      </c>
      <c r="C25" s="133">
        <v>13.2</v>
      </c>
      <c r="D25" s="133">
        <v>64.703819999999993</v>
      </c>
      <c r="E25" s="133">
        <v>0.5</v>
      </c>
      <c r="F25" s="133">
        <v>0.3</v>
      </c>
      <c r="G25" s="133">
        <v>0.4</v>
      </c>
      <c r="H25" s="133">
        <v>0.13069</v>
      </c>
      <c r="I25" s="133">
        <v>3.0217360000000002</v>
      </c>
      <c r="J25" s="133">
        <v>9.7469E-2</v>
      </c>
      <c r="K25" s="133">
        <v>0.167854</v>
      </c>
      <c r="L25" s="180">
        <v>7.0538000000000003E-2</v>
      </c>
      <c r="M25" s="180">
        <v>0.765787</v>
      </c>
      <c r="N25" s="180">
        <v>0.68068600000000001</v>
      </c>
      <c r="O25" s="252"/>
      <c r="P25" s="252"/>
      <c r="Q25" s="252"/>
      <c r="R25" s="252"/>
      <c r="S25" s="252"/>
      <c r="T25" s="249" t="e">
        <f t="shared" si="11"/>
        <v>#DIV/0!</v>
      </c>
      <c r="U25" s="262" t="e">
        <f t="shared" si="11"/>
        <v>#DIV/0!</v>
      </c>
      <c r="V25" s="134"/>
      <c r="W25" s="135">
        <f t="shared" si="4"/>
        <v>-100</v>
      </c>
      <c r="X25" s="267" t="e">
        <f t="shared" si="4"/>
        <v>#DIV/0!</v>
      </c>
      <c r="Z25" s="36" t="s">
        <v>219</v>
      </c>
    </row>
    <row r="26" spans="1:26" s="23" customFormat="1" ht="18" customHeight="1">
      <c r="A26" s="79" t="s">
        <v>220</v>
      </c>
      <c r="B26" s="192">
        <v>24.5</v>
      </c>
      <c r="C26" s="133">
        <v>72.099999999999994</v>
      </c>
      <c r="D26" s="133">
        <v>604.09765100000004</v>
      </c>
      <c r="E26" s="133">
        <v>178</v>
      </c>
      <c r="F26" s="133">
        <v>26.2</v>
      </c>
      <c r="G26" s="133">
        <v>0.6</v>
      </c>
      <c r="H26" s="133">
        <v>488.44098200000002</v>
      </c>
      <c r="I26" s="133">
        <v>37.947304900000006</v>
      </c>
      <c r="J26" s="133">
        <v>63.553004999999999</v>
      </c>
      <c r="K26" s="133">
        <v>38.882137</v>
      </c>
      <c r="L26" s="181">
        <v>27.925922</v>
      </c>
      <c r="M26" s="181">
        <v>20.208456999999999</v>
      </c>
      <c r="N26" s="181">
        <v>38.739479549999999</v>
      </c>
      <c r="O26" s="253"/>
      <c r="P26" s="253"/>
      <c r="Q26" s="253"/>
      <c r="R26" s="253"/>
      <c r="S26" s="253"/>
      <c r="T26" s="249" t="e">
        <f t="shared" si="11"/>
        <v>#DIV/0!</v>
      </c>
      <c r="U26" s="262" t="e">
        <f t="shared" si="11"/>
        <v>#DIV/0!</v>
      </c>
      <c r="V26" s="134"/>
      <c r="W26" s="135">
        <f t="shared" si="4"/>
        <v>-100</v>
      </c>
      <c r="X26" s="267" t="e">
        <f t="shared" si="4"/>
        <v>#DIV/0!</v>
      </c>
      <c r="Z26" s="36" t="s">
        <v>221</v>
      </c>
    </row>
    <row r="27" spans="1:26" s="23" customFormat="1" ht="18" customHeight="1">
      <c r="A27" s="79" t="s">
        <v>222</v>
      </c>
      <c r="B27" s="192">
        <v>4.2</v>
      </c>
      <c r="C27" s="133">
        <v>12.2</v>
      </c>
      <c r="D27" s="133">
        <v>234.37216000000001</v>
      </c>
      <c r="E27" s="133">
        <v>97</v>
      </c>
      <c r="F27" s="133">
        <v>96.6</v>
      </c>
      <c r="G27" s="133">
        <v>55.3</v>
      </c>
      <c r="H27" s="133">
        <v>26.009882000000001</v>
      </c>
      <c r="I27" s="133">
        <v>31.063718000000001</v>
      </c>
      <c r="J27" s="133">
        <v>390.21938299999999</v>
      </c>
      <c r="K27" s="133">
        <v>19.486806000000001</v>
      </c>
      <c r="L27" s="181">
        <v>112.90937890000001</v>
      </c>
      <c r="M27" s="181">
        <v>91.096570999999997</v>
      </c>
      <c r="N27" s="181">
        <v>12.31644783</v>
      </c>
      <c r="O27" s="253"/>
      <c r="P27" s="253"/>
      <c r="Q27" s="253"/>
      <c r="R27" s="253"/>
      <c r="S27" s="253"/>
      <c r="T27" s="249" t="e">
        <f t="shared" si="11"/>
        <v>#DIV/0!</v>
      </c>
      <c r="U27" s="262" t="e">
        <f t="shared" si="11"/>
        <v>#DIV/0!</v>
      </c>
      <c r="V27" s="134"/>
      <c r="W27" s="135">
        <f t="shared" si="4"/>
        <v>-100</v>
      </c>
      <c r="X27" s="267" t="e">
        <f t="shared" si="4"/>
        <v>#DIV/0!</v>
      </c>
      <c r="Z27" s="36" t="s">
        <v>223</v>
      </c>
    </row>
    <row r="28" spans="1:26" s="23" customFormat="1" ht="18" customHeight="1">
      <c r="A28" s="75" t="s">
        <v>224</v>
      </c>
      <c r="B28" s="77">
        <v>-124.5</v>
      </c>
      <c r="C28" s="130">
        <v>-166.4</v>
      </c>
      <c r="D28" s="130">
        <v>-68.900000000000006</v>
      </c>
      <c r="E28" s="130">
        <v>-247.5</v>
      </c>
      <c r="F28" s="130">
        <v>-275.2</v>
      </c>
      <c r="G28" s="130">
        <v>-246.2</v>
      </c>
      <c r="H28" s="130">
        <v>-150.836333</v>
      </c>
      <c r="I28" s="130">
        <v>-181.3</v>
      </c>
      <c r="J28" s="130">
        <v>-399</v>
      </c>
      <c r="K28" s="130">
        <v>-90.231635999999995</v>
      </c>
      <c r="L28" s="179">
        <v>-135.485007</v>
      </c>
      <c r="M28" s="179">
        <v>-122.16204999999999</v>
      </c>
      <c r="N28" s="179">
        <v>-104.018246</v>
      </c>
      <c r="O28" s="256"/>
      <c r="P28" s="256"/>
      <c r="Q28" s="256"/>
      <c r="R28" s="256"/>
      <c r="S28" s="256"/>
      <c r="T28" s="248" t="e">
        <f t="shared" si="11"/>
        <v>#DIV/0!</v>
      </c>
      <c r="U28" s="261" t="e">
        <f t="shared" si="11"/>
        <v>#DIV/0!</v>
      </c>
      <c r="V28" s="80"/>
      <c r="W28" s="132">
        <f t="shared" si="4"/>
        <v>-100</v>
      </c>
      <c r="X28" s="266" t="e">
        <f t="shared" si="4"/>
        <v>#DIV/0!</v>
      </c>
      <c r="Z28" s="78" t="s">
        <v>225</v>
      </c>
    </row>
    <row r="29" spans="1:26" s="24" customFormat="1" ht="18" customHeight="1">
      <c r="A29" s="79" t="s">
        <v>226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83"/>
      <c r="M29" s="183"/>
      <c r="N29" s="183"/>
      <c r="O29" s="258"/>
      <c r="P29" s="258"/>
      <c r="Q29" s="258"/>
      <c r="R29" s="258"/>
      <c r="S29" s="258"/>
      <c r="T29" s="249"/>
      <c r="U29" s="262"/>
      <c r="V29" s="82"/>
      <c r="W29" s="135"/>
      <c r="X29" s="267"/>
      <c r="Y29" s="29"/>
      <c r="Z29" s="36" t="s">
        <v>101</v>
      </c>
    </row>
    <row r="30" spans="1:26" s="24" customFormat="1" ht="18" customHeight="1">
      <c r="A30" s="79" t="s">
        <v>227</v>
      </c>
      <c r="B30" s="138">
        <v>1007.8</v>
      </c>
      <c r="C30" s="139">
        <v>1137.6071899999999</v>
      </c>
      <c r="D30" s="139">
        <v>1774.5</v>
      </c>
      <c r="E30" s="139">
        <v>1441</v>
      </c>
      <c r="F30" s="139">
        <v>1100.8999999999999</v>
      </c>
      <c r="G30" s="139">
        <v>737.1</v>
      </c>
      <c r="H30" s="139">
        <v>778.8</v>
      </c>
      <c r="I30" s="139">
        <v>1283</v>
      </c>
      <c r="J30" s="139">
        <v>916.69999999999993</v>
      </c>
      <c r="K30" s="139">
        <v>1145.9000000000001</v>
      </c>
      <c r="L30" s="184">
        <v>1187.19235</v>
      </c>
      <c r="M30" s="184">
        <v>188.39416600000001</v>
      </c>
      <c r="N30" s="184">
        <v>648.39113899999995</v>
      </c>
      <c r="O30" s="254"/>
      <c r="P30" s="254"/>
      <c r="Q30" s="254"/>
      <c r="R30" s="254"/>
      <c r="S30" s="254"/>
      <c r="T30" s="249" t="e">
        <f t="shared" si="11"/>
        <v>#DIV/0!</v>
      </c>
      <c r="U30" s="262" t="e">
        <f t="shared" si="11"/>
        <v>#DIV/0!</v>
      </c>
      <c r="V30" s="80"/>
      <c r="W30" s="135">
        <f>+((O30/N30)-1)*100</f>
        <v>-100</v>
      </c>
      <c r="X30" s="267" t="e">
        <f>+((P30/O30)-1)*100</f>
        <v>#DIV/0!</v>
      </c>
      <c r="Y30" s="29"/>
      <c r="Z30" s="140" t="s">
        <v>228</v>
      </c>
    </row>
    <row r="31" spans="1:26" s="24" customFormat="1" ht="18" customHeight="1">
      <c r="A31" s="31" t="s">
        <v>229</v>
      </c>
      <c r="B31" s="141">
        <v>392.7</v>
      </c>
      <c r="C31" s="141">
        <v>390.3</v>
      </c>
      <c r="D31" s="141">
        <v>-993.3</v>
      </c>
      <c r="E31" s="141">
        <v>-1332</v>
      </c>
      <c r="F31" s="141">
        <v>-1393</v>
      </c>
      <c r="G31" s="141">
        <v>-668.6</v>
      </c>
      <c r="H31" s="141">
        <v>584.5</v>
      </c>
      <c r="I31" s="141">
        <v>877.1</v>
      </c>
      <c r="J31" s="141">
        <v>987.6</v>
      </c>
      <c r="K31" s="141">
        <v>1806.07971</v>
      </c>
      <c r="L31" s="185">
        <v>1632.2075219999999</v>
      </c>
      <c r="M31" s="185">
        <v>1413.2714820000001</v>
      </c>
      <c r="N31" s="185">
        <v>1171.8811539999999</v>
      </c>
      <c r="O31" s="255"/>
      <c r="P31" s="255"/>
      <c r="Q31" s="255"/>
      <c r="R31" s="255"/>
      <c r="S31" s="255"/>
      <c r="T31" s="251" t="e">
        <f t="shared" si="11"/>
        <v>#DIV/0!</v>
      </c>
      <c r="U31" s="264" t="e">
        <f t="shared" si="11"/>
        <v>#DIV/0!</v>
      </c>
      <c r="V31" s="32"/>
      <c r="W31" s="178">
        <f>+((O31/N31)-1)*100</f>
        <v>-100</v>
      </c>
      <c r="X31" s="269" t="e">
        <f>+((P31/O31)-1)*100</f>
        <v>#DIV/0!</v>
      </c>
      <c r="Y31" s="174"/>
      <c r="Z31" s="33" t="s">
        <v>230</v>
      </c>
    </row>
    <row r="32" spans="1:26" s="24" customFormat="1" ht="15">
      <c r="A32" s="25" t="s">
        <v>231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36" t="s">
        <v>232</v>
      </c>
    </row>
    <row r="33" spans="1:26" s="24" customFormat="1" ht="15">
      <c r="A33" s="25" t="s">
        <v>97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36" t="s">
        <v>98</v>
      </c>
    </row>
    <row r="34" spans="1:26" s="24" customFormat="1" ht="12">
      <c r="A34" s="26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</row>
    <row r="35" spans="1:26">
      <c r="T35" s="27"/>
      <c r="U35" s="27"/>
      <c r="V35" s="27"/>
      <c r="W35" s="27"/>
      <c r="X35" s="27"/>
      <c r="Y35" s="27"/>
    </row>
  </sheetData>
  <mergeCells count="9">
    <mergeCell ref="W6:X6"/>
    <mergeCell ref="T6:U6"/>
    <mergeCell ref="T5:U5"/>
    <mergeCell ref="A2:Z2"/>
    <mergeCell ref="A1:Z1"/>
    <mergeCell ref="A3:Z3"/>
    <mergeCell ref="A4:Z4"/>
    <mergeCell ref="E5:G5"/>
    <mergeCell ref="W5:X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6" max="1048575" man="1"/>
  </colBreaks>
  <ignoredErrors>
    <ignoredError sqref="M21:Q2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zoomScaleNormal="100" workbookViewId="0">
      <selection activeCell="K36" sqref="K36:O38"/>
    </sheetView>
  </sheetViews>
  <sheetFormatPr defaultColWidth="8.85546875" defaultRowHeight="12"/>
  <cols>
    <col min="1" max="1" width="15.7109375" style="2" customWidth="1"/>
    <col min="2" max="2" width="8" style="2" bestFit="1" customWidth="1"/>
    <col min="3" max="3" width="8" style="3" bestFit="1" customWidth="1"/>
    <col min="4" max="9" width="8" style="2" bestFit="1" customWidth="1"/>
    <col min="10" max="10" width="8.85546875" style="2"/>
    <col min="11" max="14" width="9.7109375" style="2" bestFit="1" customWidth="1"/>
    <col min="15" max="16384" width="8.85546875" style="2"/>
  </cols>
  <sheetData>
    <row r="1" spans="1:21">
      <c r="R1" s="320"/>
      <c r="S1" s="320"/>
      <c r="T1" s="320"/>
      <c r="U1" s="320"/>
    </row>
    <row r="3" spans="1:21">
      <c r="B3" s="321" t="s">
        <v>233</v>
      </c>
      <c r="C3" s="322"/>
      <c r="D3" s="322"/>
      <c r="E3" s="322"/>
      <c r="F3" s="322"/>
      <c r="G3" s="322"/>
      <c r="H3" s="4"/>
      <c r="I3" s="4"/>
      <c r="J3" s="4"/>
      <c r="K3" s="4"/>
      <c r="L3" s="4"/>
    </row>
    <row r="4" spans="1:21">
      <c r="B4" s="186">
        <v>2007</v>
      </c>
      <c r="C4" s="187">
        <v>2008</v>
      </c>
      <c r="D4" s="187">
        <v>2009</v>
      </c>
      <c r="E4" s="187">
        <v>2010</v>
      </c>
      <c r="F4" s="187">
        <v>2011</v>
      </c>
      <c r="G4" s="187">
        <v>2012</v>
      </c>
      <c r="H4" s="189">
        <v>2013</v>
      </c>
      <c r="I4" s="189">
        <v>2014</v>
      </c>
      <c r="J4" s="187">
        <v>2015</v>
      </c>
      <c r="K4" s="270" t="s">
        <v>247</v>
      </c>
      <c r="L4" s="270" t="s">
        <v>248</v>
      </c>
      <c r="M4" s="270" t="s">
        <v>249</v>
      </c>
      <c r="N4" s="270" t="s">
        <v>250</v>
      </c>
      <c r="O4" s="270" t="s">
        <v>262</v>
      </c>
    </row>
    <row r="5" spans="1:21">
      <c r="A5" s="7" t="s">
        <v>107</v>
      </c>
      <c r="B5" s="8">
        <f>'[1]13.7'!B10</f>
        <v>808.9</v>
      </c>
      <c r="C5" s="8">
        <f>'[1]13.7'!C10</f>
        <v>498.79999999999995</v>
      </c>
      <c r="D5" s="8">
        <f>'[1]13.7'!H10</f>
        <v>696.52141600000004</v>
      </c>
      <c r="E5" s="8">
        <f>'[1]13.7'!I10</f>
        <v>635.70163600000001</v>
      </c>
      <c r="F5" s="8">
        <f>'[1]13.7'!J10</f>
        <v>1285.636868</v>
      </c>
      <c r="G5" s="8">
        <f>'[1]13.7'!K10</f>
        <v>1139.8289990000001</v>
      </c>
      <c r="H5" s="8">
        <v>462.58586595999998</v>
      </c>
      <c r="I5" s="8">
        <v>679.01722999999993</v>
      </c>
      <c r="J5" s="8">
        <v>2079.0821064299998</v>
      </c>
      <c r="K5" s="271"/>
      <c r="L5" s="271"/>
      <c r="M5" s="271"/>
      <c r="N5" s="271"/>
      <c r="O5" s="271"/>
    </row>
    <row r="6" spans="1:21">
      <c r="A6" s="7" t="s">
        <v>119</v>
      </c>
      <c r="B6" s="8">
        <f>'[1]13.7'!B15</f>
        <v>626.5</v>
      </c>
      <c r="C6" s="8">
        <f>'[1]13.7'!C15</f>
        <v>1443.3</v>
      </c>
      <c r="D6" s="8">
        <f>'[1]13.7'!H15</f>
        <v>1087.278699</v>
      </c>
      <c r="E6" s="8">
        <f>'[1]13.7'!I15</f>
        <v>1816.638207</v>
      </c>
      <c r="F6" s="8">
        <f>'[1]13.7'!J15</f>
        <v>1383.244537</v>
      </c>
      <c r="G6" s="8">
        <f>'[1]13.7'!K15</f>
        <v>1081.7647489999999</v>
      </c>
      <c r="H6" s="8">
        <v>1108.2257616500001</v>
      </c>
      <c r="I6" s="8">
        <v>1155.5744520000001</v>
      </c>
      <c r="J6" s="8">
        <v>1812.3305333000001</v>
      </c>
      <c r="K6" s="271"/>
      <c r="L6" s="271"/>
      <c r="M6" s="271"/>
      <c r="N6" s="271"/>
      <c r="O6" s="271"/>
    </row>
    <row r="7" spans="1:21">
      <c r="A7" s="7" t="s">
        <v>128</v>
      </c>
      <c r="B7" s="8">
        <f>'[1]13.7'!B20</f>
        <v>329.9</v>
      </c>
      <c r="C7" s="8">
        <f>'[1]13.7'!C20</f>
        <v>937.10000000000014</v>
      </c>
      <c r="D7" s="188">
        <f>'[1]13.7'!H20</f>
        <v>581.73487699999998</v>
      </c>
      <c r="E7" s="188">
        <f>'[1]13.7'!I20</f>
        <v>174.8779509</v>
      </c>
      <c r="F7" s="188">
        <f>'[1]13.7'!J20</f>
        <v>919.10181</v>
      </c>
      <c r="G7" s="188">
        <f>'[1]13.7'!K20</f>
        <v>662.15555800000004</v>
      </c>
      <c r="H7" s="188">
        <v>522.22979633</v>
      </c>
      <c r="I7" s="188">
        <v>750.4553719999999</v>
      </c>
      <c r="J7" s="188">
        <v>870.97274229999994</v>
      </c>
      <c r="K7" s="272"/>
      <c r="L7" s="272"/>
      <c r="M7" s="272"/>
      <c r="N7" s="272"/>
      <c r="O7" s="272"/>
    </row>
    <row r="34" spans="1:15">
      <c r="B34" s="321" t="s">
        <v>102</v>
      </c>
      <c r="C34" s="322"/>
      <c r="D34" s="322"/>
      <c r="E34" s="322"/>
      <c r="F34" s="322"/>
      <c r="G34" s="322"/>
    </row>
    <row r="35" spans="1:15">
      <c r="B35" s="5">
        <v>2007</v>
      </c>
      <c r="C35" s="6">
        <v>2008</v>
      </c>
      <c r="D35" s="6">
        <v>2009</v>
      </c>
      <c r="E35" s="6">
        <v>2010</v>
      </c>
      <c r="F35" s="6">
        <v>2011</v>
      </c>
      <c r="G35" s="6">
        <v>2012</v>
      </c>
      <c r="H35" s="6">
        <v>2013</v>
      </c>
      <c r="I35" s="6">
        <v>2014</v>
      </c>
      <c r="J35" s="187">
        <v>2015</v>
      </c>
      <c r="K35" s="270" t="s">
        <v>247</v>
      </c>
      <c r="L35" s="270" t="s">
        <v>248</v>
      </c>
      <c r="M35" s="270" t="s">
        <v>249</v>
      </c>
      <c r="N35" s="270" t="s">
        <v>250</v>
      </c>
      <c r="O35" s="270" t="s">
        <v>262</v>
      </c>
    </row>
    <row r="36" spans="1:15">
      <c r="A36" s="7" t="s">
        <v>107</v>
      </c>
      <c r="B36" s="8">
        <f>'[1]13.6'!B9</f>
        <v>2241.8999999999996</v>
      </c>
      <c r="C36" s="8">
        <f>'[1]13.6'!C9</f>
        <v>3209.7</v>
      </c>
      <c r="D36" s="8">
        <f>'[1]13.6'!H9</f>
        <v>3519.7833220000007</v>
      </c>
      <c r="E36" s="8">
        <f>'[1]13.6'!I9</f>
        <v>3978.9039029999999</v>
      </c>
      <c r="F36" s="8">
        <f>'[1]13.6'!J9</f>
        <v>4596.1388089999991</v>
      </c>
      <c r="G36" s="8">
        <v>4774.492886</v>
      </c>
      <c r="H36" s="8">
        <v>4784.0412950399996</v>
      </c>
      <c r="I36" s="8">
        <v>5537.7483140000004</v>
      </c>
      <c r="J36" s="8">
        <v>6243.3481799699994</v>
      </c>
      <c r="K36" s="271"/>
      <c r="L36" s="271"/>
      <c r="M36" s="271"/>
      <c r="N36" s="271"/>
      <c r="O36" s="271"/>
    </row>
    <row r="37" spans="1:15">
      <c r="A37" s="7" t="s">
        <v>119</v>
      </c>
      <c r="B37" s="8">
        <f>'[1]13.6'!B14</f>
        <v>3817.6</v>
      </c>
      <c r="C37" s="8">
        <f>'[1]13.6'!C14</f>
        <v>3679.5</v>
      </c>
      <c r="D37" s="8">
        <f>'[1]13.6'!H14</f>
        <v>4345.2921539999998</v>
      </c>
      <c r="E37" s="8">
        <f>'[1]13.6'!I14</f>
        <v>3462.622922</v>
      </c>
      <c r="F37" s="8">
        <f>'[1]13.6'!J14</f>
        <v>3544.46576</v>
      </c>
      <c r="G37" s="8">
        <v>4225.7286190000004</v>
      </c>
      <c r="H37" s="8">
        <v>5531.6275246499999</v>
      </c>
      <c r="I37" s="8">
        <v>7089.9977030000009</v>
      </c>
      <c r="J37" s="8">
        <v>8742.95622215</v>
      </c>
      <c r="K37" s="271"/>
      <c r="L37" s="271"/>
      <c r="M37" s="271"/>
      <c r="N37" s="271"/>
      <c r="O37" s="271"/>
    </row>
    <row r="38" spans="1:15">
      <c r="A38" s="7" t="s">
        <v>128</v>
      </c>
      <c r="B38" s="8">
        <f>'[1]13.6'!B19</f>
        <v>266.3</v>
      </c>
      <c r="C38" s="8">
        <f>'[1]13.6'!C19</f>
        <v>293.99999999999994</v>
      </c>
      <c r="D38" s="8">
        <f>'[1]13.6'!H19</f>
        <v>255.78124300000002</v>
      </c>
      <c r="E38" s="8">
        <f>'[1]13.6'!I19</f>
        <v>265.56214700000004</v>
      </c>
      <c r="F38" s="8">
        <f>'[1]13.6'!J19</f>
        <v>209.35414899999998</v>
      </c>
      <c r="G38" s="8">
        <v>209.18252100000001</v>
      </c>
      <c r="H38" s="8">
        <v>300.81956875999992</v>
      </c>
      <c r="I38" s="8">
        <v>348.30320599999999</v>
      </c>
      <c r="J38" s="8">
        <v>344.55713775999999</v>
      </c>
      <c r="K38" s="271"/>
      <c r="L38" s="271"/>
      <c r="M38" s="271"/>
      <c r="N38" s="271"/>
      <c r="O38" s="271"/>
    </row>
    <row r="41" spans="1:15">
      <c r="M41" s="9"/>
    </row>
    <row r="46" spans="1:15">
      <c r="A46" s="1"/>
    </row>
    <row r="48" spans="1:15">
      <c r="M48" s="9"/>
    </row>
    <row r="53" spans="1:1">
      <c r="A53" s="1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13.3</vt:lpstr>
      <vt:lpstr>13.5</vt:lpstr>
      <vt:lpstr>13.6</vt:lpstr>
      <vt:lpstr>13.7</vt:lpstr>
      <vt:lpstr>Fig 1.5 &amp; 1.6</vt:lpstr>
      <vt:lpstr>'13.3'!Print_Area</vt:lpstr>
      <vt:lpstr>'13.5'!Print_Area</vt:lpstr>
      <vt:lpstr>'13.6'!Print_Area</vt:lpstr>
      <vt:lpstr>'13.7'!Print_Area</vt:lpstr>
      <vt:lpstr>'Fig 1.5 &amp; 1.6'!Print_Area</vt:lpstr>
      <vt:lpstr>'13.3'!Print_Titles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2018-04-17T05:49:31Z</cp:lastPrinted>
  <dcterms:created xsi:type="dcterms:W3CDTF">2014-03-06T08:38:12Z</dcterms:created>
  <dcterms:modified xsi:type="dcterms:W3CDTF">2018-04-17T05:49:43Z</dcterms:modified>
</cp:coreProperties>
</file>