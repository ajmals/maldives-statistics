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 firstSheet="3" activeTab="3"/>
  </bookViews>
  <sheets>
    <sheet name="13.5" sheetId="14" state="hidden" r:id="rId1"/>
    <sheet name="13.6" sheetId="16" state="hidden" r:id="rId2"/>
    <sheet name="13.7" sheetId="15" state="hidden" r:id="rId3"/>
    <sheet name="13.10" sheetId="22" r:id="rId4"/>
    <sheet name="Fig 1.5 &amp; 1.6" sheetId="17" state="hidden" r:id="rId5"/>
  </sheets>
  <externalReferences>
    <externalReference r:id="rId6"/>
  </externalReferences>
  <definedNames>
    <definedName name="_xlnm.Print_Area" localSheetId="3">'13.10'!$A$1:$Q$39</definedName>
    <definedName name="_xlnm.Print_Area" localSheetId="0">'13.5'!$A$1:$T$34</definedName>
    <definedName name="_xlnm.Print_Area" localSheetId="1">'13.6'!$A$1:$Y$37</definedName>
    <definedName name="_xlnm.Print_Area" localSheetId="2">'13.7'!$A$1:$Z$34</definedName>
    <definedName name="_xlnm.Print_Area" localSheetId="4">'Fig 1.5 &amp; 1.6'!$A$1:$O$62</definedName>
  </definedNames>
  <calcPr calcId="162913"/>
</workbook>
</file>

<file path=xl/calcChain.xml><?xml version="1.0" encoding="utf-8"?>
<calcChain xmlns="http://schemas.openxmlformats.org/spreadsheetml/2006/main">
  <c r="O15" i="22" l="1"/>
  <c r="M15" i="22"/>
  <c r="L15" i="22"/>
  <c r="P15" i="22" l="1"/>
  <c r="S21" i="15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S9" i="15" l="1"/>
  <c r="S8" i="15" s="1"/>
  <c r="S8" i="16"/>
  <c r="R10" i="15" l="1"/>
  <c r="R15" i="15"/>
  <c r="R21" i="15"/>
  <c r="R9" i="16"/>
  <c r="R14" i="16"/>
  <c r="R20" i="16"/>
  <c r="N12" i="14"/>
  <c r="N10" i="14" s="1"/>
  <c r="N17" i="14"/>
  <c r="N23" i="14"/>
  <c r="R9" i="15" l="1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N15" i="22" l="1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Q9" i="15" l="1"/>
  <c r="Q8" i="15" s="1"/>
  <c r="Q8" i="16"/>
  <c r="K15" i="22" l="1"/>
  <c r="J15" i="22"/>
  <c r="I15" i="22"/>
  <c r="H15" i="22"/>
  <c r="G15" i="22"/>
  <c r="F15" i="22"/>
  <c r="E15" i="22"/>
  <c r="D15" i="22"/>
  <c r="C15" i="22"/>
  <c r="B15" i="22"/>
  <c r="K8" i="22"/>
  <c r="J8" i="22"/>
  <c r="I8" i="22"/>
  <c r="H8" i="22"/>
  <c r="G8" i="22"/>
  <c r="F8" i="22"/>
  <c r="E8" i="22"/>
  <c r="D8" i="22"/>
  <c r="C8" i="22"/>
  <c r="B8" i="22"/>
  <c r="G6" i="22" l="1"/>
  <c r="E6" i="22"/>
  <c r="B6" i="22"/>
  <c r="K6" i="22"/>
  <c r="H6" i="22"/>
  <c r="F6" i="22"/>
  <c r="J6" i="22"/>
  <c r="D6" i="22"/>
  <c r="I6" i="22"/>
  <c r="C6" i="22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P21" i="15" l="1"/>
  <c r="P10" i="15"/>
  <c r="P9" i="16"/>
  <c r="K23" i="14"/>
  <c r="K10" i="14"/>
  <c r="P8" i="16" l="1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R8" i="14" l="1"/>
</calcChain>
</file>

<file path=xl/sharedStrings.xml><?xml version="1.0" encoding="utf-8"?>
<sst xmlns="http://schemas.openxmlformats.org/spreadsheetml/2006/main" count="424" uniqueCount="210">
  <si>
    <t>Particulars</t>
  </si>
  <si>
    <t>(iawfiverukuhWlcsia)</t>
  </si>
  <si>
    <t>clIBcfwt</t>
  </si>
  <si>
    <t>Actual</t>
  </si>
  <si>
    <t>(MTEF)</t>
  </si>
  <si>
    <t>(cTejwbWtcsWrudem)</t>
  </si>
  <si>
    <t>Actuals</t>
  </si>
  <si>
    <t>Total Expenditure</t>
  </si>
  <si>
    <t>udwrwK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</si>
  <si>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</si>
  <si>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</si>
  <si>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</si>
  <si>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</si>
  <si>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</si>
  <si>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</si>
  <si>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</si>
  <si>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</si>
  <si>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</si>
  <si>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</si>
  <si>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</si>
  <si>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</si>
  <si>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</si>
  <si>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</si>
  <si>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</si>
  <si>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</si>
  <si>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</si>
  <si>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</si>
  <si>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</si>
  <si>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</si>
  <si>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</si>
  <si>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</si>
  <si>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</si>
  <si>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</si>
  <si>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</si>
  <si>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</si>
  <si>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</si>
  <si>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</si>
  <si>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</si>
  <si>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</si>
  <si>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</si>
  <si>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</si>
  <si>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</si>
  <si>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</si>
  <si>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</si>
  <si>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</si>
  <si>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</si>
  <si>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</si>
  <si>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</si>
  <si>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</si>
  <si>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</si>
  <si>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</si>
  <si>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</si>
  <si>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</si>
  <si>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</si>
  <si>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</si>
  <si>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</si>
  <si>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</si>
  <si>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</si>
  <si>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</si>
  <si>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</si>
  <si>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</si>
  <si>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</si>
  <si>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އިތުރުވި މިންވަރު</t>
  </si>
  <si>
    <t xml:space="preserve"> cniawfis</t>
  </si>
  <si>
    <t>cnuhuluf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</si>
  <si>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</si>
  <si>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</si>
  <si>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</si>
  <si>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</si>
  <si>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</si>
  <si>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</si>
  <si>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</si>
  <si>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</si>
  <si>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</si>
  <si>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</si>
  <si>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</si>
  <si>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</si>
  <si>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</si>
  <si>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</si>
  <si>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</si>
  <si>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</si>
  <si>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</si>
  <si>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</si>
  <si>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</si>
  <si>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</si>
  <si>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</si>
  <si>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</si>
  <si>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</si>
  <si>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</si>
  <si>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</si>
  <si>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</si>
  <si>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</si>
  <si>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</si>
  <si>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</si>
  <si>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</si>
  <si>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</si>
  <si>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</si>
  <si>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</si>
  <si>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</si>
  <si>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</si>
  <si>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</si>
  <si>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</si>
  <si>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</si>
  <si>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</si>
  <si>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</si>
  <si>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</si>
  <si>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</si>
  <si>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</si>
  <si>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</si>
  <si>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</si>
  <si>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</si>
  <si>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</si>
  <si>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</si>
  <si>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</si>
  <si>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</si>
  <si>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</si>
  <si>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</si>
  <si>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</si>
  <si>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</si>
  <si>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</si>
  <si>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</si>
  <si>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</si>
  <si>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</si>
  <si>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</si>
  <si>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</si>
  <si>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</si>
  <si>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</si>
  <si>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</si>
  <si>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</si>
  <si>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</si>
  <si>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</si>
  <si>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</si>
  <si>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</si>
  <si>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</si>
  <si>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</si>
  <si>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</si>
  <si>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</si>
  <si>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</si>
  <si>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</si>
  <si>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</si>
  <si>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</si>
  <si>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</si>
  <si>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</si>
  <si>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</si>
  <si>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</si>
  <si>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</si>
  <si>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</si>
  <si>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</si>
  <si>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</si>
  <si>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</si>
  <si>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>Kuwait Fund</t>
  </si>
  <si>
    <t>Japan</t>
  </si>
  <si>
    <t>-</t>
  </si>
  <si>
    <t>Source: Ministry of Finance and Treasury</t>
  </si>
  <si>
    <t>Total disbursements</t>
  </si>
  <si>
    <t>Bilateral</t>
  </si>
  <si>
    <t>Saudi Arabia</t>
  </si>
  <si>
    <t>AbuDabi Fund</t>
  </si>
  <si>
    <t xml:space="preserve">India </t>
  </si>
  <si>
    <t>Multilateral</t>
  </si>
  <si>
    <t>OPEC Fund (OFID)</t>
  </si>
  <si>
    <t>IDA</t>
  </si>
  <si>
    <t>ADB</t>
  </si>
  <si>
    <t>IDB</t>
  </si>
  <si>
    <t>IFAD</t>
  </si>
  <si>
    <t>Bank of Ceylon</t>
  </si>
  <si>
    <t>ING Bank (Netherland)</t>
  </si>
  <si>
    <t>Exim Bank of China</t>
  </si>
  <si>
    <t>Exim Bank of India</t>
  </si>
  <si>
    <t>Exim Bank of Thailand</t>
  </si>
  <si>
    <t>French Development Agency</t>
  </si>
  <si>
    <t>DANIDA</t>
  </si>
  <si>
    <t>State Bank of India</t>
  </si>
  <si>
    <t>Rabo Bank</t>
  </si>
  <si>
    <t>EU Investment Bank</t>
  </si>
  <si>
    <t>Society General Italy</t>
  </si>
  <si>
    <t>SBI</t>
  </si>
  <si>
    <t>others</t>
  </si>
  <si>
    <t>ދީނީ، ސަޤާފީ، މުނިފޫހިފިލުވުން</t>
  </si>
  <si>
    <t>European Investment Bank (EIB)</t>
  </si>
  <si>
    <t>2015-2016</t>
  </si>
  <si>
    <t xml:space="preserve"> </t>
  </si>
  <si>
    <t>Arabic Fund</t>
  </si>
  <si>
    <t>China Development Bank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</si>
  <si>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</si>
  <si>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</si>
  <si>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</si>
  <si>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</si>
  <si>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</si>
  <si>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ICD</t>
  </si>
  <si>
    <t>2016 Rev</t>
  </si>
  <si>
    <t>2017 Est</t>
  </si>
  <si>
    <t>2018 Est</t>
  </si>
  <si>
    <t>2019 Est</t>
  </si>
  <si>
    <t>2016-2017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</si>
  <si>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</si>
  <si>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</si>
  <si>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</si>
  <si>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</si>
  <si>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</si>
  <si>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</si>
  <si>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</si>
  <si>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Table  13.10 : FOREIGN LOANS BY LENDING AGENCY, 2013 - 2020 (In million MVR)</t>
  </si>
  <si>
    <t>ތާވަލު 13.10: އެޖެންސީތަކުން ލިބޭ ބޭރުގެ އެހީ، 2013 - 2020</t>
  </si>
  <si>
    <t>2020 Est</t>
  </si>
  <si>
    <t xml:space="preserve">Revised </t>
  </si>
  <si>
    <t>AIIB</t>
  </si>
  <si>
    <t xml:space="preserve"> Note:  1_/  Data revised</t>
  </si>
  <si>
    <r>
      <t>2016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</si>
  <si>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 xml:space="preserve">ނޯޓް: </t>
    </r>
    <r>
      <rPr>
        <i/>
        <sz val="9"/>
        <color theme="1"/>
        <rFont val="Faruma"/>
      </rPr>
      <t>/_1</t>
    </r>
    <r>
      <rPr>
        <sz val="9"/>
        <color theme="1"/>
        <rFont val="Faruma"/>
      </rPr>
      <t xml:space="preserve">  އިސްލާޙުކުރެވިފައި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</si>
</sst>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b/>
      <sz val="14"/>
      <color theme="1"/>
      <name val="Calibri"/>
      <family val="2"/>
      <scheme val="minor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vertAlign val="superscript"/>
      <sz val="10"/>
      <color theme="1"/>
      <name val="Calibri"/>
      <family val="2"/>
      <scheme val="minor"/>
    </font>
    <font>
      <i/>
      <sz val="9"/>
      <color theme="1"/>
      <name val="Faru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2" fillId="0" borderId="0"/>
    <xf numFmtId="0" fontId="2" fillId="0" borderId="0"/>
    <xf numFmtId="170" fontId="1" fillId="0" borderId="0" applyFont="0" applyFill="0" applyBorder="0" applyAlignment="0" applyProtection="0"/>
    <xf numFmtId="0" fontId="9" fillId="0" borderId="0"/>
    <xf numFmtId="171" fontId="9" fillId="0" borderId="0"/>
    <xf numFmtId="0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304">
    <xf numFmtId="0" fontId="0" fillId="0" borderId="0" xfId="0"/>
    <xf numFmtId="164" fontId="4" fillId="2" borderId="0" xfId="4" applyNumberFormat="1" applyFont="1" applyFill="1" applyAlignment="1" applyProtection="1">
      <alignment horizontal="left" vertical="center"/>
    </xf>
    <xf numFmtId="164" fontId="4" fillId="2" borderId="0" xfId="4" applyNumberFormat="1" applyFont="1" applyFill="1"/>
    <xf numFmtId="2" fontId="4" fillId="2" borderId="0" xfId="4" applyNumberFormat="1" applyFont="1" applyFill="1"/>
    <xf numFmtId="164" fontId="3" fillId="2" borderId="0" xfId="4" applyNumberFormat="1" applyFont="1" applyFill="1" applyBorder="1" applyAlignment="1">
      <alignment horizontal="center"/>
    </xf>
    <xf numFmtId="1" fontId="3" fillId="2" borderId="9" xfId="4" applyNumberFormat="1" applyFont="1" applyFill="1" applyBorder="1"/>
    <xf numFmtId="164" fontId="3" fillId="2" borderId="9" xfId="4" applyNumberFormat="1" applyFont="1" applyFill="1" applyBorder="1"/>
    <xf numFmtId="164" fontId="3" fillId="2" borderId="9" xfId="4" applyNumberFormat="1" applyFont="1" applyFill="1" applyBorder="1" applyAlignment="1" applyProtection="1">
      <alignment horizontal="left" vertical="center"/>
    </xf>
    <xf numFmtId="167" fontId="4" fillId="2" borderId="9" xfId="1" applyNumberFormat="1" applyFont="1" applyFill="1" applyBorder="1"/>
    <xf numFmtId="164" fontId="4" fillId="2" borderId="0" xfId="4" applyNumberFormat="1" applyFont="1" applyFill="1" applyAlignment="1"/>
    <xf numFmtId="165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2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8" fillId="2" borderId="1" xfId="2" applyNumberFormat="1" applyFont="1" applyFill="1" applyBorder="1" applyAlignment="1" applyProtection="1">
      <alignment horizontal="right" vertical="center"/>
    </xf>
    <xf numFmtId="164" fontId="23" fillId="2" borderId="0" xfId="2" applyNumberFormat="1" applyFont="1" applyFill="1" applyAlignment="1">
      <alignment vertical="center"/>
    </xf>
    <xf numFmtId="164" fontId="24" fillId="2" borderId="0" xfId="2" applyNumberFormat="1" applyFont="1" applyFill="1" applyAlignment="1">
      <alignment vertical="center"/>
    </xf>
    <xf numFmtId="164" fontId="8" fillId="2" borderId="0" xfId="2" applyNumberFormat="1" applyFont="1" applyFill="1" applyAlignment="1" applyProtection="1">
      <alignment horizontal="left" vertical="center"/>
    </xf>
    <xf numFmtId="165" fontId="15" fillId="2" borderId="0" xfId="2" applyNumberFormat="1" applyFont="1" applyFill="1" applyBorder="1" applyAlignment="1" applyProtection="1">
      <alignment horizontal="right" vertical="center"/>
    </xf>
    <xf numFmtId="164" fontId="12" fillId="2" borderId="0" xfId="2" applyNumberFormat="1" applyFont="1" applyFill="1" applyAlignment="1">
      <alignment vertical="center"/>
    </xf>
    <xf numFmtId="164" fontId="28" fillId="2" borderId="0" xfId="2" applyNumberFormat="1" applyFont="1" applyFill="1" applyAlignment="1">
      <alignment vertical="center"/>
    </xf>
    <xf numFmtId="164" fontId="21" fillId="2" borderId="0" xfId="2" applyNumberFormat="1" applyFont="1" applyFill="1" applyAlignment="1" applyProtection="1">
      <alignment horizontal="left" vertical="center"/>
    </xf>
    <xf numFmtId="164" fontId="19" fillId="2" borderId="0" xfId="2" applyNumberFormat="1" applyFont="1" applyFill="1" applyAlignment="1">
      <alignment vertical="center"/>
    </xf>
    <xf numFmtId="164" fontId="15" fillId="2" borderId="0" xfId="2" applyNumberFormat="1" applyFont="1" applyFill="1" applyAlignment="1">
      <alignment horizontal="center" vertical="center"/>
    </xf>
    <xf numFmtId="164" fontId="23" fillId="2" borderId="0" xfId="2" applyNumberFormat="1" applyFont="1" applyFill="1" applyAlignment="1">
      <alignment horizontal="center" vertical="center"/>
    </xf>
    <xf numFmtId="164" fontId="28" fillId="2" borderId="0" xfId="2" applyNumberFormat="1" applyFont="1" applyFill="1" applyBorder="1" applyAlignment="1">
      <alignment vertical="center"/>
    </xf>
    <xf numFmtId="165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19" fillId="2" borderId="2" xfId="2" applyNumberFormat="1" applyFont="1" applyFill="1" applyBorder="1" applyAlignment="1" applyProtection="1">
      <alignment horizontal="left" vertical="center"/>
    </xf>
    <xf numFmtId="41" fontId="29" fillId="2" borderId="2" xfId="3" applyNumberFormat="1" applyFont="1" applyFill="1" applyBorder="1" applyAlignment="1" applyProtection="1">
      <alignment horizontal="right" vertical="center"/>
      <protection locked="0"/>
    </xf>
    <xf numFmtId="164" fontId="27" fillId="2" borderId="2" xfId="2" applyNumberFormat="1" applyFont="1" applyFill="1" applyBorder="1" applyAlignment="1">
      <alignment horizontal="right" vertical="center"/>
    </xf>
    <xf numFmtId="164" fontId="27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Border="1" applyAlignment="1">
      <alignment vertical="center"/>
    </xf>
    <xf numFmtId="164" fontId="13" fillId="2" borderId="2" xfId="2" applyNumberFormat="1" applyFont="1" applyFill="1" applyBorder="1" applyAlignment="1" applyProtection="1">
      <alignment horizontal="right" vertical="center"/>
    </xf>
    <xf numFmtId="164" fontId="13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Alignment="1" applyProtection="1">
      <alignment horizontal="right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Alignment="1" applyProtection="1">
      <alignment horizontal="left" vertical="center"/>
    </xf>
    <xf numFmtId="41" fontId="29" fillId="2" borderId="0" xfId="3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Border="1" applyAlignment="1" applyProtection="1">
      <alignment horizontal="left" vertical="center"/>
    </xf>
    <xf numFmtId="165" fontId="19" fillId="2" borderId="0" xfId="2" applyNumberFormat="1" applyFont="1" applyFill="1" applyBorder="1" applyAlignment="1" applyProtection="1">
      <alignment horizontal="right" vertical="center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31" fillId="2" borderId="0" xfId="2" applyNumberFormat="1" applyFont="1" applyFill="1" applyAlignment="1">
      <alignment vertical="center" wrapText="1"/>
    </xf>
    <xf numFmtId="164" fontId="26" fillId="2" borderId="3" xfId="2" applyNumberFormat="1" applyFont="1" applyFill="1" applyBorder="1" applyAlignment="1">
      <alignment vertical="center"/>
    </xf>
    <xf numFmtId="164" fontId="25" fillId="2" borderId="0" xfId="2" applyNumberFormat="1" applyFont="1" applyFill="1" applyBorder="1" applyAlignment="1"/>
    <xf numFmtId="164" fontId="25" fillId="2" borderId="0" xfId="2" applyNumberFormat="1" applyFont="1" applyFill="1" applyBorder="1" applyAlignment="1">
      <alignment horizontal="center"/>
    </xf>
    <xf numFmtId="164" fontId="26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26" fillId="2" borderId="0" xfId="2" applyNumberFormat="1" applyFont="1" applyFill="1" applyBorder="1" applyAlignment="1" applyProtection="1">
      <alignment horizontal="center" vertical="center"/>
      <protection locked="0"/>
    </xf>
    <xf numFmtId="164" fontId="26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17" xfId="2" applyNumberFormat="1" applyFont="1" applyFill="1" applyBorder="1" applyAlignment="1">
      <alignment horizontal="right" vertical="center"/>
    </xf>
    <xf numFmtId="164" fontId="33" fillId="2" borderId="2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3" fontId="8" fillId="2" borderId="3" xfId="2" applyNumberFormat="1" applyFont="1" applyFill="1" applyBorder="1" applyAlignment="1" applyProtection="1">
      <alignment horizontal="right" vertical="center"/>
    </xf>
    <xf numFmtId="165" fontId="8" fillId="2" borderId="3" xfId="2" applyNumberFormat="1" applyFont="1" applyFill="1" applyBorder="1" applyAlignment="1" applyProtection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  <protection locked="0"/>
    </xf>
    <xf numFmtId="3" fontId="8" fillId="2" borderId="0" xfId="2" applyNumberFormat="1" applyFont="1" applyFill="1" applyBorder="1" applyAlignment="1" applyProtection="1">
      <alignment horizontal="right" vertical="center"/>
      <protection locked="0"/>
    </xf>
    <xf numFmtId="168" fontId="8" fillId="2" borderId="10" xfId="2" applyNumberFormat="1" applyFont="1" applyFill="1" applyBorder="1" applyAlignment="1" applyProtection="1">
      <alignment vertical="center"/>
      <protection locked="0"/>
    </xf>
    <xf numFmtId="164" fontId="15" fillId="2" borderId="0" xfId="2" applyNumberFormat="1" applyFont="1" applyFill="1" applyAlignment="1" applyProtection="1">
      <alignment horizontal="left" vertical="center"/>
    </xf>
    <xf numFmtId="3" fontId="15" fillId="2" borderId="0" xfId="2" applyNumberFormat="1" applyFont="1" applyFill="1" applyBorder="1" applyAlignment="1" applyProtection="1">
      <alignment horizontal="right" vertical="center"/>
      <protection locked="0"/>
    </xf>
    <xf numFmtId="168" fontId="15" fillId="2" borderId="0" xfId="2" applyNumberFormat="1" applyFont="1" applyFill="1" applyBorder="1" applyAlignment="1" applyProtection="1">
      <alignment vertical="center"/>
      <protection locked="0"/>
    </xf>
    <xf numFmtId="168" fontId="15" fillId="2" borderId="10" xfId="2" applyNumberFormat="1" applyFont="1" applyFill="1" applyBorder="1" applyAlignment="1" applyProtection="1">
      <alignment vertical="center"/>
      <protection locked="0"/>
    </xf>
    <xf numFmtId="168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27" fillId="2" borderId="0" xfId="2" applyNumberFormat="1" applyFont="1" applyFill="1" applyAlignment="1">
      <alignment horizontal="right" vertical="center" indent="3"/>
    </xf>
    <xf numFmtId="3" fontId="15" fillId="2" borderId="0" xfId="2" applyNumberFormat="1" applyFont="1" applyFill="1" applyBorder="1" applyAlignment="1">
      <alignment vertical="center"/>
    </xf>
    <xf numFmtId="164" fontId="20" fillId="2" borderId="0" xfId="2" applyNumberFormat="1" applyFont="1" applyFill="1" applyAlignment="1">
      <alignment horizontal="right" vertical="center"/>
    </xf>
    <xf numFmtId="3" fontId="15" fillId="2" borderId="0" xfId="2" applyNumberFormat="1" applyFont="1" applyFill="1" applyBorder="1" applyAlignment="1" applyProtection="1">
      <alignment horizontal="right" vertical="center"/>
    </xf>
    <xf numFmtId="164" fontId="15" fillId="2" borderId="2" xfId="2" applyNumberFormat="1" applyFont="1" applyFill="1" applyBorder="1" applyAlignment="1" applyProtection="1">
      <alignment horizontal="left" vertical="center"/>
    </xf>
    <xf numFmtId="3" fontId="15" fillId="2" borderId="2" xfId="2" applyNumberFormat="1" applyFont="1" applyFill="1" applyBorder="1" applyAlignment="1" applyProtection="1">
      <alignment horizontal="center" vertical="center"/>
      <protection locked="0"/>
    </xf>
    <xf numFmtId="3" fontId="15" fillId="2" borderId="2" xfId="2" applyNumberFormat="1" applyFont="1" applyFill="1" applyBorder="1" applyAlignment="1" applyProtection="1">
      <alignment horizontal="right" vertical="center"/>
      <protection locked="0"/>
    </xf>
    <xf numFmtId="165" fontId="15" fillId="2" borderId="2" xfId="2" applyNumberFormat="1" applyFont="1" applyFill="1" applyBorder="1" applyAlignment="1" applyProtection="1">
      <alignment horizontal="right" vertical="center"/>
      <protection locked="0"/>
    </xf>
    <xf numFmtId="168" fontId="15" fillId="2" borderId="11" xfId="2" applyNumberFormat="1" applyFont="1" applyFill="1" applyBorder="1" applyAlignment="1" applyProtection="1">
      <alignment vertical="center"/>
      <protection locked="0"/>
    </xf>
    <xf numFmtId="168" fontId="15" fillId="2" borderId="2" xfId="2" applyNumberFormat="1" applyFont="1" applyFill="1" applyBorder="1" applyAlignment="1" applyProtection="1">
      <alignment horizontal="right" vertical="center"/>
      <protection locked="0"/>
    </xf>
    <xf numFmtId="164" fontId="20" fillId="2" borderId="2" xfId="2" applyNumberFormat="1" applyFont="1" applyFill="1" applyBorder="1" applyAlignment="1">
      <alignment horizontal="right" vertical="center"/>
    </xf>
    <xf numFmtId="37" fontId="19" fillId="2" borderId="0" xfId="2" applyNumberFormat="1" applyFont="1" applyFill="1" applyAlignment="1" applyProtection="1">
      <alignment horizontal="center" vertical="center"/>
    </xf>
    <xf numFmtId="168" fontId="19" fillId="2" borderId="0" xfId="2" applyNumberFormat="1" applyFont="1" applyFill="1" applyAlignment="1" applyProtection="1">
      <alignment horizontal="center" vertical="center"/>
    </xf>
    <xf numFmtId="168" fontId="23" fillId="2" borderId="0" xfId="2" applyNumberFormat="1" applyFont="1" applyFill="1" applyAlignment="1">
      <alignment horizontal="center" vertical="center"/>
    </xf>
    <xf numFmtId="165" fontId="12" fillId="2" borderId="0" xfId="2" applyNumberFormat="1" applyFont="1" applyFill="1" applyAlignment="1" applyProtection="1">
      <alignment horizontal="right" vertical="center"/>
    </xf>
    <xf numFmtId="165" fontId="12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/>
    <xf numFmtId="164" fontId="11" fillId="2" borderId="3" xfId="2" applyNumberFormat="1" applyFont="1" applyFill="1" applyBorder="1" applyAlignment="1">
      <alignment horizontal="center"/>
    </xf>
    <xf numFmtId="0" fontId="17" fillId="2" borderId="3" xfId="2" applyFont="1" applyFill="1" applyBorder="1" applyAlignment="1" applyProtection="1">
      <alignment horizontal="center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>
      <alignment horizontal="right"/>
    </xf>
    <xf numFmtId="1" fontId="13" fillId="2" borderId="2" xfId="2" applyNumberFormat="1" applyFont="1" applyFill="1" applyBorder="1" applyAlignment="1" applyProtection="1">
      <alignment horizontal="right" vertical="center"/>
    </xf>
    <xf numFmtId="1" fontId="13" fillId="2" borderId="2" xfId="2" applyNumberFormat="1" applyFont="1" applyFill="1" applyBorder="1" applyAlignment="1" applyProtection="1">
      <alignment horizontal="center" vertical="center"/>
    </xf>
    <xf numFmtId="1" fontId="13" fillId="2" borderId="2" xfId="2" applyNumberFormat="1" applyFont="1" applyFill="1" applyBorder="1" applyAlignment="1">
      <alignment horizontal="right" vertical="center"/>
    </xf>
    <xf numFmtId="1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 indent="3"/>
    </xf>
    <xf numFmtId="165" fontId="19" fillId="2" borderId="0" xfId="2" applyNumberFormat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 indent="3"/>
    </xf>
    <xf numFmtId="164" fontId="20" fillId="2" borderId="0" xfId="2" applyNumberFormat="1" applyFont="1" applyFill="1" applyAlignment="1">
      <alignment horizontal="right" vertical="center" indent="4"/>
    </xf>
    <xf numFmtId="165" fontId="19" fillId="2" borderId="0" xfId="2" applyNumberFormat="1" applyFont="1" applyFill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  <protection locked="0"/>
    </xf>
    <xf numFmtId="168" fontId="19" fillId="2" borderId="0" xfId="2" applyNumberFormat="1" applyFont="1" applyFill="1" applyAlignment="1">
      <alignment vertical="center"/>
    </xf>
    <xf numFmtId="164" fontId="27" fillId="2" borderId="0" xfId="2" applyNumberFormat="1" applyFont="1" applyFill="1" applyBorder="1" applyAlignment="1">
      <alignment horizontal="right" vertical="center"/>
    </xf>
    <xf numFmtId="168" fontId="19" fillId="2" borderId="2" xfId="2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Alignment="1">
      <alignment horizontal="center" vertical="center"/>
    </xf>
    <xf numFmtId="164" fontId="15" fillId="2" borderId="0" xfId="5" applyNumberFormat="1" applyFont="1" applyFill="1" applyAlignment="1">
      <alignment vertical="center"/>
    </xf>
    <xf numFmtId="164" fontId="8" fillId="2" borderId="0" xfId="5" applyNumberFormat="1" applyFont="1" applyFill="1" applyAlignment="1">
      <alignment vertical="center"/>
    </xf>
    <xf numFmtId="164" fontId="8" fillId="2" borderId="3" xfId="5" applyNumberFormat="1" applyFont="1" applyFill="1" applyBorder="1" applyAlignment="1">
      <alignment vertical="center"/>
    </xf>
    <xf numFmtId="164" fontId="8" fillId="2" borderId="3" xfId="5" applyNumberFormat="1" applyFont="1" applyFill="1" applyBorder="1" applyAlignment="1" applyProtection="1">
      <alignment horizontal="right" vertical="center"/>
      <protection locked="0"/>
    </xf>
    <xf numFmtId="164" fontId="8" fillId="2" borderId="2" xfId="5" applyNumberFormat="1" applyFont="1" applyFill="1" applyBorder="1" applyAlignment="1" applyProtection="1">
      <alignment horizontal="right"/>
    </xf>
    <xf numFmtId="164" fontId="15" fillId="2" borderId="0" xfId="5" applyNumberFormat="1" applyFont="1" applyFill="1" applyBorder="1" applyAlignment="1">
      <alignment vertical="center"/>
    </xf>
    <xf numFmtId="167" fontId="15" fillId="2" borderId="0" xfId="1" applyNumberFormat="1" applyFont="1" applyFill="1" applyAlignment="1">
      <alignment horizontal="right" vertical="center"/>
    </xf>
    <xf numFmtId="167" fontId="8" fillId="2" borderId="0" xfId="1" applyNumberFormat="1" applyFont="1" applyFill="1" applyAlignment="1">
      <alignment horizontal="right" vertical="center"/>
    </xf>
    <xf numFmtId="167" fontId="1" fillId="2" borderId="0" xfId="1" applyNumberFormat="1" applyFont="1" applyFill="1" applyBorder="1" applyAlignment="1">
      <alignment horizontal="right" vertical="center"/>
    </xf>
    <xf numFmtId="167" fontId="15" fillId="2" borderId="0" xfId="1" applyNumberFormat="1" applyFont="1" applyFill="1" applyBorder="1" applyAlignment="1">
      <alignment horizontal="right" vertical="center"/>
    </xf>
    <xf numFmtId="167" fontId="15" fillId="2" borderId="2" xfId="1" applyNumberFormat="1" applyFont="1" applyFill="1" applyBorder="1" applyAlignment="1">
      <alignment horizontal="right" vertical="center"/>
    </xf>
    <xf numFmtId="164" fontId="15" fillId="2" borderId="0" xfId="5" applyNumberFormat="1" applyFont="1" applyFill="1" applyAlignment="1">
      <alignment horizontal="right" vertical="center"/>
    </xf>
    <xf numFmtId="165" fontId="8" fillId="2" borderId="3" xfId="5" applyNumberFormat="1" applyFont="1" applyFill="1" applyBorder="1" applyAlignment="1" applyProtection="1">
      <alignment horizontal="right" vertical="center"/>
    </xf>
    <xf numFmtId="2" fontId="8" fillId="2" borderId="0" xfId="5" applyNumberFormat="1" applyFont="1" applyFill="1" applyAlignment="1">
      <alignment horizontal="left"/>
    </xf>
    <xf numFmtId="167" fontId="8" fillId="2" borderId="0" xfId="1" applyNumberFormat="1" applyFont="1" applyFill="1" applyBorder="1" applyAlignment="1" applyProtection="1">
      <alignment horizontal="right" vertical="center"/>
    </xf>
    <xf numFmtId="2" fontId="15" fillId="2" borderId="0" xfId="5" applyNumberFormat="1" applyFont="1" applyFill="1" applyAlignment="1">
      <alignment horizontal="left"/>
    </xf>
    <xf numFmtId="167" fontId="15" fillId="2" borderId="0" xfId="1" applyNumberFormat="1" applyFont="1" applyFill="1" applyBorder="1" applyAlignment="1" applyProtection="1">
      <alignment horizontal="right" vertical="center"/>
    </xf>
    <xf numFmtId="167" fontId="15" fillId="2" borderId="0" xfId="1" applyNumberFormat="1" applyFont="1" applyFill="1" applyAlignment="1" applyProtection="1">
      <alignment horizontal="right" vertical="center"/>
    </xf>
    <xf numFmtId="167" fontId="15" fillId="2" borderId="0" xfId="1" applyNumberFormat="1" applyFont="1" applyFill="1" applyAlignment="1">
      <alignment horizontal="left"/>
    </xf>
    <xf numFmtId="167" fontId="15" fillId="2" borderId="0" xfId="1" applyNumberFormat="1" applyFont="1" applyFill="1" applyBorder="1" applyAlignment="1">
      <alignment horizontal="left"/>
    </xf>
    <xf numFmtId="167" fontId="15" fillId="2" borderId="2" xfId="1" applyNumberFormat="1" applyFont="1" applyFill="1" applyBorder="1" applyAlignment="1">
      <alignment horizontal="left"/>
    </xf>
    <xf numFmtId="167" fontId="1" fillId="2" borderId="2" xfId="1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/>
    <xf numFmtId="167" fontId="15" fillId="2" borderId="0" xfId="1" applyNumberFormat="1" applyFont="1" applyFill="1" applyAlignment="1">
      <alignment horizontal="left" indent="1"/>
    </xf>
    <xf numFmtId="167" fontId="15" fillId="2" borderId="0" xfId="1" applyNumberFormat="1" applyFont="1" applyFill="1" applyAlignment="1">
      <alignment vertical="center"/>
    </xf>
    <xf numFmtId="168" fontId="15" fillId="2" borderId="0" xfId="5" applyNumberFormat="1" applyFont="1" applyFill="1" applyAlignment="1">
      <alignment horizontal="left" indent="1"/>
    </xf>
    <xf numFmtId="164" fontId="15" fillId="2" borderId="0" xfId="5" applyNumberFormat="1" applyFont="1" applyFill="1" applyAlignment="1">
      <alignment horizontal="left" indent="1"/>
    </xf>
    <xf numFmtId="0" fontId="34" fillId="2" borderId="0" xfId="0" applyFont="1" applyFill="1"/>
    <xf numFmtId="164" fontId="34" fillId="2" borderId="0" xfId="5" applyNumberFormat="1" applyFont="1" applyFill="1" applyAlignment="1">
      <alignment vertical="center"/>
    </xf>
    <xf numFmtId="164" fontId="34" fillId="2" borderId="0" xfId="5" applyNumberFormat="1" applyFont="1" applyFill="1" applyAlignment="1">
      <alignment horizontal="right" vertical="center"/>
    </xf>
    <xf numFmtId="164" fontId="35" fillId="2" borderId="0" xfId="2" applyNumberFormat="1" applyFont="1" applyFill="1"/>
    <xf numFmtId="164" fontId="8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Border="1" applyAlignment="1">
      <alignment horizontal="right"/>
    </xf>
    <xf numFmtId="164" fontId="13" fillId="2" borderId="3" xfId="2" applyNumberFormat="1" applyFont="1" applyFill="1" applyBorder="1" applyAlignment="1">
      <alignment horizontal="right"/>
    </xf>
    <xf numFmtId="0" fontId="18" fillId="2" borderId="0" xfId="2" applyFont="1" applyFill="1" applyBorder="1" applyAlignment="1" applyProtection="1">
      <alignment horizontal="center" vertical="center"/>
    </xf>
    <xf numFmtId="164" fontId="24" fillId="2" borderId="0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>
      <alignment horizontal="right" vertical="center"/>
    </xf>
    <xf numFmtId="168" fontId="13" fillId="2" borderId="0" xfId="2" applyNumberFormat="1" applyFont="1" applyFill="1" applyBorder="1" applyAlignment="1" applyProtection="1">
      <alignment horizontal="center" vertical="center"/>
      <protection locked="0"/>
    </xf>
    <xf numFmtId="168" fontId="13" fillId="2" borderId="2" xfId="2" applyNumberFormat="1" applyFont="1" applyFill="1" applyBorder="1" applyAlignment="1">
      <alignment horizontal="right" vertical="center"/>
    </xf>
    <xf numFmtId="164" fontId="33" fillId="2" borderId="2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8" fontId="13" fillId="2" borderId="0" xfId="2" applyNumberFormat="1" applyFont="1" applyFill="1" applyBorder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</xf>
    <xf numFmtId="164" fontId="19" fillId="2" borderId="0" xfId="2" applyNumberFormat="1" applyFont="1" applyFill="1" applyBorder="1" applyAlignment="1">
      <alignment vertical="center"/>
    </xf>
    <xf numFmtId="165" fontId="19" fillId="2" borderId="0" xfId="2" applyNumberFormat="1" applyFont="1" applyFill="1" applyBorder="1" applyAlignment="1" applyProtection="1">
      <alignment horizontal="right"/>
    </xf>
    <xf numFmtId="164" fontId="27" fillId="2" borderId="0" xfId="2" applyNumberFormat="1" applyFont="1" applyFill="1" applyAlignment="1">
      <alignment horizontal="center" vertical="center"/>
    </xf>
    <xf numFmtId="164" fontId="27" fillId="2" borderId="0" xfId="2" applyNumberFormat="1" applyFont="1" applyFill="1" applyBorder="1" applyAlignment="1">
      <alignment horizontal="center" vertical="center"/>
    </xf>
    <xf numFmtId="165" fontId="13" fillId="2" borderId="2" xfId="2" applyNumberFormat="1" applyFont="1" applyFill="1" applyBorder="1" applyAlignment="1" applyProtection="1">
      <alignment horizontal="right" vertical="center"/>
    </xf>
    <xf numFmtId="168" fontId="13" fillId="2" borderId="2" xfId="2" applyNumberFormat="1" applyFont="1" applyFill="1" applyBorder="1" applyAlignment="1" applyProtection="1">
      <alignment horizontal="right" vertical="center"/>
    </xf>
    <xf numFmtId="164" fontId="11" fillId="2" borderId="2" xfId="2" applyNumberFormat="1" applyFont="1" applyFill="1" applyBorder="1" applyAlignment="1">
      <alignment horizontal="right" vertical="center"/>
    </xf>
    <xf numFmtId="168" fontId="19" fillId="2" borderId="0" xfId="2" applyNumberFormat="1" applyFont="1" applyFill="1" applyAlignment="1">
      <alignment horizontal="center" vertical="center"/>
    </xf>
    <xf numFmtId="164" fontId="19" fillId="2" borderId="0" xfId="2" applyNumberFormat="1" applyFont="1" applyFill="1"/>
    <xf numFmtId="164" fontId="19" fillId="2" borderId="0" xfId="2" applyNumberFormat="1" applyFont="1" applyFill="1" applyAlignment="1">
      <alignment horizontal="center"/>
    </xf>
    <xf numFmtId="168" fontId="19" fillId="2" borderId="0" xfId="2" applyNumberFormat="1" applyFont="1" applyFill="1" applyAlignment="1">
      <alignment horizontal="center"/>
    </xf>
    <xf numFmtId="164" fontId="36" fillId="2" borderId="0" xfId="2" applyNumberFormat="1" applyFont="1" applyFill="1"/>
    <xf numFmtId="164" fontId="36" fillId="2" borderId="0" xfId="2" applyNumberFormat="1" applyFont="1" applyFill="1" applyAlignment="1">
      <alignment horizontal="center"/>
    </xf>
    <xf numFmtId="168" fontId="36" fillId="2" borderId="0" xfId="2" applyNumberFormat="1" applyFont="1" applyFill="1" applyAlignment="1">
      <alignment horizontal="center"/>
    </xf>
    <xf numFmtId="164" fontId="35" fillId="2" borderId="0" xfId="2" applyNumberFormat="1" applyFont="1" applyFill="1" applyAlignment="1">
      <alignment horizontal="center"/>
    </xf>
    <xf numFmtId="168" fontId="35" fillId="2" borderId="0" xfId="2" applyNumberFormat="1" applyFont="1" applyFill="1" applyAlignment="1">
      <alignment horizontal="center"/>
    </xf>
    <xf numFmtId="164" fontId="8" fillId="2" borderId="7" xfId="2" applyNumberFormat="1" applyFont="1" applyFill="1" applyBorder="1" applyAlignment="1" applyProtection="1">
      <alignment horizontal="center" vertical="center"/>
      <protection locked="0"/>
    </xf>
    <xf numFmtId="164" fontId="28" fillId="2" borderId="2" xfId="2" applyNumberFormat="1" applyFont="1" applyFill="1" applyBorder="1" applyAlignment="1">
      <alignment vertical="center"/>
    </xf>
    <xf numFmtId="164" fontId="12" fillId="2" borderId="10" xfId="2" applyNumberFormat="1" applyFont="1" applyFill="1" applyBorder="1" applyAlignment="1">
      <alignment vertical="center"/>
    </xf>
    <xf numFmtId="168" fontId="17" fillId="2" borderId="3" xfId="2" applyNumberFormat="1" applyFont="1" applyFill="1" applyBorder="1" applyAlignment="1" applyProtection="1">
      <alignment vertical="center"/>
      <protection hidden="1"/>
    </xf>
    <xf numFmtId="1" fontId="8" fillId="2" borderId="0" xfId="2" applyNumberFormat="1" applyFont="1" applyFill="1" applyBorder="1" applyAlignment="1" applyProtection="1">
      <alignment vertical="center"/>
      <protection locked="0"/>
    </xf>
    <xf numFmtId="165" fontId="19" fillId="2" borderId="2" xfId="2" applyNumberFormat="1" applyFont="1" applyFill="1" applyBorder="1" applyAlignment="1">
      <alignment horizontal="right" vertical="center" indent="3"/>
    </xf>
    <xf numFmtId="167" fontId="13" fillId="2" borderId="0" xfId="1" applyNumberFormat="1" applyFont="1" applyFill="1" applyAlignment="1">
      <alignment horizontal="right" vertical="center"/>
    </xf>
    <xf numFmtId="167" fontId="19" fillId="2" borderId="0" xfId="1" applyNumberFormat="1" applyFont="1" applyFill="1" applyBorder="1" applyAlignment="1" applyProtection="1">
      <alignment horizontal="right" vertical="center"/>
    </xf>
    <xf numFmtId="167" fontId="19" fillId="2" borderId="0" xfId="1" applyNumberFormat="1" applyFont="1" applyFill="1" applyAlignment="1">
      <alignment horizontal="right" vertical="center"/>
    </xf>
    <xf numFmtId="167" fontId="13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>
      <alignment vertical="center"/>
    </xf>
    <xf numFmtId="167" fontId="19" fillId="2" borderId="2" xfId="1" applyNumberFormat="1" applyFont="1" applyFill="1" applyBorder="1" applyAlignment="1" applyProtection="1">
      <alignment horizontal="right" vertical="center"/>
      <protection locked="0"/>
    </xf>
    <xf numFmtId="1" fontId="3" fillId="2" borderId="9" xfId="4" applyNumberFormat="1" applyFont="1" applyFill="1" applyBorder="1" applyAlignment="1">
      <alignment horizontal="center" vertical="center"/>
    </xf>
    <xf numFmtId="164" fontId="3" fillId="2" borderId="9" xfId="4" applyNumberFormat="1" applyFont="1" applyFill="1" applyBorder="1" applyAlignment="1">
      <alignment horizontal="center" vertical="center"/>
    </xf>
    <xf numFmtId="167" fontId="4" fillId="2" borderId="9" xfId="1" applyNumberFormat="1" applyFont="1" applyFill="1" applyBorder="1" applyAlignment="1" applyProtection="1">
      <alignment horizontal="right" vertical="center"/>
    </xf>
    <xf numFmtId="164" fontId="3" fillId="0" borderId="9" xfId="4" applyNumberFormat="1" applyFont="1" applyFill="1" applyBorder="1" applyAlignment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center" vertical="center"/>
    </xf>
    <xf numFmtId="165" fontId="19" fillId="2" borderId="0" xfId="2" applyNumberFormat="1" applyFont="1" applyFill="1" applyAlignment="1" applyProtection="1">
      <alignment horizontal="right" vertical="center"/>
      <protection locked="0"/>
    </xf>
    <xf numFmtId="165" fontId="19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4" fillId="2" borderId="0" xfId="2" applyNumberFormat="1" applyFont="1" applyFill="1" applyBorder="1" applyAlignment="1" applyProtection="1">
      <alignment horizontal="center" vertical="center"/>
    </xf>
    <xf numFmtId="164" fontId="38" fillId="2" borderId="0" xfId="2" applyNumberFormat="1" applyFont="1" applyFill="1" applyAlignment="1">
      <alignment vertical="center"/>
    </xf>
    <xf numFmtId="164" fontId="39" fillId="2" borderId="0" xfId="2" applyNumberFormat="1" applyFont="1" applyFill="1" applyAlignment="1">
      <alignment horizontal="center" vertical="center"/>
    </xf>
    <xf numFmtId="168" fontId="39" fillId="2" borderId="0" xfId="2" applyNumberFormat="1" applyFont="1" applyFill="1" applyAlignment="1">
      <alignment horizontal="center" vertical="center"/>
    </xf>
    <xf numFmtId="164" fontId="39" fillId="2" borderId="0" xfId="2" applyNumberFormat="1" applyFont="1" applyFill="1" applyAlignment="1">
      <alignment horizontal="right" vertical="center"/>
    </xf>
    <xf numFmtId="164" fontId="39" fillId="2" borderId="0" xfId="2" applyNumberFormat="1" applyFont="1" applyFill="1" applyAlignment="1">
      <alignment vertical="center"/>
    </xf>
    <xf numFmtId="167" fontId="19" fillId="2" borderId="0" xfId="1" applyNumberFormat="1" applyFont="1" applyFill="1" applyAlignment="1">
      <alignment horizontal="right" vertical="center" indent="2"/>
    </xf>
    <xf numFmtId="164" fontId="8" fillId="2" borderId="3" xfId="2" applyNumberFormat="1" applyFont="1" applyFill="1" applyBorder="1" applyAlignment="1" applyProtection="1">
      <alignment horizontal="right" vertical="center"/>
      <protection locked="0"/>
    </xf>
    <xf numFmtId="164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8" fillId="5" borderId="1" xfId="2" applyNumberFormat="1" applyFont="1" applyFill="1" applyBorder="1" applyAlignment="1" applyProtection="1">
      <alignment horizontal="right" vertical="center"/>
    </xf>
    <xf numFmtId="165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25" fillId="2" borderId="14" xfId="2" applyNumberFormat="1" applyFont="1" applyFill="1" applyBorder="1" applyAlignment="1">
      <alignment vertical="center"/>
    </xf>
    <xf numFmtId="165" fontId="15" fillId="5" borderId="11" xfId="2" applyNumberFormat="1" applyFont="1" applyFill="1" applyBorder="1" applyAlignment="1" applyProtection="1">
      <alignment horizontal="right" vertical="center"/>
      <protection locked="0"/>
    </xf>
    <xf numFmtId="165" fontId="15" fillId="5" borderId="10" xfId="2" applyNumberFormat="1" applyFont="1" applyFill="1" applyBorder="1" applyAlignment="1" applyProtection="1">
      <alignment horizontal="right" vertical="center"/>
      <protection locked="0"/>
    </xf>
    <xf numFmtId="164" fontId="8" fillId="5" borderId="16" xfId="2" applyNumberFormat="1" applyFont="1" applyFill="1" applyBorder="1" applyAlignment="1" applyProtection="1">
      <alignment horizontal="right" vertical="center"/>
      <protection locked="0"/>
    </xf>
    <xf numFmtId="164" fontId="8" fillId="5" borderId="20" xfId="2" applyNumberFormat="1" applyFont="1" applyFill="1" applyBorder="1" applyAlignment="1" applyProtection="1">
      <alignment horizontal="right" vertical="center"/>
    </xf>
    <xf numFmtId="165" fontId="8" fillId="5" borderId="3" xfId="2" applyNumberFormat="1" applyFont="1" applyFill="1" applyBorder="1" applyAlignment="1" applyProtection="1">
      <alignment horizontal="right" vertical="center"/>
    </xf>
    <xf numFmtId="165" fontId="8" fillId="5" borderId="12" xfId="2" applyNumberFormat="1" applyFont="1" applyFill="1" applyBorder="1" applyAlignment="1" applyProtection="1">
      <alignment horizontal="right" vertical="center"/>
    </xf>
    <xf numFmtId="165" fontId="8" fillId="5" borderId="10" xfId="2" applyNumberFormat="1" applyFont="1" applyFill="1" applyBorder="1" applyAlignment="1" applyProtection="1">
      <alignment horizontal="right" vertical="center"/>
      <protection locked="0"/>
    </xf>
    <xf numFmtId="165" fontId="15" fillId="5" borderId="0" xfId="2" applyNumberFormat="1" applyFont="1" applyFill="1" applyBorder="1" applyAlignment="1" applyProtection="1">
      <alignment horizontal="right" vertical="center"/>
      <protection locked="0"/>
    </xf>
    <xf numFmtId="165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25" fillId="2" borderId="14" xfId="2" applyNumberFormat="1" applyFont="1" applyFill="1" applyBorder="1" applyAlignment="1">
      <alignment horizontal="center"/>
    </xf>
    <xf numFmtId="164" fontId="26" fillId="2" borderId="14" xfId="2" applyNumberFormat="1" applyFont="1" applyFill="1" applyBorder="1" applyAlignment="1">
      <alignment vertical="center"/>
    </xf>
    <xf numFmtId="164" fontId="13" fillId="5" borderId="23" xfId="2" applyNumberFormat="1" applyFont="1" applyFill="1" applyBorder="1" applyAlignment="1">
      <alignment horizontal="right" vertical="center"/>
    </xf>
    <xf numFmtId="164" fontId="12" fillId="5" borderId="10" xfId="2" applyNumberFormat="1" applyFont="1" applyFill="1" applyBorder="1" applyAlignment="1">
      <alignment vertical="center"/>
    </xf>
    <xf numFmtId="168" fontId="8" fillId="5" borderId="10" xfId="2" applyNumberFormat="1" applyFont="1" applyFill="1" applyBorder="1" applyAlignment="1" applyProtection="1">
      <alignment vertical="center"/>
      <protection locked="0"/>
    </xf>
    <xf numFmtId="168" fontId="15" fillId="5" borderId="10" xfId="2" applyNumberFormat="1" applyFont="1" applyFill="1" applyBorder="1" applyAlignment="1" applyProtection="1">
      <alignment vertical="center"/>
      <protection locked="0"/>
    </xf>
    <xf numFmtId="168" fontId="15" fillId="5" borderId="11" xfId="2" applyNumberFormat="1" applyFont="1" applyFill="1" applyBorder="1" applyAlignment="1" applyProtection="1">
      <alignment vertical="center"/>
      <protection locked="0"/>
    </xf>
    <xf numFmtId="168" fontId="13" fillId="5" borderId="17" xfId="2" applyNumberFormat="1" applyFont="1" applyFill="1" applyBorder="1" applyAlignment="1">
      <alignment horizontal="right" vertical="center"/>
    </xf>
    <xf numFmtId="168" fontId="8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vertical="center"/>
      <protection locked="0"/>
    </xf>
    <xf numFmtId="168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40" fillId="2" borderId="0" xfId="2" applyNumberFormat="1" applyFont="1" applyFill="1" applyBorder="1" applyAlignment="1" applyProtection="1">
      <alignment horizontal="right" vertical="center"/>
      <protection locked="0"/>
    </xf>
    <xf numFmtId="164" fontId="40" fillId="5" borderId="22" xfId="2" applyNumberFormat="1" applyFont="1" applyFill="1" applyBorder="1" applyAlignment="1" applyProtection="1">
      <alignment horizontal="right" vertical="center"/>
      <protection locked="0"/>
    </xf>
    <xf numFmtId="168" fontId="13" fillId="2" borderId="5" xfId="2" applyNumberFormat="1" applyFont="1" applyFill="1" applyBorder="1" applyAlignment="1">
      <alignment horizontal="right" vertical="center"/>
    </xf>
    <xf numFmtId="164" fontId="13" fillId="2" borderId="21" xfId="2" applyNumberFormat="1" applyFont="1" applyFill="1" applyBorder="1" applyAlignment="1" applyProtection="1">
      <alignment horizontal="right" vertical="center"/>
    </xf>
    <xf numFmtId="165" fontId="13" fillId="2" borderId="24" xfId="2" applyNumberFormat="1" applyFont="1" applyFill="1" applyBorder="1" applyAlignment="1" applyProtection="1">
      <alignment horizontal="right" vertical="center"/>
    </xf>
    <xf numFmtId="165" fontId="19" fillId="2" borderId="24" xfId="2" applyNumberFormat="1" applyFont="1" applyFill="1" applyBorder="1" applyAlignment="1" applyProtection="1">
      <alignment horizontal="right" vertical="center"/>
    </xf>
    <xf numFmtId="165" fontId="13" fillId="2" borderId="23" xfId="2" applyNumberFormat="1" applyFont="1" applyFill="1" applyBorder="1" applyAlignment="1" applyProtection="1">
      <alignment horizontal="right" vertical="center"/>
    </xf>
    <xf numFmtId="165" fontId="19" fillId="5" borderId="0" xfId="2" applyNumberFormat="1" applyFont="1" applyFill="1" applyBorder="1" applyAlignment="1" applyProtection="1">
      <alignment horizontal="right" vertical="center"/>
    </xf>
    <xf numFmtId="165" fontId="13" fillId="5" borderId="2" xfId="2" applyNumberFormat="1" applyFont="1" applyFill="1" applyBorder="1" applyAlignment="1" applyProtection="1">
      <alignment horizontal="right" vertical="center"/>
    </xf>
    <xf numFmtId="165" fontId="13" fillId="5" borderId="0" xfId="2" applyNumberFormat="1" applyFont="1" applyFill="1" applyBorder="1" applyAlignment="1" applyProtection="1">
      <alignment horizontal="right" vertical="center"/>
    </xf>
    <xf numFmtId="164" fontId="13" fillId="5" borderId="19" xfId="2" applyNumberFormat="1" applyFont="1" applyFill="1" applyBorder="1" applyAlignment="1" applyProtection="1">
      <alignment horizontal="right" vertical="center"/>
    </xf>
    <xf numFmtId="165" fontId="13" fillId="5" borderId="10" xfId="2" applyNumberFormat="1" applyFont="1" applyFill="1" applyBorder="1" applyAlignment="1" applyProtection="1">
      <alignment horizontal="right" vertical="center"/>
    </xf>
    <xf numFmtId="165" fontId="19" fillId="5" borderId="10" xfId="2" applyNumberFormat="1" applyFont="1" applyFill="1" applyBorder="1" applyAlignment="1" applyProtection="1">
      <alignment horizontal="right" vertical="center"/>
    </xf>
    <xf numFmtId="165" fontId="13" fillId="5" borderId="11" xfId="2" applyNumberFormat="1" applyFont="1" applyFill="1" applyBorder="1" applyAlignment="1" applyProtection="1">
      <alignment horizontal="right" vertical="center"/>
    </xf>
    <xf numFmtId="168" fontId="13" fillId="5" borderId="0" xfId="2" applyNumberFormat="1" applyFont="1" applyFill="1" applyBorder="1" applyAlignment="1" applyProtection="1">
      <alignment horizontal="right" vertical="center"/>
    </xf>
    <xf numFmtId="168" fontId="19" fillId="5" borderId="0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>
      <alignment horizontal="right" vertical="center"/>
    </xf>
    <xf numFmtId="1" fontId="13" fillId="2" borderId="23" xfId="2" applyNumberFormat="1" applyFont="1" applyFill="1" applyBorder="1" applyAlignment="1" applyProtection="1">
      <alignment horizontal="right" vertical="center"/>
    </xf>
    <xf numFmtId="165" fontId="13" fillId="2" borderId="25" xfId="2" applyNumberFormat="1" applyFont="1" applyFill="1" applyBorder="1" applyAlignment="1">
      <alignment horizontal="right" vertical="center"/>
    </xf>
    <xf numFmtId="165" fontId="13" fillId="2" borderId="24" xfId="2" applyNumberFormat="1" applyFont="1" applyFill="1" applyBorder="1" applyAlignment="1">
      <alignment horizontal="right" vertical="center"/>
    </xf>
    <xf numFmtId="165" fontId="19" fillId="2" borderId="24" xfId="2" applyNumberFormat="1" applyFont="1" applyFill="1" applyBorder="1" applyAlignment="1">
      <alignment horizontal="right" vertical="center"/>
    </xf>
    <xf numFmtId="167" fontId="19" fillId="2" borderId="24" xfId="1" applyNumberFormat="1" applyFont="1" applyFill="1" applyBorder="1" applyAlignment="1">
      <alignment horizontal="right" vertical="center"/>
    </xf>
    <xf numFmtId="165" fontId="19" fillId="2" borderId="23" xfId="2" applyNumberFormat="1" applyFont="1" applyFill="1" applyBorder="1" applyAlignment="1">
      <alignment horizontal="right" vertical="center"/>
    </xf>
    <xf numFmtId="167" fontId="19" fillId="5" borderId="0" xfId="1" applyNumberFormat="1" applyFont="1" applyFill="1" applyBorder="1" applyAlignment="1" applyProtection="1">
      <alignment horizontal="right" vertical="center"/>
    </xf>
    <xf numFmtId="167" fontId="19" fillId="5" borderId="0" xfId="1" applyNumberFormat="1" applyFont="1" applyFill="1" applyAlignment="1">
      <alignment horizontal="right" vertical="center"/>
    </xf>
    <xf numFmtId="167" fontId="19" fillId="5" borderId="0" xfId="1" applyNumberFormat="1" applyFont="1" applyFill="1" applyAlignment="1">
      <alignment vertical="center"/>
    </xf>
    <xf numFmtId="167" fontId="19" fillId="5" borderId="2" xfId="1" applyNumberFormat="1" applyFont="1" applyFill="1" applyBorder="1" applyAlignment="1" applyProtection="1">
      <alignment horizontal="right" vertical="center"/>
      <protection locked="0"/>
    </xf>
    <xf numFmtId="167" fontId="13" fillId="5" borderId="0" xfId="1" applyNumberFormat="1" applyFont="1" applyFill="1" applyAlignment="1">
      <alignment horizontal="right" vertical="center"/>
    </xf>
    <xf numFmtId="167" fontId="13" fillId="5" borderId="0" xfId="1" applyNumberFormat="1" applyFont="1" applyFill="1" applyAlignment="1" applyProtection="1">
      <alignment horizontal="right" vertical="center"/>
    </xf>
    <xf numFmtId="167" fontId="19" fillId="5" borderId="0" xfId="1" applyNumberFormat="1" applyFont="1" applyFill="1" applyAlignment="1" applyProtection="1">
      <alignment horizontal="right" vertical="center"/>
    </xf>
    <xf numFmtId="1" fontId="13" fillId="5" borderId="11" xfId="2" applyNumberFormat="1" applyFont="1" applyFill="1" applyBorder="1" applyAlignment="1" applyProtection="1">
      <alignment horizontal="right" vertical="center"/>
    </xf>
    <xf numFmtId="165" fontId="13" fillId="5" borderId="12" xfId="2" applyNumberFormat="1" applyFont="1" applyFill="1" applyBorder="1" applyAlignment="1">
      <alignment horizontal="right" vertical="center"/>
    </xf>
    <xf numFmtId="165" fontId="13" fillId="5" borderId="10" xfId="2" applyNumberFormat="1" applyFont="1" applyFill="1" applyBorder="1" applyAlignment="1">
      <alignment horizontal="right" vertical="center"/>
    </xf>
    <xf numFmtId="165" fontId="19" fillId="5" borderId="10" xfId="2" applyNumberFormat="1" applyFont="1" applyFill="1" applyBorder="1" applyAlignment="1">
      <alignment horizontal="right" vertical="center"/>
    </xf>
    <xf numFmtId="167" fontId="19" fillId="5" borderId="10" xfId="1" applyNumberFormat="1" applyFont="1" applyFill="1" applyBorder="1" applyAlignment="1">
      <alignment horizontal="right" vertical="center"/>
    </xf>
    <xf numFmtId="165" fontId="19" fillId="5" borderId="11" xfId="2" applyNumberFormat="1" applyFont="1" applyFill="1" applyBorder="1" applyAlignment="1">
      <alignment horizontal="right" vertical="center"/>
    </xf>
    <xf numFmtId="1" fontId="13" fillId="5" borderId="2" xfId="2" applyNumberFormat="1" applyFont="1" applyFill="1" applyBorder="1" applyAlignment="1" applyProtection="1">
      <alignment horizontal="center" vertical="center"/>
    </xf>
    <xf numFmtId="165" fontId="13" fillId="5" borderId="0" xfId="2" applyNumberFormat="1" applyFont="1" applyFill="1" applyBorder="1" applyAlignment="1">
      <alignment horizontal="right" vertical="center" indent="3"/>
    </xf>
    <xf numFmtId="165" fontId="19" fillId="5" borderId="0" xfId="2" applyNumberFormat="1" applyFont="1" applyFill="1" applyBorder="1" applyAlignment="1">
      <alignment horizontal="right" vertical="center" indent="3"/>
    </xf>
    <xf numFmtId="167" fontId="19" fillId="5" borderId="0" xfId="1" applyNumberFormat="1" applyFont="1" applyFill="1" applyAlignment="1">
      <alignment horizontal="right" vertical="center" indent="2"/>
    </xf>
    <xf numFmtId="165" fontId="19" fillId="5" borderId="2" xfId="2" applyNumberFormat="1" applyFont="1" applyFill="1" applyBorder="1" applyAlignment="1">
      <alignment horizontal="right" vertical="center" indent="3"/>
    </xf>
    <xf numFmtId="164" fontId="41" fillId="3" borderId="9" xfId="4" applyNumberFormat="1" applyFont="1" applyFill="1" applyBorder="1" applyAlignment="1">
      <alignment horizontal="center" vertical="center"/>
    </xf>
    <xf numFmtId="167" fontId="42" fillId="4" borderId="9" xfId="1" applyNumberFormat="1" applyFont="1" applyFill="1" applyBorder="1"/>
    <xf numFmtId="167" fontId="42" fillId="4" borderId="9" xfId="1" applyNumberFormat="1" applyFont="1" applyFill="1" applyBorder="1" applyAlignment="1" applyProtection="1">
      <alignment horizontal="right" vertical="center"/>
    </xf>
    <xf numFmtId="164" fontId="21" fillId="2" borderId="0" xfId="2" applyNumberFormat="1" applyFont="1" applyFill="1" applyAlignment="1">
      <alignment vertical="center"/>
    </xf>
    <xf numFmtId="1" fontId="20" fillId="2" borderId="0" xfId="2" applyNumberFormat="1" applyFont="1" applyFill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horizontal="center" vertical="center"/>
    </xf>
    <xf numFmtId="164" fontId="22" fillId="2" borderId="0" xfId="2" applyNumberFormat="1" applyFont="1" applyFill="1" applyAlignment="1">
      <alignment horizontal="center" vertical="center"/>
    </xf>
    <xf numFmtId="164" fontId="16" fillId="2" borderId="0" xfId="2" applyNumberFormat="1" applyFont="1" applyFill="1" applyBorder="1" applyAlignment="1" applyProtection="1">
      <alignment horizontal="center" vertical="center" wrapText="1"/>
    </xf>
    <xf numFmtId="164" fontId="30" fillId="2" borderId="0" xfId="2" applyNumberFormat="1" applyFont="1" applyFill="1" applyAlignment="1">
      <alignment horizontal="center" vertical="center" wrapText="1"/>
    </xf>
    <xf numFmtId="164" fontId="24" fillId="2" borderId="2" xfId="2" applyNumberFormat="1" applyFont="1" applyFill="1" applyBorder="1" applyAlignment="1">
      <alignment horizontal="center" vertical="center"/>
    </xf>
    <xf numFmtId="164" fontId="13" fillId="2" borderId="3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5" fillId="2" borderId="14" xfId="2" applyNumberFormat="1" applyFont="1" applyFill="1" applyBorder="1" applyAlignment="1">
      <alignment horizontal="center" vertical="center"/>
    </xf>
    <xf numFmtId="164" fontId="25" fillId="2" borderId="18" xfId="2" applyNumberFormat="1" applyFont="1" applyFill="1" applyBorder="1" applyAlignment="1">
      <alignment horizontal="center" vertical="center"/>
    </xf>
    <xf numFmtId="164" fontId="26" fillId="2" borderId="15" xfId="2" applyNumberFormat="1" applyFont="1" applyFill="1" applyBorder="1" applyAlignment="1">
      <alignment horizontal="center" vertical="center"/>
    </xf>
    <xf numFmtId="164" fontId="26" fillId="2" borderId="18" xfId="2" applyNumberFormat="1" applyFont="1" applyFill="1" applyBorder="1" applyAlignment="1">
      <alignment horizontal="center" vertical="center"/>
    </xf>
    <xf numFmtId="168" fontId="25" fillId="2" borderId="6" xfId="2" applyNumberFormat="1" applyFont="1" applyFill="1" applyBorder="1" applyAlignment="1" applyProtection="1">
      <alignment horizontal="center" vertical="center"/>
      <protection hidden="1"/>
    </xf>
    <xf numFmtId="168" fontId="25" fillId="2" borderId="3" xfId="2" applyNumberFormat="1" applyFont="1" applyFill="1" applyBorder="1" applyAlignment="1" applyProtection="1">
      <alignment horizontal="center" vertical="center"/>
      <protection hidden="1"/>
    </xf>
    <xf numFmtId="168" fontId="26" fillId="2" borderId="5" xfId="2" applyNumberFormat="1" applyFont="1" applyFill="1" applyBorder="1" applyAlignment="1" applyProtection="1">
      <alignment horizontal="center" vertical="center"/>
      <protection locked="0"/>
    </xf>
    <xf numFmtId="168" fontId="26" fillId="2" borderId="2" xfId="2" applyNumberFormat="1" applyFont="1" applyFill="1" applyBorder="1" applyAlignment="1" applyProtection="1">
      <alignment horizontal="center" vertical="center"/>
      <protection locked="0"/>
    </xf>
    <xf numFmtId="164" fontId="13" fillId="2" borderId="8" xfId="2" applyNumberFormat="1" applyFont="1" applyFill="1" applyBorder="1" applyAlignment="1" applyProtection="1">
      <alignment horizontal="center" vertical="center"/>
      <protection locked="0"/>
    </xf>
    <xf numFmtId="164" fontId="13" fillId="2" borderId="13" xfId="2" applyNumberFormat="1" applyFont="1" applyFill="1" applyBorder="1" applyAlignment="1" applyProtection="1">
      <alignment horizontal="center" vertical="center"/>
      <protection locked="0"/>
    </xf>
    <xf numFmtId="164" fontId="24" fillId="2" borderId="0" xfId="2" applyNumberFormat="1" applyFont="1" applyFill="1" applyBorder="1" applyAlignment="1" applyProtection="1">
      <alignment horizontal="center" vertical="center"/>
    </xf>
    <xf numFmtId="164" fontId="31" fillId="2" borderId="0" xfId="2" applyNumberFormat="1" applyFont="1" applyFill="1" applyAlignment="1">
      <alignment horizontal="center" vertical="center" wrapText="1"/>
    </xf>
    <xf numFmtId="164" fontId="13" fillId="2" borderId="14" xfId="2" applyNumberFormat="1" applyFont="1" applyFill="1" applyBorder="1" applyAlignment="1">
      <alignment horizontal="right"/>
    </xf>
    <xf numFmtId="0" fontId="18" fillId="2" borderId="6" xfId="2" applyFont="1" applyFill="1" applyBorder="1" applyAlignment="1" applyProtection="1">
      <alignment horizontal="center" vertical="center"/>
    </xf>
    <xf numFmtId="0" fontId="18" fillId="2" borderId="12" xfId="2" applyFont="1" applyFill="1" applyBorder="1" applyAlignment="1" applyProtection="1">
      <alignment horizontal="center" vertical="center"/>
    </xf>
    <xf numFmtId="0" fontId="18" fillId="2" borderId="3" xfId="2" applyFont="1" applyFill="1" applyBorder="1" applyAlignment="1" applyProtection="1">
      <alignment horizontal="center" vertical="center"/>
    </xf>
    <xf numFmtId="168" fontId="13" fillId="2" borderId="8" xfId="2" applyNumberFormat="1" applyFont="1" applyFill="1" applyBorder="1" applyAlignment="1" applyProtection="1">
      <alignment horizontal="center" vertical="center"/>
      <protection locked="0"/>
    </xf>
    <xf numFmtId="168" fontId="13" fillId="2" borderId="7" xfId="2" applyNumberFormat="1" applyFont="1" applyFill="1" applyBorder="1" applyAlignment="1" applyProtection="1">
      <alignment horizontal="center" vertical="center"/>
      <protection locked="0"/>
    </xf>
    <xf numFmtId="1" fontId="8" fillId="2" borderId="7" xfId="2" applyNumberFormat="1" applyFont="1" applyFill="1" applyBorder="1" applyAlignment="1" applyProtection="1">
      <alignment horizontal="center" vertical="center"/>
      <protection locked="0"/>
    </xf>
    <xf numFmtId="164" fontId="8" fillId="2" borderId="8" xfId="2" applyNumberFormat="1" applyFont="1" applyFill="1" applyBorder="1" applyAlignment="1" applyProtection="1">
      <alignment horizontal="center" vertical="center"/>
      <protection locked="0"/>
    </xf>
    <xf numFmtId="164" fontId="8" fillId="2" borderId="13" xfId="2" applyNumberFormat="1" applyFont="1" applyFill="1" applyBorder="1" applyAlignment="1" applyProtection="1">
      <alignment horizontal="center" vertical="center"/>
      <protection locked="0"/>
    </xf>
    <xf numFmtId="0" fontId="17" fillId="2" borderId="6" xfId="2" applyFont="1" applyFill="1" applyBorder="1" applyAlignment="1" applyProtection="1">
      <alignment horizontal="center" vertical="center"/>
    </xf>
    <xf numFmtId="0" fontId="17" fillId="2" borderId="12" xfId="2" applyFont="1" applyFill="1" applyBorder="1" applyAlignment="1" applyProtection="1">
      <alignment horizontal="center" vertical="center"/>
    </xf>
    <xf numFmtId="164" fontId="11" fillId="2" borderId="14" xfId="2" applyNumberFormat="1" applyFont="1" applyFill="1" applyBorder="1" applyAlignment="1">
      <alignment horizontal="center"/>
    </xf>
    <xf numFmtId="168" fontId="17" fillId="2" borderId="3" xfId="2" applyNumberFormat="1" applyFont="1" applyFill="1" applyBorder="1" applyAlignment="1" applyProtection="1">
      <alignment horizontal="center" vertical="center"/>
      <protection hidden="1"/>
    </xf>
    <xf numFmtId="164" fontId="8" fillId="2" borderId="3" xfId="5" applyNumberFormat="1" applyFont="1" applyFill="1" applyBorder="1" applyAlignment="1" applyProtection="1">
      <alignment horizontal="left" vertical="center"/>
    </xf>
    <xf numFmtId="164" fontId="8" fillId="2" borderId="2" xfId="5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Border="1" applyAlignment="1" applyProtection="1">
      <alignment horizontal="center" vertical="center"/>
    </xf>
    <xf numFmtId="164" fontId="7" fillId="2" borderId="0" xfId="5" applyNumberFormat="1" applyFont="1" applyFill="1" applyAlignment="1">
      <alignment horizontal="center" vertical="center"/>
    </xf>
    <xf numFmtId="164" fontId="4" fillId="2" borderId="0" xfId="4" applyNumberFormat="1" applyFont="1" applyFill="1" applyAlignment="1">
      <alignment horizontal="center"/>
    </xf>
    <xf numFmtId="164" fontId="3" fillId="2" borderId="4" xfId="4" applyNumberFormat="1" applyFont="1" applyFill="1" applyBorder="1" applyAlignment="1">
      <alignment horizontal="center"/>
    </xf>
    <xf numFmtId="164" fontId="3" fillId="2" borderId="2" xfId="4" applyNumberFormat="1" applyFont="1" applyFill="1" applyBorder="1" applyAlignment="1">
      <alignment horizontal="center"/>
    </xf>
  </cellXfs>
  <cellStyles count="14">
    <cellStyle name="Comma" xfId="1" builtinId="3"/>
    <cellStyle name="Comma 2" xfId="9"/>
    <cellStyle name="Comma 3" xfId="10"/>
    <cellStyle name="Comma 4" xfId="6"/>
    <cellStyle name="Comma 6" xfId="12"/>
    <cellStyle name="Comma_13 Public Finance_done" xfId="3"/>
    <cellStyle name="Excel Built-in Comma" xfId="8"/>
    <cellStyle name="Excel Built-in Normal" xfId="7"/>
    <cellStyle name="Normal" xfId="0" builtinId="0"/>
    <cellStyle name="Normal 2" xfId="13"/>
    <cellStyle name="Normal 4" xfId="11"/>
    <cellStyle name="Normal_13 Public Finance" xfId="4"/>
    <cellStyle name="Normal_13 Public Finance_done" xfId="2"/>
    <cellStyle name="Normal_13 Public Finance_done 2" xfId="5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5" customWidth="1"/>
    <col min="2" max="7" width="8.85546875" style="24" hidden="1" customWidth="1"/>
    <col min="8" max="8" width="8.85546875" style="24"/>
    <col min="9" max="15" width="10.7109375" style="24" customWidth="1"/>
    <col min="16" max="17" width="12.7109375" style="24" customWidth="1"/>
    <col min="18" max="19" width="10.7109375" style="76" customWidth="1"/>
    <col min="20" max="20" width="39" style="15" customWidth="1"/>
    <col min="21" max="16384" width="8.85546875" style="15"/>
  </cols>
  <sheetData>
    <row r="1" spans="1:21" ht="19.5">
      <c r="A1" s="265" t="s">
        <v>195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</row>
    <row r="2" spans="1:21" ht="15.75">
      <c r="A2" s="266" t="s">
        <v>196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</row>
    <row r="3" spans="1:21" ht="14.25">
      <c r="A3" s="267" t="s">
        <v>15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42"/>
    </row>
    <row r="4" spans="1:21" s="16" customFormat="1">
      <c r="A4" s="268" t="s">
        <v>65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</row>
    <row r="5" spans="1:21" s="46" customFormat="1" ht="26.45" customHeight="1">
      <c r="A5" s="269" t="s">
        <v>0</v>
      </c>
      <c r="B5" s="43"/>
      <c r="C5" s="44"/>
      <c r="D5" s="44"/>
      <c r="E5" s="44"/>
      <c r="F5" s="44"/>
      <c r="G5" s="45"/>
      <c r="H5" s="205"/>
      <c r="I5" s="206"/>
      <c r="J5" s="195"/>
      <c r="K5" s="195"/>
      <c r="L5" s="272" t="s">
        <v>5</v>
      </c>
      <c r="M5" s="272"/>
      <c r="N5" s="272"/>
      <c r="O5" s="273"/>
      <c r="P5" s="274" t="s">
        <v>184</v>
      </c>
      <c r="Q5" s="275"/>
      <c r="R5" s="276" t="s">
        <v>19</v>
      </c>
      <c r="S5" s="277"/>
    </row>
    <row r="6" spans="1:21" s="31" customFormat="1" ht="15">
      <c r="A6" s="270"/>
      <c r="C6" s="47"/>
      <c r="D6" s="47"/>
      <c r="E6" s="47"/>
      <c r="F6" s="47"/>
      <c r="G6" s="48"/>
      <c r="H6" s="48" t="s">
        <v>3</v>
      </c>
      <c r="I6" s="49" t="s">
        <v>3</v>
      </c>
      <c r="J6" s="13" t="s">
        <v>3</v>
      </c>
      <c r="K6" s="192" t="s">
        <v>3</v>
      </c>
      <c r="L6" s="192" t="s">
        <v>205</v>
      </c>
      <c r="M6" s="192" t="s">
        <v>186</v>
      </c>
      <c r="N6" s="192" t="s">
        <v>186</v>
      </c>
      <c r="O6" s="198" t="s">
        <v>186</v>
      </c>
      <c r="P6" s="217" t="s">
        <v>3</v>
      </c>
      <c r="Q6" s="218" t="s">
        <v>3</v>
      </c>
      <c r="R6" s="278" t="s">
        <v>20</v>
      </c>
      <c r="S6" s="279"/>
      <c r="T6" s="178" t="s">
        <v>2</v>
      </c>
    </row>
    <row r="7" spans="1:21" s="19" customFormat="1">
      <c r="A7" s="271"/>
      <c r="B7" s="12">
        <v>2007</v>
      </c>
      <c r="C7" s="12">
        <v>2008</v>
      </c>
      <c r="D7" s="12">
        <v>2009</v>
      </c>
      <c r="E7" s="12">
        <v>2010</v>
      </c>
      <c r="F7" s="12">
        <v>2011</v>
      </c>
      <c r="G7" s="12">
        <v>2012</v>
      </c>
      <c r="H7" s="12">
        <v>2013</v>
      </c>
      <c r="I7" s="12">
        <v>2014</v>
      </c>
      <c r="J7" s="14">
        <v>2015</v>
      </c>
      <c r="K7" s="193">
        <v>2016</v>
      </c>
      <c r="L7" s="193">
        <v>2017</v>
      </c>
      <c r="M7" s="193">
        <v>2018</v>
      </c>
      <c r="N7" s="193">
        <v>2019</v>
      </c>
      <c r="O7" s="199">
        <v>2020</v>
      </c>
      <c r="P7" s="12">
        <v>2016</v>
      </c>
      <c r="Q7" s="207">
        <v>2017</v>
      </c>
      <c r="R7" s="50" t="s">
        <v>180</v>
      </c>
      <c r="S7" s="212" t="s">
        <v>194</v>
      </c>
      <c r="T7" s="51"/>
    </row>
    <row r="8" spans="1:21" s="19" customFormat="1" ht="15">
      <c r="A8" s="17" t="s">
        <v>21</v>
      </c>
      <c r="B8" s="52">
        <f t="shared" ref="B8:J8" si="0">SUM(B9,B31)</f>
        <v>8200.9</v>
      </c>
      <c r="C8" s="53">
        <f t="shared" si="0"/>
        <v>10175.996671999999</v>
      </c>
      <c r="D8" s="53">
        <f t="shared" si="0"/>
        <v>10953.434156000003</v>
      </c>
      <c r="E8" s="53">
        <f t="shared" si="0"/>
        <v>10815.062102899999</v>
      </c>
      <c r="F8" s="54">
        <f t="shared" si="0"/>
        <v>12264.741933000001</v>
      </c>
      <c r="G8" s="54">
        <f t="shared" si="0"/>
        <v>13110.002924999997</v>
      </c>
      <c r="H8" s="54">
        <f t="shared" si="0"/>
        <v>13530.77100239</v>
      </c>
      <c r="I8" s="54">
        <f t="shared" si="0"/>
        <v>16417.281596000001</v>
      </c>
      <c r="J8" s="54">
        <f t="shared" si="0"/>
        <v>21336.878536910001</v>
      </c>
      <c r="K8" s="200"/>
      <c r="L8" s="200"/>
      <c r="M8" s="200"/>
      <c r="N8" s="200"/>
      <c r="O8" s="201"/>
      <c r="P8" s="163"/>
      <c r="Q8" s="208"/>
      <c r="R8" s="55">
        <f t="shared" ref="R8:S31" si="1">+((K8/J8)-1)*100</f>
        <v>-100</v>
      </c>
      <c r="S8" s="213" t="e">
        <f t="shared" si="1"/>
        <v>#DIV/0!</v>
      </c>
      <c r="T8" s="36" t="s">
        <v>22</v>
      </c>
    </row>
    <row r="9" spans="1:21" s="19" customFormat="1" ht="15">
      <c r="A9" s="17" t="s">
        <v>7</v>
      </c>
      <c r="B9" s="56">
        <f t="shared" ref="B9:J9" si="2">SUM(B10,B17,B23,B30)</f>
        <v>8325.4</v>
      </c>
      <c r="C9" s="56">
        <f t="shared" si="2"/>
        <v>10342.396671999999</v>
      </c>
      <c r="D9" s="56">
        <f t="shared" si="2"/>
        <v>11104.270489000002</v>
      </c>
      <c r="E9" s="56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194"/>
      <c r="L9" s="194"/>
      <c r="M9" s="194"/>
      <c r="N9" s="194"/>
      <c r="O9" s="202"/>
      <c r="P9" s="57" t="e">
        <f>+(K9/$K$9)*100</f>
        <v>#DIV/0!</v>
      </c>
      <c r="Q9" s="209" t="e">
        <f>+(L9/$K$9)*100</f>
        <v>#DIV/0!</v>
      </c>
      <c r="R9" s="55">
        <f t="shared" si="1"/>
        <v>-100</v>
      </c>
      <c r="S9" s="213" t="e">
        <f t="shared" si="1"/>
        <v>#DIV/0!</v>
      </c>
      <c r="T9" s="36" t="s">
        <v>8</v>
      </c>
    </row>
    <row r="10" spans="1:21" s="19" customFormat="1" ht="15">
      <c r="A10" s="17" t="s">
        <v>23</v>
      </c>
      <c r="B10" s="56">
        <f>SUM(B11,B12,B15,B16)</f>
        <v>3050.7999999999997</v>
      </c>
      <c r="C10" s="56">
        <f t="shared" ref="C10:L10" si="3">SUM(C11,C12,C15,C16)</f>
        <v>3708.5</v>
      </c>
      <c r="D10" s="56">
        <f t="shared" si="3"/>
        <v>4216.3047380000016</v>
      </c>
      <c r="E10" s="56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194">
        <f t="shared" ref="K10" si="4">SUM(K11,K12,K15,K16)</f>
        <v>0</v>
      </c>
      <c r="L10" s="194">
        <f t="shared" si="3"/>
        <v>0</v>
      </c>
      <c r="M10" s="194">
        <f t="shared" ref="M10:N10" si="5">SUM(M11,M12,M15,M16)</f>
        <v>0</v>
      </c>
      <c r="N10" s="194">
        <f t="shared" si="5"/>
        <v>0</v>
      </c>
      <c r="O10" s="202">
        <f t="shared" ref="O10" si="6">SUM(O11,O12,O15,O16)</f>
        <v>0</v>
      </c>
      <c r="P10" s="57" t="e">
        <f>+(K10/$K$9)*100</f>
        <v>#DIV/0!</v>
      </c>
      <c r="Q10" s="209" t="e">
        <f>+(L10/$K$9)*100</f>
        <v>#DIV/0!</v>
      </c>
      <c r="R10" s="55">
        <f t="shared" si="1"/>
        <v>-100</v>
      </c>
      <c r="S10" s="213" t="e">
        <f t="shared" si="1"/>
        <v>#DIV/0!</v>
      </c>
      <c r="T10" s="36" t="s">
        <v>24</v>
      </c>
    </row>
    <row r="11" spans="1:21" s="20" customFormat="1" ht="15">
      <c r="A11" s="58" t="s">
        <v>25</v>
      </c>
      <c r="B11" s="59">
        <v>1607.3</v>
      </c>
      <c r="C11" s="59">
        <v>2043.9</v>
      </c>
      <c r="D11" s="59">
        <v>2197.6652670000008</v>
      </c>
      <c r="E11" s="59">
        <v>2684.2828549999995</v>
      </c>
      <c r="F11" s="26">
        <v>3414.360107</v>
      </c>
      <c r="G11" s="26">
        <v>3431.8828060000001</v>
      </c>
      <c r="H11" s="26">
        <v>2539.0598371399997</v>
      </c>
      <c r="I11" s="26">
        <v>3189.9729499999999</v>
      </c>
      <c r="J11" s="26">
        <v>3623.5494148099997</v>
      </c>
      <c r="K11" s="203"/>
      <c r="L11" s="203"/>
      <c r="M11" s="203"/>
      <c r="N11" s="203"/>
      <c r="O11" s="197"/>
      <c r="P11" s="61" t="e">
        <f t="shared" ref="P11:Q33" si="7">+(K11/$K$9)*100</f>
        <v>#DIV/0!</v>
      </c>
      <c r="Q11" s="210" t="e">
        <f t="shared" si="7"/>
        <v>#DIV/0!</v>
      </c>
      <c r="R11" s="62">
        <f t="shared" si="1"/>
        <v>-100</v>
      </c>
      <c r="S11" s="214" t="e">
        <f t="shared" si="1"/>
        <v>#DIV/0!</v>
      </c>
      <c r="T11" s="30" t="s">
        <v>26</v>
      </c>
    </row>
    <row r="12" spans="1:21" s="20" customFormat="1" ht="15">
      <c r="A12" s="58" t="s">
        <v>27</v>
      </c>
      <c r="B12" s="59">
        <v>475.70000000000005</v>
      </c>
      <c r="C12" s="59">
        <v>586.4</v>
      </c>
      <c r="D12" s="59">
        <v>752.52470600000004</v>
      </c>
      <c r="E12" s="59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194">
        <f t="shared" si="8"/>
        <v>0</v>
      </c>
      <c r="L12" s="194">
        <f t="shared" si="8"/>
        <v>0</v>
      </c>
      <c r="M12" s="194">
        <f t="shared" ref="M12:N12" si="9">SUM(M13:M14)</f>
        <v>0</v>
      </c>
      <c r="N12" s="194">
        <f t="shared" si="9"/>
        <v>0</v>
      </c>
      <c r="O12" s="202"/>
      <c r="P12" s="61" t="e">
        <f t="shared" si="7"/>
        <v>#DIV/0!</v>
      </c>
      <c r="Q12" s="210" t="e">
        <f t="shared" si="7"/>
        <v>#DIV/0!</v>
      </c>
      <c r="R12" s="55">
        <f t="shared" si="1"/>
        <v>-100</v>
      </c>
      <c r="S12" s="213" t="e">
        <f t="shared" si="1"/>
        <v>#DIV/0!</v>
      </c>
      <c r="T12" s="30" t="s">
        <v>28</v>
      </c>
    </row>
    <row r="13" spans="1:21" s="20" customFormat="1" ht="1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26">
        <v>777.54432100000008</v>
      </c>
      <c r="G13" s="26">
        <v>800.809574</v>
      </c>
      <c r="H13" s="26">
        <v>787.97938867999994</v>
      </c>
      <c r="I13" s="26">
        <v>913.25778199999991</v>
      </c>
      <c r="J13" s="26">
        <v>1178.86784837</v>
      </c>
      <c r="K13" s="203"/>
      <c r="L13" s="203"/>
      <c r="M13" s="203"/>
      <c r="N13" s="203"/>
      <c r="O13" s="197"/>
      <c r="P13" s="61" t="e">
        <f t="shared" si="7"/>
        <v>#DIV/0!</v>
      </c>
      <c r="Q13" s="210" t="e">
        <f t="shared" si="7"/>
        <v>#DIV/0!</v>
      </c>
      <c r="R13" s="62">
        <f t="shared" si="1"/>
        <v>-100</v>
      </c>
      <c r="S13" s="214" t="e">
        <f t="shared" si="1"/>
        <v>#DIV/0!</v>
      </c>
      <c r="T13" s="63" t="s">
        <v>63</v>
      </c>
    </row>
    <row r="14" spans="1:21" s="20" customFormat="1" ht="15">
      <c r="A14" s="58" t="s">
        <v>30</v>
      </c>
      <c r="B14" s="59">
        <v>0</v>
      </c>
      <c r="C14" s="59">
        <v>0</v>
      </c>
      <c r="D14" s="59">
        <v>0</v>
      </c>
      <c r="E14" s="59">
        <v>0</v>
      </c>
      <c r="F14" s="26">
        <v>133.04289900000001</v>
      </c>
      <c r="G14" s="26">
        <v>11.852705</v>
      </c>
      <c r="H14" s="26">
        <v>8.6218819999999994</v>
      </c>
      <c r="I14" s="26">
        <v>10.056538</v>
      </c>
      <c r="J14" s="26">
        <v>16.476253</v>
      </c>
      <c r="K14" s="203"/>
      <c r="L14" s="203"/>
      <c r="M14" s="203"/>
      <c r="N14" s="203"/>
      <c r="O14" s="197"/>
      <c r="P14" s="61" t="e">
        <f t="shared" si="7"/>
        <v>#DIV/0!</v>
      </c>
      <c r="Q14" s="210" t="e">
        <f t="shared" si="7"/>
        <v>#DIV/0!</v>
      </c>
      <c r="R14" s="62">
        <f t="shared" si="1"/>
        <v>-100</v>
      </c>
      <c r="S14" s="214" t="e">
        <f t="shared" si="1"/>
        <v>#DIV/0!</v>
      </c>
      <c r="T14" s="63" t="s">
        <v>64</v>
      </c>
    </row>
    <row r="15" spans="1:21" s="20" customFormat="1" ht="15">
      <c r="A15" s="58" t="s">
        <v>31</v>
      </c>
      <c r="B15" s="59">
        <v>825.69999999999993</v>
      </c>
      <c r="C15" s="64">
        <v>982.5</v>
      </c>
      <c r="D15" s="59">
        <v>1170.997198</v>
      </c>
      <c r="E15" s="59">
        <v>1192.3427610000001</v>
      </c>
      <c r="F15" s="26">
        <v>1364.5149330000002</v>
      </c>
      <c r="G15" s="26">
        <v>1525.6040499999999</v>
      </c>
      <c r="H15" s="26">
        <v>1725.97350061</v>
      </c>
      <c r="I15" s="26">
        <v>1982.1994500000001</v>
      </c>
      <c r="J15" s="26">
        <v>2681.8339682300002</v>
      </c>
      <c r="K15" s="203"/>
      <c r="L15" s="203"/>
      <c r="M15" s="203"/>
      <c r="N15" s="203"/>
      <c r="O15" s="197"/>
      <c r="P15" s="61" t="e">
        <f t="shared" si="7"/>
        <v>#DIV/0!</v>
      </c>
      <c r="Q15" s="210" t="e">
        <f t="shared" si="7"/>
        <v>#DIV/0!</v>
      </c>
      <c r="R15" s="62">
        <f t="shared" si="1"/>
        <v>-100</v>
      </c>
      <c r="S15" s="214" t="e">
        <f t="shared" si="1"/>
        <v>#DIV/0!</v>
      </c>
      <c r="T15" s="30" t="s">
        <v>32</v>
      </c>
    </row>
    <row r="16" spans="1:21" s="20" customFormat="1" ht="15">
      <c r="A16" s="58" t="s">
        <v>33</v>
      </c>
      <c r="B16" s="59">
        <v>142.1</v>
      </c>
      <c r="C16" s="59">
        <v>95.7</v>
      </c>
      <c r="D16" s="59">
        <v>95.117567000000008</v>
      </c>
      <c r="E16" s="59">
        <v>68.551455000000004</v>
      </c>
      <c r="F16" s="26">
        <v>192.31341699999999</v>
      </c>
      <c r="G16" s="26">
        <v>144.17275000000001</v>
      </c>
      <c r="H16" s="26">
        <v>184.99255256999999</v>
      </c>
      <c r="I16" s="26">
        <v>121.27882399999999</v>
      </c>
      <c r="J16" s="26">
        <v>821.70280199000001</v>
      </c>
      <c r="K16" s="203"/>
      <c r="L16" s="203"/>
      <c r="M16" s="203"/>
      <c r="N16" s="203"/>
      <c r="O16" s="197"/>
      <c r="P16" s="61" t="e">
        <f t="shared" si="7"/>
        <v>#DIV/0!</v>
      </c>
      <c r="Q16" s="210" t="e">
        <f t="shared" si="7"/>
        <v>#DIV/0!</v>
      </c>
      <c r="R16" s="62">
        <f t="shared" si="1"/>
        <v>-100</v>
      </c>
      <c r="S16" s="214" t="e">
        <f t="shared" si="1"/>
        <v>#DIV/0!</v>
      </c>
      <c r="T16" s="30" t="s">
        <v>34</v>
      </c>
    </row>
    <row r="17" spans="1:20" s="19" customFormat="1" ht="15">
      <c r="A17" s="17" t="s">
        <v>35</v>
      </c>
      <c r="B17" s="56">
        <f>SUM(B18:B21)</f>
        <v>4444.1000000000004</v>
      </c>
      <c r="C17" s="56">
        <f>SUM(C18:C21)</f>
        <v>5122.8</v>
      </c>
      <c r="D17" s="56">
        <f>SUM(D18:D21)</f>
        <v>5432.5708530000002</v>
      </c>
      <c r="E17" s="56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194">
        <f t="shared" si="10"/>
        <v>0</v>
      </c>
      <c r="L17" s="194">
        <f t="shared" si="10"/>
        <v>0</v>
      </c>
      <c r="M17" s="194">
        <f t="shared" ref="M17:N17" si="11">SUM(M18:M22)</f>
        <v>0</v>
      </c>
      <c r="N17" s="194">
        <f t="shared" si="11"/>
        <v>0</v>
      </c>
      <c r="O17" s="202">
        <f t="shared" ref="O17" si="12">SUM(O18:O22)</f>
        <v>0</v>
      </c>
      <c r="P17" s="57" t="e">
        <f t="shared" si="7"/>
        <v>#DIV/0!</v>
      </c>
      <c r="Q17" s="209" t="e">
        <f t="shared" si="7"/>
        <v>#DIV/0!</v>
      </c>
      <c r="R17" s="55">
        <f t="shared" si="1"/>
        <v>-100</v>
      </c>
      <c r="S17" s="213" t="e">
        <f t="shared" si="1"/>
        <v>#DIV/0!</v>
      </c>
      <c r="T17" s="36" t="s">
        <v>36</v>
      </c>
    </row>
    <row r="18" spans="1:20" s="20" customFormat="1" ht="15">
      <c r="A18" s="58" t="s">
        <v>37</v>
      </c>
      <c r="B18" s="59">
        <v>1313.8000000000002</v>
      </c>
      <c r="C18" s="59">
        <v>1630.5</v>
      </c>
      <c r="D18" s="59">
        <v>1935.0878400000001</v>
      </c>
      <c r="E18" s="59">
        <v>1643.137213</v>
      </c>
      <c r="F18" s="26">
        <v>1796.661055</v>
      </c>
      <c r="G18" s="26">
        <v>2203.168764</v>
      </c>
      <c r="H18" s="26">
        <v>2002.2797697200001</v>
      </c>
      <c r="I18" s="26">
        <v>2212.015058</v>
      </c>
      <c r="J18" s="26">
        <v>2933.05047655</v>
      </c>
      <c r="K18" s="203"/>
      <c r="L18" s="203"/>
      <c r="M18" s="203"/>
      <c r="N18" s="203"/>
      <c r="O18" s="197"/>
      <c r="P18" s="61" t="e">
        <f t="shared" si="7"/>
        <v>#DIV/0!</v>
      </c>
      <c r="Q18" s="210" t="e">
        <f t="shared" si="7"/>
        <v>#DIV/0!</v>
      </c>
      <c r="R18" s="62">
        <f t="shared" si="1"/>
        <v>-100</v>
      </c>
      <c r="S18" s="214" t="e">
        <f t="shared" si="1"/>
        <v>#DIV/0!</v>
      </c>
      <c r="T18" s="30" t="s">
        <v>38</v>
      </c>
    </row>
    <row r="19" spans="1:20" s="20" customFormat="1" ht="15">
      <c r="A19" s="58" t="s">
        <v>39</v>
      </c>
      <c r="B19" s="59">
        <v>782.19999999999993</v>
      </c>
      <c r="C19" s="59">
        <v>1326.4</v>
      </c>
      <c r="D19" s="59">
        <v>1396.1558639999998</v>
      </c>
      <c r="E19" s="59">
        <v>990.87232799999992</v>
      </c>
      <c r="F19" s="26">
        <v>368.31382600000001</v>
      </c>
      <c r="G19" s="26">
        <v>296.66393599999998</v>
      </c>
      <c r="H19" s="26">
        <v>1391.70545487</v>
      </c>
      <c r="I19" s="26">
        <v>1866.0390179999999</v>
      </c>
      <c r="J19" s="26">
        <v>2525.9593407700004</v>
      </c>
      <c r="K19" s="203"/>
      <c r="L19" s="203"/>
      <c r="M19" s="203"/>
      <c r="N19" s="203"/>
      <c r="O19" s="197"/>
      <c r="P19" s="61" t="e">
        <f t="shared" si="7"/>
        <v>#DIV/0!</v>
      </c>
      <c r="Q19" s="210" t="e">
        <f t="shared" si="7"/>
        <v>#DIV/0!</v>
      </c>
      <c r="R19" s="62">
        <f t="shared" si="1"/>
        <v>-100</v>
      </c>
      <c r="S19" s="214" t="e">
        <f t="shared" si="1"/>
        <v>#DIV/0!</v>
      </c>
      <c r="T19" s="30" t="s">
        <v>40</v>
      </c>
    </row>
    <row r="20" spans="1:20" s="20" customFormat="1" ht="15">
      <c r="A20" s="58" t="s">
        <v>41</v>
      </c>
      <c r="B20" s="59">
        <v>235.5</v>
      </c>
      <c r="C20" s="59">
        <v>640.6</v>
      </c>
      <c r="D20" s="59">
        <v>464.54098499999998</v>
      </c>
      <c r="E20" s="59">
        <v>578.16290700000002</v>
      </c>
      <c r="F20" s="26">
        <v>1135.3461150000001</v>
      </c>
      <c r="G20" s="26">
        <v>1578.1540559999999</v>
      </c>
      <c r="H20" s="26">
        <v>1959.2764668599998</v>
      </c>
      <c r="I20" s="26">
        <v>2925.2288200000003</v>
      </c>
      <c r="J20" s="26">
        <v>3222.1829934400002</v>
      </c>
      <c r="K20" s="203"/>
      <c r="L20" s="203"/>
      <c r="M20" s="203"/>
      <c r="N20" s="203"/>
      <c r="O20" s="197"/>
      <c r="P20" s="61" t="e">
        <f t="shared" si="7"/>
        <v>#DIV/0!</v>
      </c>
      <c r="Q20" s="210" t="e">
        <f t="shared" si="7"/>
        <v>#DIV/0!</v>
      </c>
      <c r="R20" s="62">
        <f t="shared" si="1"/>
        <v>-100</v>
      </c>
      <c r="S20" s="214" t="e">
        <f t="shared" si="1"/>
        <v>#DIV/0!</v>
      </c>
      <c r="T20" s="30" t="s">
        <v>42</v>
      </c>
    </row>
    <row r="21" spans="1:20" s="20" customFormat="1" ht="15">
      <c r="A21" s="58" t="s">
        <v>187</v>
      </c>
      <c r="B21" s="59">
        <v>2112.6</v>
      </c>
      <c r="C21" s="59">
        <v>1525.3000000000002</v>
      </c>
      <c r="D21" s="59">
        <v>1636.7861640000001</v>
      </c>
      <c r="E21" s="59">
        <v>2067.0886810000002</v>
      </c>
      <c r="F21" s="26">
        <v>1627.3893010000002</v>
      </c>
      <c r="G21" s="26">
        <v>1229.5066119999999</v>
      </c>
      <c r="H21" s="26">
        <v>979.91802029999997</v>
      </c>
      <c r="I21" s="26">
        <v>772.59129199999995</v>
      </c>
      <c r="J21" s="26">
        <v>0</v>
      </c>
      <c r="K21" s="203"/>
      <c r="L21" s="203"/>
      <c r="M21" s="203"/>
      <c r="N21" s="203"/>
      <c r="O21" s="197"/>
      <c r="P21" s="61" t="e">
        <f t="shared" si="7"/>
        <v>#DIV/0!</v>
      </c>
      <c r="Q21" s="210" t="e">
        <f t="shared" si="7"/>
        <v>#DIV/0!</v>
      </c>
      <c r="R21" s="60" t="e">
        <f t="shared" ref="R21:S21" si="13">+(M21/$K$9)*100</f>
        <v>#DIV/0!</v>
      </c>
      <c r="S21" s="215" t="e">
        <f t="shared" si="13"/>
        <v>#DIV/0!</v>
      </c>
      <c r="T21" s="30" t="s">
        <v>43</v>
      </c>
    </row>
    <row r="22" spans="1:20" s="20" customFormat="1" ht="17.25">
      <c r="A22" s="58" t="s">
        <v>146</v>
      </c>
      <c r="B22" s="59"/>
      <c r="C22" s="59"/>
      <c r="D22" s="59"/>
      <c r="E22" s="59"/>
      <c r="F22" s="26"/>
      <c r="G22" s="38">
        <v>0</v>
      </c>
      <c r="H22" s="26">
        <v>306.67357454999978</v>
      </c>
      <c r="I22" s="26">
        <v>469.69796699999995</v>
      </c>
      <c r="J22" s="26">
        <v>1874.0939446899999</v>
      </c>
      <c r="K22" s="203"/>
      <c r="L22" s="203"/>
      <c r="M22" s="203"/>
      <c r="N22" s="203"/>
      <c r="O22" s="197"/>
      <c r="P22" s="61" t="e">
        <f t="shared" si="7"/>
        <v>#DIV/0!</v>
      </c>
      <c r="Q22" s="210" t="e">
        <f t="shared" si="7"/>
        <v>#DIV/0!</v>
      </c>
      <c r="R22" s="62">
        <f t="shared" si="1"/>
        <v>-100</v>
      </c>
      <c r="S22" s="214" t="e">
        <f t="shared" si="1"/>
        <v>#DIV/0!</v>
      </c>
      <c r="T22" s="65" t="s">
        <v>178</v>
      </c>
    </row>
    <row r="23" spans="1:20" s="19" customFormat="1" ht="15">
      <c r="A23" s="17" t="s">
        <v>44</v>
      </c>
      <c r="B23" s="56">
        <f t="shared" ref="B23:L23" si="14">SUM(B24:B29)</f>
        <v>596.20000000000005</v>
      </c>
      <c r="C23" s="56">
        <f t="shared" si="14"/>
        <v>1231.0999999999999</v>
      </c>
      <c r="D23" s="56">
        <f t="shared" si="14"/>
        <v>837.51612</v>
      </c>
      <c r="E23" s="56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194">
        <f t="shared" ref="K23" si="15">SUM(K24:K29)</f>
        <v>0</v>
      </c>
      <c r="L23" s="194">
        <f t="shared" si="14"/>
        <v>0</v>
      </c>
      <c r="M23" s="194">
        <f t="shared" ref="M23:N23" si="16">SUM(M24:M29)</f>
        <v>0</v>
      </c>
      <c r="N23" s="194">
        <f t="shared" si="16"/>
        <v>0</v>
      </c>
      <c r="O23" s="202">
        <f t="shared" ref="O23" si="17">SUM(O24:O29)</f>
        <v>0</v>
      </c>
      <c r="P23" s="57" t="e">
        <f t="shared" si="7"/>
        <v>#DIV/0!</v>
      </c>
      <c r="Q23" s="209" t="e">
        <f t="shared" si="7"/>
        <v>#DIV/0!</v>
      </c>
      <c r="R23" s="55">
        <f t="shared" si="1"/>
        <v>-100</v>
      </c>
      <c r="S23" s="213" t="e">
        <f t="shared" si="1"/>
        <v>#DIV/0!</v>
      </c>
      <c r="T23" s="36" t="s">
        <v>45</v>
      </c>
    </row>
    <row r="24" spans="1:20" s="20" customFormat="1" ht="15">
      <c r="A24" s="58" t="s">
        <v>46</v>
      </c>
      <c r="B24" s="59">
        <v>179.9</v>
      </c>
      <c r="C24" s="59">
        <v>159.79999999999998</v>
      </c>
      <c r="D24" s="59">
        <v>58.986502000000002</v>
      </c>
      <c r="E24" s="59">
        <v>146.70229599999999</v>
      </c>
      <c r="F24" s="26">
        <v>93.345458000000008</v>
      </c>
      <c r="G24" s="26">
        <v>70.257467000000005</v>
      </c>
      <c r="H24" s="26">
        <v>70.500645059999997</v>
      </c>
      <c r="I24" s="26">
        <v>93.968531999999996</v>
      </c>
      <c r="J24" s="26">
        <v>67.21094626</v>
      </c>
      <c r="K24" s="203"/>
      <c r="L24" s="203"/>
      <c r="M24" s="203"/>
      <c r="N24" s="203"/>
      <c r="O24" s="197"/>
      <c r="P24" s="61" t="e">
        <f t="shared" si="7"/>
        <v>#DIV/0!</v>
      </c>
      <c r="Q24" s="210" t="e">
        <f t="shared" si="7"/>
        <v>#DIV/0!</v>
      </c>
      <c r="R24" s="62">
        <f t="shared" si="1"/>
        <v>-100</v>
      </c>
      <c r="S24" s="214" t="e">
        <f t="shared" si="1"/>
        <v>#DIV/0!</v>
      </c>
      <c r="T24" s="30" t="s">
        <v>47</v>
      </c>
    </row>
    <row r="25" spans="1:20" s="20" customFormat="1" ht="15">
      <c r="A25" s="58" t="s">
        <v>48</v>
      </c>
      <c r="B25" s="59">
        <v>172.2</v>
      </c>
      <c r="C25" s="59">
        <v>837.8</v>
      </c>
      <c r="D25" s="59">
        <v>106.089237</v>
      </c>
      <c r="E25" s="59">
        <v>120.04688899999999</v>
      </c>
      <c r="F25" s="26">
        <v>471.08129199999996</v>
      </c>
      <c r="G25" s="26">
        <v>607.73237199999994</v>
      </c>
      <c r="H25" s="26">
        <v>404.45810542000004</v>
      </c>
      <c r="I25" s="26">
        <v>735.60389299999997</v>
      </c>
      <c r="J25" s="26">
        <v>846.79535526999996</v>
      </c>
      <c r="K25" s="203"/>
      <c r="L25" s="203"/>
      <c r="M25" s="203"/>
      <c r="N25" s="203"/>
      <c r="O25" s="197"/>
      <c r="P25" s="61" t="e">
        <f t="shared" si="7"/>
        <v>#DIV/0!</v>
      </c>
      <c r="Q25" s="210" t="e">
        <f t="shared" si="7"/>
        <v>#DIV/0!</v>
      </c>
      <c r="R25" s="62">
        <f t="shared" si="1"/>
        <v>-100</v>
      </c>
      <c r="S25" s="214" t="e">
        <f t="shared" si="1"/>
        <v>#DIV/0!</v>
      </c>
      <c r="T25" s="30" t="s">
        <v>49</v>
      </c>
    </row>
    <row r="26" spans="1:20" s="20" customFormat="1" ht="15">
      <c r="A26" s="58" t="s">
        <v>50</v>
      </c>
      <c r="B26" s="59">
        <v>88.9</v>
      </c>
      <c r="C26" s="59">
        <v>35.700000000000003</v>
      </c>
      <c r="D26" s="59">
        <v>62.029623999999998</v>
      </c>
      <c r="E26" s="59">
        <v>43.271078000000003</v>
      </c>
      <c r="F26" s="26">
        <v>59.675843</v>
      </c>
      <c r="G26" s="26">
        <v>66.77496099999999</v>
      </c>
      <c r="H26" s="26">
        <v>31.982870659999989</v>
      </c>
      <c r="I26" s="26">
        <v>75.050148000000007</v>
      </c>
      <c r="J26" s="26">
        <v>52.374541500000007</v>
      </c>
      <c r="K26" s="203"/>
      <c r="L26" s="203"/>
      <c r="M26" s="203"/>
      <c r="N26" s="203"/>
      <c r="O26" s="197"/>
      <c r="P26" s="61" t="e">
        <f t="shared" si="7"/>
        <v>#DIV/0!</v>
      </c>
      <c r="Q26" s="210" t="e">
        <f t="shared" si="7"/>
        <v>#DIV/0!</v>
      </c>
      <c r="R26" s="62">
        <f t="shared" si="1"/>
        <v>-100</v>
      </c>
      <c r="S26" s="214" t="e">
        <f t="shared" si="1"/>
        <v>#DIV/0!</v>
      </c>
      <c r="T26" s="30" t="s">
        <v>51</v>
      </c>
    </row>
    <row r="27" spans="1:20" s="19" customFormat="1" ht="15">
      <c r="A27" s="58" t="s">
        <v>52</v>
      </c>
      <c r="B27" s="59">
        <v>108.2</v>
      </c>
      <c r="C27" s="59">
        <v>93.3</v>
      </c>
      <c r="D27" s="59">
        <v>78.466514000000004</v>
      </c>
      <c r="E27" s="59">
        <v>46.860301</v>
      </c>
      <c r="F27" s="26">
        <v>33.749803</v>
      </c>
      <c r="G27" s="26">
        <v>52.519985999999996</v>
      </c>
      <c r="H27" s="26">
        <v>33.124519409999998</v>
      </c>
      <c r="I27" s="26">
        <v>49.642775</v>
      </c>
      <c r="J27" s="26">
        <v>103.70914999999999</v>
      </c>
      <c r="K27" s="203"/>
      <c r="L27" s="203"/>
      <c r="M27" s="203"/>
      <c r="N27" s="203"/>
      <c r="O27" s="197"/>
      <c r="P27" s="61" t="e">
        <f t="shared" si="7"/>
        <v>#DIV/0!</v>
      </c>
      <c r="Q27" s="210" t="e">
        <f t="shared" si="7"/>
        <v>#DIV/0!</v>
      </c>
      <c r="R27" s="62">
        <f t="shared" si="1"/>
        <v>-100</v>
      </c>
      <c r="S27" s="214" t="e">
        <f t="shared" si="1"/>
        <v>#DIV/0!</v>
      </c>
      <c r="T27" s="30" t="s">
        <v>53</v>
      </c>
    </row>
    <row r="28" spans="1:20" s="19" customFormat="1" ht="15">
      <c r="A28" s="58" t="s">
        <v>54</v>
      </c>
      <c r="B28" s="59">
        <v>42.8</v>
      </c>
      <c r="C28" s="59">
        <v>92.3</v>
      </c>
      <c r="D28" s="59">
        <v>505.93436100000002</v>
      </c>
      <c r="E28" s="59">
        <v>52.495815900000004</v>
      </c>
      <c r="F28" s="26">
        <v>80.384180000000001</v>
      </c>
      <c r="G28" s="26">
        <v>54.566487000000002</v>
      </c>
      <c r="H28" s="26">
        <v>168.21187463999996</v>
      </c>
      <c r="I28" s="26">
        <v>51.606206</v>
      </c>
      <c r="J28" s="26">
        <v>131.16637020000002</v>
      </c>
      <c r="K28" s="203"/>
      <c r="L28" s="203"/>
      <c r="M28" s="203"/>
      <c r="N28" s="203"/>
      <c r="O28" s="197"/>
      <c r="P28" s="61" t="e">
        <f t="shared" si="7"/>
        <v>#DIV/0!</v>
      </c>
      <c r="Q28" s="210" t="e">
        <f t="shared" si="7"/>
        <v>#DIV/0!</v>
      </c>
      <c r="R28" s="62">
        <f t="shared" si="1"/>
        <v>-100</v>
      </c>
      <c r="S28" s="214" t="e">
        <f t="shared" si="1"/>
        <v>#DIV/0!</v>
      </c>
      <c r="T28" s="30" t="s">
        <v>55</v>
      </c>
    </row>
    <row r="29" spans="1:20" s="20" customFormat="1" ht="15">
      <c r="A29" s="58" t="s">
        <v>56</v>
      </c>
      <c r="B29" s="59">
        <v>4.2</v>
      </c>
      <c r="C29" s="59">
        <v>12.2</v>
      </c>
      <c r="D29" s="59">
        <v>26.009882000000001</v>
      </c>
      <c r="E29" s="59">
        <v>31.063718000000001</v>
      </c>
      <c r="F29" s="26">
        <v>390.21938299999999</v>
      </c>
      <c r="G29" s="26">
        <v>19.486806000000001</v>
      </c>
      <c r="H29" s="26">
        <v>114.7713499</v>
      </c>
      <c r="I29" s="26">
        <v>92.887023999999997</v>
      </c>
      <c r="J29" s="26">
        <v>14.27351683</v>
      </c>
      <c r="K29" s="203"/>
      <c r="L29" s="203"/>
      <c r="M29" s="203"/>
      <c r="N29" s="203"/>
      <c r="O29" s="197"/>
      <c r="P29" s="61" t="e">
        <f t="shared" si="7"/>
        <v>#DIV/0!</v>
      </c>
      <c r="Q29" s="210" t="e">
        <f t="shared" si="7"/>
        <v>#DIV/0!</v>
      </c>
      <c r="R29" s="62">
        <f t="shared" si="1"/>
        <v>-100</v>
      </c>
      <c r="S29" s="214" t="e">
        <f t="shared" si="1"/>
        <v>#DIV/0!</v>
      </c>
      <c r="T29" s="30" t="s">
        <v>57</v>
      </c>
    </row>
    <row r="30" spans="1:20" s="19" customFormat="1" ht="15">
      <c r="A30" s="17" t="s">
        <v>58</v>
      </c>
      <c r="B30" s="56">
        <v>234.3</v>
      </c>
      <c r="C30" s="56">
        <v>279.99667199999999</v>
      </c>
      <c r="D30" s="56">
        <v>617.87877800000001</v>
      </c>
      <c r="E30" s="56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194"/>
      <c r="L30" s="194"/>
      <c r="M30" s="194"/>
      <c r="N30" s="194"/>
      <c r="O30" s="202"/>
      <c r="P30" s="57" t="e">
        <f t="shared" si="7"/>
        <v>#DIV/0!</v>
      </c>
      <c r="Q30" s="209" t="e">
        <f t="shared" si="7"/>
        <v>#DIV/0!</v>
      </c>
      <c r="R30" s="55">
        <f t="shared" si="1"/>
        <v>-100</v>
      </c>
      <c r="S30" s="213" t="e">
        <f t="shared" si="1"/>
        <v>#DIV/0!</v>
      </c>
      <c r="T30" s="36" t="s">
        <v>59</v>
      </c>
    </row>
    <row r="31" spans="1:20" s="19" customFormat="1" ht="15">
      <c r="A31" s="17" t="s">
        <v>11</v>
      </c>
      <c r="B31" s="56">
        <v>-124.5</v>
      </c>
      <c r="C31" s="56">
        <v>-166.4</v>
      </c>
      <c r="D31" s="56">
        <v>-150.836333</v>
      </c>
      <c r="E31" s="56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194"/>
      <c r="L31" s="194"/>
      <c r="M31" s="194"/>
      <c r="N31" s="194"/>
      <c r="O31" s="202"/>
      <c r="P31" s="57" t="e">
        <f t="shared" si="7"/>
        <v>#DIV/0!</v>
      </c>
      <c r="Q31" s="209" t="e">
        <f t="shared" si="7"/>
        <v>#DIV/0!</v>
      </c>
      <c r="R31" s="55">
        <f t="shared" si="1"/>
        <v>-100</v>
      </c>
      <c r="S31" s="213" t="e">
        <f t="shared" si="1"/>
        <v>#DIV/0!</v>
      </c>
      <c r="T31" s="36" t="s">
        <v>12</v>
      </c>
    </row>
    <row r="32" spans="1:20" s="20" customFormat="1" ht="15">
      <c r="A32" s="58" t="s">
        <v>16</v>
      </c>
      <c r="B32" s="66"/>
      <c r="C32" s="66"/>
      <c r="D32" s="66"/>
      <c r="E32" s="66"/>
      <c r="F32" s="18"/>
      <c r="G32" s="10"/>
      <c r="H32" s="10"/>
      <c r="I32" s="10"/>
      <c r="J32" s="10"/>
      <c r="K32" s="194"/>
      <c r="L32" s="194"/>
      <c r="M32" s="194"/>
      <c r="N32" s="194"/>
      <c r="O32" s="202"/>
      <c r="P32" s="57"/>
      <c r="Q32" s="209"/>
      <c r="R32" s="62"/>
      <c r="S32" s="214"/>
      <c r="T32" s="30" t="s">
        <v>17</v>
      </c>
    </row>
    <row r="33" spans="1:20" ht="17.25">
      <c r="A33" s="67" t="s">
        <v>60</v>
      </c>
      <c r="B33" s="68">
        <v>1007.8</v>
      </c>
      <c r="C33" s="68">
        <v>390.30930799999999</v>
      </c>
      <c r="D33" s="69">
        <v>584.5</v>
      </c>
      <c r="E33" s="69">
        <v>877.1</v>
      </c>
      <c r="F33" s="70">
        <v>987.6</v>
      </c>
      <c r="G33" s="70">
        <v>1145.8582073000002</v>
      </c>
      <c r="H33" s="70">
        <v>1187.19235</v>
      </c>
      <c r="I33" s="70">
        <v>188.39416600000001</v>
      </c>
      <c r="J33" s="70">
        <v>635.05139099999997</v>
      </c>
      <c r="K33" s="204"/>
      <c r="L33" s="204"/>
      <c r="M33" s="204"/>
      <c r="N33" s="204"/>
      <c r="O33" s="196"/>
      <c r="P33" s="71" t="e">
        <f t="shared" si="7"/>
        <v>#DIV/0!</v>
      </c>
      <c r="Q33" s="211" t="e">
        <f t="shared" si="7"/>
        <v>#DIV/0!</v>
      </c>
      <c r="R33" s="72">
        <f>+((K33/J33)-1)*100</f>
        <v>-100</v>
      </c>
      <c r="S33" s="216" t="e">
        <f>+((L33/K33)-1)*100</f>
        <v>#DIV/0!</v>
      </c>
      <c r="T33" s="73" t="s">
        <v>61</v>
      </c>
    </row>
    <row r="34" spans="1:20" ht="15">
      <c r="A34" s="21" t="s">
        <v>13</v>
      </c>
      <c r="B34" s="74"/>
      <c r="C34" s="74"/>
      <c r="D34" s="74"/>
      <c r="E34" s="74"/>
      <c r="F34" s="74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30" t="s">
        <v>14</v>
      </c>
    </row>
    <row r="35" spans="1:20" s="189" customFormat="1" ht="11.25">
      <c r="A35" s="185" t="s">
        <v>188</v>
      </c>
      <c r="B35" s="186"/>
      <c r="C35" s="186"/>
      <c r="D35" s="186"/>
      <c r="E35" s="186"/>
      <c r="F35" s="186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8"/>
    </row>
    <row r="36" spans="1:20"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</row>
    <row r="37" spans="1:20">
      <c r="B37" s="77"/>
      <c r="C37" s="77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</row>
    <row r="38" spans="1:20">
      <c r="B38" s="78"/>
      <c r="C38" s="78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</row>
    <row r="39" spans="1:20"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</row>
    <row r="40" spans="1:20">
      <c r="P40" s="76"/>
      <c r="Q40" s="76"/>
    </row>
    <row r="41" spans="1:20">
      <c r="P41" s="76"/>
      <c r="Q41" s="76"/>
    </row>
    <row r="42" spans="1:20"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</row>
    <row r="43" spans="1:20"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</row>
    <row r="44" spans="1:20"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</row>
    <row r="45" spans="1:20"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</row>
    <row r="46" spans="1:20"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</row>
    <row r="47" spans="1:20"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</row>
    <row r="48" spans="1:20"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</row>
    <row r="49" spans="7:17"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</row>
    <row r="50" spans="7:17"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</row>
    <row r="51" spans="7:17"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</row>
    <row r="52" spans="7:17"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</row>
    <row r="53" spans="7:17"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</row>
    <row r="54" spans="7:17"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</row>
    <row r="55" spans="7:17"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</row>
    <row r="56" spans="7:17"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</row>
    <row r="57" spans="7:17"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</row>
    <row r="58" spans="7:17"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</row>
    <row r="59" spans="7:17"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</row>
    <row r="60" spans="7:17"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</row>
    <row r="61" spans="7:17"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</row>
    <row r="62" spans="7:17"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</row>
    <row r="63" spans="7:17"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</row>
    <row r="64" spans="7:17"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</row>
    <row r="65" spans="7:17"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</row>
    <row r="66" spans="7:17"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7:17"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7:17"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31" customWidth="1"/>
    <col min="2" max="3" width="0" style="159" hidden="1" customWidth="1"/>
    <col min="4" max="4" width="12.7109375" style="159" hidden="1" customWidth="1"/>
    <col min="5" max="7" width="8.85546875" style="159" hidden="1" customWidth="1"/>
    <col min="8" max="11" width="0" style="159" hidden="1" customWidth="1"/>
    <col min="12" max="14" width="8.85546875" style="159"/>
    <col min="15" max="19" width="9.28515625" style="159" customWidth="1"/>
    <col min="20" max="21" width="11.28515625" style="159" customWidth="1"/>
    <col min="22" max="23" width="11" style="160" customWidth="1"/>
    <col min="24" max="24" width="7.7109375" style="160" customWidth="1"/>
    <col min="25" max="25" width="43.42578125" style="131" customWidth="1"/>
    <col min="26" max="26" width="17.28515625" style="131" customWidth="1"/>
    <col min="27" max="16384" width="8.85546875" style="131"/>
  </cols>
  <sheetData>
    <row r="1" spans="1:27" ht="19.5">
      <c r="A1" s="265" t="s">
        <v>197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</row>
    <row r="2" spans="1:27" ht="12.75">
      <c r="A2" s="282" t="s">
        <v>198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</row>
    <row r="3" spans="1:27" s="16" customFormat="1" ht="14.25">
      <c r="A3" s="283" t="s">
        <v>15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</row>
    <row r="4" spans="1:27" s="16" customFormat="1" ht="12.75">
      <c r="A4" s="268" t="s">
        <v>65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</row>
    <row r="5" spans="1:27" s="16" customFormat="1" ht="17.25">
      <c r="A5" s="179"/>
      <c r="B5" s="132"/>
      <c r="C5" s="133"/>
      <c r="D5" s="134" t="s">
        <v>1</v>
      </c>
      <c r="E5" s="284" t="s">
        <v>5</v>
      </c>
      <c r="F5" s="284"/>
      <c r="G5" s="284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285" t="s">
        <v>103</v>
      </c>
      <c r="U5" s="286"/>
      <c r="V5" s="285" t="s">
        <v>62</v>
      </c>
      <c r="W5" s="287"/>
      <c r="X5" s="136"/>
      <c r="Y5" s="137"/>
    </row>
    <row r="6" spans="1:27" s="19" customFormat="1" ht="15" customHeight="1">
      <c r="A6" s="182" t="s">
        <v>0</v>
      </c>
      <c r="B6" s="138"/>
      <c r="C6" s="11"/>
      <c r="D6" s="11" t="s">
        <v>66</v>
      </c>
      <c r="E6" s="11" t="s">
        <v>4</v>
      </c>
      <c r="F6" s="11" t="s">
        <v>4</v>
      </c>
      <c r="G6" s="11" t="s">
        <v>4</v>
      </c>
      <c r="H6" s="11"/>
      <c r="I6" s="11"/>
      <c r="J6" s="11"/>
      <c r="K6" s="11" t="s">
        <v>3</v>
      </c>
      <c r="L6" s="11" t="s">
        <v>3</v>
      </c>
      <c r="M6" s="11" t="s">
        <v>3</v>
      </c>
      <c r="N6" s="13" t="s">
        <v>3</v>
      </c>
      <c r="O6" s="192" t="s">
        <v>3</v>
      </c>
      <c r="P6" s="192" t="s">
        <v>205</v>
      </c>
      <c r="Q6" s="192" t="s">
        <v>186</v>
      </c>
      <c r="R6" s="192" t="s">
        <v>186</v>
      </c>
      <c r="S6" s="192" t="s">
        <v>186</v>
      </c>
      <c r="T6" s="280" t="s">
        <v>67</v>
      </c>
      <c r="U6" s="281"/>
      <c r="V6" s="288" t="s">
        <v>20</v>
      </c>
      <c r="W6" s="289"/>
      <c r="X6" s="139"/>
      <c r="Y6" s="178" t="s">
        <v>2</v>
      </c>
    </row>
    <row r="7" spans="1:27" s="19" customFormat="1" ht="12.75">
      <c r="A7" s="183"/>
      <c r="B7" s="32">
        <v>2007</v>
      </c>
      <c r="C7" s="32">
        <v>2008</v>
      </c>
      <c r="D7" s="32">
        <v>2009</v>
      </c>
      <c r="E7" s="32">
        <v>2010</v>
      </c>
      <c r="F7" s="32">
        <v>2011</v>
      </c>
      <c r="G7" s="32">
        <v>2012</v>
      </c>
      <c r="H7" s="32">
        <v>2009</v>
      </c>
      <c r="I7" s="32">
        <v>2010</v>
      </c>
      <c r="J7" s="32">
        <v>2011</v>
      </c>
      <c r="K7" s="32">
        <v>2012</v>
      </c>
      <c r="L7" s="32">
        <v>2013</v>
      </c>
      <c r="M7" s="32">
        <v>2014</v>
      </c>
      <c r="N7" s="14">
        <v>2015</v>
      </c>
      <c r="O7" s="193">
        <v>2016</v>
      </c>
      <c r="P7" s="193">
        <v>2017</v>
      </c>
      <c r="Q7" s="193">
        <v>2018</v>
      </c>
      <c r="R7" s="193">
        <v>2019</v>
      </c>
      <c r="S7" s="193">
        <v>2020</v>
      </c>
      <c r="T7" s="220">
        <v>2016</v>
      </c>
      <c r="U7" s="227">
        <v>2017</v>
      </c>
      <c r="V7" s="219" t="s">
        <v>185</v>
      </c>
      <c r="W7" s="234" t="s">
        <v>199</v>
      </c>
      <c r="X7" s="140"/>
      <c r="Y7" s="141"/>
      <c r="Z7" s="31"/>
      <c r="AA7" s="31"/>
    </row>
    <row r="8" spans="1:27" s="19" customFormat="1" ht="15">
      <c r="A8" s="33" t="s">
        <v>9</v>
      </c>
      <c r="B8" s="142">
        <f t="shared" ref="B8:O8" si="0">SUM(B9,B14,B20,B27)</f>
        <v>6560.1</v>
      </c>
      <c r="C8" s="142">
        <f t="shared" si="0"/>
        <v>7463.2</v>
      </c>
      <c r="D8" s="142">
        <f t="shared" si="0"/>
        <v>7942.4</v>
      </c>
      <c r="E8" s="142">
        <f t="shared" si="0"/>
        <v>9115.1999999999989</v>
      </c>
      <c r="F8" s="142">
        <f t="shared" si="0"/>
        <v>8659.1</v>
      </c>
      <c r="G8" s="142">
        <f t="shared" si="0"/>
        <v>8744.8993789999986</v>
      </c>
      <c r="H8" s="142">
        <f t="shared" si="0"/>
        <v>8738.7354969999997</v>
      </c>
      <c r="I8" s="142">
        <f t="shared" si="0"/>
        <v>8369.1443089999993</v>
      </c>
      <c r="J8" s="142">
        <f t="shared" si="0"/>
        <v>9075.7587179999991</v>
      </c>
      <c r="K8" s="142">
        <f t="shared" si="0"/>
        <v>10316.485255000001</v>
      </c>
      <c r="L8" s="142">
        <f t="shared" si="0"/>
        <v>11573.21458545</v>
      </c>
      <c r="M8" s="142">
        <f t="shared" si="0"/>
        <v>13954.396592000001</v>
      </c>
      <c r="N8" s="142">
        <f t="shared" si="0"/>
        <v>16678.511400880001</v>
      </c>
      <c r="O8" s="226">
        <f t="shared" si="0"/>
        <v>0</v>
      </c>
      <c r="P8" s="226">
        <f t="shared" ref="P8:Q8" si="1">SUM(P9,P14,P20,P27)</f>
        <v>0</v>
      </c>
      <c r="Q8" s="226">
        <f t="shared" si="1"/>
        <v>0</v>
      </c>
      <c r="R8" s="226">
        <f t="shared" ref="R8:S8" si="2">SUM(R9,R14,R20,R27)</f>
        <v>0</v>
      </c>
      <c r="S8" s="226">
        <f t="shared" si="2"/>
        <v>0</v>
      </c>
      <c r="T8" s="221" t="e">
        <f>+(O8/$O$8)*100</f>
        <v>#DIV/0!</v>
      </c>
      <c r="U8" s="228" t="e">
        <f>+(P8/$O$8)*100</f>
        <v>#DIV/0!</v>
      </c>
      <c r="V8" s="143">
        <f t="shared" ref="V8:W27" si="3">+((O8/N8)-1)*100</f>
        <v>-100</v>
      </c>
      <c r="W8" s="231" t="e">
        <f t="shared" si="3"/>
        <v>#DIV/0!</v>
      </c>
      <c r="X8" s="143"/>
      <c r="Y8" s="36" t="s">
        <v>10</v>
      </c>
    </row>
    <row r="9" spans="1:27" s="19" customFormat="1" ht="15">
      <c r="A9" s="33" t="s">
        <v>68</v>
      </c>
      <c r="B9" s="142">
        <f t="shared" ref="B9:O9" si="4">SUM(B10:B13)</f>
        <v>2241.8999999999996</v>
      </c>
      <c r="C9" s="142">
        <f t="shared" si="4"/>
        <v>3209.7</v>
      </c>
      <c r="D9" s="142">
        <f t="shared" si="4"/>
        <v>3276.6</v>
      </c>
      <c r="E9" s="142">
        <f t="shared" si="4"/>
        <v>4021.9</v>
      </c>
      <c r="F9" s="142">
        <f t="shared" si="4"/>
        <v>3529.1</v>
      </c>
      <c r="G9" s="142">
        <f t="shared" si="4"/>
        <v>3593.374147</v>
      </c>
      <c r="H9" s="142">
        <f t="shared" si="4"/>
        <v>3519.7833220000007</v>
      </c>
      <c r="I9" s="142">
        <f t="shared" si="4"/>
        <v>3978.9039029999999</v>
      </c>
      <c r="J9" s="142">
        <f t="shared" si="4"/>
        <v>4596.1388089999991</v>
      </c>
      <c r="K9" s="142">
        <f t="shared" si="4"/>
        <v>4774.492886</v>
      </c>
      <c r="L9" s="142">
        <f t="shared" si="4"/>
        <v>4784.0412950399996</v>
      </c>
      <c r="M9" s="142">
        <f t="shared" si="4"/>
        <v>5537.7483140000004</v>
      </c>
      <c r="N9" s="142">
        <f t="shared" si="4"/>
        <v>6243.3481799699994</v>
      </c>
      <c r="O9" s="226">
        <f t="shared" si="4"/>
        <v>0</v>
      </c>
      <c r="P9" s="226">
        <f t="shared" ref="P9:Q9" si="5">SUM(P10:P13)</f>
        <v>0</v>
      </c>
      <c r="Q9" s="226">
        <f t="shared" si="5"/>
        <v>0</v>
      </c>
      <c r="R9" s="226">
        <f t="shared" ref="R9:S9" si="6">SUM(R10:R13)</f>
        <v>0</v>
      </c>
      <c r="S9" s="226">
        <f t="shared" si="6"/>
        <v>0</v>
      </c>
      <c r="T9" s="221" t="e">
        <f t="shared" ref="T9:U27" si="7">+(O9/$O$8)*100</f>
        <v>#DIV/0!</v>
      </c>
      <c r="U9" s="228" t="e">
        <f t="shared" si="7"/>
        <v>#DIV/0!</v>
      </c>
      <c r="V9" s="143">
        <f t="shared" si="3"/>
        <v>-100</v>
      </c>
      <c r="W9" s="231" t="e">
        <f t="shared" si="3"/>
        <v>#DIV/0!</v>
      </c>
      <c r="X9" s="143"/>
      <c r="Y9" s="36" t="s">
        <v>69</v>
      </c>
    </row>
    <row r="10" spans="1:27" s="20" customFormat="1" ht="15">
      <c r="A10" s="37" t="s">
        <v>70</v>
      </c>
      <c r="B10" s="181">
        <v>1141.8</v>
      </c>
      <c r="C10" s="40">
        <v>1743.5</v>
      </c>
      <c r="D10" s="40">
        <v>1620.1</v>
      </c>
      <c r="E10" s="40">
        <v>2323.1</v>
      </c>
      <c r="F10" s="40">
        <v>1785</v>
      </c>
      <c r="G10" s="40">
        <v>1807.6922320000001</v>
      </c>
      <c r="H10" s="40">
        <v>1640.2071530000007</v>
      </c>
      <c r="I10" s="40">
        <v>2160.2136339999997</v>
      </c>
      <c r="J10" s="40">
        <v>2490.5053929999999</v>
      </c>
      <c r="K10" s="40">
        <v>2464.698202</v>
      </c>
      <c r="L10" s="40">
        <v>2284.8721354499999</v>
      </c>
      <c r="M10" s="40">
        <v>2757.612995</v>
      </c>
      <c r="N10" s="40">
        <v>2566.7069908099998</v>
      </c>
      <c r="O10" s="224"/>
      <c r="P10" s="224"/>
      <c r="Q10" s="224"/>
      <c r="R10" s="224"/>
      <c r="S10" s="224"/>
      <c r="T10" s="222" t="e">
        <f t="shared" si="7"/>
        <v>#DIV/0!</v>
      </c>
      <c r="U10" s="229" t="e">
        <f t="shared" si="7"/>
        <v>#DIV/0!</v>
      </c>
      <c r="V10" s="144">
        <f t="shared" si="3"/>
        <v>-100</v>
      </c>
      <c r="W10" s="232" t="e">
        <f t="shared" si="3"/>
        <v>#DIV/0!</v>
      </c>
      <c r="X10" s="144"/>
      <c r="Y10" s="30" t="s">
        <v>71</v>
      </c>
    </row>
    <row r="11" spans="1:27" s="20" customFormat="1" ht="15">
      <c r="A11" s="37" t="s">
        <v>72</v>
      </c>
      <c r="B11" s="181">
        <v>404.6</v>
      </c>
      <c r="C11" s="40">
        <v>549.1</v>
      </c>
      <c r="D11" s="40">
        <v>593.9</v>
      </c>
      <c r="E11" s="40">
        <v>551.20000000000005</v>
      </c>
      <c r="F11" s="40">
        <v>611.5</v>
      </c>
      <c r="G11" s="40">
        <v>637.60149200000001</v>
      </c>
      <c r="H11" s="40">
        <v>712.88716299999999</v>
      </c>
      <c r="I11" s="40">
        <v>651.41233499999998</v>
      </c>
      <c r="J11" s="40">
        <v>774.11099200000001</v>
      </c>
      <c r="K11" s="40">
        <v>800.63111700000002</v>
      </c>
      <c r="L11" s="40">
        <v>794.20175268000003</v>
      </c>
      <c r="M11" s="40">
        <v>834.3948089999999</v>
      </c>
      <c r="N11" s="40">
        <v>1023.3242030399999</v>
      </c>
      <c r="O11" s="224"/>
      <c r="P11" s="224"/>
      <c r="Q11" s="224"/>
      <c r="R11" s="224"/>
      <c r="S11" s="224"/>
      <c r="T11" s="222" t="e">
        <f t="shared" si="7"/>
        <v>#DIV/0!</v>
      </c>
      <c r="U11" s="229" t="e">
        <f t="shared" si="7"/>
        <v>#DIV/0!</v>
      </c>
      <c r="V11" s="144">
        <f t="shared" si="3"/>
        <v>-100</v>
      </c>
      <c r="W11" s="232" t="e">
        <f t="shared" si="3"/>
        <v>#DIV/0!</v>
      </c>
      <c r="X11" s="144"/>
      <c r="Y11" s="30" t="s">
        <v>73</v>
      </c>
    </row>
    <row r="12" spans="1:27" s="20" customFormat="1" ht="15">
      <c r="A12" s="37" t="s">
        <v>74</v>
      </c>
      <c r="B12" s="145">
        <v>600.29999999999995</v>
      </c>
      <c r="C12" s="40">
        <v>833.4</v>
      </c>
      <c r="D12" s="40">
        <v>968.9</v>
      </c>
      <c r="E12" s="40">
        <v>1055.0999999999999</v>
      </c>
      <c r="F12" s="40">
        <v>1052.7</v>
      </c>
      <c r="G12" s="40">
        <v>1066.94895</v>
      </c>
      <c r="H12" s="40">
        <v>1097.180717</v>
      </c>
      <c r="I12" s="40">
        <v>1132.7824310000001</v>
      </c>
      <c r="J12" s="40">
        <v>1296.9194520000001</v>
      </c>
      <c r="K12" s="40">
        <v>1470.4859779999999</v>
      </c>
      <c r="L12" s="40">
        <v>1659.45558701</v>
      </c>
      <c r="M12" s="40">
        <v>1876.671333</v>
      </c>
      <c r="N12" s="40">
        <v>2512.6496932300001</v>
      </c>
      <c r="O12" s="224"/>
      <c r="P12" s="224"/>
      <c r="Q12" s="224"/>
      <c r="R12" s="224"/>
      <c r="S12" s="224"/>
      <c r="T12" s="222" t="e">
        <f t="shared" si="7"/>
        <v>#DIV/0!</v>
      </c>
      <c r="U12" s="229" t="e">
        <f t="shared" si="7"/>
        <v>#DIV/0!</v>
      </c>
      <c r="V12" s="144">
        <f t="shared" si="3"/>
        <v>-100</v>
      </c>
      <c r="W12" s="232" t="e">
        <f t="shared" si="3"/>
        <v>#DIV/0!</v>
      </c>
      <c r="X12" s="144"/>
      <c r="Y12" s="30" t="s">
        <v>75</v>
      </c>
    </row>
    <row r="13" spans="1:27" s="20" customFormat="1" ht="15">
      <c r="A13" s="37" t="s">
        <v>76</v>
      </c>
      <c r="B13" s="92">
        <v>95.2</v>
      </c>
      <c r="C13" s="40">
        <v>83.7</v>
      </c>
      <c r="D13" s="40">
        <v>93.7</v>
      </c>
      <c r="E13" s="40">
        <v>92.5</v>
      </c>
      <c r="F13" s="40">
        <v>79.900000000000006</v>
      </c>
      <c r="G13" s="40">
        <v>81.131473</v>
      </c>
      <c r="H13" s="40">
        <v>69.508289000000005</v>
      </c>
      <c r="I13" s="40">
        <v>34.495502999999999</v>
      </c>
      <c r="J13" s="40">
        <v>34.602972000000001</v>
      </c>
      <c r="K13" s="40">
        <v>38.677588999999998</v>
      </c>
      <c r="L13" s="40">
        <v>45.511819899999999</v>
      </c>
      <c r="M13" s="40">
        <v>69.069176999999996</v>
      </c>
      <c r="N13" s="40">
        <v>140.66729289</v>
      </c>
      <c r="O13" s="224"/>
      <c r="P13" s="224"/>
      <c r="Q13" s="224"/>
      <c r="R13" s="224"/>
      <c r="S13" s="224"/>
      <c r="T13" s="222" t="e">
        <f t="shared" si="7"/>
        <v>#DIV/0!</v>
      </c>
      <c r="U13" s="229" t="e">
        <f t="shared" si="7"/>
        <v>#DIV/0!</v>
      </c>
      <c r="V13" s="144">
        <f t="shared" si="3"/>
        <v>-100</v>
      </c>
      <c r="W13" s="232" t="e">
        <f t="shared" si="3"/>
        <v>#DIV/0!</v>
      </c>
      <c r="X13" s="144"/>
      <c r="Y13" s="30" t="s">
        <v>77</v>
      </c>
    </row>
    <row r="14" spans="1:27" s="19" customFormat="1" ht="15">
      <c r="A14" s="33" t="s">
        <v>78</v>
      </c>
      <c r="B14" s="142">
        <f t="shared" ref="B14:I14" si="8">SUM(B15:B18)</f>
        <v>3817.6</v>
      </c>
      <c r="C14" s="142">
        <f t="shared" si="8"/>
        <v>3679.5</v>
      </c>
      <c r="D14" s="142">
        <f t="shared" si="8"/>
        <v>4016.4</v>
      </c>
      <c r="E14" s="142">
        <f t="shared" si="8"/>
        <v>4170.5</v>
      </c>
      <c r="F14" s="142">
        <f t="shared" si="8"/>
        <v>4282.6000000000004</v>
      </c>
      <c r="G14" s="142">
        <f t="shared" si="8"/>
        <v>4413.3455789999998</v>
      </c>
      <c r="H14" s="142">
        <f t="shared" si="8"/>
        <v>4345.2921539999998</v>
      </c>
      <c r="I14" s="142">
        <f t="shared" si="8"/>
        <v>3462.622922</v>
      </c>
      <c r="J14" s="142">
        <f>SUM(J15:J19)</f>
        <v>3544.46576</v>
      </c>
      <c r="K14" s="142">
        <f t="shared" ref="K14:Q14" si="9">SUM(K15:K19)</f>
        <v>4225.7286190000004</v>
      </c>
      <c r="L14" s="142">
        <f t="shared" si="9"/>
        <v>5531.6275246499999</v>
      </c>
      <c r="M14" s="142">
        <f t="shared" si="9"/>
        <v>7089.9977030000009</v>
      </c>
      <c r="N14" s="142">
        <f t="shared" si="9"/>
        <v>8742.95622215</v>
      </c>
      <c r="O14" s="226">
        <f t="shared" si="9"/>
        <v>0</v>
      </c>
      <c r="P14" s="226">
        <f t="shared" si="9"/>
        <v>0</v>
      </c>
      <c r="Q14" s="226">
        <f t="shared" si="9"/>
        <v>0</v>
      </c>
      <c r="R14" s="226">
        <f t="shared" ref="R14:S14" si="10">SUM(R15:R19)</f>
        <v>0</v>
      </c>
      <c r="S14" s="226">
        <f t="shared" si="10"/>
        <v>0</v>
      </c>
      <c r="T14" s="221" t="e">
        <f t="shared" si="7"/>
        <v>#DIV/0!</v>
      </c>
      <c r="U14" s="228" t="e">
        <f t="shared" si="7"/>
        <v>#DIV/0!</v>
      </c>
      <c r="V14" s="143">
        <f t="shared" si="3"/>
        <v>-100</v>
      </c>
      <c r="W14" s="231" t="e">
        <f t="shared" si="3"/>
        <v>#DIV/0!</v>
      </c>
      <c r="X14" s="143"/>
      <c r="Y14" s="36" t="s">
        <v>79</v>
      </c>
    </row>
    <row r="15" spans="1:27" s="20" customFormat="1" ht="15">
      <c r="A15" s="37" t="s">
        <v>80</v>
      </c>
      <c r="B15" s="181">
        <v>1149.4000000000001</v>
      </c>
      <c r="C15" s="40">
        <v>1467.1</v>
      </c>
      <c r="D15" s="40">
        <v>1958.3</v>
      </c>
      <c r="E15" s="40">
        <v>1632</v>
      </c>
      <c r="F15" s="40">
        <v>1703.1</v>
      </c>
      <c r="G15" s="40">
        <v>1731.0649900000001</v>
      </c>
      <c r="H15" s="40">
        <v>1801.544161</v>
      </c>
      <c r="I15" s="40">
        <v>1588.6194419999999</v>
      </c>
      <c r="J15" s="40">
        <v>1701.1680309999999</v>
      </c>
      <c r="K15" s="146">
        <v>2095.118363</v>
      </c>
      <c r="L15" s="40">
        <v>1927.3062449400002</v>
      </c>
      <c r="M15" s="40">
        <v>2111.528174</v>
      </c>
      <c r="N15" s="40">
        <v>2660.2240680199998</v>
      </c>
      <c r="O15" s="224"/>
      <c r="P15" s="224"/>
      <c r="Q15" s="224"/>
      <c r="R15" s="224"/>
      <c r="S15" s="224"/>
      <c r="T15" s="222" t="e">
        <f t="shared" si="7"/>
        <v>#DIV/0!</v>
      </c>
      <c r="U15" s="229" t="e">
        <f t="shared" si="7"/>
        <v>#DIV/0!</v>
      </c>
      <c r="V15" s="144">
        <f t="shared" si="3"/>
        <v>-100</v>
      </c>
      <c r="W15" s="232" t="e">
        <f t="shared" si="3"/>
        <v>#DIV/0!</v>
      </c>
      <c r="X15" s="144"/>
      <c r="Y15" s="30" t="s">
        <v>81</v>
      </c>
    </row>
    <row r="16" spans="1:27" s="20" customFormat="1" ht="15">
      <c r="A16" s="37" t="s">
        <v>82</v>
      </c>
      <c r="B16" s="181">
        <v>682.3</v>
      </c>
      <c r="C16" s="40">
        <v>1037.3</v>
      </c>
      <c r="D16" s="40">
        <v>798.5</v>
      </c>
      <c r="E16" s="40">
        <v>875.1</v>
      </c>
      <c r="F16" s="40">
        <v>922.4</v>
      </c>
      <c r="G16" s="40">
        <v>966.45820000000003</v>
      </c>
      <c r="H16" s="40">
        <v>1327.7892979999999</v>
      </c>
      <c r="I16" s="40">
        <v>946.95926599999996</v>
      </c>
      <c r="J16" s="40">
        <v>356.75031100000001</v>
      </c>
      <c r="K16" s="40">
        <v>288.929912</v>
      </c>
      <c r="L16" s="40">
        <v>1369.90178399</v>
      </c>
      <c r="M16" s="40">
        <v>1723.199959</v>
      </c>
      <c r="N16" s="40">
        <v>2233.1620040500002</v>
      </c>
      <c r="O16" s="224"/>
      <c r="P16" s="224"/>
      <c r="Q16" s="224"/>
      <c r="R16" s="224"/>
      <c r="S16" s="224"/>
      <c r="T16" s="222" t="e">
        <f t="shared" si="7"/>
        <v>#DIV/0!</v>
      </c>
      <c r="U16" s="229" t="e">
        <f t="shared" si="7"/>
        <v>#DIV/0!</v>
      </c>
      <c r="V16" s="144">
        <f t="shared" si="3"/>
        <v>-100</v>
      </c>
      <c r="W16" s="232" t="e">
        <f t="shared" si="3"/>
        <v>#DIV/0!</v>
      </c>
      <c r="X16" s="144"/>
      <c r="Y16" s="30" t="s">
        <v>83</v>
      </c>
    </row>
    <row r="17" spans="1:25" s="20" customFormat="1" ht="15">
      <c r="A17" s="37" t="s">
        <v>84</v>
      </c>
      <c r="B17" s="181">
        <v>231.4</v>
      </c>
      <c r="C17" s="40">
        <v>638.4</v>
      </c>
      <c r="D17" s="40">
        <v>772.2</v>
      </c>
      <c r="E17" s="40">
        <v>1202</v>
      </c>
      <c r="F17" s="40">
        <v>1115.4000000000001</v>
      </c>
      <c r="G17" s="40">
        <v>1165.9169099999999</v>
      </c>
      <c r="H17" s="40">
        <v>463.99557299999998</v>
      </c>
      <c r="I17" s="40">
        <v>577.73113499999999</v>
      </c>
      <c r="J17" s="40">
        <v>1132.764089</v>
      </c>
      <c r="K17" s="40">
        <v>1577.597278</v>
      </c>
      <c r="L17" s="40">
        <v>1958.0622446499999</v>
      </c>
      <c r="M17" s="40">
        <v>2924.2179980000001</v>
      </c>
      <c r="N17" s="40">
        <v>3212.2614754400001</v>
      </c>
      <c r="O17" s="224"/>
      <c r="P17" s="224"/>
      <c r="Q17" s="224"/>
      <c r="R17" s="224"/>
      <c r="S17" s="224"/>
      <c r="T17" s="222" t="e">
        <f t="shared" si="7"/>
        <v>#DIV/0!</v>
      </c>
      <c r="U17" s="229" t="e">
        <f t="shared" si="7"/>
        <v>#DIV/0!</v>
      </c>
      <c r="V17" s="144">
        <f t="shared" si="3"/>
        <v>-100</v>
      </c>
      <c r="W17" s="232" t="e">
        <f t="shared" si="3"/>
        <v>#DIV/0!</v>
      </c>
      <c r="X17" s="144"/>
      <c r="Y17" s="30" t="s">
        <v>85</v>
      </c>
    </row>
    <row r="18" spans="1:25" s="20" customFormat="1" ht="15">
      <c r="A18" s="37" t="s">
        <v>86</v>
      </c>
      <c r="B18" s="181">
        <v>1754.5</v>
      </c>
      <c r="C18" s="40">
        <v>536.70000000000005</v>
      </c>
      <c r="D18" s="40">
        <v>487.4</v>
      </c>
      <c r="E18" s="40">
        <v>461.4</v>
      </c>
      <c r="F18" s="40">
        <v>541.70000000000005</v>
      </c>
      <c r="G18" s="40">
        <v>549.90547900000001</v>
      </c>
      <c r="H18" s="40">
        <v>751.963122</v>
      </c>
      <c r="I18" s="40">
        <v>349.31307900000002</v>
      </c>
      <c r="J18" s="40">
        <v>353.78332899999998</v>
      </c>
      <c r="K18" s="40">
        <v>264.08306599999997</v>
      </c>
      <c r="L18" s="40">
        <v>4.6041600000000003</v>
      </c>
      <c r="M18" s="40">
        <v>3.837771</v>
      </c>
      <c r="N18" s="40">
        <v>0</v>
      </c>
      <c r="O18" s="224"/>
      <c r="P18" s="224"/>
      <c r="Q18" s="224"/>
      <c r="R18" s="224"/>
      <c r="S18" s="224"/>
      <c r="T18" s="222" t="e">
        <f t="shared" si="7"/>
        <v>#DIV/0!</v>
      </c>
      <c r="U18" s="229" t="e">
        <f t="shared" si="7"/>
        <v>#DIV/0!</v>
      </c>
      <c r="V18" s="40" t="e">
        <f t="shared" ref="V18:W18" si="11">+(Q18/$O$8)*100</f>
        <v>#DIV/0!</v>
      </c>
      <c r="W18" s="224" t="e">
        <f t="shared" si="11"/>
        <v>#DIV/0!</v>
      </c>
      <c r="X18" s="144"/>
      <c r="Y18" s="30" t="s">
        <v>87</v>
      </c>
    </row>
    <row r="19" spans="1:25" s="20" customFormat="1" ht="17.25">
      <c r="A19" s="37" t="s">
        <v>147</v>
      </c>
      <c r="B19" s="181"/>
      <c r="C19" s="40"/>
      <c r="D19" s="40"/>
      <c r="E19" s="40"/>
      <c r="F19" s="40"/>
      <c r="G19" s="40"/>
      <c r="H19" s="40"/>
      <c r="I19" s="40"/>
      <c r="J19" s="38">
        <v>0</v>
      </c>
      <c r="K19" s="38">
        <v>0</v>
      </c>
      <c r="L19" s="40">
        <v>271.75309106999975</v>
      </c>
      <c r="M19" s="40">
        <v>327.21380099999999</v>
      </c>
      <c r="N19" s="40">
        <v>637.30867463999994</v>
      </c>
      <c r="O19" s="224"/>
      <c r="P19" s="224"/>
      <c r="Q19" s="224"/>
      <c r="R19" s="224"/>
      <c r="S19" s="224"/>
      <c r="T19" s="222" t="e">
        <f t="shared" si="7"/>
        <v>#DIV/0!</v>
      </c>
      <c r="U19" s="229" t="e">
        <f t="shared" si="7"/>
        <v>#DIV/0!</v>
      </c>
      <c r="V19" s="144">
        <f t="shared" si="3"/>
        <v>-100</v>
      </c>
      <c r="W19" s="232" t="e">
        <f t="shared" si="3"/>
        <v>#DIV/0!</v>
      </c>
      <c r="X19" s="144"/>
      <c r="Y19" s="94" t="s">
        <v>178</v>
      </c>
    </row>
    <row r="20" spans="1:25" s="19" customFormat="1" ht="15">
      <c r="A20" s="33" t="s">
        <v>88</v>
      </c>
      <c r="B20" s="142">
        <f t="shared" ref="B20:I20" si="12">SUM(B21:B25)</f>
        <v>266.3</v>
      </c>
      <c r="C20" s="142">
        <f t="shared" si="12"/>
        <v>293.99999999999994</v>
      </c>
      <c r="D20" s="142">
        <f t="shared" si="12"/>
        <v>309.5</v>
      </c>
      <c r="E20" s="142">
        <f t="shared" si="12"/>
        <v>330.00000000000006</v>
      </c>
      <c r="F20" s="142">
        <f t="shared" si="12"/>
        <v>292.89999999999998</v>
      </c>
      <c r="G20" s="142">
        <f t="shared" si="12"/>
        <v>304.13394399999993</v>
      </c>
      <c r="H20" s="142">
        <f t="shared" si="12"/>
        <v>255.78124300000002</v>
      </c>
      <c r="I20" s="142">
        <f t="shared" si="12"/>
        <v>265.56214700000004</v>
      </c>
      <c r="J20" s="142">
        <f>SUM(J21:J26)</f>
        <v>209.35414899999998</v>
      </c>
      <c r="K20" s="142">
        <f t="shared" ref="K20:Q20" si="13">SUM(K21:K26)</f>
        <v>209.18252100000001</v>
      </c>
      <c r="L20" s="142">
        <f t="shared" si="13"/>
        <v>300.81956875999992</v>
      </c>
      <c r="M20" s="142">
        <f t="shared" si="13"/>
        <v>348.30320599999999</v>
      </c>
      <c r="N20" s="142">
        <f t="shared" si="13"/>
        <v>344.55713775999999</v>
      </c>
      <c r="O20" s="226">
        <f t="shared" si="13"/>
        <v>0</v>
      </c>
      <c r="P20" s="226">
        <f t="shared" si="13"/>
        <v>0</v>
      </c>
      <c r="Q20" s="226">
        <f t="shared" si="13"/>
        <v>0</v>
      </c>
      <c r="R20" s="226">
        <f t="shared" ref="R20:S20" si="14">SUM(R21:R26)</f>
        <v>0</v>
      </c>
      <c r="S20" s="226">
        <f t="shared" si="14"/>
        <v>0</v>
      </c>
      <c r="T20" s="221" t="e">
        <f t="shared" si="7"/>
        <v>#DIV/0!</v>
      </c>
      <c r="U20" s="228" t="e">
        <f t="shared" si="7"/>
        <v>#DIV/0!</v>
      </c>
      <c r="V20" s="143">
        <f t="shared" si="3"/>
        <v>-100</v>
      </c>
      <c r="W20" s="231" t="e">
        <f t="shared" si="3"/>
        <v>#DIV/0!</v>
      </c>
      <c r="X20" s="143"/>
      <c r="Y20" s="36" t="s">
        <v>45</v>
      </c>
    </row>
    <row r="21" spans="1:25" s="20" customFormat="1" ht="15">
      <c r="A21" s="37" t="s">
        <v>89</v>
      </c>
      <c r="B21" s="181">
        <v>25.8</v>
      </c>
      <c r="C21" s="40">
        <v>30.1</v>
      </c>
      <c r="D21" s="40">
        <v>36.9</v>
      </c>
      <c r="E21" s="40">
        <v>61.7</v>
      </c>
      <c r="F21" s="40">
        <v>63.7</v>
      </c>
      <c r="G21" s="40">
        <v>56.472088999999997</v>
      </c>
      <c r="H21" s="40">
        <v>35.399478999999999</v>
      </c>
      <c r="I21" s="40">
        <v>108.925563</v>
      </c>
      <c r="J21" s="40">
        <v>59.694450000000003</v>
      </c>
      <c r="K21" s="40">
        <v>45.578457</v>
      </c>
      <c r="L21" s="40">
        <v>62.856177169999995</v>
      </c>
      <c r="M21" s="40">
        <v>77.722431999999998</v>
      </c>
      <c r="N21" s="40">
        <v>44.379290109999999</v>
      </c>
      <c r="O21" s="224"/>
      <c r="P21" s="224"/>
      <c r="Q21" s="224"/>
      <c r="R21" s="224"/>
      <c r="S21" s="224"/>
      <c r="T21" s="222" t="e">
        <f t="shared" si="7"/>
        <v>#DIV/0!</v>
      </c>
      <c r="U21" s="229" t="e">
        <f t="shared" si="7"/>
        <v>#DIV/0!</v>
      </c>
      <c r="V21" s="144">
        <f t="shared" si="3"/>
        <v>-100</v>
      </c>
      <c r="W21" s="232" t="e">
        <f t="shared" si="3"/>
        <v>#DIV/0!</v>
      </c>
      <c r="X21" s="144"/>
      <c r="Y21" s="147" t="s">
        <v>90</v>
      </c>
    </row>
    <row r="22" spans="1:25" s="20" customFormat="1" ht="15">
      <c r="A22" s="37" t="s">
        <v>91</v>
      </c>
      <c r="B22" s="181">
        <v>97.5</v>
      </c>
      <c r="C22" s="40">
        <v>145</v>
      </c>
      <c r="D22" s="40">
        <v>134</v>
      </c>
      <c r="E22" s="40">
        <v>176.9</v>
      </c>
      <c r="F22" s="40">
        <v>139.5</v>
      </c>
      <c r="G22" s="40">
        <v>154.75196</v>
      </c>
      <c r="H22" s="40">
        <v>95.280591000000001</v>
      </c>
      <c r="I22" s="40">
        <v>81.075993999999994</v>
      </c>
      <c r="J22" s="40">
        <v>78.940620999999993</v>
      </c>
      <c r="K22" s="40">
        <v>67.993539999999996</v>
      </c>
      <c r="L22" s="40">
        <v>35.804027499999997</v>
      </c>
      <c r="M22" s="40">
        <v>155.90539000000001</v>
      </c>
      <c r="N22" s="40">
        <v>71.299115999999998</v>
      </c>
      <c r="O22" s="224"/>
      <c r="P22" s="224"/>
      <c r="Q22" s="224"/>
      <c r="R22" s="224"/>
      <c r="S22" s="224"/>
      <c r="T22" s="222" t="e">
        <f t="shared" si="7"/>
        <v>#DIV/0!</v>
      </c>
      <c r="U22" s="229" t="e">
        <f t="shared" si="7"/>
        <v>#DIV/0!</v>
      </c>
      <c r="V22" s="144">
        <f t="shared" si="3"/>
        <v>-100</v>
      </c>
      <c r="W22" s="232" t="e">
        <f t="shared" si="3"/>
        <v>#DIV/0!</v>
      </c>
      <c r="X22" s="144"/>
      <c r="Y22" s="147" t="s">
        <v>92</v>
      </c>
    </row>
    <row r="23" spans="1:25" s="20" customFormat="1" ht="15">
      <c r="A23" s="37" t="s">
        <v>93</v>
      </c>
      <c r="B23" s="181">
        <v>16.899999999999999</v>
      </c>
      <c r="C23" s="40">
        <v>18.600000000000001</v>
      </c>
      <c r="D23" s="40">
        <v>32.700000000000003</v>
      </c>
      <c r="E23" s="40">
        <v>28.6</v>
      </c>
      <c r="F23" s="40">
        <v>33.5</v>
      </c>
      <c r="G23" s="40">
        <v>33.484577000000002</v>
      </c>
      <c r="H23" s="40">
        <v>29.27197</v>
      </c>
      <c r="I23" s="40">
        <v>17.173514000000001</v>
      </c>
      <c r="J23" s="40">
        <v>20.235569000000002</v>
      </c>
      <c r="K23" s="40">
        <v>27.574041999999999</v>
      </c>
      <c r="L23" s="40">
        <v>26.957459039999989</v>
      </c>
      <c r="M23" s="40">
        <v>32.610194</v>
      </c>
      <c r="N23" s="40">
        <v>31.466308000000001</v>
      </c>
      <c r="O23" s="224"/>
      <c r="P23" s="224"/>
      <c r="Q23" s="224"/>
      <c r="R23" s="224"/>
      <c r="S23" s="224"/>
      <c r="T23" s="222" t="e">
        <f t="shared" si="7"/>
        <v>#DIV/0!</v>
      </c>
      <c r="U23" s="229" t="e">
        <f t="shared" si="7"/>
        <v>#DIV/0!</v>
      </c>
      <c r="V23" s="144">
        <f t="shared" si="3"/>
        <v>-100</v>
      </c>
      <c r="W23" s="232" t="e">
        <f t="shared" si="3"/>
        <v>#DIV/0!</v>
      </c>
      <c r="X23" s="144"/>
      <c r="Y23" s="147" t="s">
        <v>94</v>
      </c>
    </row>
    <row r="24" spans="1:25" s="20" customFormat="1" ht="15">
      <c r="A24" s="39" t="s">
        <v>95</v>
      </c>
      <c r="B24" s="181">
        <v>107.8</v>
      </c>
      <c r="C24" s="40">
        <v>80.099999999999994</v>
      </c>
      <c r="D24" s="40">
        <v>87.7</v>
      </c>
      <c r="E24" s="40">
        <v>48.5</v>
      </c>
      <c r="F24" s="40">
        <v>38.9</v>
      </c>
      <c r="G24" s="40">
        <v>42.022793999999998</v>
      </c>
      <c r="H24" s="40">
        <v>78.335824000000002</v>
      </c>
      <c r="I24" s="40">
        <v>43.838565000000003</v>
      </c>
      <c r="J24" s="40">
        <v>33.652334000000003</v>
      </c>
      <c r="K24" s="40">
        <v>52.352131999999997</v>
      </c>
      <c r="L24" s="40">
        <v>33.053981409999999</v>
      </c>
      <c r="M24" s="40">
        <v>48.876987999999997</v>
      </c>
      <c r="N24" s="40">
        <v>103.028464</v>
      </c>
      <c r="O24" s="224"/>
      <c r="P24" s="224"/>
      <c r="Q24" s="224"/>
      <c r="R24" s="224"/>
      <c r="S24" s="224"/>
      <c r="T24" s="222" t="e">
        <f t="shared" si="7"/>
        <v>#DIV/0!</v>
      </c>
      <c r="U24" s="229" t="e">
        <f t="shared" si="7"/>
        <v>#DIV/0!</v>
      </c>
      <c r="V24" s="144">
        <f t="shared" si="3"/>
        <v>-100</v>
      </c>
      <c r="W24" s="232" t="e">
        <f t="shared" si="3"/>
        <v>#DIV/0!</v>
      </c>
      <c r="X24" s="144"/>
      <c r="Y24" s="147" t="s">
        <v>96</v>
      </c>
    </row>
    <row r="25" spans="1:25" s="20" customFormat="1" ht="15">
      <c r="A25" s="39" t="s">
        <v>97</v>
      </c>
      <c r="B25" s="181">
        <v>18.3</v>
      </c>
      <c r="C25" s="40">
        <v>20.2</v>
      </c>
      <c r="D25" s="40">
        <v>18.2</v>
      </c>
      <c r="E25" s="40">
        <v>14.3</v>
      </c>
      <c r="F25" s="40">
        <v>17.3</v>
      </c>
      <c r="G25" s="40">
        <v>17.402524</v>
      </c>
      <c r="H25" s="40">
        <v>17.493379000000001</v>
      </c>
      <c r="I25" s="40">
        <v>14.548511</v>
      </c>
      <c r="J25" s="40">
        <v>16.831175000000002</v>
      </c>
      <c r="K25" s="40">
        <v>15.68435</v>
      </c>
      <c r="L25" s="40">
        <v>140.28595263999998</v>
      </c>
      <c r="M25" s="40">
        <v>31.397749000000001</v>
      </c>
      <c r="N25" s="40">
        <v>92.426890650000004</v>
      </c>
      <c r="O25" s="224"/>
      <c r="P25" s="224"/>
      <c r="Q25" s="224"/>
      <c r="R25" s="224"/>
      <c r="S25" s="224"/>
      <c r="T25" s="222" t="e">
        <f t="shared" si="7"/>
        <v>#DIV/0!</v>
      </c>
      <c r="U25" s="229" t="e">
        <f t="shared" si="7"/>
        <v>#DIV/0!</v>
      </c>
      <c r="V25" s="144">
        <f t="shared" si="3"/>
        <v>-100</v>
      </c>
      <c r="W25" s="232" t="e">
        <f t="shared" si="3"/>
        <v>#DIV/0!</v>
      </c>
      <c r="X25" s="144"/>
      <c r="Y25" s="148" t="s">
        <v>98</v>
      </c>
    </row>
    <row r="26" spans="1:25" s="20" customFormat="1" ht="15">
      <c r="A26" s="39" t="s">
        <v>148</v>
      </c>
      <c r="B26" s="181"/>
      <c r="C26" s="40"/>
      <c r="D26" s="40"/>
      <c r="E26" s="40"/>
      <c r="F26" s="40"/>
      <c r="G26" s="40"/>
      <c r="H26" s="40"/>
      <c r="I26" s="40"/>
      <c r="J26" s="40">
        <v>0</v>
      </c>
      <c r="K26" s="40">
        <v>0</v>
      </c>
      <c r="L26" s="40">
        <v>1.861971</v>
      </c>
      <c r="M26" s="40">
        <v>1.7904530000000001</v>
      </c>
      <c r="N26" s="40">
        <v>1.9570689999999999</v>
      </c>
      <c r="O26" s="224"/>
      <c r="P26" s="224"/>
      <c r="Q26" s="224"/>
      <c r="R26" s="224"/>
      <c r="S26" s="224"/>
      <c r="T26" s="222" t="e">
        <f t="shared" si="7"/>
        <v>#DIV/0!</v>
      </c>
      <c r="U26" s="229" t="e">
        <f t="shared" si="7"/>
        <v>#DIV/0!</v>
      </c>
      <c r="V26" s="144">
        <f t="shared" si="3"/>
        <v>-100</v>
      </c>
      <c r="W26" s="232" t="e">
        <f t="shared" si="3"/>
        <v>#DIV/0!</v>
      </c>
      <c r="X26" s="144"/>
      <c r="Y26" s="148"/>
    </row>
    <row r="27" spans="1:25" s="19" customFormat="1" ht="15">
      <c r="A27" s="183" t="s">
        <v>99</v>
      </c>
      <c r="B27" s="41">
        <v>234.3</v>
      </c>
      <c r="C27" s="149">
        <v>280</v>
      </c>
      <c r="D27" s="149">
        <v>339.9</v>
      </c>
      <c r="E27" s="149">
        <v>592.79999999999995</v>
      </c>
      <c r="F27" s="149">
        <v>554.5</v>
      </c>
      <c r="G27" s="149">
        <v>434.04570899999999</v>
      </c>
      <c r="H27" s="149">
        <v>617.87877800000001</v>
      </c>
      <c r="I27" s="149">
        <v>662.05533700000001</v>
      </c>
      <c r="J27" s="149">
        <v>725.8</v>
      </c>
      <c r="K27" s="149">
        <v>1107.0812289999999</v>
      </c>
      <c r="L27" s="149">
        <v>956.72619699999996</v>
      </c>
      <c r="M27" s="149">
        <v>978.34736899999996</v>
      </c>
      <c r="N27" s="149">
        <v>1347.6498610000001</v>
      </c>
      <c r="O27" s="225"/>
      <c r="P27" s="225"/>
      <c r="Q27" s="225"/>
      <c r="R27" s="225"/>
      <c r="S27" s="225"/>
      <c r="T27" s="223" t="e">
        <f t="shared" si="7"/>
        <v>#DIV/0!</v>
      </c>
      <c r="U27" s="230" t="e">
        <f t="shared" si="7"/>
        <v>#DIV/0!</v>
      </c>
      <c r="V27" s="150">
        <f t="shared" si="3"/>
        <v>-100</v>
      </c>
      <c r="W27" s="233" t="e">
        <f t="shared" si="3"/>
        <v>#DIV/0!</v>
      </c>
      <c r="X27" s="150"/>
      <c r="Y27" s="151" t="s">
        <v>100</v>
      </c>
    </row>
    <row r="28" spans="1:25" s="20" customFormat="1" ht="15">
      <c r="A28" s="21" t="s">
        <v>13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5"/>
      <c r="W28" s="75"/>
      <c r="X28" s="75"/>
      <c r="Y28" s="30" t="s">
        <v>14</v>
      </c>
    </row>
    <row r="29" spans="1:25" s="20" customFormat="1" ht="15">
      <c r="A29" s="21" t="s">
        <v>101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5"/>
      <c r="W29" s="75"/>
      <c r="X29" s="75"/>
      <c r="Y29" s="30" t="s">
        <v>102</v>
      </c>
    </row>
    <row r="30" spans="1:25" s="20" customFormat="1">
      <c r="A30" s="21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52"/>
      <c r="W30" s="152"/>
      <c r="X30" s="152"/>
    </row>
    <row r="31" spans="1:25" s="156" customFormat="1" ht="12.75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5"/>
      <c r="W31" s="155"/>
      <c r="X31" s="155"/>
    </row>
    <row r="32" spans="1:25" s="156" customFormat="1" ht="12.75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5"/>
      <c r="W32" s="155"/>
      <c r="X32" s="155"/>
    </row>
    <row r="33" spans="1:24" s="156" customFormat="1" ht="12.75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5"/>
      <c r="W33" s="155"/>
      <c r="X33" s="155"/>
    </row>
    <row r="34" spans="1:24" s="156" customFormat="1" ht="12.75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5"/>
      <c r="W34" s="155"/>
      <c r="X34" s="155"/>
    </row>
    <row r="35" spans="1:24" s="156" customFormat="1" ht="12.75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5"/>
      <c r="W35" s="155"/>
      <c r="X35" s="155"/>
    </row>
    <row r="36" spans="1:24" s="156" customFormat="1" ht="12.75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5"/>
      <c r="W36" s="155"/>
      <c r="X36" s="155"/>
    </row>
    <row r="37" spans="1:24" s="156" customFormat="1"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8"/>
      <c r="W37" s="158"/>
      <c r="X37" s="158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5" customWidth="1"/>
    <col min="2" max="11" width="8.85546875" style="24" hidden="1" customWidth="1"/>
    <col min="12" max="12" width="8.85546875" style="24"/>
    <col min="13" max="13" width="10.140625" style="24" customWidth="1"/>
    <col min="14" max="14" width="11.5703125" style="24" customWidth="1"/>
    <col min="15" max="19" width="8.85546875" style="24"/>
    <col min="20" max="21" width="10.28515625" style="24" customWidth="1"/>
    <col min="22" max="22" width="1.28515625" style="24" customWidth="1"/>
    <col min="23" max="24" width="12.5703125" style="24" customWidth="1"/>
    <col min="25" max="25" width="3.85546875" style="24" customWidth="1"/>
    <col min="26" max="26" width="42" style="15" customWidth="1"/>
    <col min="27" max="16384" width="8.85546875" style="15"/>
  </cols>
  <sheetData>
    <row r="1" spans="1:26" ht="19.5">
      <c r="A1" s="265" t="s">
        <v>200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spans="1:26">
      <c r="A2" s="282" t="s">
        <v>201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</row>
    <row r="3" spans="1:26" ht="14.25">
      <c r="A3" s="283" t="s">
        <v>15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</row>
    <row r="4" spans="1:26" s="16" customFormat="1">
      <c r="A4" s="268" t="s">
        <v>65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</row>
    <row r="5" spans="1:26" s="16" customFormat="1" ht="18.75">
      <c r="A5" s="184"/>
      <c r="B5" s="184"/>
      <c r="D5" s="79" t="s">
        <v>1</v>
      </c>
      <c r="E5" s="295" t="s">
        <v>5</v>
      </c>
      <c r="F5" s="295"/>
      <c r="G5" s="295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293" t="s">
        <v>103</v>
      </c>
      <c r="U5" s="294"/>
      <c r="V5" s="81"/>
      <c r="W5" s="296" t="s">
        <v>62</v>
      </c>
      <c r="X5" s="296"/>
      <c r="Y5" s="164"/>
    </row>
    <row r="6" spans="1:26" s="31" customFormat="1" ht="15">
      <c r="A6" s="82" t="s">
        <v>0</v>
      </c>
      <c r="D6" s="47" t="s">
        <v>104</v>
      </c>
      <c r="E6" s="83" t="s">
        <v>4</v>
      </c>
      <c r="F6" s="83" t="s">
        <v>4</v>
      </c>
      <c r="G6" s="83" t="s">
        <v>4</v>
      </c>
      <c r="H6" s="83"/>
      <c r="I6" s="83"/>
      <c r="J6" s="83"/>
      <c r="K6" s="83" t="s">
        <v>3</v>
      </c>
      <c r="L6" s="83" t="s">
        <v>3</v>
      </c>
      <c r="M6" s="83" t="s">
        <v>3</v>
      </c>
      <c r="N6" s="13" t="s">
        <v>3</v>
      </c>
      <c r="O6" s="192" t="s">
        <v>3</v>
      </c>
      <c r="P6" s="192" t="s">
        <v>205</v>
      </c>
      <c r="Q6" s="192" t="s">
        <v>186</v>
      </c>
      <c r="R6" s="192" t="s">
        <v>186</v>
      </c>
      <c r="S6" s="192" t="s">
        <v>186</v>
      </c>
      <c r="T6" s="291" t="s">
        <v>67</v>
      </c>
      <c r="U6" s="292"/>
      <c r="V6" s="161"/>
      <c r="W6" s="290" t="s">
        <v>20</v>
      </c>
      <c r="X6" s="290"/>
      <c r="Y6" s="165"/>
      <c r="Z6" s="178" t="s">
        <v>2</v>
      </c>
    </row>
    <row r="7" spans="1:26" s="87" customFormat="1">
      <c r="A7" s="84"/>
      <c r="B7" s="84">
        <v>2007</v>
      </c>
      <c r="C7" s="84">
        <v>2008</v>
      </c>
      <c r="D7" s="84">
        <v>2009</v>
      </c>
      <c r="E7" s="84">
        <v>2010</v>
      </c>
      <c r="F7" s="84">
        <v>2011</v>
      </c>
      <c r="G7" s="84">
        <v>2012</v>
      </c>
      <c r="H7" s="84">
        <v>2009</v>
      </c>
      <c r="I7" s="84">
        <v>2010</v>
      </c>
      <c r="J7" s="84">
        <v>2011</v>
      </c>
      <c r="K7" s="84">
        <v>2012</v>
      </c>
      <c r="L7" s="84">
        <v>2013</v>
      </c>
      <c r="M7" s="84">
        <v>2014</v>
      </c>
      <c r="N7" s="14">
        <v>2015</v>
      </c>
      <c r="O7" s="193">
        <v>2016</v>
      </c>
      <c r="P7" s="193">
        <v>2017</v>
      </c>
      <c r="Q7" s="193">
        <v>2018</v>
      </c>
      <c r="R7" s="193">
        <v>2019</v>
      </c>
      <c r="S7" s="193">
        <v>2020</v>
      </c>
      <c r="T7" s="235">
        <v>2016</v>
      </c>
      <c r="U7" s="248">
        <v>2017</v>
      </c>
      <c r="V7" s="84"/>
      <c r="W7" s="85" t="s">
        <v>185</v>
      </c>
      <c r="X7" s="254" t="s">
        <v>199</v>
      </c>
      <c r="Y7" s="86"/>
      <c r="Z7" s="86"/>
    </row>
    <row r="8" spans="1:26" s="19" customFormat="1" ht="18" customHeight="1">
      <c r="A8" s="33" t="s">
        <v>105</v>
      </c>
      <c r="B8" s="88">
        <f t="shared" ref="B8:O8" si="0">SUM(B9,B28)</f>
        <v>1640.8000000000002</v>
      </c>
      <c r="C8" s="88">
        <f t="shared" si="0"/>
        <v>2712.7999999999997</v>
      </c>
      <c r="D8" s="88">
        <f t="shared" si="0"/>
        <v>2938.9670029999997</v>
      </c>
      <c r="E8" s="88">
        <f t="shared" si="0"/>
        <v>1791.4</v>
      </c>
      <c r="F8" s="88">
        <f t="shared" si="0"/>
        <v>1261.8</v>
      </c>
      <c r="G8" s="88">
        <f t="shared" si="0"/>
        <v>1398.8000000000002</v>
      </c>
      <c r="H8" s="88">
        <f t="shared" si="0"/>
        <v>2214.6986589999997</v>
      </c>
      <c r="I8" s="88">
        <f t="shared" si="0"/>
        <v>2445.9177938999997</v>
      </c>
      <c r="J8" s="88">
        <f t="shared" si="0"/>
        <v>3188.9832150000002</v>
      </c>
      <c r="K8" s="88">
        <f t="shared" si="0"/>
        <v>2793.5176700000002</v>
      </c>
      <c r="L8" s="167">
        <f t="shared" si="0"/>
        <v>1957.5564169399997</v>
      </c>
      <c r="M8" s="167">
        <f t="shared" si="0"/>
        <v>2462.8850039999998</v>
      </c>
      <c r="N8" s="167">
        <f t="shared" si="0"/>
        <v>4658.3671360299995</v>
      </c>
      <c r="O8" s="245">
        <f t="shared" si="0"/>
        <v>0</v>
      </c>
      <c r="P8" s="245">
        <f t="shared" ref="P8" si="1">SUM(P9,P28)</f>
        <v>0</v>
      </c>
      <c r="Q8" s="245">
        <f t="shared" ref="Q8:R8" si="2">SUM(Q9,Q28)</f>
        <v>0</v>
      </c>
      <c r="R8" s="245">
        <f t="shared" si="2"/>
        <v>0</v>
      </c>
      <c r="S8" s="245">
        <f t="shared" ref="S8" si="3">SUM(S9,S28)</f>
        <v>0</v>
      </c>
      <c r="T8" s="236"/>
      <c r="U8" s="249"/>
      <c r="V8" s="89"/>
      <c r="W8" s="90">
        <f t="shared" ref="W8:X28" si="4">+((O8/N8)-1)*100</f>
        <v>-100</v>
      </c>
      <c r="X8" s="255" t="e">
        <f>+((P8/O8)-1)*100</f>
        <v>#DIV/0!</v>
      </c>
      <c r="Z8" s="36" t="s">
        <v>106</v>
      </c>
    </row>
    <row r="9" spans="1:26" s="19" customFormat="1" ht="18" customHeight="1">
      <c r="A9" s="33" t="s">
        <v>107</v>
      </c>
      <c r="B9" s="88">
        <f t="shared" ref="B9:O9" si="5">SUM(B10,B15,B21)</f>
        <v>1765.3000000000002</v>
      </c>
      <c r="C9" s="88">
        <f t="shared" si="5"/>
        <v>2879.2</v>
      </c>
      <c r="D9" s="88">
        <f t="shared" si="5"/>
        <v>3007.8670029999998</v>
      </c>
      <c r="E9" s="88">
        <f t="shared" si="5"/>
        <v>2038.9</v>
      </c>
      <c r="F9" s="88">
        <f t="shared" si="5"/>
        <v>1537</v>
      </c>
      <c r="G9" s="88">
        <f t="shared" si="5"/>
        <v>1645.0000000000002</v>
      </c>
      <c r="H9" s="88">
        <f t="shared" si="5"/>
        <v>2365.5349919999999</v>
      </c>
      <c r="I9" s="88">
        <f t="shared" si="5"/>
        <v>2627.2177938999998</v>
      </c>
      <c r="J9" s="88">
        <f t="shared" si="5"/>
        <v>3587.9832150000002</v>
      </c>
      <c r="K9" s="88">
        <f t="shared" si="5"/>
        <v>2883.7493060000002</v>
      </c>
      <c r="L9" s="167">
        <f t="shared" si="5"/>
        <v>2093.0414239399997</v>
      </c>
      <c r="M9" s="167">
        <f t="shared" si="5"/>
        <v>2585.0470539999997</v>
      </c>
      <c r="N9" s="167">
        <f t="shared" si="5"/>
        <v>4762.3853820299992</v>
      </c>
      <c r="O9" s="245">
        <f t="shared" si="5"/>
        <v>0</v>
      </c>
      <c r="P9" s="245">
        <f t="shared" ref="P9:Q9" si="6">SUM(P10,P15,P21)</f>
        <v>0</v>
      </c>
      <c r="Q9" s="245">
        <f t="shared" si="6"/>
        <v>0</v>
      </c>
      <c r="R9" s="245">
        <f t="shared" ref="R9:S9" si="7">SUM(R10,R15,R21)</f>
        <v>0</v>
      </c>
      <c r="S9" s="245">
        <f t="shared" si="7"/>
        <v>0</v>
      </c>
      <c r="T9" s="237" t="e">
        <f>+(O9/$O$9)*100</f>
        <v>#DIV/0!</v>
      </c>
      <c r="U9" s="250" t="e">
        <f>+(P9/$O$9)*100</f>
        <v>#DIV/0!</v>
      </c>
      <c r="V9" s="89"/>
      <c r="W9" s="90">
        <f t="shared" si="4"/>
        <v>-100</v>
      </c>
      <c r="X9" s="255" t="e">
        <f t="shared" si="4"/>
        <v>#DIV/0!</v>
      </c>
      <c r="Z9" s="36" t="s">
        <v>108</v>
      </c>
    </row>
    <row r="10" spans="1:26" s="19" customFormat="1" ht="18" customHeight="1">
      <c r="A10" s="33" t="s">
        <v>109</v>
      </c>
      <c r="B10" s="88">
        <f t="shared" ref="B10:O10" si="8">SUM(B11:B14)</f>
        <v>808.9</v>
      </c>
      <c r="C10" s="88">
        <f t="shared" si="8"/>
        <v>498.79999999999995</v>
      </c>
      <c r="D10" s="88">
        <f t="shared" si="8"/>
        <v>867.71007999999995</v>
      </c>
      <c r="E10" s="88">
        <f t="shared" si="8"/>
        <v>495.4</v>
      </c>
      <c r="F10" s="88">
        <f t="shared" si="8"/>
        <v>381.3</v>
      </c>
      <c r="G10" s="88">
        <f t="shared" si="8"/>
        <v>709.7</v>
      </c>
      <c r="H10" s="88">
        <f t="shared" si="8"/>
        <v>696.52141600000004</v>
      </c>
      <c r="I10" s="88">
        <f t="shared" si="8"/>
        <v>635.70163600000001</v>
      </c>
      <c r="J10" s="88">
        <f t="shared" si="8"/>
        <v>1285.636868</v>
      </c>
      <c r="K10" s="88">
        <f t="shared" si="8"/>
        <v>1139.8289990000001</v>
      </c>
      <c r="L10" s="167">
        <f t="shared" si="8"/>
        <v>462.58586595999998</v>
      </c>
      <c r="M10" s="167">
        <f t="shared" si="8"/>
        <v>679.01722999999993</v>
      </c>
      <c r="N10" s="167">
        <f t="shared" si="8"/>
        <v>2079.0821064299998</v>
      </c>
      <c r="O10" s="245">
        <f t="shared" si="8"/>
        <v>0</v>
      </c>
      <c r="P10" s="245">
        <f t="shared" ref="P10:Q10" si="9">SUM(P11:P14)</f>
        <v>0</v>
      </c>
      <c r="Q10" s="245">
        <f t="shared" si="9"/>
        <v>0</v>
      </c>
      <c r="R10" s="245">
        <f t="shared" ref="R10:S10" si="10">SUM(R11:R14)</f>
        <v>0</v>
      </c>
      <c r="S10" s="245">
        <f t="shared" si="10"/>
        <v>0</v>
      </c>
      <c r="T10" s="237" t="e">
        <f t="shared" ref="T10:U31" si="11">+(O10/$O$9)*100</f>
        <v>#DIV/0!</v>
      </c>
      <c r="U10" s="250" t="e">
        <f t="shared" si="11"/>
        <v>#DIV/0!</v>
      </c>
      <c r="V10" s="89"/>
      <c r="W10" s="90">
        <f t="shared" si="4"/>
        <v>-100</v>
      </c>
      <c r="X10" s="255" t="e">
        <f t="shared" si="4"/>
        <v>#DIV/0!</v>
      </c>
      <c r="Z10" s="36" t="s">
        <v>110</v>
      </c>
    </row>
    <row r="11" spans="1:26" s="20" customFormat="1" ht="18" customHeight="1">
      <c r="A11" s="37" t="s">
        <v>111</v>
      </c>
      <c r="B11" s="180">
        <v>465.50000000000006</v>
      </c>
      <c r="C11" s="91">
        <v>300.39999999999998</v>
      </c>
      <c r="D11" s="91">
        <v>659</v>
      </c>
      <c r="E11" s="91">
        <v>197</v>
      </c>
      <c r="F11" s="91">
        <v>230.9</v>
      </c>
      <c r="G11" s="91">
        <v>523.29999999999995</v>
      </c>
      <c r="H11" s="91">
        <v>557.45811400000002</v>
      </c>
      <c r="I11" s="91">
        <v>524.06922099999997</v>
      </c>
      <c r="J11" s="91">
        <v>923.85471400000006</v>
      </c>
      <c r="K11" s="91">
        <v>967.18460399999992</v>
      </c>
      <c r="L11" s="168">
        <v>254.18770169000001</v>
      </c>
      <c r="M11" s="168">
        <v>432.35995500000001</v>
      </c>
      <c r="N11" s="168">
        <v>1056.8424239999999</v>
      </c>
      <c r="O11" s="241"/>
      <c r="P11" s="241"/>
      <c r="Q11" s="241"/>
      <c r="R11" s="241"/>
      <c r="S11" s="241"/>
      <c r="T11" s="238" t="e">
        <f t="shared" si="11"/>
        <v>#DIV/0!</v>
      </c>
      <c r="U11" s="251" t="e">
        <f t="shared" si="11"/>
        <v>#DIV/0!</v>
      </c>
      <c r="V11" s="92"/>
      <c r="W11" s="93">
        <f t="shared" si="4"/>
        <v>-100</v>
      </c>
      <c r="X11" s="256" t="e">
        <f t="shared" si="4"/>
        <v>#DIV/0!</v>
      </c>
      <c r="Z11" s="30" t="s">
        <v>71</v>
      </c>
    </row>
    <row r="12" spans="1:26" s="20" customFormat="1" ht="18" customHeight="1">
      <c r="A12" s="37" t="s">
        <v>112</v>
      </c>
      <c r="B12" s="180">
        <v>71.099999999999994</v>
      </c>
      <c r="C12" s="91">
        <v>37.299999999999997</v>
      </c>
      <c r="D12" s="91">
        <v>41.634203999999997</v>
      </c>
      <c r="E12" s="91">
        <v>33</v>
      </c>
      <c r="F12" s="91">
        <v>26.7</v>
      </c>
      <c r="G12" s="91">
        <v>21.2</v>
      </c>
      <c r="H12" s="91">
        <v>39.637543000000001</v>
      </c>
      <c r="I12" s="91">
        <v>18.016133</v>
      </c>
      <c r="J12" s="91">
        <v>136.47622799999999</v>
      </c>
      <c r="K12" s="91">
        <v>12.031162</v>
      </c>
      <c r="L12" s="168">
        <v>2.399518</v>
      </c>
      <c r="M12" s="168">
        <v>88.919511</v>
      </c>
      <c r="N12" s="168">
        <v>172.01989833000002</v>
      </c>
      <c r="O12" s="241"/>
      <c r="P12" s="241"/>
      <c r="Q12" s="241"/>
      <c r="R12" s="241"/>
      <c r="S12" s="241"/>
      <c r="T12" s="238" t="e">
        <f t="shared" si="11"/>
        <v>#DIV/0!</v>
      </c>
      <c r="U12" s="251" t="e">
        <f t="shared" si="11"/>
        <v>#DIV/0!</v>
      </c>
      <c r="V12" s="92"/>
      <c r="W12" s="93">
        <f t="shared" si="4"/>
        <v>-100</v>
      </c>
      <c r="X12" s="256" t="e">
        <f t="shared" si="4"/>
        <v>#DIV/0!</v>
      </c>
      <c r="Z12" s="30" t="s">
        <v>73</v>
      </c>
    </row>
    <row r="13" spans="1:26" s="19" customFormat="1" ht="18" customHeight="1">
      <c r="A13" s="37" t="s">
        <v>113</v>
      </c>
      <c r="B13" s="91">
        <v>225.4</v>
      </c>
      <c r="C13" s="91">
        <v>149.1</v>
      </c>
      <c r="D13" s="91">
        <v>145.506271</v>
      </c>
      <c r="E13" s="91">
        <v>227.5</v>
      </c>
      <c r="F13" s="91">
        <v>86.3</v>
      </c>
      <c r="G13" s="91">
        <v>118</v>
      </c>
      <c r="H13" s="91">
        <v>73.816480999999996</v>
      </c>
      <c r="I13" s="91">
        <v>59.56033</v>
      </c>
      <c r="J13" s="91">
        <v>67.595481000000007</v>
      </c>
      <c r="K13" s="91">
        <v>55.118071999999998</v>
      </c>
      <c r="L13" s="168">
        <v>66.5179136</v>
      </c>
      <c r="M13" s="168">
        <v>105.52811699999999</v>
      </c>
      <c r="N13" s="168">
        <v>169.18427500000001</v>
      </c>
      <c r="O13" s="241"/>
      <c r="P13" s="241"/>
      <c r="Q13" s="241"/>
      <c r="R13" s="241"/>
      <c r="S13" s="241"/>
      <c r="T13" s="238" t="e">
        <f t="shared" si="11"/>
        <v>#DIV/0!</v>
      </c>
      <c r="U13" s="251" t="e">
        <f t="shared" si="11"/>
        <v>#DIV/0!</v>
      </c>
      <c r="V13" s="92"/>
      <c r="W13" s="93">
        <f t="shared" si="4"/>
        <v>-100</v>
      </c>
      <c r="X13" s="256" t="e">
        <f t="shared" si="4"/>
        <v>#DIV/0!</v>
      </c>
      <c r="Z13" s="30" t="s">
        <v>114</v>
      </c>
    </row>
    <row r="14" spans="1:26" s="20" customFormat="1" ht="18" customHeight="1">
      <c r="A14" s="37" t="s">
        <v>115</v>
      </c>
      <c r="B14" s="180">
        <v>46.9</v>
      </c>
      <c r="C14" s="91">
        <v>12</v>
      </c>
      <c r="D14" s="91">
        <v>21.569604999999999</v>
      </c>
      <c r="E14" s="91">
        <v>37.9</v>
      </c>
      <c r="F14" s="91">
        <v>37.4</v>
      </c>
      <c r="G14" s="91">
        <v>47.2</v>
      </c>
      <c r="H14" s="91">
        <v>25.609278</v>
      </c>
      <c r="I14" s="91">
        <v>34.055951999999998</v>
      </c>
      <c r="J14" s="91">
        <v>157.71044499999999</v>
      </c>
      <c r="K14" s="91">
        <v>105.495161</v>
      </c>
      <c r="L14" s="169">
        <v>139.48073266999998</v>
      </c>
      <c r="M14" s="169">
        <v>52.209646999999997</v>
      </c>
      <c r="N14" s="169">
        <v>681.03550910000001</v>
      </c>
      <c r="O14" s="242"/>
      <c r="P14" s="242"/>
      <c r="Q14" s="242"/>
      <c r="R14" s="242"/>
      <c r="S14" s="242"/>
      <c r="T14" s="238" t="e">
        <f t="shared" si="11"/>
        <v>#DIV/0!</v>
      </c>
      <c r="U14" s="251" t="e">
        <f t="shared" si="11"/>
        <v>#DIV/0!</v>
      </c>
      <c r="V14" s="92"/>
      <c r="W14" s="93">
        <f t="shared" si="4"/>
        <v>-100</v>
      </c>
      <c r="X14" s="256" t="e">
        <f t="shared" si="4"/>
        <v>#DIV/0!</v>
      </c>
      <c r="Z14" s="30" t="s">
        <v>77</v>
      </c>
    </row>
    <row r="15" spans="1:26" s="19" customFormat="1" ht="18" customHeight="1">
      <c r="A15" s="33" t="s">
        <v>116</v>
      </c>
      <c r="B15" s="88">
        <f>SUM(B16:B20)</f>
        <v>626.5</v>
      </c>
      <c r="C15" s="88">
        <f t="shared" ref="C15:P15" si="12">SUM(C16:C20)</f>
        <v>1443.3</v>
      </c>
      <c r="D15" s="88">
        <f t="shared" si="12"/>
        <v>849.36242600000003</v>
      </c>
      <c r="E15" s="88">
        <f t="shared" si="12"/>
        <v>896.5</v>
      </c>
      <c r="F15" s="88">
        <f t="shared" si="12"/>
        <v>834.6</v>
      </c>
      <c r="G15" s="88">
        <f t="shared" si="12"/>
        <v>734.1</v>
      </c>
      <c r="H15" s="88">
        <f t="shared" si="12"/>
        <v>1087.278699</v>
      </c>
      <c r="I15" s="88">
        <f t="shared" si="12"/>
        <v>1816.638207</v>
      </c>
      <c r="J15" s="88">
        <f t="shared" si="12"/>
        <v>1383.244537</v>
      </c>
      <c r="K15" s="88">
        <f t="shared" si="12"/>
        <v>1081.7647489999999</v>
      </c>
      <c r="L15" s="167">
        <f t="shared" si="12"/>
        <v>1108.2257616500001</v>
      </c>
      <c r="M15" s="167">
        <f t="shared" si="12"/>
        <v>1155.5744520000001</v>
      </c>
      <c r="N15" s="167">
        <f t="shared" si="12"/>
        <v>1812.3305333000001</v>
      </c>
      <c r="O15" s="245">
        <f t="shared" si="12"/>
        <v>0</v>
      </c>
      <c r="P15" s="245">
        <f t="shared" si="12"/>
        <v>0</v>
      </c>
      <c r="Q15" s="245">
        <f t="shared" ref="Q15:R15" si="13">SUM(Q16:Q20)</f>
        <v>0</v>
      </c>
      <c r="R15" s="245">
        <f t="shared" si="13"/>
        <v>0</v>
      </c>
      <c r="S15" s="245">
        <f t="shared" ref="S15" si="14">SUM(S16:S20)</f>
        <v>0</v>
      </c>
      <c r="T15" s="237" t="e">
        <f t="shared" si="11"/>
        <v>#DIV/0!</v>
      </c>
      <c r="U15" s="250" t="e">
        <f t="shared" si="11"/>
        <v>#DIV/0!</v>
      </c>
      <c r="V15" s="89"/>
      <c r="W15" s="90">
        <f t="shared" si="4"/>
        <v>-100</v>
      </c>
      <c r="X15" s="255" t="e">
        <f t="shared" si="4"/>
        <v>#DIV/0!</v>
      </c>
      <c r="Z15" s="36" t="s">
        <v>117</v>
      </c>
    </row>
    <row r="16" spans="1:26" s="20" customFormat="1" ht="18" customHeight="1">
      <c r="A16" s="37" t="s">
        <v>118</v>
      </c>
      <c r="B16" s="180">
        <v>164.4</v>
      </c>
      <c r="C16" s="91">
        <v>163.4</v>
      </c>
      <c r="D16" s="91">
        <v>108.19257</v>
      </c>
      <c r="E16" s="91">
        <v>68.400000000000006</v>
      </c>
      <c r="F16" s="91">
        <v>36.6</v>
      </c>
      <c r="G16" s="91">
        <v>29.5</v>
      </c>
      <c r="H16" s="91">
        <v>133.543679</v>
      </c>
      <c r="I16" s="91">
        <v>54.517771000000003</v>
      </c>
      <c r="J16" s="91">
        <v>95.493024000000005</v>
      </c>
      <c r="K16" s="91">
        <v>108.05040099999999</v>
      </c>
      <c r="L16" s="168">
        <v>74.973524780000005</v>
      </c>
      <c r="M16" s="168">
        <v>100.486884</v>
      </c>
      <c r="N16" s="168">
        <v>272.82640853000004</v>
      </c>
      <c r="O16" s="241"/>
      <c r="P16" s="241"/>
      <c r="Q16" s="241"/>
      <c r="R16" s="241"/>
      <c r="S16" s="241"/>
      <c r="T16" s="238" t="e">
        <f t="shared" si="11"/>
        <v>#DIV/0!</v>
      </c>
      <c r="U16" s="251" t="e">
        <f t="shared" si="11"/>
        <v>#DIV/0!</v>
      </c>
      <c r="V16" s="92"/>
      <c r="W16" s="93">
        <f t="shared" si="4"/>
        <v>-100</v>
      </c>
      <c r="X16" s="256" t="e">
        <f t="shared" si="4"/>
        <v>#DIV/0!</v>
      </c>
      <c r="Z16" s="30" t="s">
        <v>81</v>
      </c>
    </row>
    <row r="17" spans="1:26" s="19" customFormat="1" ht="18" customHeight="1">
      <c r="A17" s="37" t="s">
        <v>119</v>
      </c>
      <c r="B17" s="180">
        <v>99.9</v>
      </c>
      <c r="C17" s="91">
        <v>289.10000000000002</v>
      </c>
      <c r="D17" s="91">
        <v>46.711798999999999</v>
      </c>
      <c r="E17" s="91">
        <v>45.4</v>
      </c>
      <c r="F17" s="91">
        <v>27.2</v>
      </c>
      <c r="G17" s="91">
        <v>25.5</v>
      </c>
      <c r="H17" s="91">
        <v>68.366566000000006</v>
      </c>
      <c r="I17" s="91">
        <v>43.913061999999996</v>
      </c>
      <c r="J17" s="91">
        <v>11.563515000000001</v>
      </c>
      <c r="K17" s="91">
        <v>7.7340239999999998</v>
      </c>
      <c r="L17" s="168">
        <v>21.803670879999999</v>
      </c>
      <c r="M17" s="168">
        <v>142.83905899999999</v>
      </c>
      <c r="N17" s="168">
        <v>292.79733672000003</v>
      </c>
      <c r="O17" s="241"/>
      <c r="P17" s="241"/>
      <c r="Q17" s="241"/>
      <c r="R17" s="241"/>
      <c r="S17" s="241"/>
      <c r="T17" s="238" t="e">
        <f t="shared" si="11"/>
        <v>#DIV/0!</v>
      </c>
      <c r="U17" s="251" t="e">
        <f t="shared" si="11"/>
        <v>#DIV/0!</v>
      </c>
      <c r="V17" s="92"/>
      <c r="W17" s="93">
        <f t="shared" si="4"/>
        <v>-100</v>
      </c>
      <c r="X17" s="256" t="e">
        <f t="shared" si="4"/>
        <v>#DIV/0!</v>
      </c>
      <c r="Z17" s="30" t="s">
        <v>120</v>
      </c>
    </row>
    <row r="18" spans="1:26" s="19" customFormat="1" ht="18" customHeight="1">
      <c r="A18" s="37" t="s">
        <v>121</v>
      </c>
      <c r="B18" s="180">
        <v>4.0999999999999996</v>
      </c>
      <c r="C18" s="91">
        <v>2.2000000000000002</v>
      </c>
      <c r="D18" s="91">
        <v>0.68482100000000001</v>
      </c>
      <c r="E18" s="91">
        <v>8.4</v>
      </c>
      <c r="F18" s="91">
        <v>0.7</v>
      </c>
      <c r="G18" s="91">
        <v>1</v>
      </c>
      <c r="H18" s="91">
        <v>0.54541200000000001</v>
      </c>
      <c r="I18" s="91">
        <v>0.43177199999999999</v>
      </c>
      <c r="J18" s="91">
        <v>2.5820259999999999</v>
      </c>
      <c r="K18" s="91">
        <v>0.556778</v>
      </c>
      <c r="L18" s="168">
        <v>1.21422221</v>
      </c>
      <c r="M18" s="168">
        <v>1.0108220000000001</v>
      </c>
      <c r="N18" s="168">
        <v>9.9215180000000007</v>
      </c>
      <c r="O18" s="241"/>
      <c r="P18" s="241"/>
      <c r="Q18" s="241"/>
      <c r="R18" s="241"/>
      <c r="S18" s="241"/>
      <c r="T18" s="238" t="e">
        <f t="shared" si="11"/>
        <v>#DIV/0!</v>
      </c>
      <c r="U18" s="251" t="e">
        <f t="shared" si="11"/>
        <v>#DIV/0!</v>
      </c>
      <c r="V18" s="92"/>
      <c r="W18" s="93">
        <f t="shared" si="4"/>
        <v>-100</v>
      </c>
      <c r="X18" s="256" t="e">
        <f t="shared" si="4"/>
        <v>#DIV/0!</v>
      </c>
      <c r="Z18" s="30" t="s">
        <v>85</v>
      </c>
    </row>
    <row r="19" spans="1:26" s="20" customFormat="1" ht="18" customHeight="1">
      <c r="A19" s="37" t="s">
        <v>122</v>
      </c>
      <c r="B19" s="180">
        <v>358.1</v>
      </c>
      <c r="C19" s="91">
        <v>988.6</v>
      </c>
      <c r="D19" s="91">
        <v>693.773236</v>
      </c>
      <c r="E19" s="91">
        <v>774.3</v>
      </c>
      <c r="F19" s="91">
        <v>770.1</v>
      </c>
      <c r="G19" s="91">
        <v>678.1</v>
      </c>
      <c r="H19" s="91">
        <v>884.82304199999999</v>
      </c>
      <c r="I19" s="91">
        <v>1717.7756019999999</v>
      </c>
      <c r="J19" s="91">
        <v>1273.6059720000001</v>
      </c>
      <c r="K19" s="91">
        <v>965.42354599999999</v>
      </c>
      <c r="L19" s="169">
        <v>975.31386029999999</v>
      </c>
      <c r="M19" s="169">
        <v>768.75352099999998</v>
      </c>
      <c r="N19" s="169">
        <v>0</v>
      </c>
      <c r="O19" s="242"/>
      <c r="P19" s="242"/>
      <c r="Q19" s="242"/>
      <c r="R19" s="242"/>
      <c r="S19" s="242"/>
      <c r="T19" s="239">
        <v>0</v>
      </c>
      <c r="U19" s="252">
        <v>0</v>
      </c>
      <c r="V19" s="92"/>
      <c r="W19" s="190">
        <v>0</v>
      </c>
      <c r="X19" s="257">
        <v>0</v>
      </c>
      <c r="Z19" s="30" t="s">
        <v>123</v>
      </c>
    </row>
    <row r="20" spans="1:26" s="20" customFormat="1" ht="18" customHeight="1">
      <c r="A20" s="37" t="s">
        <v>149</v>
      </c>
      <c r="B20" s="180"/>
      <c r="C20" s="38">
        <v>0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169">
        <v>34.920483480000001</v>
      </c>
      <c r="M20" s="169">
        <v>142.48416599999999</v>
      </c>
      <c r="N20" s="169">
        <v>1236.78527005</v>
      </c>
      <c r="O20" s="242"/>
      <c r="P20" s="242"/>
      <c r="Q20" s="242"/>
      <c r="R20" s="242"/>
      <c r="S20" s="242"/>
      <c r="T20" s="238" t="e">
        <f t="shared" si="11"/>
        <v>#DIV/0!</v>
      </c>
      <c r="U20" s="251" t="e">
        <f t="shared" si="11"/>
        <v>#DIV/0!</v>
      </c>
      <c r="V20" s="92"/>
      <c r="W20" s="93">
        <f t="shared" si="4"/>
        <v>-100</v>
      </c>
      <c r="X20" s="256" t="e">
        <f t="shared" si="4"/>
        <v>#DIV/0!</v>
      </c>
      <c r="Z20" s="94" t="s">
        <v>178</v>
      </c>
    </row>
    <row r="21" spans="1:26" s="19" customFormat="1" ht="18" customHeight="1">
      <c r="A21" s="33" t="s">
        <v>88</v>
      </c>
      <c r="B21" s="34">
        <f t="shared" ref="B21:O21" si="15">SUM(B22:B27)</f>
        <v>329.9</v>
      </c>
      <c r="C21" s="34">
        <f t="shared" si="15"/>
        <v>937.10000000000014</v>
      </c>
      <c r="D21" s="34">
        <f t="shared" si="15"/>
        <v>1290.7944969999999</v>
      </c>
      <c r="E21" s="34">
        <f t="shared" si="15"/>
        <v>647</v>
      </c>
      <c r="F21" s="34">
        <f t="shared" si="15"/>
        <v>321.10000000000002</v>
      </c>
      <c r="G21" s="34">
        <f t="shared" si="15"/>
        <v>201.2</v>
      </c>
      <c r="H21" s="34">
        <f t="shared" si="15"/>
        <v>581.73487699999998</v>
      </c>
      <c r="I21" s="34">
        <f t="shared" si="15"/>
        <v>174.8779509</v>
      </c>
      <c r="J21" s="34">
        <f t="shared" si="15"/>
        <v>919.10181</v>
      </c>
      <c r="K21" s="34">
        <f t="shared" si="15"/>
        <v>662.15555800000004</v>
      </c>
      <c r="L21" s="170">
        <f t="shared" si="15"/>
        <v>522.22979633</v>
      </c>
      <c r="M21" s="170">
        <f t="shared" si="15"/>
        <v>750.4553719999999</v>
      </c>
      <c r="N21" s="170">
        <f t="shared" si="15"/>
        <v>870.97274229999994</v>
      </c>
      <c r="O21" s="246">
        <f t="shared" si="15"/>
        <v>0</v>
      </c>
      <c r="P21" s="246">
        <f t="shared" ref="P21:Q21" si="16">SUM(P22:P27)</f>
        <v>0</v>
      </c>
      <c r="Q21" s="246">
        <f t="shared" si="16"/>
        <v>0</v>
      </c>
      <c r="R21" s="246">
        <f t="shared" ref="R21:S21" si="17">SUM(R22:R27)</f>
        <v>0</v>
      </c>
      <c r="S21" s="246">
        <f t="shared" si="17"/>
        <v>0</v>
      </c>
      <c r="T21" s="237" t="e">
        <f t="shared" si="11"/>
        <v>#DIV/0!</v>
      </c>
      <c r="U21" s="250" t="e">
        <f t="shared" si="11"/>
        <v>#DIV/0!</v>
      </c>
      <c r="V21" s="89"/>
      <c r="W21" s="90">
        <f t="shared" si="4"/>
        <v>-100</v>
      </c>
      <c r="X21" s="255" t="e">
        <f t="shared" si="4"/>
        <v>#DIV/0!</v>
      </c>
      <c r="Z21" s="36" t="s">
        <v>45</v>
      </c>
    </row>
    <row r="22" spans="1:26" s="20" customFormat="1" ht="18" customHeight="1">
      <c r="A22" s="37" t="s">
        <v>124</v>
      </c>
      <c r="B22" s="180">
        <v>154.1</v>
      </c>
      <c r="C22" s="91">
        <v>129.69999999999999</v>
      </c>
      <c r="D22" s="91">
        <v>42.402295000000002</v>
      </c>
      <c r="E22" s="91">
        <v>60.5</v>
      </c>
      <c r="F22" s="91">
        <v>71.900000000000006</v>
      </c>
      <c r="G22" s="91">
        <v>64.2</v>
      </c>
      <c r="H22" s="91">
        <v>23.587022999999999</v>
      </c>
      <c r="I22" s="91">
        <v>37.776733</v>
      </c>
      <c r="J22" s="91">
        <v>33.651007999999997</v>
      </c>
      <c r="K22" s="91">
        <v>24.679010000000002</v>
      </c>
      <c r="L22" s="168">
        <v>7.6444678900000005</v>
      </c>
      <c r="M22" s="168">
        <v>16.246099999999998</v>
      </c>
      <c r="N22" s="168">
        <v>22.831656149999997</v>
      </c>
      <c r="O22" s="241"/>
      <c r="P22" s="241"/>
      <c r="Q22" s="241"/>
      <c r="R22" s="241"/>
      <c r="S22" s="241"/>
      <c r="T22" s="238" t="e">
        <f t="shared" si="11"/>
        <v>#DIV/0!</v>
      </c>
      <c r="U22" s="251" t="e">
        <f t="shared" si="11"/>
        <v>#DIV/0!</v>
      </c>
      <c r="V22" s="92"/>
      <c r="W22" s="93">
        <f t="shared" si="4"/>
        <v>-100</v>
      </c>
      <c r="X22" s="256" t="e">
        <f t="shared" si="4"/>
        <v>#DIV/0!</v>
      </c>
      <c r="Z22" s="30" t="s">
        <v>125</v>
      </c>
    </row>
    <row r="23" spans="1:26" s="20" customFormat="1" ht="18" customHeight="1">
      <c r="A23" s="37" t="s">
        <v>126</v>
      </c>
      <c r="B23" s="180">
        <v>74.7</v>
      </c>
      <c r="C23" s="91">
        <v>692.8</v>
      </c>
      <c r="D23" s="91">
        <v>318.28409399999998</v>
      </c>
      <c r="E23" s="91">
        <v>294.2</v>
      </c>
      <c r="F23" s="91">
        <v>118.6</v>
      </c>
      <c r="G23" s="91">
        <v>66.7</v>
      </c>
      <c r="H23" s="91">
        <v>10.808646</v>
      </c>
      <c r="I23" s="91">
        <v>38.970894999999999</v>
      </c>
      <c r="J23" s="91">
        <v>392.140671</v>
      </c>
      <c r="K23" s="91">
        <v>539.738832</v>
      </c>
      <c r="L23" s="168">
        <v>368.65407792000002</v>
      </c>
      <c r="M23" s="168">
        <v>579.69850299999996</v>
      </c>
      <c r="N23" s="168">
        <v>775.49623926999993</v>
      </c>
      <c r="O23" s="241"/>
      <c r="P23" s="241"/>
      <c r="Q23" s="241"/>
      <c r="R23" s="241"/>
      <c r="S23" s="241"/>
      <c r="T23" s="238" t="e">
        <f t="shared" si="11"/>
        <v>#DIV/0!</v>
      </c>
      <c r="U23" s="251" t="e">
        <f t="shared" si="11"/>
        <v>#DIV/0!</v>
      </c>
      <c r="V23" s="92"/>
      <c r="W23" s="93">
        <f t="shared" si="4"/>
        <v>-100</v>
      </c>
      <c r="X23" s="256" t="e">
        <f t="shared" si="4"/>
        <v>#DIV/0!</v>
      </c>
      <c r="Z23" s="30" t="s">
        <v>127</v>
      </c>
    </row>
    <row r="24" spans="1:26" s="20" customFormat="1" ht="18" customHeight="1">
      <c r="A24" s="37" t="s">
        <v>128</v>
      </c>
      <c r="B24" s="180">
        <v>72</v>
      </c>
      <c r="C24" s="91">
        <v>17.100000000000001</v>
      </c>
      <c r="D24" s="91">
        <v>26.934477000000001</v>
      </c>
      <c r="E24" s="91">
        <v>16.8</v>
      </c>
      <c r="F24" s="91">
        <v>7.5</v>
      </c>
      <c r="G24" s="91">
        <v>14</v>
      </c>
      <c r="H24" s="91">
        <v>32.757654000000002</v>
      </c>
      <c r="I24" s="91">
        <v>26.097563999999998</v>
      </c>
      <c r="J24" s="91">
        <v>39.440274000000002</v>
      </c>
      <c r="K24" s="91">
        <v>39.200918999999999</v>
      </c>
      <c r="L24" s="168">
        <v>5.0254116199999999</v>
      </c>
      <c r="M24" s="168">
        <v>42.439954</v>
      </c>
      <c r="N24" s="168">
        <v>20.908233500000001</v>
      </c>
      <c r="O24" s="241"/>
      <c r="P24" s="241"/>
      <c r="Q24" s="241"/>
      <c r="R24" s="241"/>
      <c r="S24" s="241"/>
      <c r="T24" s="238" t="e">
        <f t="shared" si="11"/>
        <v>#DIV/0!</v>
      </c>
      <c r="U24" s="251" t="e">
        <f t="shared" si="11"/>
        <v>#DIV/0!</v>
      </c>
      <c r="V24" s="92"/>
      <c r="W24" s="93">
        <f t="shared" si="4"/>
        <v>-100</v>
      </c>
      <c r="X24" s="256" t="e">
        <f t="shared" si="4"/>
        <v>#DIV/0!</v>
      </c>
      <c r="Z24" s="30" t="s">
        <v>129</v>
      </c>
    </row>
    <row r="25" spans="1:26" s="19" customFormat="1" ht="18" customHeight="1">
      <c r="A25" s="37" t="s">
        <v>130</v>
      </c>
      <c r="B25" s="180">
        <v>0.4</v>
      </c>
      <c r="C25" s="91">
        <v>13.2</v>
      </c>
      <c r="D25" s="91">
        <v>64.703819999999993</v>
      </c>
      <c r="E25" s="91">
        <v>0.5</v>
      </c>
      <c r="F25" s="91">
        <v>0.3</v>
      </c>
      <c r="G25" s="91">
        <v>0.4</v>
      </c>
      <c r="H25" s="91">
        <v>0.13069</v>
      </c>
      <c r="I25" s="91">
        <v>3.0217360000000002</v>
      </c>
      <c r="J25" s="91">
        <v>9.7469E-2</v>
      </c>
      <c r="K25" s="91">
        <v>0.167854</v>
      </c>
      <c r="L25" s="168">
        <v>7.0538000000000003E-2</v>
      </c>
      <c r="M25" s="168">
        <v>0.765787</v>
      </c>
      <c r="N25" s="168">
        <v>0.68068600000000001</v>
      </c>
      <c r="O25" s="241"/>
      <c r="P25" s="241"/>
      <c r="Q25" s="241"/>
      <c r="R25" s="241"/>
      <c r="S25" s="241"/>
      <c r="T25" s="238" t="e">
        <f t="shared" si="11"/>
        <v>#DIV/0!</v>
      </c>
      <c r="U25" s="251" t="e">
        <f t="shared" si="11"/>
        <v>#DIV/0!</v>
      </c>
      <c r="V25" s="92"/>
      <c r="W25" s="93">
        <f t="shared" si="4"/>
        <v>-100</v>
      </c>
      <c r="X25" s="256" t="e">
        <f t="shared" si="4"/>
        <v>#DIV/0!</v>
      </c>
      <c r="Z25" s="30" t="s">
        <v>131</v>
      </c>
    </row>
    <row r="26" spans="1:26" s="19" customFormat="1" ht="18" customHeight="1">
      <c r="A26" s="37" t="s">
        <v>132</v>
      </c>
      <c r="B26" s="180">
        <v>24.5</v>
      </c>
      <c r="C26" s="91">
        <v>72.099999999999994</v>
      </c>
      <c r="D26" s="91">
        <v>604.09765100000004</v>
      </c>
      <c r="E26" s="91">
        <v>178</v>
      </c>
      <c r="F26" s="91">
        <v>26.2</v>
      </c>
      <c r="G26" s="91">
        <v>0.6</v>
      </c>
      <c r="H26" s="91">
        <v>488.44098200000002</v>
      </c>
      <c r="I26" s="91">
        <v>37.947304900000006</v>
      </c>
      <c r="J26" s="91">
        <v>63.553004999999999</v>
      </c>
      <c r="K26" s="91">
        <v>38.882137</v>
      </c>
      <c r="L26" s="169">
        <v>27.925922</v>
      </c>
      <c r="M26" s="169">
        <v>20.208456999999999</v>
      </c>
      <c r="N26" s="169">
        <v>38.739479549999999</v>
      </c>
      <c r="O26" s="242"/>
      <c r="P26" s="242"/>
      <c r="Q26" s="242"/>
      <c r="R26" s="242"/>
      <c r="S26" s="242"/>
      <c r="T26" s="238" t="e">
        <f t="shared" si="11"/>
        <v>#DIV/0!</v>
      </c>
      <c r="U26" s="251" t="e">
        <f t="shared" si="11"/>
        <v>#DIV/0!</v>
      </c>
      <c r="V26" s="92"/>
      <c r="W26" s="93">
        <f t="shared" si="4"/>
        <v>-100</v>
      </c>
      <c r="X26" s="256" t="e">
        <f t="shared" si="4"/>
        <v>#DIV/0!</v>
      </c>
      <c r="Z26" s="30" t="s">
        <v>133</v>
      </c>
    </row>
    <row r="27" spans="1:26" s="19" customFormat="1" ht="18" customHeight="1">
      <c r="A27" s="37" t="s">
        <v>134</v>
      </c>
      <c r="B27" s="180">
        <v>4.2</v>
      </c>
      <c r="C27" s="91">
        <v>12.2</v>
      </c>
      <c r="D27" s="91">
        <v>234.37216000000001</v>
      </c>
      <c r="E27" s="91">
        <v>97</v>
      </c>
      <c r="F27" s="91">
        <v>96.6</v>
      </c>
      <c r="G27" s="91">
        <v>55.3</v>
      </c>
      <c r="H27" s="91">
        <v>26.009882000000001</v>
      </c>
      <c r="I27" s="91">
        <v>31.063718000000001</v>
      </c>
      <c r="J27" s="91">
        <v>390.21938299999999</v>
      </c>
      <c r="K27" s="91">
        <v>19.486806000000001</v>
      </c>
      <c r="L27" s="169">
        <v>112.90937890000001</v>
      </c>
      <c r="M27" s="169">
        <v>91.096570999999997</v>
      </c>
      <c r="N27" s="169">
        <v>12.31644783</v>
      </c>
      <c r="O27" s="242"/>
      <c r="P27" s="242"/>
      <c r="Q27" s="242"/>
      <c r="R27" s="242"/>
      <c r="S27" s="242"/>
      <c r="T27" s="238" t="e">
        <f t="shared" si="11"/>
        <v>#DIV/0!</v>
      </c>
      <c r="U27" s="251" t="e">
        <f t="shared" si="11"/>
        <v>#DIV/0!</v>
      </c>
      <c r="V27" s="92"/>
      <c r="W27" s="93">
        <f t="shared" si="4"/>
        <v>-100</v>
      </c>
      <c r="X27" s="256" t="e">
        <f t="shared" si="4"/>
        <v>#DIV/0!</v>
      </c>
      <c r="Z27" s="30" t="s">
        <v>135</v>
      </c>
    </row>
    <row r="28" spans="1:26" s="19" customFormat="1" ht="18" customHeight="1">
      <c r="A28" s="33" t="s">
        <v>136</v>
      </c>
      <c r="B28" s="35">
        <v>-124.5</v>
      </c>
      <c r="C28" s="88">
        <v>-166.4</v>
      </c>
      <c r="D28" s="88">
        <v>-68.900000000000006</v>
      </c>
      <c r="E28" s="88">
        <v>-247.5</v>
      </c>
      <c r="F28" s="88">
        <v>-275.2</v>
      </c>
      <c r="G28" s="88">
        <v>-246.2</v>
      </c>
      <c r="H28" s="88">
        <v>-150.836333</v>
      </c>
      <c r="I28" s="88">
        <v>-181.3</v>
      </c>
      <c r="J28" s="88">
        <v>-399</v>
      </c>
      <c r="K28" s="88">
        <v>-90.231635999999995</v>
      </c>
      <c r="L28" s="167">
        <v>-135.485007</v>
      </c>
      <c r="M28" s="167">
        <v>-122.16204999999999</v>
      </c>
      <c r="N28" s="167">
        <v>-104.018246</v>
      </c>
      <c r="O28" s="245"/>
      <c r="P28" s="245"/>
      <c r="Q28" s="245"/>
      <c r="R28" s="245"/>
      <c r="S28" s="245"/>
      <c r="T28" s="237" t="e">
        <f t="shared" si="11"/>
        <v>#DIV/0!</v>
      </c>
      <c r="U28" s="250" t="e">
        <f t="shared" si="11"/>
        <v>#DIV/0!</v>
      </c>
      <c r="V28" s="38"/>
      <c r="W28" s="90">
        <f t="shared" si="4"/>
        <v>-100</v>
      </c>
      <c r="X28" s="255" t="e">
        <f t="shared" si="4"/>
        <v>#DIV/0!</v>
      </c>
      <c r="Z28" s="36" t="s">
        <v>137</v>
      </c>
    </row>
    <row r="29" spans="1:26" s="20" customFormat="1" ht="18" customHeight="1">
      <c r="A29" s="37" t="s">
        <v>138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171"/>
      <c r="M29" s="171"/>
      <c r="N29" s="171"/>
      <c r="O29" s="247"/>
      <c r="P29" s="247"/>
      <c r="Q29" s="247"/>
      <c r="R29" s="247"/>
      <c r="S29" s="247"/>
      <c r="T29" s="238"/>
      <c r="U29" s="251"/>
      <c r="V29" s="40"/>
      <c r="W29" s="93"/>
      <c r="X29" s="256"/>
      <c r="Y29" s="25"/>
      <c r="Z29" s="30" t="s">
        <v>17</v>
      </c>
    </row>
    <row r="30" spans="1:26" s="20" customFormat="1" ht="18" customHeight="1">
      <c r="A30" s="37" t="s">
        <v>139</v>
      </c>
      <c r="B30" s="96">
        <v>1007.8</v>
      </c>
      <c r="C30" s="97">
        <v>1137.6071899999999</v>
      </c>
      <c r="D30" s="97">
        <v>1774.5</v>
      </c>
      <c r="E30" s="97">
        <v>1441</v>
      </c>
      <c r="F30" s="97">
        <v>1100.8999999999999</v>
      </c>
      <c r="G30" s="97">
        <v>737.1</v>
      </c>
      <c r="H30" s="97">
        <v>778.8</v>
      </c>
      <c r="I30" s="97">
        <v>1283</v>
      </c>
      <c r="J30" s="97">
        <v>916.69999999999993</v>
      </c>
      <c r="K30" s="97">
        <v>1145.9000000000001</v>
      </c>
      <c r="L30" s="172">
        <v>1187.19235</v>
      </c>
      <c r="M30" s="172">
        <v>188.39416600000001</v>
      </c>
      <c r="N30" s="172">
        <v>648.39113899999995</v>
      </c>
      <c r="O30" s="243"/>
      <c r="P30" s="243"/>
      <c r="Q30" s="243"/>
      <c r="R30" s="243"/>
      <c r="S30" s="243"/>
      <c r="T30" s="238" t="e">
        <f t="shared" si="11"/>
        <v>#DIV/0!</v>
      </c>
      <c r="U30" s="251" t="e">
        <f t="shared" si="11"/>
        <v>#DIV/0!</v>
      </c>
      <c r="V30" s="38"/>
      <c r="W30" s="93">
        <f>+((O30/N30)-1)*100</f>
        <v>-100</v>
      </c>
      <c r="X30" s="256" t="e">
        <f>+((P30/O30)-1)*100</f>
        <v>#DIV/0!</v>
      </c>
      <c r="Y30" s="25"/>
      <c r="Z30" s="98" t="s">
        <v>140</v>
      </c>
    </row>
    <row r="31" spans="1:26" s="20" customFormat="1" ht="18" customHeight="1">
      <c r="A31" s="27" t="s">
        <v>141</v>
      </c>
      <c r="B31" s="99">
        <v>392.7</v>
      </c>
      <c r="C31" s="99">
        <v>390.3</v>
      </c>
      <c r="D31" s="99">
        <v>-993.3</v>
      </c>
      <c r="E31" s="99">
        <v>-1332</v>
      </c>
      <c r="F31" s="99">
        <v>-1393</v>
      </c>
      <c r="G31" s="99">
        <v>-668.6</v>
      </c>
      <c r="H31" s="99">
        <v>584.5</v>
      </c>
      <c r="I31" s="99">
        <v>877.1</v>
      </c>
      <c r="J31" s="99">
        <v>987.6</v>
      </c>
      <c r="K31" s="99">
        <v>1806.07971</v>
      </c>
      <c r="L31" s="173">
        <v>1632.2075219999999</v>
      </c>
      <c r="M31" s="173">
        <v>1413.2714820000001</v>
      </c>
      <c r="N31" s="173">
        <v>1171.8811539999999</v>
      </c>
      <c r="O31" s="244"/>
      <c r="P31" s="244"/>
      <c r="Q31" s="244"/>
      <c r="R31" s="244"/>
      <c r="S31" s="244"/>
      <c r="T31" s="240" t="e">
        <f t="shared" si="11"/>
        <v>#DIV/0!</v>
      </c>
      <c r="U31" s="253" t="e">
        <f t="shared" si="11"/>
        <v>#DIV/0!</v>
      </c>
      <c r="V31" s="28"/>
      <c r="W31" s="166">
        <f>+((O31/N31)-1)*100</f>
        <v>-100</v>
      </c>
      <c r="X31" s="258" t="e">
        <f>+((P31/O31)-1)*100</f>
        <v>#DIV/0!</v>
      </c>
      <c r="Y31" s="162"/>
      <c r="Z31" s="29" t="s">
        <v>142</v>
      </c>
    </row>
    <row r="32" spans="1:26" s="20" customFormat="1" ht="15">
      <c r="A32" s="21" t="s">
        <v>143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30" t="s">
        <v>144</v>
      </c>
    </row>
    <row r="33" spans="1:26" s="20" customFormat="1" ht="15">
      <c r="A33" s="21" t="s">
        <v>13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30" t="s">
        <v>14</v>
      </c>
    </row>
    <row r="34" spans="1:26" s="20" customFormat="1" ht="12">
      <c r="A34" s="22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</row>
    <row r="35" spans="1:26">
      <c r="T35" s="23"/>
      <c r="U35" s="23"/>
      <c r="V35" s="23"/>
      <c r="W35" s="23"/>
      <c r="X35" s="23"/>
      <c r="Y35" s="23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70"/>
  <sheetViews>
    <sheetView tabSelected="1" zoomScale="106" zoomScaleNormal="106" workbookViewId="0">
      <selection activeCell="AL33" sqref="AL33"/>
    </sheetView>
  </sheetViews>
  <sheetFormatPr defaultColWidth="2" defaultRowHeight="12.75"/>
  <cols>
    <col min="1" max="1" width="28.85546875" style="101" customWidth="1"/>
    <col min="2" max="5" width="6.5703125" style="101" bestFit="1" customWidth="1"/>
    <col min="6" max="6" width="8" style="112" bestFit="1" customWidth="1"/>
    <col min="7" max="9" width="8" style="101" bestFit="1" customWidth="1"/>
    <col min="10" max="11" width="6.5703125" style="101" bestFit="1" customWidth="1"/>
    <col min="12" max="16" width="8" style="101" bestFit="1" customWidth="1"/>
    <col min="17" max="16384" width="2" style="101"/>
  </cols>
  <sheetData>
    <row r="1" spans="1:16" ht="21">
      <c r="A1" s="300" t="s">
        <v>203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</row>
    <row r="2" spans="1:16" s="102" customFormat="1" ht="15">
      <c r="A2" s="299" t="s">
        <v>202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</row>
    <row r="3" spans="1:16" s="102" customFormat="1">
      <c r="A3" s="264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</row>
    <row r="4" spans="1:16" s="102" customFormat="1">
      <c r="A4" s="297" t="s">
        <v>0</v>
      </c>
      <c r="B4" s="113"/>
      <c r="C4" s="113"/>
      <c r="D4" s="104"/>
      <c r="E4" s="104"/>
      <c r="F4" s="103"/>
      <c r="G4" s="104" t="s">
        <v>6</v>
      </c>
      <c r="H4" s="104" t="s">
        <v>6</v>
      </c>
      <c r="I4" s="104" t="s">
        <v>6</v>
      </c>
      <c r="J4" s="104" t="s">
        <v>3</v>
      </c>
      <c r="K4" s="191" t="s">
        <v>3</v>
      </c>
      <c r="L4" s="191" t="s">
        <v>3</v>
      </c>
      <c r="M4" s="191" t="s">
        <v>205</v>
      </c>
      <c r="N4" s="191" t="s">
        <v>186</v>
      </c>
      <c r="O4" s="191" t="s">
        <v>186</v>
      </c>
      <c r="P4" s="191" t="s">
        <v>186</v>
      </c>
    </row>
    <row r="5" spans="1:16" s="106" customFormat="1" ht="15">
      <c r="A5" s="298"/>
      <c r="B5" s="105">
        <v>2006</v>
      </c>
      <c r="C5" s="105">
        <v>2007</v>
      </c>
      <c r="D5" s="105">
        <v>2008</v>
      </c>
      <c r="E5" s="105">
        <v>2009</v>
      </c>
      <c r="F5" s="105">
        <v>2010</v>
      </c>
      <c r="G5" s="105">
        <v>2011</v>
      </c>
      <c r="H5" s="105">
        <v>2012</v>
      </c>
      <c r="I5" s="105">
        <v>2013</v>
      </c>
      <c r="J5" s="105">
        <v>2014</v>
      </c>
      <c r="K5" s="14">
        <v>2015</v>
      </c>
      <c r="L5" s="14" t="s">
        <v>208</v>
      </c>
      <c r="M5" s="14">
        <v>2017</v>
      </c>
      <c r="N5" s="14">
        <v>2018</v>
      </c>
      <c r="O5" s="14">
        <v>2019</v>
      </c>
      <c r="P5" s="14">
        <v>2020</v>
      </c>
    </row>
    <row r="6" spans="1:16" s="102" customFormat="1">
      <c r="A6" s="114" t="s">
        <v>154</v>
      </c>
      <c r="B6" s="115">
        <f t="shared" ref="B6:K6" si="0">B8+B15</f>
        <v>806.09999999999991</v>
      </c>
      <c r="C6" s="115">
        <f t="shared" si="0"/>
        <v>816.49044500000002</v>
      </c>
      <c r="D6" s="115">
        <f t="shared" si="0"/>
        <v>755.10795499999995</v>
      </c>
      <c r="E6" s="115">
        <f t="shared" si="0"/>
        <v>778.84185600000001</v>
      </c>
      <c r="F6" s="115">
        <f t="shared" si="0"/>
        <v>1283.0210480000001</v>
      </c>
      <c r="G6" s="115">
        <f t="shared" si="0"/>
        <v>1398.4178940000002</v>
      </c>
      <c r="H6" s="115">
        <f t="shared" si="0"/>
        <v>1145.8582073000002</v>
      </c>
      <c r="I6" s="115">
        <f t="shared" si="0"/>
        <v>1187.1923499999998</v>
      </c>
      <c r="J6" s="115">
        <f t="shared" si="0"/>
        <v>188.39416599999998</v>
      </c>
      <c r="K6" s="115">
        <f t="shared" si="0"/>
        <v>648.38820088</v>
      </c>
      <c r="L6" s="115">
        <v>2847.9303870199997</v>
      </c>
      <c r="M6" s="115">
        <v>2444.2880210000003</v>
      </c>
      <c r="N6" s="115">
        <v>2867.8265730000003</v>
      </c>
      <c r="O6" s="115">
        <v>4458.9783090000001</v>
      </c>
      <c r="P6" s="115">
        <v>5259.2561619999997</v>
      </c>
    </row>
    <row r="7" spans="1:16" s="102" customFormat="1" ht="6" customHeight="1">
      <c r="A7" s="116"/>
      <c r="B7" s="117"/>
      <c r="C7" s="117"/>
      <c r="D7" s="118"/>
      <c r="E7" s="107"/>
      <c r="F7" s="108"/>
      <c r="G7" s="108"/>
      <c r="H7" s="117"/>
      <c r="I7" s="117"/>
      <c r="J7" s="117"/>
      <c r="K7" s="117"/>
      <c r="L7" s="117"/>
      <c r="M7" s="117"/>
      <c r="N7" s="117"/>
      <c r="O7" s="117"/>
      <c r="P7" s="117"/>
    </row>
    <row r="8" spans="1:16" s="102" customFormat="1">
      <c r="A8" s="114" t="s">
        <v>155</v>
      </c>
      <c r="B8" s="115">
        <f t="shared" ref="B8:K8" si="1">SUM(B9:B14)</f>
        <v>120.4</v>
      </c>
      <c r="C8" s="115">
        <f t="shared" si="1"/>
        <v>24.2</v>
      </c>
      <c r="D8" s="115">
        <f t="shared" si="1"/>
        <v>28.072474</v>
      </c>
      <c r="E8" s="115">
        <f t="shared" si="1"/>
        <v>531.19676100000004</v>
      </c>
      <c r="F8" s="115">
        <f t="shared" si="1"/>
        <v>350.87172900000002</v>
      </c>
      <c r="G8" s="115">
        <f t="shared" si="1"/>
        <v>272.73269500000004</v>
      </c>
      <c r="H8" s="115">
        <f t="shared" si="1"/>
        <v>257.65936199999999</v>
      </c>
      <c r="I8" s="115">
        <f t="shared" si="1"/>
        <v>59.122427999999999</v>
      </c>
      <c r="J8" s="115">
        <f t="shared" si="1"/>
        <v>35.200921999999998</v>
      </c>
      <c r="K8" s="115">
        <f t="shared" si="1"/>
        <v>11.3955135</v>
      </c>
      <c r="L8" s="115">
        <v>22.5097825</v>
      </c>
      <c r="M8" s="115">
        <v>458.25884660000003</v>
      </c>
      <c r="N8" s="115">
        <v>748.87232699999993</v>
      </c>
      <c r="O8" s="115">
        <v>1629.4377870000001</v>
      </c>
      <c r="P8" s="115">
        <v>1886.419729</v>
      </c>
    </row>
    <row r="9" spans="1:16" s="102" customFormat="1">
      <c r="A9" s="116" t="s">
        <v>156</v>
      </c>
      <c r="B9" s="117">
        <v>77.900000000000006</v>
      </c>
      <c r="C9" s="117">
        <v>11.6</v>
      </c>
      <c r="D9" s="117">
        <v>1.8260099999999999</v>
      </c>
      <c r="E9" s="117">
        <v>40.133375999999998</v>
      </c>
      <c r="F9" s="117">
        <v>22.482177</v>
      </c>
      <c r="G9" s="117">
        <v>181.95449300000001</v>
      </c>
      <c r="H9" s="117">
        <v>153.78399200000001</v>
      </c>
      <c r="I9" s="117">
        <v>37.905923999999999</v>
      </c>
      <c r="J9" s="117">
        <v>25.450016999999999</v>
      </c>
      <c r="K9" s="117" t="s">
        <v>152</v>
      </c>
      <c r="L9" s="117">
        <v>0</v>
      </c>
      <c r="M9" s="117">
        <v>341.53113100000002</v>
      </c>
      <c r="N9" s="117">
        <v>506.540976</v>
      </c>
      <c r="O9" s="117">
        <v>1045.1492920000001</v>
      </c>
      <c r="P9" s="117">
        <v>1249.1353349999999</v>
      </c>
    </row>
    <row r="10" spans="1:16" s="102" customFormat="1">
      <c r="A10" s="116" t="s">
        <v>150</v>
      </c>
      <c r="B10" s="117">
        <v>42.5</v>
      </c>
      <c r="C10" s="117">
        <v>12.6</v>
      </c>
      <c r="D10" s="117">
        <v>4.2685310000000003</v>
      </c>
      <c r="E10" s="117">
        <v>4.1224829999999999</v>
      </c>
      <c r="F10" s="117">
        <v>65.438177999999994</v>
      </c>
      <c r="G10" s="117">
        <v>41.59984</v>
      </c>
      <c r="H10" s="117">
        <v>9.1164190000000005</v>
      </c>
      <c r="I10" s="110" t="s">
        <v>152</v>
      </c>
      <c r="J10" s="110" t="s">
        <v>152</v>
      </c>
      <c r="K10" s="117" t="s">
        <v>152</v>
      </c>
      <c r="L10" s="117">
        <v>22.5097825</v>
      </c>
      <c r="M10" s="117">
        <v>105.6205636</v>
      </c>
      <c r="N10" s="117">
        <v>151.34741099999999</v>
      </c>
      <c r="O10" s="117">
        <v>334.47657499999997</v>
      </c>
      <c r="P10" s="117">
        <v>342.90609999999998</v>
      </c>
    </row>
    <row r="11" spans="1:16" s="102" customFormat="1" ht="15">
      <c r="A11" s="116" t="s">
        <v>151</v>
      </c>
      <c r="B11" s="109" t="s">
        <v>152</v>
      </c>
      <c r="C11" s="109" t="s">
        <v>152</v>
      </c>
      <c r="D11" s="117">
        <v>21.977933</v>
      </c>
      <c r="E11" s="117">
        <v>73.282560000000004</v>
      </c>
      <c r="F11" s="117">
        <v>249.074994</v>
      </c>
      <c r="G11" s="117">
        <v>32.668301999999997</v>
      </c>
      <c r="H11" s="117">
        <v>7.1360210000000004</v>
      </c>
      <c r="I11" s="110" t="s">
        <v>152</v>
      </c>
      <c r="J11" s="110" t="s">
        <v>152</v>
      </c>
      <c r="K11" s="110" t="s">
        <v>152</v>
      </c>
      <c r="L11" s="110">
        <v>0</v>
      </c>
      <c r="M11" s="110">
        <v>0</v>
      </c>
      <c r="N11" s="110">
        <v>0</v>
      </c>
      <c r="O11" s="110">
        <v>0</v>
      </c>
      <c r="P11" s="110">
        <v>0</v>
      </c>
    </row>
    <row r="12" spans="1:16" s="102" customFormat="1" ht="15">
      <c r="A12" s="116" t="s">
        <v>157</v>
      </c>
      <c r="B12" s="109" t="s">
        <v>152</v>
      </c>
      <c r="C12" s="109" t="s">
        <v>152</v>
      </c>
      <c r="D12" s="109" t="s">
        <v>152</v>
      </c>
      <c r="E12" s="109" t="s">
        <v>152</v>
      </c>
      <c r="F12" s="117">
        <v>13.876379999999999</v>
      </c>
      <c r="G12" s="117">
        <v>16.510059999999999</v>
      </c>
      <c r="H12" s="117">
        <v>87.622929999999997</v>
      </c>
      <c r="I12" s="117">
        <v>21.216504</v>
      </c>
      <c r="J12" s="117">
        <v>9.7509049999999995</v>
      </c>
      <c r="K12" s="117">
        <v>11.3955135</v>
      </c>
      <c r="L12" s="110">
        <v>0</v>
      </c>
      <c r="M12" s="117">
        <v>11.107151999999999</v>
      </c>
      <c r="N12" s="117">
        <v>90.98393999999999</v>
      </c>
      <c r="O12" s="117">
        <v>249.81192000000001</v>
      </c>
      <c r="P12" s="117">
        <v>294.37829400000004</v>
      </c>
    </row>
    <row r="13" spans="1:16" s="102" customFormat="1" ht="15">
      <c r="A13" s="116" t="s">
        <v>182</v>
      </c>
      <c r="B13" s="109"/>
      <c r="C13" s="109"/>
      <c r="D13" s="109"/>
      <c r="E13" s="109"/>
      <c r="F13" s="117"/>
      <c r="G13" s="117"/>
      <c r="H13" s="117"/>
      <c r="I13" s="117" t="s">
        <v>152</v>
      </c>
      <c r="J13" s="117" t="s">
        <v>152</v>
      </c>
      <c r="K13" s="117" t="s">
        <v>152</v>
      </c>
      <c r="L13" s="110">
        <v>0</v>
      </c>
      <c r="M13" s="110">
        <v>0</v>
      </c>
      <c r="N13" s="110">
        <v>0</v>
      </c>
      <c r="O13" s="110">
        <v>0</v>
      </c>
      <c r="P13" s="117">
        <v>0</v>
      </c>
    </row>
    <row r="14" spans="1:16" s="102" customFormat="1" ht="15">
      <c r="A14" s="116" t="s">
        <v>158</v>
      </c>
      <c r="B14" s="109" t="s">
        <v>152</v>
      </c>
      <c r="C14" s="109" t="s">
        <v>152</v>
      </c>
      <c r="D14" s="109" t="s">
        <v>152</v>
      </c>
      <c r="E14" s="117">
        <v>413.658342</v>
      </c>
      <c r="F14" s="109" t="s">
        <v>152</v>
      </c>
      <c r="G14" s="109" t="s">
        <v>152</v>
      </c>
      <c r="H14" s="109" t="s">
        <v>152</v>
      </c>
      <c r="I14" s="117" t="s">
        <v>152</v>
      </c>
      <c r="J14" s="117" t="s">
        <v>152</v>
      </c>
      <c r="K14" s="117" t="s">
        <v>152</v>
      </c>
      <c r="L14" s="110">
        <v>0</v>
      </c>
      <c r="M14" s="110">
        <v>0</v>
      </c>
      <c r="N14" s="110">
        <v>0</v>
      </c>
      <c r="O14" s="110">
        <v>0</v>
      </c>
      <c r="P14" s="117">
        <v>0</v>
      </c>
    </row>
    <row r="15" spans="1:16" s="102" customFormat="1">
      <c r="A15" s="114" t="s">
        <v>159</v>
      </c>
      <c r="B15" s="115">
        <f t="shared" ref="B15:I15" si="2">SUM(B16:B35)</f>
        <v>685.69999999999993</v>
      </c>
      <c r="C15" s="115">
        <f t="shared" si="2"/>
        <v>792.29044499999998</v>
      </c>
      <c r="D15" s="115">
        <f t="shared" si="2"/>
        <v>727.035481</v>
      </c>
      <c r="E15" s="115">
        <f t="shared" si="2"/>
        <v>247.64509500000003</v>
      </c>
      <c r="F15" s="115">
        <f t="shared" si="2"/>
        <v>932.14931899999999</v>
      </c>
      <c r="G15" s="115">
        <f t="shared" si="2"/>
        <v>1125.685199</v>
      </c>
      <c r="H15" s="115">
        <f t="shared" si="2"/>
        <v>888.19884530000013</v>
      </c>
      <c r="I15" s="115">
        <f t="shared" si="2"/>
        <v>1128.0699219999999</v>
      </c>
      <c r="J15" s="115">
        <f>SUM(J16:J37)</f>
        <v>153.19324399999999</v>
      </c>
      <c r="K15" s="115">
        <f t="shared" ref="K15" si="3">SUM(K16:K37)</f>
        <v>636.99268738000001</v>
      </c>
      <c r="L15" s="115">
        <f>SUM(L16:L37)</f>
        <v>2825.4206045199999</v>
      </c>
      <c r="M15" s="115">
        <f>SUM(M16:M37)</f>
        <v>1986.0291744000001</v>
      </c>
      <c r="N15" s="115">
        <f t="shared" ref="N15" si="4">SUM(N16:N37)</f>
        <v>2118.9542460000002</v>
      </c>
      <c r="O15" s="115">
        <f>SUM(O16:O37)</f>
        <v>2829.5405220000002</v>
      </c>
      <c r="P15" s="115">
        <f t="shared" ref="P15" si="5">SUM(P16:P37)</f>
        <v>3372.8364329999999</v>
      </c>
    </row>
    <row r="16" spans="1:16" s="102" customFormat="1">
      <c r="A16" s="119" t="s">
        <v>160</v>
      </c>
      <c r="B16" s="117">
        <v>3.2</v>
      </c>
      <c r="C16" s="117">
        <v>9.0444999999999998E-2</v>
      </c>
      <c r="D16" s="117">
        <v>7.4265999999999999E-2</v>
      </c>
      <c r="E16" s="117">
        <v>0</v>
      </c>
      <c r="F16" s="117">
        <v>0</v>
      </c>
      <c r="G16" s="117">
        <v>10.230764000000001</v>
      </c>
      <c r="H16" s="117">
        <v>14.050041999999999</v>
      </c>
      <c r="I16" s="117">
        <v>14.039686</v>
      </c>
      <c r="J16" s="117">
        <v>15.610315</v>
      </c>
      <c r="K16" s="117">
        <v>31.178673200000006</v>
      </c>
      <c r="L16" s="117">
        <v>1.40838182</v>
      </c>
      <c r="M16" s="117">
        <v>235.34901529999999</v>
      </c>
      <c r="N16" s="117">
        <v>315.80912999999998</v>
      </c>
      <c r="O16" s="117">
        <v>488.35386</v>
      </c>
      <c r="P16" s="117">
        <v>610.16692699999999</v>
      </c>
    </row>
    <row r="17" spans="1:21" s="102" customFormat="1">
      <c r="A17" s="119" t="s">
        <v>161</v>
      </c>
      <c r="B17" s="117">
        <v>43.699999999999996</v>
      </c>
      <c r="C17" s="117">
        <v>66.400000000000006</v>
      </c>
      <c r="D17" s="117">
        <v>53.807986999999997</v>
      </c>
      <c r="E17" s="117">
        <v>73.612109000000004</v>
      </c>
      <c r="F17" s="117">
        <v>56.078963999999999</v>
      </c>
      <c r="G17" s="117">
        <v>114.40424899999999</v>
      </c>
      <c r="H17" s="117">
        <v>86.079061999999993</v>
      </c>
      <c r="I17" s="117">
        <v>59.978203000000001</v>
      </c>
      <c r="J17" s="117" t="s">
        <v>152</v>
      </c>
      <c r="K17" s="117" t="s">
        <v>152</v>
      </c>
      <c r="L17" s="117">
        <v>0</v>
      </c>
      <c r="M17" s="117">
        <v>0</v>
      </c>
      <c r="N17" s="117">
        <v>0</v>
      </c>
      <c r="O17" s="117">
        <v>0</v>
      </c>
      <c r="P17" s="117">
        <v>0</v>
      </c>
    </row>
    <row r="18" spans="1:21" s="102" customFormat="1" ht="14.25" customHeight="1">
      <c r="A18" s="119" t="s">
        <v>162</v>
      </c>
      <c r="B18" s="117">
        <v>64.900000000000006</v>
      </c>
      <c r="C18" s="117">
        <v>65.099999999999994</v>
      </c>
      <c r="D18" s="117">
        <v>34.857382000000001</v>
      </c>
      <c r="E18" s="117">
        <v>81.389618999999996</v>
      </c>
      <c r="F18" s="117">
        <v>125.39468100000001</v>
      </c>
      <c r="G18" s="117">
        <v>110.975019</v>
      </c>
      <c r="H18" s="117">
        <v>43.581213299999995</v>
      </c>
      <c r="I18" s="117">
        <v>37.78454</v>
      </c>
      <c r="J18" s="117">
        <v>11.569822</v>
      </c>
      <c r="K18" s="117" t="s">
        <v>152</v>
      </c>
      <c r="L18" s="117">
        <v>0.1019655</v>
      </c>
      <c r="M18" s="110">
        <v>20.310776199999999</v>
      </c>
      <c r="N18" s="110">
        <v>0</v>
      </c>
      <c r="O18" s="110">
        <v>0</v>
      </c>
      <c r="P18" s="110">
        <v>0</v>
      </c>
    </row>
    <row r="19" spans="1:21" s="102" customFormat="1" ht="14.25" customHeight="1">
      <c r="A19" s="119" t="s">
        <v>163</v>
      </c>
      <c r="B19" s="117">
        <v>146.1</v>
      </c>
      <c r="C19" s="117">
        <v>30.8</v>
      </c>
      <c r="D19" s="117">
        <v>68.596787000000006</v>
      </c>
      <c r="E19" s="117">
        <v>60.392845000000001</v>
      </c>
      <c r="F19" s="117">
        <v>27.212074000000001</v>
      </c>
      <c r="G19" s="117">
        <v>86.673029999999997</v>
      </c>
      <c r="H19" s="117">
        <v>82.244337999999999</v>
      </c>
      <c r="I19" s="117">
        <v>30.346392999999999</v>
      </c>
      <c r="J19" s="117">
        <v>11.611944999999999</v>
      </c>
      <c r="K19" s="117">
        <v>6.6867516699999996</v>
      </c>
      <c r="L19" s="117">
        <v>117.37629888000001</v>
      </c>
      <c r="M19" s="117">
        <v>125.9752963</v>
      </c>
      <c r="N19" s="117">
        <v>93.184113000000011</v>
      </c>
      <c r="O19" s="117">
        <v>145.785156</v>
      </c>
      <c r="P19" s="117">
        <v>145.42899799999998</v>
      </c>
    </row>
    <row r="20" spans="1:21" s="102" customFormat="1" ht="14.25" customHeight="1">
      <c r="A20" s="119" t="s">
        <v>164</v>
      </c>
      <c r="B20" s="117">
        <v>5.0999999999999996</v>
      </c>
      <c r="C20" s="117">
        <v>5.0999999999999996</v>
      </c>
      <c r="D20" s="117">
        <v>0</v>
      </c>
      <c r="E20" s="117">
        <v>0.97870100000000004</v>
      </c>
      <c r="F20" s="117">
        <v>16.572282000000001</v>
      </c>
      <c r="G20" s="117">
        <v>26.341757999999999</v>
      </c>
      <c r="H20" s="117">
        <v>18.887602999999999</v>
      </c>
      <c r="I20" s="117">
        <v>2.7029269999999999</v>
      </c>
      <c r="J20" s="117">
        <v>5.7226840000000001</v>
      </c>
      <c r="K20" s="117">
        <v>9.0050719099999998</v>
      </c>
      <c r="L20" s="110">
        <v>17.833543120000002</v>
      </c>
      <c r="M20" s="110">
        <v>6.7483194000000006</v>
      </c>
      <c r="N20" s="110">
        <v>1.0277510000000001</v>
      </c>
      <c r="O20" s="110">
        <v>0</v>
      </c>
      <c r="P20" s="110">
        <v>0</v>
      </c>
      <c r="Q20" s="101"/>
      <c r="R20" s="101"/>
      <c r="S20" s="101"/>
    </row>
    <row r="21" spans="1:21" s="102" customFormat="1" ht="14.25" customHeight="1">
      <c r="A21" s="119" t="s">
        <v>165</v>
      </c>
      <c r="B21" s="117">
        <v>4.5999999999999996</v>
      </c>
      <c r="C21" s="117">
        <v>117.8</v>
      </c>
      <c r="D21" s="117">
        <v>35.050213999999997</v>
      </c>
      <c r="E21" s="117">
        <v>30.742463999999998</v>
      </c>
      <c r="F21" s="117">
        <v>46.187443999999999</v>
      </c>
      <c r="G21" s="109" t="s">
        <v>152</v>
      </c>
      <c r="H21" s="109" t="s">
        <v>152</v>
      </c>
      <c r="I21" s="110" t="s">
        <v>152</v>
      </c>
      <c r="J21" s="110" t="s">
        <v>152</v>
      </c>
      <c r="K21" s="110" t="s">
        <v>152</v>
      </c>
      <c r="L21" s="110">
        <v>0</v>
      </c>
      <c r="M21" s="110">
        <v>0</v>
      </c>
      <c r="N21" s="110">
        <v>0</v>
      </c>
      <c r="O21" s="110">
        <v>0</v>
      </c>
      <c r="P21" s="110">
        <v>0</v>
      </c>
      <c r="Q21" s="101"/>
      <c r="R21" s="101"/>
      <c r="S21" s="101"/>
    </row>
    <row r="22" spans="1:21" s="102" customFormat="1" ht="14.25" customHeight="1">
      <c r="A22" s="119" t="s">
        <v>166</v>
      </c>
      <c r="B22" s="109" t="s">
        <v>152</v>
      </c>
      <c r="C22" s="117">
        <v>35.9</v>
      </c>
      <c r="D22" s="117">
        <v>129.32033300000001</v>
      </c>
      <c r="E22" s="109" t="s">
        <v>152</v>
      </c>
      <c r="F22" s="117">
        <v>386.53935100000001</v>
      </c>
      <c r="G22" s="117">
        <v>233.78553700000001</v>
      </c>
      <c r="H22" s="109" t="s">
        <v>152</v>
      </c>
      <c r="I22" s="110" t="s">
        <v>152</v>
      </c>
      <c r="J22" s="110" t="s">
        <v>152</v>
      </c>
      <c r="K22" s="110" t="s">
        <v>152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01"/>
      <c r="R22" s="101"/>
      <c r="S22" s="101"/>
    </row>
    <row r="23" spans="1:21" s="102" customFormat="1" ht="14.25" customHeight="1">
      <c r="A23" s="119" t="s">
        <v>167</v>
      </c>
      <c r="B23" s="109" t="s">
        <v>152</v>
      </c>
      <c r="C23" s="109" t="s">
        <v>152</v>
      </c>
      <c r="D23" s="109" t="s">
        <v>152</v>
      </c>
      <c r="E23" s="109" t="s">
        <v>152</v>
      </c>
      <c r="F23" s="118">
        <v>270.71978799999999</v>
      </c>
      <c r="G23" s="118">
        <v>265.65673500000003</v>
      </c>
      <c r="H23" s="118">
        <v>471.93762600000002</v>
      </c>
      <c r="I23" s="118">
        <v>816.53743199999997</v>
      </c>
      <c r="J23" s="110" t="s">
        <v>152</v>
      </c>
      <c r="K23" s="118">
        <v>408.18139250000002</v>
      </c>
      <c r="L23" s="118">
        <v>2682.0185108000001</v>
      </c>
      <c r="M23" s="118">
        <v>1431.7509852000001</v>
      </c>
      <c r="N23" s="118">
        <v>1187.923395</v>
      </c>
      <c r="O23" s="118">
        <v>1501.0630180000001</v>
      </c>
      <c r="P23" s="118">
        <v>1153.261872</v>
      </c>
      <c r="Q23" s="101"/>
      <c r="R23" s="101"/>
      <c r="S23" s="101"/>
      <c r="U23" s="102" t="s">
        <v>181</v>
      </c>
    </row>
    <row r="24" spans="1:21" ht="14.25" customHeight="1">
      <c r="A24" s="119" t="s">
        <v>168</v>
      </c>
      <c r="B24" s="109" t="s">
        <v>152</v>
      </c>
      <c r="C24" s="109" t="s">
        <v>152</v>
      </c>
      <c r="D24" s="109" t="s">
        <v>152</v>
      </c>
      <c r="E24" s="109" t="s">
        <v>152</v>
      </c>
      <c r="F24" s="109" t="s">
        <v>152</v>
      </c>
      <c r="G24" s="109" t="s">
        <v>152</v>
      </c>
      <c r="H24" s="118">
        <v>102.86886</v>
      </c>
      <c r="I24" s="110" t="s">
        <v>152</v>
      </c>
      <c r="J24" s="118">
        <v>18.706969000000001</v>
      </c>
      <c r="K24" s="118">
        <v>99.107693899999987</v>
      </c>
      <c r="L24" s="118">
        <v>0</v>
      </c>
      <c r="M24" s="118">
        <v>0</v>
      </c>
      <c r="N24" s="118">
        <v>15.542909</v>
      </c>
      <c r="O24" s="118">
        <v>103.085818</v>
      </c>
      <c r="P24" s="118">
        <v>158.17163600000001</v>
      </c>
    </row>
    <row r="25" spans="1:21" ht="14.25" customHeight="1">
      <c r="A25" s="119" t="s">
        <v>169</v>
      </c>
      <c r="B25" s="109" t="s">
        <v>152</v>
      </c>
      <c r="C25" s="109" t="s">
        <v>152</v>
      </c>
      <c r="D25" s="109" t="s">
        <v>152</v>
      </c>
      <c r="E25" s="109" t="s">
        <v>152</v>
      </c>
      <c r="F25" s="109" t="s">
        <v>152</v>
      </c>
      <c r="G25" s="109" t="s">
        <v>152</v>
      </c>
      <c r="H25" s="109" t="s">
        <v>152</v>
      </c>
      <c r="I25" s="110" t="s">
        <v>152</v>
      </c>
      <c r="J25" s="110" t="s">
        <v>152</v>
      </c>
      <c r="K25" s="110" t="s">
        <v>152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</row>
    <row r="26" spans="1:21" ht="14.25" customHeight="1">
      <c r="A26" s="119" t="s">
        <v>179</v>
      </c>
      <c r="B26" s="109"/>
      <c r="C26" s="109"/>
      <c r="D26" s="109"/>
      <c r="E26" s="109"/>
      <c r="F26" s="109"/>
      <c r="G26" s="109"/>
      <c r="H26" s="109"/>
      <c r="I26" s="110" t="s">
        <v>152</v>
      </c>
      <c r="J26" s="110" t="s">
        <v>152</v>
      </c>
      <c r="K26" s="110" t="s">
        <v>152</v>
      </c>
      <c r="L26" s="110">
        <v>0</v>
      </c>
      <c r="M26" s="110">
        <v>57.865499999999997</v>
      </c>
      <c r="N26" s="110">
        <v>50.464500000000001</v>
      </c>
      <c r="O26" s="110">
        <v>222.33</v>
      </c>
      <c r="P26" s="110">
        <v>247.995</v>
      </c>
    </row>
    <row r="27" spans="1:21" ht="14.25" customHeight="1">
      <c r="A27" s="119" t="s">
        <v>170</v>
      </c>
      <c r="B27" s="117">
        <v>32</v>
      </c>
      <c r="C27" s="109" t="s">
        <v>152</v>
      </c>
      <c r="D27" s="109" t="s">
        <v>152</v>
      </c>
      <c r="E27" s="118">
        <v>0.52935699999999997</v>
      </c>
      <c r="F27" s="118">
        <v>3.4447350000000001</v>
      </c>
      <c r="G27" s="118">
        <v>0.482072</v>
      </c>
      <c r="H27" s="118">
        <v>49.063294999999997</v>
      </c>
      <c r="I27" s="118">
        <v>66.525672</v>
      </c>
      <c r="J27" s="118">
        <v>52.931077999999999</v>
      </c>
      <c r="K27" s="118">
        <v>82.833104200000008</v>
      </c>
      <c r="L27" s="110">
        <v>6.6819044000000005</v>
      </c>
      <c r="M27" s="110">
        <v>7.0292820000000003</v>
      </c>
      <c r="N27" s="110">
        <v>0</v>
      </c>
      <c r="O27" s="110">
        <v>0</v>
      </c>
      <c r="P27" s="110">
        <v>0</v>
      </c>
    </row>
    <row r="28" spans="1:21" ht="14.25" customHeight="1">
      <c r="A28" s="120" t="s">
        <v>171</v>
      </c>
      <c r="B28" s="109" t="s">
        <v>152</v>
      </c>
      <c r="C28" s="109" t="s">
        <v>152</v>
      </c>
      <c r="D28" s="109" t="s">
        <v>152</v>
      </c>
      <c r="E28" s="109" t="s">
        <v>152</v>
      </c>
      <c r="F28" s="109" t="s">
        <v>152</v>
      </c>
      <c r="G28" s="117">
        <v>277.13603499999999</v>
      </c>
      <c r="H28" s="117">
        <v>19.486806000000001</v>
      </c>
      <c r="I28" s="117">
        <v>100.155069</v>
      </c>
      <c r="J28" s="117">
        <v>37.040430999999998</v>
      </c>
      <c r="K28" s="110" t="s">
        <v>152</v>
      </c>
      <c r="L28" s="110">
        <v>0</v>
      </c>
      <c r="M28" s="110">
        <v>0</v>
      </c>
      <c r="N28" s="110">
        <v>0</v>
      </c>
      <c r="O28" s="110">
        <v>0</v>
      </c>
      <c r="P28" s="110">
        <v>0</v>
      </c>
    </row>
    <row r="29" spans="1:21" ht="14.25" customHeight="1">
      <c r="A29" s="120" t="s">
        <v>183</v>
      </c>
      <c r="B29" s="109"/>
      <c r="C29" s="109"/>
      <c r="D29" s="109"/>
      <c r="E29" s="109"/>
      <c r="F29" s="109"/>
      <c r="G29" s="117"/>
      <c r="H29" s="117"/>
      <c r="I29" s="110" t="s">
        <v>152</v>
      </c>
      <c r="J29" s="110" t="s">
        <v>152</v>
      </c>
      <c r="K29" s="110" t="s">
        <v>152</v>
      </c>
      <c r="L29" s="110">
        <v>0</v>
      </c>
      <c r="M29" s="110">
        <v>0</v>
      </c>
      <c r="N29" s="110">
        <v>0</v>
      </c>
      <c r="O29" s="110">
        <v>0</v>
      </c>
      <c r="P29" s="110">
        <v>0</v>
      </c>
    </row>
    <row r="30" spans="1:21" ht="14.25" customHeight="1">
      <c r="A30" s="120" t="s">
        <v>172</v>
      </c>
      <c r="B30" s="109" t="s">
        <v>152</v>
      </c>
      <c r="C30" s="109" t="s">
        <v>152</v>
      </c>
      <c r="D30" s="117">
        <v>80.306944000000001</v>
      </c>
      <c r="E30" s="109" t="s">
        <v>152</v>
      </c>
      <c r="F30" s="109" t="s">
        <v>152</v>
      </c>
      <c r="G30" s="109" t="s">
        <v>152</v>
      </c>
      <c r="H30" s="109" t="s">
        <v>152</v>
      </c>
      <c r="I30" s="110" t="s">
        <v>152</v>
      </c>
      <c r="J30" s="110" t="s">
        <v>152</v>
      </c>
      <c r="K30" s="110" t="s">
        <v>152</v>
      </c>
      <c r="L30" s="110">
        <v>0</v>
      </c>
      <c r="M30" s="110">
        <v>0</v>
      </c>
      <c r="N30" s="110">
        <v>0</v>
      </c>
      <c r="O30" s="110">
        <v>0</v>
      </c>
      <c r="P30" s="110">
        <v>0</v>
      </c>
    </row>
    <row r="31" spans="1:21" ht="14.25" customHeight="1">
      <c r="A31" s="120" t="s">
        <v>173</v>
      </c>
      <c r="B31" s="110">
        <v>106.2</v>
      </c>
      <c r="C31" s="110">
        <v>24.4</v>
      </c>
      <c r="D31" s="109" t="s">
        <v>152</v>
      </c>
      <c r="E31" s="109" t="s">
        <v>152</v>
      </c>
      <c r="F31" s="109" t="s">
        <v>152</v>
      </c>
      <c r="G31" s="109" t="s">
        <v>152</v>
      </c>
      <c r="H31" s="109" t="s">
        <v>152</v>
      </c>
      <c r="I31" s="110" t="s">
        <v>152</v>
      </c>
      <c r="J31" s="110" t="s">
        <v>152</v>
      </c>
      <c r="K31" s="110" t="s">
        <v>152</v>
      </c>
      <c r="L31" s="110">
        <v>0</v>
      </c>
      <c r="M31" s="110">
        <v>0</v>
      </c>
      <c r="N31" s="110">
        <v>0</v>
      </c>
      <c r="O31" s="110">
        <v>0</v>
      </c>
      <c r="P31" s="110">
        <v>0</v>
      </c>
    </row>
    <row r="32" spans="1:21" ht="14.25" customHeight="1">
      <c r="A32" s="120" t="s">
        <v>189</v>
      </c>
      <c r="B32" s="110"/>
      <c r="C32" s="110"/>
      <c r="D32" s="109"/>
      <c r="E32" s="109"/>
      <c r="F32" s="109"/>
      <c r="G32" s="109"/>
      <c r="H32" s="109"/>
      <c r="I32" s="110" t="s">
        <v>152</v>
      </c>
      <c r="J32" s="110" t="s">
        <v>152</v>
      </c>
      <c r="K32" s="110" t="s">
        <v>152</v>
      </c>
      <c r="L32" s="110">
        <v>0</v>
      </c>
      <c r="M32" s="110">
        <v>0</v>
      </c>
      <c r="N32" s="110">
        <v>0</v>
      </c>
      <c r="O32" s="110">
        <v>0</v>
      </c>
      <c r="P32" s="110">
        <v>0</v>
      </c>
    </row>
    <row r="33" spans="1:16" ht="14.25" customHeight="1">
      <c r="A33" s="120" t="s">
        <v>174</v>
      </c>
      <c r="B33" s="110">
        <v>256</v>
      </c>
      <c r="C33" s="110">
        <v>320</v>
      </c>
      <c r="D33" s="110">
        <v>325.021568</v>
      </c>
      <c r="E33" s="109" t="s">
        <v>152</v>
      </c>
      <c r="F33" s="109" t="s">
        <v>152</v>
      </c>
      <c r="G33" s="109" t="s">
        <v>152</v>
      </c>
      <c r="H33" s="109" t="s">
        <v>152</v>
      </c>
      <c r="I33" s="110" t="s">
        <v>152</v>
      </c>
      <c r="J33" s="110" t="s">
        <v>152</v>
      </c>
      <c r="K33" s="110" t="s">
        <v>152</v>
      </c>
      <c r="L33" s="110">
        <v>0</v>
      </c>
      <c r="M33" s="110">
        <v>0</v>
      </c>
      <c r="N33" s="110">
        <v>0</v>
      </c>
      <c r="O33" s="110">
        <v>0</v>
      </c>
      <c r="P33" s="110">
        <v>0</v>
      </c>
    </row>
    <row r="34" spans="1:16" ht="14.25" customHeight="1">
      <c r="A34" s="120" t="s">
        <v>175</v>
      </c>
      <c r="B34" s="110">
        <v>15.4</v>
      </c>
      <c r="C34" s="110">
        <v>28</v>
      </c>
      <c r="D34" s="110">
        <v>0</v>
      </c>
      <c r="E34" s="109" t="s">
        <v>152</v>
      </c>
      <c r="F34" s="109" t="s">
        <v>152</v>
      </c>
      <c r="G34" s="109" t="s">
        <v>152</v>
      </c>
      <c r="H34" s="109" t="s">
        <v>152</v>
      </c>
      <c r="I34" s="110" t="s">
        <v>152</v>
      </c>
      <c r="J34" s="110" t="s">
        <v>152</v>
      </c>
      <c r="K34" s="110" t="s">
        <v>152</v>
      </c>
      <c r="L34" s="110">
        <v>0</v>
      </c>
      <c r="M34" s="110">
        <v>0</v>
      </c>
      <c r="N34" s="110">
        <v>0</v>
      </c>
      <c r="O34" s="110">
        <v>0</v>
      </c>
      <c r="P34" s="110">
        <v>0</v>
      </c>
    </row>
    <row r="35" spans="1:16" ht="14.25" customHeight="1">
      <c r="A35" s="120" t="s">
        <v>176</v>
      </c>
      <c r="B35" s="110">
        <v>8.5</v>
      </c>
      <c r="C35" s="110">
        <v>98.7</v>
      </c>
      <c r="D35" s="109" t="s">
        <v>152</v>
      </c>
      <c r="E35" s="109" t="s">
        <v>152</v>
      </c>
      <c r="F35" s="109" t="s">
        <v>152</v>
      </c>
      <c r="G35" s="109" t="s">
        <v>152</v>
      </c>
      <c r="H35" s="109" t="s">
        <v>152</v>
      </c>
      <c r="I35" s="110" t="s">
        <v>152</v>
      </c>
      <c r="J35" s="110" t="s">
        <v>152</v>
      </c>
      <c r="K35" s="110" t="s">
        <v>152</v>
      </c>
      <c r="L35" s="110">
        <v>0</v>
      </c>
      <c r="M35" s="110">
        <v>0</v>
      </c>
      <c r="N35" s="110">
        <v>0</v>
      </c>
      <c r="O35" s="110">
        <v>0</v>
      </c>
      <c r="P35" s="110">
        <v>0</v>
      </c>
    </row>
    <row r="36" spans="1:16" ht="14.25" customHeight="1">
      <c r="A36" s="120" t="s">
        <v>206</v>
      </c>
      <c r="B36" s="110"/>
      <c r="C36" s="110"/>
      <c r="D36" s="109"/>
      <c r="E36" s="109"/>
      <c r="F36" s="109"/>
      <c r="G36" s="109"/>
      <c r="H36" s="109"/>
      <c r="I36" s="110" t="s">
        <v>152</v>
      </c>
      <c r="J36" s="110" t="s">
        <v>152</v>
      </c>
      <c r="K36" s="110" t="s">
        <v>152</v>
      </c>
      <c r="L36" s="110">
        <v>0</v>
      </c>
      <c r="M36" s="110">
        <v>0</v>
      </c>
      <c r="N36" s="110">
        <v>0</v>
      </c>
      <c r="O36" s="110">
        <v>38.549999999999997</v>
      </c>
      <c r="P36" s="110">
        <v>96.375</v>
      </c>
    </row>
    <row r="37" spans="1:16" ht="14.25" customHeight="1">
      <c r="A37" s="121" t="s">
        <v>177</v>
      </c>
      <c r="B37" s="122" t="s">
        <v>152</v>
      </c>
      <c r="C37" s="122" t="s">
        <v>152</v>
      </c>
      <c r="D37" s="122" t="s">
        <v>152</v>
      </c>
      <c r="E37" s="122" t="s">
        <v>152</v>
      </c>
      <c r="F37" s="122" t="s">
        <v>152</v>
      </c>
      <c r="G37" s="122" t="s">
        <v>152</v>
      </c>
      <c r="H37" s="122" t="s">
        <v>152</v>
      </c>
      <c r="I37" s="111" t="s">
        <v>152</v>
      </c>
      <c r="J37" s="111" t="s">
        <v>152</v>
      </c>
      <c r="K37" s="111" t="s">
        <v>152</v>
      </c>
      <c r="L37" s="111">
        <v>0</v>
      </c>
      <c r="M37" s="111">
        <v>101</v>
      </c>
      <c r="N37" s="111">
        <v>455.00244799999996</v>
      </c>
      <c r="O37" s="111">
        <v>330.37267000000003</v>
      </c>
      <c r="P37" s="111">
        <v>961.43700000000001</v>
      </c>
    </row>
    <row r="38" spans="1:16" ht="17.25">
      <c r="A38" s="262" t="s">
        <v>207</v>
      </c>
      <c r="B38" s="124"/>
      <c r="C38" s="125"/>
      <c r="D38" s="125"/>
      <c r="E38" s="125"/>
      <c r="F38" s="107"/>
      <c r="G38" s="125"/>
      <c r="H38" s="125"/>
      <c r="I38" s="125"/>
      <c r="J38" s="125"/>
      <c r="K38" s="125"/>
      <c r="L38" s="125"/>
      <c r="P38" s="263" t="s">
        <v>209</v>
      </c>
    </row>
    <row r="39" spans="1:16" ht="15">
      <c r="A39" s="123" t="s">
        <v>153</v>
      </c>
      <c r="B39" s="127"/>
      <c r="P39" s="30" t="s">
        <v>14</v>
      </c>
    </row>
    <row r="40" spans="1:16">
      <c r="B40" s="127"/>
    </row>
    <row r="41" spans="1:16" ht="18.75">
      <c r="A41" s="126"/>
      <c r="B41" s="128"/>
      <c r="C41" s="129"/>
      <c r="D41" s="129"/>
      <c r="E41" s="129"/>
      <c r="F41" s="130"/>
      <c r="G41" s="129"/>
      <c r="H41" s="129"/>
      <c r="I41" s="129"/>
      <c r="J41" s="129"/>
      <c r="K41" s="129"/>
      <c r="L41" s="129"/>
    </row>
    <row r="42" spans="1:16">
      <c r="A42" s="126"/>
    </row>
    <row r="43" spans="1:16">
      <c r="A43" s="126"/>
    </row>
    <row r="44" spans="1:16">
      <c r="A44" s="126"/>
    </row>
    <row r="45" spans="1:16" ht="17.25">
      <c r="B45" s="263"/>
    </row>
    <row r="46" spans="1:16">
      <c r="A46" s="126"/>
    </row>
    <row r="47" spans="1:16">
      <c r="A47" s="126"/>
    </row>
    <row r="48" spans="1:16">
      <c r="A48" s="126"/>
    </row>
    <row r="49" spans="1:1">
      <c r="A49" s="126"/>
    </row>
    <row r="51" spans="1:1">
      <c r="A51" s="126"/>
    </row>
    <row r="52" spans="1:1">
      <c r="A52" s="126"/>
    </row>
    <row r="53" spans="1:1">
      <c r="A53" s="126"/>
    </row>
    <row r="54" spans="1:1">
      <c r="A54" s="126"/>
    </row>
    <row r="55" spans="1:1">
      <c r="A55" s="126"/>
    </row>
    <row r="56" spans="1:1">
      <c r="A56" s="126"/>
    </row>
    <row r="57" spans="1:1">
      <c r="A57" s="126"/>
    </row>
    <row r="58" spans="1:1">
      <c r="A58" s="126"/>
    </row>
    <row r="59" spans="1:1">
      <c r="A59" s="126"/>
    </row>
    <row r="60" spans="1:1">
      <c r="A60" s="126"/>
    </row>
    <row r="64" spans="1:1">
      <c r="A64" s="126"/>
    </row>
    <row r="66" spans="1:1">
      <c r="A66" s="126"/>
    </row>
    <row r="67" spans="1:1">
      <c r="A67" s="126"/>
    </row>
    <row r="68" spans="1:1">
      <c r="A68" s="126"/>
    </row>
    <row r="70" spans="1:1">
      <c r="A70" s="126"/>
    </row>
  </sheetData>
  <mergeCells count="3">
    <mergeCell ref="A4:A5"/>
    <mergeCell ref="A2:P2"/>
    <mergeCell ref="A1:P1"/>
  </mergeCells>
  <pageMargins left="0.32" right="0.7" top="0.56999999999999995" bottom="0.75" header="0.3" footer="0.3"/>
  <pageSetup paperSize="9" scale="85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01"/>
      <c r="S1" s="301"/>
      <c r="T1" s="301"/>
      <c r="U1" s="301"/>
    </row>
    <row r="3" spans="1:21">
      <c r="B3" s="302" t="s">
        <v>145</v>
      </c>
      <c r="C3" s="303"/>
      <c r="D3" s="303"/>
      <c r="E3" s="303"/>
      <c r="F3" s="303"/>
      <c r="G3" s="303"/>
      <c r="H3" s="4"/>
      <c r="I3" s="4"/>
      <c r="J3" s="4"/>
      <c r="K3" s="4"/>
      <c r="L3" s="4"/>
    </row>
    <row r="4" spans="1:21">
      <c r="B4" s="174">
        <v>2007</v>
      </c>
      <c r="C4" s="175">
        <v>2008</v>
      </c>
      <c r="D4" s="175">
        <v>2009</v>
      </c>
      <c r="E4" s="175">
        <v>2010</v>
      </c>
      <c r="F4" s="175">
        <v>2011</v>
      </c>
      <c r="G4" s="175">
        <v>2012</v>
      </c>
      <c r="H4" s="177">
        <v>2013</v>
      </c>
      <c r="I4" s="177">
        <v>2014</v>
      </c>
      <c r="J4" s="175">
        <v>2015</v>
      </c>
      <c r="K4" s="259" t="s">
        <v>190</v>
      </c>
      <c r="L4" s="259" t="s">
        <v>191</v>
      </c>
      <c r="M4" s="259" t="s">
        <v>192</v>
      </c>
      <c r="N4" s="259" t="s">
        <v>193</v>
      </c>
      <c r="O4" s="259" t="s">
        <v>204</v>
      </c>
    </row>
    <row r="5" spans="1:21">
      <c r="A5" s="7" t="s">
        <v>23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60"/>
      <c r="L5" s="260"/>
      <c r="M5" s="260"/>
      <c r="N5" s="260"/>
      <c r="O5" s="260"/>
    </row>
    <row r="6" spans="1:21">
      <c r="A6" s="7" t="s">
        <v>35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60"/>
      <c r="L6" s="260"/>
      <c r="M6" s="260"/>
      <c r="N6" s="260"/>
      <c r="O6" s="260"/>
    </row>
    <row r="7" spans="1:21">
      <c r="A7" s="7" t="s">
        <v>44</v>
      </c>
      <c r="B7" s="8">
        <f>'[1]13.7'!B20</f>
        <v>329.9</v>
      </c>
      <c r="C7" s="8">
        <f>'[1]13.7'!C20</f>
        <v>937.10000000000014</v>
      </c>
      <c r="D7" s="176">
        <f>'[1]13.7'!H20</f>
        <v>581.73487699999998</v>
      </c>
      <c r="E7" s="176">
        <f>'[1]13.7'!I20</f>
        <v>174.8779509</v>
      </c>
      <c r="F7" s="176">
        <f>'[1]13.7'!J20</f>
        <v>919.10181</v>
      </c>
      <c r="G7" s="176">
        <f>'[1]13.7'!K20</f>
        <v>662.15555800000004</v>
      </c>
      <c r="H7" s="176">
        <v>522.22979633</v>
      </c>
      <c r="I7" s="176">
        <v>750.4553719999999</v>
      </c>
      <c r="J7" s="176">
        <v>870.97274229999994</v>
      </c>
      <c r="K7" s="261"/>
      <c r="L7" s="261"/>
      <c r="M7" s="261"/>
      <c r="N7" s="261"/>
      <c r="O7" s="261"/>
    </row>
    <row r="34" spans="1:15">
      <c r="B34" s="302" t="s">
        <v>18</v>
      </c>
      <c r="C34" s="303"/>
      <c r="D34" s="303"/>
      <c r="E34" s="303"/>
      <c r="F34" s="303"/>
      <c r="G34" s="303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75">
        <v>2015</v>
      </c>
      <c r="K35" s="259" t="s">
        <v>190</v>
      </c>
      <c r="L35" s="259" t="s">
        <v>191</v>
      </c>
      <c r="M35" s="259" t="s">
        <v>192</v>
      </c>
      <c r="N35" s="259" t="s">
        <v>193</v>
      </c>
      <c r="O35" s="259" t="s">
        <v>204</v>
      </c>
    </row>
    <row r="36" spans="1:15">
      <c r="A36" s="7" t="s">
        <v>23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60"/>
      <c r="L36" s="260"/>
      <c r="M36" s="260"/>
      <c r="N36" s="260"/>
      <c r="O36" s="260"/>
    </row>
    <row r="37" spans="1:15">
      <c r="A37" s="7" t="s">
        <v>35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60"/>
      <c r="L37" s="260"/>
      <c r="M37" s="260"/>
      <c r="N37" s="260"/>
      <c r="O37" s="260"/>
    </row>
    <row r="38" spans="1:15">
      <c r="A38" s="7" t="s">
        <v>44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60"/>
      <c r="L38" s="260"/>
      <c r="M38" s="260"/>
      <c r="N38" s="260"/>
      <c r="O38" s="260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13.5</vt:lpstr>
      <vt:lpstr>13.6</vt:lpstr>
      <vt:lpstr>13.7</vt:lpstr>
      <vt:lpstr>13.10</vt:lpstr>
      <vt:lpstr>Fig 1.5 &amp; 1.6</vt:lpstr>
      <vt:lpstr>'13.10'!Print_Area</vt:lpstr>
      <vt:lpstr>'13.5'!Print_Area</vt:lpstr>
      <vt:lpstr>'13.6'!Print_Area</vt:lpstr>
      <vt:lpstr>'13.7'!Print_Area</vt:lpstr>
      <vt:lpstr>'Fig 1.5 &amp; 1.6'!Print_Area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2018-04-17T05:59:14Z</cp:lastPrinted>
  <dcterms:created xsi:type="dcterms:W3CDTF">2014-03-06T08:38:12Z</dcterms:created>
  <dcterms:modified xsi:type="dcterms:W3CDTF">2018-04-17T05:59:27Z</dcterms:modified>
</cp:coreProperties>
</file>