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3. PUBLIC FINANCE\"/>
    </mc:Choice>
  </mc:AlternateContent>
  <bookViews>
    <workbookView xWindow="0" yWindow="0" windowWidth="28800" windowHeight="12330" tabRatio="688" firstSheet="3" activeTab="3"/>
  </bookViews>
  <sheets>
    <sheet name="13.5" sheetId="14" state="hidden" r:id="rId1"/>
    <sheet name="13.6" sheetId="16" state="hidden" r:id="rId2"/>
    <sheet name="13.7" sheetId="15" state="hidden" r:id="rId3"/>
    <sheet name="13.11" sheetId="23" r:id="rId4"/>
    <sheet name="Fig 1.5 &amp; 1.6" sheetId="17" state="hidden" r:id="rId5"/>
  </sheets>
  <externalReferences>
    <externalReference r:id="rId6"/>
  </externalReferences>
  <definedNames>
    <definedName name="_xlnm.Print_Area" localSheetId="3">'13.11'!$A$1:$Q$95</definedName>
    <definedName name="_xlnm.Print_Area" localSheetId="0">'13.5'!$A$1:$T$34</definedName>
    <definedName name="_xlnm.Print_Area" localSheetId="1">'13.6'!$A$1:$Y$37</definedName>
    <definedName name="_xlnm.Print_Area" localSheetId="2">'13.7'!$A$1:$Z$34</definedName>
    <definedName name="_xlnm.Print_Area" localSheetId="4">'Fig 1.5 &amp; 1.6'!$A$1:$O$62</definedName>
    <definedName name="_xlnm.Print_Titles" localSheetId="3">'13.11'!$4:$5</definedName>
  </definedNames>
  <calcPr calcId="162913"/>
</workbook>
</file>

<file path=xl/calcChain.xml><?xml version="1.0" encoding="utf-8"?>
<calcChain xmlns="http://schemas.openxmlformats.org/spreadsheetml/2006/main">
  <c r="M42" i="23" l="1"/>
  <c r="O42" i="23"/>
  <c r="D42" i="23"/>
  <c r="E42" i="23"/>
  <c r="F42" i="23"/>
  <c r="G42" i="23"/>
  <c r="H42" i="23"/>
  <c r="I42" i="23"/>
  <c r="J42" i="23"/>
  <c r="K42" i="23"/>
  <c r="L42" i="23"/>
  <c r="N42" i="23"/>
  <c r="P42" i="23"/>
  <c r="Q42" i="23"/>
  <c r="C42" i="23"/>
  <c r="M10" i="23"/>
  <c r="N10" i="23"/>
  <c r="O10" i="23"/>
  <c r="P10" i="23"/>
  <c r="Q10" i="23"/>
  <c r="D10" i="23"/>
  <c r="E10" i="23"/>
  <c r="F10" i="23"/>
  <c r="G10" i="23"/>
  <c r="H10" i="23"/>
  <c r="I10" i="23"/>
  <c r="J10" i="23"/>
  <c r="K10" i="23"/>
  <c r="L10" i="23"/>
  <c r="C10" i="23"/>
  <c r="S21" i="15" l="1"/>
  <c r="S15" i="15"/>
  <c r="S10" i="15"/>
  <c r="X31" i="15"/>
  <c r="X30" i="15"/>
  <c r="X28" i="15"/>
  <c r="X27" i="15"/>
  <c r="X26" i="15"/>
  <c r="X25" i="15"/>
  <c r="X24" i="15"/>
  <c r="X23" i="15"/>
  <c r="X22" i="15"/>
  <c r="X20" i="15"/>
  <c r="X18" i="15"/>
  <c r="X17" i="15"/>
  <c r="X16" i="15"/>
  <c r="X14" i="15"/>
  <c r="X13" i="15"/>
  <c r="X12" i="15"/>
  <c r="X11" i="15"/>
  <c r="S20" i="16"/>
  <c r="S14" i="16"/>
  <c r="S9" i="16"/>
  <c r="W27" i="16"/>
  <c r="W26" i="16"/>
  <c r="W25" i="16"/>
  <c r="W24" i="16"/>
  <c r="W23" i="16"/>
  <c r="W22" i="16"/>
  <c r="W21" i="16"/>
  <c r="W19" i="16"/>
  <c r="W17" i="16"/>
  <c r="W16" i="16"/>
  <c r="W15" i="16"/>
  <c r="W13" i="16"/>
  <c r="W12" i="16"/>
  <c r="W11" i="16"/>
  <c r="W10" i="16"/>
  <c r="S33" i="14"/>
  <c r="S31" i="14"/>
  <c r="S30" i="14"/>
  <c r="S29" i="14"/>
  <c r="S28" i="14"/>
  <c r="S27" i="14"/>
  <c r="S26" i="14"/>
  <c r="S25" i="14"/>
  <c r="S24" i="14"/>
  <c r="S22" i="14"/>
  <c r="S20" i="14"/>
  <c r="S19" i="14"/>
  <c r="S18" i="14"/>
  <c r="S16" i="14"/>
  <c r="S15" i="14"/>
  <c r="S14" i="14"/>
  <c r="S13" i="14"/>
  <c r="S11" i="14"/>
  <c r="O23" i="14"/>
  <c r="O17" i="14"/>
  <c r="O10" i="14"/>
  <c r="S9" i="15" l="1"/>
  <c r="S8" i="15" s="1"/>
  <c r="Q6" i="23"/>
  <c r="S8" i="16"/>
  <c r="R10" i="15" l="1"/>
  <c r="R15" i="15"/>
  <c r="R21" i="15"/>
  <c r="R9" i="16"/>
  <c r="R14" i="16"/>
  <c r="R20" i="16"/>
  <c r="N12" i="14"/>
  <c r="N10" i="14" s="1"/>
  <c r="N17" i="14"/>
  <c r="N23" i="14"/>
  <c r="R9" i="15" l="1"/>
  <c r="R8" i="15" s="1"/>
  <c r="R8" i="16"/>
  <c r="W11" i="15" l="1"/>
  <c r="W12" i="15"/>
  <c r="W13" i="15"/>
  <c r="W14" i="15"/>
  <c r="W16" i="15"/>
  <c r="W17" i="15"/>
  <c r="W18" i="15"/>
  <c r="W20" i="15"/>
  <c r="W22" i="15"/>
  <c r="W23" i="15"/>
  <c r="W24" i="15"/>
  <c r="W25" i="15"/>
  <c r="W26" i="15"/>
  <c r="W27" i="15"/>
  <c r="W28" i="15"/>
  <c r="W30" i="15"/>
  <c r="W31" i="15"/>
  <c r="V10" i="16"/>
  <c r="V11" i="16"/>
  <c r="V12" i="16"/>
  <c r="V13" i="16"/>
  <c r="V15" i="16"/>
  <c r="V16" i="16"/>
  <c r="V17" i="16"/>
  <c r="V19" i="16"/>
  <c r="V21" i="16"/>
  <c r="V22" i="16"/>
  <c r="V23" i="16"/>
  <c r="V24" i="16"/>
  <c r="V25" i="16"/>
  <c r="V26" i="16"/>
  <c r="V27" i="16"/>
  <c r="P6" i="23" l="1"/>
  <c r="Q21" i="15" l="1"/>
  <c r="Q15" i="15"/>
  <c r="Q10" i="15"/>
  <c r="Q20" i="16"/>
  <c r="Q14" i="16"/>
  <c r="Q9" i="16"/>
  <c r="I12" i="14"/>
  <c r="M23" i="14"/>
  <c r="M17" i="14"/>
  <c r="M12" i="14"/>
  <c r="M10" i="14" s="1"/>
  <c r="R33" i="14"/>
  <c r="R31" i="14"/>
  <c r="R30" i="14"/>
  <c r="R29" i="14"/>
  <c r="R28" i="14"/>
  <c r="R27" i="14"/>
  <c r="R26" i="14"/>
  <c r="R25" i="14"/>
  <c r="R24" i="14"/>
  <c r="R22" i="14"/>
  <c r="R20" i="14"/>
  <c r="R19" i="14"/>
  <c r="R18" i="14"/>
  <c r="R16" i="14"/>
  <c r="R15" i="14"/>
  <c r="R14" i="14"/>
  <c r="R13" i="14"/>
  <c r="R11" i="14"/>
  <c r="O6" i="23" l="1"/>
  <c r="Q9" i="15"/>
  <c r="Q8" i="15" s="1"/>
  <c r="Q8" i="16"/>
  <c r="N6" i="23" l="1"/>
  <c r="M6" i="23"/>
  <c r="L6" i="23"/>
  <c r="K6" i="23"/>
  <c r="J6" i="23"/>
  <c r="H6" i="23"/>
  <c r="G6" i="23"/>
  <c r="F6" i="23" l="1"/>
  <c r="E6" i="23"/>
  <c r="D6" i="23"/>
  <c r="I6" i="23"/>
  <c r="C6" i="23"/>
  <c r="C15" i="15" l="1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B15" i="15"/>
  <c r="K20" i="16"/>
  <c r="L20" i="16"/>
  <c r="M20" i="16"/>
  <c r="N20" i="16"/>
  <c r="O20" i="16"/>
  <c r="P20" i="16"/>
  <c r="J20" i="16"/>
  <c r="K14" i="16"/>
  <c r="L14" i="16"/>
  <c r="M14" i="16"/>
  <c r="N14" i="16"/>
  <c r="O14" i="16"/>
  <c r="P14" i="16"/>
  <c r="J14" i="16"/>
  <c r="G17" i="14"/>
  <c r="H17" i="14"/>
  <c r="I17" i="14"/>
  <c r="J17" i="14"/>
  <c r="K17" i="14"/>
  <c r="L17" i="14"/>
  <c r="F17" i="14"/>
  <c r="L12" i="14"/>
  <c r="G12" i="14"/>
  <c r="H12" i="14"/>
  <c r="J12" i="14"/>
  <c r="K12" i="14"/>
  <c r="F12" i="14"/>
  <c r="X15" i="15" l="1"/>
  <c r="W20" i="16"/>
  <c r="W14" i="16"/>
  <c r="S12" i="14"/>
  <c r="S17" i="14"/>
  <c r="W15" i="15"/>
  <c r="V20" i="16"/>
  <c r="V14" i="16"/>
  <c r="R12" i="14"/>
  <c r="R17" i="14"/>
  <c r="P21" i="15" l="1"/>
  <c r="P10" i="15"/>
  <c r="P9" i="16"/>
  <c r="K23" i="14"/>
  <c r="K10" i="14"/>
  <c r="P8" i="16" l="1"/>
  <c r="P9" i="15"/>
  <c r="F38" i="17"/>
  <c r="E38" i="17"/>
  <c r="D38" i="17"/>
  <c r="C38" i="17"/>
  <c r="B38" i="17"/>
  <c r="G7" i="17"/>
  <c r="F7" i="17"/>
  <c r="E7" i="17"/>
  <c r="D7" i="17"/>
  <c r="C7" i="17"/>
  <c r="B7" i="17"/>
  <c r="F37" i="17"/>
  <c r="E37" i="17"/>
  <c r="D37" i="17"/>
  <c r="C37" i="17"/>
  <c r="B37" i="17"/>
  <c r="G6" i="17"/>
  <c r="F6" i="17"/>
  <c r="E6" i="17"/>
  <c r="D6" i="17"/>
  <c r="C6" i="17"/>
  <c r="B6" i="17"/>
  <c r="F36" i="17"/>
  <c r="E36" i="17"/>
  <c r="D36" i="17"/>
  <c r="C36" i="17"/>
  <c r="B36" i="17"/>
  <c r="G5" i="17"/>
  <c r="F5" i="17"/>
  <c r="E5" i="17"/>
  <c r="D5" i="17"/>
  <c r="C5" i="17"/>
  <c r="B5" i="17"/>
  <c r="O21" i="15"/>
  <c r="X21" i="15" s="1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O10" i="15"/>
  <c r="X10" i="15" s="1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H14" i="16"/>
  <c r="I20" i="16"/>
  <c r="H20" i="16"/>
  <c r="G20" i="16"/>
  <c r="F20" i="16"/>
  <c r="E20" i="16"/>
  <c r="D20" i="16"/>
  <c r="C20" i="16"/>
  <c r="B20" i="16"/>
  <c r="I14" i="16"/>
  <c r="G14" i="16"/>
  <c r="F14" i="16"/>
  <c r="E14" i="16"/>
  <c r="D14" i="16"/>
  <c r="C14" i="16"/>
  <c r="B14" i="16"/>
  <c r="O9" i="16"/>
  <c r="W9" i="16" s="1"/>
  <c r="N9" i="16"/>
  <c r="N8" i="16" s="1"/>
  <c r="M9" i="16"/>
  <c r="L9" i="16"/>
  <c r="L8" i="16" s="1"/>
  <c r="K9" i="16"/>
  <c r="K8" i="16" s="1"/>
  <c r="J9" i="16"/>
  <c r="J8" i="16" s="1"/>
  <c r="I9" i="16"/>
  <c r="H9" i="16"/>
  <c r="G9" i="16"/>
  <c r="F9" i="16"/>
  <c r="E9" i="16"/>
  <c r="D9" i="16"/>
  <c r="C9" i="16"/>
  <c r="B9" i="16"/>
  <c r="P8" i="15" l="1"/>
  <c r="R21" i="14"/>
  <c r="Q25" i="14"/>
  <c r="Q33" i="14"/>
  <c r="Q24" i="14"/>
  <c r="Q16" i="14"/>
  <c r="Q31" i="14"/>
  <c r="Q15" i="14"/>
  <c r="S21" i="14"/>
  <c r="Q30" i="14"/>
  <c r="Q22" i="14"/>
  <c r="Q14" i="14"/>
  <c r="Q18" i="14"/>
  <c r="Q29" i="14"/>
  <c r="Q21" i="14"/>
  <c r="Q13" i="14"/>
  <c r="Q26" i="14"/>
  <c r="Q28" i="14"/>
  <c r="Q20" i="14"/>
  <c r="Q27" i="14"/>
  <c r="Q19" i="14"/>
  <c r="Q11" i="14"/>
  <c r="Q17" i="14"/>
  <c r="Q12" i="14"/>
  <c r="D9" i="15"/>
  <c r="D8" i="15" s="1"/>
  <c r="H9" i="15"/>
  <c r="H8" i="15" s="1"/>
  <c r="L9" i="15"/>
  <c r="L8" i="15" s="1"/>
  <c r="F9" i="15"/>
  <c r="F8" i="15" s="1"/>
  <c r="N9" i="15"/>
  <c r="E9" i="15"/>
  <c r="E8" i="15" s="1"/>
  <c r="P23" i="14"/>
  <c r="P10" i="14"/>
  <c r="W21" i="15"/>
  <c r="W10" i="15"/>
  <c r="I9" i="15"/>
  <c r="I8" i="15" s="1"/>
  <c r="J9" i="15"/>
  <c r="J8" i="15" s="1"/>
  <c r="G9" i="15"/>
  <c r="G8" i="15" s="1"/>
  <c r="O9" i="15"/>
  <c r="X9" i="15" s="1"/>
  <c r="C9" i="15"/>
  <c r="C8" i="15" s="1"/>
  <c r="K9" i="15"/>
  <c r="K8" i="15" s="1"/>
  <c r="D8" i="16"/>
  <c r="V9" i="16"/>
  <c r="O8" i="16"/>
  <c r="W8" i="16" s="1"/>
  <c r="B8" i="16"/>
  <c r="P18" i="14"/>
  <c r="P26" i="14"/>
  <c r="P11" i="14"/>
  <c r="P19" i="14"/>
  <c r="P27" i="14"/>
  <c r="P20" i="14"/>
  <c r="P28" i="14"/>
  <c r="P13" i="14"/>
  <c r="P21" i="14"/>
  <c r="P29" i="14"/>
  <c r="P16" i="14"/>
  <c r="P24" i="14"/>
  <c r="P25" i="14"/>
  <c r="P14" i="14"/>
  <c r="P22" i="14"/>
  <c r="P30" i="14"/>
  <c r="P15" i="14"/>
  <c r="P31" i="14"/>
  <c r="P33" i="14"/>
  <c r="P9" i="14"/>
  <c r="P12" i="14"/>
  <c r="P17" i="14"/>
  <c r="F8" i="16"/>
  <c r="B9" i="15"/>
  <c r="B8" i="15" s="1"/>
  <c r="H8" i="16"/>
  <c r="N8" i="15"/>
  <c r="C8" i="16"/>
  <c r="G8" i="16"/>
  <c r="E8" i="16"/>
  <c r="I8" i="16"/>
  <c r="M8" i="16"/>
  <c r="M9" i="15"/>
  <c r="U9" i="15" l="1"/>
  <c r="T10" i="15"/>
  <c r="U28" i="15"/>
  <c r="U20" i="15"/>
  <c r="U11" i="15"/>
  <c r="U18" i="15"/>
  <c r="U26" i="15"/>
  <c r="U17" i="15"/>
  <c r="U25" i="15"/>
  <c r="U16" i="15"/>
  <c r="U23" i="15"/>
  <c r="U27" i="15"/>
  <c r="U24" i="15"/>
  <c r="U14" i="15"/>
  <c r="U31" i="15"/>
  <c r="U22" i="15"/>
  <c r="U13" i="15"/>
  <c r="U30" i="15"/>
  <c r="U12" i="15"/>
  <c r="U15" i="15"/>
  <c r="U10" i="15"/>
  <c r="U21" i="15"/>
  <c r="U27" i="16"/>
  <c r="U19" i="16"/>
  <c r="U11" i="16"/>
  <c r="U10" i="16"/>
  <c r="U25" i="16"/>
  <c r="U24" i="16"/>
  <c r="U16" i="16"/>
  <c r="U23" i="16"/>
  <c r="U15" i="16"/>
  <c r="U18" i="16"/>
  <c r="U17" i="16"/>
  <c r="W18" i="16"/>
  <c r="U22" i="16"/>
  <c r="U26" i="16"/>
  <c r="U21" i="16"/>
  <c r="U13" i="16"/>
  <c r="U12" i="16"/>
  <c r="U20" i="16"/>
  <c r="U14" i="16"/>
  <c r="U9" i="16"/>
  <c r="U8" i="16"/>
  <c r="V8" i="16"/>
  <c r="V18" i="16"/>
  <c r="T21" i="15"/>
  <c r="W9" i="15"/>
  <c r="T14" i="15"/>
  <c r="T18" i="15"/>
  <c r="T22" i="15"/>
  <c r="T26" i="15"/>
  <c r="T31" i="15"/>
  <c r="T13" i="15"/>
  <c r="T25" i="15"/>
  <c r="T11" i="15"/>
  <c r="T23" i="15"/>
  <c r="T27" i="15"/>
  <c r="T9" i="15"/>
  <c r="T30" i="15"/>
  <c r="T12" i="15"/>
  <c r="T16" i="15"/>
  <c r="T20" i="15"/>
  <c r="T24" i="15"/>
  <c r="T28" i="15"/>
  <c r="T17" i="15"/>
  <c r="T15" i="15"/>
  <c r="O8" i="15"/>
  <c r="W8" i="15" s="1"/>
  <c r="T9" i="16"/>
  <c r="T12" i="16"/>
  <c r="T8" i="16"/>
  <c r="T13" i="16"/>
  <c r="T21" i="16"/>
  <c r="T22" i="16"/>
  <c r="T15" i="16"/>
  <c r="T23" i="16"/>
  <c r="T27" i="16"/>
  <c r="T16" i="16"/>
  <c r="T24" i="16"/>
  <c r="T17" i="16"/>
  <c r="T25" i="16"/>
  <c r="T10" i="16"/>
  <c r="T18" i="16"/>
  <c r="T26" i="16"/>
  <c r="T11" i="16"/>
  <c r="T19" i="16"/>
  <c r="T20" i="16"/>
  <c r="T14" i="16"/>
  <c r="M8" i="15"/>
  <c r="X8" i="15" l="1"/>
  <c r="L23" i="14"/>
  <c r="J23" i="14"/>
  <c r="R23" i="14" s="1"/>
  <c r="I23" i="14"/>
  <c r="H23" i="14"/>
  <c r="G23" i="14"/>
  <c r="F23" i="14"/>
  <c r="E23" i="14"/>
  <c r="D23" i="14"/>
  <c r="C23" i="14"/>
  <c r="B23" i="14"/>
  <c r="E17" i="14"/>
  <c r="D17" i="14"/>
  <c r="C17" i="14"/>
  <c r="B17" i="14"/>
  <c r="L10" i="14"/>
  <c r="J10" i="14"/>
  <c r="I10" i="14"/>
  <c r="H10" i="14"/>
  <c r="G10" i="14"/>
  <c r="F10" i="14"/>
  <c r="E10" i="14"/>
  <c r="D10" i="14"/>
  <c r="C10" i="14"/>
  <c r="B10" i="14"/>
  <c r="G9" i="14" l="1"/>
  <c r="Q10" i="14"/>
  <c r="S10" i="14"/>
  <c r="S23" i="14"/>
  <c r="Q23" i="14"/>
  <c r="F9" i="14"/>
  <c r="F8" i="14" s="1"/>
  <c r="C9" i="14"/>
  <c r="C8" i="14" s="1"/>
  <c r="D9" i="14"/>
  <c r="D8" i="14" s="1"/>
  <c r="R10" i="14"/>
  <c r="J9" i="14"/>
  <c r="E9" i="14"/>
  <c r="E8" i="14" s="1"/>
  <c r="B9" i="14"/>
  <c r="B8" i="14" s="1"/>
  <c r="H9" i="14"/>
  <c r="G8" i="14"/>
  <c r="I9" i="14"/>
  <c r="S8" i="14" l="1"/>
  <c r="Q9" i="14"/>
  <c r="S9" i="14"/>
  <c r="R9" i="14"/>
  <c r="J8" i="14"/>
  <c r="I8" i="14"/>
  <c r="H8" i="14"/>
  <c r="R8" i="14" l="1"/>
</calcChain>
</file>

<file path=xl/sharedStrings.xml><?xml version="1.0" encoding="utf-8"?>
<sst xmlns="http://schemas.openxmlformats.org/spreadsheetml/2006/main" count="1173" uniqueCount="266">
  <si>
    <t>Particulars</t>
  </si>
  <si>
    <t>(iawfiverukuhWlcsia)</t>
  </si>
  <si>
    <t>clIBcfwt</t>
  </si>
  <si>
    <t>Actual</t>
  </si>
  <si>
    <t>(MTEF)</t>
  </si>
  <si>
    <t>(cTejwbWtcsWrudem)</t>
  </si>
  <si>
    <t>Actuals</t>
  </si>
  <si>
    <t>Total Expenditure</t>
  </si>
  <si>
    <t>udwrwK</t>
  </si>
  <si>
    <t>Current expenditure</t>
  </si>
  <si>
    <t>udwrwK Wditenivua</t>
  </si>
  <si>
    <t>Net lending</t>
  </si>
  <si>
    <t>IkWbufWs egInwrwd EverukUd</t>
  </si>
  <si>
    <t>Source:  Ministry of Finance and Treasury</t>
  </si>
  <si>
    <t>IrwRercT cDcnea cscnEnif cfoa IrcTcsinim :ctWrwf ivcaedutWmUluAwm</t>
  </si>
  <si>
    <t>(cniaWyifur cnwyilim)</t>
  </si>
  <si>
    <t>Memorandum item:</t>
  </si>
  <si>
    <t>caeacmwTiawa Wviawfiveruk cDrOker iawkwTcSwnWdwh</t>
  </si>
  <si>
    <t>Current Expenditure</t>
  </si>
  <si>
    <t>urwvcnimivurutia</t>
  </si>
  <si>
    <t>% change</t>
  </si>
  <si>
    <t>Total Expenditure and Net Lending</t>
  </si>
  <si>
    <t>IkWbufWs egInwrwd EverukUd iaWdwrwK</t>
  </si>
  <si>
    <t>Public services</t>
  </si>
  <si>
    <t>ctwmcdiK umcaWA EvedcSwncnutiycawr</t>
  </si>
  <si>
    <t xml:space="preserve">  General administration</t>
  </si>
  <si>
    <t>EhebWmugcnih</t>
  </si>
  <si>
    <t xml:space="preserve">  Defence</t>
  </si>
  <si>
    <t xml:space="preserve"> cnuTcaeheleb cSwtcawtcnwkIaWfid</t>
  </si>
  <si>
    <t xml:space="preserve">        Military Defence</t>
  </si>
  <si>
    <t xml:space="preserve">        Civil Defence</t>
  </si>
  <si>
    <t xml:space="preserve">  Public order and Internal security</t>
  </si>
  <si>
    <t>cnuTcaeleb cSokiretWkcawrcnwmwa iaWmurukcmiaWq ufWscniauludwa</t>
  </si>
  <si>
    <t xml:space="preserve"> Environmental Protection</t>
  </si>
  <si>
    <t>cnuTcaeleb iaWmurukiretWkcawr iSevWmit</t>
  </si>
  <si>
    <t>Social services</t>
  </si>
  <si>
    <t>Ihea EvediaWdwrwK Everuk cSwaIqcawrwt eguAwmwtcjum</t>
  </si>
  <si>
    <t xml:space="preserve">  Education</t>
  </si>
  <si>
    <t>cmIluAwt</t>
  </si>
  <si>
    <t xml:space="preserve">  Health </t>
  </si>
  <si>
    <t>utwHcaiB</t>
  </si>
  <si>
    <t xml:space="preserve">  Social security and welfare services</t>
  </si>
  <si>
    <t>ctwmcdiK egrwaefcleviaWmuTcaeheleb cSokiretWkcawr uAwmwtcjum</t>
  </si>
  <si>
    <t>udwrwK Everuk iawkwTcSwaWdiawf egutwAWmwj</t>
  </si>
  <si>
    <t>Economic services</t>
  </si>
  <si>
    <t>ctwmcdiK IdWBitcqia</t>
  </si>
  <si>
    <t xml:space="preserve">  Fisheries and Agriculture</t>
  </si>
  <si>
    <t>cnwkirevcswm iaWmwkirevuDnwd</t>
  </si>
  <si>
    <t xml:space="preserve">  Transportation</t>
  </si>
  <si>
    <t>udwrwK EhebWrutwfurutwd</t>
  </si>
  <si>
    <t xml:space="preserve">  Communication</t>
  </si>
  <si>
    <t>ctwmcdiK ugetWlwBWvum</t>
  </si>
  <si>
    <t xml:space="preserve">  Tourism</t>
  </si>
  <si>
    <t>cmwzirUT</t>
  </si>
  <si>
    <t xml:space="preserve">  Trade and Industries</t>
  </si>
  <si>
    <t>cnwkiretctwkcawswm iaWairWfwyiv</t>
  </si>
  <si>
    <t xml:space="preserve">  Electricity</t>
  </si>
  <si>
    <t>cTcnwrwk</t>
  </si>
  <si>
    <t>Interest on public debt</t>
  </si>
  <si>
    <t>udwrwK egutwmcdiK EvedcSwaWsiawf WviawfigencSwNcnwrwd</t>
  </si>
  <si>
    <t>Loans disbursements</t>
  </si>
  <si>
    <t>ލޯނުން ޚަރަދު ކުރެވުނު</t>
  </si>
  <si>
    <t>އިތުރުވި މިންވަރު</t>
  </si>
  <si>
    <t>(In million MVR)</t>
  </si>
  <si>
    <t xml:space="preserve"> cniawfis</t>
  </si>
  <si>
    <t>cnuhuluf</t>
  </si>
  <si>
    <t xml:space="preserve"> (In million MVR)</t>
  </si>
  <si>
    <t>(Rev.)</t>
  </si>
  <si>
    <t>% Share</t>
  </si>
  <si>
    <t xml:space="preserve">   Public services</t>
  </si>
  <si>
    <t xml:space="preserve">cawtctwmcdiK EvedcSwncnutiycawr  </t>
  </si>
  <si>
    <t xml:space="preserve">      General administration</t>
  </si>
  <si>
    <t xml:space="preserve">EhebWmugcnih       </t>
  </si>
  <si>
    <t xml:space="preserve">      Defence</t>
  </si>
  <si>
    <t xml:space="preserve">cnuTcaeheleb cSwtcawtcnwkIaWfid       </t>
  </si>
  <si>
    <t xml:space="preserve">      Public order and Internal security</t>
  </si>
  <si>
    <t xml:space="preserve"> cnuTcaeheleb cSokiretWkcawr   cnwmwa iaWmurukcmiaWq ufWscniauludwa       </t>
  </si>
  <si>
    <t xml:space="preserve">      Environmental Protection</t>
  </si>
  <si>
    <t xml:space="preserve">cnuTcaeleb iaWmurukiretWkcawr iSevWmit       </t>
  </si>
  <si>
    <t xml:space="preserve">   Social services</t>
  </si>
  <si>
    <t xml:space="preserve">Ihea EvediaWdwrwK Everuk cSwaIqcawrwt eguAwmwtcjum  </t>
  </si>
  <si>
    <t xml:space="preserve">      Education</t>
  </si>
  <si>
    <t xml:space="preserve">cmIluAwt       </t>
  </si>
  <si>
    <t xml:space="preserve">      Health 1_/</t>
  </si>
  <si>
    <t xml:space="preserve">1_/ utwHcaiB       </t>
  </si>
  <si>
    <t xml:space="preserve">      Social security &amp; Welfare</t>
  </si>
  <si>
    <t xml:space="preserve">rwaefclev iaWmuTcaeheleb cSokiretWkcawr uAwmwtcjum       </t>
  </si>
  <si>
    <t xml:space="preserve">      Community programmes</t>
  </si>
  <si>
    <t xml:space="preserve">udwrwK Everuk iawkwTcSwaWdiawf egutwAWmwj       </t>
  </si>
  <si>
    <t xml:space="preserve">   Economic services</t>
  </si>
  <si>
    <t xml:space="preserve">      Fisheries and Agriculture</t>
  </si>
  <si>
    <t xml:space="preserve">                            cnwkirevcswm iaWmwkirevuDnwd    </t>
  </si>
  <si>
    <t xml:space="preserve">      Transportation</t>
  </si>
  <si>
    <t xml:space="preserve">                                 udwrwK EhebWrutwfurutwd   </t>
  </si>
  <si>
    <t xml:space="preserve">      Communication</t>
  </si>
  <si>
    <t xml:space="preserve">                              ctwmcdiK ugetWlwBWvum</t>
  </si>
  <si>
    <t xml:space="preserve">      Tourism</t>
  </si>
  <si>
    <t xml:space="preserve">                                          cmwzirUT   </t>
  </si>
  <si>
    <t xml:space="preserve">      Trade and Industries</t>
  </si>
  <si>
    <t xml:space="preserve">                          cnwkiretctwkcawswm iaWairWfwyiv   </t>
  </si>
  <si>
    <t xml:space="preserve">   Interest payments</t>
  </si>
  <si>
    <t>udwrwK egutwmcdiK EvedcSwaWsiawf Wviawfigen cSwNcnwrwd</t>
  </si>
  <si>
    <t>1_/     Expenses for water and sanitation is included in the health sector</t>
  </si>
  <si>
    <t>.eveawgiawbEhebWtwHcaiB Inwviawfinemih cawtudwrwK Wviawfiveruk cSwa WnWKWf iaWnef  1_/</t>
  </si>
  <si>
    <t>ބެހިފައިވަ ގޮތް އިންސައްތައިން</t>
  </si>
  <si>
    <t>(Revised )</t>
  </si>
  <si>
    <t>Capital Expenditure and net lending</t>
  </si>
  <si>
    <t>IkWb ufWs egInwrwd EverukUd iaWdwrwK ivinwncnuhimed</t>
  </si>
  <si>
    <t xml:space="preserve">   Capital expenditure</t>
  </si>
  <si>
    <t xml:space="preserve">udwrwK ivinwncnuhimed  </t>
  </si>
  <si>
    <t xml:space="preserve">      Public services</t>
  </si>
  <si>
    <t xml:space="preserve">ctwmcdiK umcaWA EvedcSwncnutiycawr    </t>
  </si>
  <si>
    <t xml:space="preserve">         General administration</t>
  </si>
  <si>
    <t xml:space="preserve">         Defence</t>
  </si>
  <si>
    <t xml:space="preserve">         Public order and Internal security</t>
  </si>
  <si>
    <t xml:space="preserve">cnuTcaeheleb cSokiretWkcawr cnwmwa iaWmurukcmiaWq ufWscniauludwa       </t>
  </si>
  <si>
    <t xml:space="preserve">         Environmental Protection</t>
  </si>
  <si>
    <t xml:space="preserve">      Social services</t>
  </si>
  <si>
    <t xml:space="preserve">IheaEvedev iaWrwK EverukcSwa Iqcawrwt eguAwmwtcjum    </t>
  </si>
  <si>
    <t xml:space="preserve">         Education</t>
  </si>
  <si>
    <t xml:space="preserve">         Health </t>
  </si>
  <si>
    <t xml:space="preserve">utwHcaiB       </t>
  </si>
  <si>
    <t xml:space="preserve">         Social security &amp; Welfare</t>
  </si>
  <si>
    <t xml:space="preserve">         Community programmes</t>
  </si>
  <si>
    <t xml:space="preserve">udwrWK EverukiawkwTcSwaWdiawf egutwAWmwj       </t>
  </si>
  <si>
    <t xml:space="preserve">        Fisheries and Agriculture</t>
  </si>
  <si>
    <t xml:space="preserve">cnwkirevcswm iaWmwkirevuDnwd      </t>
  </si>
  <si>
    <t xml:space="preserve">        Transportation</t>
  </si>
  <si>
    <t xml:space="preserve">udwrwK EhebWrutwfurutwd      </t>
  </si>
  <si>
    <t xml:space="preserve">        Communication</t>
  </si>
  <si>
    <t xml:space="preserve">ctWlwBWvum      </t>
  </si>
  <si>
    <t xml:space="preserve">        Tourism</t>
  </si>
  <si>
    <t xml:space="preserve">cnwkirevurutwf      </t>
  </si>
  <si>
    <t xml:space="preserve">        Trade and industries</t>
  </si>
  <si>
    <t xml:space="preserve">cnwkiretctwkcawswm iaWairWfwyiv      </t>
  </si>
  <si>
    <t xml:space="preserve">        Electricity</t>
  </si>
  <si>
    <t xml:space="preserve">cTcnwrwk      </t>
  </si>
  <si>
    <t xml:space="preserve">   Net lending  2_/</t>
  </si>
  <si>
    <t xml:space="preserve">                                    2_/  IkWbufWs egInwrwd EverukUd</t>
  </si>
  <si>
    <t xml:space="preserve"> Memorandum item:</t>
  </si>
  <si>
    <t xml:space="preserve"> Foreign-loans disbursements</t>
  </si>
  <si>
    <t>unuverukudwrwK egunOl egurEb</t>
  </si>
  <si>
    <t xml:space="preserve"> Amortization</t>
  </si>
  <si>
    <t>ލޯނު އަނބުރާ ދެއްކުން</t>
  </si>
  <si>
    <t>2_/   Includes capital contributions to public enterprises.</t>
  </si>
  <si>
    <t>.eveaenemih iawgiawbim clwTipek EverukUd cSwkwtcsiawrcprwTcnea ckilcbwp 2_/</t>
  </si>
  <si>
    <t>Capital Expenditure</t>
  </si>
  <si>
    <t xml:space="preserve">  Religion, Culture and Entertainment</t>
  </si>
  <si>
    <t xml:space="preserve">      Religion, Culture and Entertainment</t>
  </si>
  <si>
    <t xml:space="preserve">      Electricity</t>
  </si>
  <si>
    <t xml:space="preserve">        Religion, Culture and Entertainment</t>
  </si>
  <si>
    <t>-</t>
  </si>
  <si>
    <t>Source: Ministry of Finance and Treasury</t>
  </si>
  <si>
    <t>IDA</t>
  </si>
  <si>
    <t>ADB</t>
  </si>
  <si>
    <t>IDB</t>
  </si>
  <si>
    <t>IFAD</t>
  </si>
  <si>
    <t>Total grants</t>
  </si>
  <si>
    <t>Current</t>
  </si>
  <si>
    <t>Capital</t>
  </si>
  <si>
    <t xml:space="preserve">   Bilateral</t>
  </si>
  <si>
    <t xml:space="preserve">      India</t>
  </si>
  <si>
    <t xml:space="preserve">      China</t>
  </si>
  <si>
    <t xml:space="preserve">      Brunei</t>
  </si>
  <si>
    <t xml:space="preserve">      Denmark</t>
  </si>
  <si>
    <t xml:space="preserve">      Germany</t>
  </si>
  <si>
    <t xml:space="preserve">      Japan</t>
  </si>
  <si>
    <t xml:space="preserve">      Kuwait</t>
  </si>
  <si>
    <t xml:space="preserve">      Norway</t>
  </si>
  <si>
    <t xml:space="preserve">      Saudi Arabia</t>
  </si>
  <si>
    <t xml:space="preserve">      United Kingdom</t>
  </si>
  <si>
    <t xml:space="preserve">      France</t>
  </si>
  <si>
    <t xml:space="preserve">      Australia</t>
  </si>
  <si>
    <t xml:space="preserve">      Sri lanka</t>
  </si>
  <si>
    <t xml:space="preserve">      Qatar</t>
  </si>
  <si>
    <t xml:space="preserve">      America</t>
  </si>
  <si>
    <t xml:space="preserve">      South Korea</t>
  </si>
  <si>
    <t xml:space="preserve">      New Zealand</t>
  </si>
  <si>
    <t xml:space="preserve">      Sweden</t>
  </si>
  <si>
    <t xml:space="preserve">      Canada</t>
  </si>
  <si>
    <t xml:space="preserve">      Pakistan</t>
  </si>
  <si>
    <t xml:space="preserve">      Netherland</t>
  </si>
  <si>
    <t xml:space="preserve">      Bangladesh </t>
  </si>
  <si>
    <t xml:space="preserve">      Other</t>
  </si>
  <si>
    <t xml:space="preserve">   Multilateral</t>
  </si>
  <si>
    <t>UNDP</t>
  </si>
  <si>
    <t>WHO</t>
  </si>
  <si>
    <t>UNESCO</t>
  </si>
  <si>
    <t>UNICEF</t>
  </si>
  <si>
    <t>UNFPA</t>
  </si>
  <si>
    <t>WORLD BANK</t>
  </si>
  <si>
    <t xml:space="preserve">FIDA </t>
  </si>
  <si>
    <t>FAO</t>
  </si>
  <si>
    <t>SAARC</t>
  </si>
  <si>
    <t>UNODC</t>
  </si>
  <si>
    <t>UNOP</t>
  </si>
  <si>
    <t>NGO</t>
  </si>
  <si>
    <t>Global Fund</t>
  </si>
  <si>
    <t>UNCC</t>
  </si>
  <si>
    <t>Europian Union</t>
  </si>
  <si>
    <t>AGFUND</t>
  </si>
  <si>
    <t>UNEP</t>
  </si>
  <si>
    <t>British Council</t>
  </si>
  <si>
    <t>Asian Football Federation</t>
  </si>
  <si>
    <t>Tsunami Assistance</t>
  </si>
  <si>
    <t xml:space="preserve">Common Wealth </t>
  </si>
  <si>
    <t>UNITAR</t>
  </si>
  <si>
    <t>UNIDO</t>
  </si>
  <si>
    <t>LBO</t>
  </si>
  <si>
    <t>UNESCAP</t>
  </si>
  <si>
    <t xml:space="preserve">ISESCO </t>
  </si>
  <si>
    <t>GEF</t>
  </si>
  <si>
    <t>ދީނީ، ސަޤާފީ، މުނިފޫހިފިލުވުން</t>
  </si>
  <si>
    <t xml:space="preserve">      Finland</t>
  </si>
  <si>
    <t>Saudi Prince</t>
  </si>
  <si>
    <t>ASDB</t>
  </si>
  <si>
    <t>AFPPD</t>
  </si>
  <si>
    <t>PRC</t>
  </si>
  <si>
    <t>UNOPS</t>
  </si>
  <si>
    <t xml:space="preserve">   Italy</t>
  </si>
  <si>
    <t>2015-2016</t>
  </si>
  <si>
    <t>US Aid /America</t>
  </si>
  <si>
    <t xml:space="preserve"> </t>
  </si>
  <si>
    <t xml:space="preserve">Other  </t>
  </si>
  <si>
    <r>
      <rPr>
        <b/>
        <sz val="8"/>
        <color theme="1"/>
        <rFont val="Faruma"/>
      </rPr>
      <t>ބެހިފައިވާ ގޮތް އިން ސައްތައިން</t>
    </r>
    <r>
      <rPr>
        <b/>
        <sz val="8"/>
        <color theme="1"/>
        <rFont val="Arial"/>
        <family val="2"/>
      </rPr>
      <t xml:space="preserve"> % share</t>
    </r>
  </si>
  <si>
    <t>2015 - 2016</t>
  </si>
  <si>
    <t>Estimate</t>
  </si>
  <si>
    <t xml:space="preserve">  Community programmes*</t>
  </si>
  <si>
    <t>* From 2015 onwards, "community programmes" included in "Religion, Culture and Entertainment".</t>
  </si>
  <si>
    <t>Turkey</t>
  </si>
  <si>
    <t>UAE</t>
  </si>
  <si>
    <t>Caritas Italiana</t>
  </si>
  <si>
    <t>FBO</t>
  </si>
  <si>
    <t>UNSD</t>
  </si>
  <si>
    <t>Inter Parliamentary Union</t>
  </si>
  <si>
    <t>Asia Pacific Forum</t>
  </si>
  <si>
    <t>GCF</t>
  </si>
  <si>
    <t>2016 Rev</t>
  </si>
  <si>
    <t>2017 Est</t>
  </si>
  <si>
    <t>2018 Est</t>
  </si>
  <si>
    <t>2019 Est</t>
  </si>
  <si>
    <t>2016-2017</t>
  </si>
  <si>
    <t>2020 -2013 ,ctogWviawfiverukudwrwK cnuTejwb egurWkurws cnutogegukwtiawb WviawfiLeawDnwk cSwmugcnihudwrwK : 13.5 ulwvWt</t>
  </si>
  <si>
    <t>Table  13.5 :  FUNCTIONAL CLASSIFICATION OF CENTRAL GOVERNMENT EXPENDITURE, 2013- 2020</t>
  </si>
  <si>
    <t>2020-2013 ,ctogEverukudwrwK Wditenivua cnurWkurws cnutog egukwtiawb WviawfiLeawDnwk cSwmugcnihudwrwK : 13.6 ulwvWt</t>
  </si>
  <si>
    <t>Table  13.6 :  FUNCTIONAL CLASSIFICATION OF CENTRAL GOVERNMENT  CURRENT EXPENDITURE, 2013 - 2020</t>
  </si>
  <si>
    <t>2016 - 2017</t>
  </si>
  <si>
    <t>2020 -2013 ,ctEverukudwrwK ivinwncnuhimed cnurWkurws cnutog egukwtiawb WviawfiLeawDnwk cSwmugcnihudwrwK : 13.7 ulwvWt</t>
  </si>
  <si>
    <t>Table  13.7 :  FUNCTIONAL CLASSIFICATION OF CENTRAL GOVERNMENT  CAPITAL EXPENDITURE, 2013 - 2020</t>
  </si>
  <si>
    <t>ތާވަލު 13.11: ބޭރުގެ އެހީ، މައިގަނޑު އެހީ ދޭ ފަރާތްތަކުން، 2006 - 2020</t>
  </si>
  <si>
    <t>Table  13.11 : FOREIGN GRANTS BY PRINCIPAL DONORS, 2006 - 2020</t>
  </si>
  <si>
    <t>2020 Est</t>
  </si>
  <si>
    <t xml:space="preserve">Revised </t>
  </si>
  <si>
    <t xml:space="preserve">      Abu Dhabi</t>
  </si>
  <si>
    <t xml:space="preserve">      Thailand</t>
  </si>
  <si>
    <t xml:space="preserve">      Saudi Fund</t>
  </si>
  <si>
    <t>IUTL</t>
  </si>
  <si>
    <t>OFID</t>
  </si>
  <si>
    <t>SDF</t>
  </si>
  <si>
    <t>UNES</t>
  </si>
  <si>
    <t>WTO</t>
  </si>
  <si>
    <t>Fund Raising Activities</t>
  </si>
  <si>
    <t>IPU</t>
  </si>
  <si>
    <t xml:space="preserve"> Note:  1_/  Data revised</t>
  </si>
  <si>
    <r>
      <t>2016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</si>
  <si>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r>
      <t xml:space="preserve">ނޯޓް: </t>
    </r>
    <r>
      <rPr>
        <i/>
        <sz val="9"/>
        <color theme="1"/>
        <rFont val="Faruma"/>
      </rPr>
      <t>/_1</t>
    </r>
    <r>
      <rPr>
        <sz val="9"/>
        <color theme="1"/>
        <rFont val="Faruma"/>
      </rPr>
      <t xml:space="preserve">  އިސްލާޙުކުރެވިފައި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</si>
</sst>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7" formatCode="_(* #,##0.0_);_(* \(#,##0.0\);_(* &quot;-&quot;??_);_(@_)"/>
    <numFmt numFmtId="168" formatCode="0.0"/>
    <numFmt numFmtId="170" formatCode="_-* #,##0.00_-;\-* #,##0.00_-;_-* &quot;-&quot;??_-;_-@_-"/>
    <numFmt numFmtId="171" formatCode="#,##0.00\ ;&quot; (&quot;#,##0.00\);&quot; -&quot;#\ ;@\ 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b/>
      <sz val="11"/>
      <color theme="1"/>
      <name val="Faruma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Faruma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9"/>
      <color theme="1"/>
      <name val="Faruma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_Randhoo"/>
    </font>
    <font>
      <b/>
      <sz val="8"/>
      <color theme="1"/>
      <name val="Arial"/>
      <family val="2"/>
    </font>
    <font>
      <sz val="9"/>
      <color theme="1"/>
      <name val="A_Randhoo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b/>
      <sz val="9"/>
      <color theme="1"/>
      <name val="A_Utheem"/>
    </font>
    <font>
      <sz val="9"/>
      <color theme="1"/>
      <name val="A_Utheem"/>
    </font>
    <font>
      <b/>
      <sz val="8"/>
      <color theme="1"/>
      <name val="Faruma"/>
    </font>
    <font>
      <b/>
      <sz val="9"/>
      <color theme="1"/>
      <name val="Win Ahamedey PRB"/>
      <family val="2"/>
    </font>
    <font>
      <sz val="10"/>
      <color theme="1"/>
      <name val="Courier"/>
      <family val="3"/>
    </font>
    <font>
      <sz val="9"/>
      <color theme="1"/>
      <name val="Courier"/>
      <family val="3"/>
    </font>
    <font>
      <sz val="10"/>
      <color indexed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vertAlign val="superscript"/>
      <sz val="10"/>
      <color theme="1"/>
      <name val="Calibri"/>
      <family val="2"/>
      <scheme val="minor"/>
    </font>
    <font>
      <i/>
      <sz val="9"/>
      <color theme="1"/>
      <name val="Farum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theme="1" tint="4.9989318521683403E-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5" fillId="0" borderId="0" applyFont="0" applyFill="0" applyBorder="0" applyAlignment="0" applyProtection="0"/>
    <xf numFmtId="0" fontId="2" fillId="0" borderId="0"/>
    <xf numFmtId="0" fontId="2" fillId="0" borderId="0"/>
    <xf numFmtId="170" fontId="1" fillId="0" borderId="0" applyFont="0" applyFill="0" applyBorder="0" applyAlignment="0" applyProtection="0"/>
    <xf numFmtId="0" fontId="9" fillId="0" borderId="0"/>
    <xf numFmtId="171" fontId="9" fillId="0" borderId="0"/>
    <xf numFmtId="0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9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303">
    <xf numFmtId="0" fontId="0" fillId="0" borderId="0" xfId="0"/>
    <xf numFmtId="164" fontId="4" fillId="2" borderId="0" xfId="4" applyNumberFormat="1" applyFont="1" applyFill="1" applyAlignment="1" applyProtection="1">
      <alignment horizontal="left" vertical="center"/>
    </xf>
    <xf numFmtId="164" fontId="4" fillId="2" borderId="0" xfId="4" applyNumberFormat="1" applyFont="1" applyFill="1"/>
    <xf numFmtId="2" fontId="4" fillId="2" borderId="0" xfId="4" applyNumberFormat="1" applyFont="1" applyFill="1"/>
    <xf numFmtId="164" fontId="3" fillId="2" borderId="0" xfId="4" applyNumberFormat="1" applyFont="1" applyFill="1" applyBorder="1" applyAlignment="1">
      <alignment horizontal="center"/>
    </xf>
    <xf numFmtId="1" fontId="3" fillId="2" borderId="9" xfId="4" applyNumberFormat="1" applyFont="1" applyFill="1" applyBorder="1"/>
    <xf numFmtId="164" fontId="3" fillId="2" borderId="9" xfId="4" applyNumberFormat="1" applyFont="1" applyFill="1" applyBorder="1"/>
    <xf numFmtId="164" fontId="3" fillId="2" borderId="9" xfId="4" applyNumberFormat="1" applyFont="1" applyFill="1" applyBorder="1" applyAlignment="1" applyProtection="1">
      <alignment horizontal="left" vertical="center"/>
    </xf>
    <xf numFmtId="167" fontId="4" fillId="2" borderId="9" xfId="1" applyNumberFormat="1" applyFont="1" applyFill="1" applyBorder="1"/>
    <xf numFmtId="164" fontId="4" fillId="2" borderId="0" xfId="4" applyNumberFormat="1" applyFont="1" applyFill="1" applyAlignment="1"/>
    <xf numFmtId="165" fontId="8" fillId="2" borderId="0" xfId="2" applyNumberFormat="1" applyFont="1" applyFill="1" applyBorder="1" applyAlignment="1" applyProtection="1">
      <alignment horizontal="right" vertical="center"/>
      <protection locked="0"/>
    </xf>
    <xf numFmtId="164" fontId="13" fillId="2" borderId="0" xfId="2" applyNumberFormat="1" applyFont="1" applyFill="1" applyBorder="1" applyAlignment="1" applyProtection="1">
      <alignment horizontal="right" vertical="center"/>
      <protection locked="0"/>
    </xf>
    <xf numFmtId="164" fontId="13" fillId="2" borderId="2" xfId="2" applyNumberFormat="1" applyFont="1" applyFill="1" applyBorder="1" applyAlignment="1">
      <alignment horizontal="right" vertical="center"/>
    </xf>
    <xf numFmtId="164" fontId="8" fillId="2" borderId="0" xfId="2" applyNumberFormat="1" applyFont="1" applyFill="1" applyBorder="1" applyAlignment="1" applyProtection="1">
      <alignment horizontal="right" vertical="center"/>
      <protection locked="0"/>
    </xf>
    <xf numFmtId="164" fontId="8" fillId="2" borderId="1" xfId="2" applyNumberFormat="1" applyFont="1" applyFill="1" applyBorder="1" applyAlignment="1" applyProtection="1">
      <alignment horizontal="right" vertical="center"/>
    </xf>
    <xf numFmtId="164" fontId="24" fillId="2" borderId="0" xfId="2" applyNumberFormat="1" applyFont="1" applyFill="1" applyAlignment="1">
      <alignment vertical="center"/>
    </xf>
    <xf numFmtId="164" fontId="25" fillId="2" borderId="0" xfId="2" applyNumberFormat="1" applyFont="1" applyFill="1" applyAlignment="1">
      <alignment vertical="center"/>
    </xf>
    <xf numFmtId="164" fontId="8" fillId="2" borderId="0" xfId="2" applyNumberFormat="1" applyFont="1" applyFill="1" applyAlignment="1" applyProtection="1">
      <alignment horizontal="left" vertical="center"/>
    </xf>
    <xf numFmtId="165" fontId="15" fillId="2" borderId="0" xfId="2" applyNumberFormat="1" applyFont="1" applyFill="1" applyBorder="1" applyAlignment="1" applyProtection="1">
      <alignment horizontal="right" vertical="center"/>
    </xf>
    <xf numFmtId="164" fontId="12" fillId="2" borderId="0" xfId="2" applyNumberFormat="1" applyFont="1" applyFill="1" applyAlignment="1">
      <alignment vertical="center"/>
    </xf>
    <xf numFmtId="164" fontId="29" fillId="2" borderId="0" xfId="2" applyNumberFormat="1" applyFont="1" applyFill="1" applyAlignment="1">
      <alignment vertical="center"/>
    </xf>
    <xf numFmtId="164" fontId="22" fillId="2" borderId="0" xfId="2" applyNumberFormat="1" applyFont="1" applyFill="1" applyAlignment="1" applyProtection="1">
      <alignment horizontal="left" vertical="center"/>
    </xf>
    <xf numFmtId="164" fontId="19" fillId="2" borderId="0" xfId="2" applyNumberFormat="1" applyFont="1" applyFill="1" applyAlignment="1">
      <alignment vertical="center"/>
    </xf>
    <xf numFmtId="164" fontId="15" fillId="2" borderId="0" xfId="2" applyNumberFormat="1" applyFont="1" applyFill="1" applyAlignment="1">
      <alignment horizontal="center" vertical="center"/>
    </xf>
    <xf numFmtId="164" fontId="24" fillId="2" borderId="0" xfId="2" applyNumberFormat="1" applyFont="1" applyFill="1" applyAlignment="1">
      <alignment horizontal="center" vertical="center"/>
    </xf>
    <xf numFmtId="164" fontId="29" fillId="2" borderId="0" xfId="2" applyNumberFormat="1" applyFont="1" applyFill="1" applyBorder="1" applyAlignment="1">
      <alignment vertical="center"/>
    </xf>
    <xf numFmtId="165" fontId="15" fillId="2" borderId="0" xfId="2" applyNumberFormat="1" applyFont="1" applyFill="1" applyBorder="1" applyAlignment="1" applyProtection="1">
      <alignment horizontal="right" vertical="center"/>
      <protection locked="0"/>
    </xf>
    <xf numFmtId="164" fontId="19" fillId="2" borderId="2" xfId="2" applyNumberFormat="1" applyFont="1" applyFill="1" applyBorder="1" applyAlignment="1" applyProtection="1">
      <alignment horizontal="left" vertical="center"/>
    </xf>
    <xf numFmtId="41" fontId="30" fillId="2" borderId="2" xfId="3" applyNumberFormat="1" applyFont="1" applyFill="1" applyBorder="1" applyAlignment="1" applyProtection="1">
      <alignment horizontal="right" vertical="center"/>
      <protection locked="0"/>
    </xf>
    <xf numFmtId="164" fontId="28" fillId="2" borderId="2" xfId="2" applyNumberFormat="1" applyFont="1" applyFill="1" applyBorder="1" applyAlignment="1">
      <alignment horizontal="right" vertical="center"/>
    </xf>
    <xf numFmtId="164" fontId="28" fillId="2" borderId="0" xfId="2" applyNumberFormat="1" applyFont="1" applyFill="1" applyAlignment="1">
      <alignment horizontal="right" vertical="center"/>
    </xf>
    <xf numFmtId="164" fontId="12" fillId="2" borderId="0" xfId="2" applyNumberFormat="1" applyFont="1" applyFill="1" applyBorder="1" applyAlignment="1">
      <alignment vertical="center"/>
    </xf>
    <xf numFmtId="164" fontId="13" fillId="2" borderId="2" xfId="2" applyNumberFormat="1" applyFont="1" applyFill="1" applyBorder="1" applyAlignment="1" applyProtection="1">
      <alignment horizontal="right" vertical="center"/>
    </xf>
    <xf numFmtId="0" fontId="21" fillId="2" borderId="0" xfId="0" applyFont="1" applyFill="1" applyBorder="1" applyAlignment="1"/>
    <xf numFmtId="164" fontId="13" fillId="2" borderId="0" xfId="2" applyNumberFormat="1" applyFont="1" applyFill="1" applyAlignment="1" applyProtection="1">
      <alignment horizontal="left" vertical="center"/>
    </xf>
    <xf numFmtId="165" fontId="13" fillId="2" borderId="0" xfId="2" applyNumberFormat="1" applyFont="1" applyFill="1" applyAlignment="1" applyProtection="1">
      <alignment horizontal="right" vertical="center"/>
    </xf>
    <xf numFmtId="165" fontId="13" fillId="2" borderId="0" xfId="2" applyNumberFormat="1" applyFont="1" applyFill="1" applyAlignment="1" applyProtection="1">
      <alignment horizontal="right" vertical="center"/>
      <protection locked="0"/>
    </xf>
    <xf numFmtId="164" fontId="11" fillId="2" borderId="0" xfId="2" applyNumberFormat="1" applyFont="1" applyFill="1" applyAlignment="1">
      <alignment horizontal="right" vertical="center"/>
    </xf>
    <xf numFmtId="164" fontId="19" fillId="2" borderId="0" xfId="2" applyNumberFormat="1" applyFont="1" applyFill="1" applyAlignment="1" applyProtection="1">
      <alignment horizontal="left" vertical="center"/>
    </xf>
    <xf numFmtId="41" fontId="30" fillId="2" borderId="0" xfId="3" applyNumberFormat="1" applyFont="1" applyFill="1" applyBorder="1" applyAlignment="1" applyProtection="1">
      <alignment horizontal="right" vertical="center"/>
      <protection locked="0"/>
    </xf>
    <xf numFmtId="164" fontId="19" fillId="2" borderId="0" xfId="2" applyNumberFormat="1" applyFont="1" applyFill="1" applyBorder="1" applyAlignment="1" applyProtection="1">
      <alignment horizontal="left" vertical="center"/>
    </xf>
    <xf numFmtId="165" fontId="19" fillId="2" borderId="0" xfId="2" applyNumberFormat="1" applyFont="1" applyFill="1" applyBorder="1" applyAlignment="1" applyProtection="1">
      <alignment horizontal="right" vertical="center"/>
    </xf>
    <xf numFmtId="165" fontId="13" fillId="2" borderId="2" xfId="2" applyNumberFormat="1" applyFont="1" applyFill="1" applyBorder="1" applyAlignment="1" applyProtection="1">
      <alignment horizontal="right" vertical="center"/>
      <protection locked="0"/>
    </xf>
    <xf numFmtId="164" fontId="32" fillId="2" borderId="0" xfId="2" applyNumberFormat="1" applyFont="1" applyFill="1" applyAlignment="1">
      <alignment vertical="center" wrapText="1"/>
    </xf>
    <xf numFmtId="164" fontId="27" fillId="2" borderId="3" xfId="2" applyNumberFormat="1" applyFont="1" applyFill="1" applyBorder="1" applyAlignment="1">
      <alignment vertical="center"/>
    </xf>
    <xf numFmtId="164" fontId="26" fillId="2" borderId="0" xfId="2" applyNumberFormat="1" applyFont="1" applyFill="1" applyBorder="1" applyAlignment="1"/>
    <xf numFmtId="164" fontId="26" fillId="2" borderId="0" xfId="2" applyNumberFormat="1" applyFont="1" applyFill="1" applyBorder="1" applyAlignment="1">
      <alignment horizontal="center"/>
    </xf>
    <xf numFmtId="164" fontId="27" fillId="2" borderId="0" xfId="2" applyNumberFormat="1" applyFont="1" applyFill="1" applyBorder="1" applyAlignment="1">
      <alignment vertical="center"/>
    </xf>
    <xf numFmtId="164" fontId="12" fillId="2" borderId="0" xfId="2" applyNumberFormat="1" applyFont="1" applyFill="1" applyBorder="1" applyAlignment="1" applyProtection="1">
      <alignment horizontal="right" vertical="center"/>
      <protection locked="0"/>
    </xf>
    <xf numFmtId="164" fontId="27" fillId="2" borderId="0" xfId="2" applyNumberFormat="1" applyFont="1" applyFill="1" applyBorder="1" applyAlignment="1" applyProtection="1">
      <alignment horizontal="center" vertical="center"/>
      <protection locked="0"/>
    </xf>
    <xf numFmtId="164" fontId="27" fillId="2" borderId="0" xfId="2" applyNumberFormat="1" applyFont="1" applyFill="1" applyBorder="1" applyAlignment="1" applyProtection="1">
      <alignment horizontal="right" vertical="center"/>
      <protection locked="0"/>
    </xf>
    <xf numFmtId="168" fontId="13" fillId="2" borderId="17" xfId="2" applyNumberFormat="1" applyFont="1" applyFill="1" applyBorder="1" applyAlignment="1">
      <alignment horizontal="right" vertical="center"/>
    </xf>
    <xf numFmtId="164" fontId="34" fillId="2" borderId="2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Border="1" applyAlignment="1" applyProtection="1">
      <alignment horizontal="right" vertical="center"/>
    </xf>
    <xf numFmtId="3" fontId="8" fillId="2" borderId="3" xfId="2" applyNumberFormat="1" applyFont="1" applyFill="1" applyBorder="1" applyAlignment="1" applyProtection="1">
      <alignment horizontal="right" vertical="center"/>
    </xf>
    <xf numFmtId="165" fontId="8" fillId="2" borderId="3" xfId="2" applyNumberFormat="1" applyFont="1" applyFill="1" applyBorder="1" applyAlignment="1" applyProtection="1">
      <alignment horizontal="right" vertical="center"/>
    </xf>
    <xf numFmtId="168" fontId="8" fillId="2" borderId="0" xfId="2" applyNumberFormat="1" applyFont="1" applyFill="1" applyBorder="1" applyAlignment="1" applyProtection="1">
      <alignment horizontal="right" vertical="center"/>
      <protection locked="0"/>
    </xf>
    <xf numFmtId="3" fontId="8" fillId="2" borderId="0" xfId="2" applyNumberFormat="1" applyFont="1" applyFill="1" applyBorder="1" applyAlignment="1" applyProtection="1">
      <alignment horizontal="right" vertical="center"/>
      <protection locked="0"/>
    </xf>
    <xf numFmtId="168" fontId="8" fillId="2" borderId="10" xfId="2" applyNumberFormat="1" applyFont="1" applyFill="1" applyBorder="1" applyAlignment="1" applyProtection="1">
      <alignment vertical="center"/>
      <protection locked="0"/>
    </xf>
    <xf numFmtId="164" fontId="15" fillId="2" borderId="0" xfId="2" applyNumberFormat="1" applyFont="1" applyFill="1" applyAlignment="1" applyProtection="1">
      <alignment horizontal="left" vertical="center"/>
    </xf>
    <xf numFmtId="3" fontId="15" fillId="2" borderId="0" xfId="2" applyNumberFormat="1" applyFont="1" applyFill="1" applyBorder="1" applyAlignment="1" applyProtection="1">
      <alignment horizontal="right" vertical="center"/>
      <protection locked="0"/>
    </xf>
    <xf numFmtId="168" fontId="15" fillId="2" borderId="0" xfId="2" applyNumberFormat="1" applyFont="1" applyFill="1" applyBorder="1" applyAlignment="1" applyProtection="1">
      <alignment vertical="center"/>
      <protection locked="0"/>
    </xf>
    <xf numFmtId="168" fontId="15" fillId="2" borderId="10" xfId="2" applyNumberFormat="1" applyFont="1" applyFill="1" applyBorder="1" applyAlignment="1" applyProtection="1">
      <alignment vertical="center"/>
      <protection locked="0"/>
    </xf>
    <xf numFmtId="168" fontId="15" fillId="2" borderId="0" xfId="2" applyNumberFormat="1" applyFont="1" applyFill="1" applyBorder="1" applyAlignment="1" applyProtection="1">
      <alignment horizontal="right" vertical="center"/>
      <protection locked="0"/>
    </xf>
    <xf numFmtId="164" fontId="28" fillId="2" borderId="0" xfId="2" applyNumberFormat="1" applyFont="1" applyFill="1" applyAlignment="1">
      <alignment horizontal="right" vertical="center" indent="3"/>
    </xf>
    <xf numFmtId="3" fontId="15" fillId="2" borderId="0" xfId="2" applyNumberFormat="1" applyFont="1" applyFill="1" applyBorder="1" applyAlignment="1">
      <alignment vertical="center"/>
    </xf>
    <xf numFmtId="164" fontId="20" fillId="2" borderId="0" xfId="2" applyNumberFormat="1" applyFont="1" applyFill="1" applyAlignment="1">
      <alignment horizontal="right" vertical="center"/>
    </xf>
    <xf numFmtId="3" fontId="15" fillId="2" borderId="0" xfId="2" applyNumberFormat="1" applyFont="1" applyFill="1" applyBorder="1" applyAlignment="1" applyProtection="1">
      <alignment horizontal="right" vertical="center"/>
    </xf>
    <xf numFmtId="164" fontId="15" fillId="2" borderId="2" xfId="2" applyNumberFormat="1" applyFont="1" applyFill="1" applyBorder="1" applyAlignment="1" applyProtection="1">
      <alignment horizontal="left" vertical="center"/>
    </xf>
    <xf numFmtId="3" fontId="15" fillId="2" borderId="2" xfId="2" applyNumberFormat="1" applyFont="1" applyFill="1" applyBorder="1" applyAlignment="1" applyProtection="1">
      <alignment horizontal="center" vertical="center"/>
      <protection locked="0"/>
    </xf>
    <xf numFmtId="3" fontId="15" fillId="2" borderId="2" xfId="2" applyNumberFormat="1" applyFont="1" applyFill="1" applyBorder="1" applyAlignment="1" applyProtection="1">
      <alignment horizontal="right" vertical="center"/>
      <protection locked="0"/>
    </xf>
    <xf numFmtId="165" fontId="15" fillId="2" borderId="2" xfId="2" applyNumberFormat="1" applyFont="1" applyFill="1" applyBorder="1" applyAlignment="1" applyProtection="1">
      <alignment horizontal="right" vertical="center"/>
      <protection locked="0"/>
    </xf>
    <xf numFmtId="168" fontId="15" fillId="2" borderId="11" xfId="2" applyNumberFormat="1" applyFont="1" applyFill="1" applyBorder="1" applyAlignment="1" applyProtection="1">
      <alignment vertical="center"/>
      <protection locked="0"/>
    </xf>
    <xf numFmtId="168" fontId="15" fillId="2" borderId="2" xfId="2" applyNumberFormat="1" applyFont="1" applyFill="1" applyBorder="1" applyAlignment="1" applyProtection="1">
      <alignment horizontal="right" vertical="center"/>
      <protection locked="0"/>
    </xf>
    <xf numFmtId="164" fontId="20" fillId="2" borderId="2" xfId="2" applyNumberFormat="1" applyFont="1" applyFill="1" applyBorder="1" applyAlignment="1">
      <alignment horizontal="right" vertical="center"/>
    </xf>
    <xf numFmtId="37" fontId="19" fillId="2" borderId="0" xfId="2" applyNumberFormat="1" applyFont="1" applyFill="1" applyAlignment="1" applyProtection="1">
      <alignment horizontal="center" vertical="center"/>
    </xf>
    <xf numFmtId="168" fontId="19" fillId="2" borderId="0" xfId="2" applyNumberFormat="1" applyFont="1" applyFill="1" applyAlignment="1" applyProtection="1">
      <alignment horizontal="center" vertical="center"/>
    </xf>
    <xf numFmtId="168" fontId="24" fillId="2" borderId="0" xfId="2" applyNumberFormat="1" applyFont="1" applyFill="1" applyAlignment="1">
      <alignment horizontal="center" vertical="center"/>
    </xf>
    <xf numFmtId="165" fontId="12" fillId="2" borderId="0" xfId="2" applyNumberFormat="1" applyFont="1" applyFill="1" applyAlignment="1" applyProtection="1">
      <alignment horizontal="right" vertical="center"/>
    </xf>
    <xf numFmtId="165" fontId="12" fillId="2" borderId="0" xfId="2" applyNumberFormat="1" applyFont="1" applyFill="1" applyAlignment="1" applyProtection="1">
      <alignment horizontal="right" vertical="center"/>
      <protection locked="0"/>
    </xf>
    <xf numFmtId="164" fontId="11" fillId="2" borderId="0" xfId="2" applyNumberFormat="1" applyFont="1" applyFill="1" applyBorder="1" applyAlignment="1"/>
    <xf numFmtId="164" fontId="11" fillId="2" borderId="3" xfId="2" applyNumberFormat="1" applyFont="1" applyFill="1" applyBorder="1" applyAlignment="1">
      <alignment horizontal="center"/>
    </xf>
    <xf numFmtId="0" fontId="17" fillId="2" borderId="3" xfId="2" applyFont="1" applyFill="1" applyBorder="1" applyAlignment="1" applyProtection="1">
      <alignment horizontal="center" vertical="center"/>
    </xf>
    <xf numFmtId="164" fontId="12" fillId="2" borderId="0" xfId="2" applyNumberFormat="1" applyFont="1" applyFill="1" applyBorder="1" applyAlignment="1" applyProtection="1">
      <alignment horizontal="left" vertical="center"/>
    </xf>
    <xf numFmtId="164" fontId="12" fillId="2" borderId="0" xfId="2" applyNumberFormat="1" applyFont="1" applyFill="1" applyBorder="1" applyAlignment="1">
      <alignment horizontal="right"/>
    </xf>
    <xf numFmtId="1" fontId="13" fillId="2" borderId="2" xfId="2" applyNumberFormat="1" applyFont="1" applyFill="1" applyBorder="1" applyAlignment="1" applyProtection="1">
      <alignment horizontal="right" vertical="center"/>
    </xf>
    <xf numFmtId="1" fontId="13" fillId="2" borderId="2" xfId="2" applyNumberFormat="1" applyFont="1" applyFill="1" applyBorder="1" applyAlignment="1" applyProtection="1">
      <alignment horizontal="center" vertical="center"/>
    </xf>
    <xf numFmtId="1" fontId="13" fillId="2" borderId="2" xfId="2" applyNumberFormat="1" applyFont="1" applyFill="1" applyBorder="1" applyAlignment="1">
      <alignment horizontal="right" vertical="center"/>
    </xf>
    <xf numFmtId="1" fontId="13" fillId="2" borderId="0" xfId="2" applyNumberFormat="1" applyFont="1" applyFill="1" applyAlignment="1">
      <alignment horizontal="right" vertical="center"/>
    </xf>
    <xf numFmtId="165" fontId="13" fillId="2" borderId="0" xfId="2" applyNumberFormat="1" applyFont="1" applyFill="1" applyAlignment="1">
      <alignment horizontal="right" vertical="center"/>
    </xf>
    <xf numFmtId="165" fontId="13" fillId="2" borderId="0" xfId="2" applyNumberFormat="1" applyFont="1" applyFill="1" applyBorder="1" applyAlignment="1">
      <alignment horizontal="right" vertical="center"/>
    </xf>
    <xf numFmtId="165" fontId="13" fillId="2" borderId="0" xfId="2" applyNumberFormat="1" applyFont="1" applyFill="1" applyBorder="1" applyAlignment="1">
      <alignment horizontal="right" vertical="center" indent="3"/>
    </xf>
    <xf numFmtId="165" fontId="19" fillId="2" borderId="0" xfId="2" applyNumberFormat="1" applyFont="1" applyFill="1" applyAlignment="1">
      <alignment horizontal="right" vertical="center"/>
    </xf>
    <xf numFmtId="165" fontId="19" fillId="2" borderId="0" xfId="2" applyNumberFormat="1" applyFont="1" applyFill="1" applyBorder="1" applyAlignment="1">
      <alignment horizontal="right" vertical="center"/>
    </xf>
    <xf numFmtId="165" fontId="19" fillId="2" borderId="0" xfId="2" applyNumberFormat="1" applyFont="1" applyFill="1" applyBorder="1" applyAlignment="1">
      <alignment horizontal="right" vertical="center" indent="3"/>
    </xf>
    <xf numFmtId="164" fontId="20" fillId="2" borderId="0" xfId="2" applyNumberFormat="1" applyFont="1" applyFill="1" applyAlignment="1">
      <alignment horizontal="right" vertical="center" indent="4"/>
    </xf>
    <xf numFmtId="165" fontId="19" fillId="2" borderId="0" xfId="2" applyNumberFormat="1" applyFont="1" applyFill="1" applyAlignment="1" applyProtection="1">
      <alignment horizontal="right" vertical="center"/>
    </xf>
    <xf numFmtId="168" fontId="19" fillId="2" borderId="0" xfId="2" applyNumberFormat="1" applyFont="1" applyFill="1" applyBorder="1" applyAlignment="1" applyProtection="1">
      <alignment horizontal="right" vertical="center"/>
      <protection locked="0"/>
    </xf>
    <xf numFmtId="168" fontId="19" fillId="2" borderId="0" xfId="2" applyNumberFormat="1" applyFont="1" applyFill="1" applyAlignment="1">
      <alignment vertical="center"/>
    </xf>
    <xf numFmtId="164" fontId="28" fillId="2" borderId="0" xfId="2" applyNumberFormat="1" applyFont="1" applyFill="1" applyBorder="1" applyAlignment="1">
      <alignment horizontal="right" vertical="center"/>
    </xf>
    <xf numFmtId="168" fontId="19" fillId="2" borderId="2" xfId="2" applyNumberFormat="1" applyFont="1" applyFill="1" applyBorder="1" applyAlignment="1" applyProtection="1">
      <alignment horizontal="right" vertical="center"/>
      <protection locked="0"/>
    </xf>
    <xf numFmtId="164" fontId="19" fillId="2" borderId="0" xfId="2" applyNumberFormat="1" applyFont="1" applyFill="1" applyAlignment="1">
      <alignment horizontal="center" vertical="center"/>
    </xf>
    <xf numFmtId="0" fontId="22" fillId="2" borderId="0" xfId="0" applyFont="1" applyFill="1" applyBorder="1" applyAlignment="1"/>
    <xf numFmtId="0" fontId="0" fillId="2" borderId="0" xfId="0" applyFont="1" applyFill="1" applyAlignment="1">
      <alignment horizontal="left" vertical="center"/>
    </xf>
    <xf numFmtId="165" fontId="14" fillId="2" borderId="3" xfId="5" applyNumberFormat="1" applyFont="1" applyFill="1" applyBorder="1" applyAlignment="1" applyProtection="1">
      <alignment horizontal="right" vertical="center"/>
    </xf>
    <xf numFmtId="164" fontId="14" fillId="2" borderId="3" xfId="5" applyNumberFormat="1" applyFont="1" applyFill="1" applyBorder="1" applyAlignment="1" applyProtection="1">
      <alignment horizontal="right" vertical="center"/>
      <protection locked="0"/>
    </xf>
    <xf numFmtId="0" fontId="14" fillId="2" borderId="0" xfId="0" applyFont="1" applyFill="1" applyAlignment="1">
      <alignment horizontal="left" vertical="center"/>
    </xf>
    <xf numFmtId="164" fontId="14" fillId="2" borderId="2" xfId="5" applyNumberFormat="1" applyFont="1" applyFill="1" applyBorder="1" applyAlignment="1" applyProtection="1">
      <alignment horizontal="right" vertical="center"/>
    </xf>
    <xf numFmtId="43" fontId="14" fillId="2" borderId="0" xfId="1" applyNumberFormat="1" applyFont="1" applyFill="1" applyBorder="1" applyAlignment="1">
      <alignment horizontal="left" vertical="center"/>
    </xf>
    <xf numFmtId="167" fontId="14" fillId="2" borderId="0" xfId="1" applyNumberFormat="1" applyFont="1" applyFill="1" applyBorder="1" applyAlignment="1">
      <alignment horizontal="right" vertical="center"/>
    </xf>
    <xf numFmtId="0" fontId="0" fillId="2" borderId="0" xfId="0" applyFont="1" applyFill="1" applyAlignment="1">
      <alignment horizontal="right" vertical="center"/>
    </xf>
    <xf numFmtId="43" fontId="0" fillId="2" borderId="0" xfId="1" applyNumberFormat="1" applyFont="1" applyFill="1" applyBorder="1" applyAlignment="1">
      <alignment horizontal="left" vertical="center" indent="1"/>
    </xf>
    <xf numFmtId="167" fontId="0" fillId="2" borderId="0" xfId="1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167" fontId="0" fillId="2" borderId="0" xfId="1" applyNumberFormat="1" applyFont="1" applyFill="1" applyBorder="1" applyAlignment="1" applyProtection="1">
      <alignment horizontal="right" vertical="center"/>
    </xf>
    <xf numFmtId="167" fontId="14" fillId="2" borderId="0" xfId="1" applyNumberFormat="1" applyFont="1" applyFill="1" applyBorder="1" applyAlignment="1" applyProtection="1">
      <alignment horizontal="right" vertical="center"/>
    </xf>
    <xf numFmtId="43" fontId="0" fillId="2" borderId="0" xfId="1" applyNumberFormat="1" applyFont="1" applyFill="1" applyBorder="1" applyAlignment="1">
      <alignment horizontal="left" vertical="center" indent="2"/>
    </xf>
    <xf numFmtId="43" fontId="0" fillId="2" borderId="0" xfId="1" applyNumberFormat="1" applyFont="1" applyFill="1" applyBorder="1" applyAlignment="1">
      <alignment horizontal="left" vertical="center" indent="3"/>
    </xf>
    <xf numFmtId="43" fontId="0" fillId="2" borderId="2" xfId="1" applyNumberFormat="1" applyFont="1" applyFill="1" applyBorder="1" applyAlignment="1">
      <alignment horizontal="left" vertical="center" indent="3"/>
    </xf>
    <xf numFmtId="43" fontId="0" fillId="2" borderId="2" xfId="1" applyNumberFormat="1" applyFont="1" applyFill="1" applyBorder="1" applyAlignment="1">
      <alignment horizontal="left" vertical="center" indent="2"/>
    </xf>
    <xf numFmtId="167" fontId="0" fillId="2" borderId="2" xfId="1" applyNumberFormat="1" applyFont="1" applyFill="1" applyBorder="1" applyAlignment="1">
      <alignment horizontal="right" vertical="center"/>
    </xf>
    <xf numFmtId="168" fontId="19" fillId="2" borderId="0" xfId="0" applyNumberFormat="1" applyFont="1" applyFill="1" applyAlignment="1">
      <alignment horizontal="left" vertical="center" indent="1"/>
    </xf>
    <xf numFmtId="164" fontId="35" fillId="2" borderId="0" xfId="2" applyNumberFormat="1" applyFont="1" applyFill="1"/>
    <xf numFmtId="164" fontId="8" fillId="2" borderId="0" xfId="2" applyNumberFormat="1" applyFont="1" applyFill="1" applyBorder="1" applyAlignment="1">
      <alignment horizontal="right" vertical="center"/>
    </xf>
    <xf numFmtId="164" fontId="8" fillId="2" borderId="0" xfId="2" applyNumberFormat="1" applyFont="1" applyFill="1" applyAlignment="1">
      <alignment horizontal="right" vertical="center"/>
    </xf>
    <xf numFmtId="164" fontId="13" fillId="2" borderId="0" xfId="2" applyNumberFormat="1" applyFont="1" applyFill="1" applyBorder="1" applyAlignment="1">
      <alignment horizontal="right"/>
    </xf>
    <xf numFmtId="164" fontId="13" fillId="2" borderId="3" xfId="2" applyNumberFormat="1" applyFont="1" applyFill="1" applyBorder="1" applyAlignment="1">
      <alignment horizontal="right"/>
    </xf>
    <xf numFmtId="0" fontId="18" fillId="2" borderId="0" xfId="2" applyFont="1" applyFill="1" applyBorder="1" applyAlignment="1" applyProtection="1">
      <alignment horizontal="center" vertical="center"/>
    </xf>
    <xf numFmtId="164" fontId="25" fillId="2" borderId="0" xfId="2" applyNumberFormat="1" applyFont="1" applyFill="1" applyBorder="1" applyAlignment="1">
      <alignment horizontal="center" vertical="center"/>
    </xf>
    <xf numFmtId="164" fontId="13" fillId="2" borderId="0" xfId="2" applyNumberFormat="1" applyFont="1" applyFill="1" applyBorder="1" applyAlignment="1">
      <alignment horizontal="right" vertical="center"/>
    </xf>
    <xf numFmtId="168" fontId="13" fillId="2" borderId="0" xfId="2" applyNumberFormat="1" applyFont="1" applyFill="1" applyBorder="1" applyAlignment="1" applyProtection="1">
      <alignment horizontal="center" vertical="center"/>
      <protection locked="0"/>
    </xf>
    <xf numFmtId="168" fontId="13" fillId="2" borderId="2" xfId="2" applyNumberFormat="1" applyFont="1" applyFill="1" applyBorder="1" applyAlignment="1">
      <alignment horizontal="right" vertical="center"/>
    </xf>
    <xf numFmtId="164" fontId="34" fillId="2" borderId="2" xfId="2" applyNumberFormat="1" applyFont="1" applyFill="1" applyBorder="1" applyAlignment="1">
      <alignment vertical="center"/>
    </xf>
    <xf numFmtId="165" fontId="13" fillId="2" borderId="0" xfId="2" applyNumberFormat="1" applyFont="1" applyFill="1" applyBorder="1" applyAlignment="1" applyProtection="1">
      <alignment horizontal="right" vertical="center"/>
    </xf>
    <xf numFmtId="168" fontId="13" fillId="2" borderId="0" xfId="2" applyNumberFormat="1" applyFont="1" applyFill="1" applyBorder="1" applyAlignment="1" applyProtection="1">
      <alignment horizontal="right" vertical="center"/>
    </xf>
    <xf numFmtId="168" fontId="19" fillId="2" borderId="0" xfId="2" applyNumberFormat="1" applyFont="1" applyFill="1" applyBorder="1" applyAlignment="1" applyProtection="1">
      <alignment horizontal="right" vertical="center"/>
    </xf>
    <xf numFmtId="164" fontId="19" fillId="2" borderId="0" xfId="2" applyNumberFormat="1" applyFont="1" applyFill="1" applyBorder="1" applyAlignment="1">
      <alignment vertical="center"/>
    </xf>
    <xf numFmtId="165" fontId="19" fillId="2" borderId="0" xfId="2" applyNumberFormat="1" applyFont="1" applyFill="1" applyBorder="1" applyAlignment="1" applyProtection="1">
      <alignment horizontal="right"/>
    </xf>
    <xf numFmtId="164" fontId="28" fillId="2" borderId="0" xfId="2" applyNumberFormat="1" applyFont="1" applyFill="1" applyAlignment="1">
      <alignment horizontal="center" vertical="center"/>
    </xf>
    <xf numFmtId="164" fontId="28" fillId="2" borderId="0" xfId="2" applyNumberFormat="1" applyFont="1" applyFill="1" applyBorder="1" applyAlignment="1">
      <alignment horizontal="center" vertical="center"/>
    </xf>
    <xf numFmtId="165" fontId="13" fillId="2" borderId="2" xfId="2" applyNumberFormat="1" applyFont="1" applyFill="1" applyBorder="1" applyAlignment="1" applyProtection="1">
      <alignment horizontal="right" vertical="center"/>
    </xf>
    <xf numFmtId="168" fontId="13" fillId="2" borderId="2" xfId="2" applyNumberFormat="1" applyFont="1" applyFill="1" applyBorder="1" applyAlignment="1" applyProtection="1">
      <alignment horizontal="right" vertical="center"/>
    </xf>
    <xf numFmtId="164" fontId="11" fillId="2" borderId="2" xfId="2" applyNumberFormat="1" applyFont="1" applyFill="1" applyBorder="1" applyAlignment="1">
      <alignment horizontal="right" vertical="center"/>
    </xf>
    <xf numFmtId="168" fontId="19" fillId="2" borderId="0" xfId="2" applyNumberFormat="1" applyFont="1" applyFill="1" applyAlignment="1">
      <alignment horizontal="center" vertical="center"/>
    </xf>
    <xf numFmtId="164" fontId="19" fillId="2" borderId="0" xfId="2" applyNumberFormat="1" applyFont="1" applyFill="1"/>
    <xf numFmtId="164" fontId="19" fillId="2" borderId="0" xfId="2" applyNumberFormat="1" applyFont="1" applyFill="1" applyAlignment="1">
      <alignment horizontal="center"/>
    </xf>
    <xf numFmtId="168" fontId="19" fillId="2" borderId="0" xfId="2" applyNumberFormat="1" applyFont="1" applyFill="1" applyAlignment="1">
      <alignment horizontal="center"/>
    </xf>
    <xf numFmtId="164" fontId="36" fillId="2" borderId="0" xfId="2" applyNumberFormat="1" applyFont="1" applyFill="1"/>
    <xf numFmtId="164" fontId="36" fillId="2" borderId="0" xfId="2" applyNumberFormat="1" applyFont="1" applyFill="1" applyAlignment="1">
      <alignment horizontal="center"/>
    </xf>
    <xf numFmtId="168" fontId="36" fillId="2" borderId="0" xfId="2" applyNumberFormat="1" applyFont="1" applyFill="1" applyAlignment="1">
      <alignment horizontal="center"/>
    </xf>
    <xf numFmtId="164" fontId="35" fillId="2" borderId="0" xfId="2" applyNumberFormat="1" applyFont="1" applyFill="1" applyAlignment="1">
      <alignment horizontal="center"/>
    </xf>
    <xf numFmtId="168" fontId="35" fillId="2" borderId="0" xfId="2" applyNumberFormat="1" applyFont="1" applyFill="1" applyAlignment="1">
      <alignment horizontal="center"/>
    </xf>
    <xf numFmtId="164" fontId="8" fillId="2" borderId="7" xfId="2" applyNumberFormat="1" applyFont="1" applyFill="1" applyBorder="1" applyAlignment="1" applyProtection="1">
      <alignment horizontal="center" vertical="center"/>
      <protection locked="0"/>
    </xf>
    <xf numFmtId="164" fontId="29" fillId="2" borderId="2" xfId="2" applyNumberFormat="1" applyFont="1" applyFill="1" applyBorder="1" applyAlignment="1">
      <alignment vertical="center"/>
    </xf>
    <xf numFmtId="164" fontId="12" fillId="2" borderId="10" xfId="2" applyNumberFormat="1" applyFont="1" applyFill="1" applyBorder="1" applyAlignment="1">
      <alignment vertical="center"/>
    </xf>
    <xf numFmtId="168" fontId="17" fillId="2" borderId="3" xfId="2" applyNumberFormat="1" applyFont="1" applyFill="1" applyBorder="1" applyAlignment="1" applyProtection="1">
      <alignment vertical="center"/>
      <protection hidden="1"/>
    </xf>
    <xf numFmtId="1" fontId="8" fillId="2" borderId="0" xfId="2" applyNumberFormat="1" applyFont="1" applyFill="1" applyBorder="1" applyAlignment="1" applyProtection="1">
      <alignment vertical="center"/>
      <protection locked="0"/>
    </xf>
    <xf numFmtId="165" fontId="19" fillId="2" borderId="2" xfId="2" applyNumberFormat="1" applyFont="1" applyFill="1" applyBorder="1" applyAlignment="1">
      <alignment horizontal="right" vertical="center" indent="3"/>
    </xf>
    <xf numFmtId="167" fontId="13" fillId="2" borderId="0" xfId="1" applyNumberFormat="1" applyFont="1" applyFill="1" applyAlignment="1">
      <alignment horizontal="right" vertical="center"/>
    </xf>
    <xf numFmtId="167" fontId="19" fillId="2" borderId="0" xfId="1" applyNumberFormat="1" applyFont="1" applyFill="1" applyBorder="1" applyAlignment="1" applyProtection="1">
      <alignment horizontal="right" vertical="center"/>
    </xf>
    <xf numFmtId="167" fontId="19" fillId="2" borderId="0" xfId="1" applyNumberFormat="1" applyFont="1" applyFill="1" applyAlignment="1">
      <alignment horizontal="right" vertical="center"/>
    </xf>
    <xf numFmtId="167" fontId="13" fillId="2" borderId="0" xfId="1" applyNumberFormat="1" applyFont="1" applyFill="1" applyAlignment="1" applyProtection="1">
      <alignment horizontal="right" vertical="center"/>
    </xf>
    <xf numFmtId="167" fontId="19" fillId="2" borderId="0" xfId="1" applyNumberFormat="1" applyFont="1" applyFill="1" applyAlignment="1" applyProtection="1">
      <alignment horizontal="right" vertical="center"/>
    </xf>
    <xf numFmtId="167" fontId="19" fillId="2" borderId="0" xfId="1" applyNumberFormat="1" applyFont="1" applyFill="1" applyAlignment="1">
      <alignment vertical="center"/>
    </xf>
    <xf numFmtId="167" fontId="19" fillId="2" borderId="2" xfId="1" applyNumberFormat="1" applyFont="1" applyFill="1" applyBorder="1" applyAlignment="1" applyProtection="1">
      <alignment horizontal="right" vertical="center"/>
      <protection locked="0"/>
    </xf>
    <xf numFmtId="1" fontId="3" fillId="2" borderId="9" xfId="4" applyNumberFormat="1" applyFont="1" applyFill="1" applyBorder="1" applyAlignment="1">
      <alignment horizontal="center" vertical="center"/>
    </xf>
    <xf numFmtId="164" fontId="3" fillId="2" borderId="9" xfId="4" applyNumberFormat="1" applyFont="1" applyFill="1" applyBorder="1" applyAlignment="1">
      <alignment horizontal="center" vertical="center"/>
    </xf>
    <xf numFmtId="167" fontId="4" fillId="2" borderId="9" xfId="1" applyNumberFormat="1" applyFont="1" applyFill="1" applyBorder="1" applyAlignment="1" applyProtection="1">
      <alignment horizontal="right" vertical="center"/>
    </xf>
    <xf numFmtId="164" fontId="3" fillId="0" borderId="9" xfId="4" applyNumberFormat="1" applyFont="1" applyFill="1" applyBorder="1" applyAlignment="1">
      <alignment horizontal="center" vertical="center"/>
    </xf>
    <xf numFmtId="164" fontId="11" fillId="2" borderId="0" xfId="2" applyNumberFormat="1" applyFont="1" applyFill="1" applyBorder="1" applyAlignment="1">
      <alignment horizontal="right" vertical="center"/>
    </xf>
    <xf numFmtId="164" fontId="8" fillId="2" borderId="0" xfId="2" applyNumberFormat="1" applyFont="1" applyFill="1" applyBorder="1" applyAlignment="1">
      <alignment horizontal="center" vertical="center"/>
    </xf>
    <xf numFmtId="165" fontId="19" fillId="2" borderId="0" xfId="2" applyNumberFormat="1" applyFont="1" applyFill="1" applyAlignment="1" applyProtection="1">
      <alignment horizontal="right" vertical="center"/>
      <protection locked="0"/>
    </xf>
    <xf numFmtId="165" fontId="19" fillId="2" borderId="0" xfId="2" applyNumberFormat="1" applyFont="1" applyFill="1" applyBorder="1" applyAlignment="1" applyProtection="1">
      <alignment horizontal="right" vertical="center"/>
      <protection locked="0"/>
    </xf>
    <xf numFmtId="164" fontId="13" fillId="2" borderId="0" xfId="2" applyNumberFormat="1" applyFont="1" applyFill="1" applyBorder="1" applyAlignment="1" applyProtection="1">
      <alignment horizontal="left" vertical="center"/>
    </xf>
    <xf numFmtId="164" fontId="13" fillId="2" borderId="2" xfId="2" applyNumberFormat="1" applyFont="1" applyFill="1" applyBorder="1" applyAlignment="1" applyProtection="1">
      <alignment horizontal="left" vertical="center"/>
    </xf>
    <xf numFmtId="164" fontId="25" fillId="2" borderId="0" xfId="2" applyNumberFormat="1" applyFont="1" applyFill="1" applyBorder="1" applyAlignment="1" applyProtection="1">
      <alignment horizontal="center" vertical="center"/>
    </xf>
    <xf numFmtId="164" fontId="38" fillId="2" borderId="0" xfId="2" applyNumberFormat="1" applyFont="1" applyFill="1" applyAlignment="1">
      <alignment vertical="center"/>
    </xf>
    <xf numFmtId="164" fontId="39" fillId="2" borderId="0" xfId="2" applyNumberFormat="1" applyFont="1" applyFill="1" applyAlignment="1">
      <alignment horizontal="center" vertical="center"/>
    </xf>
    <xf numFmtId="168" fontId="39" fillId="2" borderId="0" xfId="2" applyNumberFormat="1" applyFont="1" applyFill="1" applyAlignment="1">
      <alignment horizontal="center" vertical="center"/>
    </xf>
    <xf numFmtId="164" fontId="39" fillId="2" borderId="0" xfId="2" applyNumberFormat="1" applyFont="1" applyFill="1" applyAlignment="1">
      <alignment horizontal="right" vertical="center"/>
    </xf>
    <xf numFmtId="164" fontId="39" fillId="2" borderId="0" xfId="2" applyNumberFormat="1" applyFont="1" applyFill="1" applyAlignment="1">
      <alignment vertical="center"/>
    </xf>
    <xf numFmtId="167" fontId="19" fillId="2" borderId="0" xfId="1" applyNumberFormat="1" applyFont="1" applyFill="1" applyAlignment="1">
      <alignment horizontal="right" vertical="center" indent="2"/>
    </xf>
    <xf numFmtId="164" fontId="8" fillId="2" borderId="3" xfId="2" applyNumberFormat="1" applyFont="1" applyFill="1" applyBorder="1" applyAlignment="1" applyProtection="1">
      <alignment horizontal="right" vertical="center"/>
      <protection locked="0"/>
    </xf>
    <xf numFmtId="164" fontId="8" fillId="5" borderId="0" xfId="2" applyNumberFormat="1" applyFont="1" applyFill="1" applyBorder="1" applyAlignment="1" applyProtection="1">
      <alignment horizontal="right" vertical="center"/>
      <protection locked="0"/>
    </xf>
    <xf numFmtId="164" fontId="8" fillId="5" borderId="1" xfId="2" applyNumberFormat="1" applyFont="1" applyFill="1" applyBorder="1" applyAlignment="1" applyProtection="1">
      <alignment horizontal="right" vertical="center"/>
    </xf>
    <xf numFmtId="165" fontId="8" fillId="5" borderId="0" xfId="2" applyNumberFormat="1" applyFont="1" applyFill="1" applyBorder="1" applyAlignment="1" applyProtection="1">
      <alignment horizontal="right" vertical="center"/>
      <protection locked="0"/>
    </xf>
    <xf numFmtId="164" fontId="26" fillId="2" borderId="14" xfId="2" applyNumberFormat="1" applyFont="1" applyFill="1" applyBorder="1" applyAlignment="1">
      <alignment vertical="center"/>
    </xf>
    <xf numFmtId="165" fontId="15" fillId="5" borderId="11" xfId="2" applyNumberFormat="1" applyFont="1" applyFill="1" applyBorder="1" applyAlignment="1" applyProtection="1">
      <alignment horizontal="right" vertical="center"/>
      <protection locked="0"/>
    </xf>
    <xf numFmtId="165" fontId="15" fillId="5" borderId="10" xfId="2" applyNumberFormat="1" applyFont="1" applyFill="1" applyBorder="1" applyAlignment="1" applyProtection="1">
      <alignment horizontal="right" vertical="center"/>
      <protection locked="0"/>
    </xf>
    <xf numFmtId="164" fontId="8" fillId="5" borderId="16" xfId="2" applyNumberFormat="1" applyFont="1" applyFill="1" applyBorder="1" applyAlignment="1" applyProtection="1">
      <alignment horizontal="right" vertical="center"/>
      <protection locked="0"/>
    </xf>
    <xf numFmtId="164" fontId="8" fillId="5" borderId="20" xfId="2" applyNumberFormat="1" applyFont="1" applyFill="1" applyBorder="1" applyAlignment="1" applyProtection="1">
      <alignment horizontal="right" vertical="center"/>
    </xf>
    <xf numFmtId="165" fontId="8" fillId="5" borderId="3" xfId="2" applyNumberFormat="1" applyFont="1" applyFill="1" applyBorder="1" applyAlignment="1" applyProtection="1">
      <alignment horizontal="right" vertical="center"/>
    </xf>
    <xf numFmtId="165" fontId="8" fillId="5" borderId="12" xfId="2" applyNumberFormat="1" applyFont="1" applyFill="1" applyBorder="1" applyAlignment="1" applyProtection="1">
      <alignment horizontal="right" vertical="center"/>
    </xf>
    <xf numFmtId="165" fontId="8" fillId="5" borderId="10" xfId="2" applyNumberFormat="1" applyFont="1" applyFill="1" applyBorder="1" applyAlignment="1" applyProtection="1">
      <alignment horizontal="right" vertical="center"/>
      <protection locked="0"/>
    </xf>
    <xf numFmtId="165" fontId="15" fillId="5" borderId="0" xfId="2" applyNumberFormat="1" applyFont="1" applyFill="1" applyBorder="1" applyAlignment="1" applyProtection="1">
      <alignment horizontal="right" vertical="center"/>
      <protection locked="0"/>
    </xf>
    <xf numFmtId="165" fontId="15" fillId="5" borderId="2" xfId="2" applyNumberFormat="1" applyFont="1" applyFill="1" applyBorder="1" applyAlignment="1" applyProtection="1">
      <alignment horizontal="right" vertical="center"/>
      <protection locked="0"/>
    </xf>
    <xf numFmtId="164" fontId="26" fillId="2" borderId="14" xfId="2" applyNumberFormat="1" applyFont="1" applyFill="1" applyBorder="1" applyAlignment="1">
      <alignment horizontal="center"/>
    </xf>
    <xf numFmtId="164" fontId="27" fillId="2" borderId="14" xfId="2" applyNumberFormat="1" applyFont="1" applyFill="1" applyBorder="1" applyAlignment="1">
      <alignment vertical="center"/>
    </xf>
    <xf numFmtId="164" fontId="13" fillId="5" borderId="23" xfId="2" applyNumberFormat="1" applyFont="1" applyFill="1" applyBorder="1" applyAlignment="1">
      <alignment horizontal="right" vertical="center"/>
    </xf>
    <xf numFmtId="164" fontId="12" fillId="5" borderId="10" xfId="2" applyNumberFormat="1" applyFont="1" applyFill="1" applyBorder="1" applyAlignment="1">
      <alignment vertical="center"/>
    </xf>
    <xf numFmtId="168" fontId="8" fillId="5" borderId="10" xfId="2" applyNumberFormat="1" applyFont="1" applyFill="1" applyBorder="1" applyAlignment="1" applyProtection="1">
      <alignment vertical="center"/>
      <protection locked="0"/>
    </xf>
    <xf numFmtId="168" fontId="15" fillId="5" borderId="10" xfId="2" applyNumberFormat="1" applyFont="1" applyFill="1" applyBorder="1" applyAlignment="1" applyProtection="1">
      <alignment vertical="center"/>
      <protection locked="0"/>
    </xf>
    <xf numFmtId="168" fontId="15" fillId="5" borderId="11" xfId="2" applyNumberFormat="1" applyFont="1" applyFill="1" applyBorder="1" applyAlignment="1" applyProtection="1">
      <alignment vertical="center"/>
      <protection locked="0"/>
    </xf>
    <xf numFmtId="168" fontId="13" fillId="5" borderId="17" xfId="2" applyNumberFormat="1" applyFont="1" applyFill="1" applyBorder="1" applyAlignment="1">
      <alignment horizontal="right" vertical="center"/>
    </xf>
    <xf numFmtId="168" fontId="8" fillId="5" borderId="0" xfId="2" applyNumberFormat="1" applyFont="1" applyFill="1" applyBorder="1" applyAlignment="1" applyProtection="1">
      <alignment horizontal="right" vertical="center"/>
      <protection locked="0"/>
    </xf>
    <xf numFmtId="168" fontId="15" fillId="5" borderId="0" xfId="2" applyNumberFormat="1" applyFont="1" applyFill="1" applyBorder="1" applyAlignment="1" applyProtection="1">
      <alignment horizontal="right" vertical="center"/>
      <protection locked="0"/>
    </xf>
    <xf numFmtId="168" fontId="15" fillId="5" borderId="0" xfId="2" applyNumberFormat="1" applyFont="1" applyFill="1" applyBorder="1" applyAlignment="1" applyProtection="1">
      <alignment vertical="center"/>
      <protection locked="0"/>
    </xf>
    <xf numFmtId="168" fontId="15" fillId="5" borderId="2" xfId="2" applyNumberFormat="1" applyFont="1" applyFill="1" applyBorder="1" applyAlignment="1" applyProtection="1">
      <alignment horizontal="right" vertical="center"/>
      <protection locked="0"/>
    </xf>
    <xf numFmtId="164" fontId="40" fillId="2" borderId="0" xfId="2" applyNumberFormat="1" applyFont="1" applyFill="1" applyBorder="1" applyAlignment="1" applyProtection="1">
      <alignment horizontal="right" vertical="center"/>
      <protection locked="0"/>
    </xf>
    <xf numFmtId="164" fontId="40" fillId="5" borderId="22" xfId="2" applyNumberFormat="1" applyFont="1" applyFill="1" applyBorder="1" applyAlignment="1" applyProtection="1">
      <alignment horizontal="right" vertical="center"/>
      <protection locked="0"/>
    </xf>
    <xf numFmtId="168" fontId="13" fillId="2" borderId="5" xfId="2" applyNumberFormat="1" applyFont="1" applyFill="1" applyBorder="1" applyAlignment="1">
      <alignment horizontal="right" vertical="center"/>
    </xf>
    <xf numFmtId="164" fontId="13" fillId="2" borderId="21" xfId="2" applyNumberFormat="1" applyFont="1" applyFill="1" applyBorder="1" applyAlignment="1" applyProtection="1">
      <alignment horizontal="right" vertical="center"/>
    </xf>
    <xf numFmtId="165" fontId="13" fillId="2" borderId="24" xfId="2" applyNumberFormat="1" applyFont="1" applyFill="1" applyBorder="1" applyAlignment="1" applyProtection="1">
      <alignment horizontal="right" vertical="center"/>
    </xf>
    <xf numFmtId="165" fontId="19" fillId="2" borderId="24" xfId="2" applyNumberFormat="1" applyFont="1" applyFill="1" applyBorder="1" applyAlignment="1" applyProtection="1">
      <alignment horizontal="right" vertical="center"/>
    </xf>
    <xf numFmtId="165" fontId="13" fillId="2" borderId="23" xfId="2" applyNumberFormat="1" applyFont="1" applyFill="1" applyBorder="1" applyAlignment="1" applyProtection="1">
      <alignment horizontal="right" vertical="center"/>
    </xf>
    <xf numFmtId="165" fontId="19" fillId="5" borderId="0" xfId="2" applyNumberFormat="1" applyFont="1" applyFill="1" applyBorder="1" applyAlignment="1" applyProtection="1">
      <alignment horizontal="right" vertical="center"/>
    </xf>
    <xf numFmtId="165" fontId="13" fillId="5" borderId="2" xfId="2" applyNumberFormat="1" applyFont="1" applyFill="1" applyBorder="1" applyAlignment="1" applyProtection="1">
      <alignment horizontal="right" vertical="center"/>
    </xf>
    <xf numFmtId="165" fontId="13" fillId="5" borderId="0" xfId="2" applyNumberFormat="1" applyFont="1" applyFill="1" applyBorder="1" applyAlignment="1" applyProtection="1">
      <alignment horizontal="right" vertical="center"/>
    </xf>
    <xf numFmtId="164" fontId="13" fillId="5" borderId="19" xfId="2" applyNumberFormat="1" applyFont="1" applyFill="1" applyBorder="1" applyAlignment="1" applyProtection="1">
      <alignment horizontal="right" vertical="center"/>
    </xf>
    <xf numFmtId="165" fontId="13" fillId="5" borderId="10" xfId="2" applyNumberFormat="1" applyFont="1" applyFill="1" applyBorder="1" applyAlignment="1" applyProtection="1">
      <alignment horizontal="right" vertical="center"/>
    </xf>
    <xf numFmtId="165" fontId="19" fillId="5" borderId="10" xfId="2" applyNumberFormat="1" applyFont="1" applyFill="1" applyBorder="1" applyAlignment="1" applyProtection="1">
      <alignment horizontal="right" vertical="center"/>
    </xf>
    <xf numFmtId="165" fontId="13" fillId="5" borderId="11" xfId="2" applyNumberFormat="1" applyFont="1" applyFill="1" applyBorder="1" applyAlignment="1" applyProtection="1">
      <alignment horizontal="right" vertical="center"/>
    </xf>
    <xf numFmtId="168" fontId="13" fillId="5" borderId="0" xfId="2" applyNumberFormat="1" applyFont="1" applyFill="1" applyBorder="1" applyAlignment="1" applyProtection="1">
      <alignment horizontal="right" vertical="center"/>
    </xf>
    <xf numFmtId="168" fontId="19" fillId="5" borderId="0" xfId="2" applyNumberFormat="1" applyFont="1" applyFill="1" applyBorder="1" applyAlignment="1" applyProtection="1">
      <alignment horizontal="right" vertical="center"/>
    </xf>
    <xf numFmtId="168" fontId="13" fillId="5" borderId="2" xfId="2" applyNumberFormat="1" applyFont="1" applyFill="1" applyBorder="1" applyAlignment="1" applyProtection="1">
      <alignment horizontal="right" vertical="center"/>
    </xf>
    <xf numFmtId="168" fontId="13" fillId="5" borderId="2" xfId="2" applyNumberFormat="1" applyFont="1" applyFill="1" applyBorder="1" applyAlignment="1">
      <alignment horizontal="right" vertical="center"/>
    </xf>
    <xf numFmtId="1" fontId="13" fillId="2" borderId="23" xfId="2" applyNumberFormat="1" applyFont="1" applyFill="1" applyBorder="1" applyAlignment="1" applyProtection="1">
      <alignment horizontal="right" vertical="center"/>
    </xf>
    <xf numFmtId="165" fontId="13" fillId="2" borderId="25" xfId="2" applyNumberFormat="1" applyFont="1" applyFill="1" applyBorder="1" applyAlignment="1">
      <alignment horizontal="right" vertical="center"/>
    </xf>
    <xf numFmtId="165" fontId="13" fillId="2" borderId="24" xfId="2" applyNumberFormat="1" applyFont="1" applyFill="1" applyBorder="1" applyAlignment="1">
      <alignment horizontal="right" vertical="center"/>
    </xf>
    <xf numFmtId="165" fontId="19" fillId="2" borderId="24" xfId="2" applyNumberFormat="1" applyFont="1" applyFill="1" applyBorder="1" applyAlignment="1">
      <alignment horizontal="right" vertical="center"/>
    </xf>
    <xf numFmtId="167" fontId="19" fillId="2" borderId="24" xfId="1" applyNumberFormat="1" applyFont="1" applyFill="1" applyBorder="1" applyAlignment="1">
      <alignment horizontal="right" vertical="center"/>
    </xf>
    <xf numFmtId="165" fontId="19" fillId="2" borderId="23" xfId="2" applyNumberFormat="1" applyFont="1" applyFill="1" applyBorder="1" applyAlignment="1">
      <alignment horizontal="right" vertical="center"/>
    </xf>
    <xf numFmtId="167" fontId="19" fillId="5" borderId="0" xfId="1" applyNumberFormat="1" applyFont="1" applyFill="1" applyBorder="1" applyAlignment="1" applyProtection="1">
      <alignment horizontal="right" vertical="center"/>
    </xf>
    <xf numFmtId="167" fontId="19" fillId="5" borderId="0" xfId="1" applyNumberFormat="1" applyFont="1" applyFill="1" applyAlignment="1">
      <alignment horizontal="right" vertical="center"/>
    </xf>
    <xf numFmtId="167" fontId="19" fillId="5" borderId="0" xfId="1" applyNumberFormat="1" applyFont="1" applyFill="1" applyAlignment="1">
      <alignment vertical="center"/>
    </xf>
    <xf numFmtId="167" fontId="19" fillId="5" borderId="2" xfId="1" applyNumberFormat="1" applyFont="1" applyFill="1" applyBorder="1" applyAlignment="1" applyProtection="1">
      <alignment horizontal="right" vertical="center"/>
      <protection locked="0"/>
    </xf>
    <xf numFmtId="167" fontId="13" fillId="5" borderId="0" xfId="1" applyNumberFormat="1" applyFont="1" applyFill="1" applyAlignment="1">
      <alignment horizontal="right" vertical="center"/>
    </xf>
    <xf numFmtId="167" fontId="13" fillId="5" borderId="0" xfId="1" applyNumberFormat="1" applyFont="1" applyFill="1" applyAlignment="1" applyProtection="1">
      <alignment horizontal="right" vertical="center"/>
    </xf>
    <xf numFmtId="167" fontId="19" fillId="5" borderId="0" xfId="1" applyNumberFormat="1" applyFont="1" applyFill="1" applyAlignment="1" applyProtection="1">
      <alignment horizontal="right" vertical="center"/>
    </xf>
    <xf numFmtId="1" fontId="13" fillId="5" borderId="11" xfId="2" applyNumberFormat="1" applyFont="1" applyFill="1" applyBorder="1" applyAlignment="1" applyProtection="1">
      <alignment horizontal="right" vertical="center"/>
    </xf>
    <xf numFmtId="165" fontId="13" fillId="5" borderId="12" xfId="2" applyNumberFormat="1" applyFont="1" applyFill="1" applyBorder="1" applyAlignment="1">
      <alignment horizontal="right" vertical="center"/>
    </xf>
    <xf numFmtId="165" fontId="13" fillId="5" borderId="10" xfId="2" applyNumberFormat="1" applyFont="1" applyFill="1" applyBorder="1" applyAlignment="1">
      <alignment horizontal="right" vertical="center"/>
    </xf>
    <xf numFmtId="165" fontId="19" fillId="5" borderId="10" xfId="2" applyNumberFormat="1" applyFont="1" applyFill="1" applyBorder="1" applyAlignment="1">
      <alignment horizontal="right" vertical="center"/>
    </xf>
    <xf numFmtId="167" fontId="19" fillId="5" borderId="10" xfId="1" applyNumberFormat="1" applyFont="1" applyFill="1" applyBorder="1" applyAlignment="1">
      <alignment horizontal="right" vertical="center"/>
    </xf>
    <xf numFmtId="165" fontId="19" fillId="5" borderId="11" xfId="2" applyNumberFormat="1" applyFont="1" applyFill="1" applyBorder="1" applyAlignment="1">
      <alignment horizontal="right" vertical="center"/>
    </xf>
    <xf numFmtId="1" fontId="13" fillId="5" borderId="2" xfId="2" applyNumberFormat="1" applyFont="1" applyFill="1" applyBorder="1" applyAlignment="1" applyProtection="1">
      <alignment horizontal="center" vertical="center"/>
    </xf>
    <xf numFmtId="165" fontId="13" fillId="5" borderId="0" xfId="2" applyNumberFormat="1" applyFont="1" applyFill="1" applyBorder="1" applyAlignment="1">
      <alignment horizontal="right" vertical="center" indent="3"/>
    </xf>
    <xf numFmtId="165" fontId="19" fillId="5" borderId="0" xfId="2" applyNumberFormat="1" applyFont="1" applyFill="1" applyBorder="1" applyAlignment="1">
      <alignment horizontal="right" vertical="center" indent="3"/>
    </xf>
    <xf numFmtId="167" fontId="19" fillId="5" borderId="0" xfId="1" applyNumberFormat="1" applyFont="1" applyFill="1" applyAlignment="1">
      <alignment horizontal="right" vertical="center" indent="2"/>
    </xf>
    <xf numFmtId="165" fontId="19" fillId="5" borderId="2" xfId="2" applyNumberFormat="1" applyFont="1" applyFill="1" applyBorder="1" applyAlignment="1">
      <alignment horizontal="right" vertical="center" indent="3"/>
    </xf>
    <xf numFmtId="164" fontId="41" fillId="3" borderId="9" xfId="4" applyNumberFormat="1" applyFont="1" applyFill="1" applyBorder="1" applyAlignment="1">
      <alignment horizontal="center" vertical="center"/>
    </xf>
    <xf numFmtId="167" fontId="42" fillId="4" borderId="9" xfId="1" applyNumberFormat="1" applyFont="1" applyFill="1" applyBorder="1"/>
    <xf numFmtId="167" fontId="42" fillId="4" borderId="9" xfId="1" applyNumberFormat="1" applyFont="1" applyFill="1" applyBorder="1" applyAlignment="1" applyProtection="1">
      <alignment horizontal="right" vertical="center"/>
    </xf>
    <xf numFmtId="167" fontId="0" fillId="2" borderId="0" xfId="0" applyNumberFormat="1" applyFont="1" applyFill="1" applyAlignment="1">
      <alignment horizontal="left" vertical="center"/>
    </xf>
    <xf numFmtId="167" fontId="0" fillId="2" borderId="0" xfId="1" applyNumberFormat="1" applyFont="1" applyFill="1" applyAlignment="1">
      <alignment horizontal="left" vertical="center"/>
    </xf>
    <xf numFmtId="167" fontId="14" fillId="2" borderId="0" xfId="1" applyNumberFormat="1" applyFont="1" applyFill="1" applyAlignment="1">
      <alignment horizontal="left" vertical="center"/>
    </xf>
    <xf numFmtId="167" fontId="19" fillId="2" borderId="0" xfId="1" applyNumberFormat="1" applyFont="1" applyFill="1" applyAlignment="1">
      <alignment horizontal="left" vertical="center"/>
    </xf>
    <xf numFmtId="167" fontId="8" fillId="2" borderId="0" xfId="1" applyNumberFormat="1" applyFont="1" applyFill="1" applyAlignment="1">
      <alignment horizontal="left" vertical="center"/>
    </xf>
    <xf numFmtId="2" fontId="0" fillId="2" borderId="0" xfId="1" applyNumberFormat="1" applyFont="1" applyFill="1" applyBorder="1" applyAlignment="1">
      <alignment horizontal="right" vertical="center"/>
    </xf>
    <xf numFmtId="164" fontId="22" fillId="2" borderId="0" xfId="2" applyNumberFormat="1" applyFont="1" applyFill="1" applyAlignment="1">
      <alignment vertical="center"/>
    </xf>
    <xf numFmtId="1" fontId="20" fillId="2" borderId="0" xfId="2" applyNumberFormat="1" applyFont="1" applyFill="1" applyAlignment="1">
      <alignment horizontal="right" vertical="center"/>
    </xf>
    <xf numFmtId="164" fontId="14" fillId="2" borderId="3" xfId="5" applyNumberFormat="1" applyFont="1" applyFill="1" applyBorder="1" applyAlignment="1" applyProtection="1">
      <alignment horizontal="left" vertical="center"/>
    </xf>
    <xf numFmtId="164" fontId="14" fillId="2" borderId="2" xfId="5" applyNumberFormat="1" applyFont="1" applyFill="1" applyBorder="1" applyAlignment="1" applyProtection="1">
      <alignment horizontal="left" vertical="center"/>
    </xf>
    <xf numFmtId="164" fontId="23" fillId="2" borderId="0" xfId="2" applyNumberFormat="1" applyFont="1" applyFill="1" applyAlignment="1">
      <alignment horizontal="center" vertical="center"/>
    </xf>
    <xf numFmtId="164" fontId="16" fillId="2" borderId="0" xfId="2" applyNumberFormat="1" applyFont="1" applyFill="1" applyBorder="1" applyAlignment="1" applyProtection="1">
      <alignment horizontal="center" vertical="center" wrapText="1"/>
    </xf>
    <xf numFmtId="164" fontId="31" fillId="2" borderId="0" xfId="2" applyNumberFormat="1" applyFont="1" applyFill="1" applyAlignment="1">
      <alignment horizontal="center" vertical="center" wrapText="1"/>
    </xf>
    <xf numFmtId="164" fontId="25" fillId="2" borderId="2" xfId="2" applyNumberFormat="1" applyFont="1" applyFill="1" applyBorder="1" applyAlignment="1">
      <alignment horizontal="center" vertical="center"/>
    </xf>
    <xf numFmtId="164" fontId="13" fillId="2" borderId="3" xfId="2" applyNumberFormat="1" applyFont="1" applyFill="1" applyBorder="1" applyAlignment="1" applyProtection="1">
      <alignment horizontal="left" vertical="center"/>
    </xf>
    <xf numFmtId="164" fontId="13" fillId="2" borderId="0" xfId="2" applyNumberFormat="1" applyFont="1" applyFill="1" applyBorder="1" applyAlignment="1" applyProtection="1">
      <alignment horizontal="left" vertical="center"/>
    </xf>
    <xf numFmtId="164" fontId="13" fillId="2" borderId="2" xfId="2" applyNumberFormat="1" applyFont="1" applyFill="1" applyBorder="1" applyAlignment="1" applyProtection="1">
      <alignment horizontal="left" vertical="center"/>
    </xf>
    <xf numFmtId="164" fontId="26" fillId="2" borderId="14" xfId="2" applyNumberFormat="1" applyFont="1" applyFill="1" applyBorder="1" applyAlignment="1">
      <alignment horizontal="center" vertical="center"/>
    </xf>
    <xf numFmtId="164" fontId="26" fillId="2" borderId="18" xfId="2" applyNumberFormat="1" applyFont="1" applyFill="1" applyBorder="1" applyAlignment="1">
      <alignment horizontal="center" vertical="center"/>
    </xf>
    <xf numFmtId="164" fontId="27" fillId="2" borderId="15" xfId="2" applyNumberFormat="1" applyFont="1" applyFill="1" applyBorder="1" applyAlignment="1">
      <alignment horizontal="center" vertical="center"/>
    </xf>
    <xf numFmtId="164" fontId="27" fillId="2" borderId="18" xfId="2" applyNumberFormat="1" applyFont="1" applyFill="1" applyBorder="1" applyAlignment="1">
      <alignment horizontal="center" vertical="center"/>
    </xf>
    <xf numFmtId="168" fontId="26" fillId="2" borderId="6" xfId="2" applyNumberFormat="1" applyFont="1" applyFill="1" applyBorder="1" applyAlignment="1" applyProtection="1">
      <alignment horizontal="center" vertical="center"/>
      <protection hidden="1"/>
    </xf>
    <xf numFmtId="168" fontId="26" fillId="2" borderId="3" xfId="2" applyNumberFormat="1" applyFont="1" applyFill="1" applyBorder="1" applyAlignment="1" applyProtection="1">
      <alignment horizontal="center" vertical="center"/>
      <protection hidden="1"/>
    </xf>
    <xf numFmtId="168" fontId="27" fillId="2" borderId="5" xfId="2" applyNumberFormat="1" applyFont="1" applyFill="1" applyBorder="1" applyAlignment="1" applyProtection="1">
      <alignment horizontal="center" vertical="center"/>
      <protection locked="0"/>
    </xf>
    <xf numFmtId="168" fontId="27" fillId="2" borderId="2" xfId="2" applyNumberFormat="1" applyFont="1" applyFill="1" applyBorder="1" applyAlignment="1" applyProtection="1">
      <alignment horizontal="center" vertical="center"/>
      <protection locked="0"/>
    </xf>
    <xf numFmtId="164" fontId="13" fillId="2" borderId="8" xfId="2" applyNumberFormat="1" applyFont="1" applyFill="1" applyBorder="1" applyAlignment="1" applyProtection="1">
      <alignment horizontal="center" vertical="center"/>
      <protection locked="0"/>
    </xf>
    <xf numFmtId="164" fontId="13" fillId="2" borderId="13" xfId="2" applyNumberFormat="1" applyFont="1" applyFill="1" applyBorder="1" applyAlignment="1" applyProtection="1">
      <alignment horizontal="center" vertical="center"/>
      <protection locked="0"/>
    </xf>
    <xf numFmtId="164" fontId="25" fillId="2" borderId="0" xfId="2" applyNumberFormat="1" applyFont="1" applyFill="1" applyBorder="1" applyAlignment="1" applyProtection="1">
      <alignment horizontal="center" vertical="center"/>
    </xf>
    <xf numFmtId="164" fontId="32" fillId="2" borderId="0" xfId="2" applyNumberFormat="1" applyFont="1" applyFill="1" applyAlignment="1">
      <alignment horizontal="center" vertical="center" wrapText="1"/>
    </xf>
    <xf numFmtId="164" fontId="13" fillId="2" borderId="14" xfId="2" applyNumberFormat="1" applyFont="1" applyFill="1" applyBorder="1" applyAlignment="1">
      <alignment horizontal="right"/>
    </xf>
    <xf numFmtId="0" fontId="18" fillId="2" borderId="6" xfId="2" applyFont="1" applyFill="1" applyBorder="1" applyAlignment="1" applyProtection="1">
      <alignment horizontal="center" vertical="center"/>
    </xf>
    <xf numFmtId="0" fontId="18" fillId="2" borderId="12" xfId="2" applyFont="1" applyFill="1" applyBorder="1" applyAlignment="1" applyProtection="1">
      <alignment horizontal="center" vertical="center"/>
    </xf>
    <xf numFmtId="0" fontId="18" fillId="2" borderId="3" xfId="2" applyFont="1" applyFill="1" applyBorder="1" applyAlignment="1" applyProtection="1">
      <alignment horizontal="center" vertical="center"/>
    </xf>
    <xf numFmtId="168" fontId="13" fillId="2" borderId="8" xfId="2" applyNumberFormat="1" applyFont="1" applyFill="1" applyBorder="1" applyAlignment="1" applyProtection="1">
      <alignment horizontal="center" vertical="center"/>
      <protection locked="0"/>
    </xf>
    <xf numFmtId="168" fontId="13" fillId="2" borderId="7" xfId="2" applyNumberFormat="1" applyFont="1" applyFill="1" applyBorder="1" applyAlignment="1" applyProtection="1">
      <alignment horizontal="center" vertical="center"/>
      <protection locked="0"/>
    </xf>
    <xf numFmtId="1" fontId="8" fillId="2" borderId="7" xfId="2" applyNumberFormat="1" applyFont="1" applyFill="1" applyBorder="1" applyAlignment="1" applyProtection="1">
      <alignment horizontal="center" vertical="center"/>
      <protection locked="0"/>
    </xf>
    <xf numFmtId="164" fontId="8" fillId="2" borderId="8" xfId="2" applyNumberFormat="1" applyFont="1" applyFill="1" applyBorder="1" applyAlignment="1" applyProtection="1">
      <alignment horizontal="center" vertical="center"/>
      <protection locked="0"/>
    </xf>
    <xf numFmtId="164" fontId="8" fillId="2" borderId="13" xfId="2" applyNumberFormat="1" applyFont="1" applyFill="1" applyBorder="1" applyAlignment="1" applyProtection="1">
      <alignment horizontal="center" vertical="center"/>
      <protection locked="0"/>
    </xf>
    <xf numFmtId="0" fontId="17" fillId="2" borderId="6" xfId="2" applyFont="1" applyFill="1" applyBorder="1" applyAlignment="1" applyProtection="1">
      <alignment horizontal="center" vertical="center"/>
    </xf>
    <xf numFmtId="0" fontId="17" fillId="2" borderId="12" xfId="2" applyFont="1" applyFill="1" applyBorder="1" applyAlignment="1" applyProtection="1">
      <alignment horizontal="center" vertical="center"/>
    </xf>
    <xf numFmtId="164" fontId="11" fillId="2" borderId="14" xfId="2" applyNumberFormat="1" applyFont="1" applyFill="1" applyBorder="1" applyAlignment="1">
      <alignment horizontal="center"/>
    </xf>
    <xf numFmtId="168" fontId="17" fillId="2" borderId="3" xfId="2" applyNumberFormat="1" applyFont="1" applyFill="1" applyBorder="1" applyAlignment="1" applyProtection="1">
      <alignment horizontal="center" vertical="center"/>
      <protection hidden="1"/>
    </xf>
    <xf numFmtId="164" fontId="14" fillId="2" borderId="0" xfId="5" applyNumberFormat="1" applyFont="1" applyFill="1" applyBorder="1" applyAlignment="1" applyProtection="1">
      <alignment horizontal="center" vertical="center"/>
    </xf>
    <xf numFmtId="164" fontId="14" fillId="2" borderId="3" xfId="5" applyNumberFormat="1" applyFont="1" applyFill="1" applyBorder="1" applyAlignment="1" applyProtection="1">
      <alignment horizontal="left" vertical="center"/>
    </xf>
    <xf numFmtId="164" fontId="14" fillId="2" borderId="2" xfId="5" applyNumberFormat="1" applyFont="1" applyFill="1" applyBorder="1" applyAlignment="1" applyProtection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64" fontId="4" fillId="2" borderId="0" xfId="4" applyNumberFormat="1" applyFont="1" applyFill="1" applyAlignment="1">
      <alignment horizontal="center"/>
    </xf>
    <xf numFmtId="164" fontId="3" fillId="2" borderId="4" xfId="4" applyNumberFormat="1" applyFont="1" applyFill="1" applyBorder="1" applyAlignment="1">
      <alignment horizontal="center"/>
    </xf>
    <xf numFmtId="164" fontId="3" fillId="2" borderId="2" xfId="4" applyNumberFormat="1" applyFont="1" applyFill="1" applyBorder="1" applyAlignment="1">
      <alignment horizontal="center"/>
    </xf>
  </cellXfs>
  <cellStyles count="14">
    <cellStyle name="Comma" xfId="1" builtinId="3"/>
    <cellStyle name="Comma 2" xfId="9"/>
    <cellStyle name="Comma 3" xfId="10"/>
    <cellStyle name="Comma 4" xfId="6"/>
    <cellStyle name="Comma 6" xfId="12"/>
    <cellStyle name="Comma_13 Public Finance_done" xfId="3"/>
    <cellStyle name="Excel Built-in Comma" xfId="8"/>
    <cellStyle name="Excel Built-in Normal" xfId="7"/>
    <cellStyle name="Normal" xfId="0" builtinId="0"/>
    <cellStyle name="Normal 2" xfId="13"/>
    <cellStyle name="Normal 4" xfId="11"/>
    <cellStyle name="Normal_13 Public Finance" xfId="4"/>
    <cellStyle name="Normal_13 Public Finance_done" xfId="2"/>
    <cellStyle name="Normal_13 Public Finance_done 2" xfId="5"/>
  </cellStyles>
  <dxfs count="0"/>
  <tableStyles count="0" defaultTableStyle="TableStyleMedium9" defaultPivotStyle="PivotStyleLight16"/>
  <colors>
    <mruColors>
      <color rgb="FFFAC090"/>
      <color rgb="FFCC6600"/>
      <color rgb="FF953735"/>
      <color rgb="FFFCD5B5"/>
      <color rgb="FFFDEADA"/>
      <color rgb="FFFFCC00"/>
      <color rgb="FFFDEADB"/>
      <color rgb="FF00A8A4"/>
      <color rgb="FF7DDFDD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312046444122113E-2"/>
          <c:y val="0.15951433801640189"/>
          <c:w val="0.92146745995902646"/>
          <c:h val="0.74368999066310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1.5 &amp; 1.6'!$A$5</c:f>
              <c:strCache>
                <c:ptCount val="1"/>
                <c:pt idx="0">
                  <c:v>Public services</c:v>
                </c:pt>
              </c:strCache>
            </c:strRef>
          </c:tx>
          <c:spPr>
            <a:solidFill>
              <a:srgbClr val="FAC090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1.6'!$B$5:$N$5</c:f>
              <c:numCache>
                <c:formatCode>_(* #,##0.0_);_(* \(#,##0.0\);_(* "-"??_);_(@_)</c:formatCode>
                <c:ptCount val="13"/>
                <c:pt idx="0">
                  <c:v>808.9</c:v>
                </c:pt>
                <c:pt idx="1">
                  <c:v>498.79999999999995</c:v>
                </c:pt>
                <c:pt idx="2">
                  <c:v>696.52141600000004</c:v>
                </c:pt>
                <c:pt idx="3">
                  <c:v>635.70163600000001</c:v>
                </c:pt>
                <c:pt idx="4">
                  <c:v>1285.636868</c:v>
                </c:pt>
                <c:pt idx="5">
                  <c:v>1139.8289990000001</c:v>
                </c:pt>
                <c:pt idx="6">
                  <c:v>462.58586595999998</c:v>
                </c:pt>
                <c:pt idx="7">
                  <c:v>679.01722999999993</c:v>
                </c:pt>
                <c:pt idx="8">
                  <c:v>2079.0821064299998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4-4F91-9D75-AA0B0E910D10}"/>
            </c:ext>
          </c:extLst>
        </c:ser>
        <c:ser>
          <c:idx val="1"/>
          <c:order val="1"/>
          <c:tx>
            <c:strRef>
              <c:f>'Fig 1.5 &amp; 1.6'!$A$6</c:f>
              <c:strCache>
                <c:ptCount val="1"/>
                <c:pt idx="0">
                  <c:v>Social services</c:v>
                </c:pt>
              </c:strCache>
            </c:strRef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1.6'!$B$6:$N$6</c:f>
              <c:numCache>
                <c:formatCode>_(* #,##0.0_);_(* \(#,##0.0\);_(* "-"??_);_(@_)</c:formatCode>
                <c:ptCount val="13"/>
                <c:pt idx="0">
                  <c:v>626.5</c:v>
                </c:pt>
                <c:pt idx="1">
                  <c:v>1443.3</c:v>
                </c:pt>
                <c:pt idx="2">
                  <c:v>1087.278699</c:v>
                </c:pt>
                <c:pt idx="3">
                  <c:v>1816.638207</c:v>
                </c:pt>
                <c:pt idx="4">
                  <c:v>1383.244537</c:v>
                </c:pt>
                <c:pt idx="5">
                  <c:v>1081.7647489999999</c:v>
                </c:pt>
                <c:pt idx="6">
                  <c:v>1108.2257616500001</c:v>
                </c:pt>
                <c:pt idx="7">
                  <c:v>1155.5744520000001</c:v>
                </c:pt>
                <c:pt idx="8">
                  <c:v>1812.3305333000001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4-4F91-9D75-AA0B0E910D10}"/>
            </c:ext>
          </c:extLst>
        </c:ser>
        <c:ser>
          <c:idx val="2"/>
          <c:order val="2"/>
          <c:tx>
            <c:strRef>
              <c:f>'Fig 1.5 &amp; 1.6'!$A$7</c:f>
              <c:strCache>
                <c:ptCount val="1"/>
                <c:pt idx="0">
                  <c:v>Economic services</c:v>
                </c:pt>
              </c:strCache>
            </c:strRef>
          </c:tx>
          <c:spPr>
            <a:solidFill>
              <a:srgbClr val="CC6600"/>
            </a:solidFill>
            <a:ln w="25400">
              <a:noFill/>
            </a:ln>
          </c:spPr>
          <c:invertIfNegative val="0"/>
          <c:cat>
            <c:strRef>
              <c:f>'Fig 1.5 &amp; 1.6'!$B$4:$N$4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1.6'!$B$7:$N$7</c:f>
              <c:numCache>
                <c:formatCode>_(* #,##0.0_);_(* \(#,##0.0\);_(* "-"??_);_(@_)</c:formatCode>
                <c:ptCount val="13"/>
                <c:pt idx="0">
                  <c:v>329.9</c:v>
                </c:pt>
                <c:pt idx="1">
                  <c:v>937.10000000000014</c:v>
                </c:pt>
                <c:pt idx="2">
                  <c:v>581.73487699999998</c:v>
                </c:pt>
                <c:pt idx="3">
                  <c:v>174.8779509</c:v>
                </c:pt>
                <c:pt idx="4">
                  <c:v>919.10181</c:v>
                </c:pt>
                <c:pt idx="5">
                  <c:v>662.15555800000004</c:v>
                </c:pt>
                <c:pt idx="6">
                  <c:v>522.22979633</c:v>
                </c:pt>
                <c:pt idx="7">
                  <c:v>750.4553719999999</c:v>
                </c:pt>
                <c:pt idx="8">
                  <c:v>870.97274229999994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D4-4F91-9D75-AA0B0E91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688928"/>
        <c:axId val="548690496"/>
      </c:barChart>
      <c:catAx>
        <c:axId val="548688928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486904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48690496"/>
        <c:scaling>
          <c:orientation val="minMax"/>
          <c:max val="4600"/>
          <c:min val="0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Consolas" pitchFamily="49" charset="0"/>
              </a:defRPr>
            </a:pPr>
            <a:endParaRPr lang="en-US"/>
          </a:p>
        </c:txPr>
        <c:crossAx val="548688928"/>
        <c:crosses val="autoZero"/>
        <c:crossBetween val="between"/>
        <c:majorUnit val="500"/>
      </c:valAx>
      <c:spPr>
        <a:solidFill>
          <a:srgbClr val="FDEADA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468926160777695"/>
          <c:y val="0.25138335112514176"/>
          <c:w val="0.46469349034450158"/>
          <c:h val="7.1604981436259069E-2"/>
        </c:manualLayout>
      </c:layout>
      <c:overlay val="0"/>
      <c:spPr>
        <a:solidFill>
          <a:srgbClr val="FDEADA"/>
        </a:solidFill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paperSize="9" orientation="landscape" horizontalDpi="1200" verticalDpi="12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798419707551499E-2"/>
          <c:y val="0.19661511118581726"/>
          <c:w val="0.91825806671102561"/>
          <c:h val="0.685629222902965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 1.5 &amp; 1.6'!$A$36</c:f>
              <c:strCache>
                <c:ptCount val="1"/>
                <c:pt idx="0">
                  <c:v>Public services</c:v>
                </c:pt>
              </c:strCache>
            </c:strRef>
          </c:tx>
          <c:spPr>
            <a:solidFill>
              <a:srgbClr val="FAC090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1.6'!$B$36:$N$36</c:f>
              <c:numCache>
                <c:formatCode>_(* #,##0.0_);_(* \(#,##0.0\);_(* "-"??_);_(@_)</c:formatCode>
                <c:ptCount val="13"/>
                <c:pt idx="0">
                  <c:v>2241.8999999999996</c:v>
                </c:pt>
                <c:pt idx="1">
                  <c:v>3209.7</c:v>
                </c:pt>
                <c:pt idx="2">
                  <c:v>3519.7833220000007</c:v>
                </c:pt>
                <c:pt idx="3">
                  <c:v>3978.9039029999999</c:v>
                </c:pt>
                <c:pt idx="4">
                  <c:v>4596.1388089999991</c:v>
                </c:pt>
                <c:pt idx="5">
                  <c:v>4774.492886</c:v>
                </c:pt>
                <c:pt idx="6">
                  <c:v>4784.0412950399996</c:v>
                </c:pt>
                <c:pt idx="7">
                  <c:v>5537.7483140000004</c:v>
                </c:pt>
                <c:pt idx="8">
                  <c:v>6243.3481799699994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D-4ABA-B365-334D662F221F}"/>
            </c:ext>
          </c:extLst>
        </c:ser>
        <c:ser>
          <c:idx val="1"/>
          <c:order val="1"/>
          <c:tx>
            <c:strRef>
              <c:f>'Fig 1.5 &amp; 1.6'!$A$37</c:f>
              <c:strCache>
                <c:ptCount val="1"/>
                <c:pt idx="0">
                  <c:v>Social services</c:v>
                </c:pt>
              </c:strCache>
            </c:strRef>
          </c:tx>
          <c:spPr>
            <a:solidFill>
              <a:srgbClr val="953735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1.6'!$B$37:$N$37</c:f>
              <c:numCache>
                <c:formatCode>_(* #,##0.0_);_(* \(#,##0.0\);_(* "-"??_);_(@_)</c:formatCode>
                <c:ptCount val="13"/>
                <c:pt idx="0">
                  <c:v>3817.6</c:v>
                </c:pt>
                <c:pt idx="1">
                  <c:v>3679.5</c:v>
                </c:pt>
                <c:pt idx="2">
                  <c:v>4345.2921539999998</c:v>
                </c:pt>
                <c:pt idx="3">
                  <c:v>3462.622922</c:v>
                </c:pt>
                <c:pt idx="4">
                  <c:v>3544.46576</c:v>
                </c:pt>
                <c:pt idx="5">
                  <c:v>4225.7286190000004</c:v>
                </c:pt>
                <c:pt idx="6">
                  <c:v>5531.6275246499999</c:v>
                </c:pt>
                <c:pt idx="7">
                  <c:v>7089.9977030000009</c:v>
                </c:pt>
                <c:pt idx="8">
                  <c:v>8742.95622215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BD-4ABA-B365-334D662F221F}"/>
            </c:ext>
          </c:extLst>
        </c:ser>
        <c:ser>
          <c:idx val="2"/>
          <c:order val="2"/>
          <c:tx>
            <c:strRef>
              <c:f>'Fig 1.5 &amp; 1.6'!$A$38</c:f>
              <c:strCache>
                <c:ptCount val="1"/>
                <c:pt idx="0">
                  <c:v>Economic services</c:v>
                </c:pt>
              </c:strCache>
            </c:strRef>
          </c:tx>
          <c:spPr>
            <a:solidFill>
              <a:srgbClr val="CC6600"/>
            </a:solidFill>
            <a:ln w="25400">
              <a:noFill/>
            </a:ln>
          </c:spPr>
          <c:invertIfNegative val="0"/>
          <c:dLbls>
            <c:delete val="1"/>
          </c:dLbls>
          <c:cat>
            <c:strRef>
              <c:f>'Fig 1.5 &amp; 1.6'!$B$35:$N$35</c:f>
              <c:strCache>
                <c:ptCount val="13"/>
                <c:pt idx="0">
                  <c:v>2007</c:v>
                </c:pt>
                <c:pt idx="1">
                  <c:v>2008 </c:v>
                </c:pt>
                <c:pt idx="2">
                  <c:v>2009 </c:v>
                </c:pt>
                <c:pt idx="3">
                  <c:v>2010 </c:v>
                </c:pt>
                <c:pt idx="4">
                  <c:v>2011 </c:v>
                </c:pt>
                <c:pt idx="5">
                  <c:v>2012 </c:v>
                </c:pt>
                <c:pt idx="6">
                  <c:v>2013 </c:v>
                </c:pt>
                <c:pt idx="7">
                  <c:v>2014 </c:v>
                </c:pt>
                <c:pt idx="8">
                  <c:v>2015 </c:v>
                </c:pt>
                <c:pt idx="9">
                  <c:v>2016 Rev</c:v>
                </c:pt>
                <c:pt idx="10">
                  <c:v>2017 Est</c:v>
                </c:pt>
                <c:pt idx="11">
                  <c:v>2018 Est</c:v>
                </c:pt>
                <c:pt idx="12">
                  <c:v>2019 Est</c:v>
                </c:pt>
              </c:strCache>
            </c:strRef>
          </c:cat>
          <c:val>
            <c:numRef>
              <c:f>'Fig 1.5 &amp; 1.6'!$B$38:$N$38</c:f>
              <c:numCache>
                <c:formatCode>_(* #,##0.0_);_(* \(#,##0.0\);_(* "-"??_);_(@_)</c:formatCode>
                <c:ptCount val="13"/>
                <c:pt idx="0">
                  <c:v>266.3</c:v>
                </c:pt>
                <c:pt idx="1">
                  <c:v>293.99999999999994</c:v>
                </c:pt>
                <c:pt idx="2">
                  <c:v>255.78124300000002</c:v>
                </c:pt>
                <c:pt idx="3">
                  <c:v>265.56214700000004</c:v>
                </c:pt>
                <c:pt idx="4">
                  <c:v>209.35414899999998</c:v>
                </c:pt>
                <c:pt idx="5">
                  <c:v>209.18252100000001</c:v>
                </c:pt>
                <c:pt idx="6">
                  <c:v>300.81956875999992</c:v>
                </c:pt>
                <c:pt idx="7">
                  <c:v>348.30320599999999</c:v>
                </c:pt>
                <c:pt idx="8">
                  <c:v>344.55713775999999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BD-4ABA-B365-334D662F22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79648080"/>
        <c:axId val="381618720"/>
      </c:barChart>
      <c:catAx>
        <c:axId val="77964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618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81618720"/>
        <c:scaling>
          <c:orientation val="minMax"/>
          <c:max val="9000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9648080"/>
        <c:crosses val="autoZero"/>
        <c:crossBetween val="between"/>
        <c:majorUnit val="500"/>
      </c:valAx>
      <c:spPr>
        <a:solidFill>
          <a:srgbClr val="FDEADA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1186390480266962E-2"/>
          <c:y val="0.25358228873347843"/>
          <c:w val="0.46865950012487517"/>
          <c:h val="8.1005945668923038E-2"/>
        </c:manualLayout>
      </c:layout>
      <c:overlay val="0"/>
      <c:spPr>
        <a:solidFill>
          <a:srgbClr val="FDEADA"/>
        </a:solidFill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+mn-lt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paperSize="9" orientation="landscape" horizontalDpi="1200" verticalDpi="1200"/>
  </c:printSettings>
  <c:userShapes r:id="rId1"/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1</xdr:col>
      <xdr:colOff>0</xdr:colOff>
      <xdr:row>19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3284220"/>
          <a:ext cx="2362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342899</xdr:colOff>
      <xdr:row>8</xdr:row>
      <xdr:rowOff>128270</xdr:rowOff>
    </xdr:from>
    <xdr:to>
      <xdr:col>13</xdr:col>
      <xdr:colOff>638174</xdr:colOff>
      <xdr:row>30</xdr:row>
      <xdr:rowOff>63500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379325</xdr:colOff>
      <xdr:row>38</xdr:row>
      <xdr:rowOff>138545</xdr:rowOff>
    </xdr:from>
    <xdr:to>
      <xdr:col>13</xdr:col>
      <xdr:colOff>638174</xdr:colOff>
      <xdr:row>61</xdr:row>
      <xdr:rowOff>11353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439979</xdr:colOff>
      <xdr:row>41</xdr:row>
      <xdr:rowOff>72621</xdr:rowOff>
    </xdr:from>
    <xdr:to>
      <xdr:col>1</xdr:col>
      <xdr:colOff>419101</xdr:colOff>
      <xdr:row>42</xdr:row>
      <xdr:rowOff>68580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439979" y="6084801"/>
          <a:ext cx="1053542" cy="1407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In Million Rufiyaa</a:t>
          </a:r>
        </a:p>
      </xdr:txBody>
    </xdr:sp>
    <xdr:clientData/>
  </xdr:twoCellAnchor>
  <xdr:twoCellAnchor>
    <xdr:from>
      <xdr:col>1</xdr:col>
      <xdr:colOff>247649</xdr:colOff>
      <xdr:row>41</xdr:row>
      <xdr:rowOff>57149</xdr:rowOff>
    </xdr:from>
    <xdr:to>
      <xdr:col>13</xdr:col>
      <xdr:colOff>180974</xdr:colOff>
      <xdr:row>41</xdr:row>
      <xdr:rowOff>66674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1295399" y="6305549"/>
          <a:ext cx="6734175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1</xdr:col>
      <xdr:colOff>85725</xdr:colOff>
      <xdr:row>10</xdr:row>
      <xdr:rowOff>133349</xdr:rowOff>
    </xdr:from>
    <xdr:to>
      <xdr:col>13</xdr:col>
      <xdr:colOff>66675</xdr:colOff>
      <xdr:row>10</xdr:row>
      <xdr:rowOff>142874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>
          <a:off x="1133475" y="1657349"/>
          <a:ext cx="6781800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0.00834</cdr:x>
      <cdr:y>0.10397</cdr:y>
    </cdr:from>
    <cdr:to>
      <cdr:x>0.14233</cdr:x>
      <cdr:y>0.14452</cdr:y>
    </cdr:to>
    <cdr:sp macro="" textlink="">
      <cdr:nvSpPr>
        <cdr:cNvPr id="2355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184" y="324433"/>
          <a:ext cx="982834" cy="126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700" b="1" i="0" strike="noStrike">
              <a:solidFill>
                <a:srgbClr val="000000"/>
              </a:solidFill>
              <a:latin typeface="Arial"/>
              <a:cs typeface="Arial"/>
            </a:rPr>
            <a:t>In Million Rufiyaa</a:t>
          </a:r>
        </a:p>
      </cdr:txBody>
    </cdr:sp>
  </cdr:relSizeAnchor>
  <cdr:relSizeAnchor xmlns:cdr="http://schemas.openxmlformats.org/drawingml/2006/chartDrawing">
    <cdr:from>
      <cdr:x>0.09869</cdr:x>
      <cdr:y>0.03511</cdr:y>
    </cdr:from>
    <cdr:to>
      <cdr:x>0.98504</cdr:x>
      <cdr:y>0.1377</cdr:y>
    </cdr:to>
    <cdr:sp macro="" textlink="">
      <cdr:nvSpPr>
        <cdr:cNvPr id="2355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6897" y="115443"/>
          <a:ext cx="6348748" cy="3373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en-US" sz="1000" b="1" i="0" u="none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13.5: Functional Classification of Central Government Capital Expenditure, 2007 -  2019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0.08384</cdr:x>
      <cdr:y>0.03442</cdr:y>
    </cdr:from>
    <cdr:to>
      <cdr:x>0.9711</cdr:x>
      <cdr:y>0.10901</cdr:y>
    </cdr:to>
    <cdr:sp macro="" textlink="">
      <cdr:nvSpPr>
        <cdr:cNvPr id="2457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1275" y="110229"/>
          <a:ext cx="6469380" cy="2389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7432" rIns="0" bIns="0" anchor="ctr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13.6: Functional Classification of Central Government Current Expenditure, 2007 -  2019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Users\F.shifaza\AppData\Local\Microsoft\Windows\Temporary%20Internet%20Files\Content.Outlook\UI66VG49\Public%20Finance_%2013%206%2013%20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3.6"/>
      <sheetName val="13.7"/>
      <sheetName val="graphs13.5&amp;13.6)"/>
    </sheetNames>
    <sheetDataSet>
      <sheetData sheetId="0">
        <row r="9">
          <cell r="B9">
            <v>2241.8999999999996</v>
          </cell>
          <cell r="C9">
            <v>3209.7</v>
          </cell>
          <cell r="H9">
            <v>3519.7833220000007</v>
          </cell>
          <cell r="I9">
            <v>3978.9039029999999</v>
          </cell>
          <cell r="J9">
            <v>4596.1388089999991</v>
          </cell>
        </row>
        <row r="14">
          <cell r="B14">
            <v>3817.6</v>
          </cell>
          <cell r="C14">
            <v>3679.5</v>
          </cell>
          <cell r="H14">
            <v>4345.2921539999998</v>
          </cell>
          <cell r="I14">
            <v>3462.622922</v>
          </cell>
          <cell r="J14">
            <v>3544.46576</v>
          </cell>
        </row>
        <row r="19">
          <cell r="B19">
            <v>266.3</v>
          </cell>
          <cell r="C19">
            <v>293.99999999999994</v>
          </cell>
          <cell r="H19">
            <v>255.78124300000002</v>
          </cell>
          <cell r="I19">
            <v>265.56214700000004</v>
          </cell>
          <cell r="J19">
            <v>209.35414899999998</v>
          </cell>
        </row>
      </sheetData>
      <sheetData sheetId="1">
        <row r="10">
          <cell r="B10">
            <v>808.9</v>
          </cell>
          <cell r="C10">
            <v>498.79999999999995</v>
          </cell>
          <cell r="H10">
            <v>696.52141600000004</v>
          </cell>
          <cell r="I10">
            <v>635.70163600000001</v>
          </cell>
          <cell r="J10">
            <v>1285.636868</v>
          </cell>
          <cell r="K10">
            <v>1139.8289990000001</v>
          </cell>
        </row>
        <row r="15">
          <cell r="B15">
            <v>626.5</v>
          </cell>
          <cell r="C15">
            <v>1443.3</v>
          </cell>
          <cell r="H15">
            <v>1087.278699</v>
          </cell>
          <cell r="I15">
            <v>1816.638207</v>
          </cell>
          <cell r="J15">
            <v>1383.244537</v>
          </cell>
          <cell r="K15">
            <v>1081.7647489999999</v>
          </cell>
        </row>
        <row r="20">
          <cell r="B20">
            <v>329.9</v>
          </cell>
          <cell r="C20">
            <v>937.10000000000014</v>
          </cell>
          <cell r="H20">
            <v>581.73487699999998</v>
          </cell>
          <cell r="I20">
            <v>174.8779509</v>
          </cell>
          <cell r="J20">
            <v>919.10181</v>
          </cell>
          <cell r="K20">
            <v>662.15555800000004</v>
          </cell>
        </row>
      </sheetData>
      <sheetData sheetId="2">
        <row r="4">
          <cell r="B4">
            <v>2007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8"/>
  <sheetViews>
    <sheetView zoomScale="130" zoomScaleNormal="130" workbookViewId="0">
      <selection activeCell="L27" sqref="L27"/>
    </sheetView>
  </sheetViews>
  <sheetFormatPr defaultColWidth="8.85546875" defaultRowHeight="12.75"/>
  <cols>
    <col min="1" max="1" width="32.7109375" style="15" customWidth="1"/>
    <col min="2" max="7" width="8.85546875" style="24" hidden="1" customWidth="1"/>
    <col min="8" max="8" width="8.85546875" style="24"/>
    <col min="9" max="15" width="10.7109375" style="24" customWidth="1"/>
    <col min="16" max="17" width="12.7109375" style="24" customWidth="1"/>
    <col min="18" max="19" width="10.7109375" style="77" customWidth="1"/>
    <col min="20" max="20" width="39" style="15" customWidth="1"/>
    <col min="21" max="16384" width="8.85546875" style="15"/>
  </cols>
  <sheetData>
    <row r="1" spans="1:21" ht="19.5">
      <c r="A1" s="263" t="s">
        <v>242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</row>
    <row r="2" spans="1:21" ht="15.75">
      <c r="A2" s="264" t="s">
        <v>243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</row>
    <row r="3" spans="1:21" ht="14.25">
      <c r="A3" s="265" t="s">
        <v>15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43"/>
    </row>
    <row r="4" spans="1:21" s="16" customFormat="1">
      <c r="A4" s="266" t="s">
        <v>66</v>
      </c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</row>
    <row r="5" spans="1:21" s="47" customFormat="1" ht="26.45" customHeight="1">
      <c r="A5" s="267" t="s">
        <v>0</v>
      </c>
      <c r="B5" s="44"/>
      <c r="C5" s="45"/>
      <c r="D5" s="45"/>
      <c r="E5" s="45"/>
      <c r="F5" s="45"/>
      <c r="G5" s="46"/>
      <c r="H5" s="196"/>
      <c r="I5" s="197"/>
      <c r="J5" s="186"/>
      <c r="K5" s="186"/>
      <c r="L5" s="270" t="s">
        <v>5</v>
      </c>
      <c r="M5" s="270"/>
      <c r="N5" s="270"/>
      <c r="O5" s="271"/>
      <c r="P5" s="272" t="s">
        <v>224</v>
      </c>
      <c r="Q5" s="273"/>
      <c r="R5" s="274" t="s">
        <v>19</v>
      </c>
      <c r="S5" s="275"/>
    </row>
    <row r="6" spans="1:21" s="31" customFormat="1" ht="15">
      <c r="A6" s="268"/>
      <c r="C6" s="48"/>
      <c r="D6" s="48"/>
      <c r="E6" s="48"/>
      <c r="F6" s="48"/>
      <c r="G6" s="49"/>
      <c r="H6" s="49" t="s">
        <v>3</v>
      </c>
      <c r="I6" s="50" t="s">
        <v>3</v>
      </c>
      <c r="J6" s="13" t="s">
        <v>3</v>
      </c>
      <c r="K6" s="183" t="s">
        <v>3</v>
      </c>
      <c r="L6" s="183" t="s">
        <v>252</v>
      </c>
      <c r="M6" s="183" t="s">
        <v>226</v>
      </c>
      <c r="N6" s="183" t="s">
        <v>226</v>
      </c>
      <c r="O6" s="189" t="s">
        <v>226</v>
      </c>
      <c r="P6" s="208" t="s">
        <v>3</v>
      </c>
      <c r="Q6" s="209" t="s">
        <v>3</v>
      </c>
      <c r="R6" s="276" t="s">
        <v>20</v>
      </c>
      <c r="S6" s="277"/>
      <c r="T6" s="169" t="s">
        <v>2</v>
      </c>
    </row>
    <row r="7" spans="1:21" s="19" customFormat="1">
      <c r="A7" s="269"/>
      <c r="B7" s="12">
        <v>2007</v>
      </c>
      <c r="C7" s="12">
        <v>2008</v>
      </c>
      <c r="D7" s="12">
        <v>2009</v>
      </c>
      <c r="E7" s="12">
        <v>2010</v>
      </c>
      <c r="F7" s="12">
        <v>2011</v>
      </c>
      <c r="G7" s="12">
        <v>2012</v>
      </c>
      <c r="H7" s="12">
        <v>2013</v>
      </c>
      <c r="I7" s="12">
        <v>2014</v>
      </c>
      <c r="J7" s="14">
        <v>2015</v>
      </c>
      <c r="K7" s="184">
        <v>2016</v>
      </c>
      <c r="L7" s="184">
        <v>2017</v>
      </c>
      <c r="M7" s="184">
        <v>2018</v>
      </c>
      <c r="N7" s="184">
        <v>2019</v>
      </c>
      <c r="O7" s="190">
        <v>2020</v>
      </c>
      <c r="P7" s="12">
        <v>2016</v>
      </c>
      <c r="Q7" s="198">
        <v>2017</v>
      </c>
      <c r="R7" s="51" t="s">
        <v>220</v>
      </c>
      <c r="S7" s="203" t="s">
        <v>241</v>
      </c>
      <c r="T7" s="52"/>
    </row>
    <row r="8" spans="1:21" s="19" customFormat="1" ht="15">
      <c r="A8" s="17" t="s">
        <v>21</v>
      </c>
      <c r="B8" s="53">
        <f t="shared" ref="B8:J8" si="0">SUM(B9,B31)</f>
        <v>8200.9</v>
      </c>
      <c r="C8" s="54">
        <f t="shared" si="0"/>
        <v>10175.996671999999</v>
      </c>
      <c r="D8" s="54">
        <f t="shared" si="0"/>
        <v>10953.434156000003</v>
      </c>
      <c r="E8" s="54">
        <f t="shared" si="0"/>
        <v>10815.062102899999</v>
      </c>
      <c r="F8" s="55">
        <f t="shared" si="0"/>
        <v>12264.741933000001</v>
      </c>
      <c r="G8" s="55">
        <f t="shared" si="0"/>
        <v>13110.002924999997</v>
      </c>
      <c r="H8" s="55">
        <f t="shared" si="0"/>
        <v>13530.77100239</v>
      </c>
      <c r="I8" s="55">
        <f t="shared" si="0"/>
        <v>16417.281596000001</v>
      </c>
      <c r="J8" s="55">
        <f t="shared" si="0"/>
        <v>21336.878536910001</v>
      </c>
      <c r="K8" s="191"/>
      <c r="L8" s="191"/>
      <c r="M8" s="191"/>
      <c r="N8" s="191"/>
      <c r="O8" s="192"/>
      <c r="P8" s="154"/>
      <c r="Q8" s="199"/>
      <c r="R8" s="56">
        <f t="shared" ref="R8:S31" si="1">+((K8/J8)-1)*100</f>
        <v>-100</v>
      </c>
      <c r="S8" s="204" t="e">
        <f t="shared" si="1"/>
        <v>#DIV/0!</v>
      </c>
      <c r="T8" s="37" t="s">
        <v>22</v>
      </c>
    </row>
    <row r="9" spans="1:21" s="19" customFormat="1" ht="15">
      <c r="A9" s="17" t="s">
        <v>7</v>
      </c>
      <c r="B9" s="57">
        <f t="shared" ref="B9:J9" si="2">SUM(B10,B17,B23,B30)</f>
        <v>8325.4</v>
      </c>
      <c r="C9" s="57">
        <f t="shared" si="2"/>
        <v>10342.396671999999</v>
      </c>
      <c r="D9" s="57">
        <f t="shared" si="2"/>
        <v>11104.270489000002</v>
      </c>
      <c r="E9" s="57">
        <f t="shared" si="2"/>
        <v>10996.362102899999</v>
      </c>
      <c r="F9" s="10">
        <f t="shared" si="2"/>
        <v>12663.741933000001</v>
      </c>
      <c r="G9" s="10">
        <f t="shared" si="2"/>
        <v>13200.234560999997</v>
      </c>
      <c r="H9" s="10">
        <f t="shared" si="2"/>
        <v>13666.256009389999</v>
      </c>
      <c r="I9" s="10">
        <f t="shared" si="2"/>
        <v>16539.443646</v>
      </c>
      <c r="J9" s="10">
        <f t="shared" si="2"/>
        <v>21440.89678291</v>
      </c>
      <c r="K9" s="185"/>
      <c r="L9" s="185"/>
      <c r="M9" s="185"/>
      <c r="N9" s="185"/>
      <c r="O9" s="193"/>
      <c r="P9" s="58" t="e">
        <f>+(K9/$K$9)*100</f>
        <v>#DIV/0!</v>
      </c>
      <c r="Q9" s="200" t="e">
        <f>+(L9/$K$9)*100</f>
        <v>#DIV/0!</v>
      </c>
      <c r="R9" s="56">
        <f t="shared" si="1"/>
        <v>-100</v>
      </c>
      <c r="S9" s="204" t="e">
        <f t="shared" si="1"/>
        <v>#DIV/0!</v>
      </c>
      <c r="T9" s="37" t="s">
        <v>8</v>
      </c>
    </row>
    <row r="10" spans="1:21" s="19" customFormat="1" ht="15">
      <c r="A10" s="17" t="s">
        <v>23</v>
      </c>
      <c r="B10" s="57">
        <f>SUM(B11,B12,B15,B16)</f>
        <v>3050.7999999999997</v>
      </c>
      <c r="C10" s="57">
        <f t="shared" ref="C10:L10" si="3">SUM(C11,C12,C15,C16)</f>
        <v>3708.5</v>
      </c>
      <c r="D10" s="57">
        <f t="shared" si="3"/>
        <v>4216.3047380000016</v>
      </c>
      <c r="E10" s="57">
        <f t="shared" si="3"/>
        <v>4614.6055389999992</v>
      </c>
      <c r="F10" s="10">
        <f>SUM(F11,F12,F15,F16)</f>
        <v>5881.7756770000005</v>
      </c>
      <c r="G10" s="10">
        <f t="shared" si="3"/>
        <v>5914.3218849999994</v>
      </c>
      <c r="H10" s="10">
        <f t="shared" si="3"/>
        <v>5246.6271609999994</v>
      </c>
      <c r="I10" s="10">
        <f t="shared" si="3"/>
        <v>6216.7655439999999</v>
      </c>
      <c r="J10" s="10">
        <f t="shared" si="3"/>
        <v>8322.4302864000001</v>
      </c>
      <c r="K10" s="185">
        <f t="shared" ref="K10" si="4">SUM(K11,K12,K15,K16)</f>
        <v>0</v>
      </c>
      <c r="L10" s="185">
        <f t="shared" si="3"/>
        <v>0</v>
      </c>
      <c r="M10" s="185">
        <f t="shared" ref="M10:N10" si="5">SUM(M11,M12,M15,M16)</f>
        <v>0</v>
      </c>
      <c r="N10" s="185">
        <f t="shared" si="5"/>
        <v>0</v>
      </c>
      <c r="O10" s="193">
        <f t="shared" ref="O10" si="6">SUM(O11,O12,O15,O16)</f>
        <v>0</v>
      </c>
      <c r="P10" s="58" t="e">
        <f>+(K10/$K$9)*100</f>
        <v>#DIV/0!</v>
      </c>
      <c r="Q10" s="200" t="e">
        <f>+(L10/$K$9)*100</f>
        <v>#DIV/0!</v>
      </c>
      <c r="R10" s="56">
        <f t="shared" si="1"/>
        <v>-100</v>
      </c>
      <c r="S10" s="204" t="e">
        <f t="shared" si="1"/>
        <v>#DIV/0!</v>
      </c>
      <c r="T10" s="37" t="s">
        <v>24</v>
      </c>
    </row>
    <row r="11" spans="1:21" s="20" customFormat="1" ht="15">
      <c r="A11" s="59" t="s">
        <v>25</v>
      </c>
      <c r="B11" s="60">
        <v>1607.3</v>
      </c>
      <c r="C11" s="60">
        <v>2043.9</v>
      </c>
      <c r="D11" s="60">
        <v>2197.6652670000008</v>
      </c>
      <c r="E11" s="60">
        <v>2684.2828549999995</v>
      </c>
      <c r="F11" s="26">
        <v>3414.360107</v>
      </c>
      <c r="G11" s="26">
        <v>3431.8828060000001</v>
      </c>
      <c r="H11" s="26">
        <v>2539.0598371399997</v>
      </c>
      <c r="I11" s="26">
        <v>3189.9729499999999</v>
      </c>
      <c r="J11" s="26">
        <v>3623.5494148099997</v>
      </c>
      <c r="K11" s="194"/>
      <c r="L11" s="194"/>
      <c r="M11" s="194"/>
      <c r="N11" s="194"/>
      <c r="O11" s="188"/>
      <c r="P11" s="62" t="e">
        <f t="shared" ref="P11:Q33" si="7">+(K11/$K$9)*100</f>
        <v>#DIV/0!</v>
      </c>
      <c r="Q11" s="201" t="e">
        <f t="shared" si="7"/>
        <v>#DIV/0!</v>
      </c>
      <c r="R11" s="63">
        <f t="shared" si="1"/>
        <v>-100</v>
      </c>
      <c r="S11" s="205" t="e">
        <f t="shared" si="1"/>
        <v>#DIV/0!</v>
      </c>
      <c r="T11" s="30" t="s">
        <v>26</v>
      </c>
    </row>
    <row r="12" spans="1:21" s="20" customFormat="1" ht="15">
      <c r="A12" s="59" t="s">
        <v>27</v>
      </c>
      <c r="B12" s="60">
        <v>475.70000000000005</v>
      </c>
      <c r="C12" s="60">
        <v>586.4</v>
      </c>
      <c r="D12" s="60">
        <v>752.52470600000004</v>
      </c>
      <c r="E12" s="60">
        <v>669.42846799999995</v>
      </c>
      <c r="F12" s="10">
        <f>SUM(F13:F14)</f>
        <v>910.58722000000012</v>
      </c>
      <c r="G12" s="10">
        <f t="shared" ref="G12:L12" si="8">SUM(G13:G14)</f>
        <v>812.66227900000001</v>
      </c>
      <c r="H12" s="10">
        <f t="shared" si="8"/>
        <v>796.60127067999997</v>
      </c>
      <c r="I12" s="10">
        <f>SUM(I13:I14)</f>
        <v>923.31431999999995</v>
      </c>
      <c r="J12" s="10">
        <f t="shared" si="8"/>
        <v>1195.3441013700001</v>
      </c>
      <c r="K12" s="185">
        <f t="shared" si="8"/>
        <v>0</v>
      </c>
      <c r="L12" s="185">
        <f t="shared" si="8"/>
        <v>0</v>
      </c>
      <c r="M12" s="185">
        <f t="shared" ref="M12:N12" si="9">SUM(M13:M14)</f>
        <v>0</v>
      </c>
      <c r="N12" s="185">
        <f t="shared" si="9"/>
        <v>0</v>
      </c>
      <c r="O12" s="193"/>
      <c r="P12" s="62" t="e">
        <f t="shared" si="7"/>
        <v>#DIV/0!</v>
      </c>
      <c r="Q12" s="201" t="e">
        <f t="shared" si="7"/>
        <v>#DIV/0!</v>
      </c>
      <c r="R12" s="56">
        <f t="shared" si="1"/>
        <v>-100</v>
      </c>
      <c r="S12" s="204" t="e">
        <f t="shared" si="1"/>
        <v>#DIV/0!</v>
      </c>
      <c r="T12" s="30" t="s">
        <v>28</v>
      </c>
    </row>
    <row r="13" spans="1:21" s="20" customFormat="1" ht="15">
      <c r="A13" s="59" t="s">
        <v>29</v>
      </c>
      <c r="B13" s="60">
        <v>0</v>
      </c>
      <c r="C13" s="60">
        <v>0</v>
      </c>
      <c r="D13" s="60">
        <v>0</v>
      </c>
      <c r="E13" s="60">
        <v>0</v>
      </c>
      <c r="F13" s="26">
        <v>777.54432100000008</v>
      </c>
      <c r="G13" s="26">
        <v>800.809574</v>
      </c>
      <c r="H13" s="26">
        <v>787.97938867999994</v>
      </c>
      <c r="I13" s="26">
        <v>913.25778199999991</v>
      </c>
      <c r="J13" s="26">
        <v>1178.86784837</v>
      </c>
      <c r="K13" s="194"/>
      <c r="L13" s="194"/>
      <c r="M13" s="194"/>
      <c r="N13" s="194"/>
      <c r="O13" s="188"/>
      <c r="P13" s="62" t="e">
        <f t="shared" si="7"/>
        <v>#DIV/0!</v>
      </c>
      <c r="Q13" s="201" t="e">
        <f t="shared" si="7"/>
        <v>#DIV/0!</v>
      </c>
      <c r="R13" s="63">
        <f t="shared" si="1"/>
        <v>-100</v>
      </c>
      <c r="S13" s="205" t="e">
        <f t="shared" si="1"/>
        <v>#DIV/0!</v>
      </c>
      <c r="T13" s="64" t="s">
        <v>64</v>
      </c>
    </row>
    <row r="14" spans="1:21" s="20" customFormat="1" ht="15">
      <c r="A14" s="59" t="s">
        <v>30</v>
      </c>
      <c r="B14" s="60">
        <v>0</v>
      </c>
      <c r="C14" s="60">
        <v>0</v>
      </c>
      <c r="D14" s="60">
        <v>0</v>
      </c>
      <c r="E14" s="60">
        <v>0</v>
      </c>
      <c r="F14" s="26">
        <v>133.04289900000001</v>
      </c>
      <c r="G14" s="26">
        <v>11.852705</v>
      </c>
      <c r="H14" s="26">
        <v>8.6218819999999994</v>
      </c>
      <c r="I14" s="26">
        <v>10.056538</v>
      </c>
      <c r="J14" s="26">
        <v>16.476253</v>
      </c>
      <c r="K14" s="194"/>
      <c r="L14" s="194"/>
      <c r="M14" s="194"/>
      <c r="N14" s="194"/>
      <c r="O14" s="188"/>
      <c r="P14" s="62" t="e">
        <f t="shared" si="7"/>
        <v>#DIV/0!</v>
      </c>
      <c r="Q14" s="201" t="e">
        <f t="shared" si="7"/>
        <v>#DIV/0!</v>
      </c>
      <c r="R14" s="63">
        <f t="shared" si="1"/>
        <v>-100</v>
      </c>
      <c r="S14" s="205" t="e">
        <f t="shared" si="1"/>
        <v>#DIV/0!</v>
      </c>
      <c r="T14" s="64" t="s">
        <v>65</v>
      </c>
    </row>
    <row r="15" spans="1:21" s="20" customFormat="1" ht="15">
      <c r="A15" s="59" t="s">
        <v>31</v>
      </c>
      <c r="B15" s="60">
        <v>825.69999999999993</v>
      </c>
      <c r="C15" s="65">
        <v>982.5</v>
      </c>
      <c r="D15" s="60">
        <v>1170.997198</v>
      </c>
      <c r="E15" s="60">
        <v>1192.3427610000001</v>
      </c>
      <c r="F15" s="26">
        <v>1364.5149330000002</v>
      </c>
      <c r="G15" s="26">
        <v>1525.6040499999999</v>
      </c>
      <c r="H15" s="26">
        <v>1725.97350061</v>
      </c>
      <c r="I15" s="26">
        <v>1982.1994500000001</v>
      </c>
      <c r="J15" s="26">
        <v>2681.8339682300002</v>
      </c>
      <c r="K15" s="194"/>
      <c r="L15" s="194"/>
      <c r="M15" s="194"/>
      <c r="N15" s="194"/>
      <c r="O15" s="188"/>
      <c r="P15" s="62" t="e">
        <f t="shared" si="7"/>
        <v>#DIV/0!</v>
      </c>
      <c r="Q15" s="201" t="e">
        <f t="shared" si="7"/>
        <v>#DIV/0!</v>
      </c>
      <c r="R15" s="63">
        <f t="shared" si="1"/>
        <v>-100</v>
      </c>
      <c r="S15" s="205" t="e">
        <f t="shared" si="1"/>
        <v>#DIV/0!</v>
      </c>
      <c r="T15" s="30" t="s">
        <v>32</v>
      </c>
    </row>
    <row r="16" spans="1:21" s="20" customFormat="1" ht="15">
      <c r="A16" s="59" t="s">
        <v>33</v>
      </c>
      <c r="B16" s="60">
        <v>142.1</v>
      </c>
      <c r="C16" s="60">
        <v>95.7</v>
      </c>
      <c r="D16" s="60">
        <v>95.117567000000008</v>
      </c>
      <c r="E16" s="60">
        <v>68.551455000000004</v>
      </c>
      <c r="F16" s="26">
        <v>192.31341699999999</v>
      </c>
      <c r="G16" s="26">
        <v>144.17275000000001</v>
      </c>
      <c r="H16" s="26">
        <v>184.99255256999999</v>
      </c>
      <c r="I16" s="26">
        <v>121.27882399999999</v>
      </c>
      <c r="J16" s="26">
        <v>821.70280199000001</v>
      </c>
      <c r="K16" s="194"/>
      <c r="L16" s="194"/>
      <c r="M16" s="194"/>
      <c r="N16" s="194"/>
      <c r="O16" s="188"/>
      <c r="P16" s="62" t="e">
        <f t="shared" si="7"/>
        <v>#DIV/0!</v>
      </c>
      <c r="Q16" s="201" t="e">
        <f t="shared" si="7"/>
        <v>#DIV/0!</v>
      </c>
      <c r="R16" s="63">
        <f t="shared" si="1"/>
        <v>-100</v>
      </c>
      <c r="S16" s="205" t="e">
        <f t="shared" si="1"/>
        <v>#DIV/0!</v>
      </c>
      <c r="T16" s="30" t="s">
        <v>34</v>
      </c>
    </row>
    <row r="17" spans="1:20" s="19" customFormat="1" ht="15">
      <c r="A17" s="17" t="s">
        <v>35</v>
      </c>
      <c r="B17" s="57">
        <f>SUM(B18:B21)</f>
        <v>4444.1000000000004</v>
      </c>
      <c r="C17" s="57">
        <f>SUM(C18:C21)</f>
        <v>5122.8</v>
      </c>
      <c r="D17" s="57">
        <f>SUM(D18:D21)</f>
        <v>5432.5708530000002</v>
      </c>
      <c r="E17" s="57">
        <f>SUM(E18:E21)</f>
        <v>5279.2611290000004</v>
      </c>
      <c r="F17" s="10">
        <f>SUM(F18:F22)</f>
        <v>4927.7102970000005</v>
      </c>
      <c r="G17" s="10">
        <f t="shared" ref="G17:L17" si="10">SUM(G18:G22)</f>
        <v>5307.4933679999995</v>
      </c>
      <c r="H17" s="10">
        <f t="shared" si="10"/>
        <v>6639.8532862999991</v>
      </c>
      <c r="I17" s="10">
        <f t="shared" si="10"/>
        <v>8245.5721549999998</v>
      </c>
      <c r="J17" s="10">
        <f t="shared" si="10"/>
        <v>10555.286755449999</v>
      </c>
      <c r="K17" s="185">
        <f t="shared" si="10"/>
        <v>0</v>
      </c>
      <c r="L17" s="185">
        <f t="shared" si="10"/>
        <v>0</v>
      </c>
      <c r="M17" s="185">
        <f t="shared" ref="M17:N17" si="11">SUM(M18:M22)</f>
        <v>0</v>
      </c>
      <c r="N17" s="185">
        <f t="shared" si="11"/>
        <v>0</v>
      </c>
      <c r="O17" s="193">
        <f t="shared" ref="O17" si="12">SUM(O18:O22)</f>
        <v>0</v>
      </c>
      <c r="P17" s="58" t="e">
        <f t="shared" si="7"/>
        <v>#DIV/0!</v>
      </c>
      <c r="Q17" s="200" t="e">
        <f t="shared" si="7"/>
        <v>#DIV/0!</v>
      </c>
      <c r="R17" s="56">
        <f t="shared" si="1"/>
        <v>-100</v>
      </c>
      <c r="S17" s="204" t="e">
        <f t="shared" si="1"/>
        <v>#DIV/0!</v>
      </c>
      <c r="T17" s="37" t="s">
        <v>36</v>
      </c>
    </row>
    <row r="18" spans="1:20" s="20" customFormat="1" ht="15">
      <c r="A18" s="59" t="s">
        <v>37</v>
      </c>
      <c r="B18" s="60">
        <v>1313.8000000000002</v>
      </c>
      <c r="C18" s="60">
        <v>1630.5</v>
      </c>
      <c r="D18" s="60">
        <v>1935.0878400000001</v>
      </c>
      <c r="E18" s="60">
        <v>1643.137213</v>
      </c>
      <c r="F18" s="26">
        <v>1796.661055</v>
      </c>
      <c r="G18" s="26">
        <v>2203.168764</v>
      </c>
      <c r="H18" s="26">
        <v>2002.2797697200001</v>
      </c>
      <c r="I18" s="26">
        <v>2212.015058</v>
      </c>
      <c r="J18" s="26">
        <v>2933.05047655</v>
      </c>
      <c r="K18" s="194"/>
      <c r="L18" s="194"/>
      <c r="M18" s="194"/>
      <c r="N18" s="194"/>
      <c r="O18" s="188"/>
      <c r="P18" s="62" t="e">
        <f t="shared" si="7"/>
        <v>#DIV/0!</v>
      </c>
      <c r="Q18" s="201" t="e">
        <f t="shared" si="7"/>
        <v>#DIV/0!</v>
      </c>
      <c r="R18" s="63">
        <f t="shared" si="1"/>
        <v>-100</v>
      </c>
      <c r="S18" s="205" t="e">
        <f t="shared" si="1"/>
        <v>#DIV/0!</v>
      </c>
      <c r="T18" s="30" t="s">
        <v>38</v>
      </c>
    </row>
    <row r="19" spans="1:20" s="20" customFormat="1" ht="15">
      <c r="A19" s="59" t="s">
        <v>39</v>
      </c>
      <c r="B19" s="60">
        <v>782.19999999999993</v>
      </c>
      <c r="C19" s="60">
        <v>1326.4</v>
      </c>
      <c r="D19" s="60">
        <v>1396.1558639999998</v>
      </c>
      <c r="E19" s="60">
        <v>990.87232799999992</v>
      </c>
      <c r="F19" s="26">
        <v>368.31382600000001</v>
      </c>
      <c r="G19" s="26">
        <v>296.66393599999998</v>
      </c>
      <c r="H19" s="26">
        <v>1391.70545487</v>
      </c>
      <c r="I19" s="26">
        <v>1866.0390179999999</v>
      </c>
      <c r="J19" s="26">
        <v>2525.9593407700004</v>
      </c>
      <c r="K19" s="194"/>
      <c r="L19" s="194"/>
      <c r="M19" s="194"/>
      <c r="N19" s="194"/>
      <c r="O19" s="188"/>
      <c r="P19" s="62" t="e">
        <f t="shared" si="7"/>
        <v>#DIV/0!</v>
      </c>
      <c r="Q19" s="201" t="e">
        <f t="shared" si="7"/>
        <v>#DIV/0!</v>
      </c>
      <c r="R19" s="63">
        <f t="shared" si="1"/>
        <v>-100</v>
      </c>
      <c r="S19" s="205" t="e">
        <f t="shared" si="1"/>
        <v>#DIV/0!</v>
      </c>
      <c r="T19" s="30" t="s">
        <v>40</v>
      </c>
    </row>
    <row r="20" spans="1:20" s="20" customFormat="1" ht="15">
      <c r="A20" s="59" t="s">
        <v>41</v>
      </c>
      <c r="B20" s="60">
        <v>235.5</v>
      </c>
      <c r="C20" s="60">
        <v>640.6</v>
      </c>
      <c r="D20" s="60">
        <v>464.54098499999998</v>
      </c>
      <c r="E20" s="60">
        <v>578.16290700000002</v>
      </c>
      <c r="F20" s="26">
        <v>1135.3461150000001</v>
      </c>
      <c r="G20" s="26">
        <v>1578.1540559999999</v>
      </c>
      <c r="H20" s="26">
        <v>1959.2764668599998</v>
      </c>
      <c r="I20" s="26">
        <v>2925.2288200000003</v>
      </c>
      <c r="J20" s="26">
        <v>3222.1829934400002</v>
      </c>
      <c r="K20" s="194"/>
      <c r="L20" s="194"/>
      <c r="M20" s="194"/>
      <c r="N20" s="194"/>
      <c r="O20" s="188"/>
      <c r="P20" s="62" t="e">
        <f t="shared" si="7"/>
        <v>#DIV/0!</v>
      </c>
      <c r="Q20" s="201" t="e">
        <f t="shared" si="7"/>
        <v>#DIV/0!</v>
      </c>
      <c r="R20" s="63">
        <f t="shared" si="1"/>
        <v>-100</v>
      </c>
      <c r="S20" s="205" t="e">
        <f t="shared" si="1"/>
        <v>#DIV/0!</v>
      </c>
      <c r="T20" s="30" t="s">
        <v>42</v>
      </c>
    </row>
    <row r="21" spans="1:20" s="20" customFormat="1" ht="15">
      <c r="A21" s="59" t="s">
        <v>227</v>
      </c>
      <c r="B21" s="60">
        <v>2112.6</v>
      </c>
      <c r="C21" s="60">
        <v>1525.3000000000002</v>
      </c>
      <c r="D21" s="60">
        <v>1636.7861640000001</v>
      </c>
      <c r="E21" s="60">
        <v>2067.0886810000002</v>
      </c>
      <c r="F21" s="26">
        <v>1627.3893010000002</v>
      </c>
      <c r="G21" s="26">
        <v>1229.5066119999999</v>
      </c>
      <c r="H21" s="26">
        <v>979.91802029999997</v>
      </c>
      <c r="I21" s="26">
        <v>772.59129199999995</v>
      </c>
      <c r="J21" s="26">
        <v>0</v>
      </c>
      <c r="K21" s="194"/>
      <c r="L21" s="194"/>
      <c r="M21" s="194"/>
      <c r="N21" s="194"/>
      <c r="O21" s="188"/>
      <c r="P21" s="62" t="e">
        <f t="shared" si="7"/>
        <v>#DIV/0!</v>
      </c>
      <c r="Q21" s="201" t="e">
        <f t="shared" si="7"/>
        <v>#DIV/0!</v>
      </c>
      <c r="R21" s="61" t="e">
        <f t="shared" ref="R21:S21" si="13">+(M21/$K$9)*100</f>
        <v>#DIV/0!</v>
      </c>
      <c r="S21" s="206" t="e">
        <f t="shared" si="13"/>
        <v>#DIV/0!</v>
      </c>
      <c r="T21" s="30" t="s">
        <v>43</v>
      </c>
    </row>
    <row r="22" spans="1:20" s="20" customFormat="1" ht="17.25">
      <c r="A22" s="59" t="s">
        <v>147</v>
      </c>
      <c r="B22" s="60"/>
      <c r="C22" s="60"/>
      <c r="D22" s="60"/>
      <c r="E22" s="60"/>
      <c r="F22" s="26"/>
      <c r="G22" s="39">
        <v>0</v>
      </c>
      <c r="H22" s="26">
        <v>306.67357454999978</v>
      </c>
      <c r="I22" s="26">
        <v>469.69796699999995</v>
      </c>
      <c r="J22" s="26">
        <v>1874.0939446899999</v>
      </c>
      <c r="K22" s="194"/>
      <c r="L22" s="194"/>
      <c r="M22" s="194"/>
      <c r="N22" s="194"/>
      <c r="O22" s="188"/>
      <c r="P22" s="62" t="e">
        <f t="shared" si="7"/>
        <v>#DIV/0!</v>
      </c>
      <c r="Q22" s="201" t="e">
        <f t="shared" si="7"/>
        <v>#DIV/0!</v>
      </c>
      <c r="R22" s="63">
        <f t="shared" si="1"/>
        <v>-100</v>
      </c>
      <c r="S22" s="205" t="e">
        <f t="shared" si="1"/>
        <v>#DIV/0!</v>
      </c>
      <c r="T22" s="66" t="s">
        <v>212</v>
      </c>
    </row>
    <row r="23" spans="1:20" s="19" customFormat="1" ht="15">
      <c r="A23" s="17" t="s">
        <v>44</v>
      </c>
      <c r="B23" s="57">
        <f t="shared" ref="B23:L23" si="14">SUM(B24:B29)</f>
        <v>596.20000000000005</v>
      </c>
      <c r="C23" s="57">
        <f t="shared" si="14"/>
        <v>1231.0999999999999</v>
      </c>
      <c r="D23" s="57">
        <f t="shared" si="14"/>
        <v>837.51612</v>
      </c>
      <c r="E23" s="57">
        <f t="shared" si="14"/>
        <v>440.44009790000001</v>
      </c>
      <c r="F23" s="10">
        <f t="shared" si="14"/>
        <v>1128.4559589999999</v>
      </c>
      <c r="G23" s="10">
        <f t="shared" si="14"/>
        <v>871.33807899999999</v>
      </c>
      <c r="H23" s="10">
        <f t="shared" si="14"/>
        <v>823.04936508999992</v>
      </c>
      <c r="I23" s="10">
        <f t="shared" si="14"/>
        <v>1098.7585779999999</v>
      </c>
      <c r="J23" s="10">
        <f t="shared" si="14"/>
        <v>1215.5298800600001</v>
      </c>
      <c r="K23" s="185">
        <f t="shared" ref="K23" si="15">SUM(K24:K29)</f>
        <v>0</v>
      </c>
      <c r="L23" s="185">
        <f t="shared" si="14"/>
        <v>0</v>
      </c>
      <c r="M23" s="185">
        <f t="shared" ref="M23:N23" si="16">SUM(M24:M29)</f>
        <v>0</v>
      </c>
      <c r="N23" s="185">
        <f t="shared" si="16"/>
        <v>0</v>
      </c>
      <c r="O23" s="193">
        <f t="shared" ref="O23" si="17">SUM(O24:O29)</f>
        <v>0</v>
      </c>
      <c r="P23" s="58" t="e">
        <f t="shared" si="7"/>
        <v>#DIV/0!</v>
      </c>
      <c r="Q23" s="200" t="e">
        <f t="shared" si="7"/>
        <v>#DIV/0!</v>
      </c>
      <c r="R23" s="56">
        <f t="shared" si="1"/>
        <v>-100</v>
      </c>
      <c r="S23" s="204" t="e">
        <f t="shared" si="1"/>
        <v>#DIV/0!</v>
      </c>
      <c r="T23" s="37" t="s">
        <v>45</v>
      </c>
    </row>
    <row r="24" spans="1:20" s="20" customFormat="1" ht="15">
      <c r="A24" s="59" t="s">
        <v>46</v>
      </c>
      <c r="B24" s="60">
        <v>179.9</v>
      </c>
      <c r="C24" s="60">
        <v>159.79999999999998</v>
      </c>
      <c r="D24" s="60">
        <v>58.986502000000002</v>
      </c>
      <c r="E24" s="60">
        <v>146.70229599999999</v>
      </c>
      <c r="F24" s="26">
        <v>93.345458000000008</v>
      </c>
      <c r="G24" s="26">
        <v>70.257467000000005</v>
      </c>
      <c r="H24" s="26">
        <v>70.500645059999997</v>
      </c>
      <c r="I24" s="26">
        <v>93.968531999999996</v>
      </c>
      <c r="J24" s="26">
        <v>67.21094626</v>
      </c>
      <c r="K24" s="194"/>
      <c r="L24" s="194"/>
      <c r="M24" s="194"/>
      <c r="N24" s="194"/>
      <c r="O24" s="188"/>
      <c r="P24" s="62" t="e">
        <f t="shared" si="7"/>
        <v>#DIV/0!</v>
      </c>
      <c r="Q24" s="201" t="e">
        <f t="shared" si="7"/>
        <v>#DIV/0!</v>
      </c>
      <c r="R24" s="63">
        <f t="shared" si="1"/>
        <v>-100</v>
      </c>
      <c r="S24" s="205" t="e">
        <f t="shared" si="1"/>
        <v>#DIV/0!</v>
      </c>
      <c r="T24" s="30" t="s">
        <v>47</v>
      </c>
    </row>
    <row r="25" spans="1:20" s="20" customFormat="1" ht="15">
      <c r="A25" s="59" t="s">
        <v>48</v>
      </c>
      <c r="B25" s="60">
        <v>172.2</v>
      </c>
      <c r="C25" s="60">
        <v>837.8</v>
      </c>
      <c r="D25" s="60">
        <v>106.089237</v>
      </c>
      <c r="E25" s="60">
        <v>120.04688899999999</v>
      </c>
      <c r="F25" s="26">
        <v>471.08129199999996</v>
      </c>
      <c r="G25" s="26">
        <v>607.73237199999994</v>
      </c>
      <c r="H25" s="26">
        <v>404.45810542000004</v>
      </c>
      <c r="I25" s="26">
        <v>735.60389299999997</v>
      </c>
      <c r="J25" s="26">
        <v>846.79535526999996</v>
      </c>
      <c r="K25" s="194"/>
      <c r="L25" s="194"/>
      <c r="M25" s="194"/>
      <c r="N25" s="194"/>
      <c r="O25" s="188"/>
      <c r="P25" s="62" t="e">
        <f t="shared" si="7"/>
        <v>#DIV/0!</v>
      </c>
      <c r="Q25" s="201" t="e">
        <f t="shared" si="7"/>
        <v>#DIV/0!</v>
      </c>
      <c r="R25" s="63">
        <f t="shared" si="1"/>
        <v>-100</v>
      </c>
      <c r="S25" s="205" t="e">
        <f t="shared" si="1"/>
        <v>#DIV/0!</v>
      </c>
      <c r="T25" s="30" t="s">
        <v>49</v>
      </c>
    </row>
    <row r="26" spans="1:20" s="20" customFormat="1" ht="15">
      <c r="A26" s="59" t="s">
        <v>50</v>
      </c>
      <c r="B26" s="60">
        <v>88.9</v>
      </c>
      <c r="C26" s="60">
        <v>35.700000000000003</v>
      </c>
      <c r="D26" s="60">
        <v>62.029623999999998</v>
      </c>
      <c r="E26" s="60">
        <v>43.271078000000003</v>
      </c>
      <c r="F26" s="26">
        <v>59.675843</v>
      </c>
      <c r="G26" s="26">
        <v>66.77496099999999</v>
      </c>
      <c r="H26" s="26">
        <v>31.982870659999989</v>
      </c>
      <c r="I26" s="26">
        <v>75.050148000000007</v>
      </c>
      <c r="J26" s="26">
        <v>52.374541500000007</v>
      </c>
      <c r="K26" s="194"/>
      <c r="L26" s="194"/>
      <c r="M26" s="194"/>
      <c r="N26" s="194"/>
      <c r="O26" s="188"/>
      <c r="P26" s="62" t="e">
        <f t="shared" si="7"/>
        <v>#DIV/0!</v>
      </c>
      <c r="Q26" s="201" t="e">
        <f t="shared" si="7"/>
        <v>#DIV/0!</v>
      </c>
      <c r="R26" s="63">
        <f t="shared" si="1"/>
        <v>-100</v>
      </c>
      <c r="S26" s="205" t="e">
        <f t="shared" si="1"/>
        <v>#DIV/0!</v>
      </c>
      <c r="T26" s="30" t="s">
        <v>51</v>
      </c>
    </row>
    <row r="27" spans="1:20" s="19" customFormat="1" ht="15">
      <c r="A27" s="59" t="s">
        <v>52</v>
      </c>
      <c r="B27" s="60">
        <v>108.2</v>
      </c>
      <c r="C27" s="60">
        <v>93.3</v>
      </c>
      <c r="D27" s="60">
        <v>78.466514000000004</v>
      </c>
      <c r="E27" s="60">
        <v>46.860301</v>
      </c>
      <c r="F27" s="26">
        <v>33.749803</v>
      </c>
      <c r="G27" s="26">
        <v>52.519985999999996</v>
      </c>
      <c r="H27" s="26">
        <v>33.124519409999998</v>
      </c>
      <c r="I27" s="26">
        <v>49.642775</v>
      </c>
      <c r="J27" s="26">
        <v>103.70914999999999</v>
      </c>
      <c r="K27" s="194"/>
      <c r="L27" s="194"/>
      <c r="M27" s="194"/>
      <c r="N27" s="194"/>
      <c r="O27" s="188"/>
      <c r="P27" s="62" t="e">
        <f t="shared" si="7"/>
        <v>#DIV/0!</v>
      </c>
      <c r="Q27" s="201" t="e">
        <f t="shared" si="7"/>
        <v>#DIV/0!</v>
      </c>
      <c r="R27" s="63">
        <f t="shared" si="1"/>
        <v>-100</v>
      </c>
      <c r="S27" s="205" t="e">
        <f t="shared" si="1"/>
        <v>#DIV/0!</v>
      </c>
      <c r="T27" s="30" t="s">
        <v>53</v>
      </c>
    </row>
    <row r="28" spans="1:20" s="19" customFormat="1" ht="15">
      <c r="A28" s="59" t="s">
        <v>54</v>
      </c>
      <c r="B28" s="60">
        <v>42.8</v>
      </c>
      <c r="C28" s="60">
        <v>92.3</v>
      </c>
      <c r="D28" s="60">
        <v>505.93436100000002</v>
      </c>
      <c r="E28" s="60">
        <v>52.495815900000004</v>
      </c>
      <c r="F28" s="26">
        <v>80.384180000000001</v>
      </c>
      <c r="G28" s="26">
        <v>54.566487000000002</v>
      </c>
      <c r="H28" s="26">
        <v>168.21187463999996</v>
      </c>
      <c r="I28" s="26">
        <v>51.606206</v>
      </c>
      <c r="J28" s="26">
        <v>131.16637020000002</v>
      </c>
      <c r="K28" s="194"/>
      <c r="L28" s="194"/>
      <c r="M28" s="194"/>
      <c r="N28" s="194"/>
      <c r="O28" s="188"/>
      <c r="P28" s="62" t="e">
        <f t="shared" si="7"/>
        <v>#DIV/0!</v>
      </c>
      <c r="Q28" s="201" t="e">
        <f t="shared" si="7"/>
        <v>#DIV/0!</v>
      </c>
      <c r="R28" s="63">
        <f t="shared" si="1"/>
        <v>-100</v>
      </c>
      <c r="S28" s="205" t="e">
        <f t="shared" si="1"/>
        <v>#DIV/0!</v>
      </c>
      <c r="T28" s="30" t="s">
        <v>55</v>
      </c>
    </row>
    <row r="29" spans="1:20" s="20" customFormat="1" ht="15">
      <c r="A29" s="59" t="s">
        <v>56</v>
      </c>
      <c r="B29" s="60">
        <v>4.2</v>
      </c>
      <c r="C29" s="60">
        <v>12.2</v>
      </c>
      <c r="D29" s="60">
        <v>26.009882000000001</v>
      </c>
      <c r="E29" s="60">
        <v>31.063718000000001</v>
      </c>
      <c r="F29" s="26">
        <v>390.21938299999999</v>
      </c>
      <c r="G29" s="26">
        <v>19.486806000000001</v>
      </c>
      <c r="H29" s="26">
        <v>114.7713499</v>
      </c>
      <c r="I29" s="26">
        <v>92.887023999999997</v>
      </c>
      <c r="J29" s="26">
        <v>14.27351683</v>
      </c>
      <c r="K29" s="194"/>
      <c r="L29" s="194"/>
      <c r="M29" s="194"/>
      <c r="N29" s="194"/>
      <c r="O29" s="188"/>
      <c r="P29" s="62" t="e">
        <f t="shared" si="7"/>
        <v>#DIV/0!</v>
      </c>
      <c r="Q29" s="201" t="e">
        <f t="shared" si="7"/>
        <v>#DIV/0!</v>
      </c>
      <c r="R29" s="63">
        <f t="shared" si="1"/>
        <v>-100</v>
      </c>
      <c r="S29" s="205" t="e">
        <f t="shared" si="1"/>
        <v>#DIV/0!</v>
      </c>
      <c r="T29" s="30" t="s">
        <v>57</v>
      </c>
    </row>
    <row r="30" spans="1:20" s="19" customFormat="1" ht="15">
      <c r="A30" s="17" t="s">
        <v>58</v>
      </c>
      <c r="B30" s="57">
        <v>234.3</v>
      </c>
      <c r="C30" s="57">
        <v>279.99667199999999</v>
      </c>
      <c r="D30" s="57">
        <v>617.87877800000001</v>
      </c>
      <c r="E30" s="57">
        <v>662.05533700000001</v>
      </c>
      <c r="F30" s="10">
        <v>725.8</v>
      </c>
      <c r="G30" s="10">
        <v>1107.0812289999999</v>
      </c>
      <c r="H30" s="10">
        <v>956.72619699999996</v>
      </c>
      <c r="I30" s="10">
        <v>978.34736899999996</v>
      </c>
      <c r="J30" s="10">
        <v>1347.6498610000001</v>
      </c>
      <c r="K30" s="185"/>
      <c r="L30" s="185"/>
      <c r="M30" s="185"/>
      <c r="N30" s="185"/>
      <c r="O30" s="193"/>
      <c r="P30" s="58" t="e">
        <f t="shared" si="7"/>
        <v>#DIV/0!</v>
      </c>
      <c r="Q30" s="200" t="e">
        <f t="shared" si="7"/>
        <v>#DIV/0!</v>
      </c>
      <c r="R30" s="56">
        <f t="shared" si="1"/>
        <v>-100</v>
      </c>
      <c r="S30" s="204" t="e">
        <f t="shared" si="1"/>
        <v>#DIV/0!</v>
      </c>
      <c r="T30" s="37" t="s">
        <v>59</v>
      </c>
    </row>
    <row r="31" spans="1:20" s="19" customFormat="1" ht="15">
      <c r="A31" s="17" t="s">
        <v>11</v>
      </c>
      <c r="B31" s="57">
        <v>-124.5</v>
      </c>
      <c r="C31" s="57">
        <v>-166.4</v>
      </c>
      <c r="D31" s="57">
        <v>-150.836333</v>
      </c>
      <c r="E31" s="57">
        <v>-181.3</v>
      </c>
      <c r="F31" s="10">
        <v>-399</v>
      </c>
      <c r="G31" s="10">
        <v>-90.231635999999995</v>
      </c>
      <c r="H31" s="10">
        <v>-135.485007</v>
      </c>
      <c r="I31" s="10">
        <v>-122.16204999999999</v>
      </c>
      <c r="J31" s="10">
        <v>-104.018246</v>
      </c>
      <c r="K31" s="185"/>
      <c r="L31" s="185"/>
      <c r="M31" s="185"/>
      <c r="N31" s="185"/>
      <c r="O31" s="193"/>
      <c r="P31" s="58" t="e">
        <f t="shared" si="7"/>
        <v>#DIV/0!</v>
      </c>
      <c r="Q31" s="200" t="e">
        <f t="shared" si="7"/>
        <v>#DIV/0!</v>
      </c>
      <c r="R31" s="56">
        <f t="shared" si="1"/>
        <v>-100</v>
      </c>
      <c r="S31" s="204" t="e">
        <f t="shared" si="1"/>
        <v>#DIV/0!</v>
      </c>
      <c r="T31" s="37" t="s">
        <v>12</v>
      </c>
    </row>
    <row r="32" spans="1:20" s="20" customFormat="1" ht="15">
      <c r="A32" s="59" t="s">
        <v>16</v>
      </c>
      <c r="B32" s="67"/>
      <c r="C32" s="67"/>
      <c r="D32" s="67"/>
      <c r="E32" s="67"/>
      <c r="F32" s="18"/>
      <c r="G32" s="10"/>
      <c r="H32" s="10"/>
      <c r="I32" s="10"/>
      <c r="J32" s="10"/>
      <c r="K32" s="185"/>
      <c r="L32" s="185"/>
      <c r="M32" s="185"/>
      <c r="N32" s="185"/>
      <c r="O32" s="193"/>
      <c r="P32" s="58"/>
      <c r="Q32" s="200"/>
      <c r="R32" s="63"/>
      <c r="S32" s="205"/>
      <c r="T32" s="30" t="s">
        <v>17</v>
      </c>
    </row>
    <row r="33" spans="1:20" ht="17.25">
      <c r="A33" s="68" t="s">
        <v>60</v>
      </c>
      <c r="B33" s="69">
        <v>1007.8</v>
      </c>
      <c r="C33" s="69">
        <v>390.30930799999999</v>
      </c>
      <c r="D33" s="70">
        <v>584.5</v>
      </c>
      <c r="E33" s="70">
        <v>877.1</v>
      </c>
      <c r="F33" s="71">
        <v>987.6</v>
      </c>
      <c r="G33" s="71">
        <v>1145.8582073000002</v>
      </c>
      <c r="H33" s="71">
        <v>1187.19235</v>
      </c>
      <c r="I33" s="71">
        <v>188.39416600000001</v>
      </c>
      <c r="J33" s="71">
        <v>635.05139099999997</v>
      </c>
      <c r="K33" s="195"/>
      <c r="L33" s="195"/>
      <c r="M33" s="195"/>
      <c r="N33" s="195"/>
      <c r="O33" s="187"/>
      <c r="P33" s="72" t="e">
        <f t="shared" si="7"/>
        <v>#DIV/0!</v>
      </c>
      <c r="Q33" s="202" t="e">
        <f t="shared" si="7"/>
        <v>#DIV/0!</v>
      </c>
      <c r="R33" s="73">
        <f>+((K33/J33)-1)*100</f>
        <v>-100</v>
      </c>
      <c r="S33" s="207" t="e">
        <f>+((L33/K33)-1)*100</f>
        <v>#DIV/0!</v>
      </c>
      <c r="T33" s="74" t="s">
        <v>61</v>
      </c>
    </row>
    <row r="34" spans="1:20" ht="15">
      <c r="A34" s="21" t="s">
        <v>13</v>
      </c>
      <c r="B34" s="75"/>
      <c r="C34" s="75"/>
      <c r="D34" s="75"/>
      <c r="E34" s="75"/>
      <c r="F34" s="75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30" t="s">
        <v>14</v>
      </c>
    </row>
    <row r="35" spans="1:20" s="180" customFormat="1" ht="11.25">
      <c r="A35" s="176" t="s">
        <v>228</v>
      </c>
      <c r="B35" s="177"/>
      <c r="C35" s="177"/>
      <c r="D35" s="177"/>
      <c r="E35" s="177"/>
      <c r="F35" s="177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9"/>
    </row>
    <row r="36" spans="1:20"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</row>
    <row r="37" spans="1:20">
      <c r="B37" s="78"/>
      <c r="C37" s="78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</row>
    <row r="38" spans="1:20">
      <c r="B38" s="79"/>
      <c r="C38" s="79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</row>
    <row r="39" spans="1:20"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</row>
    <row r="40" spans="1:20">
      <c r="P40" s="77"/>
      <c r="Q40" s="77"/>
    </row>
    <row r="41" spans="1:20">
      <c r="P41" s="77"/>
      <c r="Q41" s="77"/>
    </row>
    <row r="42" spans="1:20"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</row>
    <row r="43" spans="1:20"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</row>
    <row r="44" spans="1:20"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</row>
    <row r="45" spans="1:20"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</row>
    <row r="46" spans="1:20"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</row>
    <row r="47" spans="1:20"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</row>
    <row r="48" spans="1:20"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</row>
    <row r="49" spans="7:17"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</row>
    <row r="50" spans="7:17"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</row>
    <row r="51" spans="7:17"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</row>
    <row r="52" spans="7:17"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</row>
    <row r="53" spans="7:17"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</row>
    <row r="54" spans="7:17"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</row>
    <row r="55" spans="7:17"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</row>
    <row r="56" spans="7:17"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</row>
    <row r="57" spans="7:17"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</row>
    <row r="58" spans="7:17"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</row>
    <row r="59" spans="7:17"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</row>
    <row r="60" spans="7:17"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</row>
    <row r="61" spans="7:17"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</row>
    <row r="62" spans="7:17"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</row>
    <row r="63" spans="7:17"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</row>
    <row r="64" spans="7:17"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</row>
    <row r="65" spans="7:17"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</row>
    <row r="66" spans="7:17"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</row>
    <row r="67" spans="7:17"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</row>
    <row r="68" spans="7:17"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</row>
  </sheetData>
  <mergeCells count="9">
    <mergeCell ref="A1:T1"/>
    <mergeCell ref="A2:T2"/>
    <mergeCell ref="A3:T3"/>
    <mergeCell ref="A4:T4"/>
    <mergeCell ref="A5:A7"/>
    <mergeCell ref="L5:O5"/>
    <mergeCell ref="P5:Q5"/>
    <mergeCell ref="R5:S5"/>
    <mergeCell ref="R6:S6"/>
  </mergeCells>
  <pageMargins left="0.17" right="0.16" top="0.75" bottom="0.75" header="0.3" footer="0.3"/>
  <pageSetup paperSize="9" scale="80" orientation="landscape" horizontalDpi="4294967295" verticalDpi="4294967295" r:id="rId1"/>
  <ignoredErrors>
    <ignoredError sqref="R9:R20 R23:R33 G30:J30 G17:N17 G10:N10 P23:P33 P9:P20 G11:J11 G14:J15 G16:J16 G18:J22 G25:J29 G31:J33 G9:J9" unlockedFormula="1"/>
    <ignoredError sqref="G12:N12 G23:N23 G13:J13 G24:J24" formulaRange="1" unlockedFormula="1"/>
    <ignoredError sqref="R21:R22 P21:P22" formula="1" unlockedFormula="1"/>
    <ignoredError sqref="T21:T22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37"/>
  <sheetViews>
    <sheetView zoomScaleNormal="100" workbookViewId="0">
      <selection activeCell="L27" sqref="L27"/>
    </sheetView>
  </sheetViews>
  <sheetFormatPr defaultColWidth="8.85546875" defaultRowHeight="12"/>
  <cols>
    <col min="1" max="1" width="32.42578125" style="122" customWidth="1"/>
    <col min="2" max="3" width="0" style="150" hidden="1" customWidth="1"/>
    <col min="4" max="4" width="12.7109375" style="150" hidden="1" customWidth="1"/>
    <col min="5" max="7" width="8.85546875" style="150" hidden="1" customWidth="1"/>
    <col min="8" max="11" width="0" style="150" hidden="1" customWidth="1"/>
    <col min="12" max="14" width="8.85546875" style="150"/>
    <col min="15" max="19" width="9.28515625" style="150" customWidth="1"/>
    <col min="20" max="21" width="11.28515625" style="150" customWidth="1"/>
    <col min="22" max="23" width="11" style="151" customWidth="1"/>
    <col min="24" max="24" width="7.7109375" style="151" customWidth="1"/>
    <col min="25" max="25" width="43.42578125" style="122" customWidth="1"/>
    <col min="26" max="26" width="17.28515625" style="122" customWidth="1"/>
    <col min="27" max="16384" width="8.85546875" style="122"/>
  </cols>
  <sheetData>
    <row r="1" spans="1:27" ht="19.5">
      <c r="A1" s="263" t="s">
        <v>244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</row>
    <row r="2" spans="1:27" ht="12.75">
      <c r="A2" s="280" t="s">
        <v>245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</row>
    <row r="3" spans="1:27" s="16" customFormat="1" ht="14.25">
      <c r="A3" s="281" t="s">
        <v>15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1"/>
      <c r="Y3" s="281"/>
    </row>
    <row r="4" spans="1:27" s="16" customFormat="1" ht="12.75">
      <c r="A4" s="266" t="s">
        <v>66</v>
      </c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  <c r="W4" s="266"/>
      <c r="X4" s="266"/>
      <c r="Y4" s="266"/>
    </row>
    <row r="5" spans="1:27" s="16" customFormat="1" ht="17.25">
      <c r="A5" s="170"/>
      <c r="B5" s="123"/>
      <c r="C5" s="124"/>
      <c r="D5" s="125" t="s">
        <v>1</v>
      </c>
      <c r="E5" s="282" t="s">
        <v>5</v>
      </c>
      <c r="F5" s="282"/>
      <c r="G5" s="282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283" t="s">
        <v>104</v>
      </c>
      <c r="U5" s="284"/>
      <c r="V5" s="283" t="s">
        <v>62</v>
      </c>
      <c r="W5" s="285"/>
      <c r="X5" s="127"/>
      <c r="Y5" s="128"/>
    </row>
    <row r="6" spans="1:27" s="19" customFormat="1" ht="15" customHeight="1">
      <c r="A6" s="173" t="s">
        <v>0</v>
      </c>
      <c r="B6" s="129"/>
      <c r="C6" s="11"/>
      <c r="D6" s="11" t="s">
        <v>67</v>
      </c>
      <c r="E6" s="11" t="s">
        <v>4</v>
      </c>
      <c r="F6" s="11" t="s">
        <v>4</v>
      </c>
      <c r="G6" s="11" t="s">
        <v>4</v>
      </c>
      <c r="H6" s="11"/>
      <c r="I6" s="11"/>
      <c r="J6" s="11"/>
      <c r="K6" s="11" t="s">
        <v>3</v>
      </c>
      <c r="L6" s="11" t="s">
        <v>3</v>
      </c>
      <c r="M6" s="11" t="s">
        <v>3</v>
      </c>
      <c r="N6" s="13" t="s">
        <v>3</v>
      </c>
      <c r="O6" s="183" t="s">
        <v>3</v>
      </c>
      <c r="P6" s="183" t="s">
        <v>252</v>
      </c>
      <c r="Q6" s="183" t="s">
        <v>226</v>
      </c>
      <c r="R6" s="183" t="s">
        <v>226</v>
      </c>
      <c r="S6" s="183" t="s">
        <v>226</v>
      </c>
      <c r="T6" s="278" t="s">
        <v>68</v>
      </c>
      <c r="U6" s="279"/>
      <c r="V6" s="286" t="s">
        <v>20</v>
      </c>
      <c r="W6" s="287"/>
      <c r="X6" s="130"/>
      <c r="Y6" s="169" t="s">
        <v>2</v>
      </c>
    </row>
    <row r="7" spans="1:27" s="19" customFormat="1" ht="12.75">
      <c r="A7" s="174"/>
      <c r="B7" s="32">
        <v>2007</v>
      </c>
      <c r="C7" s="32">
        <v>2008</v>
      </c>
      <c r="D7" s="32">
        <v>2009</v>
      </c>
      <c r="E7" s="32">
        <v>2010</v>
      </c>
      <c r="F7" s="32">
        <v>2011</v>
      </c>
      <c r="G7" s="32">
        <v>2012</v>
      </c>
      <c r="H7" s="32">
        <v>2009</v>
      </c>
      <c r="I7" s="32">
        <v>2010</v>
      </c>
      <c r="J7" s="32">
        <v>2011</v>
      </c>
      <c r="K7" s="32">
        <v>2012</v>
      </c>
      <c r="L7" s="32">
        <v>2013</v>
      </c>
      <c r="M7" s="32">
        <v>2014</v>
      </c>
      <c r="N7" s="14">
        <v>2015</v>
      </c>
      <c r="O7" s="184">
        <v>2016</v>
      </c>
      <c r="P7" s="184">
        <v>2017</v>
      </c>
      <c r="Q7" s="184">
        <v>2018</v>
      </c>
      <c r="R7" s="184">
        <v>2019</v>
      </c>
      <c r="S7" s="184">
        <v>2020</v>
      </c>
      <c r="T7" s="211">
        <v>2016</v>
      </c>
      <c r="U7" s="218">
        <v>2017</v>
      </c>
      <c r="V7" s="210" t="s">
        <v>225</v>
      </c>
      <c r="W7" s="225" t="s">
        <v>246</v>
      </c>
      <c r="X7" s="131"/>
      <c r="Y7" s="132"/>
      <c r="Z7" s="31"/>
      <c r="AA7" s="31"/>
    </row>
    <row r="8" spans="1:27" s="19" customFormat="1" ht="15">
      <c r="A8" s="34" t="s">
        <v>9</v>
      </c>
      <c r="B8" s="133">
        <f t="shared" ref="B8:O8" si="0">SUM(B9,B14,B20,B27)</f>
        <v>6560.1</v>
      </c>
      <c r="C8" s="133">
        <f t="shared" si="0"/>
        <v>7463.2</v>
      </c>
      <c r="D8" s="133">
        <f t="shared" si="0"/>
        <v>7942.4</v>
      </c>
      <c r="E8" s="133">
        <f t="shared" si="0"/>
        <v>9115.1999999999989</v>
      </c>
      <c r="F8" s="133">
        <f t="shared" si="0"/>
        <v>8659.1</v>
      </c>
      <c r="G8" s="133">
        <f t="shared" si="0"/>
        <v>8744.8993789999986</v>
      </c>
      <c r="H8" s="133">
        <f t="shared" si="0"/>
        <v>8738.7354969999997</v>
      </c>
      <c r="I8" s="133">
        <f t="shared" si="0"/>
        <v>8369.1443089999993</v>
      </c>
      <c r="J8" s="133">
        <f t="shared" si="0"/>
        <v>9075.7587179999991</v>
      </c>
      <c r="K8" s="133">
        <f t="shared" si="0"/>
        <v>10316.485255000001</v>
      </c>
      <c r="L8" s="133">
        <f t="shared" si="0"/>
        <v>11573.21458545</v>
      </c>
      <c r="M8" s="133">
        <f t="shared" si="0"/>
        <v>13954.396592000001</v>
      </c>
      <c r="N8" s="133">
        <f t="shared" si="0"/>
        <v>16678.511400880001</v>
      </c>
      <c r="O8" s="217">
        <f t="shared" si="0"/>
        <v>0</v>
      </c>
      <c r="P8" s="217">
        <f t="shared" ref="P8:Q8" si="1">SUM(P9,P14,P20,P27)</f>
        <v>0</v>
      </c>
      <c r="Q8" s="217">
        <f t="shared" si="1"/>
        <v>0</v>
      </c>
      <c r="R8" s="217">
        <f t="shared" ref="R8:S8" si="2">SUM(R9,R14,R20,R27)</f>
        <v>0</v>
      </c>
      <c r="S8" s="217">
        <f t="shared" si="2"/>
        <v>0</v>
      </c>
      <c r="T8" s="212" t="e">
        <f>+(O8/$O$8)*100</f>
        <v>#DIV/0!</v>
      </c>
      <c r="U8" s="219" t="e">
        <f>+(P8/$O$8)*100</f>
        <v>#DIV/0!</v>
      </c>
      <c r="V8" s="134">
        <f t="shared" ref="V8:W27" si="3">+((O8/N8)-1)*100</f>
        <v>-100</v>
      </c>
      <c r="W8" s="222" t="e">
        <f t="shared" si="3"/>
        <v>#DIV/0!</v>
      </c>
      <c r="X8" s="134"/>
      <c r="Y8" s="37" t="s">
        <v>10</v>
      </c>
    </row>
    <row r="9" spans="1:27" s="19" customFormat="1" ht="15">
      <c r="A9" s="34" t="s">
        <v>69</v>
      </c>
      <c r="B9" s="133">
        <f t="shared" ref="B9:O9" si="4">SUM(B10:B13)</f>
        <v>2241.8999999999996</v>
      </c>
      <c r="C9" s="133">
        <f t="shared" si="4"/>
        <v>3209.7</v>
      </c>
      <c r="D9" s="133">
        <f t="shared" si="4"/>
        <v>3276.6</v>
      </c>
      <c r="E9" s="133">
        <f t="shared" si="4"/>
        <v>4021.9</v>
      </c>
      <c r="F9" s="133">
        <f t="shared" si="4"/>
        <v>3529.1</v>
      </c>
      <c r="G9" s="133">
        <f t="shared" si="4"/>
        <v>3593.374147</v>
      </c>
      <c r="H9" s="133">
        <f t="shared" si="4"/>
        <v>3519.7833220000007</v>
      </c>
      <c r="I9" s="133">
        <f t="shared" si="4"/>
        <v>3978.9039029999999</v>
      </c>
      <c r="J9" s="133">
        <f t="shared" si="4"/>
        <v>4596.1388089999991</v>
      </c>
      <c r="K9" s="133">
        <f t="shared" si="4"/>
        <v>4774.492886</v>
      </c>
      <c r="L9" s="133">
        <f t="shared" si="4"/>
        <v>4784.0412950399996</v>
      </c>
      <c r="M9" s="133">
        <f t="shared" si="4"/>
        <v>5537.7483140000004</v>
      </c>
      <c r="N9" s="133">
        <f t="shared" si="4"/>
        <v>6243.3481799699994</v>
      </c>
      <c r="O9" s="217">
        <f t="shared" si="4"/>
        <v>0</v>
      </c>
      <c r="P9" s="217">
        <f t="shared" ref="P9:Q9" si="5">SUM(P10:P13)</f>
        <v>0</v>
      </c>
      <c r="Q9" s="217">
        <f t="shared" si="5"/>
        <v>0</v>
      </c>
      <c r="R9" s="217">
        <f t="shared" ref="R9:S9" si="6">SUM(R10:R13)</f>
        <v>0</v>
      </c>
      <c r="S9" s="217">
        <f t="shared" si="6"/>
        <v>0</v>
      </c>
      <c r="T9" s="212" t="e">
        <f t="shared" ref="T9:U27" si="7">+(O9/$O$8)*100</f>
        <v>#DIV/0!</v>
      </c>
      <c r="U9" s="219" t="e">
        <f t="shared" si="7"/>
        <v>#DIV/0!</v>
      </c>
      <c r="V9" s="134">
        <f t="shared" si="3"/>
        <v>-100</v>
      </c>
      <c r="W9" s="222" t="e">
        <f t="shared" si="3"/>
        <v>#DIV/0!</v>
      </c>
      <c r="X9" s="134"/>
      <c r="Y9" s="37" t="s">
        <v>70</v>
      </c>
    </row>
    <row r="10" spans="1:27" s="20" customFormat="1" ht="15">
      <c r="A10" s="38" t="s">
        <v>71</v>
      </c>
      <c r="B10" s="172">
        <v>1141.8</v>
      </c>
      <c r="C10" s="41">
        <v>1743.5</v>
      </c>
      <c r="D10" s="41">
        <v>1620.1</v>
      </c>
      <c r="E10" s="41">
        <v>2323.1</v>
      </c>
      <c r="F10" s="41">
        <v>1785</v>
      </c>
      <c r="G10" s="41">
        <v>1807.6922320000001</v>
      </c>
      <c r="H10" s="41">
        <v>1640.2071530000007</v>
      </c>
      <c r="I10" s="41">
        <v>2160.2136339999997</v>
      </c>
      <c r="J10" s="41">
        <v>2490.5053929999999</v>
      </c>
      <c r="K10" s="41">
        <v>2464.698202</v>
      </c>
      <c r="L10" s="41">
        <v>2284.8721354499999</v>
      </c>
      <c r="M10" s="41">
        <v>2757.612995</v>
      </c>
      <c r="N10" s="41">
        <v>2566.7069908099998</v>
      </c>
      <c r="O10" s="215"/>
      <c r="P10" s="215"/>
      <c r="Q10" s="215"/>
      <c r="R10" s="215"/>
      <c r="S10" s="215"/>
      <c r="T10" s="213" t="e">
        <f t="shared" si="7"/>
        <v>#DIV/0!</v>
      </c>
      <c r="U10" s="220" t="e">
        <f t="shared" si="7"/>
        <v>#DIV/0!</v>
      </c>
      <c r="V10" s="135">
        <f t="shared" si="3"/>
        <v>-100</v>
      </c>
      <c r="W10" s="223" t="e">
        <f t="shared" si="3"/>
        <v>#DIV/0!</v>
      </c>
      <c r="X10" s="135"/>
      <c r="Y10" s="30" t="s">
        <v>72</v>
      </c>
    </row>
    <row r="11" spans="1:27" s="20" customFormat="1" ht="15">
      <c r="A11" s="38" t="s">
        <v>73</v>
      </c>
      <c r="B11" s="172">
        <v>404.6</v>
      </c>
      <c r="C11" s="41">
        <v>549.1</v>
      </c>
      <c r="D11" s="41">
        <v>593.9</v>
      </c>
      <c r="E11" s="41">
        <v>551.20000000000005</v>
      </c>
      <c r="F11" s="41">
        <v>611.5</v>
      </c>
      <c r="G11" s="41">
        <v>637.60149200000001</v>
      </c>
      <c r="H11" s="41">
        <v>712.88716299999999</v>
      </c>
      <c r="I11" s="41">
        <v>651.41233499999998</v>
      </c>
      <c r="J11" s="41">
        <v>774.11099200000001</v>
      </c>
      <c r="K11" s="41">
        <v>800.63111700000002</v>
      </c>
      <c r="L11" s="41">
        <v>794.20175268000003</v>
      </c>
      <c r="M11" s="41">
        <v>834.3948089999999</v>
      </c>
      <c r="N11" s="41">
        <v>1023.3242030399999</v>
      </c>
      <c r="O11" s="215"/>
      <c r="P11" s="215"/>
      <c r="Q11" s="215"/>
      <c r="R11" s="215"/>
      <c r="S11" s="215"/>
      <c r="T11" s="213" t="e">
        <f t="shared" si="7"/>
        <v>#DIV/0!</v>
      </c>
      <c r="U11" s="220" t="e">
        <f t="shared" si="7"/>
        <v>#DIV/0!</v>
      </c>
      <c r="V11" s="135">
        <f t="shared" si="3"/>
        <v>-100</v>
      </c>
      <c r="W11" s="223" t="e">
        <f t="shared" si="3"/>
        <v>#DIV/0!</v>
      </c>
      <c r="X11" s="135"/>
      <c r="Y11" s="30" t="s">
        <v>74</v>
      </c>
    </row>
    <row r="12" spans="1:27" s="20" customFormat="1" ht="15">
      <c r="A12" s="38" t="s">
        <v>75</v>
      </c>
      <c r="B12" s="136">
        <v>600.29999999999995</v>
      </c>
      <c r="C12" s="41">
        <v>833.4</v>
      </c>
      <c r="D12" s="41">
        <v>968.9</v>
      </c>
      <c r="E12" s="41">
        <v>1055.0999999999999</v>
      </c>
      <c r="F12" s="41">
        <v>1052.7</v>
      </c>
      <c r="G12" s="41">
        <v>1066.94895</v>
      </c>
      <c r="H12" s="41">
        <v>1097.180717</v>
      </c>
      <c r="I12" s="41">
        <v>1132.7824310000001</v>
      </c>
      <c r="J12" s="41">
        <v>1296.9194520000001</v>
      </c>
      <c r="K12" s="41">
        <v>1470.4859779999999</v>
      </c>
      <c r="L12" s="41">
        <v>1659.45558701</v>
      </c>
      <c r="M12" s="41">
        <v>1876.671333</v>
      </c>
      <c r="N12" s="41">
        <v>2512.6496932300001</v>
      </c>
      <c r="O12" s="215"/>
      <c r="P12" s="215"/>
      <c r="Q12" s="215"/>
      <c r="R12" s="215"/>
      <c r="S12" s="215"/>
      <c r="T12" s="213" t="e">
        <f t="shared" si="7"/>
        <v>#DIV/0!</v>
      </c>
      <c r="U12" s="220" t="e">
        <f t="shared" si="7"/>
        <v>#DIV/0!</v>
      </c>
      <c r="V12" s="135">
        <f t="shared" si="3"/>
        <v>-100</v>
      </c>
      <c r="W12" s="223" t="e">
        <f t="shared" si="3"/>
        <v>#DIV/0!</v>
      </c>
      <c r="X12" s="135"/>
      <c r="Y12" s="30" t="s">
        <v>76</v>
      </c>
    </row>
    <row r="13" spans="1:27" s="20" customFormat="1" ht="15">
      <c r="A13" s="38" t="s">
        <v>77</v>
      </c>
      <c r="B13" s="93">
        <v>95.2</v>
      </c>
      <c r="C13" s="41">
        <v>83.7</v>
      </c>
      <c r="D13" s="41">
        <v>93.7</v>
      </c>
      <c r="E13" s="41">
        <v>92.5</v>
      </c>
      <c r="F13" s="41">
        <v>79.900000000000006</v>
      </c>
      <c r="G13" s="41">
        <v>81.131473</v>
      </c>
      <c r="H13" s="41">
        <v>69.508289000000005</v>
      </c>
      <c r="I13" s="41">
        <v>34.495502999999999</v>
      </c>
      <c r="J13" s="41">
        <v>34.602972000000001</v>
      </c>
      <c r="K13" s="41">
        <v>38.677588999999998</v>
      </c>
      <c r="L13" s="41">
        <v>45.511819899999999</v>
      </c>
      <c r="M13" s="41">
        <v>69.069176999999996</v>
      </c>
      <c r="N13" s="41">
        <v>140.66729289</v>
      </c>
      <c r="O13" s="215"/>
      <c r="P13" s="215"/>
      <c r="Q13" s="215"/>
      <c r="R13" s="215"/>
      <c r="S13" s="215"/>
      <c r="T13" s="213" t="e">
        <f t="shared" si="7"/>
        <v>#DIV/0!</v>
      </c>
      <c r="U13" s="220" t="e">
        <f t="shared" si="7"/>
        <v>#DIV/0!</v>
      </c>
      <c r="V13" s="135">
        <f t="shared" si="3"/>
        <v>-100</v>
      </c>
      <c r="W13" s="223" t="e">
        <f t="shared" si="3"/>
        <v>#DIV/0!</v>
      </c>
      <c r="X13" s="135"/>
      <c r="Y13" s="30" t="s">
        <v>78</v>
      </c>
    </row>
    <row r="14" spans="1:27" s="19" customFormat="1" ht="15">
      <c r="A14" s="34" t="s">
        <v>79</v>
      </c>
      <c r="B14" s="133">
        <f t="shared" ref="B14:I14" si="8">SUM(B15:B18)</f>
        <v>3817.6</v>
      </c>
      <c r="C14" s="133">
        <f t="shared" si="8"/>
        <v>3679.5</v>
      </c>
      <c r="D14" s="133">
        <f t="shared" si="8"/>
        <v>4016.4</v>
      </c>
      <c r="E14" s="133">
        <f t="shared" si="8"/>
        <v>4170.5</v>
      </c>
      <c r="F14" s="133">
        <f t="shared" si="8"/>
        <v>4282.6000000000004</v>
      </c>
      <c r="G14" s="133">
        <f t="shared" si="8"/>
        <v>4413.3455789999998</v>
      </c>
      <c r="H14" s="133">
        <f t="shared" si="8"/>
        <v>4345.2921539999998</v>
      </c>
      <c r="I14" s="133">
        <f t="shared" si="8"/>
        <v>3462.622922</v>
      </c>
      <c r="J14" s="133">
        <f>SUM(J15:J19)</f>
        <v>3544.46576</v>
      </c>
      <c r="K14" s="133">
        <f t="shared" ref="K14:Q14" si="9">SUM(K15:K19)</f>
        <v>4225.7286190000004</v>
      </c>
      <c r="L14" s="133">
        <f t="shared" si="9"/>
        <v>5531.6275246499999</v>
      </c>
      <c r="M14" s="133">
        <f t="shared" si="9"/>
        <v>7089.9977030000009</v>
      </c>
      <c r="N14" s="133">
        <f t="shared" si="9"/>
        <v>8742.95622215</v>
      </c>
      <c r="O14" s="217">
        <f t="shared" si="9"/>
        <v>0</v>
      </c>
      <c r="P14" s="217">
        <f t="shared" si="9"/>
        <v>0</v>
      </c>
      <c r="Q14" s="217">
        <f t="shared" si="9"/>
        <v>0</v>
      </c>
      <c r="R14" s="217">
        <f t="shared" ref="R14:S14" si="10">SUM(R15:R19)</f>
        <v>0</v>
      </c>
      <c r="S14" s="217">
        <f t="shared" si="10"/>
        <v>0</v>
      </c>
      <c r="T14" s="212" t="e">
        <f t="shared" si="7"/>
        <v>#DIV/0!</v>
      </c>
      <c r="U14" s="219" t="e">
        <f t="shared" si="7"/>
        <v>#DIV/0!</v>
      </c>
      <c r="V14" s="134">
        <f t="shared" si="3"/>
        <v>-100</v>
      </c>
      <c r="W14" s="222" t="e">
        <f t="shared" si="3"/>
        <v>#DIV/0!</v>
      </c>
      <c r="X14" s="134"/>
      <c r="Y14" s="37" t="s">
        <v>80</v>
      </c>
    </row>
    <row r="15" spans="1:27" s="20" customFormat="1" ht="15">
      <c r="A15" s="38" t="s">
        <v>81</v>
      </c>
      <c r="B15" s="172">
        <v>1149.4000000000001</v>
      </c>
      <c r="C15" s="41">
        <v>1467.1</v>
      </c>
      <c r="D15" s="41">
        <v>1958.3</v>
      </c>
      <c r="E15" s="41">
        <v>1632</v>
      </c>
      <c r="F15" s="41">
        <v>1703.1</v>
      </c>
      <c r="G15" s="41">
        <v>1731.0649900000001</v>
      </c>
      <c r="H15" s="41">
        <v>1801.544161</v>
      </c>
      <c r="I15" s="41">
        <v>1588.6194419999999</v>
      </c>
      <c r="J15" s="41">
        <v>1701.1680309999999</v>
      </c>
      <c r="K15" s="137">
        <v>2095.118363</v>
      </c>
      <c r="L15" s="41">
        <v>1927.3062449400002</v>
      </c>
      <c r="M15" s="41">
        <v>2111.528174</v>
      </c>
      <c r="N15" s="41">
        <v>2660.2240680199998</v>
      </c>
      <c r="O15" s="215"/>
      <c r="P15" s="215"/>
      <c r="Q15" s="215"/>
      <c r="R15" s="215"/>
      <c r="S15" s="215"/>
      <c r="T15" s="213" t="e">
        <f t="shared" si="7"/>
        <v>#DIV/0!</v>
      </c>
      <c r="U15" s="220" t="e">
        <f t="shared" si="7"/>
        <v>#DIV/0!</v>
      </c>
      <c r="V15" s="135">
        <f t="shared" si="3"/>
        <v>-100</v>
      </c>
      <c r="W15" s="223" t="e">
        <f t="shared" si="3"/>
        <v>#DIV/0!</v>
      </c>
      <c r="X15" s="135"/>
      <c r="Y15" s="30" t="s">
        <v>82</v>
      </c>
    </row>
    <row r="16" spans="1:27" s="20" customFormat="1" ht="15">
      <c r="A16" s="38" t="s">
        <v>83</v>
      </c>
      <c r="B16" s="172">
        <v>682.3</v>
      </c>
      <c r="C16" s="41">
        <v>1037.3</v>
      </c>
      <c r="D16" s="41">
        <v>798.5</v>
      </c>
      <c r="E16" s="41">
        <v>875.1</v>
      </c>
      <c r="F16" s="41">
        <v>922.4</v>
      </c>
      <c r="G16" s="41">
        <v>966.45820000000003</v>
      </c>
      <c r="H16" s="41">
        <v>1327.7892979999999</v>
      </c>
      <c r="I16" s="41">
        <v>946.95926599999996</v>
      </c>
      <c r="J16" s="41">
        <v>356.75031100000001</v>
      </c>
      <c r="K16" s="41">
        <v>288.929912</v>
      </c>
      <c r="L16" s="41">
        <v>1369.90178399</v>
      </c>
      <c r="M16" s="41">
        <v>1723.199959</v>
      </c>
      <c r="N16" s="41">
        <v>2233.1620040500002</v>
      </c>
      <c r="O16" s="215"/>
      <c r="P16" s="215"/>
      <c r="Q16" s="215"/>
      <c r="R16" s="215"/>
      <c r="S16" s="215"/>
      <c r="T16" s="213" t="e">
        <f t="shared" si="7"/>
        <v>#DIV/0!</v>
      </c>
      <c r="U16" s="220" t="e">
        <f t="shared" si="7"/>
        <v>#DIV/0!</v>
      </c>
      <c r="V16" s="135">
        <f t="shared" si="3"/>
        <v>-100</v>
      </c>
      <c r="W16" s="223" t="e">
        <f t="shared" si="3"/>
        <v>#DIV/0!</v>
      </c>
      <c r="X16" s="135"/>
      <c r="Y16" s="30" t="s">
        <v>84</v>
      </c>
    </row>
    <row r="17" spans="1:25" s="20" customFormat="1" ht="15">
      <c r="A17" s="38" t="s">
        <v>85</v>
      </c>
      <c r="B17" s="172">
        <v>231.4</v>
      </c>
      <c r="C17" s="41">
        <v>638.4</v>
      </c>
      <c r="D17" s="41">
        <v>772.2</v>
      </c>
      <c r="E17" s="41">
        <v>1202</v>
      </c>
      <c r="F17" s="41">
        <v>1115.4000000000001</v>
      </c>
      <c r="G17" s="41">
        <v>1165.9169099999999</v>
      </c>
      <c r="H17" s="41">
        <v>463.99557299999998</v>
      </c>
      <c r="I17" s="41">
        <v>577.73113499999999</v>
      </c>
      <c r="J17" s="41">
        <v>1132.764089</v>
      </c>
      <c r="K17" s="41">
        <v>1577.597278</v>
      </c>
      <c r="L17" s="41">
        <v>1958.0622446499999</v>
      </c>
      <c r="M17" s="41">
        <v>2924.2179980000001</v>
      </c>
      <c r="N17" s="41">
        <v>3212.2614754400001</v>
      </c>
      <c r="O17" s="215"/>
      <c r="P17" s="215"/>
      <c r="Q17" s="215"/>
      <c r="R17" s="215"/>
      <c r="S17" s="215"/>
      <c r="T17" s="213" t="e">
        <f t="shared" si="7"/>
        <v>#DIV/0!</v>
      </c>
      <c r="U17" s="220" t="e">
        <f t="shared" si="7"/>
        <v>#DIV/0!</v>
      </c>
      <c r="V17" s="135">
        <f t="shared" si="3"/>
        <v>-100</v>
      </c>
      <c r="W17" s="223" t="e">
        <f t="shared" si="3"/>
        <v>#DIV/0!</v>
      </c>
      <c r="X17" s="135"/>
      <c r="Y17" s="30" t="s">
        <v>86</v>
      </c>
    </row>
    <row r="18" spans="1:25" s="20" customFormat="1" ht="15">
      <c r="A18" s="38" t="s">
        <v>87</v>
      </c>
      <c r="B18" s="172">
        <v>1754.5</v>
      </c>
      <c r="C18" s="41">
        <v>536.70000000000005</v>
      </c>
      <c r="D18" s="41">
        <v>487.4</v>
      </c>
      <c r="E18" s="41">
        <v>461.4</v>
      </c>
      <c r="F18" s="41">
        <v>541.70000000000005</v>
      </c>
      <c r="G18" s="41">
        <v>549.90547900000001</v>
      </c>
      <c r="H18" s="41">
        <v>751.963122</v>
      </c>
      <c r="I18" s="41">
        <v>349.31307900000002</v>
      </c>
      <c r="J18" s="41">
        <v>353.78332899999998</v>
      </c>
      <c r="K18" s="41">
        <v>264.08306599999997</v>
      </c>
      <c r="L18" s="41">
        <v>4.6041600000000003</v>
      </c>
      <c r="M18" s="41">
        <v>3.837771</v>
      </c>
      <c r="N18" s="41">
        <v>0</v>
      </c>
      <c r="O18" s="215"/>
      <c r="P18" s="215"/>
      <c r="Q18" s="215"/>
      <c r="R18" s="215"/>
      <c r="S18" s="215"/>
      <c r="T18" s="213" t="e">
        <f t="shared" si="7"/>
        <v>#DIV/0!</v>
      </c>
      <c r="U18" s="220" t="e">
        <f t="shared" si="7"/>
        <v>#DIV/0!</v>
      </c>
      <c r="V18" s="41" t="e">
        <f t="shared" ref="V18:W18" si="11">+(Q18/$O$8)*100</f>
        <v>#DIV/0!</v>
      </c>
      <c r="W18" s="215" t="e">
        <f t="shared" si="11"/>
        <v>#DIV/0!</v>
      </c>
      <c r="X18" s="135"/>
      <c r="Y18" s="30" t="s">
        <v>88</v>
      </c>
    </row>
    <row r="19" spans="1:25" s="20" customFormat="1" ht="17.25">
      <c r="A19" s="38" t="s">
        <v>148</v>
      </c>
      <c r="B19" s="172"/>
      <c r="C19" s="41"/>
      <c r="D19" s="41"/>
      <c r="E19" s="41"/>
      <c r="F19" s="41"/>
      <c r="G19" s="41"/>
      <c r="H19" s="41"/>
      <c r="I19" s="41"/>
      <c r="J19" s="39">
        <v>0</v>
      </c>
      <c r="K19" s="39">
        <v>0</v>
      </c>
      <c r="L19" s="41">
        <v>271.75309106999975</v>
      </c>
      <c r="M19" s="41">
        <v>327.21380099999999</v>
      </c>
      <c r="N19" s="41">
        <v>637.30867463999994</v>
      </c>
      <c r="O19" s="215"/>
      <c r="P19" s="215"/>
      <c r="Q19" s="215"/>
      <c r="R19" s="215"/>
      <c r="S19" s="215"/>
      <c r="T19" s="213" t="e">
        <f t="shared" si="7"/>
        <v>#DIV/0!</v>
      </c>
      <c r="U19" s="220" t="e">
        <f t="shared" si="7"/>
        <v>#DIV/0!</v>
      </c>
      <c r="V19" s="135">
        <f t="shared" si="3"/>
        <v>-100</v>
      </c>
      <c r="W19" s="223" t="e">
        <f t="shared" si="3"/>
        <v>#DIV/0!</v>
      </c>
      <c r="X19" s="135"/>
      <c r="Y19" s="95" t="s">
        <v>212</v>
      </c>
    </row>
    <row r="20" spans="1:25" s="19" customFormat="1" ht="15">
      <c r="A20" s="34" t="s">
        <v>89</v>
      </c>
      <c r="B20" s="133">
        <f t="shared" ref="B20:I20" si="12">SUM(B21:B25)</f>
        <v>266.3</v>
      </c>
      <c r="C20" s="133">
        <f t="shared" si="12"/>
        <v>293.99999999999994</v>
      </c>
      <c r="D20" s="133">
        <f t="shared" si="12"/>
        <v>309.5</v>
      </c>
      <c r="E20" s="133">
        <f t="shared" si="12"/>
        <v>330.00000000000006</v>
      </c>
      <c r="F20" s="133">
        <f t="shared" si="12"/>
        <v>292.89999999999998</v>
      </c>
      <c r="G20" s="133">
        <f t="shared" si="12"/>
        <v>304.13394399999993</v>
      </c>
      <c r="H20" s="133">
        <f t="shared" si="12"/>
        <v>255.78124300000002</v>
      </c>
      <c r="I20" s="133">
        <f t="shared" si="12"/>
        <v>265.56214700000004</v>
      </c>
      <c r="J20" s="133">
        <f>SUM(J21:J26)</f>
        <v>209.35414899999998</v>
      </c>
      <c r="K20" s="133">
        <f t="shared" ref="K20:Q20" si="13">SUM(K21:K26)</f>
        <v>209.18252100000001</v>
      </c>
      <c r="L20" s="133">
        <f t="shared" si="13"/>
        <v>300.81956875999992</v>
      </c>
      <c r="M20" s="133">
        <f t="shared" si="13"/>
        <v>348.30320599999999</v>
      </c>
      <c r="N20" s="133">
        <f t="shared" si="13"/>
        <v>344.55713775999999</v>
      </c>
      <c r="O20" s="217">
        <f t="shared" si="13"/>
        <v>0</v>
      </c>
      <c r="P20" s="217">
        <f t="shared" si="13"/>
        <v>0</v>
      </c>
      <c r="Q20" s="217">
        <f t="shared" si="13"/>
        <v>0</v>
      </c>
      <c r="R20" s="217">
        <f t="shared" ref="R20:S20" si="14">SUM(R21:R26)</f>
        <v>0</v>
      </c>
      <c r="S20" s="217">
        <f t="shared" si="14"/>
        <v>0</v>
      </c>
      <c r="T20" s="212" t="e">
        <f t="shared" si="7"/>
        <v>#DIV/0!</v>
      </c>
      <c r="U20" s="219" t="e">
        <f t="shared" si="7"/>
        <v>#DIV/0!</v>
      </c>
      <c r="V20" s="134">
        <f t="shared" si="3"/>
        <v>-100</v>
      </c>
      <c r="W20" s="222" t="e">
        <f t="shared" si="3"/>
        <v>#DIV/0!</v>
      </c>
      <c r="X20" s="134"/>
      <c r="Y20" s="37" t="s">
        <v>45</v>
      </c>
    </row>
    <row r="21" spans="1:25" s="20" customFormat="1" ht="15">
      <c r="A21" s="38" t="s">
        <v>90</v>
      </c>
      <c r="B21" s="172">
        <v>25.8</v>
      </c>
      <c r="C21" s="41">
        <v>30.1</v>
      </c>
      <c r="D21" s="41">
        <v>36.9</v>
      </c>
      <c r="E21" s="41">
        <v>61.7</v>
      </c>
      <c r="F21" s="41">
        <v>63.7</v>
      </c>
      <c r="G21" s="41">
        <v>56.472088999999997</v>
      </c>
      <c r="H21" s="41">
        <v>35.399478999999999</v>
      </c>
      <c r="I21" s="41">
        <v>108.925563</v>
      </c>
      <c r="J21" s="41">
        <v>59.694450000000003</v>
      </c>
      <c r="K21" s="41">
        <v>45.578457</v>
      </c>
      <c r="L21" s="41">
        <v>62.856177169999995</v>
      </c>
      <c r="M21" s="41">
        <v>77.722431999999998</v>
      </c>
      <c r="N21" s="41">
        <v>44.379290109999999</v>
      </c>
      <c r="O21" s="215"/>
      <c r="P21" s="215"/>
      <c r="Q21" s="215"/>
      <c r="R21" s="215"/>
      <c r="S21" s="215"/>
      <c r="T21" s="213" t="e">
        <f t="shared" si="7"/>
        <v>#DIV/0!</v>
      </c>
      <c r="U21" s="220" t="e">
        <f t="shared" si="7"/>
        <v>#DIV/0!</v>
      </c>
      <c r="V21" s="135">
        <f t="shared" si="3"/>
        <v>-100</v>
      </c>
      <c r="W21" s="223" t="e">
        <f t="shared" si="3"/>
        <v>#DIV/0!</v>
      </c>
      <c r="X21" s="135"/>
      <c r="Y21" s="138" t="s">
        <v>91</v>
      </c>
    </row>
    <row r="22" spans="1:25" s="20" customFormat="1" ht="15">
      <c r="A22" s="38" t="s">
        <v>92</v>
      </c>
      <c r="B22" s="172">
        <v>97.5</v>
      </c>
      <c r="C22" s="41">
        <v>145</v>
      </c>
      <c r="D22" s="41">
        <v>134</v>
      </c>
      <c r="E22" s="41">
        <v>176.9</v>
      </c>
      <c r="F22" s="41">
        <v>139.5</v>
      </c>
      <c r="G22" s="41">
        <v>154.75196</v>
      </c>
      <c r="H22" s="41">
        <v>95.280591000000001</v>
      </c>
      <c r="I22" s="41">
        <v>81.075993999999994</v>
      </c>
      <c r="J22" s="41">
        <v>78.940620999999993</v>
      </c>
      <c r="K22" s="41">
        <v>67.993539999999996</v>
      </c>
      <c r="L22" s="41">
        <v>35.804027499999997</v>
      </c>
      <c r="M22" s="41">
        <v>155.90539000000001</v>
      </c>
      <c r="N22" s="41">
        <v>71.299115999999998</v>
      </c>
      <c r="O22" s="215"/>
      <c r="P22" s="215"/>
      <c r="Q22" s="215"/>
      <c r="R22" s="215"/>
      <c r="S22" s="215"/>
      <c r="T22" s="213" t="e">
        <f t="shared" si="7"/>
        <v>#DIV/0!</v>
      </c>
      <c r="U22" s="220" t="e">
        <f t="shared" si="7"/>
        <v>#DIV/0!</v>
      </c>
      <c r="V22" s="135">
        <f t="shared" si="3"/>
        <v>-100</v>
      </c>
      <c r="W22" s="223" t="e">
        <f t="shared" si="3"/>
        <v>#DIV/0!</v>
      </c>
      <c r="X22" s="135"/>
      <c r="Y22" s="138" t="s">
        <v>93</v>
      </c>
    </row>
    <row r="23" spans="1:25" s="20" customFormat="1" ht="15">
      <c r="A23" s="38" t="s">
        <v>94</v>
      </c>
      <c r="B23" s="172">
        <v>16.899999999999999</v>
      </c>
      <c r="C23" s="41">
        <v>18.600000000000001</v>
      </c>
      <c r="D23" s="41">
        <v>32.700000000000003</v>
      </c>
      <c r="E23" s="41">
        <v>28.6</v>
      </c>
      <c r="F23" s="41">
        <v>33.5</v>
      </c>
      <c r="G23" s="41">
        <v>33.484577000000002</v>
      </c>
      <c r="H23" s="41">
        <v>29.27197</v>
      </c>
      <c r="I23" s="41">
        <v>17.173514000000001</v>
      </c>
      <c r="J23" s="41">
        <v>20.235569000000002</v>
      </c>
      <c r="K23" s="41">
        <v>27.574041999999999</v>
      </c>
      <c r="L23" s="41">
        <v>26.957459039999989</v>
      </c>
      <c r="M23" s="41">
        <v>32.610194</v>
      </c>
      <c r="N23" s="41">
        <v>31.466308000000001</v>
      </c>
      <c r="O23" s="215"/>
      <c r="P23" s="215"/>
      <c r="Q23" s="215"/>
      <c r="R23" s="215"/>
      <c r="S23" s="215"/>
      <c r="T23" s="213" t="e">
        <f t="shared" si="7"/>
        <v>#DIV/0!</v>
      </c>
      <c r="U23" s="220" t="e">
        <f t="shared" si="7"/>
        <v>#DIV/0!</v>
      </c>
      <c r="V23" s="135">
        <f t="shared" si="3"/>
        <v>-100</v>
      </c>
      <c r="W23" s="223" t="e">
        <f t="shared" si="3"/>
        <v>#DIV/0!</v>
      </c>
      <c r="X23" s="135"/>
      <c r="Y23" s="138" t="s">
        <v>95</v>
      </c>
    </row>
    <row r="24" spans="1:25" s="20" customFormat="1" ht="15">
      <c r="A24" s="40" t="s">
        <v>96</v>
      </c>
      <c r="B24" s="172">
        <v>107.8</v>
      </c>
      <c r="C24" s="41">
        <v>80.099999999999994</v>
      </c>
      <c r="D24" s="41">
        <v>87.7</v>
      </c>
      <c r="E24" s="41">
        <v>48.5</v>
      </c>
      <c r="F24" s="41">
        <v>38.9</v>
      </c>
      <c r="G24" s="41">
        <v>42.022793999999998</v>
      </c>
      <c r="H24" s="41">
        <v>78.335824000000002</v>
      </c>
      <c r="I24" s="41">
        <v>43.838565000000003</v>
      </c>
      <c r="J24" s="41">
        <v>33.652334000000003</v>
      </c>
      <c r="K24" s="41">
        <v>52.352131999999997</v>
      </c>
      <c r="L24" s="41">
        <v>33.053981409999999</v>
      </c>
      <c r="M24" s="41">
        <v>48.876987999999997</v>
      </c>
      <c r="N24" s="41">
        <v>103.028464</v>
      </c>
      <c r="O24" s="215"/>
      <c r="P24" s="215"/>
      <c r="Q24" s="215"/>
      <c r="R24" s="215"/>
      <c r="S24" s="215"/>
      <c r="T24" s="213" t="e">
        <f t="shared" si="7"/>
        <v>#DIV/0!</v>
      </c>
      <c r="U24" s="220" t="e">
        <f t="shared" si="7"/>
        <v>#DIV/0!</v>
      </c>
      <c r="V24" s="135">
        <f t="shared" si="3"/>
        <v>-100</v>
      </c>
      <c r="W24" s="223" t="e">
        <f t="shared" si="3"/>
        <v>#DIV/0!</v>
      </c>
      <c r="X24" s="135"/>
      <c r="Y24" s="138" t="s">
        <v>97</v>
      </c>
    </row>
    <row r="25" spans="1:25" s="20" customFormat="1" ht="15">
      <c r="A25" s="40" t="s">
        <v>98</v>
      </c>
      <c r="B25" s="172">
        <v>18.3</v>
      </c>
      <c r="C25" s="41">
        <v>20.2</v>
      </c>
      <c r="D25" s="41">
        <v>18.2</v>
      </c>
      <c r="E25" s="41">
        <v>14.3</v>
      </c>
      <c r="F25" s="41">
        <v>17.3</v>
      </c>
      <c r="G25" s="41">
        <v>17.402524</v>
      </c>
      <c r="H25" s="41">
        <v>17.493379000000001</v>
      </c>
      <c r="I25" s="41">
        <v>14.548511</v>
      </c>
      <c r="J25" s="41">
        <v>16.831175000000002</v>
      </c>
      <c r="K25" s="41">
        <v>15.68435</v>
      </c>
      <c r="L25" s="41">
        <v>140.28595263999998</v>
      </c>
      <c r="M25" s="41">
        <v>31.397749000000001</v>
      </c>
      <c r="N25" s="41">
        <v>92.426890650000004</v>
      </c>
      <c r="O25" s="215"/>
      <c r="P25" s="215"/>
      <c r="Q25" s="215"/>
      <c r="R25" s="215"/>
      <c r="S25" s="215"/>
      <c r="T25" s="213" t="e">
        <f t="shared" si="7"/>
        <v>#DIV/0!</v>
      </c>
      <c r="U25" s="220" t="e">
        <f t="shared" si="7"/>
        <v>#DIV/0!</v>
      </c>
      <c r="V25" s="135">
        <f t="shared" si="3"/>
        <v>-100</v>
      </c>
      <c r="W25" s="223" t="e">
        <f t="shared" si="3"/>
        <v>#DIV/0!</v>
      </c>
      <c r="X25" s="135"/>
      <c r="Y25" s="139" t="s">
        <v>99</v>
      </c>
    </row>
    <row r="26" spans="1:25" s="20" customFormat="1" ht="15">
      <c r="A26" s="40" t="s">
        <v>149</v>
      </c>
      <c r="B26" s="172"/>
      <c r="C26" s="41"/>
      <c r="D26" s="41"/>
      <c r="E26" s="41"/>
      <c r="F26" s="41"/>
      <c r="G26" s="41"/>
      <c r="H26" s="41"/>
      <c r="I26" s="41"/>
      <c r="J26" s="41">
        <v>0</v>
      </c>
      <c r="K26" s="41">
        <v>0</v>
      </c>
      <c r="L26" s="41">
        <v>1.861971</v>
      </c>
      <c r="M26" s="41">
        <v>1.7904530000000001</v>
      </c>
      <c r="N26" s="41">
        <v>1.9570689999999999</v>
      </c>
      <c r="O26" s="215"/>
      <c r="P26" s="215"/>
      <c r="Q26" s="215"/>
      <c r="R26" s="215"/>
      <c r="S26" s="215"/>
      <c r="T26" s="213" t="e">
        <f t="shared" si="7"/>
        <v>#DIV/0!</v>
      </c>
      <c r="U26" s="220" t="e">
        <f t="shared" si="7"/>
        <v>#DIV/0!</v>
      </c>
      <c r="V26" s="135">
        <f t="shared" si="3"/>
        <v>-100</v>
      </c>
      <c r="W26" s="223" t="e">
        <f t="shared" si="3"/>
        <v>#DIV/0!</v>
      </c>
      <c r="X26" s="135"/>
      <c r="Y26" s="139"/>
    </row>
    <row r="27" spans="1:25" s="19" customFormat="1" ht="15">
      <c r="A27" s="174" t="s">
        <v>100</v>
      </c>
      <c r="B27" s="42">
        <v>234.3</v>
      </c>
      <c r="C27" s="140">
        <v>280</v>
      </c>
      <c r="D27" s="140">
        <v>339.9</v>
      </c>
      <c r="E27" s="140">
        <v>592.79999999999995</v>
      </c>
      <c r="F27" s="140">
        <v>554.5</v>
      </c>
      <c r="G27" s="140">
        <v>434.04570899999999</v>
      </c>
      <c r="H27" s="140">
        <v>617.87877800000001</v>
      </c>
      <c r="I27" s="140">
        <v>662.05533700000001</v>
      </c>
      <c r="J27" s="140">
        <v>725.8</v>
      </c>
      <c r="K27" s="140">
        <v>1107.0812289999999</v>
      </c>
      <c r="L27" s="140">
        <v>956.72619699999996</v>
      </c>
      <c r="M27" s="140">
        <v>978.34736899999996</v>
      </c>
      <c r="N27" s="140">
        <v>1347.6498610000001</v>
      </c>
      <c r="O27" s="216"/>
      <c r="P27" s="216"/>
      <c r="Q27" s="216"/>
      <c r="R27" s="216"/>
      <c r="S27" s="216"/>
      <c r="T27" s="214" t="e">
        <f t="shared" si="7"/>
        <v>#DIV/0!</v>
      </c>
      <c r="U27" s="221" t="e">
        <f t="shared" si="7"/>
        <v>#DIV/0!</v>
      </c>
      <c r="V27" s="141">
        <f t="shared" si="3"/>
        <v>-100</v>
      </c>
      <c r="W27" s="224" t="e">
        <f t="shared" si="3"/>
        <v>#DIV/0!</v>
      </c>
      <c r="X27" s="141"/>
      <c r="Y27" s="142" t="s">
        <v>101</v>
      </c>
    </row>
    <row r="28" spans="1:25" s="20" customFormat="1" ht="15">
      <c r="A28" s="21" t="s">
        <v>13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6"/>
      <c r="W28" s="76"/>
      <c r="X28" s="76"/>
      <c r="Y28" s="30" t="s">
        <v>14</v>
      </c>
    </row>
    <row r="29" spans="1:25" s="20" customFormat="1" ht="15">
      <c r="A29" s="21" t="s">
        <v>102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6"/>
      <c r="W29" s="76"/>
      <c r="X29" s="76"/>
      <c r="Y29" s="30" t="s">
        <v>103</v>
      </c>
    </row>
    <row r="30" spans="1:25" s="20" customFormat="1">
      <c r="A30" s="21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43"/>
      <c r="W30" s="143"/>
      <c r="X30" s="143"/>
    </row>
    <row r="31" spans="1:25" s="147" customFormat="1" ht="12.75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6"/>
      <c r="W31" s="146"/>
      <c r="X31" s="146"/>
    </row>
    <row r="32" spans="1:25" s="147" customFormat="1" ht="12.75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6"/>
      <c r="W32" s="146"/>
      <c r="X32" s="146"/>
    </row>
    <row r="33" spans="1:24" s="147" customFormat="1" ht="12.75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6"/>
      <c r="W33" s="146"/>
      <c r="X33" s="146"/>
    </row>
    <row r="34" spans="1:24" s="147" customFormat="1" ht="12.75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6"/>
      <c r="W34" s="146"/>
      <c r="X34" s="146"/>
    </row>
    <row r="35" spans="1:24" s="147" customFormat="1" ht="12.75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6"/>
      <c r="W35" s="146"/>
      <c r="X35" s="146"/>
    </row>
    <row r="36" spans="1:24" s="147" customFormat="1" ht="12.75">
      <c r="A36" s="144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6"/>
      <c r="W36" s="146"/>
      <c r="X36" s="146"/>
    </row>
    <row r="37" spans="1:24" s="147" customFormat="1"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9"/>
      <c r="W37" s="149"/>
      <c r="X37" s="149"/>
    </row>
  </sheetData>
  <mergeCells count="9">
    <mergeCell ref="T6:U6"/>
    <mergeCell ref="A1:Y1"/>
    <mergeCell ref="A2:Y2"/>
    <mergeCell ref="A3:Y3"/>
    <mergeCell ref="A4:Y4"/>
    <mergeCell ref="E5:G5"/>
    <mergeCell ref="T5:U5"/>
    <mergeCell ref="V5:W5"/>
    <mergeCell ref="V6:W6"/>
  </mergeCells>
  <pageMargins left="0.17" right="0.16" top="0.75" bottom="0.75" header="0.3" footer="0.3"/>
  <pageSetup paperSize="9" scale="75" orientation="landscape" horizontalDpi="4294967295" verticalDpi="4294967295" r:id="rId1"/>
  <colBreaks count="1" manualBreakCount="1">
    <brk id="2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35"/>
  <sheetViews>
    <sheetView zoomScaleNormal="100" workbookViewId="0">
      <selection activeCell="L27" sqref="L27"/>
    </sheetView>
  </sheetViews>
  <sheetFormatPr defaultColWidth="8.85546875" defaultRowHeight="12.75"/>
  <cols>
    <col min="1" max="1" width="29.140625" style="15" customWidth="1"/>
    <col min="2" max="11" width="8.85546875" style="24" hidden="1" customWidth="1"/>
    <col min="12" max="12" width="8.85546875" style="24"/>
    <col min="13" max="13" width="10.140625" style="24" customWidth="1"/>
    <col min="14" max="14" width="11.5703125" style="24" customWidth="1"/>
    <col min="15" max="19" width="8.85546875" style="24"/>
    <col min="20" max="21" width="10.28515625" style="24" customWidth="1"/>
    <col min="22" max="22" width="1.28515625" style="24" customWidth="1"/>
    <col min="23" max="24" width="12.5703125" style="24" customWidth="1"/>
    <col min="25" max="25" width="3.85546875" style="24" customWidth="1"/>
    <col min="26" max="26" width="42" style="15" customWidth="1"/>
    <col min="27" max="16384" width="8.85546875" style="15"/>
  </cols>
  <sheetData>
    <row r="1" spans="1:26" ht="19.5">
      <c r="A1" s="263" t="s">
        <v>247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</row>
    <row r="2" spans="1:26">
      <c r="A2" s="280" t="s">
        <v>248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</row>
    <row r="3" spans="1:26" ht="14.25">
      <c r="A3" s="281" t="s">
        <v>15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</row>
    <row r="4" spans="1:26" s="16" customFormat="1">
      <c r="A4" s="266" t="s">
        <v>66</v>
      </c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  <c r="W4" s="266"/>
      <c r="X4" s="266"/>
      <c r="Y4" s="266"/>
      <c r="Z4" s="266"/>
    </row>
    <row r="5" spans="1:26" s="16" customFormat="1" ht="18.75">
      <c r="A5" s="175"/>
      <c r="B5" s="175"/>
      <c r="D5" s="80" t="s">
        <v>1</v>
      </c>
      <c r="E5" s="293" t="s">
        <v>5</v>
      </c>
      <c r="F5" s="293"/>
      <c r="G5" s="293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291" t="s">
        <v>104</v>
      </c>
      <c r="U5" s="292"/>
      <c r="V5" s="82"/>
      <c r="W5" s="294" t="s">
        <v>62</v>
      </c>
      <c r="X5" s="294"/>
      <c r="Y5" s="155"/>
    </row>
    <row r="6" spans="1:26" s="31" customFormat="1" ht="15">
      <c r="A6" s="83" t="s">
        <v>0</v>
      </c>
      <c r="D6" s="48" t="s">
        <v>105</v>
      </c>
      <c r="E6" s="84" t="s">
        <v>4</v>
      </c>
      <c r="F6" s="84" t="s">
        <v>4</v>
      </c>
      <c r="G6" s="84" t="s">
        <v>4</v>
      </c>
      <c r="H6" s="84"/>
      <c r="I6" s="84"/>
      <c r="J6" s="84"/>
      <c r="K6" s="84" t="s">
        <v>3</v>
      </c>
      <c r="L6" s="84" t="s">
        <v>3</v>
      </c>
      <c r="M6" s="84" t="s">
        <v>3</v>
      </c>
      <c r="N6" s="13" t="s">
        <v>3</v>
      </c>
      <c r="O6" s="183" t="s">
        <v>3</v>
      </c>
      <c r="P6" s="183" t="s">
        <v>252</v>
      </c>
      <c r="Q6" s="183" t="s">
        <v>226</v>
      </c>
      <c r="R6" s="183" t="s">
        <v>226</v>
      </c>
      <c r="S6" s="183" t="s">
        <v>226</v>
      </c>
      <c r="T6" s="289" t="s">
        <v>68</v>
      </c>
      <c r="U6" s="290"/>
      <c r="V6" s="152"/>
      <c r="W6" s="288" t="s">
        <v>20</v>
      </c>
      <c r="X6" s="288"/>
      <c r="Y6" s="156"/>
      <c r="Z6" s="169" t="s">
        <v>2</v>
      </c>
    </row>
    <row r="7" spans="1:26" s="88" customFormat="1">
      <c r="A7" s="85"/>
      <c r="B7" s="85">
        <v>2007</v>
      </c>
      <c r="C7" s="85">
        <v>2008</v>
      </c>
      <c r="D7" s="85">
        <v>2009</v>
      </c>
      <c r="E7" s="85">
        <v>2010</v>
      </c>
      <c r="F7" s="85">
        <v>2011</v>
      </c>
      <c r="G7" s="85">
        <v>2012</v>
      </c>
      <c r="H7" s="85">
        <v>2009</v>
      </c>
      <c r="I7" s="85">
        <v>2010</v>
      </c>
      <c r="J7" s="85">
        <v>2011</v>
      </c>
      <c r="K7" s="85">
        <v>2012</v>
      </c>
      <c r="L7" s="85">
        <v>2013</v>
      </c>
      <c r="M7" s="85">
        <v>2014</v>
      </c>
      <c r="N7" s="14">
        <v>2015</v>
      </c>
      <c r="O7" s="184">
        <v>2016</v>
      </c>
      <c r="P7" s="184">
        <v>2017</v>
      </c>
      <c r="Q7" s="184">
        <v>2018</v>
      </c>
      <c r="R7" s="184">
        <v>2019</v>
      </c>
      <c r="S7" s="184">
        <v>2020</v>
      </c>
      <c r="T7" s="226">
        <v>2016</v>
      </c>
      <c r="U7" s="239">
        <v>2017</v>
      </c>
      <c r="V7" s="85"/>
      <c r="W7" s="86" t="s">
        <v>225</v>
      </c>
      <c r="X7" s="245" t="s">
        <v>246</v>
      </c>
      <c r="Y7" s="87"/>
      <c r="Z7" s="87"/>
    </row>
    <row r="8" spans="1:26" s="19" customFormat="1" ht="18" customHeight="1">
      <c r="A8" s="34" t="s">
        <v>106</v>
      </c>
      <c r="B8" s="89">
        <f t="shared" ref="B8:O8" si="0">SUM(B9,B28)</f>
        <v>1640.8000000000002</v>
      </c>
      <c r="C8" s="89">
        <f t="shared" si="0"/>
        <v>2712.7999999999997</v>
      </c>
      <c r="D8" s="89">
        <f t="shared" si="0"/>
        <v>2938.9670029999997</v>
      </c>
      <c r="E8" s="89">
        <f t="shared" si="0"/>
        <v>1791.4</v>
      </c>
      <c r="F8" s="89">
        <f t="shared" si="0"/>
        <v>1261.8</v>
      </c>
      <c r="G8" s="89">
        <f t="shared" si="0"/>
        <v>1398.8000000000002</v>
      </c>
      <c r="H8" s="89">
        <f t="shared" si="0"/>
        <v>2214.6986589999997</v>
      </c>
      <c r="I8" s="89">
        <f t="shared" si="0"/>
        <v>2445.9177938999997</v>
      </c>
      <c r="J8" s="89">
        <f t="shared" si="0"/>
        <v>3188.9832150000002</v>
      </c>
      <c r="K8" s="89">
        <f t="shared" si="0"/>
        <v>2793.5176700000002</v>
      </c>
      <c r="L8" s="158">
        <f t="shared" si="0"/>
        <v>1957.5564169399997</v>
      </c>
      <c r="M8" s="158">
        <f t="shared" si="0"/>
        <v>2462.8850039999998</v>
      </c>
      <c r="N8" s="158">
        <f t="shared" si="0"/>
        <v>4658.3671360299995</v>
      </c>
      <c r="O8" s="236">
        <f t="shared" si="0"/>
        <v>0</v>
      </c>
      <c r="P8" s="236">
        <f t="shared" ref="P8" si="1">SUM(P9,P28)</f>
        <v>0</v>
      </c>
      <c r="Q8" s="236">
        <f t="shared" ref="Q8:R8" si="2">SUM(Q9,Q28)</f>
        <v>0</v>
      </c>
      <c r="R8" s="236">
        <f t="shared" si="2"/>
        <v>0</v>
      </c>
      <c r="S8" s="236">
        <f t="shared" ref="S8" si="3">SUM(S9,S28)</f>
        <v>0</v>
      </c>
      <c r="T8" s="227"/>
      <c r="U8" s="240"/>
      <c r="V8" s="90"/>
      <c r="W8" s="91">
        <f t="shared" ref="W8:X28" si="4">+((O8/N8)-1)*100</f>
        <v>-100</v>
      </c>
      <c r="X8" s="246" t="e">
        <f>+((P8/O8)-1)*100</f>
        <v>#DIV/0!</v>
      </c>
      <c r="Z8" s="37" t="s">
        <v>107</v>
      </c>
    </row>
    <row r="9" spans="1:26" s="19" customFormat="1" ht="18" customHeight="1">
      <c r="A9" s="34" t="s">
        <v>108</v>
      </c>
      <c r="B9" s="89">
        <f t="shared" ref="B9:O9" si="5">SUM(B10,B15,B21)</f>
        <v>1765.3000000000002</v>
      </c>
      <c r="C9" s="89">
        <f t="shared" si="5"/>
        <v>2879.2</v>
      </c>
      <c r="D9" s="89">
        <f t="shared" si="5"/>
        <v>3007.8670029999998</v>
      </c>
      <c r="E9" s="89">
        <f t="shared" si="5"/>
        <v>2038.9</v>
      </c>
      <c r="F9" s="89">
        <f t="shared" si="5"/>
        <v>1537</v>
      </c>
      <c r="G9" s="89">
        <f t="shared" si="5"/>
        <v>1645.0000000000002</v>
      </c>
      <c r="H9" s="89">
        <f t="shared" si="5"/>
        <v>2365.5349919999999</v>
      </c>
      <c r="I9" s="89">
        <f t="shared" si="5"/>
        <v>2627.2177938999998</v>
      </c>
      <c r="J9" s="89">
        <f t="shared" si="5"/>
        <v>3587.9832150000002</v>
      </c>
      <c r="K9" s="89">
        <f t="shared" si="5"/>
        <v>2883.7493060000002</v>
      </c>
      <c r="L9" s="158">
        <f t="shared" si="5"/>
        <v>2093.0414239399997</v>
      </c>
      <c r="M9" s="158">
        <f t="shared" si="5"/>
        <v>2585.0470539999997</v>
      </c>
      <c r="N9" s="158">
        <f t="shared" si="5"/>
        <v>4762.3853820299992</v>
      </c>
      <c r="O9" s="236">
        <f t="shared" si="5"/>
        <v>0</v>
      </c>
      <c r="P9" s="236">
        <f t="shared" ref="P9:Q9" si="6">SUM(P10,P15,P21)</f>
        <v>0</v>
      </c>
      <c r="Q9" s="236">
        <f t="shared" si="6"/>
        <v>0</v>
      </c>
      <c r="R9" s="236">
        <f t="shared" ref="R9:S9" si="7">SUM(R10,R15,R21)</f>
        <v>0</v>
      </c>
      <c r="S9" s="236">
        <f t="shared" si="7"/>
        <v>0</v>
      </c>
      <c r="T9" s="228" t="e">
        <f>+(O9/$O$9)*100</f>
        <v>#DIV/0!</v>
      </c>
      <c r="U9" s="241" t="e">
        <f>+(P9/$O$9)*100</f>
        <v>#DIV/0!</v>
      </c>
      <c r="V9" s="90"/>
      <c r="W9" s="91">
        <f t="shared" si="4"/>
        <v>-100</v>
      </c>
      <c r="X9" s="246" t="e">
        <f t="shared" si="4"/>
        <v>#DIV/0!</v>
      </c>
      <c r="Z9" s="37" t="s">
        <v>109</v>
      </c>
    </row>
    <row r="10" spans="1:26" s="19" customFormat="1" ht="18" customHeight="1">
      <c r="A10" s="34" t="s">
        <v>110</v>
      </c>
      <c r="B10" s="89">
        <f t="shared" ref="B10:O10" si="8">SUM(B11:B14)</f>
        <v>808.9</v>
      </c>
      <c r="C10" s="89">
        <f t="shared" si="8"/>
        <v>498.79999999999995</v>
      </c>
      <c r="D10" s="89">
        <f t="shared" si="8"/>
        <v>867.71007999999995</v>
      </c>
      <c r="E10" s="89">
        <f t="shared" si="8"/>
        <v>495.4</v>
      </c>
      <c r="F10" s="89">
        <f t="shared" si="8"/>
        <v>381.3</v>
      </c>
      <c r="G10" s="89">
        <f t="shared" si="8"/>
        <v>709.7</v>
      </c>
      <c r="H10" s="89">
        <f t="shared" si="8"/>
        <v>696.52141600000004</v>
      </c>
      <c r="I10" s="89">
        <f t="shared" si="8"/>
        <v>635.70163600000001</v>
      </c>
      <c r="J10" s="89">
        <f t="shared" si="8"/>
        <v>1285.636868</v>
      </c>
      <c r="K10" s="89">
        <f t="shared" si="8"/>
        <v>1139.8289990000001</v>
      </c>
      <c r="L10" s="158">
        <f t="shared" si="8"/>
        <v>462.58586595999998</v>
      </c>
      <c r="M10" s="158">
        <f t="shared" si="8"/>
        <v>679.01722999999993</v>
      </c>
      <c r="N10" s="158">
        <f t="shared" si="8"/>
        <v>2079.0821064299998</v>
      </c>
      <c r="O10" s="236">
        <f t="shared" si="8"/>
        <v>0</v>
      </c>
      <c r="P10" s="236">
        <f t="shared" ref="P10:Q10" si="9">SUM(P11:P14)</f>
        <v>0</v>
      </c>
      <c r="Q10" s="236">
        <f t="shared" si="9"/>
        <v>0</v>
      </c>
      <c r="R10" s="236">
        <f t="shared" ref="R10:S10" si="10">SUM(R11:R14)</f>
        <v>0</v>
      </c>
      <c r="S10" s="236">
        <f t="shared" si="10"/>
        <v>0</v>
      </c>
      <c r="T10" s="228" t="e">
        <f t="shared" ref="T10:U31" si="11">+(O10/$O$9)*100</f>
        <v>#DIV/0!</v>
      </c>
      <c r="U10" s="241" t="e">
        <f t="shared" si="11"/>
        <v>#DIV/0!</v>
      </c>
      <c r="V10" s="90"/>
      <c r="W10" s="91">
        <f t="shared" si="4"/>
        <v>-100</v>
      </c>
      <c r="X10" s="246" t="e">
        <f t="shared" si="4"/>
        <v>#DIV/0!</v>
      </c>
      <c r="Z10" s="37" t="s">
        <v>111</v>
      </c>
    </row>
    <row r="11" spans="1:26" s="20" customFormat="1" ht="18" customHeight="1">
      <c r="A11" s="38" t="s">
        <v>112</v>
      </c>
      <c r="B11" s="171">
        <v>465.50000000000006</v>
      </c>
      <c r="C11" s="92">
        <v>300.39999999999998</v>
      </c>
      <c r="D11" s="92">
        <v>659</v>
      </c>
      <c r="E11" s="92">
        <v>197</v>
      </c>
      <c r="F11" s="92">
        <v>230.9</v>
      </c>
      <c r="G11" s="92">
        <v>523.29999999999995</v>
      </c>
      <c r="H11" s="92">
        <v>557.45811400000002</v>
      </c>
      <c r="I11" s="92">
        <v>524.06922099999997</v>
      </c>
      <c r="J11" s="92">
        <v>923.85471400000006</v>
      </c>
      <c r="K11" s="92">
        <v>967.18460399999992</v>
      </c>
      <c r="L11" s="159">
        <v>254.18770169000001</v>
      </c>
      <c r="M11" s="159">
        <v>432.35995500000001</v>
      </c>
      <c r="N11" s="159">
        <v>1056.8424239999999</v>
      </c>
      <c r="O11" s="232"/>
      <c r="P11" s="232"/>
      <c r="Q11" s="232"/>
      <c r="R11" s="232"/>
      <c r="S11" s="232"/>
      <c r="T11" s="229" t="e">
        <f t="shared" si="11"/>
        <v>#DIV/0!</v>
      </c>
      <c r="U11" s="242" t="e">
        <f t="shared" si="11"/>
        <v>#DIV/0!</v>
      </c>
      <c r="V11" s="93"/>
      <c r="W11" s="94">
        <f t="shared" si="4"/>
        <v>-100</v>
      </c>
      <c r="X11" s="247" t="e">
        <f t="shared" si="4"/>
        <v>#DIV/0!</v>
      </c>
      <c r="Z11" s="30" t="s">
        <v>72</v>
      </c>
    </row>
    <row r="12" spans="1:26" s="20" customFormat="1" ht="18" customHeight="1">
      <c r="A12" s="38" t="s">
        <v>113</v>
      </c>
      <c r="B12" s="171">
        <v>71.099999999999994</v>
      </c>
      <c r="C12" s="92">
        <v>37.299999999999997</v>
      </c>
      <c r="D12" s="92">
        <v>41.634203999999997</v>
      </c>
      <c r="E12" s="92">
        <v>33</v>
      </c>
      <c r="F12" s="92">
        <v>26.7</v>
      </c>
      <c r="G12" s="92">
        <v>21.2</v>
      </c>
      <c r="H12" s="92">
        <v>39.637543000000001</v>
      </c>
      <c r="I12" s="92">
        <v>18.016133</v>
      </c>
      <c r="J12" s="92">
        <v>136.47622799999999</v>
      </c>
      <c r="K12" s="92">
        <v>12.031162</v>
      </c>
      <c r="L12" s="159">
        <v>2.399518</v>
      </c>
      <c r="M12" s="159">
        <v>88.919511</v>
      </c>
      <c r="N12" s="159">
        <v>172.01989833000002</v>
      </c>
      <c r="O12" s="232"/>
      <c r="P12" s="232"/>
      <c r="Q12" s="232"/>
      <c r="R12" s="232"/>
      <c r="S12" s="232"/>
      <c r="T12" s="229" t="e">
        <f t="shared" si="11"/>
        <v>#DIV/0!</v>
      </c>
      <c r="U12" s="242" t="e">
        <f t="shared" si="11"/>
        <v>#DIV/0!</v>
      </c>
      <c r="V12" s="93"/>
      <c r="W12" s="94">
        <f t="shared" si="4"/>
        <v>-100</v>
      </c>
      <c r="X12" s="247" t="e">
        <f t="shared" si="4"/>
        <v>#DIV/0!</v>
      </c>
      <c r="Z12" s="30" t="s">
        <v>74</v>
      </c>
    </row>
    <row r="13" spans="1:26" s="19" customFormat="1" ht="18" customHeight="1">
      <c r="A13" s="38" t="s">
        <v>114</v>
      </c>
      <c r="B13" s="92">
        <v>225.4</v>
      </c>
      <c r="C13" s="92">
        <v>149.1</v>
      </c>
      <c r="D13" s="92">
        <v>145.506271</v>
      </c>
      <c r="E13" s="92">
        <v>227.5</v>
      </c>
      <c r="F13" s="92">
        <v>86.3</v>
      </c>
      <c r="G13" s="92">
        <v>118</v>
      </c>
      <c r="H13" s="92">
        <v>73.816480999999996</v>
      </c>
      <c r="I13" s="92">
        <v>59.56033</v>
      </c>
      <c r="J13" s="92">
        <v>67.595481000000007</v>
      </c>
      <c r="K13" s="92">
        <v>55.118071999999998</v>
      </c>
      <c r="L13" s="159">
        <v>66.5179136</v>
      </c>
      <c r="M13" s="159">
        <v>105.52811699999999</v>
      </c>
      <c r="N13" s="159">
        <v>169.18427500000001</v>
      </c>
      <c r="O13" s="232"/>
      <c r="P13" s="232"/>
      <c r="Q13" s="232"/>
      <c r="R13" s="232"/>
      <c r="S13" s="232"/>
      <c r="T13" s="229" t="e">
        <f t="shared" si="11"/>
        <v>#DIV/0!</v>
      </c>
      <c r="U13" s="242" t="e">
        <f t="shared" si="11"/>
        <v>#DIV/0!</v>
      </c>
      <c r="V13" s="93"/>
      <c r="W13" s="94">
        <f t="shared" si="4"/>
        <v>-100</v>
      </c>
      <c r="X13" s="247" t="e">
        <f t="shared" si="4"/>
        <v>#DIV/0!</v>
      </c>
      <c r="Z13" s="30" t="s">
        <v>115</v>
      </c>
    </row>
    <row r="14" spans="1:26" s="20" customFormat="1" ht="18" customHeight="1">
      <c r="A14" s="38" t="s">
        <v>116</v>
      </c>
      <c r="B14" s="171">
        <v>46.9</v>
      </c>
      <c r="C14" s="92">
        <v>12</v>
      </c>
      <c r="D14" s="92">
        <v>21.569604999999999</v>
      </c>
      <c r="E14" s="92">
        <v>37.9</v>
      </c>
      <c r="F14" s="92">
        <v>37.4</v>
      </c>
      <c r="G14" s="92">
        <v>47.2</v>
      </c>
      <c r="H14" s="92">
        <v>25.609278</v>
      </c>
      <c r="I14" s="92">
        <v>34.055951999999998</v>
      </c>
      <c r="J14" s="92">
        <v>157.71044499999999</v>
      </c>
      <c r="K14" s="92">
        <v>105.495161</v>
      </c>
      <c r="L14" s="160">
        <v>139.48073266999998</v>
      </c>
      <c r="M14" s="160">
        <v>52.209646999999997</v>
      </c>
      <c r="N14" s="160">
        <v>681.03550910000001</v>
      </c>
      <c r="O14" s="233"/>
      <c r="P14" s="233"/>
      <c r="Q14" s="233"/>
      <c r="R14" s="233"/>
      <c r="S14" s="233"/>
      <c r="T14" s="229" t="e">
        <f t="shared" si="11"/>
        <v>#DIV/0!</v>
      </c>
      <c r="U14" s="242" t="e">
        <f t="shared" si="11"/>
        <v>#DIV/0!</v>
      </c>
      <c r="V14" s="93"/>
      <c r="W14" s="94">
        <f t="shared" si="4"/>
        <v>-100</v>
      </c>
      <c r="X14" s="247" t="e">
        <f t="shared" si="4"/>
        <v>#DIV/0!</v>
      </c>
      <c r="Z14" s="30" t="s">
        <v>78</v>
      </c>
    </row>
    <row r="15" spans="1:26" s="19" customFormat="1" ht="18" customHeight="1">
      <c r="A15" s="34" t="s">
        <v>117</v>
      </c>
      <c r="B15" s="89">
        <f>SUM(B16:B20)</f>
        <v>626.5</v>
      </c>
      <c r="C15" s="89">
        <f t="shared" ref="C15:P15" si="12">SUM(C16:C20)</f>
        <v>1443.3</v>
      </c>
      <c r="D15" s="89">
        <f t="shared" si="12"/>
        <v>849.36242600000003</v>
      </c>
      <c r="E15" s="89">
        <f t="shared" si="12"/>
        <v>896.5</v>
      </c>
      <c r="F15" s="89">
        <f t="shared" si="12"/>
        <v>834.6</v>
      </c>
      <c r="G15" s="89">
        <f t="shared" si="12"/>
        <v>734.1</v>
      </c>
      <c r="H15" s="89">
        <f t="shared" si="12"/>
        <v>1087.278699</v>
      </c>
      <c r="I15" s="89">
        <f t="shared" si="12"/>
        <v>1816.638207</v>
      </c>
      <c r="J15" s="89">
        <f t="shared" si="12"/>
        <v>1383.244537</v>
      </c>
      <c r="K15" s="89">
        <f t="shared" si="12"/>
        <v>1081.7647489999999</v>
      </c>
      <c r="L15" s="158">
        <f t="shared" si="12"/>
        <v>1108.2257616500001</v>
      </c>
      <c r="M15" s="158">
        <f t="shared" si="12"/>
        <v>1155.5744520000001</v>
      </c>
      <c r="N15" s="158">
        <f t="shared" si="12"/>
        <v>1812.3305333000001</v>
      </c>
      <c r="O15" s="236">
        <f t="shared" si="12"/>
        <v>0</v>
      </c>
      <c r="P15" s="236">
        <f t="shared" si="12"/>
        <v>0</v>
      </c>
      <c r="Q15" s="236">
        <f t="shared" ref="Q15:R15" si="13">SUM(Q16:Q20)</f>
        <v>0</v>
      </c>
      <c r="R15" s="236">
        <f t="shared" si="13"/>
        <v>0</v>
      </c>
      <c r="S15" s="236">
        <f t="shared" ref="S15" si="14">SUM(S16:S20)</f>
        <v>0</v>
      </c>
      <c r="T15" s="228" t="e">
        <f t="shared" si="11"/>
        <v>#DIV/0!</v>
      </c>
      <c r="U15" s="241" t="e">
        <f t="shared" si="11"/>
        <v>#DIV/0!</v>
      </c>
      <c r="V15" s="90"/>
      <c r="W15" s="91">
        <f t="shared" si="4"/>
        <v>-100</v>
      </c>
      <c r="X15" s="246" t="e">
        <f t="shared" si="4"/>
        <v>#DIV/0!</v>
      </c>
      <c r="Z15" s="37" t="s">
        <v>118</v>
      </c>
    </row>
    <row r="16" spans="1:26" s="20" customFormat="1" ht="18" customHeight="1">
      <c r="A16" s="38" t="s">
        <v>119</v>
      </c>
      <c r="B16" s="171">
        <v>164.4</v>
      </c>
      <c r="C16" s="92">
        <v>163.4</v>
      </c>
      <c r="D16" s="92">
        <v>108.19257</v>
      </c>
      <c r="E16" s="92">
        <v>68.400000000000006</v>
      </c>
      <c r="F16" s="92">
        <v>36.6</v>
      </c>
      <c r="G16" s="92">
        <v>29.5</v>
      </c>
      <c r="H16" s="92">
        <v>133.543679</v>
      </c>
      <c r="I16" s="92">
        <v>54.517771000000003</v>
      </c>
      <c r="J16" s="92">
        <v>95.493024000000005</v>
      </c>
      <c r="K16" s="92">
        <v>108.05040099999999</v>
      </c>
      <c r="L16" s="159">
        <v>74.973524780000005</v>
      </c>
      <c r="M16" s="159">
        <v>100.486884</v>
      </c>
      <c r="N16" s="159">
        <v>272.82640853000004</v>
      </c>
      <c r="O16" s="232"/>
      <c r="P16" s="232"/>
      <c r="Q16" s="232"/>
      <c r="R16" s="232"/>
      <c r="S16" s="232"/>
      <c r="T16" s="229" t="e">
        <f t="shared" si="11"/>
        <v>#DIV/0!</v>
      </c>
      <c r="U16" s="242" t="e">
        <f t="shared" si="11"/>
        <v>#DIV/0!</v>
      </c>
      <c r="V16" s="93"/>
      <c r="W16" s="94">
        <f t="shared" si="4"/>
        <v>-100</v>
      </c>
      <c r="X16" s="247" t="e">
        <f t="shared" si="4"/>
        <v>#DIV/0!</v>
      </c>
      <c r="Z16" s="30" t="s">
        <v>82</v>
      </c>
    </row>
    <row r="17" spans="1:26" s="19" customFormat="1" ht="18" customHeight="1">
      <c r="A17" s="38" t="s">
        <v>120</v>
      </c>
      <c r="B17" s="171">
        <v>99.9</v>
      </c>
      <c r="C17" s="92">
        <v>289.10000000000002</v>
      </c>
      <c r="D17" s="92">
        <v>46.711798999999999</v>
      </c>
      <c r="E17" s="92">
        <v>45.4</v>
      </c>
      <c r="F17" s="92">
        <v>27.2</v>
      </c>
      <c r="G17" s="92">
        <v>25.5</v>
      </c>
      <c r="H17" s="92">
        <v>68.366566000000006</v>
      </c>
      <c r="I17" s="92">
        <v>43.913061999999996</v>
      </c>
      <c r="J17" s="92">
        <v>11.563515000000001</v>
      </c>
      <c r="K17" s="92">
        <v>7.7340239999999998</v>
      </c>
      <c r="L17" s="159">
        <v>21.803670879999999</v>
      </c>
      <c r="M17" s="159">
        <v>142.83905899999999</v>
      </c>
      <c r="N17" s="159">
        <v>292.79733672000003</v>
      </c>
      <c r="O17" s="232"/>
      <c r="P17" s="232"/>
      <c r="Q17" s="232"/>
      <c r="R17" s="232"/>
      <c r="S17" s="232"/>
      <c r="T17" s="229" t="e">
        <f t="shared" si="11"/>
        <v>#DIV/0!</v>
      </c>
      <c r="U17" s="242" t="e">
        <f t="shared" si="11"/>
        <v>#DIV/0!</v>
      </c>
      <c r="V17" s="93"/>
      <c r="W17" s="94">
        <f t="shared" si="4"/>
        <v>-100</v>
      </c>
      <c r="X17" s="247" t="e">
        <f t="shared" si="4"/>
        <v>#DIV/0!</v>
      </c>
      <c r="Z17" s="30" t="s">
        <v>121</v>
      </c>
    </row>
    <row r="18" spans="1:26" s="19" customFormat="1" ht="18" customHeight="1">
      <c r="A18" s="38" t="s">
        <v>122</v>
      </c>
      <c r="B18" s="171">
        <v>4.0999999999999996</v>
      </c>
      <c r="C18" s="92">
        <v>2.2000000000000002</v>
      </c>
      <c r="D18" s="92">
        <v>0.68482100000000001</v>
      </c>
      <c r="E18" s="92">
        <v>8.4</v>
      </c>
      <c r="F18" s="92">
        <v>0.7</v>
      </c>
      <c r="G18" s="92">
        <v>1</v>
      </c>
      <c r="H18" s="92">
        <v>0.54541200000000001</v>
      </c>
      <c r="I18" s="92">
        <v>0.43177199999999999</v>
      </c>
      <c r="J18" s="92">
        <v>2.5820259999999999</v>
      </c>
      <c r="K18" s="92">
        <v>0.556778</v>
      </c>
      <c r="L18" s="159">
        <v>1.21422221</v>
      </c>
      <c r="M18" s="159">
        <v>1.0108220000000001</v>
      </c>
      <c r="N18" s="159">
        <v>9.9215180000000007</v>
      </c>
      <c r="O18" s="232"/>
      <c r="P18" s="232"/>
      <c r="Q18" s="232"/>
      <c r="R18" s="232"/>
      <c r="S18" s="232"/>
      <c r="T18" s="229" t="e">
        <f t="shared" si="11"/>
        <v>#DIV/0!</v>
      </c>
      <c r="U18" s="242" t="e">
        <f t="shared" si="11"/>
        <v>#DIV/0!</v>
      </c>
      <c r="V18" s="93"/>
      <c r="W18" s="94">
        <f t="shared" si="4"/>
        <v>-100</v>
      </c>
      <c r="X18" s="247" t="e">
        <f t="shared" si="4"/>
        <v>#DIV/0!</v>
      </c>
      <c r="Z18" s="30" t="s">
        <v>86</v>
      </c>
    </row>
    <row r="19" spans="1:26" s="20" customFormat="1" ht="18" customHeight="1">
      <c r="A19" s="38" t="s">
        <v>123</v>
      </c>
      <c r="B19" s="171">
        <v>358.1</v>
      </c>
      <c r="C19" s="92">
        <v>988.6</v>
      </c>
      <c r="D19" s="92">
        <v>693.773236</v>
      </c>
      <c r="E19" s="92">
        <v>774.3</v>
      </c>
      <c r="F19" s="92">
        <v>770.1</v>
      </c>
      <c r="G19" s="92">
        <v>678.1</v>
      </c>
      <c r="H19" s="92">
        <v>884.82304199999999</v>
      </c>
      <c r="I19" s="92">
        <v>1717.7756019999999</v>
      </c>
      <c r="J19" s="92">
        <v>1273.6059720000001</v>
      </c>
      <c r="K19" s="92">
        <v>965.42354599999999</v>
      </c>
      <c r="L19" s="160">
        <v>975.31386029999999</v>
      </c>
      <c r="M19" s="160">
        <v>768.75352099999998</v>
      </c>
      <c r="N19" s="160">
        <v>0</v>
      </c>
      <c r="O19" s="233"/>
      <c r="P19" s="233"/>
      <c r="Q19" s="233"/>
      <c r="R19" s="233"/>
      <c r="S19" s="233"/>
      <c r="T19" s="230">
        <v>0</v>
      </c>
      <c r="U19" s="243">
        <v>0</v>
      </c>
      <c r="V19" s="93"/>
      <c r="W19" s="181">
        <v>0</v>
      </c>
      <c r="X19" s="248">
        <v>0</v>
      </c>
      <c r="Z19" s="30" t="s">
        <v>124</v>
      </c>
    </row>
    <row r="20" spans="1:26" s="20" customFormat="1" ht="18" customHeight="1">
      <c r="A20" s="38" t="s">
        <v>150</v>
      </c>
      <c r="B20" s="171"/>
      <c r="C20" s="39">
        <v>0</v>
      </c>
      <c r="D20" s="39">
        <v>0</v>
      </c>
      <c r="E20" s="39">
        <v>0</v>
      </c>
      <c r="F20" s="39">
        <v>0</v>
      </c>
      <c r="G20" s="39">
        <v>0</v>
      </c>
      <c r="H20" s="39">
        <v>0</v>
      </c>
      <c r="I20" s="39">
        <v>0</v>
      </c>
      <c r="J20" s="39">
        <v>0</v>
      </c>
      <c r="K20" s="39">
        <v>0</v>
      </c>
      <c r="L20" s="160">
        <v>34.920483480000001</v>
      </c>
      <c r="M20" s="160">
        <v>142.48416599999999</v>
      </c>
      <c r="N20" s="160">
        <v>1236.78527005</v>
      </c>
      <c r="O20" s="233"/>
      <c r="P20" s="233"/>
      <c r="Q20" s="233"/>
      <c r="R20" s="233"/>
      <c r="S20" s="233"/>
      <c r="T20" s="229" t="e">
        <f t="shared" si="11"/>
        <v>#DIV/0!</v>
      </c>
      <c r="U20" s="242" t="e">
        <f t="shared" si="11"/>
        <v>#DIV/0!</v>
      </c>
      <c r="V20" s="93"/>
      <c r="W20" s="94">
        <f t="shared" si="4"/>
        <v>-100</v>
      </c>
      <c r="X20" s="247" t="e">
        <f t="shared" si="4"/>
        <v>#DIV/0!</v>
      </c>
      <c r="Z20" s="95" t="s">
        <v>212</v>
      </c>
    </row>
    <row r="21" spans="1:26" s="19" customFormat="1" ht="18" customHeight="1">
      <c r="A21" s="34" t="s">
        <v>89</v>
      </c>
      <c r="B21" s="35">
        <f t="shared" ref="B21:O21" si="15">SUM(B22:B27)</f>
        <v>329.9</v>
      </c>
      <c r="C21" s="35">
        <f t="shared" si="15"/>
        <v>937.10000000000014</v>
      </c>
      <c r="D21" s="35">
        <f t="shared" si="15"/>
        <v>1290.7944969999999</v>
      </c>
      <c r="E21" s="35">
        <f t="shared" si="15"/>
        <v>647</v>
      </c>
      <c r="F21" s="35">
        <f t="shared" si="15"/>
        <v>321.10000000000002</v>
      </c>
      <c r="G21" s="35">
        <f t="shared" si="15"/>
        <v>201.2</v>
      </c>
      <c r="H21" s="35">
        <f t="shared" si="15"/>
        <v>581.73487699999998</v>
      </c>
      <c r="I21" s="35">
        <f t="shared" si="15"/>
        <v>174.8779509</v>
      </c>
      <c r="J21" s="35">
        <f t="shared" si="15"/>
        <v>919.10181</v>
      </c>
      <c r="K21" s="35">
        <f t="shared" si="15"/>
        <v>662.15555800000004</v>
      </c>
      <c r="L21" s="161">
        <f t="shared" si="15"/>
        <v>522.22979633</v>
      </c>
      <c r="M21" s="161">
        <f t="shared" si="15"/>
        <v>750.4553719999999</v>
      </c>
      <c r="N21" s="161">
        <f t="shared" si="15"/>
        <v>870.97274229999994</v>
      </c>
      <c r="O21" s="237">
        <f t="shared" si="15"/>
        <v>0</v>
      </c>
      <c r="P21" s="237">
        <f t="shared" ref="P21:Q21" si="16">SUM(P22:P27)</f>
        <v>0</v>
      </c>
      <c r="Q21" s="237">
        <f t="shared" si="16"/>
        <v>0</v>
      </c>
      <c r="R21" s="237">
        <f t="shared" ref="R21:S21" si="17">SUM(R22:R27)</f>
        <v>0</v>
      </c>
      <c r="S21" s="237">
        <f t="shared" si="17"/>
        <v>0</v>
      </c>
      <c r="T21" s="228" t="e">
        <f t="shared" si="11"/>
        <v>#DIV/0!</v>
      </c>
      <c r="U21" s="241" t="e">
        <f t="shared" si="11"/>
        <v>#DIV/0!</v>
      </c>
      <c r="V21" s="90"/>
      <c r="W21" s="91">
        <f t="shared" si="4"/>
        <v>-100</v>
      </c>
      <c r="X21" s="246" t="e">
        <f t="shared" si="4"/>
        <v>#DIV/0!</v>
      </c>
      <c r="Z21" s="37" t="s">
        <v>45</v>
      </c>
    </row>
    <row r="22" spans="1:26" s="20" customFormat="1" ht="18" customHeight="1">
      <c r="A22" s="38" t="s">
        <v>125</v>
      </c>
      <c r="B22" s="171">
        <v>154.1</v>
      </c>
      <c r="C22" s="92">
        <v>129.69999999999999</v>
      </c>
      <c r="D22" s="92">
        <v>42.402295000000002</v>
      </c>
      <c r="E22" s="92">
        <v>60.5</v>
      </c>
      <c r="F22" s="92">
        <v>71.900000000000006</v>
      </c>
      <c r="G22" s="92">
        <v>64.2</v>
      </c>
      <c r="H22" s="92">
        <v>23.587022999999999</v>
      </c>
      <c r="I22" s="92">
        <v>37.776733</v>
      </c>
      <c r="J22" s="92">
        <v>33.651007999999997</v>
      </c>
      <c r="K22" s="92">
        <v>24.679010000000002</v>
      </c>
      <c r="L22" s="159">
        <v>7.6444678900000005</v>
      </c>
      <c r="M22" s="159">
        <v>16.246099999999998</v>
      </c>
      <c r="N22" s="159">
        <v>22.831656149999997</v>
      </c>
      <c r="O22" s="232"/>
      <c r="P22" s="232"/>
      <c r="Q22" s="232"/>
      <c r="R22" s="232"/>
      <c r="S22" s="232"/>
      <c r="T22" s="229" t="e">
        <f t="shared" si="11"/>
        <v>#DIV/0!</v>
      </c>
      <c r="U22" s="242" t="e">
        <f t="shared" si="11"/>
        <v>#DIV/0!</v>
      </c>
      <c r="V22" s="93"/>
      <c r="W22" s="94">
        <f t="shared" si="4"/>
        <v>-100</v>
      </c>
      <c r="X22" s="247" t="e">
        <f t="shared" si="4"/>
        <v>#DIV/0!</v>
      </c>
      <c r="Z22" s="30" t="s">
        <v>126</v>
      </c>
    </row>
    <row r="23" spans="1:26" s="20" customFormat="1" ht="18" customHeight="1">
      <c r="A23" s="38" t="s">
        <v>127</v>
      </c>
      <c r="B23" s="171">
        <v>74.7</v>
      </c>
      <c r="C23" s="92">
        <v>692.8</v>
      </c>
      <c r="D23" s="92">
        <v>318.28409399999998</v>
      </c>
      <c r="E23" s="92">
        <v>294.2</v>
      </c>
      <c r="F23" s="92">
        <v>118.6</v>
      </c>
      <c r="G23" s="92">
        <v>66.7</v>
      </c>
      <c r="H23" s="92">
        <v>10.808646</v>
      </c>
      <c r="I23" s="92">
        <v>38.970894999999999</v>
      </c>
      <c r="J23" s="92">
        <v>392.140671</v>
      </c>
      <c r="K23" s="92">
        <v>539.738832</v>
      </c>
      <c r="L23" s="159">
        <v>368.65407792000002</v>
      </c>
      <c r="M23" s="159">
        <v>579.69850299999996</v>
      </c>
      <c r="N23" s="159">
        <v>775.49623926999993</v>
      </c>
      <c r="O23" s="232"/>
      <c r="P23" s="232"/>
      <c r="Q23" s="232"/>
      <c r="R23" s="232"/>
      <c r="S23" s="232"/>
      <c r="T23" s="229" t="e">
        <f t="shared" si="11"/>
        <v>#DIV/0!</v>
      </c>
      <c r="U23" s="242" t="e">
        <f t="shared" si="11"/>
        <v>#DIV/0!</v>
      </c>
      <c r="V23" s="93"/>
      <c r="W23" s="94">
        <f t="shared" si="4"/>
        <v>-100</v>
      </c>
      <c r="X23" s="247" t="e">
        <f t="shared" si="4"/>
        <v>#DIV/0!</v>
      </c>
      <c r="Z23" s="30" t="s">
        <v>128</v>
      </c>
    </row>
    <row r="24" spans="1:26" s="20" customFormat="1" ht="18" customHeight="1">
      <c r="A24" s="38" t="s">
        <v>129</v>
      </c>
      <c r="B24" s="171">
        <v>72</v>
      </c>
      <c r="C24" s="92">
        <v>17.100000000000001</v>
      </c>
      <c r="D24" s="92">
        <v>26.934477000000001</v>
      </c>
      <c r="E24" s="92">
        <v>16.8</v>
      </c>
      <c r="F24" s="92">
        <v>7.5</v>
      </c>
      <c r="G24" s="92">
        <v>14</v>
      </c>
      <c r="H24" s="92">
        <v>32.757654000000002</v>
      </c>
      <c r="I24" s="92">
        <v>26.097563999999998</v>
      </c>
      <c r="J24" s="92">
        <v>39.440274000000002</v>
      </c>
      <c r="K24" s="92">
        <v>39.200918999999999</v>
      </c>
      <c r="L24" s="159">
        <v>5.0254116199999999</v>
      </c>
      <c r="M24" s="159">
        <v>42.439954</v>
      </c>
      <c r="N24" s="159">
        <v>20.908233500000001</v>
      </c>
      <c r="O24" s="232"/>
      <c r="P24" s="232"/>
      <c r="Q24" s="232"/>
      <c r="R24" s="232"/>
      <c r="S24" s="232"/>
      <c r="T24" s="229" t="e">
        <f t="shared" si="11"/>
        <v>#DIV/0!</v>
      </c>
      <c r="U24" s="242" t="e">
        <f t="shared" si="11"/>
        <v>#DIV/0!</v>
      </c>
      <c r="V24" s="93"/>
      <c r="W24" s="94">
        <f t="shared" si="4"/>
        <v>-100</v>
      </c>
      <c r="X24" s="247" t="e">
        <f t="shared" si="4"/>
        <v>#DIV/0!</v>
      </c>
      <c r="Z24" s="30" t="s">
        <v>130</v>
      </c>
    </row>
    <row r="25" spans="1:26" s="19" customFormat="1" ht="18" customHeight="1">
      <c r="A25" s="38" t="s">
        <v>131</v>
      </c>
      <c r="B25" s="171">
        <v>0.4</v>
      </c>
      <c r="C25" s="92">
        <v>13.2</v>
      </c>
      <c r="D25" s="92">
        <v>64.703819999999993</v>
      </c>
      <c r="E25" s="92">
        <v>0.5</v>
      </c>
      <c r="F25" s="92">
        <v>0.3</v>
      </c>
      <c r="G25" s="92">
        <v>0.4</v>
      </c>
      <c r="H25" s="92">
        <v>0.13069</v>
      </c>
      <c r="I25" s="92">
        <v>3.0217360000000002</v>
      </c>
      <c r="J25" s="92">
        <v>9.7469E-2</v>
      </c>
      <c r="K25" s="92">
        <v>0.167854</v>
      </c>
      <c r="L25" s="159">
        <v>7.0538000000000003E-2</v>
      </c>
      <c r="M25" s="159">
        <v>0.765787</v>
      </c>
      <c r="N25" s="159">
        <v>0.68068600000000001</v>
      </c>
      <c r="O25" s="232"/>
      <c r="P25" s="232"/>
      <c r="Q25" s="232"/>
      <c r="R25" s="232"/>
      <c r="S25" s="232"/>
      <c r="T25" s="229" t="e">
        <f t="shared" si="11"/>
        <v>#DIV/0!</v>
      </c>
      <c r="U25" s="242" t="e">
        <f t="shared" si="11"/>
        <v>#DIV/0!</v>
      </c>
      <c r="V25" s="93"/>
      <c r="W25" s="94">
        <f t="shared" si="4"/>
        <v>-100</v>
      </c>
      <c r="X25" s="247" t="e">
        <f t="shared" si="4"/>
        <v>#DIV/0!</v>
      </c>
      <c r="Z25" s="30" t="s">
        <v>132</v>
      </c>
    </row>
    <row r="26" spans="1:26" s="19" customFormat="1" ht="18" customHeight="1">
      <c r="A26" s="38" t="s">
        <v>133</v>
      </c>
      <c r="B26" s="171">
        <v>24.5</v>
      </c>
      <c r="C26" s="92">
        <v>72.099999999999994</v>
      </c>
      <c r="D26" s="92">
        <v>604.09765100000004</v>
      </c>
      <c r="E26" s="92">
        <v>178</v>
      </c>
      <c r="F26" s="92">
        <v>26.2</v>
      </c>
      <c r="G26" s="92">
        <v>0.6</v>
      </c>
      <c r="H26" s="92">
        <v>488.44098200000002</v>
      </c>
      <c r="I26" s="92">
        <v>37.947304900000006</v>
      </c>
      <c r="J26" s="92">
        <v>63.553004999999999</v>
      </c>
      <c r="K26" s="92">
        <v>38.882137</v>
      </c>
      <c r="L26" s="160">
        <v>27.925922</v>
      </c>
      <c r="M26" s="160">
        <v>20.208456999999999</v>
      </c>
      <c r="N26" s="160">
        <v>38.739479549999999</v>
      </c>
      <c r="O26" s="233"/>
      <c r="P26" s="233"/>
      <c r="Q26" s="233"/>
      <c r="R26" s="233"/>
      <c r="S26" s="233"/>
      <c r="T26" s="229" t="e">
        <f t="shared" si="11"/>
        <v>#DIV/0!</v>
      </c>
      <c r="U26" s="242" t="e">
        <f t="shared" si="11"/>
        <v>#DIV/0!</v>
      </c>
      <c r="V26" s="93"/>
      <c r="W26" s="94">
        <f t="shared" si="4"/>
        <v>-100</v>
      </c>
      <c r="X26" s="247" t="e">
        <f t="shared" si="4"/>
        <v>#DIV/0!</v>
      </c>
      <c r="Z26" s="30" t="s">
        <v>134</v>
      </c>
    </row>
    <row r="27" spans="1:26" s="19" customFormat="1" ht="18" customHeight="1">
      <c r="A27" s="38" t="s">
        <v>135</v>
      </c>
      <c r="B27" s="171">
        <v>4.2</v>
      </c>
      <c r="C27" s="92">
        <v>12.2</v>
      </c>
      <c r="D27" s="92">
        <v>234.37216000000001</v>
      </c>
      <c r="E27" s="92">
        <v>97</v>
      </c>
      <c r="F27" s="92">
        <v>96.6</v>
      </c>
      <c r="G27" s="92">
        <v>55.3</v>
      </c>
      <c r="H27" s="92">
        <v>26.009882000000001</v>
      </c>
      <c r="I27" s="92">
        <v>31.063718000000001</v>
      </c>
      <c r="J27" s="92">
        <v>390.21938299999999</v>
      </c>
      <c r="K27" s="92">
        <v>19.486806000000001</v>
      </c>
      <c r="L27" s="160">
        <v>112.90937890000001</v>
      </c>
      <c r="M27" s="160">
        <v>91.096570999999997</v>
      </c>
      <c r="N27" s="160">
        <v>12.31644783</v>
      </c>
      <c r="O27" s="233"/>
      <c r="P27" s="233"/>
      <c r="Q27" s="233"/>
      <c r="R27" s="233"/>
      <c r="S27" s="233"/>
      <c r="T27" s="229" t="e">
        <f t="shared" si="11"/>
        <v>#DIV/0!</v>
      </c>
      <c r="U27" s="242" t="e">
        <f t="shared" si="11"/>
        <v>#DIV/0!</v>
      </c>
      <c r="V27" s="93"/>
      <c r="W27" s="94">
        <f t="shared" si="4"/>
        <v>-100</v>
      </c>
      <c r="X27" s="247" t="e">
        <f t="shared" si="4"/>
        <v>#DIV/0!</v>
      </c>
      <c r="Z27" s="30" t="s">
        <v>136</v>
      </c>
    </row>
    <row r="28" spans="1:26" s="19" customFormat="1" ht="18" customHeight="1">
      <c r="A28" s="34" t="s">
        <v>137</v>
      </c>
      <c r="B28" s="36">
        <v>-124.5</v>
      </c>
      <c r="C28" s="89">
        <v>-166.4</v>
      </c>
      <c r="D28" s="89">
        <v>-68.900000000000006</v>
      </c>
      <c r="E28" s="89">
        <v>-247.5</v>
      </c>
      <c r="F28" s="89">
        <v>-275.2</v>
      </c>
      <c r="G28" s="89">
        <v>-246.2</v>
      </c>
      <c r="H28" s="89">
        <v>-150.836333</v>
      </c>
      <c r="I28" s="89">
        <v>-181.3</v>
      </c>
      <c r="J28" s="89">
        <v>-399</v>
      </c>
      <c r="K28" s="89">
        <v>-90.231635999999995</v>
      </c>
      <c r="L28" s="158">
        <v>-135.485007</v>
      </c>
      <c r="M28" s="158">
        <v>-122.16204999999999</v>
      </c>
      <c r="N28" s="158">
        <v>-104.018246</v>
      </c>
      <c r="O28" s="236"/>
      <c r="P28" s="236"/>
      <c r="Q28" s="236"/>
      <c r="R28" s="236"/>
      <c r="S28" s="236"/>
      <c r="T28" s="228" t="e">
        <f t="shared" si="11"/>
        <v>#DIV/0!</v>
      </c>
      <c r="U28" s="241" t="e">
        <f t="shared" si="11"/>
        <v>#DIV/0!</v>
      </c>
      <c r="V28" s="39"/>
      <c r="W28" s="91">
        <f t="shared" si="4"/>
        <v>-100</v>
      </c>
      <c r="X28" s="246" t="e">
        <f t="shared" si="4"/>
        <v>#DIV/0!</v>
      </c>
      <c r="Z28" s="37" t="s">
        <v>138</v>
      </c>
    </row>
    <row r="29" spans="1:26" s="20" customFormat="1" ht="18" customHeight="1">
      <c r="A29" s="38" t="s">
        <v>139</v>
      </c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162"/>
      <c r="M29" s="162"/>
      <c r="N29" s="162"/>
      <c r="O29" s="238"/>
      <c r="P29" s="238"/>
      <c r="Q29" s="238"/>
      <c r="R29" s="238"/>
      <c r="S29" s="238"/>
      <c r="T29" s="229"/>
      <c r="U29" s="242"/>
      <c r="V29" s="41"/>
      <c r="W29" s="94"/>
      <c r="X29" s="247"/>
      <c r="Y29" s="25"/>
      <c r="Z29" s="30" t="s">
        <v>17</v>
      </c>
    </row>
    <row r="30" spans="1:26" s="20" customFormat="1" ht="18" customHeight="1">
      <c r="A30" s="38" t="s">
        <v>140</v>
      </c>
      <c r="B30" s="97">
        <v>1007.8</v>
      </c>
      <c r="C30" s="98">
        <v>1137.6071899999999</v>
      </c>
      <c r="D30" s="98">
        <v>1774.5</v>
      </c>
      <c r="E30" s="98">
        <v>1441</v>
      </c>
      <c r="F30" s="98">
        <v>1100.8999999999999</v>
      </c>
      <c r="G30" s="98">
        <v>737.1</v>
      </c>
      <c r="H30" s="98">
        <v>778.8</v>
      </c>
      <c r="I30" s="98">
        <v>1283</v>
      </c>
      <c r="J30" s="98">
        <v>916.69999999999993</v>
      </c>
      <c r="K30" s="98">
        <v>1145.9000000000001</v>
      </c>
      <c r="L30" s="163">
        <v>1187.19235</v>
      </c>
      <c r="M30" s="163">
        <v>188.39416600000001</v>
      </c>
      <c r="N30" s="163">
        <v>648.39113899999995</v>
      </c>
      <c r="O30" s="234"/>
      <c r="P30" s="234"/>
      <c r="Q30" s="234"/>
      <c r="R30" s="234"/>
      <c r="S30" s="234"/>
      <c r="T30" s="229" t="e">
        <f t="shared" si="11"/>
        <v>#DIV/0!</v>
      </c>
      <c r="U30" s="242" t="e">
        <f t="shared" si="11"/>
        <v>#DIV/0!</v>
      </c>
      <c r="V30" s="39"/>
      <c r="W30" s="94">
        <f>+((O30/N30)-1)*100</f>
        <v>-100</v>
      </c>
      <c r="X30" s="247" t="e">
        <f>+((P30/O30)-1)*100</f>
        <v>#DIV/0!</v>
      </c>
      <c r="Y30" s="25"/>
      <c r="Z30" s="99" t="s">
        <v>141</v>
      </c>
    </row>
    <row r="31" spans="1:26" s="20" customFormat="1" ht="18" customHeight="1">
      <c r="A31" s="27" t="s">
        <v>142</v>
      </c>
      <c r="B31" s="100">
        <v>392.7</v>
      </c>
      <c r="C31" s="100">
        <v>390.3</v>
      </c>
      <c r="D31" s="100">
        <v>-993.3</v>
      </c>
      <c r="E31" s="100">
        <v>-1332</v>
      </c>
      <c r="F31" s="100">
        <v>-1393</v>
      </c>
      <c r="G31" s="100">
        <v>-668.6</v>
      </c>
      <c r="H31" s="100">
        <v>584.5</v>
      </c>
      <c r="I31" s="100">
        <v>877.1</v>
      </c>
      <c r="J31" s="100">
        <v>987.6</v>
      </c>
      <c r="K31" s="100">
        <v>1806.07971</v>
      </c>
      <c r="L31" s="164">
        <v>1632.2075219999999</v>
      </c>
      <c r="M31" s="164">
        <v>1413.2714820000001</v>
      </c>
      <c r="N31" s="164">
        <v>1171.8811539999999</v>
      </c>
      <c r="O31" s="235"/>
      <c r="P31" s="235"/>
      <c r="Q31" s="235"/>
      <c r="R31" s="235"/>
      <c r="S31" s="235"/>
      <c r="T31" s="231" t="e">
        <f t="shared" si="11"/>
        <v>#DIV/0!</v>
      </c>
      <c r="U31" s="244" t="e">
        <f t="shared" si="11"/>
        <v>#DIV/0!</v>
      </c>
      <c r="V31" s="28"/>
      <c r="W31" s="157">
        <f>+((O31/N31)-1)*100</f>
        <v>-100</v>
      </c>
      <c r="X31" s="249" t="e">
        <f>+((P31/O31)-1)*100</f>
        <v>#DIV/0!</v>
      </c>
      <c r="Y31" s="153"/>
      <c r="Z31" s="29" t="s">
        <v>143</v>
      </c>
    </row>
    <row r="32" spans="1:26" s="20" customFormat="1" ht="15">
      <c r="A32" s="21" t="s">
        <v>144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30" t="s">
        <v>145</v>
      </c>
    </row>
    <row r="33" spans="1:26" s="20" customFormat="1" ht="15">
      <c r="A33" s="21" t="s">
        <v>13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30" t="s">
        <v>14</v>
      </c>
    </row>
    <row r="34" spans="1:26" s="20" customFormat="1" ht="12">
      <c r="A34" s="22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</row>
    <row r="35" spans="1:26">
      <c r="T35" s="23"/>
      <c r="U35" s="23"/>
      <c r="V35" s="23"/>
      <c r="W35" s="23"/>
      <c r="X35" s="23"/>
      <c r="Y35" s="23"/>
    </row>
  </sheetData>
  <mergeCells count="9">
    <mergeCell ref="W6:X6"/>
    <mergeCell ref="T6:U6"/>
    <mergeCell ref="T5:U5"/>
    <mergeCell ref="A2:Z2"/>
    <mergeCell ref="A1:Z1"/>
    <mergeCell ref="A3:Z3"/>
    <mergeCell ref="A4:Z4"/>
    <mergeCell ref="E5:G5"/>
    <mergeCell ref="W5:X5"/>
  </mergeCells>
  <pageMargins left="0.17" right="0.16" top="0.75" bottom="0.75" header="0.3" footer="0.3"/>
  <pageSetup paperSize="9" scale="74" orientation="landscape" horizontalDpi="4294967295" verticalDpi="4294967295" r:id="rId1"/>
  <colBreaks count="1" manualBreakCount="1">
    <brk id="26" max="1048575" man="1"/>
  </colBreaks>
  <ignoredErrors>
    <ignoredError sqref="M21:Q2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179"/>
  <sheetViews>
    <sheetView tabSelected="1" zoomScale="120" zoomScaleNormal="120" workbookViewId="0">
      <pane ySplit="5" topLeftCell="A6" activePane="bottomLeft" state="frozen"/>
      <selection pane="bottomLeft" activeCell="Q16" sqref="Q16"/>
    </sheetView>
  </sheetViews>
  <sheetFormatPr defaultColWidth="8.42578125" defaultRowHeight="15"/>
  <cols>
    <col min="1" max="1" width="11" style="103" customWidth="1"/>
    <col min="2" max="2" width="16.7109375" style="103" customWidth="1"/>
    <col min="3" max="3" width="9.42578125" style="103" customWidth="1"/>
    <col min="4" max="4" width="11" style="103" customWidth="1"/>
    <col min="5" max="6" width="9.42578125" style="103" customWidth="1"/>
    <col min="7" max="7" width="9" style="103" customWidth="1"/>
    <col min="8" max="9" width="9.28515625" style="103" customWidth="1"/>
    <col min="10" max="10" width="7.42578125" style="103" bestFit="1" customWidth="1"/>
    <col min="11" max="11" width="9.28515625" style="103" bestFit="1" customWidth="1"/>
    <col min="12" max="12" width="10.7109375" style="103" bestFit="1" customWidth="1"/>
    <col min="13" max="13" width="11" style="103" bestFit="1" customWidth="1"/>
    <col min="14" max="14" width="9.42578125" style="103" bestFit="1" customWidth="1"/>
    <col min="15" max="17" width="8.42578125" style="103"/>
    <col min="18" max="21" width="8.42578125" style="254"/>
    <col min="22" max="16384" width="8.42578125" style="103"/>
  </cols>
  <sheetData>
    <row r="1" spans="1:21" ht="21">
      <c r="A1" s="298" t="s">
        <v>249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</row>
    <row r="2" spans="1:21">
      <c r="A2" s="295" t="s">
        <v>250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</row>
    <row r="3" spans="1:21">
      <c r="A3" s="299" t="s">
        <v>63</v>
      </c>
      <c r="B3" s="29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</row>
    <row r="4" spans="1:21" s="106" customFormat="1">
      <c r="A4" s="296" t="s">
        <v>0</v>
      </c>
      <c r="B4" s="261"/>
      <c r="C4" s="104"/>
      <c r="D4" s="104"/>
      <c r="E4" s="105"/>
      <c r="F4" s="105"/>
      <c r="G4" s="105"/>
      <c r="H4" s="105"/>
      <c r="I4" s="105"/>
      <c r="J4" s="105"/>
      <c r="K4" s="105" t="s">
        <v>6</v>
      </c>
      <c r="L4" s="13" t="s">
        <v>3</v>
      </c>
      <c r="M4" s="13" t="s">
        <v>3</v>
      </c>
      <c r="N4" s="13" t="s">
        <v>252</v>
      </c>
      <c r="O4" s="182" t="s">
        <v>226</v>
      </c>
      <c r="P4" s="182" t="s">
        <v>226</v>
      </c>
      <c r="Q4" s="182" t="s">
        <v>226</v>
      </c>
      <c r="R4" s="255"/>
      <c r="S4" s="255"/>
      <c r="T4" s="255"/>
      <c r="U4" s="255"/>
    </row>
    <row r="5" spans="1:21" s="106" customFormat="1">
      <c r="A5" s="297"/>
      <c r="B5" s="262"/>
      <c r="C5" s="107">
        <v>2006</v>
      </c>
      <c r="D5" s="107">
        <v>2007</v>
      </c>
      <c r="E5" s="107">
        <v>2008</v>
      </c>
      <c r="F5" s="107">
        <v>2009</v>
      </c>
      <c r="G5" s="107">
        <v>2010</v>
      </c>
      <c r="H5" s="107">
        <v>2011</v>
      </c>
      <c r="I5" s="107">
        <v>2012</v>
      </c>
      <c r="J5" s="107">
        <v>2013</v>
      </c>
      <c r="K5" s="107">
        <v>2014</v>
      </c>
      <c r="L5" s="14">
        <v>2015</v>
      </c>
      <c r="M5" s="14" t="s">
        <v>264</v>
      </c>
      <c r="N5" s="14">
        <v>2017</v>
      </c>
      <c r="O5" s="14">
        <v>2018</v>
      </c>
      <c r="P5" s="14">
        <v>2019</v>
      </c>
      <c r="Q5" s="14">
        <v>2020</v>
      </c>
      <c r="R5" s="255"/>
      <c r="S5" s="255"/>
      <c r="T5" s="255"/>
      <c r="U5" s="255"/>
    </row>
    <row r="6" spans="1:21">
      <c r="A6" s="108" t="s">
        <v>157</v>
      </c>
      <c r="B6" s="109"/>
      <c r="C6" s="109">
        <f t="shared" ref="C6:Q6" si="0">C10+C42</f>
        <v>867.4</v>
      </c>
      <c r="D6" s="109">
        <f t="shared" si="0"/>
        <v>1044</v>
      </c>
      <c r="E6" s="109">
        <f t="shared" si="0"/>
        <v>399.27022199999999</v>
      </c>
      <c r="F6" s="109">
        <f t="shared" si="0"/>
        <v>416.93679480000003</v>
      </c>
      <c r="G6" s="109">
        <f t="shared" si="0"/>
        <v>106.90035900000001</v>
      </c>
      <c r="H6" s="109">
        <f t="shared" si="0"/>
        <v>732.43525699999987</v>
      </c>
      <c r="I6" s="109">
        <f t="shared" si="0"/>
        <v>366.59901528</v>
      </c>
      <c r="J6" s="109">
        <f t="shared" si="0"/>
        <v>117.585902</v>
      </c>
      <c r="K6" s="109">
        <f t="shared" si="0"/>
        <v>165.26972699999999</v>
      </c>
      <c r="L6" s="109">
        <f t="shared" si="0"/>
        <v>636.94119636999983</v>
      </c>
      <c r="M6" s="109">
        <f t="shared" si="0"/>
        <v>253.01361918999999</v>
      </c>
      <c r="N6" s="109">
        <f t="shared" si="0"/>
        <v>717.73144510265979</v>
      </c>
      <c r="O6" s="109">
        <f t="shared" si="0"/>
        <v>733.14851699999997</v>
      </c>
      <c r="P6" s="109">
        <f t="shared" si="0"/>
        <v>885.79666600000019</v>
      </c>
      <c r="Q6" s="109">
        <f t="shared" si="0"/>
        <v>673.71529299999986</v>
      </c>
    </row>
    <row r="7" spans="1:21">
      <c r="A7" s="111" t="s">
        <v>158</v>
      </c>
      <c r="B7" s="111"/>
      <c r="C7" s="112">
        <v>74.2</v>
      </c>
      <c r="D7" s="112">
        <v>108.1</v>
      </c>
      <c r="E7" s="112">
        <v>55.550635999999997</v>
      </c>
      <c r="F7" s="112">
        <v>38.580908000000001</v>
      </c>
      <c r="G7" s="112">
        <v>1.7</v>
      </c>
      <c r="H7" s="112">
        <v>321.37</v>
      </c>
      <c r="I7" s="112">
        <v>144.28058300000001</v>
      </c>
      <c r="J7" s="112">
        <v>43.25014952999998</v>
      </c>
      <c r="K7" s="112">
        <v>63.872695</v>
      </c>
      <c r="L7" s="112">
        <v>486.44234219999981</v>
      </c>
      <c r="M7" s="112">
        <v>79.936230210000005</v>
      </c>
      <c r="N7" s="112">
        <v>136.21652684999989</v>
      </c>
      <c r="O7" s="112">
        <v>33.358204999999998</v>
      </c>
      <c r="P7" s="112">
        <v>35.093204999999998</v>
      </c>
      <c r="Q7" s="112">
        <v>35.508204999999997</v>
      </c>
    </row>
    <row r="8" spans="1:21">
      <c r="A8" s="111" t="s">
        <v>159</v>
      </c>
      <c r="B8" s="111"/>
      <c r="C8" s="112">
        <v>793.2</v>
      </c>
      <c r="D8" s="112">
        <v>935.9</v>
      </c>
      <c r="E8" s="112">
        <v>461.42420499999997</v>
      </c>
      <c r="F8" s="112">
        <v>382.93491899999998</v>
      </c>
      <c r="G8" s="112">
        <v>105.2</v>
      </c>
      <c r="H8" s="112">
        <v>411.09999999999997</v>
      </c>
      <c r="I8" s="112">
        <v>222.38928999999999</v>
      </c>
      <c r="J8" s="112">
        <v>74.405078000000003</v>
      </c>
      <c r="K8" s="112">
        <v>101.40112999999999</v>
      </c>
      <c r="L8" s="112">
        <v>150.49885417000002</v>
      </c>
      <c r="M8" s="112">
        <v>173.18953770999994</v>
      </c>
      <c r="N8" s="112">
        <v>581.98697543266007</v>
      </c>
      <c r="O8" s="112">
        <v>700.34031200000004</v>
      </c>
      <c r="P8" s="112">
        <v>851.26346100000001</v>
      </c>
      <c r="Q8" s="112">
        <v>638.77708800000005</v>
      </c>
      <c r="R8" s="256"/>
      <c r="S8" s="256"/>
      <c r="T8" s="256"/>
    </row>
    <row r="9" spans="1:21">
      <c r="A9" s="108"/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</row>
    <row r="10" spans="1:21" s="113" customFormat="1">
      <c r="A10" s="108" t="s">
        <v>160</v>
      </c>
      <c r="B10" s="108"/>
      <c r="C10" s="109">
        <f t="shared" ref="C10:L10" si="1">SUM(C11:C40)</f>
        <v>61.4</v>
      </c>
      <c r="D10" s="109">
        <f t="shared" si="1"/>
        <v>145.69999999999999</v>
      </c>
      <c r="E10" s="109">
        <f t="shared" si="1"/>
        <v>103.44919200000001</v>
      </c>
      <c r="F10" s="109">
        <f t="shared" si="1"/>
        <v>110.16981439999999</v>
      </c>
      <c r="G10" s="109">
        <f t="shared" si="1"/>
        <v>100.10901800000001</v>
      </c>
      <c r="H10" s="109">
        <f t="shared" si="1"/>
        <v>704.76930299999992</v>
      </c>
      <c r="I10" s="109">
        <f t="shared" si="1"/>
        <v>194.411824</v>
      </c>
      <c r="J10" s="109">
        <f t="shared" si="1"/>
        <v>47.533464000000002</v>
      </c>
      <c r="K10" s="109">
        <f t="shared" si="1"/>
        <v>81.700487999999993</v>
      </c>
      <c r="L10" s="109">
        <f t="shared" si="1"/>
        <v>432.32074392999988</v>
      </c>
      <c r="M10" s="109">
        <f t="shared" ref="M10" si="2">SUM(M11:M40)</f>
        <v>63.301601730000002</v>
      </c>
      <c r="N10" s="109">
        <f t="shared" ref="N10" si="3">SUM(N11:N40)</f>
        <v>125.65880249639991</v>
      </c>
      <c r="O10" s="109">
        <f t="shared" ref="O10" si="4">SUM(O11:O40)</f>
        <v>227.91161000000002</v>
      </c>
      <c r="P10" s="109">
        <f t="shared" ref="P10" si="5">SUM(P11:P40)</f>
        <v>236.77113300000002</v>
      </c>
      <c r="Q10" s="109">
        <f t="shared" ref="Q10" si="6">SUM(Q11:Q40)</f>
        <v>31.434804</v>
      </c>
      <c r="R10" s="257"/>
      <c r="S10" s="257"/>
      <c r="T10" s="257"/>
      <c r="U10" s="257"/>
    </row>
    <row r="11" spans="1:21">
      <c r="A11" s="111" t="s">
        <v>175</v>
      </c>
      <c r="B11" s="111"/>
      <c r="C11" s="114">
        <v>0.3</v>
      </c>
      <c r="D11" s="114">
        <v>0.2</v>
      </c>
      <c r="E11" s="115" t="s">
        <v>151</v>
      </c>
      <c r="F11" s="115" t="s">
        <v>151</v>
      </c>
      <c r="G11" s="115" t="s">
        <v>151</v>
      </c>
      <c r="H11" s="114">
        <v>0.28881200000000001</v>
      </c>
      <c r="I11" s="114">
        <v>0.57021100000000002</v>
      </c>
      <c r="J11" s="114">
        <v>1.1887999999999999E-2</v>
      </c>
      <c r="K11" s="112" t="s">
        <v>151</v>
      </c>
      <c r="L11" s="258">
        <v>-9.5324700000000012E-3</v>
      </c>
      <c r="M11" s="112">
        <v>0.65217499999999995</v>
      </c>
      <c r="N11" s="112">
        <v>1.24765656</v>
      </c>
      <c r="O11" s="112">
        <v>0.5</v>
      </c>
      <c r="P11" s="112">
        <v>0.5</v>
      </c>
      <c r="Q11" s="112">
        <v>0.5</v>
      </c>
    </row>
    <row r="12" spans="1:21">
      <c r="A12" s="111" t="s">
        <v>172</v>
      </c>
      <c r="B12" s="111"/>
      <c r="C12" s="112" t="s">
        <v>151</v>
      </c>
      <c r="D12" s="112" t="s">
        <v>151</v>
      </c>
      <c r="E12" s="112" t="s">
        <v>151</v>
      </c>
      <c r="F12" s="112">
        <v>0.106756</v>
      </c>
      <c r="G12" s="112" t="s">
        <v>151</v>
      </c>
      <c r="H12" s="112" t="s">
        <v>151</v>
      </c>
      <c r="I12" s="112" t="s">
        <v>151</v>
      </c>
      <c r="J12" s="112" t="s">
        <v>151</v>
      </c>
      <c r="K12" s="112" t="s">
        <v>151</v>
      </c>
      <c r="L12" s="112" t="s">
        <v>151</v>
      </c>
      <c r="M12" s="112" t="s">
        <v>151</v>
      </c>
      <c r="N12" s="112" t="s">
        <v>151</v>
      </c>
      <c r="O12" s="112" t="s">
        <v>151</v>
      </c>
      <c r="P12" s="112" t="s">
        <v>151</v>
      </c>
      <c r="Q12" s="112" t="s">
        <v>151</v>
      </c>
    </row>
    <row r="13" spans="1:21">
      <c r="A13" s="111" t="s">
        <v>253</v>
      </c>
      <c r="B13" s="111"/>
      <c r="C13" s="112" t="s">
        <v>151</v>
      </c>
      <c r="D13" s="112" t="s">
        <v>151</v>
      </c>
      <c r="E13" s="112" t="s">
        <v>151</v>
      </c>
      <c r="F13" s="112" t="s">
        <v>151</v>
      </c>
      <c r="G13" s="112" t="s">
        <v>151</v>
      </c>
      <c r="H13" s="112" t="s">
        <v>151</v>
      </c>
      <c r="I13" s="112" t="s">
        <v>151</v>
      </c>
      <c r="J13" s="112" t="s">
        <v>151</v>
      </c>
      <c r="K13" s="112" t="s">
        <v>151</v>
      </c>
      <c r="L13" s="112" t="s">
        <v>151</v>
      </c>
      <c r="M13" s="112" t="s">
        <v>151</v>
      </c>
      <c r="N13" s="112">
        <v>76.699025909999904</v>
      </c>
      <c r="O13" s="112" t="s">
        <v>151</v>
      </c>
      <c r="P13" s="112" t="s">
        <v>151</v>
      </c>
      <c r="Q13" s="112" t="s">
        <v>151</v>
      </c>
    </row>
    <row r="14" spans="1:21">
      <c r="A14" s="111" t="s">
        <v>163</v>
      </c>
      <c r="B14" s="111"/>
      <c r="C14" s="112" t="s">
        <v>151</v>
      </c>
      <c r="D14" s="112" t="s">
        <v>151</v>
      </c>
      <c r="E14" s="112" t="s">
        <v>151</v>
      </c>
      <c r="F14" s="112" t="s">
        <v>151</v>
      </c>
      <c r="G14" s="112" t="s">
        <v>151</v>
      </c>
      <c r="H14" s="112" t="s">
        <v>151</v>
      </c>
      <c r="I14" s="112">
        <v>1.647303</v>
      </c>
      <c r="J14" s="112">
        <v>1.214658</v>
      </c>
      <c r="K14" s="112">
        <v>0.47871999999999998</v>
      </c>
      <c r="L14" s="112">
        <v>0.38303172999999996</v>
      </c>
      <c r="M14" s="112" t="s">
        <v>151</v>
      </c>
      <c r="N14" s="112" t="s">
        <v>151</v>
      </c>
      <c r="O14" s="112" t="s">
        <v>151</v>
      </c>
      <c r="P14" s="112" t="s">
        <v>151</v>
      </c>
      <c r="Q14" s="112" t="s">
        <v>151</v>
      </c>
    </row>
    <row r="15" spans="1:21">
      <c r="A15" s="111" t="s">
        <v>182</v>
      </c>
      <c r="B15" s="111"/>
      <c r="C15" s="112" t="s">
        <v>151</v>
      </c>
      <c r="D15" s="112">
        <v>6.4</v>
      </c>
      <c r="E15" s="112" t="s">
        <v>151</v>
      </c>
      <c r="F15" s="112" t="s">
        <v>151</v>
      </c>
      <c r="G15" s="112" t="s">
        <v>151</v>
      </c>
      <c r="H15" s="112" t="s">
        <v>151</v>
      </c>
      <c r="I15" s="112" t="s">
        <v>151</v>
      </c>
      <c r="J15" s="112" t="s">
        <v>151</v>
      </c>
      <c r="K15" s="112" t="s">
        <v>151</v>
      </c>
      <c r="L15" s="112">
        <v>0</v>
      </c>
      <c r="M15" s="112" t="s">
        <v>151</v>
      </c>
      <c r="N15" s="112" t="s">
        <v>151</v>
      </c>
      <c r="O15" s="112" t="s">
        <v>151</v>
      </c>
      <c r="P15" s="112" t="s">
        <v>151</v>
      </c>
      <c r="Q15" s="112" t="s">
        <v>151</v>
      </c>
    </row>
    <row r="16" spans="1:21">
      <c r="A16" s="111" t="s">
        <v>162</v>
      </c>
      <c r="B16" s="111"/>
      <c r="C16" s="112">
        <v>0.8</v>
      </c>
      <c r="D16" s="112">
        <v>2</v>
      </c>
      <c r="E16" s="112">
        <v>21.409351000000001</v>
      </c>
      <c r="F16" s="112">
        <v>44.171931799999996</v>
      </c>
      <c r="G16" s="112">
        <v>98.695518000000007</v>
      </c>
      <c r="H16" s="112">
        <v>204.53121000000002</v>
      </c>
      <c r="I16" s="112" t="s">
        <v>151</v>
      </c>
      <c r="J16" s="112" t="s">
        <v>151</v>
      </c>
      <c r="K16" s="112">
        <v>1.518337</v>
      </c>
      <c r="L16" s="112">
        <v>17.469778999999999</v>
      </c>
      <c r="M16" s="112">
        <v>24.542103839999999</v>
      </c>
      <c r="N16" s="112">
        <v>2.554659</v>
      </c>
      <c r="O16" s="112">
        <v>0.3</v>
      </c>
      <c r="P16" s="112">
        <v>0.3</v>
      </c>
      <c r="Q16" s="112">
        <v>0.3</v>
      </c>
    </row>
    <row r="17" spans="1:17">
      <c r="A17" s="111" t="s">
        <v>179</v>
      </c>
      <c r="B17" s="111"/>
      <c r="C17" s="112" t="s">
        <v>151</v>
      </c>
      <c r="D17" s="112" t="s">
        <v>151</v>
      </c>
      <c r="E17" s="112" t="s">
        <v>151</v>
      </c>
      <c r="F17" s="112" t="s">
        <v>151</v>
      </c>
      <c r="G17" s="112" t="s">
        <v>151</v>
      </c>
      <c r="H17" s="112" t="s">
        <v>151</v>
      </c>
      <c r="I17" s="112" t="s">
        <v>151</v>
      </c>
      <c r="J17" s="112" t="s">
        <v>151</v>
      </c>
      <c r="K17" s="112" t="s">
        <v>151</v>
      </c>
      <c r="L17" s="112" t="s">
        <v>151</v>
      </c>
      <c r="M17" s="112" t="s">
        <v>151</v>
      </c>
      <c r="N17" s="112">
        <v>0.01</v>
      </c>
      <c r="O17" s="112" t="s">
        <v>151</v>
      </c>
      <c r="P17" s="112" t="s">
        <v>151</v>
      </c>
      <c r="Q17" s="112" t="s">
        <v>151</v>
      </c>
    </row>
    <row r="18" spans="1:17">
      <c r="A18" s="111" t="s">
        <v>164</v>
      </c>
      <c r="B18" s="111"/>
      <c r="C18" s="112" t="s">
        <v>151</v>
      </c>
      <c r="D18" s="112" t="s">
        <v>151</v>
      </c>
      <c r="E18" s="112" t="s">
        <v>151</v>
      </c>
      <c r="F18" s="112" t="s">
        <v>151</v>
      </c>
      <c r="G18" s="112" t="s">
        <v>151</v>
      </c>
      <c r="H18" s="112">
        <v>113.542565</v>
      </c>
      <c r="I18" s="112" t="s">
        <v>151</v>
      </c>
      <c r="J18" s="112">
        <v>0.61314000000000002</v>
      </c>
      <c r="K18" s="112">
        <v>0.61148100000000005</v>
      </c>
      <c r="L18" s="112">
        <v>0.67301387000000001</v>
      </c>
      <c r="M18" s="112" t="s">
        <v>151</v>
      </c>
      <c r="N18" s="112" t="s">
        <v>151</v>
      </c>
      <c r="O18" s="112" t="s">
        <v>151</v>
      </c>
      <c r="P18" s="112" t="s">
        <v>151</v>
      </c>
      <c r="Q18" s="112" t="s">
        <v>151</v>
      </c>
    </row>
    <row r="19" spans="1:17">
      <c r="A19" s="111" t="s">
        <v>213</v>
      </c>
      <c r="B19" s="111"/>
      <c r="C19" s="112" t="s">
        <v>151</v>
      </c>
      <c r="D19" s="112" t="s">
        <v>151</v>
      </c>
      <c r="E19" s="112" t="s">
        <v>151</v>
      </c>
      <c r="F19" s="112" t="s">
        <v>151</v>
      </c>
      <c r="G19" s="112" t="s">
        <v>151</v>
      </c>
      <c r="H19" s="112" t="s">
        <v>151</v>
      </c>
      <c r="I19" s="112" t="s">
        <v>151</v>
      </c>
      <c r="J19" s="112">
        <v>3.1860189999999999</v>
      </c>
      <c r="K19" s="112">
        <v>3.1860189999999999</v>
      </c>
      <c r="L19" s="112" t="s">
        <v>151</v>
      </c>
      <c r="M19" s="112" t="s">
        <v>151</v>
      </c>
      <c r="N19" s="112" t="s">
        <v>151</v>
      </c>
      <c r="O19" s="112" t="s">
        <v>151</v>
      </c>
      <c r="P19" s="112" t="s">
        <v>151</v>
      </c>
      <c r="Q19" s="112" t="s">
        <v>151</v>
      </c>
    </row>
    <row r="20" spans="1:17">
      <c r="A20" s="111" t="s">
        <v>165</v>
      </c>
      <c r="B20" s="111"/>
      <c r="C20" s="112" t="s">
        <v>151</v>
      </c>
      <c r="D20" s="112" t="s">
        <v>151</v>
      </c>
      <c r="E20" s="112" t="s">
        <v>151</v>
      </c>
      <c r="F20" s="112" t="s">
        <v>151</v>
      </c>
      <c r="G20" s="112" t="s">
        <v>151</v>
      </c>
      <c r="H20" s="112" t="s">
        <v>151</v>
      </c>
      <c r="I20" s="112" t="s">
        <v>151</v>
      </c>
      <c r="J20" s="112">
        <v>4.2063240000000004</v>
      </c>
      <c r="K20" s="112">
        <v>16.547422999999998</v>
      </c>
      <c r="L20" s="112" t="s">
        <v>151</v>
      </c>
      <c r="M20" s="112" t="s">
        <v>151</v>
      </c>
      <c r="N20" s="112" t="s">
        <v>151</v>
      </c>
      <c r="O20" s="112" t="s">
        <v>151</v>
      </c>
      <c r="P20" s="112" t="s">
        <v>151</v>
      </c>
      <c r="Q20" s="112" t="s">
        <v>151</v>
      </c>
    </row>
    <row r="21" spans="1:17">
      <c r="A21" s="111" t="s">
        <v>161</v>
      </c>
      <c r="B21" s="111"/>
      <c r="C21" s="112">
        <v>0.2</v>
      </c>
      <c r="D21" s="112">
        <v>31.2</v>
      </c>
      <c r="E21" s="112">
        <v>13.244916999999999</v>
      </c>
      <c r="F21" s="112">
        <v>0.38777200000000001</v>
      </c>
      <c r="G21" s="112" t="s">
        <v>151</v>
      </c>
      <c r="H21" s="112">
        <v>292.81524000000002</v>
      </c>
      <c r="I21" s="112">
        <v>37.245066000000001</v>
      </c>
      <c r="J21" s="112">
        <v>17.073177999999999</v>
      </c>
      <c r="K21" s="112">
        <v>24.416872999999999</v>
      </c>
      <c r="L21" s="112">
        <v>2.2499999999999999E-2</v>
      </c>
      <c r="M21" s="112">
        <v>3.6698823900000002</v>
      </c>
      <c r="N21" s="112" t="s">
        <v>151</v>
      </c>
      <c r="O21" s="112" t="s">
        <v>151</v>
      </c>
      <c r="P21" s="112" t="s">
        <v>151</v>
      </c>
      <c r="Q21" s="112" t="s">
        <v>151</v>
      </c>
    </row>
    <row r="22" spans="1:17">
      <c r="A22" s="116" t="s">
        <v>219</v>
      </c>
      <c r="B22" s="116"/>
      <c r="C22" s="112" t="s">
        <v>151</v>
      </c>
      <c r="D22" s="112" t="s">
        <v>151</v>
      </c>
      <c r="E22" s="112" t="s">
        <v>151</v>
      </c>
      <c r="F22" s="112" t="s">
        <v>151</v>
      </c>
      <c r="G22" s="112" t="s">
        <v>151</v>
      </c>
      <c r="H22" s="112">
        <v>0.100341</v>
      </c>
      <c r="I22" s="112">
        <v>0</v>
      </c>
      <c r="J22" s="112" t="s">
        <v>151</v>
      </c>
      <c r="K22" s="112" t="s">
        <v>151</v>
      </c>
      <c r="L22" s="112" t="s">
        <v>151</v>
      </c>
      <c r="M22" s="112" t="s">
        <v>151</v>
      </c>
      <c r="N22" s="112" t="s">
        <v>151</v>
      </c>
      <c r="O22" s="112" t="s">
        <v>151</v>
      </c>
      <c r="P22" s="112" t="s">
        <v>151</v>
      </c>
      <c r="Q22" s="112" t="s">
        <v>151</v>
      </c>
    </row>
    <row r="23" spans="1:17">
      <c r="A23" s="111" t="s">
        <v>166</v>
      </c>
      <c r="B23" s="111"/>
      <c r="C23" s="112">
        <v>14</v>
      </c>
      <c r="D23" s="112">
        <v>8.8000000000000007</v>
      </c>
      <c r="E23" s="112">
        <v>67.310708000000005</v>
      </c>
      <c r="F23" s="112">
        <v>28.627313600000001</v>
      </c>
      <c r="G23" s="112">
        <v>1.4135</v>
      </c>
      <c r="H23" s="112">
        <v>93.491135</v>
      </c>
      <c r="I23" s="112">
        <v>40.564931000000001</v>
      </c>
      <c r="J23" s="112">
        <v>9.9695370000000008</v>
      </c>
      <c r="K23" s="112">
        <v>3.7877999999999998</v>
      </c>
      <c r="L23" s="112">
        <v>3.0838901099999902</v>
      </c>
      <c r="M23" s="112">
        <v>6.9488170199999999</v>
      </c>
      <c r="N23" s="112">
        <v>20</v>
      </c>
      <c r="O23" s="112">
        <v>20.839739999999999</v>
      </c>
      <c r="P23" s="112">
        <v>10</v>
      </c>
      <c r="Q23" s="112" t="s">
        <v>151</v>
      </c>
    </row>
    <row r="24" spans="1:17">
      <c r="A24" s="111" t="s">
        <v>167</v>
      </c>
      <c r="B24" s="111"/>
      <c r="C24" s="112">
        <v>0.1</v>
      </c>
      <c r="D24" s="112" t="s">
        <v>151</v>
      </c>
      <c r="E24" s="112" t="s">
        <v>151</v>
      </c>
      <c r="F24" s="112" t="s">
        <v>151</v>
      </c>
      <c r="G24" s="112" t="s">
        <v>151</v>
      </c>
      <c r="H24" s="112" t="s">
        <v>151</v>
      </c>
      <c r="I24" s="112">
        <v>6.4226900000000002</v>
      </c>
      <c r="J24" s="112">
        <v>1.2205839999999999</v>
      </c>
      <c r="K24" s="112">
        <v>13.778985</v>
      </c>
      <c r="L24" s="112">
        <v>1.213191479999999</v>
      </c>
      <c r="M24" s="112" t="s">
        <v>151</v>
      </c>
      <c r="N24" s="112" t="s">
        <v>151</v>
      </c>
      <c r="O24" s="112" t="s">
        <v>151</v>
      </c>
      <c r="P24" s="112" t="s">
        <v>151</v>
      </c>
      <c r="Q24" s="112" t="s">
        <v>151</v>
      </c>
    </row>
    <row r="25" spans="1:17">
      <c r="A25" s="111" t="s">
        <v>168</v>
      </c>
      <c r="B25" s="111"/>
      <c r="C25" s="112" t="s">
        <v>151</v>
      </c>
      <c r="D25" s="112" t="s">
        <v>151</v>
      </c>
      <c r="E25" s="112" t="s">
        <v>151</v>
      </c>
      <c r="F25" s="112" t="s">
        <v>151</v>
      </c>
      <c r="G25" s="112" t="s">
        <v>151</v>
      </c>
      <c r="H25" s="112" t="s">
        <v>151</v>
      </c>
      <c r="I25" s="112" t="s">
        <v>151</v>
      </c>
      <c r="J25" s="112" t="s">
        <v>151</v>
      </c>
      <c r="K25" s="112" t="s">
        <v>151</v>
      </c>
      <c r="L25" s="112">
        <v>0</v>
      </c>
      <c r="M25" s="112" t="s">
        <v>151</v>
      </c>
      <c r="N25" s="112" t="s">
        <v>151</v>
      </c>
      <c r="O25" s="112" t="s">
        <v>151</v>
      </c>
      <c r="P25" s="112" t="s">
        <v>151</v>
      </c>
      <c r="Q25" s="112" t="s">
        <v>151</v>
      </c>
    </row>
    <row r="26" spans="1:17">
      <c r="A26" s="111" t="s">
        <v>177</v>
      </c>
      <c r="B26" s="111"/>
      <c r="C26" s="112" t="s">
        <v>151</v>
      </c>
      <c r="D26" s="112" t="s">
        <v>151</v>
      </c>
      <c r="E26" s="112" t="s">
        <v>151</v>
      </c>
      <c r="F26" s="112" t="s">
        <v>151</v>
      </c>
      <c r="G26" s="112" t="s">
        <v>151</v>
      </c>
      <c r="H26" s="112" t="s">
        <v>151</v>
      </c>
      <c r="I26" s="112" t="s">
        <v>151</v>
      </c>
      <c r="J26" s="112" t="s">
        <v>151</v>
      </c>
      <c r="K26" s="112" t="s">
        <v>151</v>
      </c>
      <c r="L26" s="112">
        <v>0</v>
      </c>
      <c r="M26" s="112" t="s">
        <v>151</v>
      </c>
      <c r="N26" s="112" t="s">
        <v>151</v>
      </c>
      <c r="O26" s="112" t="s">
        <v>151</v>
      </c>
      <c r="P26" s="112" t="s">
        <v>151</v>
      </c>
      <c r="Q26" s="112" t="s">
        <v>151</v>
      </c>
    </row>
    <row r="27" spans="1:17">
      <c r="A27" s="111" t="s">
        <v>181</v>
      </c>
      <c r="B27" s="111"/>
      <c r="C27" s="112" t="s">
        <v>151</v>
      </c>
      <c r="D27" s="112">
        <v>42.1</v>
      </c>
      <c r="E27" s="112" t="s">
        <v>151</v>
      </c>
      <c r="F27" s="112" t="s">
        <v>151</v>
      </c>
      <c r="G27" s="112" t="s">
        <v>151</v>
      </c>
      <c r="H27" s="112" t="s">
        <v>151</v>
      </c>
      <c r="I27" s="112" t="s">
        <v>151</v>
      </c>
      <c r="J27" s="112" t="s">
        <v>151</v>
      </c>
      <c r="K27" s="112">
        <v>0.61968100000000004</v>
      </c>
      <c r="L27" s="112">
        <v>0</v>
      </c>
      <c r="M27" s="112" t="s">
        <v>151</v>
      </c>
      <c r="N27" s="112" t="s">
        <v>151</v>
      </c>
      <c r="O27" s="112">
        <v>52.876255</v>
      </c>
      <c r="P27" s="112">
        <v>82.876255</v>
      </c>
      <c r="Q27" s="112">
        <v>30</v>
      </c>
    </row>
    <row r="28" spans="1:17">
      <c r="A28" s="111" t="s">
        <v>180</v>
      </c>
      <c r="B28" s="111"/>
      <c r="C28" s="112" t="s">
        <v>151</v>
      </c>
      <c r="D28" s="112">
        <v>0.1</v>
      </c>
      <c r="E28" s="112" t="s">
        <v>151</v>
      </c>
      <c r="F28" s="112" t="s">
        <v>151</v>
      </c>
      <c r="G28" s="112" t="s">
        <v>151</v>
      </c>
      <c r="H28" s="112" t="s">
        <v>151</v>
      </c>
      <c r="I28" s="112" t="s">
        <v>151</v>
      </c>
      <c r="J28" s="112" t="s">
        <v>151</v>
      </c>
      <c r="K28" s="112" t="s">
        <v>151</v>
      </c>
      <c r="L28" s="112">
        <v>32.594562279999998</v>
      </c>
      <c r="M28" s="112" t="s">
        <v>151</v>
      </c>
      <c r="N28" s="112">
        <v>3.9198719999999999E-2</v>
      </c>
      <c r="O28" s="112">
        <v>30.84</v>
      </c>
      <c r="P28" s="112">
        <v>46.26</v>
      </c>
      <c r="Q28" s="112" t="s">
        <v>151</v>
      </c>
    </row>
    <row r="29" spans="1:17">
      <c r="A29" s="111" t="s">
        <v>174</v>
      </c>
      <c r="B29" s="111"/>
      <c r="C29" s="112" t="s">
        <v>151</v>
      </c>
      <c r="D29" s="112" t="s">
        <v>151</v>
      </c>
      <c r="E29" s="112" t="s">
        <v>151</v>
      </c>
      <c r="F29" s="112" t="s">
        <v>151</v>
      </c>
      <c r="G29" s="112" t="s">
        <v>151</v>
      </c>
      <c r="H29" s="112" t="s">
        <v>151</v>
      </c>
      <c r="I29" s="112">
        <v>8.1359999999999991E-3</v>
      </c>
      <c r="J29" s="112" t="s">
        <v>151</v>
      </c>
      <c r="K29" s="112" t="s">
        <v>151</v>
      </c>
      <c r="L29" s="112">
        <v>0</v>
      </c>
      <c r="M29" s="112" t="s">
        <v>151</v>
      </c>
      <c r="N29" s="112" t="s">
        <v>151</v>
      </c>
      <c r="O29" s="112" t="s">
        <v>151</v>
      </c>
      <c r="P29" s="112" t="s">
        <v>151</v>
      </c>
      <c r="Q29" s="112"/>
    </row>
    <row r="30" spans="1:17">
      <c r="A30" s="111" t="s">
        <v>169</v>
      </c>
      <c r="B30" s="111"/>
      <c r="C30" s="112" t="s">
        <v>151</v>
      </c>
      <c r="D30" s="112" t="s">
        <v>151</v>
      </c>
      <c r="E30" s="112" t="s">
        <v>151</v>
      </c>
      <c r="F30" s="112">
        <v>31.664140800000002</v>
      </c>
      <c r="G30" s="112" t="s">
        <v>151</v>
      </c>
      <c r="H30" s="112" t="s">
        <v>151</v>
      </c>
      <c r="I30" s="112">
        <v>1.3487000000000001E-2</v>
      </c>
      <c r="J30" s="112" t="s">
        <v>151</v>
      </c>
      <c r="K30" s="112">
        <v>16.755168999999999</v>
      </c>
      <c r="L30" s="112">
        <v>374.74738300999991</v>
      </c>
      <c r="M30" s="112">
        <v>23.757455239999999</v>
      </c>
      <c r="N30" s="112">
        <v>25.041095026400001</v>
      </c>
      <c r="O30" s="112">
        <v>122.50561500000001</v>
      </c>
      <c r="P30" s="112">
        <v>96.784878000000006</v>
      </c>
      <c r="Q30" s="112">
        <v>0.58480399999999999</v>
      </c>
    </row>
    <row r="31" spans="1:17">
      <c r="A31" s="111" t="s">
        <v>255</v>
      </c>
      <c r="B31" s="111"/>
      <c r="C31" s="112" t="s">
        <v>151</v>
      </c>
      <c r="D31" s="112" t="s">
        <v>151</v>
      </c>
      <c r="E31" s="112" t="s">
        <v>151</v>
      </c>
      <c r="F31" s="112"/>
      <c r="G31" s="112" t="s">
        <v>151</v>
      </c>
      <c r="H31" s="112" t="s">
        <v>151</v>
      </c>
      <c r="I31" s="112" t="s">
        <v>151</v>
      </c>
      <c r="J31" s="112" t="s">
        <v>151</v>
      </c>
      <c r="K31" s="112" t="s">
        <v>151</v>
      </c>
      <c r="L31" s="112" t="s">
        <v>151</v>
      </c>
      <c r="M31" s="112">
        <v>1.534</v>
      </c>
      <c r="N31" s="112" t="s">
        <v>151</v>
      </c>
      <c r="O31" s="112" t="s">
        <v>151</v>
      </c>
      <c r="P31" s="112" t="s">
        <v>151</v>
      </c>
      <c r="Q31" s="112" t="s">
        <v>151</v>
      </c>
    </row>
    <row r="32" spans="1:17">
      <c r="A32" s="111" t="s">
        <v>173</v>
      </c>
      <c r="B32" s="111"/>
      <c r="C32" s="112">
        <v>6</v>
      </c>
      <c r="D32" s="112">
        <v>13.8</v>
      </c>
      <c r="E32" s="112" t="s">
        <v>151</v>
      </c>
      <c r="F32" s="112" t="s">
        <v>151</v>
      </c>
      <c r="G32" s="112" t="s">
        <v>151</v>
      </c>
      <c r="H32" s="112" t="s">
        <v>151</v>
      </c>
      <c r="I32" s="112">
        <v>107.94</v>
      </c>
      <c r="J32" s="112">
        <v>9.8850739999999995</v>
      </c>
      <c r="K32" s="112" t="s">
        <v>151</v>
      </c>
      <c r="L32" s="112" t="s">
        <v>151</v>
      </c>
      <c r="M32" s="112" t="s">
        <v>151</v>
      </c>
      <c r="N32" s="112" t="s">
        <v>151</v>
      </c>
      <c r="O32" s="112" t="s">
        <v>151</v>
      </c>
      <c r="P32" s="112" t="s">
        <v>151</v>
      </c>
      <c r="Q32" s="112" t="s">
        <v>151</v>
      </c>
    </row>
    <row r="33" spans="1:22">
      <c r="A33" s="111" t="s">
        <v>176</v>
      </c>
      <c r="B33" s="111"/>
      <c r="C33" s="112">
        <v>17</v>
      </c>
      <c r="D33" s="112">
        <v>17.600000000000001</v>
      </c>
      <c r="E33" s="112" t="s">
        <v>151</v>
      </c>
      <c r="F33" s="112" t="s">
        <v>151</v>
      </c>
      <c r="G33" s="112" t="s">
        <v>151</v>
      </c>
      <c r="H33" s="112" t="s">
        <v>151</v>
      </c>
      <c r="I33" s="112" t="s">
        <v>151</v>
      </c>
      <c r="J33" s="112" t="s">
        <v>151</v>
      </c>
      <c r="K33" s="112" t="s">
        <v>151</v>
      </c>
      <c r="L33" s="112" t="s">
        <v>151</v>
      </c>
      <c r="M33" s="112">
        <v>9.8066689999999998E-2</v>
      </c>
      <c r="N33" s="112">
        <v>6.7167279999999899E-2</v>
      </c>
      <c r="O33" s="112">
        <v>0.05</v>
      </c>
      <c r="P33" s="112">
        <v>0.05</v>
      </c>
      <c r="Q33" s="112">
        <v>0.05</v>
      </c>
    </row>
    <row r="34" spans="1:22">
      <c r="A34" s="111" t="s">
        <v>178</v>
      </c>
      <c r="B34" s="111"/>
      <c r="C34" s="112" t="s">
        <v>151</v>
      </c>
      <c r="D34" s="112" t="s">
        <v>151</v>
      </c>
      <c r="E34" s="112" t="s">
        <v>151</v>
      </c>
      <c r="F34" s="112" t="s">
        <v>151</v>
      </c>
      <c r="G34" s="112" t="s">
        <v>151</v>
      </c>
      <c r="H34" s="112" t="s">
        <v>151</v>
      </c>
      <c r="I34" s="112" t="s">
        <v>151</v>
      </c>
      <c r="J34" s="112" t="s">
        <v>151</v>
      </c>
      <c r="K34" s="112" t="s">
        <v>151</v>
      </c>
      <c r="L34" s="112">
        <v>4.0323749999999998E-2</v>
      </c>
      <c r="M34" s="112" t="s">
        <v>151</v>
      </c>
      <c r="N34" s="112" t="s">
        <v>151</v>
      </c>
      <c r="O34" s="112" t="s">
        <v>151</v>
      </c>
      <c r="P34" s="112" t="s">
        <v>151</v>
      </c>
      <c r="Q34" s="112" t="s">
        <v>151</v>
      </c>
    </row>
    <row r="35" spans="1:22">
      <c r="A35" s="117" t="s">
        <v>229</v>
      </c>
      <c r="B35" s="111"/>
      <c r="C35" s="112" t="s">
        <v>151</v>
      </c>
      <c r="D35" s="112" t="s">
        <v>151</v>
      </c>
      <c r="E35" s="112" t="s">
        <v>151</v>
      </c>
      <c r="F35" s="112" t="s">
        <v>151</v>
      </c>
      <c r="G35" s="112" t="s">
        <v>151</v>
      </c>
      <c r="H35" s="112" t="s">
        <v>151</v>
      </c>
      <c r="I35" s="112" t="s">
        <v>151</v>
      </c>
      <c r="J35" s="112" t="s">
        <v>151</v>
      </c>
      <c r="K35" s="112" t="s">
        <v>151</v>
      </c>
      <c r="L35" s="112">
        <v>3.271E-3</v>
      </c>
      <c r="M35" s="112" t="s">
        <v>151</v>
      </c>
      <c r="N35" s="112" t="s">
        <v>151</v>
      </c>
      <c r="O35" s="112" t="s">
        <v>151</v>
      </c>
      <c r="P35" s="112" t="s">
        <v>151</v>
      </c>
      <c r="Q35" s="112" t="s">
        <v>151</v>
      </c>
    </row>
    <row r="36" spans="1:22">
      <c r="A36" s="111" t="s">
        <v>254</v>
      </c>
      <c r="B36" s="111"/>
      <c r="C36" s="112" t="s">
        <v>151</v>
      </c>
      <c r="D36" s="112" t="s">
        <v>151</v>
      </c>
      <c r="E36" s="112" t="s">
        <v>151</v>
      </c>
      <c r="F36" s="112" t="s">
        <v>151</v>
      </c>
      <c r="G36" s="112" t="s">
        <v>151</v>
      </c>
      <c r="H36" s="112" t="s">
        <v>151</v>
      </c>
      <c r="I36" s="112" t="s">
        <v>151</v>
      </c>
      <c r="J36" s="114">
        <v>0.153062</v>
      </c>
      <c r="K36" s="112" t="s">
        <v>151</v>
      </c>
      <c r="L36" s="112" t="s">
        <v>151</v>
      </c>
      <c r="M36" s="112" t="s">
        <v>151</v>
      </c>
      <c r="N36" s="112" t="s">
        <v>151</v>
      </c>
      <c r="O36" s="112" t="s">
        <v>151</v>
      </c>
      <c r="P36" s="112" t="s">
        <v>151</v>
      </c>
      <c r="Q36" s="112" t="s">
        <v>151</v>
      </c>
    </row>
    <row r="37" spans="1:22">
      <c r="A37" s="111" t="s">
        <v>170</v>
      </c>
      <c r="B37" s="111"/>
      <c r="C37" s="112" t="s">
        <v>151</v>
      </c>
      <c r="D37" s="112" t="s">
        <v>151</v>
      </c>
      <c r="E37" s="112" t="s">
        <v>151</v>
      </c>
      <c r="F37" s="112" t="s">
        <v>151</v>
      </c>
      <c r="G37" s="112" t="s">
        <v>151</v>
      </c>
      <c r="H37" s="112" t="s">
        <v>151</v>
      </c>
      <c r="I37" s="112" t="s">
        <v>151</v>
      </c>
      <c r="J37" s="112" t="s">
        <v>151</v>
      </c>
      <c r="K37" s="112" t="s">
        <v>151</v>
      </c>
      <c r="L37" s="112" t="s">
        <v>151</v>
      </c>
      <c r="M37" s="112" t="s">
        <v>151</v>
      </c>
      <c r="N37" s="112" t="s">
        <v>151</v>
      </c>
      <c r="O37" s="112" t="s">
        <v>151</v>
      </c>
      <c r="P37" s="112" t="s">
        <v>151</v>
      </c>
      <c r="Q37" s="112" t="s">
        <v>151</v>
      </c>
    </row>
    <row r="38" spans="1:22">
      <c r="A38" s="111" t="s">
        <v>171</v>
      </c>
      <c r="B38" s="111"/>
      <c r="C38" s="112" t="s">
        <v>151</v>
      </c>
      <c r="D38" s="112" t="s">
        <v>151</v>
      </c>
      <c r="E38" s="112" t="s">
        <v>151</v>
      </c>
      <c r="F38" s="112" t="s">
        <v>151</v>
      </c>
      <c r="G38" s="112" t="s">
        <v>151</v>
      </c>
      <c r="H38" s="112" t="s">
        <v>151</v>
      </c>
      <c r="I38" s="112" t="s">
        <v>151</v>
      </c>
      <c r="J38" s="112" t="s">
        <v>151</v>
      </c>
      <c r="K38" s="112" t="s">
        <v>151</v>
      </c>
      <c r="L38" s="112">
        <v>0</v>
      </c>
      <c r="M38" s="112" t="s">
        <v>151</v>
      </c>
      <c r="N38" s="112" t="s">
        <v>151</v>
      </c>
      <c r="O38" s="112" t="s">
        <v>151</v>
      </c>
      <c r="P38" s="112" t="s">
        <v>151</v>
      </c>
      <c r="Q38" s="112" t="s">
        <v>151</v>
      </c>
    </row>
    <row r="39" spans="1:22">
      <c r="A39" s="117" t="s">
        <v>230</v>
      </c>
      <c r="B39" s="111"/>
      <c r="C39" s="112" t="s">
        <v>151</v>
      </c>
      <c r="D39" s="112" t="s">
        <v>151</v>
      </c>
      <c r="E39" s="112" t="s">
        <v>151</v>
      </c>
      <c r="F39" s="112" t="s">
        <v>151</v>
      </c>
      <c r="G39" s="112" t="s">
        <v>151</v>
      </c>
      <c r="H39" s="112" t="s">
        <v>151</v>
      </c>
      <c r="I39" s="112" t="s">
        <v>151</v>
      </c>
      <c r="J39" s="112" t="s">
        <v>151</v>
      </c>
      <c r="K39" s="112" t="s">
        <v>151</v>
      </c>
      <c r="L39" s="112">
        <v>2.0993301699999902</v>
      </c>
      <c r="M39" s="112">
        <v>2.0991015499999999</v>
      </c>
      <c r="N39" s="112" t="s">
        <v>151</v>
      </c>
      <c r="O39" s="112" t="s">
        <v>151</v>
      </c>
      <c r="P39" s="112" t="s">
        <v>151</v>
      </c>
      <c r="Q39" s="112" t="s">
        <v>151</v>
      </c>
    </row>
    <row r="40" spans="1:22">
      <c r="A40" s="111" t="s">
        <v>183</v>
      </c>
      <c r="B40" s="111"/>
      <c r="C40" s="112">
        <v>23</v>
      </c>
      <c r="D40" s="112">
        <v>23.5</v>
      </c>
      <c r="E40" s="112">
        <v>1.484216</v>
      </c>
      <c r="F40" s="112">
        <v>5.2119001999999996</v>
      </c>
      <c r="G40" s="112" t="s">
        <v>151</v>
      </c>
      <c r="H40" s="112" t="s">
        <v>151</v>
      </c>
      <c r="I40" s="112" t="s">
        <v>151</v>
      </c>
      <c r="J40" s="112" t="s">
        <v>151</v>
      </c>
      <c r="K40" s="112" t="s">
        <v>151</v>
      </c>
      <c r="L40" s="112">
        <v>0</v>
      </c>
      <c r="M40" s="112" t="s">
        <v>151</v>
      </c>
      <c r="N40" s="112" t="s">
        <v>151</v>
      </c>
      <c r="O40" s="112" t="s">
        <v>151</v>
      </c>
      <c r="P40" s="112" t="s">
        <v>151</v>
      </c>
      <c r="Q40" s="112" t="s">
        <v>151</v>
      </c>
    </row>
    <row r="41" spans="1:22">
      <c r="A41" s="111"/>
      <c r="B41" s="111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</row>
    <row r="42" spans="1:22" s="113" customFormat="1">
      <c r="A42" s="108" t="s">
        <v>184</v>
      </c>
      <c r="B42" s="108"/>
      <c r="C42" s="109">
        <f t="shared" ref="C42:Q42" si="7">SUM(C43:C93)</f>
        <v>806</v>
      </c>
      <c r="D42" s="109">
        <f t="shared" si="7"/>
        <v>898.3</v>
      </c>
      <c r="E42" s="109">
        <f t="shared" si="7"/>
        <v>295.82102999999995</v>
      </c>
      <c r="F42" s="109">
        <f t="shared" si="7"/>
        <v>306.76698040000002</v>
      </c>
      <c r="G42" s="109">
        <f t="shared" si="7"/>
        <v>6.7913410000000001</v>
      </c>
      <c r="H42" s="109">
        <f t="shared" si="7"/>
        <v>27.665953999999999</v>
      </c>
      <c r="I42" s="109">
        <f t="shared" si="7"/>
        <v>172.18719127999998</v>
      </c>
      <c r="J42" s="109">
        <f t="shared" si="7"/>
        <v>70.052438000000009</v>
      </c>
      <c r="K42" s="109">
        <f t="shared" si="7"/>
        <v>83.569238999999996</v>
      </c>
      <c r="L42" s="109">
        <f t="shared" si="7"/>
        <v>204.62045243999998</v>
      </c>
      <c r="M42" s="109">
        <f t="shared" si="7"/>
        <v>189.71201746</v>
      </c>
      <c r="N42" s="109">
        <f t="shared" si="7"/>
        <v>592.07264260625982</v>
      </c>
      <c r="O42" s="109">
        <f t="shared" si="7"/>
        <v>505.23690699999997</v>
      </c>
      <c r="P42" s="109">
        <f t="shared" si="7"/>
        <v>649.02553300000011</v>
      </c>
      <c r="Q42" s="109">
        <f t="shared" si="7"/>
        <v>642.28048899999987</v>
      </c>
      <c r="R42" s="257"/>
      <c r="S42" s="257"/>
      <c r="T42" s="257"/>
      <c r="U42" s="257"/>
    </row>
    <row r="43" spans="1:22">
      <c r="A43" s="117" t="s">
        <v>154</v>
      </c>
      <c r="B43" s="116"/>
      <c r="C43" s="112">
        <v>0.8</v>
      </c>
      <c r="D43" s="112">
        <v>0.7</v>
      </c>
      <c r="E43" s="112">
        <v>0.37727500000000003</v>
      </c>
      <c r="F43" s="112">
        <v>7.9126890000000003</v>
      </c>
      <c r="G43" s="112">
        <v>2.9260739999999998</v>
      </c>
      <c r="H43" s="112">
        <v>0</v>
      </c>
      <c r="I43" s="112">
        <v>5.7275E-2</v>
      </c>
      <c r="J43" s="112" t="s">
        <v>151</v>
      </c>
      <c r="K43" s="112">
        <v>2.169349</v>
      </c>
      <c r="L43" s="112">
        <v>11.418991530000001</v>
      </c>
      <c r="M43" s="112">
        <v>15.54725738</v>
      </c>
      <c r="N43" s="112">
        <v>239.50257773065999</v>
      </c>
      <c r="O43" s="112">
        <v>164.68936299999999</v>
      </c>
      <c r="P43" s="112">
        <v>362.19656300000003</v>
      </c>
      <c r="Q43" s="112">
        <v>325.93656299999998</v>
      </c>
      <c r="V43" s="253"/>
    </row>
    <row r="44" spans="1:22">
      <c r="A44" s="117" t="s">
        <v>215</v>
      </c>
      <c r="B44" s="116"/>
      <c r="C44" s="112" t="s">
        <v>151</v>
      </c>
      <c r="D44" s="112" t="s">
        <v>151</v>
      </c>
      <c r="E44" s="112" t="s">
        <v>151</v>
      </c>
      <c r="F44" s="112" t="s">
        <v>151</v>
      </c>
      <c r="G44" s="112" t="s">
        <v>151</v>
      </c>
      <c r="H44" s="112" t="s">
        <v>151</v>
      </c>
      <c r="I44" s="112" t="s">
        <v>151</v>
      </c>
      <c r="J44" s="112" t="s">
        <v>151</v>
      </c>
      <c r="K44" s="112">
        <v>7.4315000000000006E-2</v>
      </c>
      <c r="L44" s="112" t="s">
        <v>151</v>
      </c>
      <c r="M44" s="112" t="s">
        <v>151</v>
      </c>
      <c r="N44" s="112" t="s">
        <v>151</v>
      </c>
      <c r="O44" s="112" t="s">
        <v>151</v>
      </c>
      <c r="P44" s="112" t="s">
        <v>151</v>
      </c>
      <c r="Q44" s="112" t="s">
        <v>151</v>
      </c>
    </row>
    <row r="45" spans="1:22">
      <c r="A45" s="117" t="s">
        <v>200</v>
      </c>
      <c r="B45" s="116"/>
      <c r="C45" s="112" t="s">
        <v>151</v>
      </c>
      <c r="D45" s="112">
        <v>2.5</v>
      </c>
      <c r="E45" s="112" t="s">
        <v>151</v>
      </c>
      <c r="F45" s="112" t="s">
        <v>151</v>
      </c>
      <c r="G45" s="112" t="s">
        <v>151</v>
      </c>
      <c r="H45" s="112" t="s">
        <v>151</v>
      </c>
      <c r="I45" s="112" t="s">
        <v>151</v>
      </c>
      <c r="J45" s="112" t="s">
        <v>151</v>
      </c>
      <c r="K45" s="112" t="s">
        <v>151</v>
      </c>
      <c r="L45" s="112" t="s">
        <v>151</v>
      </c>
      <c r="M45" s="112" t="s">
        <v>151</v>
      </c>
      <c r="N45" s="112" t="s">
        <v>151</v>
      </c>
      <c r="O45" s="112" t="s">
        <v>151</v>
      </c>
      <c r="P45" s="112" t="s">
        <v>151</v>
      </c>
      <c r="Q45" s="112" t="s">
        <v>151</v>
      </c>
    </row>
    <row r="46" spans="1:22">
      <c r="A46" s="117" t="s">
        <v>235</v>
      </c>
      <c r="B46" s="116"/>
      <c r="C46" s="112" t="s">
        <v>151</v>
      </c>
      <c r="D46" s="112" t="s">
        <v>151</v>
      </c>
      <c r="E46" s="112" t="s">
        <v>151</v>
      </c>
      <c r="F46" s="112" t="s">
        <v>151</v>
      </c>
      <c r="G46" s="112" t="s">
        <v>151</v>
      </c>
      <c r="H46" s="112" t="s">
        <v>151</v>
      </c>
      <c r="I46" s="112" t="s">
        <v>151</v>
      </c>
      <c r="J46" s="112" t="s">
        <v>151</v>
      </c>
      <c r="K46" s="112" t="s">
        <v>151</v>
      </c>
      <c r="L46" s="112" t="s">
        <v>151</v>
      </c>
      <c r="M46" s="112">
        <v>8.96256E-2</v>
      </c>
      <c r="N46" s="112">
        <v>5.0000000000000001E-3</v>
      </c>
      <c r="O46" s="112">
        <v>0.01</v>
      </c>
      <c r="P46" s="112">
        <v>0.01</v>
      </c>
      <c r="Q46" s="112">
        <v>0.01</v>
      </c>
    </row>
    <row r="47" spans="1:22">
      <c r="A47" s="117" t="s">
        <v>216</v>
      </c>
      <c r="B47" s="116"/>
      <c r="C47" s="112" t="s">
        <v>151</v>
      </c>
      <c r="D47" s="112" t="s">
        <v>151</v>
      </c>
      <c r="E47" s="112" t="s">
        <v>151</v>
      </c>
      <c r="F47" s="112" t="s">
        <v>151</v>
      </c>
      <c r="G47" s="112" t="s">
        <v>151</v>
      </c>
      <c r="H47" s="112" t="s">
        <v>151</v>
      </c>
      <c r="I47" s="112" t="s">
        <v>151</v>
      </c>
      <c r="J47" s="112" t="s">
        <v>151</v>
      </c>
      <c r="K47" s="112">
        <v>0.13536100000000001</v>
      </c>
      <c r="L47" s="112">
        <v>2.3327650000000002E-2</v>
      </c>
      <c r="M47" s="112">
        <v>5.3377680000000004E-2</v>
      </c>
      <c r="N47" s="112" t="s">
        <v>151</v>
      </c>
      <c r="O47" s="112" t="s">
        <v>151</v>
      </c>
      <c r="P47" s="112" t="s">
        <v>151</v>
      </c>
      <c r="Q47" s="112" t="s">
        <v>151</v>
      </c>
    </row>
    <row r="48" spans="1:22">
      <c r="A48" s="117" t="s">
        <v>203</v>
      </c>
      <c r="B48" s="116"/>
      <c r="C48" s="112">
        <v>2.9</v>
      </c>
      <c r="D48" s="112">
        <v>1.5</v>
      </c>
      <c r="E48" s="112">
        <v>0.21615100000000001</v>
      </c>
      <c r="F48" s="112" t="s">
        <v>151</v>
      </c>
      <c r="G48" s="112" t="s">
        <v>151</v>
      </c>
      <c r="H48" s="112" t="s">
        <v>151</v>
      </c>
      <c r="I48" s="112" t="s">
        <v>151</v>
      </c>
      <c r="J48" s="112" t="s">
        <v>151</v>
      </c>
      <c r="K48" s="112" t="s">
        <v>151</v>
      </c>
      <c r="L48" s="112" t="s">
        <v>151</v>
      </c>
      <c r="M48" s="112" t="s">
        <v>151</v>
      </c>
      <c r="N48" s="112" t="s">
        <v>151</v>
      </c>
      <c r="O48" s="112" t="s">
        <v>151</v>
      </c>
      <c r="P48" s="112" t="s">
        <v>151</v>
      </c>
      <c r="Q48" s="112" t="s">
        <v>151</v>
      </c>
    </row>
    <row r="49" spans="1:17">
      <c r="A49" s="117" t="s">
        <v>202</v>
      </c>
      <c r="B49" s="116"/>
      <c r="C49" s="112">
        <v>2.5</v>
      </c>
      <c r="D49" s="112" t="s">
        <v>151</v>
      </c>
      <c r="E49" s="112" t="s">
        <v>151</v>
      </c>
      <c r="F49" s="112" t="s">
        <v>151</v>
      </c>
      <c r="G49" s="112" t="s">
        <v>151</v>
      </c>
      <c r="H49" s="112" t="s">
        <v>151</v>
      </c>
      <c r="I49" s="112" t="s">
        <v>151</v>
      </c>
      <c r="J49" s="112" t="s">
        <v>151</v>
      </c>
      <c r="K49" s="112" t="s">
        <v>151</v>
      </c>
      <c r="L49" s="112" t="s">
        <v>151</v>
      </c>
      <c r="M49" s="112" t="s">
        <v>151</v>
      </c>
      <c r="N49" s="112" t="s">
        <v>151</v>
      </c>
      <c r="O49" s="112" t="s">
        <v>151</v>
      </c>
      <c r="P49" s="112" t="s">
        <v>151</v>
      </c>
      <c r="Q49" s="112" t="s">
        <v>151</v>
      </c>
    </row>
    <row r="50" spans="1:17">
      <c r="A50" s="117" t="s">
        <v>231</v>
      </c>
      <c r="B50" s="116"/>
      <c r="C50" s="112" t="s">
        <v>151</v>
      </c>
      <c r="D50" s="112" t="s">
        <v>151</v>
      </c>
      <c r="E50" s="112" t="s">
        <v>151</v>
      </c>
      <c r="F50" s="112" t="s">
        <v>151</v>
      </c>
      <c r="G50" s="112" t="s">
        <v>151</v>
      </c>
      <c r="H50" s="112" t="s">
        <v>151</v>
      </c>
      <c r="I50" s="112" t="s">
        <v>151</v>
      </c>
      <c r="J50" s="112" t="s">
        <v>151</v>
      </c>
      <c r="K50" s="112" t="s">
        <v>151</v>
      </c>
      <c r="L50" s="112">
        <v>2.3935820099999998</v>
      </c>
      <c r="M50" s="112">
        <v>0.22879374999999999</v>
      </c>
      <c r="N50" s="112" t="s">
        <v>151</v>
      </c>
      <c r="O50" s="112">
        <v>0.77100000000000002</v>
      </c>
      <c r="P50" s="112" t="s">
        <v>151</v>
      </c>
      <c r="Q50" s="112" t="s">
        <v>151</v>
      </c>
    </row>
    <row r="51" spans="1:17">
      <c r="A51" s="117" t="s">
        <v>205</v>
      </c>
      <c r="B51" s="116"/>
      <c r="C51" s="112" t="s">
        <v>151</v>
      </c>
      <c r="D51" s="112" t="s">
        <v>151</v>
      </c>
      <c r="E51" s="112" t="s">
        <v>151</v>
      </c>
      <c r="F51" s="112" t="s">
        <v>151</v>
      </c>
      <c r="G51" s="112" t="s">
        <v>151</v>
      </c>
      <c r="H51" s="112" t="s">
        <v>151</v>
      </c>
      <c r="I51" s="112">
        <v>0.11934500000000001</v>
      </c>
      <c r="J51" s="112" t="s">
        <v>151</v>
      </c>
      <c r="K51" s="112" t="s">
        <v>151</v>
      </c>
      <c r="L51" s="112">
        <v>0.36029232999999905</v>
      </c>
      <c r="M51" s="112">
        <v>0.15293147000000001</v>
      </c>
      <c r="N51" s="112" t="s">
        <v>151</v>
      </c>
      <c r="O51" s="112" t="s">
        <v>151</v>
      </c>
      <c r="P51" s="112" t="s">
        <v>151</v>
      </c>
      <c r="Q51" s="112" t="s">
        <v>151</v>
      </c>
    </row>
    <row r="52" spans="1:17">
      <c r="A52" s="117" t="s">
        <v>199</v>
      </c>
      <c r="B52" s="116"/>
      <c r="C52" s="112" t="s">
        <v>151</v>
      </c>
      <c r="D52" s="112" t="s">
        <v>151</v>
      </c>
      <c r="E52" s="112" t="s">
        <v>151</v>
      </c>
      <c r="F52" s="112" t="s">
        <v>151</v>
      </c>
      <c r="G52" s="112" t="s">
        <v>151</v>
      </c>
      <c r="H52" s="112">
        <v>0.43798500000000001</v>
      </c>
      <c r="I52" s="112">
        <v>0</v>
      </c>
      <c r="J52" s="112">
        <v>0.18181</v>
      </c>
      <c r="K52" s="112" t="s">
        <v>151</v>
      </c>
      <c r="L52" s="112">
        <v>6.6485919999999893E-2</v>
      </c>
      <c r="M52" s="112">
        <v>0.19484226000000002</v>
      </c>
      <c r="N52" s="112" t="s">
        <v>151</v>
      </c>
      <c r="O52" s="112" t="s">
        <v>151</v>
      </c>
      <c r="P52" s="112" t="s">
        <v>151</v>
      </c>
      <c r="Q52" s="112" t="s">
        <v>151</v>
      </c>
    </row>
    <row r="53" spans="1:17">
      <c r="A53" s="117" t="s">
        <v>191</v>
      </c>
      <c r="B53" s="116"/>
      <c r="C53" s="112" t="s">
        <v>151</v>
      </c>
      <c r="D53" s="112" t="s">
        <v>151</v>
      </c>
      <c r="E53" s="112" t="s">
        <v>151</v>
      </c>
      <c r="F53" s="112" t="s">
        <v>151</v>
      </c>
      <c r="G53" s="112" t="s">
        <v>151</v>
      </c>
      <c r="H53" s="112">
        <v>2.9656419999999999</v>
      </c>
      <c r="I53" s="112">
        <v>3.4063859999999999</v>
      </c>
      <c r="J53" s="112" t="s">
        <v>151</v>
      </c>
      <c r="K53" s="112" t="s">
        <v>151</v>
      </c>
      <c r="L53" s="112">
        <v>0</v>
      </c>
      <c r="M53" s="112" t="s">
        <v>151</v>
      </c>
      <c r="N53" s="112" t="s">
        <v>151</v>
      </c>
      <c r="O53" s="112" t="s">
        <v>151</v>
      </c>
      <c r="P53" s="112" t="s">
        <v>151</v>
      </c>
      <c r="Q53" s="112" t="s">
        <v>151</v>
      </c>
    </row>
    <row r="54" spans="1:17">
      <c r="A54" s="117" t="s">
        <v>192</v>
      </c>
      <c r="B54" s="116"/>
      <c r="C54" s="112" t="s">
        <v>151</v>
      </c>
      <c r="D54" s="112" t="s">
        <v>151</v>
      </c>
      <c r="E54" s="112" t="s">
        <v>151</v>
      </c>
      <c r="F54" s="112" t="s">
        <v>151</v>
      </c>
      <c r="G54" s="112" t="s">
        <v>151</v>
      </c>
      <c r="H54" s="112">
        <v>1.006378</v>
      </c>
      <c r="I54" s="112">
        <v>0.217976</v>
      </c>
      <c r="J54" s="112">
        <v>0.24321599999999999</v>
      </c>
      <c r="K54" s="112">
        <v>1.025882</v>
      </c>
      <c r="L54" s="112">
        <v>0.61588186999999983</v>
      </c>
      <c r="M54" s="112">
        <v>0.11405083000000001</v>
      </c>
      <c r="N54" s="112">
        <v>0.59158414000000004</v>
      </c>
      <c r="O54" s="112">
        <v>0.3</v>
      </c>
      <c r="P54" s="112">
        <v>0.3</v>
      </c>
      <c r="Q54" s="112">
        <v>0.3</v>
      </c>
    </row>
    <row r="55" spans="1:17">
      <c r="A55" s="117" t="s">
        <v>232</v>
      </c>
      <c r="B55" s="116"/>
      <c r="C55" s="112" t="s">
        <v>151</v>
      </c>
      <c r="D55" s="112" t="s">
        <v>151</v>
      </c>
      <c r="E55" s="112" t="s">
        <v>151</v>
      </c>
      <c r="F55" s="112" t="s">
        <v>151</v>
      </c>
      <c r="G55" s="112" t="s">
        <v>151</v>
      </c>
      <c r="H55" s="112" t="s">
        <v>151</v>
      </c>
      <c r="I55" s="112" t="s">
        <v>151</v>
      </c>
      <c r="J55" s="112" t="s">
        <v>151</v>
      </c>
      <c r="K55" s="112" t="s">
        <v>151</v>
      </c>
      <c r="L55" s="112">
        <v>1.2761966999999999</v>
      </c>
      <c r="M55" s="112">
        <v>0.3</v>
      </c>
      <c r="N55" s="112">
        <v>0.3</v>
      </c>
      <c r="O55" s="112">
        <v>0.3</v>
      </c>
      <c r="P55" s="112">
        <v>0.35</v>
      </c>
      <c r="Q55" s="112">
        <v>0.4</v>
      </c>
    </row>
    <row r="56" spans="1:17">
      <c r="A56" s="117" t="s">
        <v>261</v>
      </c>
      <c r="B56" s="116"/>
      <c r="C56" s="112" t="s">
        <v>151</v>
      </c>
      <c r="D56" s="112" t="s">
        <v>151</v>
      </c>
      <c r="E56" s="112" t="s">
        <v>151</v>
      </c>
      <c r="F56" s="112" t="s">
        <v>151</v>
      </c>
      <c r="G56" s="112" t="s">
        <v>151</v>
      </c>
      <c r="H56" s="112" t="s">
        <v>151</v>
      </c>
      <c r="I56" s="112" t="s">
        <v>151</v>
      </c>
      <c r="J56" s="112" t="s">
        <v>151</v>
      </c>
      <c r="K56" s="112" t="s">
        <v>151</v>
      </c>
      <c r="L56" s="112" t="s">
        <v>151</v>
      </c>
      <c r="M56" s="112">
        <v>0.16878089000000002</v>
      </c>
      <c r="N56" s="112" t="s">
        <v>151</v>
      </c>
      <c r="O56" s="112" t="s">
        <v>151</v>
      </c>
      <c r="P56" s="112" t="s">
        <v>151</v>
      </c>
      <c r="Q56" s="112" t="s">
        <v>151</v>
      </c>
    </row>
    <row r="57" spans="1:17">
      <c r="A57" s="117" t="s">
        <v>197</v>
      </c>
      <c r="B57" s="116"/>
      <c r="C57" s="112" t="s">
        <v>151</v>
      </c>
      <c r="D57" s="112" t="s">
        <v>151</v>
      </c>
      <c r="E57" s="112" t="s">
        <v>151</v>
      </c>
      <c r="F57" s="112" t="s">
        <v>151</v>
      </c>
      <c r="G57" s="112" t="s">
        <v>151</v>
      </c>
      <c r="H57" s="112">
        <v>0.128665</v>
      </c>
      <c r="I57" s="112">
        <v>0.100574</v>
      </c>
      <c r="J57" s="112" t="s">
        <v>151</v>
      </c>
      <c r="K57" s="112" t="s">
        <v>151</v>
      </c>
      <c r="L57" s="112" t="s">
        <v>151</v>
      </c>
      <c r="M57" s="112" t="s">
        <v>151</v>
      </c>
      <c r="N57" s="112" t="s">
        <v>151</v>
      </c>
      <c r="O57" s="112" t="s">
        <v>151</v>
      </c>
      <c r="P57" s="112" t="s">
        <v>151</v>
      </c>
      <c r="Q57" s="112" t="s">
        <v>151</v>
      </c>
    </row>
    <row r="58" spans="1:17">
      <c r="A58" s="117" t="s">
        <v>211</v>
      </c>
      <c r="B58" s="116"/>
      <c r="C58" s="112" t="s">
        <v>151</v>
      </c>
      <c r="D58" s="112" t="s">
        <v>151</v>
      </c>
      <c r="E58" s="112" t="s">
        <v>151</v>
      </c>
      <c r="F58" s="112" t="s">
        <v>151</v>
      </c>
      <c r="G58" s="112" t="s">
        <v>151</v>
      </c>
      <c r="H58" s="112" t="s">
        <v>151</v>
      </c>
      <c r="I58" s="112">
        <v>0.18378</v>
      </c>
      <c r="J58" s="112">
        <v>0.59766399999999997</v>
      </c>
      <c r="K58" s="112" t="s">
        <v>151</v>
      </c>
      <c r="L58" s="112" t="s">
        <v>151</v>
      </c>
      <c r="M58" s="112" t="s">
        <v>151</v>
      </c>
      <c r="N58" s="112" t="s">
        <v>151</v>
      </c>
      <c r="O58" s="112" t="s">
        <v>151</v>
      </c>
      <c r="P58" s="112" t="s">
        <v>151</v>
      </c>
      <c r="Q58" s="112" t="s">
        <v>151</v>
      </c>
    </row>
    <row r="59" spans="1:17">
      <c r="A59" s="117" t="s">
        <v>236</v>
      </c>
      <c r="B59" s="116"/>
      <c r="C59" s="112" t="s">
        <v>151</v>
      </c>
      <c r="D59" s="112" t="s">
        <v>151</v>
      </c>
      <c r="E59" s="112" t="s">
        <v>151</v>
      </c>
      <c r="F59" s="112" t="s">
        <v>151</v>
      </c>
      <c r="G59" s="112" t="s">
        <v>151</v>
      </c>
      <c r="H59" s="112" t="s">
        <v>151</v>
      </c>
      <c r="I59" s="112" t="s">
        <v>151</v>
      </c>
      <c r="J59" s="112" t="s">
        <v>151</v>
      </c>
      <c r="K59" s="112" t="s">
        <v>151</v>
      </c>
      <c r="L59" s="112" t="s">
        <v>151</v>
      </c>
      <c r="M59" s="112" t="s">
        <v>151</v>
      </c>
      <c r="N59" s="112" t="s">
        <v>151</v>
      </c>
      <c r="O59" s="112">
        <v>87.082317000000003</v>
      </c>
      <c r="P59" s="112">
        <v>93.415469999999999</v>
      </c>
      <c r="Q59" s="112">
        <v>131.49220399999999</v>
      </c>
    </row>
    <row r="60" spans="1:17">
      <c r="A60" s="117" t="s">
        <v>156</v>
      </c>
      <c r="B60" s="116"/>
      <c r="C60" s="112" t="s">
        <v>151</v>
      </c>
      <c r="D60" s="112" t="s">
        <v>151</v>
      </c>
      <c r="E60" s="112" t="s">
        <v>151</v>
      </c>
      <c r="F60" s="112" t="s">
        <v>151</v>
      </c>
      <c r="G60" s="112" t="s">
        <v>151</v>
      </c>
      <c r="H60" s="112" t="s">
        <v>151</v>
      </c>
      <c r="I60" s="112" t="s">
        <v>151</v>
      </c>
      <c r="J60" s="112" t="s">
        <v>151</v>
      </c>
      <c r="K60" s="112" t="s">
        <v>151</v>
      </c>
      <c r="L60" s="112">
        <v>0.14424824</v>
      </c>
      <c r="M60" s="112">
        <v>10.375067900000001</v>
      </c>
      <c r="N60" s="112">
        <v>19.520570605700001</v>
      </c>
      <c r="O60" s="112">
        <v>4.0999650000000001</v>
      </c>
      <c r="P60" s="112">
        <v>2.049982</v>
      </c>
      <c r="Q60" s="112" t="s">
        <v>151</v>
      </c>
    </row>
    <row r="61" spans="1:17">
      <c r="A61" s="117" t="s">
        <v>234</v>
      </c>
      <c r="B61" s="116"/>
      <c r="C61" s="112" t="s">
        <v>151</v>
      </c>
      <c r="D61" s="112" t="s">
        <v>151</v>
      </c>
      <c r="E61" s="112" t="s">
        <v>151</v>
      </c>
      <c r="F61" s="112" t="s">
        <v>151</v>
      </c>
      <c r="G61" s="112" t="s">
        <v>151</v>
      </c>
      <c r="H61" s="112" t="s">
        <v>151</v>
      </c>
      <c r="I61" s="112" t="s">
        <v>151</v>
      </c>
      <c r="J61" s="112" t="s">
        <v>151</v>
      </c>
      <c r="K61" s="112" t="s">
        <v>151</v>
      </c>
      <c r="L61" s="112" t="s">
        <v>151</v>
      </c>
      <c r="M61" s="112" t="s">
        <v>151</v>
      </c>
      <c r="N61" s="112" t="s">
        <v>151</v>
      </c>
      <c r="O61" s="112" t="s">
        <v>151</v>
      </c>
      <c r="P61" s="112" t="s">
        <v>151</v>
      </c>
      <c r="Q61" s="112" t="s">
        <v>151</v>
      </c>
    </row>
    <row r="62" spans="1:17">
      <c r="A62" s="117" t="s">
        <v>153</v>
      </c>
      <c r="B62" s="116"/>
      <c r="C62" s="112" t="s">
        <v>151</v>
      </c>
      <c r="D62" s="112" t="s">
        <v>151</v>
      </c>
      <c r="E62" s="112" t="s">
        <v>151</v>
      </c>
      <c r="F62" s="112" t="s">
        <v>151</v>
      </c>
      <c r="G62" s="112" t="s">
        <v>151</v>
      </c>
      <c r="H62" s="112" t="s">
        <v>151</v>
      </c>
      <c r="I62" s="112">
        <v>56.042175</v>
      </c>
      <c r="J62" s="112">
        <v>5.3110780000000002</v>
      </c>
      <c r="K62" s="112">
        <v>1.9840000000000001E-3</v>
      </c>
      <c r="L62" s="112" t="s">
        <v>151</v>
      </c>
      <c r="M62" s="112" t="s">
        <v>151</v>
      </c>
      <c r="N62" s="112" t="s">
        <v>151</v>
      </c>
      <c r="O62" s="112" t="s">
        <v>151</v>
      </c>
      <c r="P62" s="112" t="s">
        <v>151</v>
      </c>
      <c r="Q62" s="112" t="s">
        <v>151</v>
      </c>
    </row>
    <row r="63" spans="1:17">
      <c r="A63" s="117" t="s">
        <v>155</v>
      </c>
      <c r="B63" s="116"/>
      <c r="C63" s="112" t="s">
        <v>151</v>
      </c>
      <c r="D63" s="112">
        <v>0.2</v>
      </c>
      <c r="E63" s="112">
        <v>9.2590000000000006E-2</v>
      </c>
      <c r="F63" s="112">
        <v>2.3064000000000001E-2</v>
      </c>
      <c r="G63" s="112" t="s">
        <v>151</v>
      </c>
      <c r="H63" s="112" t="s">
        <v>151</v>
      </c>
      <c r="I63" s="112" t="s">
        <v>151</v>
      </c>
      <c r="J63" s="112" t="s">
        <v>151</v>
      </c>
      <c r="K63" s="112">
        <v>0.35753099999999999</v>
      </c>
      <c r="L63" s="112">
        <v>0.10817053999999901</v>
      </c>
      <c r="M63" s="112" t="s">
        <v>151</v>
      </c>
      <c r="N63" s="112" t="s">
        <v>151</v>
      </c>
      <c r="O63" s="112">
        <v>21.350505999999999</v>
      </c>
      <c r="P63" s="112">
        <v>2</v>
      </c>
      <c r="Q63" s="112" t="s">
        <v>151</v>
      </c>
    </row>
    <row r="64" spans="1:17">
      <c r="A64" s="117" t="s">
        <v>256</v>
      </c>
      <c r="B64" s="116"/>
      <c r="C64" s="112" t="s">
        <v>151</v>
      </c>
      <c r="D64" s="112" t="s">
        <v>151</v>
      </c>
      <c r="E64" s="112" t="s">
        <v>151</v>
      </c>
      <c r="F64" s="112" t="s">
        <v>151</v>
      </c>
      <c r="G64" s="112" t="s">
        <v>151</v>
      </c>
      <c r="H64" s="112" t="s">
        <v>151</v>
      </c>
      <c r="I64" s="112" t="s">
        <v>151</v>
      </c>
      <c r="J64" s="112" t="s">
        <v>151</v>
      </c>
      <c r="K64" s="112" t="s">
        <v>151</v>
      </c>
      <c r="L64" s="112" t="s">
        <v>151</v>
      </c>
      <c r="M64" s="112">
        <v>0.28543040000000003</v>
      </c>
      <c r="N64" s="112">
        <v>0.30740000000000001</v>
      </c>
      <c r="O64" s="112">
        <v>0.3</v>
      </c>
      <c r="P64" s="112">
        <v>0.3</v>
      </c>
      <c r="Q64" s="112">
        <v>0.3</v>
      </c>
    </row>
    <row r="65" spans="1:17">
      <c r="A65" s="117" t="s">
        <v>210</v>
      </c>
      <c r="B65" s="116"/>
      <c r="C65" s="112" t="s">
        <v>151</v>
      </c>
      <c r="D65" s="112" t="s">
        <v>151</v>
      </c>
      <c r="E65" s="112" t="s">
        <v>151</v>
      </c>
      <c r="F65" s="112" t="s">
        <v>151</v>
      </c>
      <c r="G65" s="112" t="s">
        <v>151</v>
      </c>
      <c r="H65" s="112" t="s">
        <v>151</v>
      </c>
      <c r="I65" s="112">
        <v>9.6279000000000003E-2</v>
      </c>
      <c r="J65" s="112" t="s">
        <v>151</v>
      </c>
      <c r="K65" s="112" t="s">
        <v>151</v>
      </c>
      <c r="L65" s="112" t="s">
        <v>151</v>
      </c>
      <c r="M65" s="112">
        <v>2.7525000000000001E-2</v>
      </c>
      <c r="N65" s="112">
        <v>2.3130000000000001E-2</v>
      </c>
      <c r="O65" s="112">
        <v>0.02</v>
      </c>
      <c r="P65" s="112">
        <v>0.02</v>
      </c>
      <c r="Q65" s="112">
        <v>0.02</v>
      </c>
    </row>
    <row r="66" spans="1:17">
      <c r="A66" s="117" t="s">
        <v>262</v>
      </c>
      <c r="B66" s="116"/>
      <c r="C66" s="112" t="s">
        <v>151</v>
      </c>
      <c r="D66" s="112" t="s">
        <v>151</v>
      </c>
      <c r="E66" s="112" t="s">
        <v>151</v>
      </c>
      <c r="F66" s="112" t="s">
        <v>151</v>
      </c>
      <c r="G66" s="112" t="s">
        <v>151</v>
      </c>
      <c r="H66" s="112" t="s">
        <v>151</v>
      </c>
      <c r="I66" s="112" t="s">
        <v>151</v>
      </c>
      <c r="J66" s="112" t="s">
        <v>151</v>
      </c>
      <c r="K66" s="112" t="s">
        <v>151</v>
      </c>
      <c r="L66" s="112" t="s">
        <v>151</v>
      </c>
      <c r="M66" s="112">
        <v>3.990399E-2</v>
      </c>
      <c r="N66" s="112" t="s">
        <v>151</v>
      </c>
      <c r="O66" s="112" t="s">
        <v>151</v>
      </c>
      <c r="P66" s="112" t="s">
        <v>151</v>
      </c>
      <c r="Q66" s="112" t="s">
        <v>151</v>
      </c>
    </row>
    <row r="67" spans="1:17">
      <c r="A67" s="117" t="s">
        <v>208</v>
      </c>
      <c r="B67" s="116"/>
      <c r="C67" s="112" t="s">
        <v>151</v>
      </c>
      <c r="D67" s="112" t="s">
        <v>151</v>
      </c>
      <c r="E67" s="112" t="s">
        <v>151</v>
      </c>
      <c r="F67" s="112" t="s">
        <v>151</v>
      </c>
      <c r="G67" s="112" t="s">
        <v>151</v>
      </c>
      <c r="H67" s="112" t="s">
        <v>151</v>
      </c>
      <c r="I67" s="112">
        <v>0.81384500000000004</v>
      </c>
      <c r="J67" s="112" t="s">
        <v>151</v>
      </c>
      <c r="K67" s="112" t="s">
        <v>151</v>
      </c>
      <c r="L67" s="112">
        <v>11.369615400000001</v>
      </c>
      <c r="M67" s="112">
        <v>11.41191272</v>
      </c>
      <c r="N67" s="112">
        <v>1.594716</v>
      </c>
      <c r="O67" s="112">
        <v>0.95</v>
      </c>
      <c r="P67" s="112">
        <v>0.95</v>
      </c>
      <c r="Q67" s="112">
        <v>0.75</v>
      </c>
    </row>
    <row r="68" spans="1:17">
      <c r="A68" s="117" t="s">
        <v>196</v>
      </c>
      <c r="B68" s="116"/>
      <c r="C68" s="112" t="s">
        <v>151</v>
      </c>
      <c r="D68" s="112" t="s">
        <v>151</v>
      </c>
      <c r="E68" s="112" t="s">
        <v>151</v>
      </c>
      <c r="F68" s="112" t="s">
        <v>151</v>
      </c>
      <c r="G68" s="112" t="s">
        <v>151</v>
      </c>
      <c r="H68" s="112">
        <v>0.58679199999999998</v>
      </c>
      <c r="I68" s="112">
        <v>3.7572800000000002</v>
      </c>
      <c r="J68" s="112">
        <v>3.0452080000000001</v>
      </c>
      <c r="K68" s="112">
        <v>5.4525810000000003</v>
      </c>
      <c r="L68" s="112">
        <v>4.5204329499999973</v>
      </c>
      <c r="M68" s="112">
        <v>3.5900252299999997</v>
      </c>
      <c r="N68" s="112">
        <v>1.6650246099999999</v>
      </c>
      <c r="O68" s="112">
        <v>1.4</v>
      </c>
      <c r="P68" s="112">
        <v>1.65</v>
      </c>
      <c r="Q68" s="112">
        <v>1.8</v>
      </c>
    </row>
    <row r="69" spans="1:17">
      <c r="A69" s="117" t="s">
        <v>257</v>
      </c>
      <c r="B69" s="116"/>
      <c r="C69" s="112" t="s">
        <v>151</v>
      </c>
      <c r="D69" s="112" t="s">
        <v>151</v>
      </c>
      <c r="E69" s="112" t="s">
        <v>151</v>
      </c>
      <c r="F69" s="112" t="s">
        <v>151</v>
      </c>
      <c r="G69" s="112" t="s">
        <v>151</v>
      </c>
      <c r="H69" s="112" t="s">
        <v>151</v>
      </c>
      <c r="I69" s="112" t="s">
        <v>151</v>
      </c>
      <c r="J69" s="112" t="s">
        <v>151</v>
      </c>
      <c r="K69" s="112" t="s">
        <v>151</v>
      </c>
      <c r="L69" s="112" t="s">
        <v>151</v>
      </c>
      <c r="M69" s="112" t="s">
        <v>151</v>
      </c>
      <c r="N69" s="112">
        <v>1.6090393700000001</v>
      </c>
      <c r="O69" s="112">
        <v>1</v>
      </c>
      <c r="P69" s="112">
        <v>1</v>
      </c>
      <c r="Q69" s="112">
        <v>1</v>
      </c>
    </row>
    <row r="70" spans="1:17">
      <c r="A70" s="117" t="s">
        <v>193</v>
      </c>
      <c r="B70" s="116"/>
      <c r="C70" s="112" t="s">
        <v>151</v>
      </c>
      <c r="D70" s="112" t="s">
        <v>151</v>
      </c>
      <c r="E70" s="112" t="s">
        <v>151</v>
      </c>
      <c r="F70" s="112" t="s">
        <v>151</v>
      </c>
      <c r="G70" s="112" t="s">
        <v>151</v>
      </c>
      <c r="H70" s="112">
        <v>1.43</v>
      </c>
      <c r="I70" s="112">
        <v>14.442686999999999</v>
      </c>
      <c r="J70" s="112">
        <v>8.0710139999999999</v>
      </c>
      <c r="K70" s="112">
        <v>11.105262</v>
      </c>
      <c r="L70" s="112">
        <v>12.81039438</v>
      </c>
      <c r="M70" s="112">
        <v>0.80274793999999994</v>
      </c>
      <c r="N70" s="112">
        <v>5.1159509000000005</v>
      </c>
      <c r="O70" s="112">
        <v>2.0499999999999998</v>
      </c>
      <c r="P70" s="112">
        <v>3.05</v>
      </c>
      <c r="Q70" s="112">
        <v>3.05</v>
      </c>
    </row>
    <row r="71" spans="1:17">
      <c r="A71" s="117" t="s">
        <v>258</v>
      </c>
      <c r="B71" s="116"/>
      <c r="C71" s="112" t="s">
        <v>151</v>
      </c>
      <c r="D71" s="112" t="s">
        <v>151</v>
      </c>
      <c r="E71" s="112" t="s">
        <v>151</v>
      </c>
      <c r="F71" s="112" t="s">
        <v>151</v>
      </c>
      <c r="G71" s="112" t="s">
        <v>151</v>
      </c>
      <c r="H71" s="112" t="s">
        <v>151</v>
      </c>
      <c r="I71" s="112" t="s">
        <v>151</v>
      </c>
      <c r="J71" s="112" t="s">
        <v>151</v>
      </c>
      <c r="K71" s="112" t="s">
        <v>151</v>
      </c>
      <c r="L71" s="112" t="s">
        <v>151</v>
      </c>
      <c r="M71" s="112" t="s">
        <v>151</v>
      </c>
      <c r="N71" s="112" t="s">
        <v>151</v>
      </c>
      <c r="O71" s="112">
        <v>0.21618299999999999</v>
      </c>
      <c r="P71" s="112">
        <v>0.21618299999999999</v>
      </c>
      <c r="Q71" s="112">
        <v>0.21618299999999999</v>
      </c>
    </row>
    <row r="72" spans="1:17">
      <c r="A72" s="117" t="s">
        <v>214</v>
      </c>
      <c r="B72" s="116"/>
      <c r="C72" s="112" t="s">
        <v>151</v>
      </c>
      <c r="D72" s="112" t="s">
        <v>151</v>
      </c>
      <c r="E72" s="112" t="s">
        <v>151</v>
      </c>
      <c r="F72" s="112" t="s">
        <v>151</v>
      </c>
      <c r="G72" s="112" t="s">
        <v>151</v>
      </c>
      <c r="H72" s="112" t="s">
        <v>151</v>
      </c>
      <c r="I72" s="112" t="s">
        <v>151</v>
      </c>
      <c r="J72" s="112" t="s">
        <v>151</v>
      </c>
      <c r="K72" s="112" t="s">
        <v>151</v>
      </c>
      <c r="L72" s="112" t="s">
        <v>151</v>
      </c>
      <c r="M72" s="112" t="s">
        <v>151</v>
      </c>
      <c r="N72" s="112" t="s">
        <v>151</v>
      </c>
      <c r="O72" s="112" t="s">
        <v>151</v>
      </c>
      <c r="P72" s="112" t="s">
        <v>151</v>
      </c>
      <c r="Q72" s="112" t="s">
        <v>151</v>
      </c>
    </row>
    <row r="73" spans="1:17">
      <c r="A73" s="117" t="s">
        <v>217</v>
      </c>
      <c r="B73" s="116"/>
      <c r="C73" s="112" t="s">
        <v>151</v>
      </c>
      <c r="D73" s="112" t="s">
        <v>151</v>
      </c>
      <c r="E73" s="112" t="s">
        <v>151</v>
      </c>
      <c r="F73" s="112" t="s">
        <v>151</v>
      </c>
      <c r="G73" s="112" t="s">
        <v>151</v>
      </c>
      <c r="H73" s="112" t="s">
        <v>151</v>
      </c>
      <c r="I73" s="112" t="s">
        <v>151</v>
      </c>
      <c r="J73" s="112" t="s">
        <v>151</v>
      </c>
      <c r="K73" s="112">
        <v>2.3332000000000002</v>
      </c>
      <c r="L73" s="112" t="s">
        <v>151</v>
      </c>
      <c r="M73" s="112" t="s">
        <v>151</v>
      </c>
      <c r="N73" s="112" t="s">
        <v>151</v>
      </c>
      <c r="O73" s="112" t="s">
        <v>151</v>
      </c>
      <c r="P73" s="112" t="s">
        <v>151</v>
      </c>
      <c r="Q73" s="112" t="s">
        <v>151</v>
      </c>
    </row>
    <row r="74" spans="1:17">
      <c r="A74" s="117" t="s">
        <v>204</v>
      </c>
      <c r="B74" s="116"/>
      <c r="C74" s="112">
        <v>746.8</v>
      </c>
      <c r="D74" s="112">
        <v>840.2</v>
      </c>
      <c r="E74" s="112" t="s">
        <v>151</v>
      </c>
      <c r="F74" s="112" t="s">
        <v>151</v>
      </c>
      <c r="G74" s="112" t="s">
        <v>151</v>
      </c>
      <c r="H74" s="112" t="s">
        <v>151</v>
      </c>
      <c r="I74" s="112" t="s">
        <v>151</v>
      </c>
      <c r="J74" s="112" t="s">
        <v>151</v>
      </c>
      <c r="K74" s="112" t="s">
        <v>151</v>
      </c>
      <c r="L74" s="112" t="s">
        <v>151</v>
      </c>
      <c r="M74" s="112" t="s">
        <v>151</v>
      </c>
      <c r="N74" s="112" t="s">
        <v>151</v>
      </c>
      <c r="O74" s="112" t="s">
        <v>151</v>
      </c>
      <c r="P74" s="112" t="s">
        <v>151</v>
      </c>
      <c r="Q74" s="112" t="s">
        <v>151</v>
      </c>
    </row>
    <row r="75" spans="1:17">
      <c r="A75" s="117" t="s">
        <v>185</v>
      </c>
      <c r="B75" s="116"/>
      <c r="C75" s="112">
        <v>16.399999999999999</v>
      </c>
      <c r="D75" s="112">
        <v>8.6</v>
      </c>
      <c r="E75" s="112">
        <v>9.2094889999999996</v>
      </c>
      <c r="F75" s="112">
        <v>9.4867480000000004</v>
      </c>
      <c r="G75" s="112">
        <v>1.6576500000000001</v>
      </c>
      <c r="H75" s="112">
        <v>7.9368569999999998</v>
      </c>
      <c r="I75" s="112">
        <v>6.5018419999999999</v>
      </c>
      <c r="J75" s="112">
        <v>17.467737</v>
      </c>
      <c r="K75" s="112">
        <v>1.560921</v>
      </c>
      <c r="L75" s="112">
        <v>8.3220669699999998</v>
      </c>
      <c r="M75" s="112">
        <v>4.6742312500000001</v>
      </c>
      <c r="N75" s="112">
        <v>2.99853484</v>
      </c>
      <c r="O75" s="112">
        <v>3.01</v>
      </c>
      <c r="P75" s="112">
        <v>3.16</v>
      </c>
      <c r="Q75" s="112">
        <v>3.26</v>
      </c>
    </row>
    <row r="76" spans="1:17">
      <c r="A76" s="117" t="s">
        <v>194</v>
      </c>
      <c r="B76" s="116"/>
      <c r="C76" s="112" t="s">
        <v>151</v>
      </c>
      <c r="D76" s="112" t="s">
        <v>151</v>
      </c>
      <c r="E76" s="112" t="s">
        <v>151</v>
      </c>
      <c r="F76" s="112" t="s">
        <v>151</v>
      </c>
      <c r="G76" s="112" t="s">
        <v>151</v>
      </c>
      <c r="H76" s="112">
        <v>1.4559519999999999</v>
      </c>
      <c r="I76" s="112">
        <v>0.45156099999999999</v>
      </c>
      <c r="J76" s="112" t="s">
        <v>151</v>
      </c>
      <c r="K76" s="112" t="s">
        <v>151</v>
      </c>
      <c r="L76" s="112">
        <v>6.0000000000000001E-3</v>
      </c>
      <c r="M76" s="112" t="s">
        <v>151</v>
      </c>
      <c r="N76" s="112" t="s">
        <v>151</v>
      </c>
      <c r="O76" s="112" t="s">
        <v>151</v>
      </c>
      <c r="P76" s="112" t="s">
        <v>151</v>
      </c>
      <c r="Q76" s="112" t="s">
        <v>151</v>
      </c>
    </row>
    <row r="77" spans="1:17">
      <c r="A77" s="117" t="s">
        <v>195</v>
      </c>
      <c r="B77" s="116"/>
      <c r="C77" s="112" t="s">
        <v>151</v>
      </c>
      <c r="D77" s="112" t="s">
        <v>151</v>
      </c>
      <c r="E77" s="112" t="s">
        <v>151</v>
      </c>
      <c r="F77" s="112" t="s">
        <v>151</v>
      </c>
      <c r="G77" s="112" t="s">
        <v>151</v>
      </c>
      <c r="H77" s="112">
        <v>4.2015000000000002</v>
      </c>
      <c r="I77" s="112" t="s">
        <v>151</v>
      </c>
      <c r="J77" s="112" t="s">
        <v>151</v>
      </c>
      <c r="K77" s="112" t="s">
        <v>151</v>
      </c>
      <c r="L77" s="112">
        <v>0</v>
      </c>
      <c r="M77" s="112" t="s">
        <v>151</v>
      </c>
      <c r="N77" s="112" t="s">
        <v>151</v>
      </c>
      <c r="O77" s="112" t="s">
        <v>151</v>
      </c>
      <c r="P77" s="112" t="s">
        <v>151</v>
      </c>
      <c r="Q77" s="112" t="s">
        <v>151</v>
      </c>
    </row>
    <row r="78" spans="1:17">
      <c r="A78" s="117" t="s">
        <v>187</v>
      </c>
      <c r="B78" s="116"/>
      <c r="C78" s="112">
        <v>0.6</v>
      </c>
      <c r="D78" s="112">
        <v>0.8</v>
      </c>
      <c r="E78" s="112">
        <v>7.8654000000000002E-2</v>
      </c>
      <c r="F78" s="112" t="s">
        <v>151</v>
      </c>
      <c r="G78" s="112" t="s">
        <v>151</v>
      </c>
      <c r="H78" s="112">
        <v>0.28139999999999998</v>
      </c>
      <c r="I78" s="112">
        <v>0.45473999999999998</v>
      </c>
      <c r="J78" s="112">
        <v>0.82618800000000003</v>
      </c>
      <c r="K78" s="112">
        <v>0.16594400000000001</v>
      </c>
      <c r="L78" s="112">
        <v>0.19795784</v>
      </c>
      <c r="M78" s="112">
        <v>0.36815999999999999</v>
      </c>
      <c r="N78" s="112">
        <v>0.2</v>
      </c>
      <c r="O78" s="112">
        <v>0.25</v>
      </c>
      <c r="P78" s="112">
        <v>0.25</v>
      </c>
      <c r="Q78" s="112">
        <v>0.25</v>
      </c>
    </row>
    <row r="79" spans="1:17">
      <c r="A79" s="117" t="s">
        <v>188</v>
      </c>
      <c r="B79" s="116"/>
      <c r="C79" s="112">
        <v>17.399999999999999</v>
      </c>
      <c r="D79" s="112">
        <v>22.8</v>
      </c>
      <c r="E79" s="112">
        <v>14.651209</v>
      </c>
      <c r="F79" s="112">
        <v>15.053713</v>
      </c>
      <c r="G79" s="112" t="s">
        <v>151</v>
      </c>
      <c r="H79" s="112">
        <v>1.9375549999999999</v>
      </c>
      <c r="I79" s="112">
        <v>8.4033289999999994</v>
      </c>
      <c r="J79" s="112">
        <v>4.3554250000000003</v>
      </c>
      <c r="K79" s="112">
        <v>7.4675710000000004</v>
      </c>
      <c r="L79" s="112">
        <v>9.5568759999999884</v>
      </c>
      <c r="M79" s="112">
        <v>9.4658987800000016</v>
      </c>
      <c r="N79" s="112">
        <v>8.5356815000000008</v>
      </c>
      <c r="O79" s="112">
        <v>8.5520219999999991</v>
      </c>
      <c r="P79" s="112">
        <v>8.5720220000000005</v>
      </c>
      <c r="Q79" s="112">
        <v>8.6220219999999994</v>
      </c>
    </row>
    <row r="80" spans="1:17">
      <c r="A80" s="117" t="s">
        <v>233</v>
      </c>
      <c r="B80" s="116"/>
      <c r="C80" s="112" t="s">
        <v>151</v>
      </c>
      <c r="D80" s="112" t="s">
        <v>151</v>
      </c>
      <c r="E80" s="112" t="s">
        <v>151</v>
      </c>
      <c r="F80" s="112" t="s">
        <v>151</v>
      </c>
      <c r="G80" s="112" t="s">
        <v>151</v>
      </c>
      <c r="H80" s="112" t="s">
        <v>151</v>
      </c>
      <c r="I80" s="112" t="s">
        <v>151</v>
      </c>
      <c r="J80" s="112" t="s">
        <v>151</v>
      </c>
      <c r="K80" s="112" t="s">
        <v>151</v>
      </c>
      <c r="L80" s="112" t="s">
        <v>151</v>
      </c>
      <c r="M80" s="112">
        <v>7.0119940000000006E-2</v>
      </c>
      <c r="N80" s="112">
        <v>0.42237059999999899</v>
      </c>
      <c r="O80" s="112">
        <v>0.05</v>
      </c>
      <c r="P80" s="112">
        <v>5.5E-2</v>
      </c>
      <c r="Q80" s="112">
        <v>0.06</v>
      </c>
    </row>
    <row r="81" spans="1:17">
      <c r="A81" s="117" t="s">
        <v>189</v>
      </c>
      <c r="B81" s="116"/>
      <c r="C81" s="112">
        <v>1.1000000000000001</v>
      </c>
      <c r="D81" s="112">
        <v>3</v>
      </c>
      <c r="E81" s="112">
        <v>2.5137339999999999</v>
      </c>
      <c r="F81" s="112" t="s">
        <v>151</v>
      </c>
      <c r="G81" s="112" t="s">
        <v>151</v>
      </c>
      <c r="H81" s="112">
        <v>0.11744300000000001</v>
      </c>
      <c r="I81" s="112">
        <v>1.4242049999999999</v>
      </c>
      <c r="J81" s="112">
        <v>0.57494100000000004</v>
      </c>
      <c r="K81" s="112">
        <v>1.830633</v>
      </c>
      <c r="L81" s="112">
        <v>0.661158569999999</v>
      </c>
      <c r="M81" s="112">
        <v>0.48917122999999996</v>
      </c>
      <c r="N81" s="112" t="s">
        <v>151</v>
      </c>
      <c r="O81" s="112" t="s">
        <v>151</v>
      </c>
      <c r="P81" s="112" t="s">
        <v>151</v>
      </c>
      <c r="Q81" s="112" t="s">
        <v>151</v>
      </c>
    </row>
    <row r="82" spans="1:17">
      <c r="A82" s="117" t="s">
        <v>198</v>
      </c>
      <c r="B82" s="116"/>
      <c r="C82" s="112" t="s">
        <v>151</v>
      </c>
      <c r="D82" s="112" t="s">
        <v>151</v>
      </c>
      <c r="E82" s="112" t="s">
        <v>151</v>
      </c>
      <c r="F82" s="112" t="s">
        <v>151</v>
      </c>
      <c r="G82" s="112" t="s">
        <v>151</v>
      </c>
      <c r="H82" s="112">
        <v>0.12449300000000001</v>
      </c>
      <c r="I82" s="112">
        <v>0</v>
      </c>
      <c r="J82" s="112" t="s">
        <v>151</v>
      </c>
      <c r="K82" s="112" t="s">
        <v>151</v>
      </c>
      <c r="L82" s="112" t="s">
        <v>151</v>
      </c>
      <c r="M82" s="112" t="s">
        <v>151</v>
      </c>
      <c r="N82" s="112" t="s">
        <v>151</v>
      </c>
      <c r="O82" s="112" t="s">
        <v>151</v>
      </c>
      <c r="P82" s="112" t="s">
        <v>151</v>
      </c>
      <c r="Q82" s="112" t="s">
        <v>151</v>
      </c>
    </row>
    <row r="83" spans="1:17">
      <c r="A83" s="117" t="s">
        <v>201</v>
      </c>
      <c r="B83" s="116"/>
      <c r="C83" s="112">
        <v>0.9</v>
      </c>
      <c r="D83" s="112">
        <v>0.6</v>
      </c>
      <c r="E83" s="112">
        <v>0.75402599999999997</v>
      </c>
      <c r="F83" s="112">
        <v>0.67631300000000005</v>
      </c>
      <c r="G83" s="112" t="s">
        <v>151</v>
      </c>
      <c r="H83" s="112" t="s">
        <v>151</v>
      </c>
      <c r="I83" s="112">
        <v>0.8</v>
      </c>
      <c r="J83" s="112">
        <v>2.9046539999999998</v>
      </c>
      <c r="K83" s="112">
        <v>4.957039</v>
      </c>
      <c r="L83" s="112">
        <v>9.3867893999999996</v>
      </c>
      <c r="M83" s="112">
        <v>3.7766528300000002</v>
      </c>
      <c r="N83" s="112">
        <v>14.62927408</v>
      </c>
      <c r="O83" s="112">
        <v>3</v>
      </c>
      <c r="P83" s="112">
        <v>3</v>
      </c>
      <c r="Q83" s="112">
        <v>3</v>
      </c>
    </row>
    <row r="84" spans="1:17">
      <c r="A84" s="117" t="s">
        <v>259</v>
      </c>
      <c r="B84" s="116"/>
      <c r="C84" s="112" t="s">
        <v>151</v>
      </c>
      <c r="D84" s="112" t="s">
        <v>151</v>
      </c>
      <c r="E84" s="112" t="s">
        <v>151</v>
      </c>
      <c r="F84" s="112" t="s">
        <v>151</v>
      </c>
      <c r="G84" s="112" t="s">
        <v>151</v>
      </c>
      <c r="H84" s="112" t="s">
        <v>151</v>
      </c>
      <c r="I84" s="112" t="s">
        <v>151</v>
      </c>
      <c r="J84" s="112" t="s">
        <v>151</v>
      </c>
      <c r="K84" s="112" t="s">
        <v>151</v>
      </c>
      <c r="L84" s="112" t="s">
        <v>151</v>
      </c>
      <c r="M84" s="112" t="s">
        <v>151</v>
      </c>
      <c r="N84" s="112">
        <v>0.25042291</v>
      </c>
      <c r="O84" s="112">
        <v>0.1</v>
      </c>
      <c r="P84" s="112">
        <v>0.1</v>
      </c>
      <c r="Q84" s="112">
        <v>0.1</v>
      </c>
    </row>
    <row r="85" spans="1:17">
      <c r="A85" s="117" t="s">
        <v>206</v>
      </c>
      <c r="B85" s="116"/>
      <c r="C85" s="112" t="s">
        <v>151</v>
      </c>
      <c r="D85" s="112" t="s">
        <v>151</v>
      </c>
      <c r="E85" s="112" t="s">
        <v>151</v>
      </c>
      <c r="F85" s="112" t="s">
        <v>151</v>
      </c>
      <c r="G85" s="112" t="s">
        <v>151</v>
      </c>
      <c r="H85" s="112" t="s">
        <v>151</v>
      </c>
      <c r="I85" s="112">
        <v>1.6884999999999999</v>
      </c>
      <c r="J85" s="112" t="s">
        <v>151</v>
      </c>
      <c r="K85" s="112" t="s">
        <v>151</v>
      </c>
      <c r="L85" s="112" t="s">
        <v>151</v>
      </c>
      <c r="M85" s="112" t="s">
        <v>151</v>
      </c>
      <c r="N85" s="112">
        <v>0.64410623999999894</v>
      </c>
      <c r="O85" s="112" t="s">
        <v>151</v>
      </c>
      <c r="P85" s="112" t="s">
        <v>151</v>
      </c>
      <c r="Q85" s="112" t="s">
        <v>151</v>
      </c>
    </row>
    <row r="86" spans="1:17">
      <c r="A86" s="117" t="s">
        <v>207</v>
      </c>
      <c r="B86" s="116"/>
      <c r="C86" s="112" t="s">
        <v>151</v>
      </c>
      <c r="D86" s="112" t="s">
        <v>151</v>
      </c>
      <c r="E86" s="112" t="s">
        <v>151</v>
      </c>
      <c r="F86" s="112" t="s">
        <v>151</v>
      </c>
      <c r="G86" s="112" t="s">
        <v>151</v>
      </c>
      <c r="H86" s="112" t="s">
        <v>151</v>
      </c>
      <c r="I86" s="112">
        <v>0.35026499999999999</v>
      </c>
      <c r="J86" s="112">
        <v>1.53</v>
      </c>
      <c r="K86" s="112">
        <v>0.76749999999999996</v>
      </c>
      <c r="L86" s="112">
        <v>0.61439999999999995</v>
      </c>
      <c r="M86" s="112" t="s">
        <v>151</v>
      </c>
      <c r="N86" s="112">
        <v>0.25387700000000002</v>
      </c>
      <c r="O86" s="112" t="s">
        <v>151</v>
      </c>
      <c r="P86" s="112" t="s">
        <v>151</v>
      </c>
      <c r="Q86" s="112" t="s">
        <v>151</v>
      </c>
    </row>
    <row r="87" spans="1:17">
      <c r="A87" s="117" t="s">
        <v>209</v>
      </c>
      <c r="B87" s="116"/>
      <c r="C87" s="112" t="s">
        <v>151</v>
      </c>
      <c r="D87" s="112" t="s">
        <v>151</v>
      </c>
      <c r="E87" s="112" t="s">
        <v>151</v>
      </c>
      <c r="F87" s="112" t="s">
        <v>151</v>
      </c>
      <c r="G87" s="112" t="s">
        <v>151</v>
      </c>
      <c r="H87" s="112" t="s">
        <v>151</v>
      </c>
      <c r="I87" s="112">
        <v>0.36792000000000002</v>
      </c>
      <c r="J87" s="112">
        <v>0.36696000000000001</v>
      </c>
      <c r="K87" s="112">
        <v>0.36792000000000002</v>
      </c>
      <c r="L87" s="112">
        <v>0.18336</v>
      </c>
      <c r="M87" s="112" t="s">
        <v>151</v>
      </c>
      <c r="N87" s="112" t="s">
        <v>151</v>
      </c>
      <c r="O87" s="112" t="s">
        <v>151</v>
      </c>
      <c r="P87" s="112" t="s">
        <v>151</v>
      </c>
      <c r="Q87" s="112" t="s">
        <v>151</v>
      </c>
    </row>
    <row r="88" spans="1:17">
      <c r="A88" s="117" t="s">
        <v>218</v>
      </c>
      <c r="B88" s="116"/>
      <c r="C88" s="112" t="s">
        <v>151</v>
      </c>
      <c r="D88" s="112" t="s">
        <v>151</v>
      </c>
      <c r="E88" s="112" t="s">
        <v>151</v>
      </c>
      <c r="F88" s="112" t="s">
        <v>151</v>
      </c>
      <c r="G88" s="112" t="s">
        <v>151</v>
      </c>
      <c r="H88" s="112" t="s">
        <v>151</v>
      </c>
      <c r="I88" s="112" t="s">
        <v>151</v>
      </c>
      <c r="J88" s="112">
        <v>2.2995000000000001</v>
      </c>
      <c r="K88" s="112">
        <v>4.068816</v>
      </c>
      <c r="L88" s="112">
        <v>7.0111398200000004</v>
      </c>
      <c r="M88" s="112">
        <v>12.110216700000001</v>
      </c>
      <c r="N88" s="112">
        <v>6.4353379278</v>
      </c>
      <c r="O88" s="112">
        <v>2.6004139999999998</v>
      </c>
      <c r="P88" s="112" t="s">
        <v>151</v>
      </c>
      <c r="Q88" s="112" t="s">
        <v>151</v>
      </c>
    </row>
    <row r="89" spans="1:17">
      <c r="A89" s="117" t="s">
        <v>221</v>
      </c>
      <c r="B89" s="116"/>
      <c r="C89" s="112" t="s">
        <v>151</v>
      </c>
      <c r="D89" s="112" t="s">
        <v>151</v>
      </c>
      <c r="E89" s="112" t="s">
        <v>151</v>
      </c>
      <c r="F89" s="112" t="s">
        <v>151</v>
      </c>
      <c r="G89" s="112" t="s">
        <v>151</v>
      </c>
      <c r="H89" s="112" t="s">
        <v>151</v>
      </c>
      <c r="I89" s="112" t="s">
        <v>151</v>
      </c>
      <c r="J89" s="112" t="s">
        <v>151</v>
      </c>
      <c r="K89" s="112">
        <v>1.6536</v>
      </c>
      <c r="L89" s="112">
        <v>5.7398492300000008</v>
      </c>
      <c r="M89" s="112" t="s">
        <v>151</v>
      </c>
      <c r="N89" s="112" t="s">
        <v>151</v>
      </c>
      <c r="O89" s="112" t="s">
        <v>151</v>
      </c>
      <c r="P89" s="112" t="s">
        <v>151</v>
      </c>
      <c r="Q89" s="112" t="s">
        <v>151</v>
      </c>
    </row>
    <row r="90" spans="1:17">
      <c r="A90" s="117" t="s">
        <v>190</v>
      </c>
      <c r="B90" s="116"/>
      <c r="C90" s="112">
        <v>0.1</v>
      </c>
      <c r="D90" s="112" t="s">
        <v>151</v>
      </c>
      <c r="E90" s="112" t="s">
        <v>151</v>
      </c>
      <c r="F90" s="112">
        <v>0.13859199999999999</v>
      </c>
      <c r="G90" s="112" t="s">
        <v>151</v>
      </c>
      <c r="H90" s="112">
        <v>0</v>
      </c>
      <c r="I90" s="112">
        <v>68.830670279999993</v>
      </c>
      <c r="J90" s="112">
        <v>20.898446</v>
      </c>
      <c r="K90" s="112">
        <v>34.654837000000001</v>
      </c>
      <c r="L90" s="112">
        <v>108.24549671000001</v>
      </c>
      <c r="M90" s="112">
        <v>92.159310439999999</v>
      </c>
      <c r="N90" s="112">
        <v>271.48739414209996</v>
      </c>
      <c r="O90" s="112">
        <v>192.685137</v>
      </c>
      <c r="P90" s="112">
        <v>155.68031300000001</v>
      </c>
      <c r="Q90" s="112">
        <v>150.76351700000001</v>
      </c>
    </row>
    <row r="91" spans="1:17">
      <c r="A91" s="117" t="s">
        <v>260</v>
      </c>
      <c r="B91" s="116"/>
      <c r="C91" s="112" t="s">
        <v>151</v>
      </c>
      <c r="D91" s="112" t="s">
        <v>151</v>
      </c>
      <c r="E91" s="112" t="s">
        <v>151</v>
      </c>
      <c r="F91" s="112" t="s">
        <v>151</v>
      </c>
      <c r="G91" s="112" t="s">
        <v>151</v>
      </c>
      <c r="H91" s="112" t="s">
        <v>151</v>
      </c>
      <c r="I91" s="112" t="s">
        <v>151</v>
      </c>
      <c r="J91" s="112" t="s">
        <v>151</v>
      </c>
      <c r="K91" s="112" t="s">
        <v>151</v>
      </c>
      <c r="L91" s="112" t="s">
        <v>151</v>
      </c>
      <c r="M91" s="112">
        <v>2.31478E-2</v>
      </c>
      <c r="N91" s="112" t="s">
        <v>151</v>
      </c>
      <c r="O91" s="112" t="s">
        <v>151</v>
      </c>
      <c r="P91" s="112" t="s">
        <v>151</v>
      </c>
      <c r="Q91" s="112" t="s">
        <v>151</v>
      </c>
    </row>
    <row r="92" spans="1:17">
      <c r="A92" s="117" t="s">
        <v>186</v>
      </c>
      <c r="B92" s="116"/>
      <c r="C92" s="112">
        <v>8.1</v>
      </c>
      <c r="D92" s="112">
        <v>6.5</v>
      </c>
      <c r="E92" s="112">
        <v>4.439038</v>
      </c>
      <c r="F92" s="112">
        <v>4.5109589999999997</v>
      </c>
      <c r="G92" s="112" t="s">
        <v>151</v>
      </c>
      <c r="H92" s="112">
        <v>5.0552919999999997</v>
      </c>
      <c r="I92" s="112">
        <v>3.6765569999999999</v>
      </c>
      <c r="J92" s="112">
        <v>1.3785970000000001</v>
      </c>
      <c r="K92" s="112">
        <v>3.4072879999999999</v>
      </c>
      <c r="L92" s="112">
        <v>1.302122169999999</v>
      </c>
      <c r="M92" s="112">
        <v>3.7871748900000002</v>
      </c>
      <c r="N92" s="112">
        <v>2.550379</v>
      </c>
      <c r="O92" s="112">
        <v>2.5499999999999998</v>
      </c>
      <c r="P92" s="112">
        <v>2.8</v>
      </c>
      <c r="Q92" s="112">
        <v>3.05</v>
      </c>
    </row>
    <row r="93" spans="1:17">
      <c r="A93" s="118" t="s">
        <v>223</v>
      </c>
      <c r="B93" s="119" t="s">
        <v>222</v>
      </c>
      <c r="C93" s="120">
        <v>8.4</v>
      </c>
      <c r="D93" s="120">
        <v>10.9</v>
      </c>
      <c r="E93" s="120">
        <v>263.48886399999998</v>
      </c>
      <c r="F93" s="120">
        <v>268.96490240000003</v>
      </c>
      <c r="G93" s="120">
        <v>2.2076169999999999</v>
      </c>
      <c r="H93" s="120" t="s">
        <v>151</v>
      </c>
      <c r="I93" s="120" t="s">
        <v>151</v>
      </c>
      <c r="J93" s="120" t="s">
        <v>151</v>
      </c>
      <c r="K93" s="120">
        <v>1.1705E-2</v>
      </c>
      <c r="L93" s="120">
        <v>8.2856162099999899</v>
      </c>
      <c r="M93" s="120">
        <v>19.405660560000001</v>
      </c>
      <c r="N93" s="120">
        <v>13.430271010000002</v>
      </c>
      <c r="O93" s="120">
        <v>7.9</v>
      </c>
      <c r="P93" s="120">
        <v>7.9</v>
      </c>
      <c r="Q93" s="120">
        <v>7.9</v>
      </c>
    </row>
    <row r="94" spans="1:17" ht="17.25">
      <c r="A94" s="259" t="s">
        <v>263</v>
      </c>
      <c r="B94" s="33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260" t="s">
        <v>265</v>
      </c>
    </row>
    <row r="95" spans="1:17">
      <c r="A95" s="102" t="s">
        <v>152</v>
      </c>
      <c r="B95" s="121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30" t="s">
        <v>14</v>
      </c>
    </row>
    <row r="96" spans="1:17"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</row>
    <row r="97" spans="3:17"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</row>
    <row r="98" spans="3:17"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</row>
    <row r="99" spans="3:17"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</row>
    <row r="100" spans="3:17"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</row>
    <row r="101" spans="3:17"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</row>
    <row r="102" spans="3:17"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</row>
    <row r="103" spans="3:17"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</row>
    <row r="104" spans="3:17"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</row>
    <row r="105" spans="3:17"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</row>
    <row r="106" spans="3:17"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</row>
    <row r="107" spans="3:17"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</row>
    <row r="108" spans="3:17"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</row>
    <row r="109" spans="3:17"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</row>
    <row r="110" spans="3:17"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</row>
    <row r="111" spans="3:17"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</row>
    <row r="112" spans="3:17"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</row>
    <row r="113" spans="3:17"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</row>
    <row r="114" spans="3:17"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</row>
    <row r="115" spans="3:17"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</row>
    <row r="116" spans="3:17"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</row>
    <row r="117" spans="3:17"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</row>
    <row r="118" spans="3:17"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</row>
    <row r="119" spans="3:17"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</row>
    <row r="120" spans="3:17"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</row>
    <row r="121" spans="3:17"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</row>
    <row r="122" spans="3:17"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</row>
    <row r="123" spans="3:17"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</row>
    <row r="124" spans="3:17"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</row>
    <row r="125" spans="3:17"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</row>
    <row r="126" spans="3:17"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</row>
    <row r="127" spans="3:17"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</row>
    <row r="128" spans="3:17"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</row>
    <row r="129" spans="3:17"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</row>
    <row r="130" spans="3:17"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</row>
    <row r="131" spans="3:17"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</row>
    <row r="132" spans="3:17"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</row>
    <row r="133" spans="3:17"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</row>
    <row r="134" spans="3:17"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</row>
    <row r="135" spans="3:17"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</row>
    <row r="136" spans="3:17"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</row>
    <row r="137" spans="3:17"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</row>
    <row r="138" spans="3:17"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</row>
    <row r="139" spans="3:17"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</row>
    <row r="140" spans="3:17"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</row>
    <row r="141" spans="3:17"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</row>
    <row r="142" spans="3:17"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</row>
    <row r="143" spans="3:17"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</row>
    <row r="144" spans="3:17"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</row>
    <row r="145" spans="3:17"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</row>
    <row r="146" spans="3:17"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</row>
    <row r="147" spans="3:17"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</row>
    <row r="148" spans="3:17"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</row>
    <row r="149" spans="3:17"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</row>
    <row r="150" spans="3:17"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</row>
    <row r="151" spans="3:17"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</row>
    <row r="152" spans="3:17"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</row>
    <row r="153" spans="3:17"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</row>
    <row r="154" spans="3:17"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</row>
    <row r="155" spans="3:17"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</row>
    <row r="156" spans="3:17"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</row>
    <row r="157" spans="3:17"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</row>
    <row r="158" spans="3:17"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</row>
    <row r="159" spans="3:17"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</row>
    <row r="160" spans="3:17"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</row>
    <row r="161" spans="3:17"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</row>
    <row r="162" spans="3:17"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</row>
    <row r="163" spans="3:17"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</row>
    <row r="164" spans="3:17"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</row>
    <row r="165" spans="3:17"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</row>
    <row r="166" spans="3:17"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</row>
    <row r="167" spans="3:17"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</row>
    <row r="168" spans="3:17"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</row>
    <row r="169" spans="3:17"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</row>
    <row r="170" spans="3:17"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</row>
    <row r="171" spans="3:17"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</row>
    <row r="172" spans="3:17"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</row>
    <row r="173" spans="3:17"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</row>
    <row r="174" spans="3:17"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</row>
    <row r="175" spans="3:17"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</row>
    <row r="176" spans="3:17"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</row>
    <row r="177" spans="3:17"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</row>
    <row r="178" spans="3:17"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</row>
    <row r="179" spans="3:17"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</row>
  </sheetData>
  <mergeCells count="4">
    <mergeCell ref="A4:A5"/>
    <mergeCell ref="A2:Q2"/>
    <mergeCell ref="A1:Q1"/>
    <mergeCell ref="A3:Q3"/>
  </mergeCells>
  <pageMargins left="0.7" right="0.7" top="0.3" bottom="0.18" header="0.18" footer="0.17"/>
  <pageSetup paperSize="9" scale="78" orientation="landscape" horizontalDpi="4294967295" verticalDpi="4294967295" r:id="rId1"/>
  <rowBreaks count="2" manualBreakCount="2">
    <brk id="41" max="16383" man="1"/>
    <brk id="81" max="1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53"/>
  <sheetViews>
    <sheetView zoomScaleNormal="100" workbookViewId="0">
      <selection activeCell="K36" sqref="K36:O38"/>
    </sheetView>
  </sheetViews>
  <sheetFormatPr defaultColWidth="8.85546875" defaultRowHeight="12"/>
  <cols>
    <col min="1" max="1" width="15.7109375" style="2" customWidth="1"/>
    <col min="2" max="2" width="8" style="2" bestFit="1" customWidth="1"/>
    <col min="3" max="3" width="8" style="3" bestFit="1" customWidth="1"/>
    <col min="4" max="9" width="8" style="2" bestFit="1" customWidth="1"/>
    <col min="10" max="10" width="8.85546875" style="2"/>
    <col min="11" max="14" width="9.7109375" style="2" bestFit="1" customWidth="1"/>
    <col min="15" max="16384" width="8.85546875" style="2"/>
  </cols>
  <sheetData>
    <row r="1" spans="1:21">
      <c r="R1" s="300"/>
      <c r="S1" s="300"/>
      <c r="T1" s="300"/>
      <c r="U1" s="300"/>
    </row>
    <row r="3" spans="1:21">
      <c r="B3" s="301" t="s">
        <v>146</v>
      </c>
      <c r="C3" s="302"/>
      <c r="D3" s="302"/>
      <c r="E3" s="302"/>
      <c r="F3" s="302"/>
      <c r="G3" s="302"/>
      <c r="H3" s="4"/>
      <c r="I3" s="4"/>
      <c r="J3" s="4"/>
      <c r="K3" s="4"/>
      <c r="L3" s="4"/>
    </row>
    <row r="4" spans="1:21">
      <c r="B4" s="165">
        <v>2007</v>
      </c>
      <c r="C4" s="166">
        <v>2008</v>
      </c>
      <c r="D4" s="166">
        <v>2009</v>
      </c>
      <c r="E4" s="166">
        <v>2010</v>
      </c>
      <c r="F4" s="166">
        <v>2011</v>
      </c>
      <c r="G4" s="166">
        <v>2012</v>
      </c>
      <c r="H4" s="168">
        <v>2013</v>
      </c>
      <c r="I4" s="168">
        <v>2014</v>
      </c>
      <c r="J4" s="166">
        <v>2015</v>
      </c>
      <c r="K4" s="250" t="s">
        <v>237</v>
      </c>
      <c r="L4" s="250" t="s">
        <v>238</v>
      </c>
      <c r="M4" s="250" t="s">
        <v>239</v>
      </c>
      <c r="N4" s="250" t="s">
        <v>240</v>
      </c>
      <c r="O4" s="250" t="s">
        <v>251</v>
      </c>
    </row>
    <row r="5" spans="1:21">
      <c r="A5" s="7" t="s">
        <v>23</v>
      </c>
      <c r="B5" s="8">
        <f>'[1]13.7'!B10</f>
        <v>808.9</v>
      </c>
      <c r="C5" s="8">
        <f>'[1]13.7'!C10</f>
        <v>498.79999999999995</v>
      </c>
      <c r="D5" s="8">
        <f>'[1]13.7'!H10</f>
        <v>696.52141600000004</v>
      </c>
      <c r="E5" s="8">
        <f>'[1]13.7'!I10</f>
        <v>635.70163600000001</v>
      </c>
      <c r="F5" s="8">
        <f>'[1]13.7'!J10</f>
        <v>1285.636868</v>
      </c>
      <c r="G5" s="8">
        <f>'[1]13.7'!K10</f>
        <v>1139.8289990000001</v>
      </c>
      <c r="H5" s="8">
        <v>462.58586595999998</v>
      </c>
      <c r="I5" s="8">
        <v>679.01722999999993</v>
      </c>
      <c r="J5" s="8">
        <v>2079.0821064299998</v>
      </c>
      <c r="K5" s="251"/>
      <c r="L5" s="251"/>
      <c r="M5" s="251"/>
      <c r="N5" s="251"/>
      <c r="O5" s="251"/>
    </row>
    <row r="6" spans="1:21">
      <c r="A6" s="7" t="s">
        <v>35</v>
      </c>
      <c r="B6" s="8">
        <f>'[1]13.7'!B15</f>
        <v>626.5</v>
      </c>
      <c r="C6" s="8">
        <f>'[1]13.7'!C15</f>
        <v>1443.3</v>
      </c>
      <c r="D6" s="8">
        <f>'[1]13.7'!H15</f>
        <v>1087.278699</v>
      </c>
      <c r="E6" s="8">
        <f>'[1]13.7'!I15</f>
        <v>1816.638207</v>
      </c>
      <c r="F6" s="8">
        <f>'[1]13.7'!J15</f>
        <v>1383.244537</v>
      </c>
      <c r="G6" s="8">
        <f>'[1]13.7'!K15</f>
        <v>1081.7647489999999</v>
      </c>
      <c r="H6" s="8">
        <v>1108.2257616500001</v>
      </c>
      <c r="I6" s="8">
        <v>1155.5744520000001</v>
      </c>
      <c r="J6" s="8">
        <v>1812.3305333000001</v>
      </c>
      <c r="K6" s="251"/>
      <c r="L6" s="251"/>
      <c r="M6" s="251"/>
      <c r="N6" s="251"/>
      <c r="O6" s="251"/>
    </row>
    <row r="7" spans="1:21">
      <c r="A7" s="7" t="s">
        <v>44</v>
      </c>
      <c r="B7" s="8">
        <f>'[1]13.7'!B20</f>
        <v>329.9</v>
      </c>
      <c r="C7" s="8">
        <f>'[1]13.7'!C20</f>
        <v>937.10000000000014</v>
      </c>
      <c r="D7" s="167">
        <f>'[1]13.7'!H20</f>
        <v>581.73487699999998</v>
      </c>
      <c r="E7" s="167">
        <f>'[1]13.7'!I20</f>
        <v>174.8779509</v>
      </c>
      <c r="F7" s="167">
        <f>'[1]13.7'!J20</f>
        <v>919.10181</v>
      </c>
      <c r="G7" s="167">
        <f>'[1]13.7'!K20</f>
        <v>662.15555800000004</v>
      </c>
      <c r="H7" s="167">
        <v>522.22979633</v>
      </c>
      <c r="I7" s="167">
        <v>750.4553719999999</v>
      </c>
      <c r="J7" s="167">
        <v>870.97274229999994</v>
      </c>
      <c r="K7" s="252"/>
      <c r="L7" s="252"/>
      <c r="M7" s="252"/>
      <c r="N7" s="252"/>
      <c r="O7" s="252"/>
    </row>
    <row r="34" spans="1:15">
      <c r="B34" s="301" t="s">
        <v>18</v>
      </c>
      <c r="C34" s="302"/>
      <c r="D34" s="302"/>
      <c r="E34" s="302"/>
      <c r="F34" s="302"/>
      <c r="G34" s="302"/>
    </row>
    <row r="35" spans="1:15">
      <c r="B35" s="5">
        <v>2007</v>
      </c>
      <c r="C35" s="6">
        <v>2008</v>
      </c>
      <c r="D35" s="6">
        <v>2009</v>
      </c>
      <c r="E35" s="6">
        <v>2010</v>
      </c>
      <c r="F35" s="6">
        <v>2011</v>
      </c>
      <c r="G35" s="6">
        <v>2012</v>
      </c>
      <c r="H35" s="6">
        <v>2013</v>
      </c>
      <c r="I35" s="6">
        <v>2014</v>
      </c>
      <c r="J35" s="166">
        <v>2015</v>
      </c>
      <c r="K35" s="250" t="s">
        <v>237</v>
      </c>
      <c r="L35" s="250" t="s">
        <v>238</v>
      </c>
      <c r="M35" s="250" t="s">
        <v>239</v>
      </c>
      <c r="N35" s="250" t="s">
        <v>240</v>
      </c>
      <c r="O35" s="250" t="s">
        <v>251</v>
      </c>
    </row>
    <row r="36" spans="1:15">
      <c r="A36" s="7" t="s">
        <v>23</v>
      </c>
      <c r="B36" s="8">
        <f>'[1]13.6'!B9</f>
        <v>2241.8999999999996</v>
      </c>
      <c r="C36" s="8">
        <f>'[1]13.6'!C9</f>
        <v>3209.7</v>
      </c>
      <c r="D36" s="8">
        <f>'[1]13.6'!H9</f>
        <v>3519.7833220000007</v>
      </c>
      <c r="E36" s="8">
        <f>'[1]13.6'!I9</f>
        <v>3978.9039029999999</v>
      </c>
      <c r="F36" s="8">
        <f>'[1]13.6'!J9</f>
        <v>4596.1388089999991</v>
      </c>
      <c r="G36" s="8">
        <v>4774.492886</v>
      </c>
      <c r="H36" s="8">
        <v>4784.0412950399996</v>
      </c>
      <c r="I36" s="8">
        <v>5537.7483140000004</v>
      </c>
      <c r="J36" s="8">
        <v>6243.3481799699994</v>
      </c>
      <c r="K36" s="251"/>
      <c r="L36" s="251"/>
      <c r="M36" s="251"/>
      <c r="N36" s="251"/>
      <c r="O36" s="251"/>
    </row>
    <row r="37" spans="1:15">
      <c r="A37" s="7" t="s">
        <v>35</v>
      </c>
      <c r="B37" s="8">
        <f>'[1]13.6'!B14</f>
        <v>3817.6</v>
      </c>
      <c r="C37" s="8">
        <f>'[1]13.6'!C14</f>
        <v>3679.5</v>
      </c>
      <c r="D37" s="8">
        <f>'[1]13.6'!H14</f>
        <v>4345.2921539999998</v>
      </c>
      <c r="E37" s="8">
        <f>'[1]13.6'!I14</f>
        <v>3462.622922</v>
      </c>
      <c r="F37" s="8">
        <f>'[1]13.6'!J14</f>
        <v>3544.46576</v>
      </c>
      <c r="G37" s="8">
        <v>4225.7286190000004</v>
      </c>
      <c r="H37" s="8">
        <v>5531.6275246499999</v>
      </c>
      <c r="I37" s="8">
        <v>7089.9977030000009</v>
      </c>
      <c r="J37" s="8">
        <v>8742.95622215</v>
      </c>
      <c r="K37" s="251"/>
      <c r="L37" s="251"/>
      <c r="M37" s="251"/>
      <c r="N37" s="251"/>
      <c r="O37" s="251"/>
    </row>
    <row r="38" spans="1:15">
      <c r="A38" s="7" t="s">
        <v>44</v>
      </c>
      <c r="B38" s="8">
        <f>'[1]13.6'!B19</f>
        <v>266.3</v>
      </c>
      <c r="C38" s="8">
        <f>'[1]13.6'!C19</f>
        <v>293.99999999999994</v>
      </c>
      <c r="D38" s="8">
        <f>'[1]13.6'!H19</f>
        <v>255.78124300000002</v>
      </c>
      <c r="E38" s="8">
        <f>'[1]13.6'!I19</f>
        <v>265.56214700000004</v>
      </c>
      <c r="F38" s="8">
        <f>'[1]13.6'!J19</f>
        <v>209.35414899999998</v>
      </c>
      <c r="G38" s="8">
        <v>209.18252100000001</v>
      </c>
      <c r="H38" s="8">
        <v>300.81956875999992</v>
      </c>
      <c r="I38" s="8">
        <v>348.30320599999999</v>
      </c>
      <c r="J38" s="8">
        <v>344.55713775999999</v>
      </c>
      <c r="K38" s="251"/>
      <c r="L38" s="251"/>
      <c r="M38" s="251"/>
      <c r="N38" s="251"/>
      <c r="O38" s="251"/>
    </row>
    <row r="41" spans="1:15">
      <c r="M41" s="9"/>
    </row>
    <row r="46" spans="1:15">
      <c r="A46" s="1"/>
    </row>
    <row r="48" spans="1:15">
      <c r="M48" s="9"/>
    </row>
    <row r="53" spans="1:1">
      <c r="A53" s="1"/>
    </row>
  </sheetData>
  <mergeCells count="4">
    <mergeCell ref="R1:S1"/>
    <mergeCell ref="T1:U1"/>
    <mergeCell ref="B3:G3"/>
    <mergeCell ref="B34:G34"/>
  </mergeCells>
  <pageMargins left="0.27" right="0.16" top="0.19" bottom="0.17" header="0.3" footer="0.17"/>
  <pageSetup paperSize="9" scale="8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13.5</vt:lpstr>
      <vt:lpstr>13.6</vt:lpstr>
      <vt:lpstr>13.7</vt:lpstr>
      <vt:lpstr>13.11</vt:lpstr>
      <vt:lpstr>Fig 1.5 &amp; 1.6</vt:lpstr>
      <vt:lpstr>'13.11'!Print_Area</vt:lpstr>
      <vt:lpstr>'13.5'!Print_Area</vt:lpstr>
      <vt:lpstr>'13.6'!Print_Area</vt:lpstr>
      <vt:lpstr>'13.7'!Print_Area</vt:lpstr>
      <vt:lpstr>'Fig 1.5 &amp; 1.6'!Print_Area</vt:lpstr>
      <vt:lpstr>'13.11'!Print_Titles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2018-04-17T06:00:19Z</cp:lastPrinted>
  <dcterms:created xsi:type="dcterms:W3CDTF">2014-03-06T08:38:12Z</dcterms:created>
  <dcterms:modified xsi:type="dcterms:W3CDTF">2018-04-17T06:00:35Z</dcterms:modified>
</cp:coreProperties>
</file>