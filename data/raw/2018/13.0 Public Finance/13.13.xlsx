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 firstSheet="4" activeTab="4"/>
  </bookViews>
  <sheets>
    <sheet name="13.5" sheetId="14" state="hidden" r:id="rId1"/>
    <sheet name="13.6" sheetId="16" state="hidden" r:id="rId2"/>
    <sheet name="13.7" sheetId="15" state="hidden" r:id="rId3"/>
    <sheet name="Fig 1.5 &amp; 1.6" sheetId="17" state="hidden" r:id="rId4"/>
    <sheet name="13.13" sheetId="27" r:id="rId5"/>
  </sheets>
  <externalReferences>
    <externalReference r:id="rId6"/>
  </externalReferences>
  <definedNames>
    <definedName name="_xlnm.Print_Area" localSheetId="4">'13.13'!$A$1:$P$76</definedName>
    <definedName name="_xlnm.Print_Area" localSheetId="0">'13.5'!$A$1:$T$34</definedName>
    <definedName name="_xlnm.Print_Area" localSheetId="1">'13.6'!$A$1:$Y$37</definedName>
    <definedName name="_xlnm.Print_Area" localSheetId="2">'13.7'!$A$1:$Z$34</definedName>
    <definedName name="_xlnm.Print_Area" localSheetId="3">'Fig 1.5 &amp; 1.6'!$A$1:$O$62</definedName>
  </definedNames>
  <calcPr calcId="162913"/>
</workbook>
</file>

<file path=xl/calcChain.xml><?xml version="1.0" encoding="utf-8"?>
<calcChain xmlns="http://schemas.openxmlformats.org/spreadsheetml/2006/main">
  <c r="N22" i="27" l="1"/>
  <c r="N17" i="27"/>
  <c r="N8" i="27" l="1"/>
  <c r="G77" i="27" l="1"/>
  <c r="F77" i="27"/>
  <c r="G76" i="27"/>
  <c r="F76" i="27"/>
  <c r="G75" i="27"/>
  <c r="F75" i="27"/>
  <c r="N60" i="27"/>
  <c r="N59" i="27"/>
  <c r="N58" i="27"/>
  <c r="N57" i="27"/>
  <c r="N56" i="27"/>
  <c r="N55" i="27"/>
  <c r="N54" i="27"/>
  <c r="N52" i="27"/>
  <c r="N49" i="27"/>
  <c r="N48" i="27"/>
  <c r="N47" i="27"/>
  <c r="N46" i="27"/>
  <c r="N45" i="27"/>
  <c r="N43" i="27"/>
  <c r="N42" i="27"/>
  <c r="N41" i="27"/>
  <c r="N39" i="27"/>
  <c r="N36" i="27"/>
  <c r="N35" i="27"/>
  <c r="N34" i="27"/>
  <c r="N33" i="27"/>
  <c r="N32" i="27"/>
  <c r="N31" i="27"/>
  <c r="N30" i="27"/>
  <c r="N29" i="27"/>
  <c r="N28" i="27"/>
  <c r="N27" i="27"/>
  <c r="N26" i="27"/>
  <c r="N24" i="27"/>
  <c r="N23" i="27"/>
  <c r="N20" i="27"/>
  <c r="N19" i="27"/>
  <c r="N18" i="27"/>
  <c r="N14" i="27"/>
  <c r="N13" i="27"/>
  <c r="N12" i="27"/>
  <c r="N11" i="27"/>
  <c r="N10" i="27"/>
  <c r="H7" i="27"/>
  <c r="L65" i="27" s="1"/>
  <c r="G7" i="27"/>
  <c r="K62" i="27" s="1"/>
  <c r="F7" i="27"/>
  <c r="J65" i="27" s="1"/>
  <c r="E7" i="27"/>
  <c r="D7" i="27"/>
  <c r="C7" i="27"/>
  <c r="B7" i="27"/>
  <c r="K18" i="27" l="1"/>
  <c r="J32" i="27"/>
  <c r="J37" i="27"/>
  <c r="J11" i="27"/>
  <c r="J27" i="27"/>
  <c r="J52" i="27"/>
  <c r="J34" i="27"/>
  <c r="J22" i="27"/>
  <c r="J54" i="27"/>
  <c r="L62" i="27"/>
  <c r="L14" i="27"/>
  <c r="L30" i="27"/>
  <c r="L35" i="27"/>
  <c r="L67" i="27"/>
  <c r="N7" i="27"/>
  <c r="L9" i="27"/>
  <c r="L16" i="27"/>
  <c r="L25" i="27"/>
  <c r="K9" i="27"/>
  <c r="J13" i="27"/>
  <c r="L21" i="27"/>
  <c r="K25" i="27"/>
  <c r="J29" i="27"/>
  <c r="L32" i="27"/>
  <c r="K65" i="27"/>
  <c r="K14" i="27"/>
  <c r="L18" i="27"/>
  <c r="K22" i="27"/>
  <c r="K30" i="27"/>
  <c r="K37" i="27"/>
  <c r="J43" i="27"/>
  <c r="J48" i="27"/>
  <c r="K54" i="27"/>
  <c r="J59" i="27"/>
  <c r="K11" i="27"/>
  <c r="L23" i="27"/>
  <c r="K27" i="27"/>
  <c r="L39" i="27"/>
  <c r="L44" i="27"/>
  <c r="K39" i="27"/>
  <c r="K48" i="27"/>
  <c r="K59" i="27"/>
  <c r="L11" i="27"/>
  <c r="K16" i="27"/>
  <c r="J20" i="27"/>
  <c r="L27" i="27"/>
  <c r="K35" i="27"/>
  <c r="J45" i="27"/>
  <c r="K41" i="27"/>
  <c r="K20" i="27"/>
  <c r="K57" i="27"/>
  <c r="J9" i="27"/>
  <c r="J17" i="27"/>
  <c r="J25" i="27"/>
  <c r="K32" i="27"/>
  <c r="L41" i="27"/>
  <c r="L46" i="27"/>
  <c r="K52" i="27"/>
  <c r="L57" i="27"/>
  <c r="J63" i="27"/>
  <c r="K43" i="27"/>
  <c r="K45" i="27"/>
  <c r="L48" i="27"/>
  <c r="J50" i="27"/>
  <c r="L52" i="27"/>
  <c r="L54" i="27"/>
  <c r="J56" i="27"/>
  <c r="L59" i="27"/>
  <c r="J61" i="27"/>
  <c r="K63" i="27"/>
  <c r="J66" i="27"/>
  <c r="J8" i="27"/>
  <c r="J10" i="27"/>
  <c r="K13" i="27"/>
  <c r="K17" i="27"/>
  <c r="L20" i="27"/>
  <c r="L22" i="27"/>
  <c r="J24" i="27"/>
  <c r="J26" i="27"/>
  <c r="K29" i="27"/>
  <c r="J31" i="27"/>
  <c r="K34" i="27"/>
  <c r="L37" i="27"/>
  <c r="L43" i="27"/>
  <c r="L45" i="27"/>
  <c r="J47" i="27"/>
  <c r="K50" i="27"/>
  <c r="K56" i="27"/>
  <c r="J58" i="27"/>
  <c r="K61" i="27"/>
  <c r="L63" i="27"/>
  <c r="K66" i="27"/>
  <c r="K8" i="27"/>
  <c r="K10" i="27"/>
  <c r="L13" i="27"/>
  <c r="J15" i="27"/>
  <c r="L17" i="27"/>
  <c r="J19" i="27"/>
  <c r="K24" i="27"/>
  <c r="K26" i="27"/>
  <c r="L29" i="27"/>
  <c r="K31" i="27"/>
  <c r="L34" i="27"/>
  <c r="J36" i="27"/>
  <c r="J38" i="27"/>
  <c r="J40" i="27"/>
  <c r="J42" i="27"/>
  <c r="K47" i="27"/>
  <c r="L50" i="27"/>
  <c r="L56" i="27"/>
  <c r="K58" i="27"/>
  <c r="L61" i="27"/>
  <c r="J64" i="27"/>
  <c r="L66" i="27"/>
  <c r="L8" i="27"/>
  <c r="L10" i="27"/>
  <c r="J12" i="27"/>
  <c r="K15" i="27"/>
  <c r="K19" i="27"/>
  <c r="L24" i="27"/>
  <c r="L26" i="27"/>
  <c r="J28" i="27"/>
  <c r="L31" i="27"/>
  <c r="J33" i="27"/>
  <c r="K36" i="27"/>
  <c r="K38" i="27"/>
  <c r="K40" i="27"/>
  <c r="K42" i="27"/>
  <c r="L47" i="27"/>
  <c r="J49" i="27"/>
  <c r="J51" i="27"/>
  <c r="J53" i="27"/>
  <c r="J55" i="27"/>
  <c r="L58" i="27"/>
  <c r="J60" i="27"/>
  <c r="K64" i="27"/>
  <c r="J67" i="27"/>
  <c r="K12" i="27"/>
  <c r="L15" i="27"/>
  <c r="L19" i="27"/>
  <c r="J21" i="27"/>
  <c r="J23" i="27"/>
  <c r="K28" i="27"/>
  <c r="K33" i="27"/>
  <c r="L36" i="27"/>
  <c r="L38" i="27"/>
  <c r="L40" i="27"/>
  <c r="L42" i="27"/>
  <c r="J44" i="27"/>
  <c r="J46" i="27"/>
  <c r="K49" i="27"/>
  <c r="K51" i="27"/>
  <c r="K53" i="27"/>
  <c r="K55" i="27"/>
  <c r="K60" i="27"/>
  <c r="J62" i="27"/>
  <c r="L64" i="27"/>
  <c r="K67" i="27"/>
  <c r="G78" i="27"/>
  <c r="G80" i="27" s="1"/>
  <c r="L12" i="27"/>
  <c r="J14" i="27"/>
  <c r="J16" i="27"/>
  <c r="J18" i="27"/>
  <c r="K21" i="27"/>
  <c r="K23" i="27"/>
  <c r="L28" i="27"/>
  <c r="J30" i="27"/>
  <c r="L33" i="27"/>
  <c r="J35" i="27"/>
  <c r="J39" i="27"/>
  <c r="J41" i="27"/>
  <c r="K44" i="27"/>
  <c r="K46" i="27"/>
  <c r="L49" i="27"/>
  <c r="L51" i="27"/>
  <c r="L53" i="27"/>
  <c r="L55" i="27"/>
  <c r="J57" i="27"/>
  <c r="L60" i="27"/>
  <c r="L7" i="27" l="1"/>
  <c r="J7" i="27"/>
  <c r="K7" i="27"/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S9" i="15" l="1"/>
  <c r="S8" i="15" s="1"/>
  <c r="S8" i="16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</calcChain>
</file>

<file path=xl/sharedStrings.xml><?xml version="1.0" encoding="utf-8"?>
<sst xmlns="http://schemas.openxmlformats.org/spreadsheetml/2006/main" count="395" uniqueCount="318">
  <si>
    <t>Particulars</t>
  </si>
  <si>
    <t>(iawfiverukuhWlcsia)</t>
  </si>
  <si>
    <t>clIBcfwt</t>
  </si>
  <si>
    <t>Actual</t>
  </si>
  <si>
    <t>(MTEF)</t>
  </si>
  <si>
    <t>(cTejwbWtcsWrudem)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</si>
  <si>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</si>
  <si>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</si>
  <si>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</si>
  <si>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</si>
  <si>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</si>
  <si>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</si>
  <si>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 xml:space="preserve">މުދަލާއި ޚިދުމަތުން ނެގޭ ޓެކްސް     </t>
  </si>
  <si>
    <t>ބިޒްނަސް ޕްރޮފިޓް ޓެކްސް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</si>
  <si>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</si>
  <si>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</si>
  <si>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</si>
  <si>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</si>
  <si>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</si>
  <si>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</si>
  <si>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</si>
  <si>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</si>
  <si>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</si>
  <si>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</si>
  <si>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</si>
  <si>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</si>
  <si>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</si>
  <si>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</si>
  <si>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</si>
  <si>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</si>
  <si>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</si>
  <si>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</si>
  <si>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</si>
  <si>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</si>
  <si>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</si>
  <si>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</si>
  <si>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</si>
  <si>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</si>
  <si>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</si>
  <si>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</si>
  <si>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</si>
  <si>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</si>
  <si>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</si>
  <si>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</si>
  <si>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</si>
  <si>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</si>
  <si>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</si>
  <si>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</si>
  <si>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</si>
  <si>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</si>
  <si>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</si>
  <si>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</si>
  <si>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</si>
  <si>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</si>
  <si>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</si>
  <si>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</si>
  <si>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</si>
  <si>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</si>
  <si>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</si>
  <si>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</si>
  <si>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</si>
  <si>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</si>
  <si>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</si>
  <si>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އިތުރުވި މިންވަރު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</si>
  <si>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</si>
  <si>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</si>
  <si>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</si>
  <si>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</si>
  <si>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</si>
  <si>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</si>
  <si>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</si>
  <si>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</si>
  <si>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</si>
  <si>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</si>
  <si>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</si>
  <si>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</si>
  <si>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</si>
  <si>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</si>
  <si>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</si>
  <si>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</si>
  <si>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</si>
  <si>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</si>
  <si>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</si>
  <si>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</si>
  <si>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</si>
  <si>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</si>
  <si>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</si>
  <si>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</si>
  <si>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</si>
  <si>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</si>
  <si>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</si>
  <si>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</si>
  <si>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</si>
  <si>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</si>
  <si>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</si>
  <si>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</si>
  <si>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</si>
  <si>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</si>
  <si>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</si>
  <si>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</si>
  <si>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</si>
  <si>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</si>
  <si>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</si>
  <si>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</si>
  <si>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</si>
  <si>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</si>
  <si>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</si>
  <si>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</si>
  <si>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</si>
  <si>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</si>
  <si>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</si>
  <si>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</si>
  <si>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</si>
  <si>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</si>
  <si>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</si>
  <si>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</si>
  <si>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</si>
  <si>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</si>
  <si>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</si>
  <si>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</si>
  <si>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</si>
  <si>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</si>
  <si>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</si>
  <si>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</si>
  <si>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</si>
  <si>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</si>
  <si>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</si>
  <si>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</si>
  <si>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</si>
  <si>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</si>
  <si>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</si>
  <si>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</si>
  <si>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</si>
  <si>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</si>
  <si>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</si>
  <si>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</si>
  <si>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</si>
  <si>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</si>
  <si>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</si>
  <si>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</si>
  <si>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</si>
  <si>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</si>
  <si>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</si>
  <si>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</si>
  <si>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</si>
  <si>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</si>
  <si>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</si>
  <si>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>ގްރީން ޓެކްސް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</si>
  <si>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</si>
  <si>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</si>
  <si>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</si>
  <si>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</si>
  <si>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-</t>
  </si>
  <si>
    <t>ދީނީ، ސަޤާފީ، މުނިފޫހިފިލުވުން</t>
  </si>
  <si>
    <t>2015-2016</t>
  </si>
  <si>
    <t xml:space="preserve"> 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</si>
  <si>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</si>
  <si>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</si>
  <si>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</si>
  <si>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</si>
  <si>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</si>
  <si>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2016 Rev</t>
  </si>
  <si>
    <t>2017 Est</t>
  </si>
  <si>
    <t>2018 Est</t>
  </si>
  <si>
    <t>2019 Est</t>
  </si>
  <si>
    <t>2016-2017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</si>
  <si>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</si>
  <si>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</si>
  <si>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</si>
  <si>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</si>
  <si>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</si>
  <si>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</si>
  <si>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</si>
  <si>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2020 Est</t>
  </si>
  <si>
    <t xml:space="preserve">Revised </t>
  </si>
  <si>
    <t>ތަފްސީލު</t>
  </si>
  <si>
    <t>Description</t>
  </si>
  <si>
    <t>Revenue collected (MVR)</t>
  </si>
  <si>
    <t>ލިބުނު އާމްދަނީ (ރުފިޔާއިން)</t>
  </si>
  <si>
    <t>2016 އާއި އަޅާބަލާއިރު 2017 ގައި އިތުރުވި މިންވަރު (%)</t>
  </si>
  <si>
    <t>2015*</t>
  </si>
  <si>
    <t>2016*</t>
  </si>
  <si>
    <t>އެއަރޕޯޓް ސަރވިސް ޗާޖް</t>
  </si>
  <si>
    <t>Airport Development Fee***</t>
  </si>
  <si>
    <t>އެއަރޕޯޓް ޑިވެލޮޕްމަންޓް ފީ</t>
  </si>
  <si>
    <t>Construction Period Extension Fee***</t>
  </si>
  <si>
    <t>Corporate Social Responsibility Fee***</t>
  </si>
  <si>
    <t>ޖޫރިމަނާ</t>
  </si>
  <si>
    <t>Green Tax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</si>
  <si>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</si>
  <si>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</si>
  <si>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</si>
  <si>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</si>
  <si>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</si>
  <si>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</si>
  <si>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</si>
  <si>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</si>
  <si>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</si>
  <si>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</si>
  <si>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Total</t>
  </si>
  <si>
    <t>ޖުމްލަ</t>
  </si>
  <si>
    <t>Source: Maldives Inland Revenue Authority</t>
  </si>
  <si>
    <t>މަޢުލޫމާތު ދެއްވި ފަރާތް: މޯލްޑިވްސް އިންލަންޑް ރެވެނިއު އޮތޯރިޓީ</t>
  </si>
  <si>
    <t>ތާވަލު 13.13: ޢާމްދަނީގެ ގޮތުގައި ލިބުނު ފައިސާގެ ތަފްޞީލު،  2013 - 2017</t>
  </si>
  <si>
    <t>Table 13.13: REVENUE COLLECTED BY DETAILED CATEGORIES,  2013 - 2017</t>
  </si>
  <si>
    <t>Percentage  shares</t>
  </si>
  <si>
    <t>Percentage change  over 2016</t>
  </si>
  <si>
    <t xml:space="preserve">ބެހިފައިވާ ގޮތް ސައްތައިން </t>
  </si>
  <si>
    <t>Airport Service Charge</t>
  </si>
  <si>
    <t>Bank Profit Tax</t>
  </si>
  <si>
    <t>ބެންކް ފައިދާގެ ޓެކްސް</t>
  </si>
  <si>
    <t>Business Profit Tax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</si>
  <si>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</si>
  <si>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</si>
  <si>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</si>
  <si>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</si>
  <si>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</si>
  <si>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</si>
  <si>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</si>
  <si>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</si>
  <si>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</si>
  <si>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</si>
  <si>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</si>
  <si>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</si>
  <si>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</si>
  <si>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</si>
  <si>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</si>
  <si>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</si>
  <si>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</si>
  <si>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</si>
  <si>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</si>
  <si>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</si>
  <si>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</si>
  <si>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</si>
  <si>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</si>
  <si>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</si>
  <si>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</si>
  <si>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</si>
  <si>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</si>
  <si>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</si>
  <si>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</si>
  <si>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</si>
  <si>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</si>
  <si>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</si>
  <si>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</si>
  <si>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</si>
  <si>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</si>
  <si>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</si>
  <si>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Other Fees and Charges</t>
  </si>
  <si>
    <t>އެހެނިހެން ފީތައް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</si>
  <si>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</si>
  <si>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</si>
  <si>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</si>
  <si>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</si>
  <si>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</si>
  <si>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</si>
  <si>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Reimbursement from Previous Years' budget</t>
  </si>
  <si>
    <t>ރީއިމްބަރސްމަންޓް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</si>
  <si>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</si>
  <si>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</si>
  <si>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</si>
  <si>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</si>
  <si>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</si>
  <si>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</si>
  <si>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</si>
  <si>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</si>
  <si>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</si>
  <si>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</si>
  <si>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</si>
  <si>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</si>
  <si>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</si>
  <si>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</si>
  <si>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</si>
  <si>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</si>
  <si>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</si>
  <si>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</si>
  <si>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</si>
  <si>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</si>
  <si>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Administration Fee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</si>
  <si>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</si>
  <si>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</si>
  <si>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</si>
  <si>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</si>
  <si>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</si>
  <si>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</si>
  <si>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</si>
  <si>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</si>
  <si>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</si>
  <si>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</si>
  <si>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</si>
  <si>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</si>
  <si>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</si>
  <si>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</si>
  <si>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</si>
  <si>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</si>
  <si>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Dive School Registration Fee***</t>
  </si>
  <si>
    <t>Guest House Registration Fee***</t>
  </si>
  <si>
    <t>Other Registrations &amp; License Fees***</t>
  </si>
  <si>
    <t>Motor Vehicle and Vessel Registration Fee***</t>
  </si>
  <si>
    <t>Bank Mortgage Registration Fee***</t>
  </si>
  <si>
    <t>Sale of Tender Documents***</t>
  </si>
  <si>
    <t>Note: 25,626 collected as 'Cash received for which purpose in unknown)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</si>
  <si>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</si>
  <si>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>**Remittance tax added</t>
  </si>
  <si>
    <t>* 2015 &amp; 2016 figures are revised by MIRA on 12 February 2018</t>
  </si>
  <si>
    <t>Business Permits</t>
  </si>
  <si>
    <t>Land Rent</t>
  </si>
  <si>
    <t>Royalties</t>
  </si>
  <si>
    <t>Total calculated here</t>
  </si>
  <si>
    <t>Cash for unknow purposes</t>
  </si>
  <si>
    <t>Final Total</t>
  </si>
  <si>
    <r>
      <t xml:space="preserve">ޑްރައިވިންގ ސްކޫލް ރެޖިސްޓްރޭޝަން ފީ </t>
    </r>
    <r>
      <rPr>
        <sz val="8"/>
        <rFont val="Faruma"/>
      </rPr>
      <t>***</t>
    </r>
  </si>
  <si>
    <r>
      <t xml:space="preserve">ގެސްޓް ހައުސް ރެޖިސްޓްރޭޝަން ފީ </t>
    </r>
    <r>
      <rPr>
        <sz val="8"/>
        <rFont val="Faruma"/>
      </rPr>
      <t>***</t>
    </r>
  </si>
  <si>
    <r>
      <t xml:space="preserve">އެހެނިހެންރެޖިސްޓްރޭޝަން އަދި ލައިސަންސް ފީ </t>
    </r>
    <r>
      <rPr>
        <sz val="8"/>
        <rFont val="Faruma"/>
      </rPr>
      <t>***</t>
    </r>
  </si>
  <si>
    <r>
      <t xml:space="preserve">އެއްގަމު އުޅަނދު އަދި ކަނޑުގައި ދުއްވާ އުޅަނދު ރެޖިސްޓްރޭޝަން ފީ </t>
    </r>
    <r>
      <rPr>
        <sz val="8"/>
        <rFont val="Faruma"/>
      </rPr>
      <t>***</t>
    </r>
  </si>
  <si>
    <r>
      <t xml:space="preserve">ބޭންކް މޯގޭޖް ރެޖިސްޓްރޭޝަން ފީ </t>
    </r>
    <r>
      <rPr>
        <sz val="8"/>
        <rFont val="Faruma"/>
      </rPr>
      <t>***</t>
    </r>
  </si>
  <si>
    <r>
      <t xml:space="preserve">ސޭލް އޮފް ޓެންޑަރ ޑޮކިއުމަންޓްސް </t>
    </r>
    <r>
      <rPr>
        <sz val="8"/>
        <rFont val="Faruma"/>
      </rPr>
      <t>***</t>
    </r>
  </si>
  <si>
    <t>Figures as at data dissemination date, ie: 22 February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</si>
</sst>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  <numFmt numFmtId="174" formatCode="_(* #,##0_);_(* \(#,##0\);_(* &quot;-&quot;??_);_(@_)"/>
    <numFmt numFmtId="175" formatCode="#,##0_);\-#,##0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Faruma"/>
    </font>
    <font>
      <sz val="9.5"/>
      <name val="Faruma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Faruma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Faruma"/>
    </font>
    <font>
      <i/>
      <sz val="10"/>
      <name val="Calibri"/>
      <family val="2"/>
      <scheme val="minor"/>
    </font>
    <font>
      <sz val="8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9" fillId="0" borderId="0"/>
    <xf numFmtId="171" fontId="9" fillId="0" borderId="0"/>
    <xf numFmtId="0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341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10" xfId="4" applyNumberFormat="1" applyFont="1" applyFill="1" applyBorder="1"/>
    <xf numFmtId="164" fontId="3" fillId="2" borderId="10" xfId="4" applyNumberFormat="1" applyFont="1" applyFill="1" applyBorder="1"/>
    <xf numFmtId="164" fontId="3" fillId="2" borderId="10" xfId="4" applyNumberFormat="1" applyFont="1" applyFill="1" applyBorder="1" applyAlignment="1" applyProtection="1">
      <alignment horizontal="left" vertical="center"/>
    </xf>
    <xf numFmtId="167" fontId="4" fillId="2" borderId="10" xfId="1" applyNumberFormat="1" applyFont="1" applyFill="1" applyBorder="1"/>
    <xf numFmtId="164" fontId="4" fillId="2" borderId="0" xfId="4" applyNumberFormat="1" applyFont="1" applyFill="1" applyAlignment="1"/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2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24" fillId="2" borderId="0" xfId="2" applyNumberFormat="1" applyFont="1" applyFill="1" applyAlignment="1">
      <alignment vertical="center"/>
    </xf>
    <xf numFmtId="164" fontId="25" fillId="2" borderId="0" xfId="2" applyNumberFormat="1" applyFont="1" applyFill="1" applyAlignment="1">
      <alignment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15" fillId="2" borderId="0" xfId="2" applyNumberFormat="1" applyFont="1" applyFill="1" applyBorder="1" applyAlignment="1" applyProtection="1">
      <alignment horizontal="right" vertical="center"/>
    </xf>
    <xf numFmtId="164" fontId="12" fillId="2" borderId="0" xfId="2" applyNumberFormat="1" applyFont="1" applyFill="1" applyAlignment="1">
      <alignment vertical="center"/>
    </xf>
    <xf numFmtId="164" fontId="29" fillId="2" borderId="0" xfId="2" applyNumberFormat="1" applyFont="1" applyFill="1" applyAlignment="1">
      <alignment vertical="center"/>
    </xf>
    <xf numFmtId="164" fontId="22" fillId="2" borderId="0" xfId="2" applyNumberFormat="1" applyFont="1" applyFill="1" applyAlignment="1" applyProtection="1">
      <alignment horizontal="left" vertical="center"/>
    </xf>
    <xf numFmtId="164" fontId="19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>
      <alignment horizontal="center" vertical="center"/>
    </xf>
    <xf numFmtId="164" fontId="24" fillId="2" borderId="0" xfId="2" applyNumberFormat="1" applyFont="1" applyFill="1" applyAlignment="1">
      <alignment horizontal="center" vertical="center"/>
    </xf>
    <xf numFmtId="164" fontId="29" fillId="2" borderId="0" xfId="2" applyNumberFormat="1" applyFont="1" applyFill="1" applyBorder="1" applyAlignment="1">
      <alignment vertical="center"/>
    </xf>
    <xf numFmtId="165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19" fillId="2" borderId="2" xfId="2" applyNumberFormat="1" applyFont="1" applyFill="1" applyBorder="1" applyAlignment="1" applyProtection="1">
      <alignment horizontal="left" vertical="center"/>
    </xf>
    <xf numFmtId="41" fontId="30" fillId="2" borderId="2" xfId="3" applyNumberFormat="1" applyFont="1" applyFill="1" applyBorder="1" applyAlignment="1" applyProtection="1">
      <alignment horizontal="right" vertical="center"/>
      <protection locked="0"/>
    </xf>
    <xf numFmtId="164" fontId="28" fillId="2" borderId="2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Alignment="1" applyProtection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/>
    </xf>
    <xf numFmtId="41" fontId="30" fillId="2" borderId="0" xfId="3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Border="1" applyAlignment="1" applyProtection="1">
      <alignment horizontal="left" vertical="center"/>
    </xf>
    <xf numFmtId="165" fontId="19" fillId="2" borderId="0" xfId="2" applyNumberFormat="1" applyFont="1" applyFill="1" applyBorder="1" applyAlignment="1" applyProtection="1">
      <alignment horizontal="right" vertical="center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32" fillId="2" borderId="0" xfId="2" applyNumberFormat="1" applyFont="1" applyFill="1" applyAlignment="1">
      <alignment vertical="center" wrapText="1"/>
    </xf>
    <xf numFmtId="164" fontId="27" fillId="2" borderId="3" xfId="2" applyNumberFormat="1" applyFont="1" applyFill="1" applyBorder="1" applyAlignment="1">
      <alignment vertical="center"/>
    </xf>
    <xf numFmtId="164" fontId="26" fillId="2" borderId="0" xfId="2" applyNumberFormat="1" applyFont="1" applyFill="1" applyBorder="1" applyAlignment="1"/>
    <xf numFmtId="164" fontId="26" fillId="2" borderId="0" xfId="2" applyNumberFormat="1" applyFont="1" applyFill="1" applyBorder="1" applyAlignment="1">
      <alignment horizontal="center"/>
    </xf>
    <xf numFmtId="164" fontId="27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27" fillId="2" borderId="0" xfId="2" applyNumberFormat="1" applyFont="1" applyFill="1" applyBorder="1" applyAlignment="1" applyProtection="1">
      <alignment horizontal="center" vertical="center"/>
      <protection locked="0"/>
    </xf>
    <xf numFmtId="164" fontId="27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18" xfId="2" applyNumberFormat="1" applyFont="1" applyFill="1" applyBorder="1" applyAlignment="1">
      <alignment horizontal="right" vertical="center"/>
    </xf>
    <xf numFmtId="164" fontId="34" fillId="2" borderId="2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8" fillId="2" borderId="3" xfId="2" applyNumberFormat="1" applyFont="1" applyFill="1" applyBorder="1" applyAlignment="1" applyProtection="1">
      <alignment horizontal="right" vertical="center"/>
    </xf>
    <xf numFmtId="165" fontId="8" fillId="2" borderId="3" xfId="2" applyNumberFormat="1" applyFont="1" applyFill="1" applyBorder="1" applyAlignment="1" applyProtection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  <protection locked="0"/>
    </xf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168" fontId="8" fillId="2" borderId="11" xfId="2" applyNumberFormat="1" applyFont="1" applyFill="1" applyBorder="1" applyAlignment="1" applyProtection="1">
      <alignment vertical="center"/>
      <protection locked="0"/>
    </xf>
    <xf numFmtId="164" fontId="15" fillId="2" borderId="0" xfId="2" applyNumberFormat="1" applyFont="1" applyFill="1" applyAlignment="1" applyProtection="1">
      <alignment horizontal="lef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168" fontId="15" fillId="2" borderId="0" xfId="2" applyNumberFormat="1" applyFont="1" applyFill="1" applyBorder="1" applyAlignment="1" applyProtection="1">
      <alignment vertical="center"/>
      <protection locked="0"/>
    </xf>
    <xf numFmtId="168" fontId="15" fillId="2" borderId="11" xfId="2" applyNumberFormat="1" applyFont="1" applyFill="1" applyBorder="1" applyAlignment="1" applyProtection="1">
      <alignment vertical="center"/>
      <protection locked="0"/>
    </xf>
    <xf numFmtId="168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28" fillId="2" borderId="0" xfId="2" applyNumberFormat="1" applyFont="1" applyFill="1" applyAlignment="1">
      <alignment horizontal="right" vertical="center" indent="3"/>
    </xf>
    <xf numFmtId="3" fontId="15" fillId="2" borderId="0" xfId="2" applyNumberFormat="1" applyFont="1" applyFill="1" applyBorder="1" applyAlignment="1">
      <alignment vertical="center"/>
    </xf>
    <xf numFmtId="164" fontId="20" fillId="2" borderId="0" xfId="2" applyNumberFormat="1" applyFont="1" applyFill="1" applyAlignment="1">
      <alignment horizontal="right" vertical="center"/>
    </xf>
    <xf numFmtId="3" fontId="15" fillId="2" borderId="0" xfId="2" applyNumberFormat="1" applyFont="1" applyFill="1" applyBorder="1" applyAlignment="1" applyProtection="1">
      <alignment horizontal="right" vertical="center"/>
    </xf>
    <xf numFmtId="164" fontId="15" fillId="2" borderId="2" xfId="2" applyNumberFormat="1" applyFont="1" applyFill="1" applyBorder="1" applyAlignment="1" applyProtection="1">
      <alignment horizontal="left" vertical="center"/>
    </xf>
    <xf numFmtId="3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5" fillId="2" borderId="2" xfId="2" applyNumberFormat="1" applyFont="1" applyFill="1" applyBorder="1" applyAlignment="1" applyProtection="1">
      <alignment horizontal="right" vertical="center"/>
      <protection locked="0"/>
    </xf>
    <xf numFmtId="165" fontId="15" fillId="2" borderId="2" xfId="2" applyNumberFormat="1" applyFont="1" applyFill="1" applyBorder="1" applyAlignment="1" applyProtection="1">
      <alignment horizontal="right" vertical="center"/>
      <protection locked="0"/>
    </xf>
    <xf numFmtId="168" fontId="15" fillId="2" borderId="12" xfId="2" applyNumberFormat="1" applyFont="1" applyFill="1" applyBorder="1" applyAlignment="1" applyProtection="1">
      <alignment vertical="center"/>
      <protection locked="0"/>
    </xf>
    <xf numFmtId="168" fontId="15" fillId="2" borderId="2" xfId="2" applyNumberFormat="1" applyFont="1" applyFill="1" applyBorder="1" applyAlignment="1" applyProtection="1">
      <alignment horizontal="right" vertical="center"/>
      <protection locked="0"/>
    </xf>
    <xf numFmtId="164" fontId="20" fillId="2" borderId="2" xfId="2" applyNumberFormat="1" applyFont="1" applyFill="1" applyBorder="1" applyAlignment="1">
      <alignment horizontal="right" vertical="center"/>
    </xf>
    <xf numFmtId="37" fontId="19" fillId="2" borderId="0" xfId="2" applyNumberFormat="1" applyFont="1" applyFill="1" applyAlignment="1" applyProtection="1">
      <alignment horizontal="center" vertical="center"/>
    </xf>
    <xf numFmtId="168" fontId="19" fillId="2" borderId="0" xfId="2" applyNumberFormat="1" applyFont="1" applyFill="1" applyAlignment="1" applyProtection="1">
      <alignment horizontal="center" vertical="center"/>
    </xf>
    <xf numFmtId="168" fontId="24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/>
    <xf numFmtId="164" fontId="11" fillId="2" borderId="3" xfId="2" applyNumberFormat="1" applyFont="1" applyFill="1" applyBorder="1" applyAlignment="1">
      <alignment horizontal="center"/>
    </xf>
    <xf numFmtId="0" fontId="17" fillId="2" borderId="3" xfId="2" applyFont="1" applyFill="1" applyBorder="1" applyAlignment="1" applyProtection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right"/>
    </xf>
    <xf numFmtId="1" fontId="13" fillId="2" borderId="2" xfId="2" applyNumberFormat="1" applyFont="1" applyFill="1" applyBorder="1" applyAlignment="1" applyProtection="1">
      <alignment horizontal="right" vertical="center"/>
    </xf>
    <xf numFmtId="1" fontId="13" fillId="2" borderId="2" xfId="2" applyNumberFormat="1" applyFont="1" applyFill="1" applyBorder="1" applyAlignment="1" applyProtection="1">
      <alignment horizontal="center" vertical="center"/>
    </xf>
    <xf numFmtId="1" fontId="13" fillId="2" borderId="2" xfId="2" applyNumberFormat="1" applyFont="1" applyFill="1" applyBorder="1" applyAlignment="1">
      <alignment horizontal="right" vertical="center"/>
    </xf>
    <xf numFmtId="1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 indent="3"/>
    </xf>
    <xf numFmtId="165" fontId="19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 indent="3"/>
    </xf>
    <xf numFmtId="164" fontId="20" fillId="2" borderId="0" xfId="2" applyNumberFormat="1" applyFont="1" applyFill="1" applyAlignment="1">
      <alignment horizontal="right" vertical="center" indent="4"/>
    </xf>
    <xf numFmtId="165" fontId="19" fillId="2" borderId="0" xfId="2" applyNumberFormat="1" applyFont="1" applyFill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  <protection locked="0"/>
    </xf>
    <xf numFmtId="168" fontId="19" fillId="2" borderId="0" xfId="2" applyNumberFormat="1" applyFont="1" applyFill="1" applyAlignment="1">
      <alignment vertical="center"/>
    </xf>
    <xf numFmtId="164" fontId="28" fillId="2" borderId="0" xfId="2" applyNumberFormat="1" applyFont="1" applyFill="1" applyBorder="1" applyAlignment="1">
      <alignment horizontal="right" vertical="center"/>
    </xf>
    <xf numFmtId="168" fontId="19" fillId="2" borderId="2" xfId="2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Alignment="1">
      <alignment horizontal="center" vertical="center"/>
    </xf>
    <xf numFmtId="164" fontId="35" fillId="2" borderId="0" xfId="2" applyNumberFormat="1" applyFont="1" applyFill="1"/>
    <xf numFmtId="164" fontId="8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/>
    </xf>
    <xf numFmtId="164" fontId="13" fillId="2" borderId="3" xfId="2" applyNumberFormat="1" applyFont="1" applyFill="1" applyBorder="1" applyAlignment="1">
      <alignment horizontal="right"/>
    </xf>
    <xf numFmtId="0" fontId="18" fillId="2" borderId="0" xfId="2" applyFont="1" applyFill="1" applyBorder="1" applyAlignment="1" applyProtection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horizontal="right" vertical="center"/>
    </xf>
    <xf numFmtId="168" fontId="13" fillId="2" borderId="0" xfId="2" applyNumberFormat="1" applyFont="1" applyFill="1" applyBorder="1" applyAlignment="1" applyProtection="1">
      <alignment horizontal="center" vertical="center"/>
      <protection locked="0"/>
    </xf>
    <xf numFmtId="168" fontId="13" fillId="2" borderId="2" xfId="2" applyNumberFormat="1" applyFont="1" applyFill="1" applyBorder="1" applyAlignment="1">
      <alignment horizontal="right" vertical="center"/>
    </xf>
    <xf numFmtId="164" fontId="34" fillId="2" borderId="2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8" fontId="13" fillId="2" borderId="0" xfId="2" applyNumberFormat="1" applyFont="1" applyFill="1" applyBorder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</xf>
    <xf numFmtId="164" fontId="19" fillId="2" borderId="0" xfId="2" applyNumberFormat="1" applyFont="1" applyFill="1" applyBorder="1" applyAlignment="1">
      <alignment vertical="center"/>
    </xf>
    <xf numFmtId="165" fontId="19" fillId="2" borderId="0" xfId="2" applyNumberFormat="1" applyFont="1" applyFill="1" applyBorder="1" applyAlignment="1" applyProtection="1">
      <alignment horizontal="right"/>
    </xf>
    <xf numFmtId="164" fontId="28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horizontal="center" vertical="center"/>
    </xf>
    <xf numFmtId="165" fontId="13" fillId="2" borderId="2" xfId="2" applyNumberFormat="1" applyFont="1" applyFill="1" applyBorder="1" applyAlignment="1" applyProtection="1">
      <alignment horizontal="right" vertical="center"/>
    </xf>
    <xf numFmtId="168" fontId="13" fillId="2" borderId="2" xfId="2" applyNumberFormat="1" applyFont="1" applyFill="1" applyBorder="1" applyAlignment="1" applyProtection="1">
      <alignment horizontal="right" vertical="center"/>
    </xf>
    <xf numFmtId="164" fontId="11" fillId="2" borderId="2" xfId="2" applyNumberFormat="1" applyFont="1" applyFill="1" applyBorder="1" applyAlignment="1">
      <alignment horizontal="right" vertical="center"/>
    </xf>
    <xf numFmtId="168" fontId="19" fillId="2" borderId="0" xfId="2" applyNumberFormat="1" applyFont="1" applyFill="1" applyAlignment="1">
      <alignment horizontal="center" vertical="center"/>
    </xf>
    <xf numFmtId="164" fontId="19" fillId="2" borderId="0" xfId="2" applyNumberFormat="1" applyFont="1" applyFill="1"/>
    <xf numFmtId="164" fontId="19" fillId="2" borderId="0" xfId="2" applyNumberFormat="1" applyFont="1" applyFill="1" applyAlignment="1">
      <alignment horizontal="center"/>
    </xf>
    <xf numFmtId="168" fontId="19" fillId="2" borderId="0" xfId="2" applyNumberFormat="1" applyFont="1" applyFill="1" applyAlignment="1">
      <alignment horizontal="center"/>
    </xf>
    <xf numFmtId="164" fontId="36" fillId="2" borderId="0" xfId="2" applyNumberFormat="1" applyFont="1" applyFill="1"/>
    <xf numFmtId="164" fontId="36" fillId="2" borderId="0" xfId="2" applyNumberFormat="1" applyFont="1" applyFill="1" applyAlignment="1">
      <alignment horizontal="center"/>
    </xf>
    <xf numFmtId="168" fontId="36" fillId="2" borderId="0" xfId="2" applyNumberFormat="1" applyFont="1" applyFill="1" applyAlignment="1">
      <alignment horizontal="center"/>
    </xf>
    <xf numFmtId="164" fontId="35" fillId="2" borderId="0" xfId="2" applyNumberFormat="1" applyFont="1" applyFill="1" applyAlignment="1">
      <alignment horizontal="center"/>
    </xf>
    <xf numFmtId="168" fontId="35" fillId="2" borderId="0" xfId="2" applyNumberFormat="1" applyFont="1" applyFill="1" applyAlignment="1">
      <alignment horizontal="center"/>
    </xf>
    <xf numFmtId="164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29" fillId="2" borderId="2" xfId="2" applyNumberFormat="1" applyFont="1" applyFill="1" applyBorder="1" applyAlignment="1">
      <alignment vertical="center"/>
    </xf>
    <xf numFmtId="164" fontId="12" fillId="2" borderId="11" xfId="2" applyNumberFormat="1" applyFont="1" applyFill="1" applyBorder="1" applyAlignment="1">
      <alignment vertical="center"/>
    </xf>
    <xf numFmtId="168" fontId="17" fillId="2" borderId="3" xfId="2" applyNumberFormat="1" applyFont="1" applyFill="1" applyBorder="1" applyAlignment="1" applyProtection="1">
      <alignment vertical="center"/>
      <protection hidden="1"/>
    </xf>
    <xf numFmtId="1" fontId="8" fillId="2" borderId="0" xfId="2" applyNumberFormat="1" applyFont="1" applyFill="1" applyBorder="1" applyAlignment="1" applyProtection="1">
      <alignment vertical="center"/>
      <protection locked="0"/>
    </xf>
    <xf numFmtId="165" fontId="19" fillId="2" borderId="2" xfId="2" applyNumberFormat="1" applyFont="1" applyFill="1" applyBorder="1" applyAlignment="1">
      <alignment horizontal="right" vertical="center" indent="3"/>
    </xf>
    <xf numFmtId="167" fontId="13" fillId="2" borderId="0" xfId="1" applyNumberFormat="1" applyFont="1" applyFill="1" applyAlignment="1">
      <alignment horizontal="right" vertical="center"/>
    </xf>
    <xf numFmtId="167" fontId="19" fillId="2" borderId="0" xfId="1" applyNumberFormat="1" applyFont="1" applyFill="1" applyBorder="1" applyAlignment="1" applyProtection="1">
      <alignment horizontal="right" vertical="center"/>
    </xf>
    <xf numFmtId="167" fontId="19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>
      <alignment vertical="center"/>
    </xf>
    <xf numFmtId="167" fontId="19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10" xfId="4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167" fontId="4" fillId="2" borderId="10" xfId="1" applyNumberFormat="1" applyFont="1" applyFill="1" applyBorder="1" applyAlignment="1" applyProtection="1">
      <alignment horizontal="right" vertical="center"/>
    </xf>
    <xf numFmtId="164" fontId="3" fillId="0" borderId="10" xfId="4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center" vertical="center"/>
    </xf>
    <xf numFmtId="165" fontId="19" fillId="2" borderId="0" xfId="2" applyNumberFormat="1" applyFont="1" applyFill="1" applyAlignment="1" applyProtection="1">
      <alignment horizontal="right" vertical="center"/>
      <protection locked="0"/>
    </xf>
    <xf numFmtId="165" fontId="19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5" fillId="2" borderId="0" xfId="2" applyNumberFormat="1" applyFont="1" applyFill="1" applyBorder="1" applyAlignment="1" applyProtection="1">
      <alignment horizontal="center" vertical="center"/>
    </xf>
    <xf numFmtId="164" fontId="38" fillId="2" borderId="0" xfId="2" applyNumberFormat="1" applyFont="1" applyFill="1" applyAlignment="1">
      <alignment vertical="center"/>
    </xf>
    <xf numFmtId="164" fontId="39" fillId="2" borderId="0" xfId="2" applyNumberFormat="1" applyFont="1" applyFill="1" applyAlignment="1">
      <alignment horizontal="center" vertical="center"/>
    </xf>
    <xf numFmtId="168" fontId="39" fillId="2" borderId="0" xfId="2" applyNumberFormat="1" applyFont="1" applyFill="1" applyAlignment="1">
      <alignment horizontal="center" vertical="center"/>
    </xf>
    <xf numFmtId="164" fontId="39" fillId="2" borderId="0" xfId="2" applyNumberFormat="1" applyFont="1" applyFill="1" applyAlignment="1">
      <alignment horizontal="right" vertical="center"/>
    </xf>
    <xf numFmtId="164" fontId="39" fillId="2" borderId="0" xfId="2" applyNumberFormat="1" applyFont="1" applyFill="1" applyAlignment="1">
      <alignment vertical="center"/>
    </xf>
    <xf numFmtId="167" fontId="19" fillId="2" borderId="0" xfId="1" applyNumberFormat="1" applyFont="1" applyFill="1" applyAlignment="1">
      <alignment horizontal="right" vertical="center" indent="2"/>
    </xf>
    <xf numFmtId="164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8" fillId="5" borderId="1" xfId="2" applyNumberFormat="1" applyFont="1" applyFill="1" applyBorder="1" applyAlignment="1" applyProtection="1">
      <alignment horizontal="right" vertical="center"/>
    </xf>
    <xf numFmtId="165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15" xfId="2" applyNumberFormat="1" applyFont="1" applyFill="1" applyBorder="1" applyAlignment="1">
      <alignment vertical="center"/>
    </xf>
    <xf numFmtId="165" fontId="15" fillId="5" borderId="12" xfId="2" applyNumberFormat="1" applyFont="1" applyFill="1" applyBorder="1" applyAlignment="1" applyProtection="1">
      <alignment horizontal="right" vertical="center"/>
      <protection locked="0"/>
    </xf>
    <xf numFmtId="165" fontId="15" fillId="5" borderId="11" xfId="2" applyNumberFormat="1" applyFont="1" applyFill="1" applyBorder="1" applyAlignment="1" applyProtection="1">
      <alignment horizontal="right" vertical="center"/>
      <protection locked="0"/>
    </xf>
    <xf numFmtId="164" fontId="8" fillId="5" borderId="17" xfId="2" applyNumberFormat="1" applyFont="1" applyFill="1" applyBorder="1" applyAlignment="1" applyProtection="1">
      <alignment horizontal="right" vertical="center"/>
      <protection locked="0"/>
    </xf>
    <xf numFmtId="164" fontId="8" fillId="5" borderId="22" xfId="2" applyNumberFormat="1" applyFont="1" applyFill="1" applyBorder="1" applyAlignment="1" applyProtection="1">
      <alignment horizontal="right" vertical="center"/>
    </xf>
    <xf numFmtId="165" fontId="8" fillId="5" borderId="3" xfId="2" applyNumberFormat="1" applyFont="1" applyFill="1" applyBorder="1" applyAlignment="1" applyProtection="1">
      <alignment horizontal="right" vertical="center"/>
    </xf>
    <xf numFmtId="165" fontId="8" fillId="5" borderId="13" xfId="2" applyNumberFormat="1" applyFont="1" applyFill="1" applyBorder="1" applyAlignment="1" applyProtection="1">
      <alignment horizontal="right" vertical="center"/>
    </xf>
    <xf numFmtId="165" fontId="8" fillId="5" borderId="11" xfId="2" applyNumberFormat="1" applyFont="1" applyFill="1" applyBorder="1" applyAlignment="1" applyProtection="1">
      <alignment horizontal="right" vertical="center"/>
      <protection locked="0"/>
    </xf>
    <xf numFmtId="165" fontId="15" fillId="5" borderId="0" xfId="2" applyNumberFormat="1" applyFont="1" applyFill="1" applyBorder="1" applyAlignment="1" applyProtection="1">
      <alignment horizontal="right" vertical="center"/>
      <protection locked="0"/>
    </xf>
    <xf numFmtId="165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26" fillId="2" borderId="15" xfId="2" applyNumberFormat="1" applyFont="1" applyFill="1" applyBorder="1" applyAlignment="1">
      <alignment horizontal="center"/>
    </xf>
    <xf numFmtId="164" fontId="27" fillId="2" borderId="15" xfId="2" applyNumberFormat="1" applyFont="1" applyFill="1" applyBorder="1" applyAlignment="1">
      <alignment vertical="center"/>
    </xf>
    <xf numFmtId="164" fontId="13" fillId="5" borderId="25" xfId="2" applyNumberFormat="1" applyFont="1" applyFill="1" applyBorder="1" applyAlignment="1">
      <alignment horizontal="right" vertical="center"/>
    </xf>
    <xf numFmtId="164" fontId="12" fillId="5" borderId="11" xfId="2" applyNumberFormat="1" applyFont="1" applyFill="1" applyBorder="1" applyAlignment="1">
      <alignment vertical="center"/>
    </xf>
    <xf numFmtId="168" fontId="8" fillId="5" borderId="11" xfId="2" applyNumberFormat="1" applyFont="1" applyFill="1" applyBorder="1" applyAlignment="1" applyProtection="1">
      <alignment vertical="center"/>
      <protection locked="0"/>
    </xf>
    <xf numFmtId="168" fontId="15" fillId="5" borderId="11" xfId="2" applyNumberFormat="1" applyFont="1" applyFill="1" applyBorder="1" applyAlignment="1" applyProtection="1">
      <alignment vertical="center"/>
      <protection locked="0"/>
    </xf>
    <xf numFmtId="168" fontId="15" fillId="5" borderId="12" xfId="2" applyNumberFormat="1" applyFont="1" applyFill="1" applyBorder="1" applyAlignment="1" applyProtection="1">
      <alignment vertical="center"/>
      <protection locked="0"/>
    </xf>
    <xf numFmtId="168" fontId="13" fillId="5" borderId="18" xfId="2" applyNumberFormat="1" applyFont="1" applyFill="1" applyBorder="1" applyAlignment="1">
      <alignment horizontal="right" vertical="center"/>
    </xf>
    <xf numFmtId="168" fontId="8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vertical="center"/>
      <protection locked="0"/>
    </xf>
    <xf numFmtId="168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40" fillId="2" borderId="0" xfId="2" applyNumberFormat="1" applyFont="1" applyFill="1" applyBorder="1" applyAlignment="1" applyProtection="1">
      <alignment horizontal="right" vertical="center"/>
      <protection locked="0"/>
    </xf>
    <xf numFmtId="164" fontId="40" fillId="5" borderId="24" xfId="2" applyNumberFormat="1" applyFont="1" applyFill="1" applyBorder="1" applyAlignment="1" applyProtection="1">
      <alignment horizontal="right" vertical="center"/>
      <protection locked="0"/>
    </xf>
    <xf numFmtId="168" fontId="13" fillId="2" borderId="6" xfId="2" applyNumberFormat="1" applyFont="1" applyFill="1" applyBorder="1" applyAlignment="1">
      <alignment horizontal="right" vertical="center"/>
    </xf>
    <xf numFmtId="164" fontId="13" fillId="2" borderId="23" xfId="2" applyNumberFormat="1" applyFont="1" applyFill="1" applyBorder="1" applyAlignment="1" applyProtection="1">
      <alignment horizontal="right" vertical="center"/>
    </xf>
    <xf numFmtId="165" fontId="13" fillId="2" borderId="26" xfId="2" applyNumberFormat="1" applyFont="1" applyFill="1" applyBorder="1" applyAlignment="1" applyProtection="1">
      <alignment horizontal="right" vertical="center"/>
    </xf>
    <xf numFmtId="165" fontId="19" fillId="2" borderId="26" xfId="2" applyNumberFormat="1" applyFont="1" applyFill="1" applyBorder="1" applyAlignment="1" applyProtection="1">
      <alignment horizontal="right" vertical="center"/>
    </xf>
    <xf numFmtId="165" fontId="13" fillId="2" borderId="25" xfId="2" applyNumberFormat="1" applyFont="1" applyFill="1" applyBorder="1" applyAlignment="1" applyProtection="1">
      <alignment horizontal="right" vertical="center"/>
    </xf>
    <xf numFmtId="165" fontId="19" fillId="5" borderId="0" xfId="2" applyNumberFormat="1" applyFont="1" applyFill="1" applyBorder="1" applyAlignment="1" applyProtection="1">
      <alignment horizontal="right" vertical="center"/>
    </xf>
    <xf numFmtId="165" fontId="13" fillId="5" borderId="2" xfId="2" applyNumberFormat="1" applyFont="1" applyFill="1" applyBorder="1" applyAlignment="1" applyProtection="1">
      <alignment horizontal="right" vertical="center"/>
    </xf>
    <xf numFmtId="165" fontId="13" fillId="5" borderId="0" xfId="2" applyNumberFormat="1" applyFont="1" applyFill="1" applyBorder="1" applyAlignment="1" applyProtection="1">
      <alignment horizontal="right" vertical="center"/>
    </xf>
    <xf numFmtId="164" fontId="13" fillId="5" borderId="21" xfId="2" applyNumberFormat="1" applyFont="1" applyFill="1" applyBorder="1" applyAlignment="1" applyProtection="1">
      <alignment horizontal="right" vertical="center"/>
    </xf>
    <xf numFmtId="165" fontId="13" fillId="5" borderId="11" xfId="2" applyNumberFormat="1" applyFont="1" applyFill="1" applyBorder="1" applyAlignment="1" applyProtection="1">
      <alignment horizontal="right" vertical="center"/>
    </xf>
    <xf numFmtId="165" fontId="19" fillId="5" borderId="11" xfId="2" applyNumberFormat="1" applyFont="1" applyFill="1" applyBorder="1" applyAlignment="1" applyProtection="1">
      <alignment horizontal="right" vertical="center"/>
    </xf>
    <xf numFmtId="165" fontId="13" fillId="5" borderId="12" xfId="2" applyNumberFormat="1" applyFont="1" applyFill="1" applyBorder="1" applyAlignment="1" applyProtection="1">
      <alignment horizontal="right" vertical="center"/>
    </xf>
    <xf numFmtId="168" fontId="13" fillId="5" borderId="0" xfId="2" applyNumberFormat="1" applyFont="1" applyFill="1" applyBorder="1" applyAlignment="1" applyProtection="1">
      <alignment horizontal="right" vertical="center"/>
    </xf>
    <xf numFmtId="168" fontId="19" fillId="5" borderId="0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>
      <alignment horizontal="right" vertical="center"/>
    </xf>
    <xf numFmtId="1" fontId="13" fillId="2" borderId="25" xfId="2" applyNumberFormat="1" applyFont="1" applyFill="1" applyBorder="1" applyAlignment="1" applyProtection="1">
      <alignment horizontal="right" vertical="center"/>
    </xf>
    <xf numFmtId="165" fontId="13" fillId="2" borderId="27" xfId="2" applyNumberFormat="1" applyFont="1" applyFill="1" applyBorder="1" applyAlignment="1">
      <alignment horizontal="right" vertical="center"/>
    </xf>
    <xf numFmtId="165" fontId="13" fillId="2" borderId="26" xfId="2" applyNumberFormat="1" applyFont="1" applyFill="1" applyBorder="1" applyAlignment="1">
      <alignment horizontal="right" vertical="center"/>
    </xf>
    <xf numFmtId="165" fontId="19" fillId="2" borderId="26" xfId="2" applyNumberFormat="1" applyFont="1" applyFill="1" applyBorder="1" applyAlignment="1">
      <alignment horizontal="right" vertical="center"/>
    </xf>
    <xf numFmtId="167" fontId="19" fillId="2" borderId="26" xfId="1" applyNumberFormat="1" applyFont="1" applyFill="1" applyBorder="1" applyAlignment="1">
      <alignment horizontal="right" vertical="center"/>
    </xf>
    <xf numFmtId="165" fontId="19" fillId="2" borderId="25" xfId="2" applyNumberFormat="1" applyFont="1" applyFill="1" applyBorder="1" applyAlignment="1">
      <alignment horizontal="right" vertical="center"/>
    </xf>
    <xf numFmtId="167" fontId="19" fillId="5" borderId="0" xfId="1" applyNumberFormat="1" applyFont="1" applyFill="1" applyBorder="1" applyAlignment="1" applyProtection="1">
      <alignment horizontal="right" vertical="center"/>
    </xf>
    <xf numFmtId="167" fontId="19" fillId="5" borderId="0" xfId="1" applyNumberFormat="1" applyFont="1" applyFill="1" applyAlignment="1">
      <alignment horizontal="right" vertical="center"/>
    </xf>
    <xf numFmtId="167" fontId="19" fillId="5" borderId="0" xfId="1" applyNumberFormat="1" applyFont="1" applyFill="1" applyAlignment="1">
      <alignment vertical="center"/>
    </xf>
    <xf numFmtId="167" fontId="19" fillId="5" borderId="2" xfId="1" applyNumberFormat="1" applyFont="1" applyFill="1" applyBorder="1" applyAlignment="1" applyProtection="1">
      <alignment horizontal="right" vertical="center"/>
      <protection locked="0"/>
    </xf>
    <xf numFmtId="167" fontId="13" fillId="5" borderId="0" xfId="1" applyNumberFormat="1" applyFont="1" applyFill="1" applyAlignment="1">
      <alignment horizontal="right" vertical="center"/>
    </xf>
    <xf numFmtId="167" fontId="13" fillId="5" borderId="0" xfId="1" applyNumberFormat="1" applyFont="1" applyFill="1" applyAlignment="1" applyProtection="1">
      <alignment horizontal="right" vertical="center"/>
    </xf>
    <xf numFmtId="167" fontId="19" fillId="5" borderId="0" xfId="1" applyNumberFormat="1" applyFont="1" applyFill="1" applyAlignment="1" applyProtection="1">
      <alignment horizontal="right" vertical="center"/>
    </xf>
    <xf numFmtId="1" fontId="13" fillId="5" borderId="12" xfId="2" applyNumberFormat="1" applyFont="1" applyFill="1" applyBorder="1" applyAlignment="1" applyProtection="1">
      <alignment horizontal="right" vertical="center"/>
    </xf>
    <xf numFmtId="165" fontId="13" fillId="5" borderId="13" xfId="2" applyNumberFormat="1" applyFont="1" applyFill="1" applyBorder="1" applyAlignment="1">
      <alignment horizontal="right" vertical="center"/>
    </xf>
    <xf numFmtId="165" fontId="13" fillId="5" borderId="11" xfId="2" applyNumberFormat="1" applyFont="1" applyFill="1" applyBorder="1" applyAlignment="1">
      <alignment horizontal="right" vertical="center"/>
    </xf>
    <xf numFmtId="165" fontId="19" fillId="5" borderId="11" xfId="2" applyNumberFormat="1" applyFont="1" applyFill="1" applyBorder="1" applyAlignment="1">
      <alignment horizontal="right" vertical="center"/>
    </xf>
    <xf numFmtId="167" fontId="19" fillId="5" borderId="11" xfId="1" applyNumberFormat="1" applyFont="1" applyFill="1" applyBorder="1" applyAlignment="1">
      <alignment horizontal="right" vertical="center"/>
    </xf>
    <xf numFmtId="165" fontId="19" fillId="5" borderId="12" xfId="2" applyNumberFormat="1" applyFont="1" applyFill="1" applyBorder="1" applyAlignment="1">
      <alignment horizontal="right" vertical="center"/>
    </xf>
    <xf numFmtId="1" fontId="13" fillId="5" borderId="2" xfId="2" applyNumberFormat="1" applyFont="1" applyFill="1" applyBorder="1" applyAlignment="1" applyProtection="1">
      <alignment horizontal="center" vertical="center"/>
    </xf>
    <xf numFmtId="165" fontId="13" fillId="5" borderId="0" xfId="2" applyNumberFormat="1" applyFont="1" applyFill="1" applyBorder="1" applyAlignment="1">
      <alignment horizontal="right" vertical="center" indent="3"/>
    </xf>
    <xf numFmtId="165" fontId="19" fillId="5" borderId="0" xfId="2" applyNumberFormat="1" applyFont="1" applyFill="1" applyBorder="1" applyAlignment="1">
      <alignment horizontal="right" vertical="center" indent="3"/>
    </xf>
    <xf numFmtId="167" fontId="19" fillId="5" borderId="0" xfId="1" applyNumberFormat="1" applyFont="1" applyFill="1" applyAlignment="1">
      <alignment horizontal="right" vertical="center" indent="2"/>
    </xf>
    <xf numFmtId="165" fontId="19" fillId="5" borderId="2" xfId="2" applyNumberFormat="1" applyFont="1" applyFill="1" applyBorder="1" applyAlignment="1">
      <alignment horizontal="right" vertical="center" indent="3"/>
    </xf>
    <xf numFmtId="164" fontId="41" fillId="3" borderId="10" xfId="4" applyNumberFormat="1" applyFont="1" applyFill="1" applyBorder="1" applyAlignment="1">
      <alignment horizontal="center" vertical="center"/>
    </xf>
    <xf numFmtId="167" fontId="42" fillId="4" borderId="10" xfId="1" applyNumberFormat="1" applyFont="1" applyFill="1" applyBorder="1"/>
    <xf numFmtId="167" fontId="42" fillId="4" borderId="10" xfId="1" applyNumberFormat="1" applyFont="1" applyFill="1" applyBorder="1" applyAlignment="1" applyProtection="1">
      <alignment horizontal="right" vertical="center"/>
    </xf>
    <xf numFmtId="0" fontId="45" fillId="2" borderId="0" xfId="0" applyFont="1" applyFill="1" applyAlignment="1">
      <alignment vertical="top" wrapText="1"/>
    </xf>
    <xf numFmtId="175" fontId="44" fillId="2" borderId="0" xfId="0" applyNumberFormat="1" applyFont="1" applyFill="1" applyAlignment="1">
      <alignment horizontal="left" vertical="top"/>
    </xf>
    <xf numFmtId="0" fontId="51" fillId="2" borderId="0" xfId="0" applyFont="1" applyFill="1" applyAlignment="1">
      <alignment horizontal="left" vertical="center" wrapText="1"/>
    </xf>
    <xf numFmtId="165" fontId="50" fillId="2" borderId="0" xfId="2" applyNumberFormat="1" applyFont="1" applyFill="1" applyBorder="1" applyAlignment="1">
      <alignment horizontal="right" vertical="center"/>
    </xf>
    <xf numFmtId="174" fontId="47" fillId="2" borderId="0" xfId="1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top"/>
    </xf>
    <xf numFmtId="0" fontId="45" fillId="2" borderId="0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52" fillId="2" borderId="0" xfId="0" applyFont="1" applyFill="1" applyAlignment="1">
      <alignment horizontal="center" vertical="center" wrapText="1"/>
    </xf>
    <xf numFmtId="174" fontId="43" fillId="2" borderId="0" xfId="0" applyNumberFormat="1" applyFont="1" applyFill="1" applyAlignment="1">
      <alignment horizontal="center" vertical="center" wrapText="1"/>
    </xf>
    <xf numFmtId="1" fontId="43" fillId="2" borderId="0" xfId="0" applyNumberFormat="1" applyFont="1" applyFill="1" applyAlignment="1">
      <alignment horizontal="center" vertical="center" wrapText="1"/>
    </xf>
    <xf numFmtId="0" fontId="53" fillId="2" borderId="0" xfId="0" applyFont="1" applyFill="1" applyAlignment="1">
      <alignment vertical="top" wrapText="1"/>
    </xf>
    <xf numFmtId="0" fontId="52" fillId="2" borderId="3" xfId="0" applyFont="1" applyFill="1" applyBorder="1" applyAlignment="1">
      <alignment vertical="center" wrapText="1"/>
    </xf>
    <xf numFmtId="0" fontId="52" fillId="2" borderId="13" xfId="0" applyFont="1" applyFill="1" applyBorder="1" applyAlignment="1">
      <alignment horizontal="center" vertical="center" wrapText="1"/>
    </xf>
    <xf numFmtId="0" fontId="52" fillId="2" borderId="7" xfId="0" applyFont="1" applyFill="1" applyBorder="1" applyAlignment="1">
      <alignment horizontal="center" vertical="center" wrapText="1"/>
    </xf>
    <xf numFmtId="0" fontId="48" fillId="2" borderId="28" xfId="0" applyFont="1" applyFill="1" applyBorder="1" applyAlignment="1">
      <alignment vertical="center" wrapText="1"/>
    </xf>
    <xf numFmtId="0" fontId="47" fillId="2" borderId="29" xfId="0" applyFont="1" applyFill="1" applyBorder="1" applyAlignment="1">
      <alignment horizontal="center" vertical="center" wrapText="1"/>
    </xf>
    <xf numFmtId="0" fontId="48" fillId="2" borderId="14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52" fillId="2" borderId="12" xfId="0" applyFont="1" applyFill="1" applyBorder="1" applyAlignment="1">
      <alignment horizontal="right" vertical="center" wrapText="1"/>
    </xf>
    <xf numFmtId="0" fontId="52" fillId="2" borderId="19" xfId="0" applyFont="1" applyFill="1" applyBorder="1" applyAlignment="1">
      <alignment horizontal="right" vertical="center" wrapText="1"/>
    </xf>
    <xf numFmtId="0" fontId="55" fillId="2" borderId="0" xfId="0" applyFont="1" applyFill="1" applyAlignment="1">
      <alignment horizontal="left" vertical="center" wrapText="1"/>
    </xf>
    <xf numFmtId="174" fontId="55" fillId="2" borderId="0" xfId="0" applyNumberFormat="1" applyFont="1" applyFill="1" applyAlignment="1">
      <alignment horizontal="right" vertical="center" wrapText="1"/>
    </xf>
    <xf numFmtId="174" fontId="55" fillId="2" borderId="11" xfId="0" applyNumberFormat="1" applyFont="1" applyFill="1" applyBorder="1" applyAlignment="1">
      <alignment horizontal="right" vertical="center" wrapText="1"/>
    </xf>
    <xf numFmtId="1" fontId="55" fillId="2" borderId="0" xfId="0" applyNumberFormat="1" applyFont="1" applyFill="1" applyBorder="1" applyAlignment="1">
      <alignment horizontal="right" vertical="center" wrapText="1"/>
    </xf>
    <xf numFmtId="1" fontId="55" fillId="2" borderId="11" xfId="0" applyNumberFormat="1" applyFont="1" applyFill="1" applyBorder="1" applyAlignment="1">
      <alignment horizontal="right" vertical="center" wrapText="1"/>
    </xf>
    <xf numFmtId="3" fontId="55" fillId="2" borderId="5" xfId="1" applyNumberFormat="1" applyFont="1" applyFill="1" applyBorder="1" applyAlignment="1">
      <alignment horizontal="center" vertical="center" wrapText="1"/>
    </xf>
    <xf numFmtId="0" fontId="56" fillId="2" borderId="0" xfId="0" applyFont="1" applyFill="1" applyAlignment="1">
      <alignment vertical="top" wrapText="1"/>
    </xf>
    <xf numFmtId="0" fontId="52" fillId="2" borderId="0" xfId="0" applyFont="1" applyFill="1" applyAlignment="1">
      <alignment vertical="top" wrapText="1"/>
    </xf>
    <xf numFmtId="174" fontId="51" fillId="2" borderId="0" xfId="1" applyNumberFormat="1" applyFont="1" applyFill="1" applyBorder="1" applyAlignment="1">
      <alignment horizontal="right" vertical="center" wrapText="1"/>
    </xf>
    <xf numFmtId="174" fontId="51" fillId="2" borderId="11" xfId="1" applyNumberFormat="1" applyFont="1" applyFill="1" applyBorder="1" applyAlignment="1">
      <alignment horizontal="right" vertical="center" wrapText="1"/>
    </xf>
    <xf numFmtId="1" fontId="51" fillId="2" borderId="0" xfId="0" applyNumberFormat="1" applyFont="1" applyFill="1" applyBorder="1" applyAlignment="1">
      <alignment horizontal="right" vertical="center" wrapText="1"/>
    </xf>
    <xf numFmtId="1" fontId="51" fillId="2" borderId="11" xfId="0" applyNumberFormat="1" applyFont="1" applyFill="1" applyBorder="1" applyAlignment="1">
      <alignment horizontal="right" vertical="center" wrapText="1"/>
    </xf>
    <xf numFmtId="3" fontId="51" fillId="2" borderId="5" xfId="1" applyNumberFormat="1" applyFont="1" applyFill="1" applyBorder="1" applyAlignment="1">
      <alignment horizontal="center" vertical="center" wrapText="1"/>
    </xf>
    <xf numFmtId="0" fontId="57" fillId="2" borderId="0" xfId="0" applyFont="1" applyFill="1" applyAlignment="1">
      <alignment vertical="top" wrapText="1"/>
    </xf>
    <xf numFmtId="43" fontId="44" fillId="2" borderId="0" xfId="1" applyFont="1" applyFill="1" applyAlignment="1">
      <alignment horizontal="left" vertical="top"/>
    </xf>
    <xf numFmtId="0" fontId="57" fillId="2" borderId="0" xfId="0" applyFont="1" applyFill="1" applyAlignment="1">
      <alignment vertical="top"/>
    </xf>
    <xf numFmtId="165" fontId="57" fillId="2" borderId="0" xfId="2" applyNumberFormat="1" applyFont="1" applyFill="1" applyAlignment="1">
      <alignment horizontal="right" vertical="center"/>
    </xf>
    <xf numFmtId="0" fontId="51" fillId="2" borderId="0" xfId="0" applyFont="1" applyFill="1" applyBorder="1" applyAlignment="1">
      <alignment horizontal="left" vertical="center" wrapText="1"/>
    </xf>
    <xf numFmtId="0" fontId="57" fillId="2" borderId="0" xfId="0" applyFont="1" applyFill="1" applyBorder="1" applyAlignment="1">
      <alignment vertical="top" wrapText="1"/>
    </xf>
    <xf numFmtId="1" fontId="51" fillId="2" borderId="6" xfId="0" applyNumberFormat="1" applyFont="1" applyFill="1" applyBorder="1" applyAlignment="1">
      <alignment horizontal="right" vertical="center" wrapText="1"/>
    </xf>
    <xf numFmtId="1" fontId="51" fillId="2" borderId="2" xfId="0" applyNumberFormat="1" applyFont="1" applyFill="1" applyBorder="1" applyAlignment="1">
      <alignment horizontal="right" vertical="center" wrapText="1"/>
    </xf>
    <xf numFmtId="1" fontId="51" fillId="2" borderId="12" xfId="0" applyNumberFormat="1" applyFont="1" applyFill="1" applyBorder="1" applyAlignment="1">
      <alignment horizontal="right" vertical="center" wrapText="1"/>
    </xf>
    <xf numFmtId="3" fontId="51" fillId="2" borderId="0" xfId="1" applyNumberFormat="1" applyFont="1" applyFill="1" applyBorder="1" applyAlignment="1">
      <alignment horizontal="center" vertical="center" wrapText="1"/>
    </xf>
    <xf numFmtId="0" fontId="49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horizontal="left" vertical="center" wrapText="1"/>
    </xf>
    <xf numFmtId="0" fontId="44" fillId="2" borderId="0" xfId="0" applyFont="1" applyFill="1" applyAlignment="1">
      <alignment vertical="center"/>
    </xf>
    <xf numFmtId="175" fontId="58" fillId="2" borderId="0" xfId="0" applyNumberFormat="1" applyFont="1" applyFill="1" applyBorder="1" applyAlignment="1">
      <alignment horizontal="left" vertical="center"/>
    </xf>
    <xf numFmtId="174" fontId="45" fillId="2" borderId="0" xfId="1" applyNumberFormat="1" applyFont="1" applyFill="1" applyAlignment="1">
      <alignment vertical="center" wrapText="1"/>
    </xf>
    <xf numFmtId="0" fontId="45" fillId="2" borderId="0" xfId="0" applyFont="1" applyFill="1" applyAlignment="1">
      <alignment vertical="center" wrapText="1"/>
    </xf>
    <xf numFmtId="0" fontId="49" fillId="2" borderId="0" xfId="0" applyFont="1" applyFill="1" applyBorder="1" applyAlignment="1">
      <alignment vertical="center" wrapText="1"/>
    </xf>
    <xf numFmtId="174" fontId="45" fillId="2" borderId="0" xfId="0" applyNumberFormat="1" applyFont="1" applyFill="1" applyAlignment="1">
      <alignment vertical="top" wrapText="1"/>
    </xf>
    <xf numFmtId="3" fontId="45" fillId="2" borderId="0" xfId="0" applyNumberFormat="1" applyFont="1" applyFill="1" applyAlignment="1">
      <alignment vertical="top" wrapText="1"/>
    </xf>
    <xf numFmtId="174" fontId="15" fillId="2" borderId="0" xfId="1" applyNumberFormat="1" applyFont="1" applyFill="1" applyBorder="1" applyAlignment="1">
      <alignment horizontal="right" vertical="center" wrapText="1" indent="7"/>
    </xf>
    <xf numFmtId="174" fontId="15" fillId="2" borderId="6" xfId="1" applyNumberFormat="1" applyFont="1" applyFill="1" applyBorder="1" applyAlignment="1">
      <alignment horizontal="right" vertical="center" wrapText="1" indent="7"/>
    </xf>
    <xf numFmtId="0" fontId="57" fillId="2" borderId="2" xfId="0" applyFont="1" applyFill="1" applyBorder="1" applyAlignment="1">
      <alignment vertical="top" wrapText="1"/>
    </xf>
    <xf numFmtId="0" fontId="21" fillId="2" borderId="0" xfId="0" applyFont="1" applyFill="1" applyAlignment="1">
      <alignment horizontal="left" vertical="center"/>
    </xf>
    <xf numFmtId="164" fontId="23" fillId="2" borderId="0" xfId="2" applyNumberFormat="1" applyFont="1" applyFill="1" applyAlignment="1">
      <alignment horizontal="center" vertical="center"/>
    </xf>
    <xf numFmtId="164" fontId="16" fillId="2" borderId="0" xfId="2" applyNumberFormat="1" applyFont="1" applyFill="1" applyBorder="1" applyAlignment="1" applyProtection="1">
      <alignment horizontal="center" vertical="center" wrapText="1"/>
    </xf>
    <xf numFmtId="164" fontId="31" fillId="2" borderId="0" xfId="2" applyNumberFormat="1" applyFont="1" applyFill="1" applyAlignment="1">
      <alignment horizontal="center" vertical="center" wrapText="1"/>
    </xf>
    <xf numFmtId="164" fontId="25" fillId="2" borderId="2" xfId="2" applyNumberFormat="1" applyFont="1" applyFill="1" applyBorder="1" applyAlignment="1">
      <alignment horizontal="center" vertical="center"/>
    </xf>
    <xf numFmtId="164" fontId="13" fillId="2" borderId="3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6" fillId="2" borderId="15" xfId="2" applyNumberFormat="1" applyFont="1" applyFill="1" applyBorder="1" applyAlignment="1">
      <alignment horizontal="center" vertical="center"/>
    </xf>
    <xf numFmtId="164" fontId="26" fillId="2" borderId="20" xfId="2" applyNumberFormat="1" applyFont="1" applyFill="1" applyBorder="1" applyAlignment="1">
      <alignment horizontal="center" vertical="center"/>
    </xf>
    <xf numFmtId="164" fontId="27" fillId="2" borderId="16" xfId="2" applyNumberFormat="1" applyFont="1" applyFill="1" applyBorder="1" applyAlignment="1">
      <alignment horizontal="center" vertical="center"/>
    </xf>
    <xf numFmtId="164" fontId="27" fillId="2" borderId="20" xfId="2" applyNumberFormat="1" applyFont="1" applyFill="1" applyBorder="1" applyAlignment="1">
      <alignment horizontal="center" vertical="center"/>
    </xf>
    <xf numFmtId="168" fontId="26" fillId="2" borderId="7" xfId="2" applyNumberFormat="1" applyFont="1" applyFill="1" applyBorder="1" applyAlignment="1" applyProtection="1">
      <alignment horizontal="center" vertical="center"/>
      <protection hidden="1"/>
    </xf>
    <xf numFmtId="168" fontId="26" fillId="2" borderId="3" xfId="2" applyNumberFormat="1" applyFont="1" applyFill="1" applyBorder="1" applyAlignment="1" applyProtection="1">
      <alignment horizontal="center" vertical="center"/>
      <protection hidden="1"/>
    </xf>
    <xf numFmtId="168" fontId="27" fillId="2" borderId="6" xfId="2" applyNumberFormat="1" applyFont="1" applyFill="1" applyBorder="1" applyAlignment="1" applyProtection="1">
      <alignment horizontal="center" vertical="center"/>
      <protection locked="0"/>
    </xf>
    <xf numFmtId="168" fontId="27" fillId="2" borderId="2" xfId="2" applyNumberFormat="1" applyFont="1" applyFill="1" applyBorder="1" applyAlignment="1" applyProtection="1">
      <alignment horizontal="center" vertical="center"/>
      <protection locked="0"/>
    </xf>
    <xf numFmtId="164" fontId="13" fillId="2" borderId="9" xfId="2" applyNumberFormat="1" applyFont="1" applyFill="1" applyBorder="1" applyAlignment="1" applyProtection="1">
      <alignment horizontal="center" vertical="center"/>
      <protection locked="0"/>
    </xf>
    <xf numFmtId="164" fontId="13" fillId="2" borderId="14" xfId="2" applyNumberFormat="1" applyFont="1" applyFill="1" applyBorder="1" applyAlignment="1" applyProtection="1">
      <alignment horizontal="center" vertical="center"/>
      <protection locked="0"/>
    </xf>
    <xf numFmtId="164" fontId="25" fillId="2" borderId="0" xfId="2" applyNumberFormat="1" applyFont="1" applyFill="1" applyBorder="1" applyAlignment="1" applyProtection="1">
      <alignment horizontal="center" vertical="center"/>
    </xf>
    <xf numFmtId="164" fontId="32" fillId="2" borderId="0" xfId="2" applyNumberFormat="1" applyFont="1" applyFill="1" applyAlignment="1">
      <alignment horizontal="center" vertical="center" wrapText="1"/>
    </xf>
    <xf numFmtId="164" fontId="13" fillId="2" borderId="15" xfId="2" applyNumberFormat="1" applyFont="1" applyFill="1" applyBorder="1" applyAlignment="1">
      <alignment horizontal="right"/>
    </xf>
    <xf numFmtId="0" fontId="18" fillId="2" borderId="7" xfId="2" applyFont="1" applyFill="1" applyBorder="1" applyAlignment="1" applyProtection="1">
      <alignment horizontal="center" vertical="center"/>
    </xf>
    <xf numFmtId="0" fontId="18" fillId="2" borderId="13" xfId="2" applyFont="1" applyFill="1" applyBorder="1" applyAlignment="1" applyProtection="1">
      <alignment horizontal="center" vertical="center"/>
    </xf>
    <xf numFmtId="0" fontId="18" fillId="2" borderId="3" xfId="2" applyFont="1" applyFill="1" applyBorder="1" applyAlignment="1" applyProtection="1">
      <alignment horizontal="center" vertical="center"/>
    </xf>
    <xf numFmtId="168" fontId="13" fillId="2" borderId="9" xfId="2" applyNumberFormat="1" applyFont="1" applyFill="1" applyBorder="1" applyAlignment="1" applyProtection="1">
      <alignment horizontal="center" vertical="center"/>
      <protection locked="0"/>
    </xf>
    <xf numFmtId="168" fontId="13" fillId="2" borderId="8" xfId="2" applyNumberFormat="1" applyFont="1" applyFill="1" applyBorder="1" applyAlignment="1" applyProtection="1">
      <alignment horizontal="center" vertical="center"/>
      <protection locked="0"/>
    </xf>
    <xf numFmtId="1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8" fillId="2" borderId="9" xfId="2" applyNumberFormat="1" applyFont="1" applyFill="1" applyBorder="1" applyAlignment="1" applyProtection="1">
      <alignment horizontal="center" vertical="center"/>
      <protection locked="0"/>
    </xf>
    <xf numFmtId="164" fontId="8" fillId="2" borderId="14" xfId="2" applyNumberFormat="1" applyFont="1" applyFill="1" applyBorder="1" applyAlignment="1" applyProtection="1">
      <alignment horizontal="center" vertical="center"/>
      <protection locked="0"/>
    </xf>
    <xf numFmtId="0" fontId="17" fillId="2" borderId="7" xfId="2" applyFont="1" applyFill="1" applyBorder="1" applyAlignment="1" applyProtection="1">
      <alignment horizontal="center" vertical="center"/>
    </xf>
    <xf numFmtId="0" fontId="17" fillId="2" borderId="13" xfId="2" applyFont="1" applyFill="1" applyBorder="1" applyAlignment="1" applyProtection="1">
      <alignment horizontal="center" vertical="center"/>
    </xf>
    <xf numFmtId="164" fontId="11" fillId="2" borderId="15" xfId="2" applyNumberFormat="1" applyFont="1" applyFill="1" applyBorder="1" applyAlignment="1">
      <alignment horizontal="center"/>
    </xf>
    <xf numFmtId="168" fontId="17" fillId="2" borderId="3" xfId="2" applyNumberFormat="1" applyFont="1" applyFill="1" applyBorder="1" applyAlignment="1" applyProtection="1">
      <alignment horizontal="center" vertical="center"/>
      <protection hidden="1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left" vertical="center" wrapText="1"/>
    </xf>
    <xf numFmtId="0" fontId="46" fillId="2" borderId="0" xfId="0" applyFont="1" applyFill="1" applyBorder="1" applyAlignment="1">
      <alignment horizontal="center" vertical="center" wrapText="1"/>
    </xf>
    <xf numFmtId="0" fontId="52" fillId="2" borderId="0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left" vertical="center" wrapText="1"/>
    </xf>
    <xf numFmtId="0" fontId="52" fillId="2" borderId="0" xfId="0" applyFont="1" applyFill="1" applyBorder="1" applyAlignment="1">
      <alignment horizontal="left" vertical="center" wrapText="1"/>
    </xf>
    <xf numFmtId="0" fontId="52" fillId="2" borderId="2" xfId="0" applyFont="1" applyFill="1" applyBorder="1" applyAlignment="1">
      <alignment horizontal="left" vertical="center" wrapText="1"/>
    </xf>
    <xf numFmtId="0" fontId="52" fillId="2" borderId="3" xfId="0" applyFont="1" applyFill="1" applyBorder="1" applyAlignment="1">
      <alignment horizontal="center" vertical="center" wrapText="1"/>
    </xf>
    <xf numFmtId="0" fontId="52" fillId="2" borderId="7" xfId="0" applyFont="1" applyFill="1" applyBorder="1" applyAlignment="1">
      <alignment horizontal="center" vertical="center" wrapText="1"/>
    </xf>
    <xf numFmtId="0" fontId="46" fillId="2" borderId="3" xfId="0" applyFont="1" applyFill="1" applyBorder="1" applyAlignment="1">
      <alignment horizontal="right" vertical="center" wrapText="1"/>
    </xf>
    <xf numFmtId="0" fontId="46" fillId="2" borderId="0" xfId="0" applyFont="1" applyFill="1" applyBorder="1" applyAlignment="1">
      <alignment horizontal="right" vertical="center" wrapText="1"/>
    </xf>
    <xf numFmtId="0" fontId="54" fillId="2" borderId="2" xfId="0" applyFont="1" applyFill="1" applyBorder="1" applyAlignment="1">
      <alignment horizontal="right" vertical="center" wrapText="1"/>
    </xf>
    <xf numFmtId="0" fontId="48" fillId="2" borderId="28" xfId="0" applyFont="1" applyFill="1" applyBorder="1" applyAlignment="1">
      <alignment horizontal="center" vertical="center" wrapText="1"/>
    </xf>
    <xf numFmtId="0" fontId="48" fillId="2" borderId="9" xfId="0" applyFont="1" applyFill="1" applyBorder="1" applyAlignment="1">
      <alignment horizontal="center" vertical="center" wrapText="1"/>
    </xf>
    <xf numFmtId="0" fontId="48" fillId="2" borderId="8" xfId="0" applyFont="1" applyFill="1" applyBorder="1" applyAlignment="1">
      <alignment horizontal="center" vertical="center" wrapText="1"/>
    </xf>
    <xf numFmtId="0" fontId="48" fillId="2" borderId="5" xfId="0" applyFont="1" applyFill="1" applyBorder="1" applyAlignment="1">
      <alignment horizontal="center" vertical="center" wrapText="1" readingOrder="2"/>
    </xf>
    <xf numFmtId="0" fontId="48" fillId="2" borderId="6" xfId="0" applyFont="1" applyFill="1" applyBorder="1" applyAlignment="1">
      <alignment horizontal="center" vertical="center" wrapText="1" readingOrder="2"/>
    </xf>
  </cellXfs>
  <cellStyles count="13">
    <cellStyle name="Comma" xfId="1" builtinId="3"/>
    <cellStyle name="Comma 2" xfId="8"/>
    <cellStyle name="Comma 3" xfId="9"/>
    <cellStyle name="Comma 4" xfId="5"/>
    <cellStyle name="Comma 6" xfId="11"/>
    <cellStyle name="Comma_13 Public Finance_done" xfId="3"/>
    <cellStyle name="Excel Built-in Comma" xfId="7"/>
    <cellStyle name="Excel Built-in Normal" xfId="6"/>
    <cellStyle name="Normal" xfId="0" builtinId="0"/>
    <cellStyle name="Normal 2" xfId="12"/>
    <cellStyle name="Normal 4" xfId="10"/>
    <cellStyle name="Normal_13 Public Finance" xfId="4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4" hidden="1" customWidth="1"/>
    <col min="8" max="8" width="8.85546875" style="24"/>
    <col min="9" max="15" width="10.7109375" style="24" customWidth="1"/>
    <col min="16" max="17" width="12.7109375" style="24" customWidth="1"/>
    <col min="18" max="19" width="10.7109375" style="76" customWidth="1"/>
    <col min="20" max="20" width="39" style="15" customWidth="1"/>
    <col min="21" max="16384" width="8.85546875" style="15"/>
  </cols>
  <sheetData>
    <row r="1" spans="1:21" ht="19.5">
      <c r="A1" s="289" t="s">
        <v>166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</row>
    <row r="2" spans="1:21" ht="15.75">
      <c r="A2" s="290" t="s">
        <v>167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</row>
    <row r="3" spans="1:21" ht="14.25">
      <c r="A3" s="291" t="s">
        <v>16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42"/>
    </row>
    <row r="4" spans="1:21" s="16" customFormat="1">
      <c r="A4" s="292" t="s">
        <v>66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</row>
    <row r="5" spans="1:21" s="46" customFormat="1" ht="26.45" customHeight="1">
      <c r="A5" s="293" t="s">
        <v>0</v>
      </c>
      <c r="B5" s="43"/>
      <c r="C5" s="44"/>
      <c r="D5" s="44"/>
      <c r="E5" s="44"/>
      <c r="F5" s="44"/>
      <c r="G5" s="45"/>
      <c r="H5" s="174"/>
      <c r="I5" s="175"/>
      <c r="J5" s="164"/>
      <c r="K5" s="164"/>
      <c r="L5" s="296" t="s">
        <v>5</v>
      </c>
      <c r="M5" s="296"/>
      <c r="N5" s="296"/>
      <c r="O5" s="297"/>
      <c r="P5" s="298" t="s">
        <v>156</v>
      </c>
      <c r="Q5" s="299"/>
      <c r="R5" s="300" t="s">
        <v>20</v>
      </c>
      <c r="S5" s="301"/>
    </row>
    <row r="6" spans="1:21" s="31" customFormat="1" ht="15">
      <c r="A6" s="294"/>
      <c r="C6" s="47"/>
      <c r="D6" s="47"/>
      <c r="E6" s="47"/>
      <c r="F6" s="47"/>
      <c r="G6" s="48"/>
      <c r="H6" s="48" t="s">
        <v>3</v>
      </c>
      <c r="I6" s="49" t="s">
        <v>3</v>
      </c>
      <c r="J6" s="13" t="s">
        <v>3</v>
      </c>
      <c r="K6" s="161" t="s">
        <v>3</v>
      </c>
      <c r="L6" s="161" t="s">
        <v>174</v>
      </c>
      <c r="M6" s="161" t="s">
        <v>158</v>
      </c>
      <c r="N6" s="161" t="s">
        <v>158</v>
      </c>
      <c r="O6" s="167" t="s">
        <v>158</v>
      </c>
      <c r="P6" s="186" t="s">
        <v>3</v>
      </c>
      <c r="Q6" s="187" t="s">
        <v>3</v>
      </c>
      <c r="R6" s="302" t="s">
        <v>21</v>
      </c>
      <c r="S6" s="303"/>
      <c r="T6" s="148" t="s">
        <v>2</v>
      </c>
    </row>
    <row r="7" spans="1:21" s="19" customFormat="1">
      <c r="A7" s="295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62">
        <v>2016</v>
      </c>
      <c r="L7" s="162">
        <v>2017</v>
      </c>
      <c r="M7" s="162">
        <v>2018</v>
      </c>
      <c r="N7" s="162">
        <v>2019</v>
      </c>
      <c r="O7" s="168">
        <v>2020</v>
      </c>
      <c r="P7" s="12">
        <v>2016</v>
      </c>
      <c r="Q7" s="176">
        <v>2017</v>
      </c>
      <c r="R7" s="50" t="s">
        <v>154</v>
      </c>
      <c r="S7" s="181" t="s">
        <v>165</v>
      </c>
      <c r="T7" s="51"/>
    </row>
    <row r="8" spans="1:21" s="19" customFormat="1" ht="15">
      <c r="A8" s="17" t="s">
        <v>22</v>
      </c>
      <c r="B8" s="52">
        <f t="shared" ref="B8:J8" si="0">SUM(B9,B31)</f>
        <v>8200.9</v>
      </c>
      <c r="C8" s="53">
        <f t="shared" si="0"/>
        <v>10175.996671999999</v>
      </c>
      <c r="D8" s="53">
        <f t="shared" si="0"/>
        <v>10953.434156000003</v>
      </c>
      <c r="E8" s="53">
        <f t="shared" si="0"/>
        <v>10815.062102899999</v>
      </c>
      <c r="F8" s="54">
        <f t="shared" si="0"/>
        <v>12264.741933000001</v>
      </c>
      <c r="G8" s="54">
        <f t="shared" si="0"/>
        <v>13110.002924999997</v>
      </c>
      <c r="H8" s="54">
        <f t="shared" si="0"/>
        <v>13530.77100239</v>
      </c>
      <c r="I8" s="54">
        <f t="shared" si="0"/>
        <v>16417.281596000001</v>
      </c>
      <c r="J8" s="54">
        <f t="shared" si="0"/>
        <v>21336.878536910001</v>
      </c>
      <c r="K8" s="169"/>
      <c r="L8" s="169"/>
      <c r="M8" s="169"/>
      <c r="N8" s="169"/>
      <c r="O8" s="170"/>
      <c r="P8" s="133"/>
      <c r="Q8" s="177"/>
      <c r="R8" s="55">
        <f t="shared" ref="R8:S31" si="1">+((K8/J8)-1)*100</f>
        <v>-100</v>
      </c>
      <c r="S8" s="182" t="e">
        <f t="shared" si="1"/>
        <v>#DIV/0!</v>
      </c>
      <c r="T8" s="36" t="s">
        <v>23</v>
      </c>
    </row>
    <row r="9" spans="1:21" s="19" customFormat="1" ht="15">
      <c r="A9" s="17" t="s">
        <v>6</v>
      </c>
      <c r="B9" s="56">
        <f t="shared" ref="B9:J9" si="2">SUM(B10,B17,B23,B30)</f>
        <v>8325.4</v>
      </c>
      <c r="C9" s="56">
        <f t="shared" si="2"/>
        <v>10342.396671999999</v>
      </c>
      <c r="D9" s="56">
        <f t="shared" si="2"/>
        <v>11104.270489000002</v>
      </c>
      <c r="E9" s="56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63"/>
      <c r="L9" s="163"/>
      <c r="M9" s="163"/>
      <c r="N9" s="163"/>
      <c r="O9" s="171"/>
      <c r="P9" s="57" t="e">
        <f>+(K9/$K$9)*100</f>
        <v>#DIV/0!</v>
      </c>
      <c r="Q9" s="178" t="e">
        <f>+(L9/$K$9)*100</f>
        <v>#DIV/0!</v>
      </c>
      <c r="R9" s="55">
        <f t="shared" si="1"/>
        <v>-100</v>
      </c>
      <c r="S9" s="182" t="e">
        <f t="shared" si="1"/>
        <v>#DIV/0!</v>
      </c>
      <c r="T9" s="36" t="s">
        <v>7</v>
      </c>
    </row>
    <row r="10" spans="1:21" s="19" customFormat="1" ht="15">
      <c r="A10" s="17" t="s">
        <v>24</v>
      </c>
      <c r="B10" s="56">
        <f>SUM(B11,B12,B15,B16)</f>
        <v>3050.7999999999997</v>
      </c>
      <c r="C10" s="56">
        <f t="shared" ref="C10:L10" si="3">SUM(C11,C12,C15,C16)</f>
        <v>3708.5</v>
      </c>
      <c r="D10" s="56">
        <f t="shared" si="3"/>
        <v>4216.3047380000016</v>
      </c>
      <c r="E10" s="56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63">
        <f t="shared" ref="K10" si="4">SUM(K11,K12,K15,K16)</f>
        <v>0</v>
      </c>
      <c r="L10" s="163">
        <f t="shared" si="3"/>
        <v>0</v>
      </c>
      <c r="M10" s="163">
        <f t="shared" ref="M10:N10" si="5">SUM(M11,M12,M15,M16)</f>
        <v>0</v>
      </c>
      <c r="N10" s="163">
        <f t="shared" si="5"/>
        <v>0</v>
      </c>
      <c r="O10" s="171">
        <f t="shared" ref="O10" si="6">SUM(O11,O12,O15,O16)</f>
        <v>0</v>
      </c>
      <c r="P10" s="57" t="e">
        <f>+(K10/$K$9)*100</f>
        <v>#DIV/0!</v>
      </c>
      <c r="Q10" s="178" t="e">
        <f>+(L10/$K$9)*100</f>
        <v>#DIV/0!</v>
      </c>
      <c r="R10" s="55">
        <f t="shared" si="1"/>
        <v>-100</v>
      </c>
      <c r="S10" s="182" t="e">
        <f t="shared" si="1"/>
        <v>#DIV/0!</v>
      </c>
      <c r="T10" s="36" t="s">
        <v>25</v>
      </c>
    </row>
    <row r="11" spans="1:21" s="20" customFormat="1" ht="15">
      <c r="A11" s="58" t="s">
        <v>26</v>
      </c>
      <c r="B11" s="59">
        <v>1607.3</v>
      </c>
      <c r="C11" s="59">
        <v>2043.9</v>
      </c>
      <c r="D11" s="59">
        <v>2197.6652670000008</v>
      </c>
      <c r="E11" s="59">
        <v>2684.2828549999995</v>
      </c>
      <c r="F11" s="26">
        <v>3414.360107</v>
      </c>
      <c r="G11" s="26">
        <v>3431.8828060000001</v>
      </c>
      <c r="H11" s="26">
        <v>2539.0598371399997</v>
      </c>
      <c r="I11" s="26">
        <v>3189.9729499999999</v>
      </c>
      <c r="J11" s="26">
        <v>3623.5494148099997</v>
      </c>
      <c r="K11" s="172"/>
      <c r="L11" s="172"/>
      <c r="M11" s="172"/>
      <c r="N11" s="172"/>
      <c r="O11" s="166"/>
      <c r="P11" s="61" t="e">
        <f t="shared" ref="P11:Q33" si="7">+(K11/$K$9)*100</f>
        <v>#DIV/0!</v>
      </c>
      <c r="Q11" s="179" t="e">
        <f t="shared" si="7"/>
        <v>#DIV/0!</v>
      </c>
      <c r="R11" s="62">
        <f t="shared" si="1"/>
        <v>-100</v>
      </c>
      <c r="S11" s="183" t="e">
        <f t="shared" si="1"/>
        <v>#DIV/0!</v>
      </c>
      <c r="T11" s="30" t="s">
        <v>27</v>
      </c>
    </row>
    <row r="12" spans="1:21" s="20" customFormat="1" ht="15">
      <c r="A12" s="58" t="s">
        <v>28</v>
      </c>
      <c r="B12" s="59">
        <v>475.70000000000005</v>
      </c>
      <c r="C12" s="59">
        <v>586.4</v>
      </c>
      <c r="D12" s="59">
        <v>752.52470600000004</v>
      </c>
      <c r="E12" s="59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63">
        <f t="shared" si="8"/>
        <v>0</v>
      </c>
      <c r="L12" s="163">
        <f t="shared" si="8"/>
        <v>0</v>
      </c>
      <c r="M12" s="163">
        <f t="shared" ref="M12:N12" si="9">SUM(M13:M14)</f>
        <v>0</v>
      </c>
      <c r="N12" s="163">
        <f t="shared" si="9"/>
        <v>0</v>
      </c>
      <c r="O12" s="171"/>
      <c r="P12" s="61" t="e">
        <f t="shared" si="7"/>
        <v>#DIV/0!</v>
      </c>
      <c r="Q12" s="179" t="e">
        <f t="shared" si="7"/>
        <v>#DIV/0!</v>
      </c>
      <c r="R12" s="55">
        <f t="shared" si="1"/>
        <v>-100</v>
      </c>
      <c r="S12" s="182" t="e">
        <f t="shared" si="1"/>
        <v>#DIV/0!</v>
      </c>
      <c r="T12" s="30" t="s">
        <v>29</v>
      </c>
    </row>
    <row r="13" spans="1:21" s="20" customFormat="1" ht="15">
      <c r="A13" s="58" t="s">
        <v>30</v>
      </c>
      <c r="B13" s="59">
        <v>0</v>
      </c>
      <c r="C13" s="59">
        <v>0</v>
      </c>
      <c r="D13" s="59">
        <v>0</v>
      </c>
      <c r="E13" s="59">
        <v>0</v>
      </c>
      <c r="F13" s="26">
        <v>777.54432100000008</v>
      </c>
      <c r="G13" s="26">
        <v>800.809574</v>
      </c>
      <c r="H13" s="26">
        <v>787.97938867999994</v>
      </c>
      <c r="I13" s="26">
        <v>913.25778199999991</v>
      </c>
      <c r="J13" s="26">
        <v>1178.86784837</v>
      </c>
      <c r="K13" s="172"/>
      <c r="L13" s="172"/>
      <c r="M13" s="172"/>
      <c r="N13" s="172"/>
      <c r="O13" s="166"/>
      <c r="P13" s="61" t="e">
        <f t="shared" si="7"/>
        <v>#DIV/0!</v>
      </c>
      <c r="Q13" s="179" t="e">
        <f t="shared" si="7"/>
        <v>#DIV/0!</v>
      </c>
      <c r="R13" s="62">
        <f t="shared" si="1"/>
        <v>-100</v>
      </c>
      <c r="S13" s="183" t="e">
        <f t="shared" si="1"/>
        <v>#DIV/0!</v>
      </c>
      <c r="T13" s="63" t="s">
        <v>64</v>
      </c>
    </row>
    <row r="14" spans="1:21" s="20" customFormat="1" ht="15">
      <c r="A14" s="58" t="s">
        <v>31</v>
      </c>
      <c r="B14" s="59">
        <v>0</v>
      </c>
      <c r="C14" s="59">
        <v>0</v>
      </c>
      <c r="D14" s="59">
        <v>0</v>
      </c>
      <c r="E14" s="59">
        <v>0</v>
      </c>
      <c r="F14" s="26">
        <v>133.04289900000001</v>
      </c>
      <c r="G14" s="26">
        <v>11.852705</v>
      </c>
      <c r="H14" s="26">
        <v>8.6218819999999994</v>
      </c>
      <c r="I14" s="26">
        <v>10.056538</v>
      </c>
      <c r="J14" s="26">
        <v>16.476253</v>
      </c>
      <c r="K14" s="172"/>
      <c r="L14" s="172"/>
      <c r="M14" s="172"/>
      <c r="N14" s="172"/>
      <c r="O14" s="166"/>
      <c r="P14" s="61" t="e">
        <f t="shared" si="7"/>
        <v>#DIV/0!</v>
      </c>
      <c r="Q14" s="179" t="e">
        <f t="shared" si="7"/>
        <v>#DIV/0!</v>
      </c>
      <c r="R14" s="62">
        <f t="shared" si="1"/>
        <v>-100</v>
      </c>
      <c r="S14" s="183" t="e">
        <f t="shared" si="1"/>
        <v>#DIV/0!</v>
      </c>
      <c r="T14" s="63" t="s">
        <v>65</v>
      </c>
    </row>
    <row r="15" spans="1:21" s="20" customFormat="1" ht="15">
      <c r="A15" s="58" t="s">
        <v>32</v>
      </c>
      <c r="B15" s="59">
        <v>825.69999999999993</v>
      </c>
      <c r="C15" s="64">
        <v>982.5</v>
      </c>
      <c r="D15" s="59">
        <v>1170.997198</v>
      </c>
      <c r="E15" s="59">
        <v>1192.3427610000001</v>
      </c>
      <c r="F15" s="26">
        <v>1364.5149330000002</v>
      </c>
      <c r="G15" s="26">
        <v>1525.6040499999999</v>
      </c>
      <c r="H15" s="26">
        <v>1725.97350061</v>
      </c>
      <c r="I15" s="26">
        <v>1982.1994500000001</v>
      </c>
      <c r="J15" s="26">
        <v>2681.8339682300002</v>
      </c>
      <c r="K15" s="172"/>
      <c r="L15" s="172"/>
      <c r="M15" s="172"/>
      <c r="N15" s="172"/>
      <c r="O15" s="166"/>
      <c r="P15" s="61" t="e">
        <f t="shared" si="7"/>
        <v>#DIV/0!</v>
      </c>
      <c r="Q15" s="179" t="e">
        <f t="shared" si="7"/>
        <v>#DIV/0!</v>
      </c>
      <c r="R15" s="62">
        <f t="shared" si="1"/>
        <v>-100</v>
      </c>
      <c r="S15" s="183" t="e">
        <f t="shared" si="1"/>
        <v>#DIV/0!</v>
      </c>
      <c r="T15" s="30" t="s">
        <v>33</v>
      </c>
    </row>
    <row r="16" spans="1:21" s="20" customFormat="1" ht="15">
      <c r="A16" s="58" t="s">
        <v>34</v>
      </c>
      <c r="B16" s="59">
        <v>142.1</v>
      </c>
      <c r="C16" s="59">
        <v>95.7</v>
      </c>
      <c r="D16" s="59">
        <v>95.117567000000008</v>
      </c>
      <c r="E16" s="59">
        <v>68.551455000000004</v>
      </c>
      <c r="F16" s="26">
        <v>192.31341699999999</v>
      </c>
      <c r="G16" s="26">
        <v>144.17275000000001</v>
      </c>
      <c r="H16" s="26">
        <v>184.99255256999999</v>
      </c>
      <c r="I16" s="26">
        <v>121.27882399999999</v>
      </c>
      <c r="J16" s="26">
        <v>821.70280199000001</v>
      </c>
      <c r="K16" s="172"/>
      <c r="L16" s="172"/>
      <c r="M16" s="172"/>
      <c r="N16" s="172"/>
      <c r="O16" s="166"/>
      <c r="P16" s="61" t="e">
        <f t="shared" si="7"/>
        <v>#DIV/0!</v>
      </c>
      <c r="Q16" s="179" t="e">
        <f t="shared" si="7"/>
        <v>#DIV/0!</v>
      </c>
      <c r="R16" s="62">
        <f t="shared" si="1"/>
        <v>-100</v>
      </c>
      <c r="S16" s="183" t="e">
        <f t="shared" si="1"/>
        <v>#DIV/0!</v>
      </c>
      <c r="T16" s="30" t="s">
        <v>35</v>
      </c>
    </row>
    <row r="17" spans="1:20" s="19" customFormat="1" ht="15">
      <c r="A17" s="17" t="s">
        <v>36</v>
      </c>
      <c r="B17" s="56">
        <f>SUM(B18:B21)</f>
        <v>4444.1000000000004</v>
      </c>
      <c r="C17" s="56">
        <f>SUM(C18:C21)</f>
        <v>5122.8</v>
      </c>
      <c r="D17" s="56">
        <f>SUM(D18:D21)</f>
        <v>5432.5708530000002</v>
      </c>
      <c r="E17" s="56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63">
        <f t="shared" si="10"/>
        <v>0</v>
      </c>
      <c r="L17" s="163">
        <f t="shared" si="10"/>
        <v>0</v>
      </c>
      <c r="M17" s="163">
        <f t="shared" ref="M17:N17" si="11">SUM(M18:M22)</f>
        <v>0</v>
      </c>
      <c r="N17" s="163">
        <f t="shared" si="11"/>
        <v>0</v>
      </c>
      <c r="O17" s="171">
        <f t="shared" ref="O17" si="12">SUM(O18:O22)</f>
        <v>0</v>
      </c>
      <c r="P17" s="57" t="e">
        <f t="shared" si="7"/>
        <v>#DIV/0!</v>
      </c>
      <c r="Q17" s="178" t="e">
        <f t="shared" si="7"/>
        <v>#DIV/0!</v>
      </c>
      <c r="R17" s="55">
        <f t="shared" si="1"/>
        <v>-100</v>
      </c>
      <c r="S17" s="182" t="e">
        <f t="shared" si="1"/>
        <v>#DIV/0!</v>
      </c>
      <c r="T17" s="36" t="s">
        <v>37</v>
      </c>
    </row>
    <row r="18" spans="1:20" s="20" customFormat="1" ht="15">
      <c r="A18" s="58" t="s">
        <v>38</v>
      </c>
      <c r="B18" s="59">
        <v>1313.8000000000002</v>
      </c>
      <c r="C18" s="59">
        <v>1630.5</v>
      </c>
      <c r="D18" s="59">
        <v>1935.0878400000001</v>
      </c>
      <c r="E18" s="59">
        <v>1643.137213</v>
      </c>
      <c r="F18" s="26">
        <v>1796.661055</v>
      </c>
      <c r="G18" s="26">
        <v>2203.168764</v>
      </c>
      <c r="H18" s="26">
        <v>2002.2797697200001</v>
      </c>
      <c r="I18" s="26">
        <v>2212.015058</v>
      </c>
      <c r="J18" s="26">
        <v>2933.05047655</v>
      </c>
      <c r="K18" s="172"/>
      <c r="L18" s="172"/>
      <c r="M18" s="172"/>
      <c r="N18" s="172"/>
      <c r="O18" s="166"/>
      <c r="P18" s="61" t="e">
        <f t="shared" si="7"/>
        <v>#DIV/0!</v>
      </c>
      <c r="Q18" s="179" t="e">
        <f t="shared" si="7"/>
        <v>#DIV/0!</v>
      </c>
      <c r="R18" s="62">
        <f t="shared" si="1"/>
        <v>-100</v>
      </c>
      <c r="S18" s="183" t="e">
        <f t="shared" si="1"/>
        <v>#DIV/0!</v>
      </c>
      <c r="T18" s="30" t="s">
        <v>39</v>
      </c>
    </row>
    <row r="19" spans="1:20" s="20" customFormat="1" ht="15">
      <c r="A19" s="58" t="s">
        <v>40</v>
      </c>
      <c r="B19" s="59">
        <v>782.19999999999993</v>
      </c>
      <c r="C19" s="59">
        <v>1326.4</v>
      </c>
      <c r="D19" s="59">
        <v>1396.1558639999998</v>
      </c>
      <c r="E19" s="59">
        <v>990.87232799999992</v>
      </c>
      <c r="F19" s="26">
        <v>368.31382600000001</v>
      </c>
      <c r="G19" s="26">
        <v>296.66393599999998</v>
      </c>
      <c r="H19" s="26">
        <v>1391.70545487</v>
      </c>
      <c r="I19" s="26">
        <v>1866.0390179999999</v>
      </c>
      <c r="J19" s="26">
        <v>2525.9593407700004</v>
      </c>
      <c r="K19" s="172"/>
      <c r="L19" s="172"/>
      <c r="M19" s="172"/>
      <c r="N19" s="172"/>
      <c r="O19" s="166"/>
      <c r="P19" s="61" t="e">
        <f t="shared" si="7"/>
        <v>#DIV/0!</v>
      </c>
      <c r="Q19" s="179" t="e">
        <f t="shared" si="7"/>
        <v>#DIV/0!</v>
      </c>
      <c r="R19" s="62">
        <f t="shared" si="1"/>
        <v>-100</v>
      </c>
      <c r="S19" s="183" t="e">
        <f t="shared" si="1"/>
        <v>#DIV/0!</v>
      </c>
      <c r="T19" s="30" t="s">
        <v>41</v>
      </c>
    </row>
    <row r="20" spans="1:20" s="20" customFormat="1" ht="15">
      <c r="A20" s="58" t="s">
        <v>42</v>
      </c>
      <c r="B20" s="59">
        <v>235.5</v>
      </c>
      <c r="C20" s="59">
        <v>640.6</v>
      </c>
      <c r="D20" s="59">
        <v>464.54098499999998</v>
      </c>
      <c r="E20" s="59">
        <v>578.16290700000002</v>
      </c>
      <c r="F20" s="26">
        <v>1135.3461150000001</v>
      </c>
      <c r="G20" s="26">
        <v>1578.1540559999999</v>
      </c>
      <c r="H20" s="26">
        <v>1959.2764668599998</v>
      </c>
      <c r="I20" s="26">
        <v>2925.2288200000003</v>
      </c>
      <c r="J20" s="26">
        <v>3222.1829934400002</v>
      </c>
      <c r="K20" s="172"/>
      <c r="L20" s="172"/>
      <c r="M20" s="172"/>
      <c r="N20" s="172"/>
      <c r="O20" s="166"/>
      <c r="P20" s="61" t="e">
        <f t="shared" si="7"/>
        <v>#DIV/0!</v>
      </c>
      <c r="Q20" s="179" t="e">
        <f t="shared" si="7"/>
        <v>#DIV/0!</v>
      </c>
      <c r="R20" s="62">
        <f t="shared" si="1"/>
        <v>-100</v>
      </c>
      <c r="S20" s="183" t="e">
        <f t="shared" si="1"/>
        <v>#DIV/0!</v>
      </c>
      <c r="T20" s="30" t="s">
        <v>43</v>
      </c>
    </row>
    <row r="21" spans="1:20" s="20" customFormat="1" ht="15">
      <c r="A21" s="58" t="s">
        <v>159</v>
      </c>
      <c r="B21" s="59">
        <v>2112.6</v>
      </c>
      <c r="C21" s="59">
        <v>1525.3000000000002</v>
      </c>
      <c r="D21" s="59">
        <v>1636.7861640000001</v>
      </c>
      <c r="E21" s="59">
        <v>2067.0886810000002</v>
      </c>
      <c r="F21" s="26">
        <v>1627.3893010000002</v>
      </c>
      <c r="G21" s="26">
        <v>1229.5066119999999</v>
      </c>
      <c r="H21" s="26">
        <v>979.91802029999997</v>
      </c>
      <c r="I21" s="26">
        <v>772.59129199999995</v>
      </c>
      <c r="J21" s="26">
        <v>0</v>
      </c>
      <c r="K21" s="172"/>
      <c r="L21" s="172"/>
      <c r="M21" s="172"/>
      <c r="N21" s="172"/>
      <c r="O21" s="166"/>
      <c r="P21" s="61" t="e">
        <f t="shared" si="7"/>
        <v>#DIV/0!</v>
      </c>
      <c r="Q21" s="179" t="e">
        <f t="shared" si="7"/>
        <v>#DIV/0!</v>
      </c>
      <c r="R21" s="60" t="e">
        <f t="shared" ref="R21:S21" si="13">+(M21/$K$9)*100</f>
        <v>#DIV/0!</v>
      </c>
      <c r="S21" s="184" t="e">
        <f t="shared" si="13"/>
        <v>#DIV/0!</v>
      </c>
      <c r="T21" s="30" t="s">
        <v>44</v>
      </c>
    </row>
    <row r="22" spans="1:20" s="20" customFormat="1" ht="17.25">
      <c r="A22" s="58" t="s">
        <v>148</v>
      </c>
      <c r="B22" s="59"/>
      <c r="C22" s="59"/>
      <c r="D22" s="59"/>
      <c r="E22" s="59"/>
      <c r="F22" s="26"/>
      <c r="G22" s="38">
        <v>0</v>
      </c>
      <c r="H22" s="26">
        <v>306.67357454999978</v>
      </c>
      <c r="I22" s="26">
        <v>469.69796699999995</v>
      </c>
      <c r="J22" s="26">
        <v>1874.0939446899999</v>
      </c>
      <c r="K22" s="172"/>
      <c r="L22" s="172"/>
      <c r="M22" s="172"/>
      <c r="N22" s="172"/>
      <c r="O22" s="166"/>
      <c r="P22" s="61" t="e">
        <f t="shared" si="7"/>
        <v>#DIV/0!</v>
      </c>
      <c r="Q22" s="179" t="e">
        <f t="shared" si="7"/>
        <v>#DIV/0!</v>
      </c>
      <c r="R22" s="62">
        <f t="shared" si="1"/>
        <v>-100</v>
      </c>
      <c r="S22" s="183" t="e">
        <f t="shared" si="1"/>
        <v>#DIV/0!</v>
      </c>
      <c r="T22" s="65" t="s">
        <v>153</v>
      </c>
    </row>
    <row r="23" spans="1:20" s="19" customFormat="1" ht="15">
      <c r="A23" s="17" t="s">
        <v>45</v>
      </c>
      <c r="B23" s="56">
        <f t="shared" ref="B23:L23" si="14">SUM(B24:B29)</f>
        <v>596.20000000000005</v>
      </c>
      <c r="C23" s="56">
        <f t="shared" si="14"/>
        <v>1231.0999999999999</v>
      </c>
      <c r="D23" s="56">
        <f t="shared" si="14"/>
        <v>837.51612</v>
      </c>
      <c r="E23" s="56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63">
        <f t="shared" ref="K23" si="15">SUM(K24:K29)</f>
        <v>0</v>
      </c>
      <c r="L23" s="163">
        <f t="shared" si="14"/>
        <v>0</v>
      </c>
      <c r="M23" s="163">
        <f t="shared" ref="M23:N23" si="16">SUM(M24:M29)</f>
        <v>0</v>
      </c>
      <c r="N23" s="163">
        <f t="shared" si="16"/>
        <v>0</v>
      </c>
      <c r="O23" s="171">
        <f t="shared" ref="O23" si="17">SUM(O24:O29)</f>
        <v>0</v>
      </c>
      <c r="P23" s="57" t="e">
        <f t="shared" si="7"/>
        <v>#DIV/0!</v>
      </c>
      <c r="Q23" s="178" t="e">
        <f t="shared" si="7"/>
        <v>#DIV/0!</v>
      </c>
      <c r="R23" s="55">
        <f t="shared" si="1"/>
        <v>-100</v>
      </c>
      <c r="S23" s="182" t="e">
        <f t="shared" si="1"/>
        <v>#DIV/0!</v>
      </c>
      <c r="T23" s="36" t="s">
        <v>46</v>
      </c>
    </row>
    <row r="24" spans="1:20" s="20" customFormat="1" ht="15">
      <c r="A24" s="58" t="s">
        <v>47</v>
      </c>
      <c r="B24" s="59">
        <v>179.9</v>
      </c>
      <c r="C24" s="59">
        <v>159.79999999999998</v>
      </c>
      <c r="D24" s="59">
        <v>58.986502000000002</v>
      </c>
      <c r="E24" s="59">
        <v>146.70229599999999</v>
      </c>
      <c r="F24" s="26">
        <v>93.345458000000008</v>
      </c>
      <c r="G24" s="26">
        <v>70.257467000000005</v>
      </c>
      <c r="H24" s="26">
        <v>70.500645059999997</v>
      </c>
      <c r="I24" s="26">
        <v>93.968531999999996</v>
      </c>
      <c r="J24" s="26">
        <v>67.21094626</v>
      </c>
      <c r="K24" s="172"/>
      <c r="L24" s="172"/>
      <c r="M24" s="172"/>
      <c r="N24" s="172"/>
      <c r="O24" s="166"/>
      <c r="P24" s="61" t="e">
        <f t="shared" si="7"/>
        <v>#DIV/0!</v>
      </c>
      <c r="Q24" s="179" t="e">
        <f t="shared" si="7"/>
        <v>#DIV/0!</v>
      </c>
      <c r="R24" s="62">
        <f t="shared" si="1"/>
        <v>-100</v>
      </c>
      <c r="S24" s="183" t="e">
        <f t="shared" si="1"/>
        <v>#DIV/0!</v>
      </c>
      <c r="T24" s="30" t="s">
        <v>48</v>
      </c>
    </row>
    <row r="25" spans="1:20" s="20" customFormat="1" ht="15">
      <c r="A25" s="58" t="s">
        <v>49</v>
      </c>
      <c r="B25" s="59">
        <v>172.2</v>
      </c>
      <c r="C25" s="59">
        <v>837.8</v>
      </c>
      <c r="D25" s="59">
        <v>106.089237</v>
      </c>
      <c r="E25" s="59">
        <v>120.04688899999999</v>
      </c>
      <c r="F25" s="26">
        <v>471.08129199999996</v>
      </c>
      <c r="G25" s="26">
        <v>607.73237199999994</v>
      </c>
      <c r="H25" s="26">
        <v>404.45810542000004</v>
      </c>
      <c r="I25" s="26">
        <v>735.60389299999997</v>
      </c>
      <c r="J25" s="26">
        <v>846.79535526999996</v>
      </c>
      <c r="K25" s="172"/>
      <c r="L25" s="172"/>
      <c r="M25" s="172"/>
      <c r="N25" s="172"/>
      <c r="O25" s="166"/>
      <c r="P25" s="61" t="e">
        <f t="shared" si="7"/>
        <v>#DIV/0!</v>
      </c>
      <c r="Q25" s="179" t="e">
        <f t="shared" si="7"/>
        <v>#DIV/0!</v>
      </c>
      <c r="R25" s="62">
        <f t="shared" si="1"/>
        <v>-100</v>
      </c>
      <c r="S25" s="183" t="e">
        <f t="shared" si="1"/>
        <v>#DIV/0!</v>
      </c>
      <c r="T25" s="30" t="s">
        <v>50</v>
      </c>
    </row>
    <row r="26" spans="1:20" s="20" customFormat="1" ht="15">
      <c r="A26" s="58" t="s">
        <v>51</v>
      </c>
      <c r="B26" s="59">
        <v>88.9</v>
      </c>
      <c r="C26" s="59">
        <v>35.700000000000003</v>
      </c>
      <c r="D26" s="59">
        <v>62.029623999999998</v>
      </c>
      <c r="E26" s="59">
        <v>43.271078000000003</v>
      </c>
      <c r="F26" s="26">
        <v>59.675843</v>
      </c>
      <c r="G26" s="26">
        <v>66.77496099999999</v>
      </c>
      <c r="H26" s="26">
        <v>31.982870659999989</v>
      </c>
      <c r="I26" s="26">
        <v>75.050148000000007</v>
      </c>
      <c r="J26" s="26">
        <v>52.374541500000007</v>
      </c>
      <c r="K26" s="172"/>
      <c r="L26" s="172"/>
      <c r="M26" s="172"/>
      <c r="N26" s="172"/>
      <c r="O26" s="166"/>
      <c r="P26" s="61" t="e">
        <f t="shared" si="7"/>
        <v>#DIV/0!</v>
      </c>
      <c r="Q26" s="179" t="e">
        <f t="shared" si="7"/>
        <v>#DIV/0!</v>
      </c>
      <c r="R26" s="62">
        <f t="shared" si="1"/>
        <v>-100</v>
      </c>
      <c r="S26" s="183" t="e">
        <f t="shared" si="1"/>
        <v>#DIV/0!</v>
      </c>
      <c r="T26" s="30" t="s">
        <v>52</v>
      </c>
    </row>
    <row r="27" spans="1:20" s="19" customFormat="1" ht="15">
      <c r="A27" s="58" t="s">
        <v>53</v>
      </c>
      <c r="B27" s="59">
        <v>108.2</v>
      </c>
      <c r="C27" s="59">
        <v>93.3</v>
      </c>
      <c r="D27" s="59">
        <v>78.466514000000004</v>
      </c>
      <c r="E27" s="59">
        <v>46.860301</v>
      </c>
      <c r="F27" s="26">
        <v>33.749803</v>
      </c>
      <c r="G27" s="26">
        <v>52.519985999999996</v>
      </c>
      <c r="H27" s="26">
        <v>33.124519409999998</v>
      </c>
      <c r="I27" s="26">
        <v>49.642775</v>
      </c>
      <c r="J27" s="26">
        <v>103.70914999999999</v>
      </c>
      <c r="K27" s="172"/>
      <c r="L27" s="172"/>
      <c r="M27" s="172"/>
      <c r="N27" s="172"/>
      <c r="O27" s="166"/>
      <c r="P27" s="61" t="e">
        <f t="shared" si="7"/>
        <v>#DIV/0!</v>
      </c>
      <c r="Q27" s="179" t="e">
        <f t="shared" si="7"/>
        <v>#DIV/0!</v>
      </c>
      <c r="R27" s="62">
        <f t="shared" si="1"/>
        <v>-100</v>
      </c>
      <c r="S27" s="183" t="e">
        <f t="shared" si="1"/>
        <v>#DIV/0!</v>
      </c>
      <c r="T27" s="30" t="s">
        <v>54</v>
      </c>
    </row>
    <row r="28" spans="1:20" s="19" customFormat="1" ht="15">
      <c r="A28" s="58" t="s">
        <v>55</v>
      </c>
      <c r="B28" s="59">
        <v>42.8</v>
      </c>
      <c r="C28" s="59">
        <v>92.3</v>
      </c>
      <c r="D28" s="59">
        <v>505.93436100000002</v>
      </c>
      <c r="E28" s="59">
        <v>52.495815900000004</v>
      </c>
      <c r="F28" s="26">
        <v>80.384180000000001</v>
      </c>
      <c r="G28" s="26">
        <v>54.566487000000002</v>
      </c>
      <c r="H28" s="26">
        <v>168.21187463999996</v>
      </c>
      <c r="I28" s="26">
        <v>51.606206</v>
      </c>
      <c r="J28" s="26">
        <v>131.16637020000002</v>
      </c>
      <c r="K28" s="172"/>
      <c r="L28" s="172"/>
      <c r="M28" s="172"/>
      <c r="N28" s="172"/>
      <c r="O28" s="166"/>
      <c r="P28" s="61" t="e">
        <f t="shared" si="7"/>
        <v>#DIV/0!</v>
      </c>
      <c r="Q28" s="179" t="e">
        <f t="shared" si="7"/>
        <v>#DIV/0!</v>
      </c>
      <c r="R28" s="62">
        <f t="shared" si="1"/>
        <v>-100</v>
      </c>
      <c r="S28" s="183" t="e">
        <f t="shared" si="1"/>
        <v>#DIV/0!</v>
      </c>
      <c r="T28" s="30" t="s">
        <v>56</v>
      </c>
    </row>
    <row r="29" spans="1:20" s="20" customFormat="1" ht="15">
      <c r="A29" s="58" t="s">
        <v>57</v>
      </c>
      <c r="B29" s="59">
        <v>4.2</v>
      </c>
      <c r="C29" s="59">
        <v>12.2</v>
      </c>
      <c r="D29" s="59">
        <v>26.009882000000001</v>
      </c>
      <c r="E29" s="59">
        <v>31.063718000000001</v>
      </c>
      <c r="F29" s="26">
        <v>390.21938299999999</v>
      </c>
      <c r="G29" s="26">
        <v>19.486806000000001</v>
      </c>
      <c r="H29" s="26">
        <v>114.7713499</v>
      </c>
      <c r="I29" s="26">
        <v>92.887023999999997</v>
      </c>
      <c r="J29" s="26">
        <v>14.27351683</v>
      </c>
      <c r="K29" s="172"/>
      <c r="L29" s="172"/>
      <c r="M29" s="172"/>
      <c r="N29" s="172"/>
      <c r="O29" s="166"/>
      <c r="P29" s="61" t="e">
        <f t="shared" si="7"/>
        <v>#DIV/0!</v>
      </c>
      <c r="Q29" s="179" t="e">
        <f t="shared" si="7"/>
        <v>#DIV/0!</v>
      </c>
      <c r="R29" s="62">
        <f t="shared" si="1"/>
        <v>-100</v>
      </c>
      <c r="S29" s="183" t="e">
        <f t="shared" si="1"/>
        <v>#DIV/0!</v>
      </c>
      <c r="T29" s="30" t="s">
        <v>58</v>
      </c>
    </row>
    <row r="30" spans="1:20" s="19" customFormat="1" ht="15">
      <c r="A30" s="17" t="s">
        <v>59</v>
      </c>
      <c r="B30" s="56">
        <v>234.3</v>
      </c>
      <c r="C30" s="56">
        <v>279.99667199999999</v>
      </c>
      <c r="D30" s="56">
        <v>617.87877800000001</v>
      </c>
      <c r="E30" s="56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63"/>
      <c r="L30" s="163"/>
      <c r="M30" s="163"/>
      <c r="N30" s="163"/>
      <c r="O30" s="171"/>
      <c r="P30" s="57" t="e">
        <f t="shared" si="7"/>
        <v>#DIV/0!</v>
      </c>
      <c r="Q30" s="178" t="e">
        <f t="shared" si="7"/>
        <v>#DIV/0!</v>
      </c>
      <c r="R30" s="55">
        <f t="shared" si="1"/>
        <v>-100</v>
      </c>
      <c r="S30" s="182" t="e">
        <f t="shared" si="1"/>
        <v>#DIV/0!</v>
      </c>
      <c r="T30" s="36" t="s">
        <v>60</v>
      </c>
    </row>
    <row r="31" spans="1:20" s="19" customFormat="1" ht="15">
      <c r="A31" s="17" t="s">
        <v>10</v>
      </c>
      <c r="B31" s="56">
        <v>-124.5</v>
      </c>
      <c r="C31" s="56">
        <v>-166.4</v>
      </c>
      <c r="D31" s="56">
        <v>-150.836333</v>
      </c>
      <c r="E31" s="56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63"/>
      <c r="L31" s="163"/>
      <c r="M31" s="163"/>
      <c r="N31" s="163"/>
      <c r="O31" s="171"/>
      <c r="P31" s="57" t="e">
        <f t="shared" si="7"/>
        <v>#DIV/0!</v>
      </c>
      <c r="Q31" s="178" t="e">
        <f t="shared" si="7"/>
        <v>#DIV/0!</v>
      </c>
      <c r="R31" s="55">
        <f t="shared" si="1"/>
        <v>-100</v>
      </c>
      <c r="S31" s="182" t="e">
        <f t="shared" si="1"/>
        <v>#DIV/0!</v>
      </c>
      <c r="T31" s="36" t="s">
        <v>11</v>
      </c>
    </row>
    <row r="32" spans="1:20" s="20" customFormat="1" ht="15">
      <c r="A32" s="58" t="s">
        <v>17</v>
      </c>
      <c r="B32" s="66"/>
      <c r="C32" s="66"/>
      <c r="D32" s="66"/>
      <c r="E32" s="66"/>
      <c r="F32" s="18"/>
      <c r="G32" s="10"/>
      <c r="H32" s="10"/>
      <c r="I32" s="10"/>
      <c r="J32" s="10"/>
      <c r="K32" s="163"/>
      <c r="L32" s="163"/>
      <c r="M32" s="163"/>
      <c r="N32" s="163"/>
      <c r="O32" s="171"/>
      <c r="P32" s="57"/>
      <c r="Q32" s="178"/>
      <c r="R32" s="62"/>
      <c r="S32" s="183"/>
      <c r="T32" s="30" t="s">
        <v>18</v>
      </c>
    </row>
    <row r="33" spans="1:20" ht="17.25">
      <c r="A33" s="67" t="s">
        <v>61</v>
      </c>
      <c r="B33" s="68">
        <v>1007.8</v>
      </c>
      <c r="C33" s="68">
        <v>390.30930799999999</v>
      </c>
      <c r="D33" s="69">
        <v>584.5</v>
      </c>
      <c r="E33" s="69">
        <v>877.1</v>
      </c>
      <c r="F33" s="70">
        <v>987.6</v>
      </c>
      <c r="G33" s="70">
        <v>1145.8582073000002</v>
      </c>
      <c r="H33" s="70">
        <v>1187.19235</v>
      </c>
      <c r="I33" s="70">
        <v>188.39416600000001</v>
      </c>
      <c r="J33" s="70">
        <v>635.05139099999997</v>
      </c>
      <c r="K33" s="173"/>
      <c r="L33" s="173"/>
      <c r="M33" s="173"/>
      <c r="N33" s="173"/>
      <c r="O33" s="165"/>
      <c r="P33" s="71" t="e">
        <f t="shared" si="7"/>
        <v>#DIV/0!</v>
      </c>
      <c r="Q33" s="180" t="e">
        <f t="shared" si="7"/>
        <v>#DIV/0!</v>
      </c>
      <c r="R33" s="72">
        <f>+((K33/J33)-1)*100</f>
        <v>-100</v>
      </c>
      <c r="S33" s="185" t="e">
        <f>+((L33/K33)-1)*100</f>
        <v>#DIV/0!</v>
      </c>
      <c r="T33" s="73" t="s">
        <v>62</v>
      </c>
    </row>
    <row r="34" spans="1:20" ht="15">
      <c r="A34" s="21" t="s">
        <v>14</v>
      </c>
      <c r="B34" s="74"/>
      <c r="C34" s="74"/>
      <c r="D34" s="74"/>
      <c r="E34" s="74"/>
      <c r="F34" s="74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30" t="s">
        <v>15</v>
      </c>
    </row>
    <row r="35" spans="1:20" s="159" customFormat="1" ht="11.25">
      <c r="A35" s="155" t="s">
        <v>160</v>
      </c>
      <c r="B35" s="156"/>
      <c r="C35" s="156"/>
      <c r="D35" s="156"/>
      <c r="E35" s="156"/>
      <c r="F35" s="156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8"/>
    </row>
    <row r="36" spans="1:20"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</row>
    <row r="37" spans="1:20">
      <c r="B37" s="77"/>
      <c r="C37" s="77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20">
      <c r="B38" s="78"/>
      <c r="C38" s="78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</row>
    <row r="39" spans="1:20"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</row>
    <row r="40" spans="1:20">
      <c r="P40" s="76"/>
      <c r="Q40" s="76"/>
    </row>
    <row r="41" spans="1:20">
      <c r="P41" s="76"/>
      <c r="Q41" s="76"/>
    </row>
    <row r="42" spans="1:20"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</row>
    <row r="43" spans="1:20"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</row>
    <row r="44" spans="1:20"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</row>
    <row r="45" spans="1:20"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</row>
    <row r="46" spans="1:20"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</row>
    <row r="47" spans="1:20"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</row>
    <row r="48" spans="1:20"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</row>
    <row r="49" spans="7:17"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</row>
    <row r="50" spans="7:17"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</row>
    <row r="51" spans="7:17"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</row>
    <row r="52" spans="7:17"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</row>
    <row r="53" spans="7:17"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</row>
    <row r="54" spans="7:17"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</row>
    <row r="55" spans="7:17"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</row>
    <row r="56" spans="7:17"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</row>
    <row r="57" spans="7:17"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</row>
    <row r="58" spans="7:17"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</row>
    <row r="59" spans="7:17"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</row>
    <row r="60" spans="7:17"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</row>
    <row r="61" spans="7:17"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</row>
    <row r="62" spans="7:17"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</row>
    <row r="63" spans="7:17"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</row>
    <row r="64" spans="7:17"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</row>
    <row r="65" spans="7:17"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</row>
    <row r="66" spans="7:17"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7:17"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7:17"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01" customWidth="1"/>
    <col min="2" max="3" width="0" style="129" hidden="1" customWidth="1"/>
    <col min="4" max="4" width="12.7109375" style="129" hidden="1" customWidth="1"/>
    <col min="5" max="7" width="8.85546875" style="129" hidden="1" customWidth="1"/>
    <col min="8" max="11" width="0" style="129" hidden="1" customWidth="1"/>
    <col min="12" max="14" width="8.85546875" style="129"/>
    <col min="15" max="19" width="9.28515625" style="129" customWidth="1"/>
    <col min="20" max="21" width="11.28515625" style="129" customWidth="1"/>
    <col min="22" max="23" width="11" style="130" customWidth="1"/>
    <col min="24" max="24" width="7.7109375" style="130" customWidth="1"/>
    <col min="25" max="25" width="43.42578125" style="101" customWidth="1"/>
    <col min="26" max="26" width="17.28515625" style="101" customWidth="1"/>
    <col min="27" max="16384" width="8.85546875" style="101"/>
  </cols>
  <sheetData>
    <row r="1" spans="1:27" ht="19.5">
      <c r="A1" s="289" t="s">
        <v>168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</row>
    <row r="2" spans="1:27" ht="12.75">
      <c r="A2" s="306" t="s">
        <v>169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</row>
    <row r="3" spans="1:27" s="16" customFormat="1" ht="14.25">
      <c r="A3" s="307" t="s">
        <v>16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</row>
    <row r="4" spans="1:27" s="16" customFormat="1" ht="12.75">
      <c r="A4" s="292" t="s">
        <v>66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</row>
    <row r="5" spans="1:27" s="16" customFormat="1" ht="17.25">
      <c r="A5" s="149"/>
      <c r="B5" s="102"/>
      <c r="C5" s="103"/>
      <c r="D5" s="104" t="s">
        <v>1</v>
      </c>
      <c r="E5" s="308" t="s">
        <v>5</v>
      </c>
      <c r="F5" s="308"/>
      <c r="G5" s="308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309" t="s">
        <v>104</v>
      </c>
      <c r="U5" s="310"/>
      <c r="V5" s="309" t="s">
        <v>63</v>
      </c>
      <c r="W5" s="311"/>
      <c r="X5" s="106"/>
      <c r="Y5" s="107"/>
    </row>
    <row r="6" spans="1:27" s="19" customFormat="1" ht="15" customHeight="1">
      <c r="A6" s="152" t="s">
        <v>0</v>
      </c>
      <c r="B6" s="108"/>
      <c r="C6" s="11"/>
      <c r="D6" s="11" t="s">
        <v>67</v>
      </c>
      <c r="E6" s="11" t="s">
        <v>4</v>
      </c>
      <c r="F6" s="11" t="s">
        <v>4</v>
      </c>
      <c r="G6" s="11" t="s">
        <v>4</v>
      </c>
      <c r="H6" s="11"/>
      <c r="I6" s="11"/>
      <c r="J6" s="11"/>
      <c r="K6" s="11" t="s">
        <v>3</v>
      </c>
      <c r="L6" s="11" t="s">
        <v>3</v>
      </c>
      <c r="M6" s="11" t="s">
        <v>3</v>
      </c>
      <c r="N6" s="13" t="s">
        <v>3</v>
      </c>
      <c r="O6" s="161" t="s">
        <v>3</v>
      </c>
      <c r="P6" s="161" t="s">
        <v>174</v>
      </c>
      <c r="Q6" s="161" t="s">
        <v>158</v>
      </c>
      <c r="R6" s="161" t="s">
        <v>158</v>
      </c>
      <c r="S6" s="161" t="s">
        <v>158</v>
      </c>
      <c r="T6" s="304" t="s">
        <v>68</v>
      </c>
      <c r="U6" s="305"/>
      <c r="V6" s="312" t="s">
        <v>21</v>
      </c>
      <c r="W6" s="313"/>
      <c r="X6" s="109"/>
      <c r="Y6" s="148" t="s">
        <v>2</v>
      </c>
    </row>
    <row r="7" spans="1:27" s="19" customFormat="1" ht="12.75">
      <c r="A7" s="153"/>
      <c r="B7" s="32">
        <v>2007</v>
      </c>
      <c r="C7" s="32">
        <v>2008</v>
      </c>
      <c r="D7" s="32">
        <v>2009</v>
      </c>
      <c r="E7" s="32">
        <v>2010</v>
      </c>
      <c r="F7" s="32">
        <v>2011</v>
      </c>
      <c r="G7" s="32">
        <v>2012</v>
      </c>
      <c r="H7" s="32">
        <v>2009</v>
      </c>
      <c r="I7" s="32">
        <v>2010</v>
      </c>
      <c r="J7" s="32">
        <v>2011</v>
      </c>
      <c r="K7" s="32">
        <v>2012</v>
      </c>
      <c r="L7" s="32">
        <v>2013</v>
      </c>
      <c r="M7" s="32">
        <v>2014</v>
      </c>
      <c r="N7" s="14">
        <v>2015</v>
      </c>
      <c r="O7" s="162">
        <v>2016</v>
      </c>
      <c r="P7" s="162">
        <v>2017</v>
      </c>
      <c r="Q7" s="162">
        <v>2018</v>
      </c>
      <c r="R7" s="162">
        <v>2019</v>
      </c>
      <c r="S7" s="162">
        <v>2020</v>
      </c>
      <c r="T7" s="189">
        <v>2016</v>
      </c>
      <c r="U7" s="196">
        <v>2017</v>
      </c>
      <c r="V7" s="188" t="s">
        <v>157</v>
      </c>
      <c r="W7" s="203" t="s">
        <v>170</v>
      </c>
      <c r="X7" s="110"/>
      <c r="Y7" s="111"/>
      <c r="Z7" s="31"/>
      <c r="AA7" s="31"/>
    </row>
    <row r="8" spans="1:27" s="19" customFormat="1" ht="15">
      <c r="A8" s="33" t="s">
        <v>8</v>
      </c>
      <c r="B8" s="112">
        <f t="shared" ref="B8:O8" si="0">SUM(B9,B14,B20,B27)</f>
        <v>6560.1</v>
      </c>
      <c r="C8" s="112">
        <f t="shared" si="0"/>
        <v>7463.2</v>
      </c>
      <c r="D8" s="112">
        <f t="shared" si="0"/>
        <v>7942.4</v>
      </c>
      <c r="E8" s="112">
        <f t="shared" si="0"/>
        <v>9115.1999999999989</v>
      </c>
      <c r="F8" s="112">
        <f t="shared" si="0"/>
        <v>8659.1</v>
      </c>
      <c r="G8" s="112">
        <f t="shared" si="0"/>
        <v>8744.8993789999986</v>
      </c>
      <c r="H8" s="112">
        <f t="shared" si="0"/>
        <v>8738.7354969999997</v>
      </c>
      <c r="I8" s="112">
        <f t="shared" si="0"/>
        <v>8369.1443089999993</v>
      </c>
      <c r="J8" s="112">
        <f t="shared" si="0"/>
        <v>9075.7587179999991</v>
      </c>
      <c r="K8" s="112">
        <f t="shared" si="0"/>
        <v>10316.485255000001</v>
      </c>
      <c r="L8" s="112">
        <f t="shared" si="0"/>
        <v>11573.21458545</v>
      </c>
      <c r="M8" s="112">
        <f t="shared" si="0"/>
        <v>13954.396592000001</v>
      </c>
      <c r="N8" s="112">
        <f t="shared" si="0"/>
        <v>16678.511400880001</v>
      </c>
      <c r="O8" s="195">
        <f t="shared" si="0"/>
        <v>0</v>
      </c>
      <c r="P8" s="195">
        <f t="shared" ref="P8:Q8" si="1">SUM(P9,P14,P20,P27)</f>
        <v>0</v>
      </c>
      <c r="Q8" s="195">
        <f t="shared" si="1"/>
        <v>0</v>
      </c>
      <c r="R8" s="195">
        <f t="shared" ref="R8:S8" si="2">SUM(R9,R14,R20,R27)</f>
        <v>0</v>
      </c>
      <c r="S8" s="195">
        <f t="shared" si="2"/>
        <v>0</v>
      </c>
      <c r="T8" s="190" t="e">
        <f>+(O8/$O$8)*100</f>
        <v>#DIV/0!</v>
      </c>
      <c r="U8" s="197" t="e">
        <f>+(P8/$O$8)*100</f>
        <v>#DIV/0!</v>
      </c>
      <c r="V8" s="113">
        <f t="shared" ref="V8:W27" si="3">+((O8/N8)-1)*100</f>
        <v>-100</v>
      </c>
      <c r="W8" s="200" t="e">
        <f t="shared" si="3"/>
        <v>#DIV/0!</v>
      </c>
      <c r="X8" s="113"/>
      <c r="Y8" s="36" t="s">
        <v>9</v>
      </c>
    </row>
    <row r="9" spans="1:27" s="19" customFormat="1" ht="15">
      <c r="A9" s="33" t="s">
        <v>69</v>
      </c>
      <c r="B9" s="112">
        <f t="shared" ref="B9:O9" si="4">SUM(B10:B13)</f>
        <v>2241.8999999999996</v>
      </c>
      <c r="C9" s="112">
        <f t="shared" si="4"/>
        <v>3209.7</v>
      </c>
      <c r="D9" s="112">
        <f t="shared" si="4"/>
        <v>3276.6</v>
      </c>
      <c r="E9" s="112">
        <f t="shared" si="4"/>
        <v>4021.9</v>
      </c>
      <c r="F9" s="112">
        <f t="shared" si="4"/>
        <v>3529.1</v>
      </c>
      <c r="G9" s="112">
        <f t="shared" si="4"/>
        <v>3593.374147</v>
      </c>
      <c r="H9" s="112">
        <f t="shared" si="4"/>
        <v>3519.7833220000007</v>
      </c>
      <c r="I9" s="112">
        <f t="shared" si="4"/>
        <v>3978.9039029999999</v>
      </c>
      <c r="J9" s="112">
        <f t="shared" si="4"/>
        <v>4596.1388089999991</v>
      </c>
      <c r="K9" s="112">
        <f t="shared" si="4"/>
        <v>4774.492886</v>
      </c>
      <c r="L9" s="112">
        <f t="shared" si="4"/>
        <v>4784.0412950399996</v>
      </c>
      <c r="M9" s="112">
        <f t="shared" si="4"/>
        <v>5537.7483140000004</v>
      </c>
      <c r="N9" s="112">
        <f t="shared" si="4"/>
        <v>6243.3481799699994</v>
      </c>
      <c r="O9" s="195">
        <f t="shared" si="4"/>
        <v>0</v>
      </c>
      <c r="P9" s="195">
        <f t="shared" ref="P9:Q9" si="5">SUM(P10:P13)</f>
        <v>0</v>
      </c>
      <c r="Q9" s="195">
        <f t="shared" si="5"/>
        <v>0</v>
      </c>
      <c r="R9" s="195">
        <f t="shared" ref="R9:S9" si="6">SUM(R10:R13)</f>
        <v>0</v>
      </c>
      <c r="S9" s="195">
        <f t="shared" si="6"/>
        <v>0</v>
      </c>
      <c r="T9" s="190" t="e">
        <f t="shared" ref="T9:U27" si="7">+(O9/$O$8)*100</f>
        <v>#DIV/0!</v>
      </c>
      <c r="U9" s="197" t="e">
        <f t="shared" si="7"/>
        <v>#DIV/0!</v>
      </c>
      <c r="V9" s="113">
        <f t="shared" si="3"/>
        <v>-100</v>
      </c>
      <c r="W9" s="200" t="e">
        <f t="shared" si="3"/>
        <v>#DIV/0!</v>
      </c>
      <c r="X9" s="113"/>
      <c r="Y9" s="36" t="s">
        <v>70</v>
      </c>
    </row>
    <row r="10" spans="1:27" s="20" customFormat="1" ht="15">
      <c r="A10" s="37" t="s">
        <v>71</v>
      </c>
      <c r="B10" s="151">
        <v>1141.8</v>
      </c>
      <c r="C10" s="40">
        <v>1743.5</v>
      </c>
      <c r="D10" s="40">
        <v>1620.1</v>
      </c>
      <c r="E10" s="40">
        <v>2323.1</v>
      </c>
      <c r="F10" s="40">
        <v>1785</v>
      </c>
      <c r="G10" s="40">
        <v>1807.6922320000001</v>
      </c>
      <c r="H10" s="40">
        <v>1640.2071530000007</v>
      </c>
      <c r="I10" s="40">
        <v>2160.2136339999997</v>
      </c>
      <c r="J10" s="40">
        <v>2490.5053929999999</v>
      </c>
      <c r="K10" s="40">
        <v>2464.698202</v>
      </c>
      <c r="L10" s="40">
        <v>2284.8721354499999</v>
      </c>
      <c r="M10" s="40">
        <v>2757.612995</v>
      </c>
      <c r="N10" s="40">
        <v>2566.7069908099998</v>
      </c>
      <c r="O10" s="193"/>
      <c r="P10" s="193"/>
      <c r="Q10" s="193"/>
      <c r="R10" s="193"/>
      <c r="S10" s="193"/>
      <c r="T10" s="191" t="e">
        <f t="shared" si="7"/>
        <v>#DIV/0!</v>
      </c>
      <c r="U10" s="198" t="e">
        <f t="shared" si="7"/>
        <v>#DIV/0!</v>
      </c>
      <c r="V10" s="114">
        <f t="shared" si="3"/>
        <v>-100</v>
      </c>
      <c r="W10" s="201" t="e">
        <f t="shared" si="3"/>
        <v>#DIV/0!</v>
      </c>
      <c r="X10" s="114"/>
      <c r="Y10" s="30" t="s">
        <v>72</v>
      </c>
    </row>
    <row r="11" spans="1:27" s="20" customFormat="1" ht="15">
      <c r="A11" s="37" t="s">
        <v>73</v>
      </c>
      <c r="B11" s="151">
        <v>404.6</v>
      </c>
      <c r="C11" s="40">
        <v>549.1</v>
      </c>
      <c r="D11" s="40">
        <v>593.9</v>
      </c>
      <c r="E11" s="40">
        <v>551.20000000000005</v>
      </c>
      <c r="F11" s="40">
        <v>611.5</v>
      </c>
      <c r="G11" s="40">
        <v>637.60149200000001</v>
      </c>
      <c r="H11" s="40">
        <v>712.88716299999999</v>
      </c>
      <c r="I11" s="40">
        <v>651.41233499999998</v>
      </c>
      <c r="J11" s="40">
        <v>774.11099200000001</v>
      </c>
      <c r="K11" s="40">
        <v>800.63111700000002</v>
      </c>
      <c r="L11" s="40">
        <v>794.20175268000003</v>
      </c>
      <c r="M11" s="40">
        <v>834.3948089999999</v>
      </c>
      <c r="N11" s="40">
        <v>1023.3242030399999</v>
      </c>
      <c r="O11" s="193"/>
      <c r="P11" s="193"/>
      <c r="Q11" s="193"/>
      <c r="R11" s="193"/>
      <c r="S11" s="193"/>
      <c r="T11" s="191" t="e">
        <f t="shared" si="7"/>
        <v>#DIV/0!</v>
      </c>
      <c r="U11" s="198" t="e">
        <f t="shared" si="7"/>
        <v>#DIV/0!</v>
      </c>
      <c r="V11" s="114">
        <f t="shared" si="3"/>
        <v>-100</v>
      </c>
      <c r="W11" s="201" t="e">
        <f t="shared" si="3"/>
        <v>#DIV/0!</v>
      </c>
      <c r="X11" s="114"/>
      <c r="Y11" s="30" t="s">
        <v>74</v>
      </c>
    </row>
    <row r="12" spans="1:27" s="20" customFormat="1" ht="15">
      <c r="A12" s="37" t="s">
        <v>75</v>
      </c>
      <c r="B12" s="115">
        <v>600.29999999999995</v>
      </c>
      <c r="C12" s="40">
        <v>833.4</v>
      </c>
      <c r="D12" s="40">
        <v>968.9</v>
      </c>
      <c r="E12" s="40">
        <v>1055.0999999999999</v>
      </c>
      <c r="F12" s="40">
        <v>1052.7</v>
      </c>
      <c r="G12" s="40">
        <v>1066.94895</v>
      </c>
      <c r="H12" s="40">
        <v>1097.180717</v>
      </c>
      <c r="I12" s="40">
        <v>1132.7824310000001</v>
      </c>
      <c r="J12" s="40">
        <v>1296.9194520000001</v>
      </c>
      <c r="K12" s="40">
        <v>1470.4859779999999</v>
      </c>
      <c r="L12" s="40">
        <v>1659.45558701</v>
      </c>
      <c r="M12" s="40">
        <v>1876.671333</v>
      </c>
      <c r="N12" s="40">
        <v>2512.6496932300001</v>
      </c>
      <c r="O12" s="193"/>
      <c r="P12" s="193"/>
      <c r="Q12" s="193"/>
      <c r="R12" s="193"/>
      <c r="S12" s="193"/>
      <c r="T12" s="191" t="e">
        <f t="shared" si="7"/>
        <v>#DIV/0!</v>
      </c>
      <c r="U12" s="198" t="e">
        <f t="shared" si="7"/>
        <v>#DIV/0!</v>
      </c>
      <c r="V12" s="114">
        <f t="shared" si="3"/>
        <v>-100</v>
      </c>
      <c r="W12" s="201" t="e">
        <f t="shared" si="3"/>
        <v>#DIV/0!</v>
      </c>
      <c r="X12" s="114"/>
      <c r="Y12" s="30" t="s">
        <v>76</v>
      </c>
    </row>
    <row r="13" spans="1:27" s="20" customFormat="1" ht="15">
      <c r="A13" s="37" t="s">
        <v>77</v>
      </c>
      <c r="B13" s="92">
        <v>95.2</v>
      </c>
      <c r="C13" s="40">
        <v>83.7</v>
      </c>
      <c r="D13" s="40">
        <v>93.7</v>
      </c>
      <c r="E13" s="40">
        <v>92.5</v>
      </c>
      <c r="F13" s="40">
        <v>79.900000000000006</v>
      </c>
      <c r="G13" s="40">
        <v>81.131473</v>
      </c>
      <c r="H13" s="40">
        <v>69.508289000000005</v>
      </c>
      <c r="I13" s="40">
        <v>34.495502999999999</v>
      </c>
      <c r="J13" s="40">
        <v>34.602972000000001</v>
      </c>
      <c r="K13" s="40">
        <v>38.677588999999998</v>
      </c>
      <c r="L13" s="40">
        <v>45.511819899999999</v>
      </c>
      <c r="M13" s="40">
        <v>69.069176999999996</v>
      </c>
      <c r="N13" s="40">
        <v>140.66729289</v>
      </c>
      <c r="O13" s="193"/>
      <c r="P13" s="193"/>
      <c r="Q13" s="193"/>
      <c r="R13" s="193"/>
      <c r="S13" s="193"/>
      <c r="T13" s="191" t="e">
        <f t="shared" si="7"/>
        <v>#DIV/0!</v>
      </c>
      <c r="U13" s="198" t="e">
        <f t="shared" si="7"/>
        <v>#DIV/0!</v>
      </c>
      <c r="V13" s="114">
        <f t="shared" si="3"/>
        <v>-100</v>
      </c>
      <c r="W13" s="201" t="e">
        <f t="shared" si="3"/>
        <v>#DIV/0!</v>
      </c>
      <c r="X13" s="114"/>
      <c r="Y13" s="30" t="s">
        <v>78</v>
      </c>
    </row>
    <row r="14" spans="1:27" s="19" customFormat="1" ht="15">
      <c r="A14" s="33" t="s">
        <v>79</v>
      </c>
      <c r="B14" s="112">
        <f t="shared" ref="B14:I14" si="8">SUM(B15:B18)</f>
        <v>3817.6</v>
      </c>
      <c r="C14" s="112">
        <f t="shared" si="8"/>
        <v>3679.5</v>
      </c>
      <c r="D14" s="112">
        <f t="shared" si="8"/>
        <v>4016.4</v>
      </c>
      <c r="E14" s="112">
        <f t="shared" si="8"/>
        <v>4170.5</v>
      </c>
      <c r="F14" s="112">
        <f t="shared" si="8"/>
        <v>4282.6000000000004</v>
      </c>
      <c r="G14" s="112">
        <f t="shared" si="8"/>
        <v>4413.3455789999998</v>
      </c>
      <c r="H14" s="112">
        <f t="shared" si="8"/>
        <v>4345.2921539999998</v>
      </c>
      <c r="I14" s="112">
        <f t="shared" si="8"/>
        <v>3462.622922</v>
      </c>
      <c r="J14" s="112">
        <f>SUM(J15:J19)</f>
        <v>3544.46576</v>
      </c>
      <c r="K14" s="112">
        <f t="shared" ref="K14:Q14" si="9">SUM(K15:K19)</f>
        <v>4225.7286190000004</v>
      </c>
      <c r="L14" s="112">
        <f t="shared" si="9"/>
        <v>5531.6275246499999</v>
      </c>
      <c r="M14" s="112">
        <f t="shared" si="9"/>
        <v>7089.9977030000009</v>
      </c>
      <c r="N14" s="112">
        <f t="shared" si="9"/>
        <v>8742.95622215</v>
      </c>
      <c r="O14" s="195">
        <f t="shared" si="9"/>
        <v>0</v>
      </c>
      <c r="P14" s="195">
        <f t="shared" si="9"/>
        <v>0</v>
      </c>
      <c r="Q14" s="195">
        <f t="shared" si="9"/>
        <v>0</v>
      </c>
      <c r="R14" s="195">
        <f t="shared" ref="R14:S14" si="10">SUM(R15:R19)</f>
        <v>0</v>
      </c>
      <c r="S14" s="195">
        <f t="shared" si="10"/>
        <v>0</v>
      </c>
      <c r="T14" s="190" t="e">
        <f t="shared" si="7"/>
        <v>#DIV/0!</v>
      </c>
      <c r="U14" s="197" t="e">
        <f t="shared" si="7"/>
        <v>#DIV/0!</v>
      </c>
      <c r="V14" s="113">
        <f t="shared" si="3"/>
        <v>-100</v>
      </c>
      <c r="W14" s="200" t="e">
        <f t="shared" si="3"/>
        <v>#DIV/0!</v>
      </c>
      <c r="X14" s="113"/>
      <c r="Y14" s="36" t="s">
        <v>80</v>
      </c>
    </row>
    <row r="15" spans="1:27" s="20" customFormat="1" ht="15">
      <c r="A15" s="37" t="s">
        <v>81</v>
      </c>
      <c r="B15" s="151">
        <v>1149.4000000000001</v>
      </c>
      <c r="C15" s="40">
        <v>1467.1</v>
      </c>
      <c r="D15" s="40">
        <v>1958.3</v>
      </c>
      <c r="E15" s="40">
        <v>1632</v>
      </c>
      <c r="F15" s="40">
        <v>1703.1</v>
      </c>
      <c r="G15" s="40">
        <v>1731.0649900000001</v>
      </c>
      <c r="H15" s="40">
        <v>1801.544161</v>
      </c>
      <c r="I15" s="40">
        <v>1588.6194419999999</v>
      </c>
      <c r="J15" s="40">
        <v>1701.1680309999999</v>
      </c>
      <c r="K15" s="116">
        <v>2095.118363</v>
      </c>
      <c r="L15" s="40">
        <v>1927.3062449400002</v>
      </c>
      <c r="M15" s="40">
        <v>2111.528174</v>
      </c>
      <c r="N15" s="40">
        <v>2660.2240680199998</v>
      </c>
      <c r="O15" s="193"/>
      <c r="P15" s="193"/>
      <c r="Q15" s="193"/>
      <c r="R15" s="193"/>
      <c r="S15" s="193"/>
      <c r="T15" s="191" t="e">
        <f t="shared" si="7"/>
        <v>#DIV/0!</v>
      </c>
      <c r="U15" s="198" t="e">
        <f t="shared" si="7"/>
        <v>#DIV/0!</v>
      </c>
      <c r="V15" s="114">
        <f t="shared" si="3"/>
        <v>-100</v>
      </c>
      <c r="W15" s="201" t="e">
        <f t="shared" si="3"/>
        <v>#DIV/0!</v>
      </c>
      <c r="X15" s="114"/>
      <c r="Y15" s="30" t="s">
        <v>82</v>
      </c>
    </row>
    <row r="16" spans="1:27" s="20" customFormat="1" ht="15">
      <c r="A16" s="37" t="s">
        <v>83</v>
      </c>
      <c r="B16" s="151">
        <v>682.3</v>
      </c>
      <c r="C16" s="40">
        <v>1037.3</v>
      </c>
      <c r="D16" s="40">
        <v>798.5</v>
      </c>
      <c r="E16" s="40">
        <v>875.1</v>
      </c>
      <c r="F16" s="40">
        <v>922.4</v>
      </c>
      <c r="G16" s="40">
        <v>966.45820000000003</v>
      </c>
      <c r="H16" s="40">
        <v>1327.7892979999999</v>
      </c>
      <c r="I16" s="40">
        <v>946.95926599999996</v>
      </c>
      <c r="J16" s="40">
        <v>356.75031100000001</v>
      </c>
      <c r="K16" s="40">
        <v>288.929912</v>
      </c>
      <c r="L16" s="40">
        <v>1369.90178399</v>
      </c>
      <c r="M16" s="40">
        <v>1723.199959</v>
      </c>
      <c r="N16" s="40">
        <v>2233.1620040500002</v>
      </c>
      <c r="O16" s="193"/>
      <c r="P16" s="193"/>
      <c r="Q16" s="193"/>
      <c r="R16" s="193"/>
      <c r="S16" s="193"/>
      <c r="T16" s="191" t="e">
        <f t="shared" si="7"/>
        <v>#DIV/0!</v>
      </c>
      <c r="U16" s="198" t="e">
        <f t="shared" si="7"/>
        <v>#DIV/0!</v>
      </c>
      <c r="V16" s="114">
        <f t="shared" si="3"/>
        <v>-100</v>
      </c>
      <c r="W16" s="201" t="e">
        <f t="shared" si="3"/>
        <v>#DIV/0!</v>
      </c>
      <c r="X16" s="114"/>
      <c r="Y16" s="30" t="s">
        <v>84</v>
      </c>
    </row>
    <row r="17" spans="1:25" s="20" customFormat="1" ht="15">
      <c r="A17" s="37" t="s">
        <v>85</v>
      </c>
      <c r="B17" s="151">
        <v>231.4</v>
      </c>
      <c r="C17" s="40">
        <v>638.4</v>
      </c>
      <c r="D17" s="40">
        <v>772.2</v>
      </c>
      <c r="E17" s="40">
        <v>1202</v>
      </c>
      <c r="F17" s="40">
        <v>1115.4000000000001</v>
      </c>
      <c r="G17" s="40">
        <v>1165.9169099999999</v>
      </c>
      <c r="H17" s="40">
        <v>463.99557299999998</v>
      </c>
      <c r="I17" s="40">
        <v>577.73113499999999</v>
      </c>
      <c r="J17" s="40">
        <v>1132.764089</v>
      </c>
      <c r="K17" s="40">
        <v>1577.597278</v>
      </c>
      <c r="L17" s="40">
        <v>1958.0622446499999</v>
      </c>
      <c r="M17" s="40">
        <v>2924.2179980000001</v>
      </c>
      <c r="N17" s="40">
        <v>3212.2614754400001</v>
      </c>
      <c r="O17" s="193"/>
      <c r="P17" s="193"/>
      <c r="Q17" s="193"/>
      <c r="R17" s="193"/>
      <c r="S17" s="193"/>
      <c r="T17" s="191" t="e">
        <f t="shared" si="7"/>
        <v>#DIV/0!</v>
      </c>
      <c r="U17" s="198" t="e">
        <f t="shared" si="7"/>
        <v>#DIV/0!</v>
      </c>
      <c r="V17" s="114">
        <f t="shared" si="3"/>
        <v>-100</v>
      </c>
      <c r="W17" s="201" t="e">
        <f t="shared" si="3"/>
        <v>#DIV/0!</v>
      </c>
      <c r="X17" s="114"/>
      <c r="Y17" s="30" t="s">
        <v>86</v>
      </c>
    </row>
    <row r="18" spans="1:25" s="20" customFormat="1" ht="15">
      <c r="A18" s="37" t="s">
        <v>87</v>
      </c>
      <c r="B18" s="151">
        <v>1754.5</v>
      </c>
      <c r="C18" s="40">
        <v>536.70000000000005</v>
      </c>
      <c r="D18" s="40">
        <v>487.4</v>
      </c>
      <c r="E18" s="40">
        <v>461.4</v>
      </c>
      <c r="F18" s="40">
        <v>541.70000000000005</v>
      </c>
      <c r="G18" s="40">
        <v>549.90547900000001</v>
      </c>
      <c r="H18" s="40">
        <v>751.963122</v>
      </c>
      <c r="I18" s="40">
        <v>349.31307900000002</v>
      </c>
      <c r="J18" s="40">
        <v>353.78332899999998</v>
      </c>
      <c r="K18" s="40">
        <v>264.08306599999997</v>
      </c>
      <c r="L18" s="40">
        <v>4.6041600000000003</v>
      </c>
      <c r="M18" s="40">
        <v>3.837771</v>
      </c>
      <c r="N18" s="40">
        <v>0</v>
      </c>
      <c r="O18" s="193"/>
      <c r="P18" s="193"/>
      <c r="Q18" s="193"/>
      <c r="R18" s="193"/>
      <c r="S18" s="193"/>
      <c r="T18" s="191" t="e">
        <f t="shared" si="7"/>
        <v>#DIV/0!</v>
      </c>
      <c r="U18" s="198" t="e">
        <f t="shared" si="7"/>
        <v>#DIV/0!</v>
      </c>
      <c r="V18" s="40" t="e">
        <f t="shared" ref="V18:W18" si="11">+(Q18/$O$8)*100</f>
        <v>#DIV/0!</v>
      </c>
      <c r="W18" s="193" t="e">
        <f t="shared" si="11"/>
        <v>#DIV/0!</v>
      </c>
      <c r="X18" s="114"/>
      <c r="Y18" s="30" t="s">
        <v>88</v>
      </c>
    </row>
    <row r="19" spans="1:25" s="20" customFormat="1" ht="17.25">
      <c r="A19" s="37" t="s">
        <v>149</v>
      </c>
      <c r="B19" s="151"/>
      <c r="C19" s="40"/>
      <c r="D19" s="40"/>
      <c r="E19" s="40"/>
      <c r="F19" s="40"/>
      <c r="G19" s="40"/>
      <c r="H19" s="40"/>
      <c r="I19" s="40"/>
      <c r="J19" s="38">
        <v>0</v>
      </c>
      <c r="K19" s="38">
        <v>0</v>
      </c>
      <c r="L19" s="40">
        <v>271.75309106999975</v>
      </c>
      <c r="M19" s="40">
        <v>327.21380099999999</v>
      </c>
      <c r="N19" s="40">
        <v>637.30867463999994</v>
      </c>
      <c r="O19" s="193"/>
      <c r="P19" s="193"/>
      <c r="Q19" s="193"/>
      <c r="R19" s="193"/>
      <c r="S19" s="193"/>
      <c r="T19" s="191" t="e">
        <f t="shared" si="7"/>
        <v>#DIV/0!</v>
      </c>
      <c r="U19" s="198" t="e">
        <f t="shared" si="7"/>
        <v>#DIV/0!</v>
      </c>
      <c r="V19" s="114">
        <f t="shared" si="3"/>
        <v>-100</v>
      </c>
      <c r="W19" s="201" t="e">
        <f t="shared" si="3"/>
        <v>#DIV/0!</v>
      </c>
      <c r="X19" s="114"/>
      <c r="Y19" s="94" t="s">
        <v>153</v>
      </c>
    </row>
    <row r="20" spans="1:25" s="19" customFormat="1" ht="15">
      <c r="A20" s="33" t="s">
        <v>89</v>
      </c>
      <c r="B20" s="112">
        <f t="shared" ref="B20:I20" si="12">SUM(B21:B25)</f>
        <v>266.3</v>
      </c>
      <c r="C20" s="112">
        <f t="shared" si="12"/>
        <v>293.99999999999994</v>
      </c>
      <c r="D20" s="112">
        <f t="shared" si="12"/>
        <v>309.5</v>
      </c>
      <c r="E20" s="112">
        <f t="shared" si="12"/>
        <v>330.00000000000006</v>
      </c>
      <c r="F20" s="112">
        <f t="shared" si="12"/>
        <v>292.89999999999998</v>
      </c>
      <c r="G20" s="112">
        <f t="shared" si="12"/>
        <v>304.13394399999993</v>
      </c>
      <c r="H20" s="112">
        <f t="shared" si="12"/>
        <v>255.78124300000002</v>
      </c>
      <c r="I20" s="112">
        <f t="shared" si="12"/>
        <v>265.56214700000004</v>
      </c>
      <c r="J20" s="112">
        <f>SUM(J21:J26)</f>
        <v>209.35414899999998</v>
      </c>
      <c r="K20" s="112">
        <f t="shared" ref="K20:Q20" si="13">SUM(K21:K26)</f>
        <v>209.18252100000001</v>
      </c>
      <c r="L20" s="112">
        <f t="shared" si="13"/>
        <v>300.81956875999992</v>
      </c>
      <c r="M20" s="112">
        <f t="shared" si="13"/>
        <v>348.30320599999999</v>
      </c>
      <c r="N20" s="112">
        <f t="shared" si="13"/>
        <v>344.55713775999999</v>
      </c>
      <c r="O20" s="195">
        <f t="shared" si="13"/>
        <v>0</v>
      </c>
      <c r="P20" s="195">
        <f t="shared" si="13"/>
        <v>0</v>
      </c>
      <c r="Q20" s="195">
        <f t="shared" si="13"/>
        <v>0</v>
      </c>
      <c r="R20" s="195">
        <f t="shared" ref="R20:S20" si="14">SUM(R21:R26)</f>
        <v>0</v>
      </c>
      <c r="S20" s="195">
        <f t="shared" si="14"/>
        <v>0</v>
      </c>
      <c r="T20" s="190" t="e">
        <f t="shared" si="7"/>
        <v>#DIV/0!</v>
      </c>
      <c r="U20" s="197" t="e">
        <f t="shared" si="7"/>
        <v>#DIV/0!</v>
      </c>
      <c r="V20" s="113">
        <f t="shared" si="3"/>
        <v>-100</v>
      </c>
      <c r="W20" s="200" t="e">
        <f t="shared" si="3"/>
        <v>#DIV/0!</v>
      </c>
      <c r="X20" s="113"/>
      <c r="Y20" s="36" t="s">
        <v>46</v>
      </c>
    </row>
    <row r="21" spans="1:25" s="20" customFormat="1" ht="15">
      <c r="A21" s="37" t="s">
        <v>90</v>
      </c>
      <c r="B21" s="151">
        <v>25.8</v>
      </c>
      <c r="C21" s="40">
        <v>30.1</v>
      </c>
      <c r="D21" s="40">
        <v>36.9</v>
      </c>
      <c r="E21" s="40">
        <v>61.7</v>
      </c>
      <c r="F21" s="40">
        <v>63.7</v>
      </c>
      <c r="G21" s="40">
        <v>56.472088999999997</v>
      </c>
      <c r="H21" s="40">
        <v>35.399478999999999</v>
      </c>
      <c r="I21" s="40">
        <v>108.925563</v>
      </c>
      <c r="J21" s="40">
        <v>59.694450000000003</v>
      </c>
      <c r="K21" s="40">
        <v>45.578457</v>
      </c>
      <c r="L21" s="40">
        <v>62.856177169999995</v>
      </c>
      <c r="M21" s="40">
        <v>77.722431999999998</v>
      </c>
      <c r="N21" s="40">
        <v>44.379290109999999</v>
      </c>
      <c r="O21" s="193"/>
      <c r="P21" s="193"/>
      <c r="Q21" s="193"/>
      <c r="R21" s="193"/>
      <c r="S21" s="193"/>
      <c r="T21" s="191" t="e">
        <f t="shared" si="7"/>
        <v>#DIV/0!</v>
      </c>
      <c r="U21" s="198" t="e">
        <f t="shared" si="7"/>
        <v>#DIV/0!</v>
      </c>
      <c r="V21" s="114">
        <f t="shared" si="3"/>
        <v>-100</v>
      </c>
      <c r="W21" s="201" t="e">
        <f t="shared" si="3"/>
        <v>#DIV/0!</v>
      </c>
      <c r="X21" s="114"/>
      <c r="Y21" s="117" t="s">
        <v>91</v>
      </c>
    </row>
    <row r="22" spans="1:25" s="20" customFormat="1" ht="15">
      <c r="A22" s="37" t="s">
        <v>92</v>
      </c>
      <c r="B22" s="151">
        <v>97.5</v>
      </c>
      <c r="C22" s="40">
        <v>145</v>
      </c>
      <c r="D22" s="40">
        <v>134</v>
      </c>
      <c r="E22" s="40">
        <v>176.9</v>
      </c>
      <c r="F22" s="40">
        <v>139.5</v>
      </c>
      <c r="G22" s="40">
        <v>154.75196</v>
      </c>
      <c r="H22" s="40">
        <v>95.280591000000001</v>
      </c>
      <c r="I22" s="40">
        <v>81.075993999999994</v>
      </c>
      <c r="J22" s="40">
        <v>78.940620999999993</v>
      </c>
      <c r="K22" s="40">
        <v>67.993539999999996</v>
      </c>
      <c r="L22" s="40">
        <v>35.804027499999997</v>
      </c>
      <c r="M22" s="40">
        <v>155.90539000000001</v>
      </c>
      <c r="N22" s="40">
        <v>71.299115999999998</v>
      </c>
      <c r="O22" s="193"/>
      <c r="P22" s="193"/>
      <c r="Q22" s="193"/>
      <c r="R22" s="193"/>
      <c r="S22" s="193"/>
      <c r="T22" s="191" t="e">
        <f t="shared" si="7"/>
        <v>#DIV/0!</v>
      </c>
      <c r="U22" s="198" t="e">
        <f t="shared" si="7"/>
        <v>#DIV/0!</v>
      </c>
      <c r="V22" s="114">
        <f t="shared" si="3"/>
        <v>-100</v>
      </c>
      <c r="W22" s="201" t="e">
        <f t="shared" si="3"/>
        <v>#DIV/0!</v>
      </c>
      <c r="X22" s="114"/>
      <c r="Y22" s="117" t="s">
        <v>93</v>
      </c>
    </row>
    <row r="23" spans="1:25" s="20" customFormat="1" ht="15">
      <c r="A23" s="37" t="s">
        <v>94</v>
      </c>
      <c r="B23" s="151">
        <v>16.899999999999999</v>
      </c>
      <c r="C23" s="40">
        <v>18.600000000000001</v>
      </c>
      <c r="D23" s="40">
        <v>32.700000000000003</v>
      </c>
      <c r="E23" s="40">
        <v>28.6</v>
      </c>
      <c r="F23" s="40">
        <v>33.5</v>
      </c>
      <c r="G23" s="40">
        <v>33.484577000000002</v>
      </c>
      <c r="H23" s="40">
        <v>29.27197</v>
      </c>
      <c r="I23" s="40">
        <v>17.173514000000001</v>
      </c>
      <c r="J23" s="40">
        <v>20.235569000000002</v>
      </c>
      <c r="K23" s="40">
        <v>27.574041999999999</v>
      </c>
      <c r="L23" s="40">
        <v>26.957459039999989</v>
      </c>
      <c r="M23" s="40">
        <v>32.610194</v>
      </c>
      <c r="N23" s="40">
        <v>31.466308000000001</v>
      </c>
      <c r="O23" s="193"/>
      <c r="P23" s="193"/>
      <c r="Q23" s="193"/>
      <c r="R23" s="193"/>
      <c r="S23" s="193"/>
      <c r="T23" s="191" t="e">
        <f t="shared" si="7"/>
        <v>#DIV/0!</v>
      </c>
      <c r="U23" s="198" t="e">
        <f t="shared" si="7"/>
        <v>#DIV/0!</v>
      </c>
      <c r="V23" s="114">
        <f t="shared" si="3"/>
        <v>-100</v>
      </c>
      <c r="W23" s="201" t="e">
        <f t="shared" si="3"/>
        <v>#DIV/0!</v>
      </c>
      <c r="X23" s="114"/>
      <c r="Y23" s="117" t="s">
        <v>95</v>
      </c>
    </row>
    <row r="24" spans="1:25" s="20" customFormat="1" ht="15">
      <c r="A24" s="39" t="s">
        <v>96</v>
      </c>
      <c r="B24" s="151">
        <v>107.8</v>
      </c>
      <c r="C24" s="40">
        <v>80.099999999999994</v>
      </c>
      <c r="D24" s="40">
        <v>87.7</v>
      </c>
      <c r="E24" s="40">
        <v>48.5</v>
      </c>
      <c r="F24" s="40">
        <v>38.9</v>
      </c>
      <c r="G24" s="40">
        <v>42.022793999999998</v>
      </c>
      <c r="H24" s="40">
        <v>78.335824000000002</v>
      </c>
      <c r="I24" s="40">
        <v>43.838565000000003</v>
      </c>
      <c r="J24" s="40">
        <v>33.652334000000003</v>
      </c>
      <c r="K24" s="40">
        <v>52.352131999999997</v>
      </c>
      <c r="L24" s="40">
        <v>33.053981409999999</v>
      </c>
      <c r="M24" s="40">
        <v>48.876987999999997</v>
      </c>
      <c r="N24" s="40">
        <v>103.028464</v>
      </c>
      <c r="O24" s="193"/>
      <c r="P24" s="193"/>
      <c r="Q24" s="193"/>
      <c r="R24" s="193"/>
      <c r="S24" s="193"/>
      <c r="T24" s="191" t="e">
        <f t="shared" si="7"/>
        <v>#DIV/0!</v>
      </c>
      <c r="U24" s="198" t="e">
        <f t="shared" si="7"/>
        <v>#DIV/0!</v>
      </c>
      <c r="V24" s="114">
        <f t="shared" si="3"/>
        <v>-100</v>
      </c>
      <c r="W24" s="201" t="e">
        <f t="shared" si="3"/>
        <v>#DIV/0!</v>
      </c>
      <c r="X24" s="114"/>
      <c r="Y24" s="117" t="s">
        <v>97</v>
      </c>
    </row>
    <row r="25" spans="1:25" s="20" customFormat="1" ht="15">
      <c r="A25" s="39" t="s">
        <v>98</v>
      </c>
      <c r="B25" s="151">
        <v>18.3</v>
      </c>
      <c r="C25" s="40">
        <v>20.2</v>
      </c>
      <c r="D25" s="40">
        <v>18.2</v>
      </c>
      <c r="E25" s="40">
        <v>14.3</v>
      </c>
      <c r="F25" s="40">
        <v>17.3</v>
      </c>
      <c r="G25" s="40">
        <v>17.402524</v>
      </c>
      <c r="H25" s="40">
        <v>17.493379000000001</v>
      </c>
      <c r="I25" s="40">
        <v>14.548511</v>
      </c>
      <c r="J25" s="40">
        <v>16.831175000000002</v>
      </c>
      <c r="K25" s="40">
        <v>15.68435</v>
      </c>
      <c r="L25" s="40">
        <v>140.28595263999998</v>
      </c>
      <c r="M25" s="40">
        <v>31.397749000000001</v>
      </c>
      <c r="N25" s="40">
        <v>92.426890650000004</v>
      </c>
      <c r="O25" s="193"/>
      <c r="P25" s="193"/>
      <c r="Q25" s="193"/>
      <c r="R25" s="193"/>
      <c r="S25" s="193"/>
      <c r="T25" s="191" t="e">
        <f t="shared" si="7"/>
        <v>#DIV/0!</v>
      </c>
      <c r="U25" s="198" t="e">
        <f t="shared" si="7"/>
        <v>#DIV/0!</v>
      </c>
      <c r="V25" s="114">
        <f t="shared" si="3"/>
        <v>-100</v>
      </c>
      <c r="W25" s="201" t="e">
        <f t="shared" si="3"/>
        <v>#DIV/0!</v>
      </c>
      <c r="X25" s="114"/>
      <c r="Y25" s="118" t="s">
        <v>99</v>
      </c>
    </row>
    <row r="26" spans="1:25" s="20" customFormat="1" ht="15">
      <c r="A26" s="39" t="s">
        <v>150</v>
      </c>
      <c r="B26" s="151"/>
      <c r="C26" s="40"/>
      <c r="D26" s="40"/>
      <c r="E26" s="40"/>
      <c r="F26" s="40"/>
      <c r="G26" s="40"/>
      <c r="H26" s="40"/>
      <c r="I26" s="40"/>
      <c r="J26" s="40">
        <v>0</v>
      </c>
      <c r="K26" s="40">
        <v>0</v>
      </c>
      <c r="L26" s="40">
        <v>1.861971</v>
      </c>
      <c r="M26" s="40">
        <v>1.7904530000000001</v>
      </c>
      <c r="N26" s="40">
        <v>1.9570689999999999</v>
      </c>
      <c r="O26" s="193"/>
      <c r="P26" s="193"/>
      <c r="Q26" s="193"/>
      <c r="R26" s="193"/>
      <c r="S26" s="193"/>
      <c r="T26" s="191" t="e">
        <f t="shared" si="7"/>
        <v>#DIV/0!</v>
      </c>
      <c r="U26" s="198" t="e">
        <f t="shared" si="7"/>
        <v>#DIV/0!</v>
      </c>
      <c r="V26" s="114">
        <f t="shared" si="3"/>
        <v>-100</v>
      </c>
      <c r="W26" s="201" t="e">
        <f t="shared" si="3"/>
        <v>#DIV/0!</v>
      </c>
      <c r="X26" s="114"/>
      <c r="Y26" s="118"/>
    </row>
    <row r="27" spans="1:25" s="19" customFormat="1" ht="15">
      <c r="A27" s="153" t="s">
        <v>100</v>
      </c>
      <c r="B27" s="41">
        <v>234.3</v>
      </c>
      <c r="C27" s="119">
        <v>280</v>
      </c>
      <c r="D27" s="119">
        <v>339.9</v>
      </c>
      <c r="E27" s="119">
        <v>592.79999999999995</v>
      </c>
      <c r="F27" s="119">
        <v>554.5</v>
      </c>
      <c r="G27" s="119">
        <v>434.04570899999999</v>
      </c>
      <c r="H27" s="119">
        <v>617.87877800000001</v>
      </c>
      <c r="I27" s="119">
        <v>662.05533700000001</v>
      </c>
      <c r="J27" s="119">
        <v>725.8</v>
      </c>
      <c r="K27" s="119">
        <v>1107.0812289999999</v>
      </c>
      <c r="L27" s="119">
        <v>956.72619699999996</v>
      </c>
      <c r="M27" s="119">
        <v>978.34736899999996</v>
      </c>
      <c r="N27" s="119">
        <v>1347.6498610000001</v>
      </c>
      <c r="O27" s="194"/>
      <c r="P27" s="194"/>
      <c r="Q27" s="194"/>
      <c r="R27" s="194"/>
      <c r="S27" s="194"/>
      <c r="T27" s="192" t="e">
        <f t="shared" si="7"/>
        <v>#DIV/0!</v>
      </c>
      <c r="U27" s="199" t="e">
        <f t="shared" si="7"/>
        <v>#DIV/0!</v>
      </c>
      <c r="V27" s="120">
        <f t="shared" si="3"/>
        <v>-100</v>
      </c>
      <c r="W27" s="202" t="e">
        <f t="shared" si="3"/>
        <v>#DIV/0!</v>
      </c>
      <c r="X27" s="120"/>
      <c r="Y27" s="121" t="s">
        <v>101</v>
      </c>
    </row>
    <row r="28" spans="1:25" s="20" customFormat="1" ht="15">
      <c r="A28" s="21" t="s">
        <v>14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5"/>
      <c r="W28" s="75"/>
      <c r="X28" s="75"/>
      <c r="Y28" s="30" t="s">
        <v>15</v>
      </c>
    </row>
    <row r="29" spans="1:25" s="20" customFormat="1" ht="15">
      <c r="A29" s="21" t="s">
        <v>102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5"/>
      <c r="W29" s="75"/>
      <c r="X29" s="75"/>
      <c r="Y29" s="30" t="s">
        <v>103</v>
      </c>
    </row>
    <row r="30" spans="1:25" s="20" customFormat="1">
      <c r="A30" s="21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22"/>
      <c r="W30" s="122"/>
      <c r="X30" s="122"/>
    </row>
    <row r="31" spans="1:25" s="126" customFormat="1" ht="12.75">
      <c r="A31" s="123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5"/>
      <c r="W31" s="125"/>
      <c r="X31" s="125"/>
    </row>
    <row r="32" spans="1:25" s="126" customFormat="1" ht="12.75">
      <c r="A32" s="123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5"/>
      <c r="W32" s="125"/>
      <c r="X32" s="125"/>
    </row>
    <row r="33" spans="1:24" s="126" customFormat="1" ht="12.75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5"/>
      <c r="W33" s="125"/>
      <c r="X33" s="125"/>
    </row>
    <row r="34" spans="1:24" s="126" customFormat="1" ht="12.75">
      <c r="A34" s="123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5"/>
      <c r="W34" s="125"/>
      <c r="X34" s="125"/>
    </row>
    <row r="35" spans="1:24" s="126" customFormat="1" ht="12.75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5"/>
      <c r="W35" s="125"/>
      <c r="X35" s="125"/>
    </row>
    <row r="36" spans="1:24" s="126" customFormat="1" ht="12.75">
      <c r="A36" s="123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5"/>
      <c r="W36" s="125"/>
      <c r="X36" s="125"/>
    </row>
    <row r="37" spans="1:24" s="126" customFormat="1"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8"/>
      <c r="W37" s="128"/>
      <c r="X37" s="128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4" hidden="1" customWidth="1"/>
    <col min="12" max="12" width="8.85546875" style="24"/>
    <col min="13" max="13" width="10.140625" style="24" customWidth="1"/>
    <col min="14" max="14" width="11.5703125" style="24" customWidth="1"/>
    <col min="15" max="19" width="8.85546875" style="24"/>
    <col min="20" max="21" width="10.28515625" style="24" customWidth="1"/>
    <col min="22" max="22" width="1.28515625" style="24" customWidth="1"/>
    <col min="23" max="24" width="12.5703125" style="24" customWidth="1"/>
    <col min="25" max="25" width="3.85546875" style="24" customWidth="1"/>
    <col min="26" max="26" width="42" style="15" customWidth="1"/>
    <col min="27" max="16384" width="8.85546875" style="15"/>
  </cols>
  <sheetData>
    <row r="1" spans="1:26" ht="19.5">
      <c r="A1" s="289" t="s">
        <v>171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26">
      <c r="A2" s="306" t="s">
        <v>172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spans="1:26" ht="14.25">
      <c r="A3" s="307" t="s">
        <v>16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s="16" customFormat="1">
      <c r="A4" s="292" t="s">
        <v>66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</row>
    <row r="5" spans="1:26" s="16" customFormat="1" ht="18.75">
      <c r="A5" s="154"/>
      <c r="B5" s="154"/>
      <c r="D5" s="79" t="s">
        <v>1</v>
      </c>
      <c r="E5" s="319" t="s">
        <v>5</v>
      </c>
      <c r="F5" s="319"/>
      <c r="G5" s="319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317" t="s">
        <v>104</v>
      </c>
      <c r="U5" s="318"/>
      <c r="V5" s="81"/>
      <c r="W5" s="320" t="s">
        <v>63</v>
      </c>
      <c r="X5" s="320"/>
      <c r="Y5" s="134"/>
    </row>
    <row r="6" spans="1:26" s="31" customFormat="1" ht="15">
      <c r="A6" s="82" t="s">
        <v>0</v>
      </c>
      <c r="D6" s="47" t="s">
        <v>105</v>
      </c>
      <c r="E6" s="83" t="s">
        <v>4</v>
      </c>
      <c r="F6" s="83" t="s">
        <v>4</v>
      </c>
      <c r="G6" s="83" t="s">
        <v>4</v>
      </c>
      <c r="H6" s="83"/>
      <c r="I6" s="83"/>
      <c r="J6" s="83"/>
      <c r="K6" s="83" t="s">
        <v>3</v>
      </c>
      <c r="L6" s="83" t="s">
        <v>3</v>
      </c>
      <c r="M6" s="83" t="s">
        <v>3</v>
      </c>
      <c r="N6" s="13" t="s">
        <v>3</v>
      </c>
      <c r="O6" s="161" t="s">
        <v>3</v>
      </c>
      <c r="P6" s="161" t="s">
        <v>174</v>
      </c>
      <c r="Q6" s="161" t="s">
        <v>158</v>
      </c>
      <c r="R6" s="161" t="s">
        <v>158</v>
      </c>
      <c r="S6" s="161" t="s">
        <v>158</v>
      </c>
      <c r="T6" s="315" t="s">
        <v>68</v>
      </c>
      <c r="U6" s="316"/>
      <c r="V6" s="131"/>
      <c r="W6" s="314" t="s">
        <v>21</v>
      </c>
      <c r="X6" s="314"/>
      <c r="Y6" s="135"/>
      <c r="Z6" s="148" t="s">
        <v>2</v>
      </c>
    </row>
    <row r="7" spans="1:26" s="87" customFormat="1">
      <c r="A7" s="84"/>
      <c r="B7" s="84">
        <v>2007</v>
      </c>
      <c r="C7" s="84">
        <v>2008</v>
      </c>
      <c r="D7" s="84">
        <v>2009</v>
      </c>
      <c r="E7" s="84">
        <v>2010</v>
      </c>
      <c r="F7" s="84">
        <v>2011</v>
      </c>
      <c r="G7" s="84">
        <v>2012</v>
      </c>
      <c r="H7" s="84">
        <v>2009</v>
      </c>
      <c r="I7" s="84">
        <v>2010</v>
      </c>
      <c r="J7" s="84">
        <v>2011</v>
      </c>
      <c r="K7" s="84">
        <v>2012</v>
      </c>
      <c r="L7" s="84">
        <v>2013</v>
      </c>
      <c r="M7" s="84">
        <v>2014</v>
      </c>
      <c r="N7" s="14">
        <v>2015</v>
      </c>
      <c r="O7" s="162">
        <v>2016</v>
      </c>
      <c r="P7" s="162">
        <v>2017</v>
      </c>
      <c r="Q7" s="162">
        <v>2018</v>
      </c>
      <c r="R7" s="162">
        <v>2019</v>
      </c>
      <c r="S7" s="162">
        <v>2020</v>
      </c>
      <c r="T7" s="204">
        <v>2016</v>
      </c>
      <c r="U7" s="217">
        <v>2017</v>
      </c>
      <c r="V7" s="84"/>
      <c r="W7" s="85" t="s">
        <v>157</v>
      </c>
      <c r="X7" s="223" t="s">
        <v>170</v>
      </c>
      <c r="Y7" s="86"/>
      <c r="Z7" s="86"/>
    </row>
    <row r="8" spans="1:26" s="19" customFormat="1" ht="18" customHeight="1">
      <c r="A8" s="33" t="s">
        <v>106</v>
      </c>
      <c r="B8" s="88">
        <f t="shared" ref="B8:O8" si="0">SUM(B9,B28)</f>
        <v>1640.8000000000002</v>
      </c>
      <c r="C8" s="88">
        <f t="shared" si="0"/>
        <v>2712.7999999999997</v>
      </c>
      <c r="D8" s="88">
        <f t="shared" si="0"/>
        <v>2938.9670029999997</v>
      </c>
      <c r="E8" s="88">
        <f t="shared" si="0"/>
        <v>1791.4</v>
      </c>
      <c r="F8" s="88">
        <f t="shared" si="0"/>
        <v>1261.8</v>
      </c>
      <c r="G8" s="88">
        <f t="shared" si="0"/>
        <v>1398.8000000000002</v>
      </c>
      <c r="H8" s="88">
        <f t="shared" si="0"/>
        <v>2214.6986589999997</v>
      </c>
      <c r="I8" s="88">
        <f t="shared" si="0"/>
        <v>2445.9177938999997</v>
      </c>
      <c r="J8" s="88">
        <f t="shared" si="0"/>
        <v>3188.9832150000002</v>
      </c>
      <c r="K8" s="88">
        <f t="shared" si="0"/>
        <v>2793.5176700000002</v>
      </c>
      <c r="L8" s="137">
        <f t="shared" si="0"/>
        <v>1957.5564169399997</v>
      </c>
      <c r="M8" s="137">
        <f t="shared" si="0"/>
        <v>2462.8850039999998</v>
      </c>
      <c r="N8" s="137">
        <f t="shared" si="0"/>
        <v>4658.3671360299995</v>
      </c>
      <c r="O8" s="214">
        <f t="shared" si="0"/>
        <v>0</v>
      </c>
      <c r="P8" s="214">
        <f t="shared" ref="P8" si="1">SUM(P9,P28)</f>
        <v>0</v>
      </c>
      <c r="Q8" s="214">
        <f t="shared" ref="Q8:R8" si="2">SUM(Q9,Q28)</f>
        <v>0</v>
      </c>
      <c r="R8" s="214">
        <f t="shared" si="2"/>
        <v>0</v>
      </c>
      <c r="S8" s="214">
        <f t="shared" ref="S8" si="3">SUM(S9,S28)</f>
        <v>0</v>
      </c>
      <c r="T8" s="205"/>
      <c r="U8" s="218"/>
      <c r="V8" s="89"/>
      <c r="W8" s="90">
        <f t="shared" ref="W8:X28" si="4">+((O8/N8)-1)*100</f>
        <v>-100</v>
      </c>
      <c r="X8" s="224" t="e">
        <f>+((P8/O8)-1)*100</f>
        <v>#DIV/0!</v>
      </c>
      <c r="Z8" s="36" t="s">
        <v>107</v>
      </c>
    </row>
    <row r="9" spans="1:26" s="19" customFormat="1" ht="18" customHeight="1">
      <c r="A9" s="33" t="s">
        <v>108</v>
      </c>
      <c r="B9" s="88">
        <f t="shared" ref="B9:O9" si="5">SUM(B10,B15,B21)</f>
        <v>1765.3000000000002</v>
      </c>
      <c r="C9" s="88">
        <f t="shared" si="5"/>
        <v>2879.2</v>
      </c>
      <c r="D9" s="88">
        <f t="shared" si="5"/>
        <v>3007.8670029999998</v>
      </c>
      <c r="E9" s="88">
        <f t="shared" si="5"/>
        <v>2038.9</v>
      </c>
      <c r="F9" s="88">
        <f t="shared" si="5"/>
        <v>1537</v>
      </c>
      <c r="G9" s="88">
        <f t="shared" si="5"/>
        <v>1645.0000000000002</v>
      </c>
      <c r="H9" s="88">
        <f t="shared" si="5"/>
        <v>2365.5349919999999</v>
      </c>
      <c r="I9" s="88">
        <f t="shared" si="5"/>
        <v>2627.2177938999998</v>
      </c>
      <c r="J9" s="88">
        <f t="shared" si="5"/>
        <v>3587.9832150000002</v>
      </c>
      <c r="K9" s="88">
        <f t="shared" si="5"/>
        <v>2883.7493060000002</v>
      </c>
      <c r="L9" s="137">
        <f t="shared" si="5"/>
        <v>2093.0414239399997</v>
      </c>
      <c r="M9" s="137">
        <f t="shared" si="5"/>
        <v>2585.0470539999997</v>
      </c>
      <c r="N9" s="137">
        <f t="shared" si="5"/>
        <v>4762.3853820299992</v>
      </c>
      <c r="O9" s="214">
        <f t="shared" si="5"/>
        <v>0</v>
      </c>
      <c r="P9" s="214">
        <f t="shared" ref="P9:Q9" si="6">SUM(P10,P15,P21)</f>
        <v>0</v>
      </c>
      <c r="Q9" s="214">
        <f t="shared" si="6"/>
        <v>0</v>
      </c>
      <c r="R9" s="214">
        <f t="shared" ref="R9:S9" si="7">SUM(R10,R15,R21)</f>
        <v>0</v>
      </c>
      <c r="S9" s="214">
        <f t="shared" si="7"/>
        <v>0</v>
      </c>
      <c r="T9" s="206" t="e">
        <f>+(O9/$O$9)*100</f>
        <v>#DIV/0!</v>
      </c>
      <c r="U9" s="219" t="e">
        <f>+(P9/$O$9)*100</f>
        <v>#DIV/0!</v>
      </c>
      <c r="V9" s="89"/>
      <c r="W9" s="90">
        <f t="shared" si="4"/>
        <v>-100</v>
      </c>
      <c r="X9" s="224" t="e">
        <f t="shared" si="4"/>
        <v>#DIV/0!</v>
      </c>
      <c r="Z9" s="36" t="s">
        <v>109</v>
      </c>
    </row>
    <row r="10" spans="1:26" s="19" customFormat="1" ht="18" customHeight="1">
      <c r="A10" s="33" t="s">
        <v>110</v>
      </c>
      <c r="B10" s="88">
        <f t="shared" ref="B10:O10" si="8">SUM(B11:B14)</f>
        <v>808.9</v>
      </c>
      <c r="C10" s="88">
        <f t="shared" si="8"/>
        <v>498.79999999999995</v>
      </c>
      <c r="D10" s="88">
        <f t="shared" si="8"/>
        <v>867.71007999999995</v>
      </c>
      <c r="E10" s="88">
        <f t="shared" si="8"/>
        <v>495.4</v>
      </c>
      <c r="F10" s="88">
        <f t="shared" si="8"/>
        <v>381.3</v>
      </c>
      <c r="G10" s="88">
        <f t="shared" si="8"/>
        <v>709.7</v>
      </c>
      <c r="H10" s="88">
        <f t="shared" si="8"/>
        <v>696.52141600000004</v>
      </c>
      <c r="I10" s="88">
        <f t="shared" si="8"/>
        <v>635.70163600000001</v>
      </c>
      <c r="J10" s="88">
        <f t="shared" si="8"/>
        <v>1285.636868</v>
      </c>
      <c r="K10" s="88">
        <f t="shared" si="8"/>
        <v>1139.8289990000001</v>
      </c>
      <c r="L10" s="137">
        <f t="shared" si="8"/>
        <v>462.58586595999998</v>
      </c>
      <c r="M10" s="137">
        <f t="shared" si="8"/>
        <v>679.01722999999993</v>
      </c>
      <c r="N10" s="137">
        <f t="shared" si="8"/>
        <v>2079.0821064299998</v>
      </c>
      <c r="O10" s="214">
        <f t="shared" si="8"/>
        <v>0</v>
      </c>
      <c r="P10" s="214">
        <f t="shared" ref="P10:Q10" si="9">SUM(P11:P14)</f>
        <v>0</v>
      </c>
      <c r="Q10" s="214">
        <f t="shared" si="9"/>
        <v>0</v>
      </c>
      <c r="R10" s="214">
        <f t="shared" ref="R10:S10" si="10">SUM(R11:R14)</f>
        <v>0</v>
      </c>
      <c r="S10" s="214">
        <f t="shared" si="10"/>
        <v>0</v>
      </c>
      <c r="T10" s="206" t="e">
        <f t="shared" ref="T10:U31" si="11">+(O10/$O$9)*100</f>
        <v>#DIV/0!</v>
      </c>
      <c r="U10" s="219" t="e">
        <f t="shared" si="11"/>
        <v>#DIV/0!</v>
      </c>
      <c r="V10" s="89"/>
      <c r="W10" s="90">
        <f t="shared" si="4"/>
        <v>-100</v>
      </c>
      <c r="X10" s="224" t="e">
        <f t="shared" si="4"/>
        <v>#DIV/0!</v>
      </c>
      <c r="Z10" s="36" t="s">
        <v>111</v>
      </c>
    </row>
    <row r="11" spans="1:26" s="20" customFormat="1" ht="18" customHeight="1">
      <c r="A11" s="37" t="s">
        <v>112</v>
      </c>
      <c r="B11" s="150">
        <v>465.50000000000006</v>
      </c>
      <c r="C11" s="91">
        <v>300.39999999999998</v>
      </c>
      <c r="D11" s="91">
        <v>659</v>
      </c>
      <c r="E11" s="91">
        <v>197</v>
      </c>
      <c r="F11" s="91">
        <v>230.9</v>
      </c>
      <c r="G11" s="91">
        <v>523.29999999999995</v>
      </c>
      <c r="H11" s="91">
        <v>557.45811400000002</v>
      </c>
      <c r="I11" s="91">
        <v>524.06922099999997</v>
      </c>
      <c r="J11" s="91">
        <v>923.85471400000006</v>
      </c>
      <c r="K11" s="91">
        <v>967.18460399999992</v>
      </c>
      <c r="L11" s="138">
        <v>254.18770169000001</v>
      </c>
      <c r="M11" s="138">
        <v>432.35995500000001</v>
      </c>
      <c r="N11" s="138">
        <v>1056.8424239999999</v>
      </c>
      <c r="O11" s="210"/>
      <c r="P11" s="210"/>
      <c r="Q11" s="210"/>
      <c r="R11" s="210"/>
      <c r="S11" s="210"/>
      <c r="T11" s="207" t="e">
        <f t="shared" si="11"/>
        <v>#DIV/0!</v>
      </c>
      <c r="U11" s="220" t="e">
        <f t="shared" si="11"/>
        <v>#DIV/0!</v>
      </c>
      <c r="V11" s="92"/>
      <c r="W11" s="93">
        <f t="shared" si="4"/>
        <v>-100</v>
      </c>
      <c r="X11" s="225" t="e">
        <f t="shared" si="4"/>
        <v>#DIV/0!</v>
      </c>
      <c r="Z11" s="30" t="s">
        <v>72</v>
      </c>
    </row>
    <row r="12" spans="1:26" s="20" customFormat="1" ht="18" customHeight="1">
      <c r="A12" s="37" t="s">
        <v>113</v>
      </c>
      <c r="B12" s="150">
        <v>71.099999999999994</v>
      </c>
      <c r="C12" s="91">
        <v>37.299999999999997</v>
      </c>
      <c r="D12" s="91">
        <v>41.634203999999997</v>
      </c>
      <c r="E12" s="91">
        <v>33</v>
      </c>
      <c r="F12" s="91">
        <v>26.7</v>
      </c>
      <c r="G12" s="91">
        <v>21.2</v>
      </c>
      <c r="H12" s="91">
        <v>39.637543000000001</v>
      </c>
      <c r="I12" s="91">
        <v>18.016133</v>
      </c>
      <c r="J12" s="91">
        <v>136.47622799999999</v>
      </c>
      <c r="K12" s="91">
        <v>12.031162</v>
      </c>
      <c r="L12" s="138">
        <v>2.399518</v>
      </c>
      <c r="M12" s="138">
        <v>88.919511</v>
      </c>
      <c r="N12" s="138">
        <v>172.01989833000002</v>
      </c>
      <c r="O12" s="210"/>
      <c r="P12" s="210"/>
      <c r="Q12" s="210"/>
      <c r="R12" s="210"/>
      <c r="S12" s="210"/>
      <c r="T12" s="207" t="e">
        <f t="shared" si="11"/>
        <v>#DIV/0!</v>
      </c>
      <c r="U12" s="220" t="e">
        <f t="shared" si="11"/>
        <v>#DIV/0!</v>
      </c>
      <c r="V12" s="92"/>
      <c r="W12" s="93">
        <f t="shared" si="4"/>
        <v>-100</v>
      </c>
      <c r="X12" s="225" t="e">
        <f t="shared" si="4"/>
        <v>#DIV/0!</v>
      </c>
      <c r="Z12" s="30" t="s">
        <v>74</v>
      </c>
    </row>
    <row r="13" spans="1:26" s="19" customFormat="1" ht="18" customHeight="1">
      <c r="A13" s="37" t="s">
        <v>114</v>
      </c>
      <c r="B13" s="91">
        <v>225.4</v>
      </c>
      <c r="C13" s="91">
        <v>149.1</v>
      </c>
      <c r="D13" s="91">
        <v>145.506271</v>
      </c>
      <c r="E13" s="91">
        <v>227.5</v>
      </c>
      <c r="F13" s="91">
        <v>86.3</v>
      </c>
      <c r="G13" s="91">
        <v>118</v>
      </c>
      <c r="H13" s="91">
        <v>73.816480999999996</v>
      </c>
      <c r="I13" s="91">
        <v>59.56033</v>
      </c>
      <c r="J13" s="91">
        <v>67.595481000000007</v>
      </c>
      <c r="K13" s="91">
        <v>55.118071999999998</v>
      </c>
      <c r="L13" s="138">
        <v>66.5179136</v>
      </c>
      <c r="M13" s="138">
        <v>105.52811699999999</v>
      </c>
      <c r="N13" s="138">
        <v>169.18427500000001</v>
      </c>
      <c r="O13" s="210"/>
      <c r="P13" s="210"/>
      <c r="Q13" s="210"/>
      <c r="R13" s="210"/>
      <c r="S13" s="210"/>
      <c r="T13" s="207" t="e">
        <f t="shared" si="11"/>
        <v>#DIV/0!</v>
      </c>
      <c r="U13" s="220" t="e">
        <f t="shared" si="11"/>
        <v>#DIV/0!</v>
      </c>
      <c r="V13" s="92"/>
      <c r="W13" s="93">
        <f t="shared" si="4"/>
        <v>-100</v>
      </c>
      <c r="X13" s="225" t="e">
        <f t="shared" si="4"/>
        <v>#DIV/0!</v>
      </c>
      <c r="Z13" s="30" t="s">
        <v>115</v>
      </c>
    </row>
    <row r="14" spans="1:26" s="20" customFormat="1" ht="18" customHeight="1">
      <c r="A14" s="37" t="s">
        <v>116</v>
      </c>
      <c r="B14" s="150">
        <v>46.9</v>
      </c>
      <c r="C14" s="91">
        <v>12</v>
      </c>
      <c r="D14" s="91">
        <v>21.569604999999999</v>
      </c>
      <c r="E14" s="91">
        <v>37.9</v>
      </c>
      <c r="F14" s="91">
        <v>37.4</v>
      </c>
      <c r="G14" s="91">
        <v>47.2</v>
      </c>
      <c r="H14" s="91">
        <v>25.609278</v>
      </c>
      <c r="I14" s="91">
        <v>34.055951999999998</v>
      </c>
      <c r="J14" s="91">
        <v>157.71044499999999</v>
      </c>
      <c r="K14" s="91">
        <v>105.495161</v>
      </c>
      <c r="L14" s="139">
        <v>139.48073266999998</v>
      </c>
      <c r="M14" s="139">
        <v>52.209646999999997</v>
      </c>
      <c r="N14" s="139">
        <v>681.03550910000001</v>
      </c>
      <c r="O14" s="211"/>
      <c r="P14" s="211"/>
      <c r="Q14" s="211"/>
      <c r="R14" s="211"/>
      <c r="S14" s="211"/>
      <c r="T14" s="207" t="e">
        <f t="shared" si="11"/>
        <v>#DIV/0!</v>
      </c>
      <c r="U14" s="220" t="e">
        <f t="shared" si="11"/>
        <v>#DIV/0!</v>
      </c>
      <c r="V14" s="92"/>
      <c r="W14" s="93">
        <f t="shared" si="4"/>
        <v>-100</v>
      </c>
      <c r="X14" s="225" t="e">
        <f t="shared" si="4"/>
        <v>#DIV/0!</v>
      </c>
      <c r="Z14" s="30" t="s">
        <v>78</v>
      </c>
    </row>
    <row r="15" spans="1:26" s="19" customFormat="1" ht="18" customHeight="1">
      <c r="A15" s="33" t="s">
        <v>117</v>
      </c>
      <c r="B15" s="88">
        <f>SUM(B16:B20)</f>
        <v>626.5</v>
      </c>
      <c r="C15" s="88">
        <f t="shared" ref="C15:P15" si="12">SUM(C16:C20)</f>
        <v>1443.3</v>
      </c>
      <c r="D15" s="88">
        <f t="shared" si="12"/>
        <v>849.36242600000003</v>
      </c>
      <c r="E15" s="88">
        <f t="shared" si="12"/>
        <v>896.5</v>
      </c>
      <c r="F15" s="88">
        <f t="shared" si="12"/>
        <v>834.6</v>
      </c>
      <c r="G15" s="88">
        <f t="shared" si="12"/>
        <v>734.1</v>
      </c>
      <c r="H15" s="88">
        <f t="shared" si="12"/>
        <v>1087.278699</v>
      </c>
      <c r="I15" s="88">
        <f t="shared" si="12"/>
        <v>1816.638207</v>
      </c>
      <c r="J15" s="88">
        <f t="shared" si="12"/>
        <v>1383.244537</v>
      </c>
      <c r="K15" s="88">
        <f t="shared" si="12"/>
        <v>1081.7647489999999</v>
      </c>
      <c r="L15" s="137">
        <f t="shared" si="12"/>
        <v>1108.2257616500001</v>
      </c>
      <c r="M15" s="137">
        <f t="shared" si="12"/>
        <v>1155.5744520000001</v>
      </c>
      <c r="N15" s="137">
        <f t="shared" si="12"/>
        <v>1812.3305333000001</v>
      </c>
      <c r="O15" s="214">
        <f t="shared" si="12"/>
        <v>0</v>
      </c>
      <c r="P15" s="214">
        <f t="shared" si="12"/>
        <v>0</v>
      </c>
      <c r="Q15" s="214">
        <f t="shared" ref="Q15:R15" si="13">SUM(Q16:Q20)</f>
        <v>0</v>
      </c>
      <c r="R15" s="214">
        <f t="shared" si="13"/>
        <v>0</v>
      </c>
      <c r="S15" s="214">
        <f t="shared" ref="S15" si="14">SUM(S16:S20)</f>
        <v>0</v>
      </c>
      <c r="T15" s="206" t="e">
        <f t="shared" si="11"/>
        <v>#DIV/0!</v>
      </c>
      <c r="U15" s="219" t="e">
        <f t="shared" si="11"/>
        <v>#DIV/0!</v>
      </c>
      <c r="V15" s="89"/>
      <c r="W15" s="90">
        <f t="shared" si="4"/>
        <v>-100</v>
      </c>
      <c r="X15" s="224" t="e">
        <f t="shared" si="4"/>
        <v>#DIV/0!</v>
      </c>
      <c r="Z15" s="36" t="s">
        <v>118</v>
      </c>
    </row>
    <row r="16" spans="1:26" s="20" customFormat="1" ht="18" customHeight="1">
      <c r="A16" s="37" t="s">
        <v>119</v>
      </c>
      <c r="B16" s="150">
        <v>164.4</v>
      </c>
      <c r="C16" s="91">
        <v>163.4</v>
      </c>
      <c r="D16" s="91">
        <v>108.19257</v>
      </c>
      <c r="E16" s="91">
        <v>68.400000000000006</v>
      </c>
      <c r="F16" s="91">
        <v>36.6</v>
      </c>
      <c r="G16" s="91">
        <v>29.5</v>
      </c>
      <c r="H16" s="91">
        <v>133.543679</v>
      </c>
      <c r="I16" s="91">
        <v>54.517771000000003</v>
      </c>
      <c r="J16" s="91">
        <v>95.493024000000005</v>
      </c>
      <c r="K16" s="91">
        <v>108.05040099999999</v>
      </c>
      <c r="L16" s="138">
        <v>74.973524780000005</v>
      </c>
      <c r="M16" s="138">
        <v>100.486884</v>
      </c>
      <c r="N16" s="138">
        <v>272.82640853000004</v>
      </c>
      <c r="O16" s="210"/>
      <c r="P16" s="210"/>
      <c r="Q16" s="210"/>
      <c r="R16" s="210"/>
      <c r="S16" s="210"/>
      <c r="T16" s="207" t="e">
        <f t="shared" si="11"/>
        <v>#DIV/0!</v>
      </c>
      <c r="U16" s="220" t="e">
        <f t="shared" si="11"/>
        <v>#DIV/0!</v>
      </c>
      <c r="V16" s="92"/>
      <c r="W16" s="93">
        <f t="shared" si="4"/>
        <v>-100</v>
      </c>
      <c r="X16" s="225" t="e">
        <f t="shared" si="4"/>
        <v>#DIV/0!</v>
      </c>
      <c r="Z16" s="30" t="s">
        <v>82</v>
      </c>
    </row>
    <row r="17" spans="1:26" s="19" customFormat="1" ht="18" customHeight="1">
      <c r="A17" s="37" t="s">
        <v>120</v>
      </c>
      <c r="B17" s="150">
        <v>99.9</v>
      </c>
      <c r="C17" s="91">
        <v>289.10000000000002</v>
      </c>
      <c r="D17" s="91">
        <v>46.711798999999999</v>
      </c>
      <c r="E17" s="91">
        <v>45.4</v>
      </c>
      <c r="F17" s="91">
        <v>27.2</v>
      </c>
      <c r="G17" s="91">
        <v>25.5</v>
      </c>
      <c r="H17" s="91">
        <v>68.366566000000006</v>
      </c>
      <c r="I17" s="91">
        <v>43.913061999999996</v>
      </c>
      <c r="J17" s="91">
        <v>11.563515000000001</v>
      </c>
      <c r="K17" s="91">
        <v>7.7340239999999998</v>
      </c>
      <c r="L17" s="138">
        <v>21.803670879999999</v>
      </c>
      <c r="M17" s="138">
        <v>142.83905899999999</v>
      </c>
      <c r="N17" s="138">
        <v>292.79733672000003</v>
      </c>
      <c r="O17" s="210"/>
      <c r="P17" s="210"/>
      <c r="Q17" s="210"/>
      <c r="R17" s="210"/>
      <c r="S17" s="210"/>
      <c r="T17" s="207" t="e">
        <f t="shared" si="11"/>
        <v>#DIV/0!</v>
      </c>
      <c r="U17" s="220" t="e">
        <f t="shared" si="11"/>
        <v>#DIV/0!</v>
      </c>
      <c r="V17" s="92"/>
      <c r="W17" s="93">
        <f t="shared" si="4"/>
        <v>-100</v>
      </c>
      <c r="X17" s="225" t="e">
        <f t="shared" si="4"/>
        <v>#DIV/0!</v>
      </c>
      <c r="Z17" s="30" t="s">
        <v>121</v>
      </c>
    </row>
    <row r="18" spans="1:26" s="19" customFormat="1" ht="18" customHeight="1">
      <c r="A18" s="37" t="s">
        <v>122</v>
      </c>
      <c r="B18" s="150">
        <v>4.0999999999999996</v>
      </c>
      <c r="C18" s="91">
        <v>2.2000000000000002</v>
      </c>
      <c r="D18" s="91">
        <v>0.68482100000000001</v>
      </c>
      <c r="E18" s="91">
        <v>8.4</v>
      </c>
      <c r="F18" s="91">
        <v>0.7</v>
      </c>
      <c r="G18" s="91">
        <v>1</v>
      </c>
      <c r="H18" s="91">
        <v>0.54541200000000001</v>
      </c>
      <c r="I18" s="91">
        <v>0.43177199999999999</v>
      </c>
      <c r="J18" s="91">
        <v>2.5820259999999999</v>
      </c>
      <c r="K18" s="91">
        <v>0.556778</v>
      </c>
      <c r="L18" s="138">
        <v>1.21422221</v>
      </c>
      <c r="M18" s="138">
        <v>1.0108220000000001</v>
      </c>
      <c r="N18" s="138">
        <v>9.9215180000000007</v>
      </c>
      <c r="O18" s="210"/>
      <c r="P18" s="210"/>
      <c r="Q18" s="210"/>
      <c r="R18" s="210"/>
      <c r="S18" s="210"/>
      <c r="T18" s="207" t="e">
        <f t="shared" si="11"/>
        <v>#DIV/0!</v>
      </c>
      <c r="U18" s="220" t="e">
        <f t="shared" si="11"/>
        <v>#DIV/0!</v>
      </c>
      <c r="V18" s="92"/>
      <c r="W18" s="93">
        <f t="shared" si="4"/>
        <v>-100</v>
      </c>
      <c r="X18" s="225" t="e">
        <f t="shared" si="4"/>
        <v>#DIV/0!</v>
      </c>
      <c r="Z18" s="30" t="s">
        <v>86</v>
      </c>
    </row>
    <row r="19" spans="1:26" s="20" customFormat="1" ht="18" customHeight="1">
      <c r="A19" s="37" t="s">
        <v>123</v>
      </c>
      <c r="B19" s="150">
        <v>358.1</v>
      </c>
      <c r="C19" s="91">
        <v>988.6</v>
      </c>
      <c r="D19" s="91">
        <v>693.773236</v>
      </c>
      <c r="E19" s="91">
        <v>774.3</v>
      </c>
      <c r="F19" s="91">
        <v>770.1</v>
      </c>
      <c r="G19" s="91">
        <v>678.1</v>
      </c>
      <c r="H19" s="91">
        <v>884.82304199999999</v>
      </c>
      <c r="I19" s="91">
        <v>1717.7756019999999</v>
      </c>
      <c r="J19" s="91">
        <v>1273.6059720000001</v>
      </c>
      <c r="K19" s="91">
        <v>965.42354599999999</v>
      </c>
      <c r="L19" s="139">
        <v>975.31386029999999</v>
      </c>
      <c r="M19" s="139">
        <v>768.75352099999998</v>
      </c>
      <c r="N19" s="139">
        <v>0</v>
      </c>
      <c r="O19" s="211"/>
      <c r="P19" s="211"/>
      <c r="Q19" s="211"/>
      <c r="R19" s="211"/>
      <c r="S19" s="211"/>
      <c r="T19" s="208">
        <v>0</v>
      </c>
      <c r="U19" s="221">
        <v>0</v>
      </c>
      <c r="V19" s="92"/>
      <c r="W19" s="160">
        <v>0</v>
      </c>
      <c r="X19" s="226">
        <v>0</v>
      </c>
      <c r="Z19" s="30" t="s">
        <v>124</v>
      </c>
    </row>
    <row r="20" spans="1:26" s="20" customFormat="1" ht="18" customHeight="1">
      <c r="A20" s="37" t="s">
        <v>151</v>
      </c>
      <c r="B20" s="150"/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139">
        <v>34.920483480000001</v>
      </c>
      <c r="M20" s="139">
        <v>142.48416599999999</v>
      </c>
      <c r="N20" s="139">
        <v>1236.78527005</v>
      </c>
      <c r="O20" s="211"/>
      <c r="P20" s="211"/>
      <c r="Q20" s="211"/>
      <c r="R20" s="211"/>
      <c r="S20" s="211"/>
      <c r="T20" s="207" t="e">
        <f t="shared" si="11"/>
        <v>#DIV/0!</v>
      </c>
      <c r="U20" s="220" t="e">
        <f t="shared" si="11"/>
        <v>#DIV/0!</v>
      </c>
      <c r="V20" s="92"/>
      <c r="W20" s="93">
        <f t="shared" si="4"/>
        <v>-100</v>
      </c>
      <c r="X20" s="225" t="e">
        <f t="shared" si="4"/>
        <v>#DIV/0!</v>
      </c>
      <c r="Z20" s="94" t="s">
        <v>153</v>
      </c>
    </row>
    <row r="21" spans="1:26" s="19" customFormat="1" ht="18" customHeight="1">
      <c r="A21" s="33" t="s">
        <v>89</v>
      </c>
      <c r="B21" s="34">
        <f t="shared" ref="B21:O21" si="15">SUM(B22:B27)</f>
        <v>329.9</v>
      </c>
      <c r="C21" s="34">
        <f t="shared" si="15"/>
        <v>937.10000000000014</v>
      </c>
      <c r="D21" s="34">
        <f t="shared" si="15"/>
        <v>1290.7944969999999</v>
      </c>
      <c r="E21" s="34">
        <f t="shared" si="15"/>
        <v>647</v>
      </c>
      <c r="F21" s="34">
        <f t="shared" si="15"/>
        <v>321.10000000000002</v>
      </c>
      <c r="G21" s="34">
        <f t="shared" si="15"/>
        <v>201.2</v>
      </c>
      <c r="H21" s="34">
        <f t="shared" si="15"/>
        <v>581.73487699999998</v>
      </c>
      <c r="I21" s="34">
        <f t="shared" si="15"/>
        <v>174.8779509</v>
      </c>
      <c r="J21" s="34">
        <f t="shared" si="15"/>
        <v>919.10181</v>
      </c>
      <c r="K21" s="34">
        <f t="shared" si="15"/>
        <v>662.15555800000004</v>
      </c>
      <c r="L21" s="140">
        <f t="shared" si="15"/>
        <v>522.22979633</v>
      </c>
      <c r="M21" s="140">
        <f t="shared" si="15"/>
        <v>750.4553719999999</v>
      </c>
      <c r="N21" s="140">
        <f t="shared" si="15"/>
        <v>870.97274229999994</v>
      </c>
      <c r="O21" s="215">
        <f t="shared" si="15"/>
        <v>0</v>
      </c>
      <c r="P21" s="215">
        <f t="shared" ref="P21:Q21" si="16">SUM(P22:P27)</f>
        <v>0</v>
      </c>
      <c r="Q21" s="215">
        <f t="shared" si="16"/>
        <v>0</v>
      </c>
      <c r="R21" s="215">
        <f t="shared" ref="R21:S21" si="17">SUM(R22:R27)</f>
        <v>0</v>
      </c>
      <c r="S21" s="215">
        <f t="shared" si="17"/>
        <v>0</v>
      </c>
      <c r="T21" s="206" t="e">
        <f t="shared" si="11"/>
        <v>#DIV/0!</v>
      </c>
      <c r="U21" s="219" t="e">
        <f t="shared" si="11"/>
        <v>#DIV/0!</v>
      </c>
      <c r="V21" s="89"/>
      <c r="W21" s="90">
        <f t="shared" si="4"/>
        <v>-100</v>
      </c>
      <c r="X21" s="224" t="e">
        <f t="shared" si="4"/>
        <v>#DIV/0!</v>
      </c>
      <c r="Z21" s="36" t="s">
        <v>46</v>
      </c>
    </row>
    <row r="22" spans="1:26" s="20" customFormat="1" ht="18" customHeight="1">
      <c r="A22" s="37" t="s">
        <v>125</v>
      </c>
      <c r="B22" s="150">
        <v>154.1</v>
      </c>
      <c r="C22" s="91">
        <v>129.69999999999999</v>
      </c>
      <c r="D22" s="91">
        <v>42.402295000000002</v>
      </c>
      <c r="E22" s="91">
        <v>60.5</v>
      </c>
      <c r="F22" s="91">
        <v>71.900000000000006</v>
      </c>
      <c r="G22" s="91">
        <v>64.2</v>
      </c>
      <c r="H22" s="91">
        <v>23.587022999999999</v>
      </c>
      <c r="I22" s="91">
        <v>37.776733</v>
      </c>
      <c r="J22" s="91">
        <v>33.651007999999997</v>
      </c>
      <c r="K22" s="91">
        <v>24.679010000000002</v>
      </c>
      <c r="L22" s="138">
        <v>7.6444678900000005</v>
      </c>
      <c r="M22" s="138">
        <v>16.246099999999998</v>
      </c>
      <c r="N22" s="138">
        <v>22.831656149999997</v>
      </c>
      <c r="O22" s="210"/>
      <c r="P22" s="210"/>
      <c r="Q22" s="210"/>
      <c r="R22" s="210"/>
      <c r="S22" s="210"/>
      <c r="T22" s="207" t="e">
        <f t="shared" si="11"/>
        <v>#DIV/0!</v>
      </c>
      <c r="U22" s="220" t="e">
        <f t="shared" si="11"/>
        <v>#DIV/0!</v>
      </c>
      <c r="V22" s="92"/>
      <c r="W22" s="93">
        <f t="shared" si="4"/>
        <v>-100</v>
      </c>
      <c r="X22" s="225" t="e">
        <f t="shared" si="4"/>
        <v>#DIV/0!</v>
      </c>
      <c r="Z22" s="30" t="s">
        <v>126</v>
      </c>
    </row>
    <row r="23" spans="1:26" s="20" customFormat="1" ht="18" customHeight="1">
      <c r="A23" s="37" t="s">
        <v>127</v>
      </c>
      <c r="B23" s="150">
        <v>74.7</v>
      </c>
      <c r="C23" s="91">
        <v>692.8</v>
      </c>
      <c r="D23" s="91">
        <v>318.28409399999998</v>
      </c>
      <c r="E23" s="91">
        <v>294.2</v>
      </c>
      <c r="F23" s="91">
        <v>118.6</v>
      </c>
      <c r="G23" s="91">
        <v>66.7</v>
      </c>
      <c r="H23" s="91">
        <v>10.808646</v>
      </c>
      <c r="I23" s="91">
        <v>38.970894999999999</v>
      </c>
      <c r="J23" s="91">
        <v>392.140671</v>
      </c>
      <c r="K23" s="91">
        <v>539.738832</v>
      </c>
      <c r="L23" s="138">
        <v>368.65407792000002</v>
      </c>
      <c r="M23" s="138">
        <v>579.69850299999996</v>
      </c>
      <c r="N23" s="138">
        <v>775.49623926999993</v>
      </c>
      <c r="O23" s="210"/>
      <c r="P23" s="210"/>
      <c r="Q23" s="210"/>
      <c r="R23" s="210"/>
      <c r="S23" s="210"/>
      <c r="T23" s="207" t="e">
        <f t="shared" si="11"/>
        <v>#DIV/0!</v>
      </c>
      <c r="U23" s="220" t="e">
        <f t="shared" si="11"/>
        <v>#DIV/0!</v>
      </c>
      <c r="V23" s="92"/>
      <c r="W23" s="93">
        <f t="shared" si="4"/>
        <v>-100</v>
      </c>
      <c r="X23" s="225" t="e">
        <f t="shared" si="4"/>
        <v>#DIV/0!</v>
      </c>
      <c r="Z23" s="30" t="s">
        <v>128</v>
      </c>
    </row>
    <row r="24" spans="1:26" s="20" customFormat="1" ht="18" customHeight="1">
      <c r="A24" s="37" t="s">
        <v>129</v>
      </c>
      <c r="B24" s="150">
        <v>72</v>
      </c>
      <c r="C24" s="91">
        <v>17.100000000000001</v>
      </c>
      <c r="D24" s="91">
        <v>26.934477000000001</v>
      </c>
      <c r="E24" s="91">
        <v>16.8</v>
      </c>
      <c r="F24" s="91">
        <v>7.5</v>
      </c>
      <c r="G24" s="91">
        <v>14</v>
      </c>
      <c r="H24" s="91">
        <v>32.757654000000002</v>
      </c>
      <c r="I24" s="91">
        <v>26.097563999999998</v>
      </c>
      <c r="J24" s="91">
        <v>39.440274000000002</v>
      </c>
      <c r="K24" s="91">
        <v>39.200918999999999</v>
      </c>
      <c r="L24" s="138">
        <v>5.0254116199999999</v>
      </c>
      <c r="M24" s="138">
        <v>42.439954</v>
      </c>
      <c r="N24" s="138">
        <v>20.908233500000001</v>
      </c>
      <c r="O24" s="210"/>
      <c r="P24" s="210"/>
      <c r="Q24" s="210"/>
      <c r="R24" s="210"/>
      <c r="S24" s="210"/>
      <c r="T24" s="207" t="e">
        <f t="shared" si="11"/>
        <v>#DIV/0!</v>
      </c>
      <c r="U24" s="220" t="e">
        <f t="shared" si="11"/>
        <v>#DIV/0!</v>
      </c>
      <c r="V24" s="92"/>
      <c r="W24" s="93">
        <f t="shared" si="4"/>
        <v>-100</v>
      </c>
      <c r="X24" s="225" t="e">
        <f t="shared" si="4"/>
        <v>#DIV/0!</v>
      </c>
      <c r="Z24" s="30" t="s">
        <v>130</v>
      </c>
    </row>
    <row r="25" spans="1:26" s="19" customFormat="1" ht="18" customHeight="1">
      <c r="A25" s="37" t="s">
        <v>131</v>
      </c>
      <c r="B25" s="150">
        <v>0.4</v>
      </c>
      <c r="C25" s="91">
        <v>13.2</v>
      </c>
      <c r="D25" s="91">
        <v>64.703819999999993</v>
      </c>
      <c r="E25" s="91">
        <v>0.5</v>
      </c>
      <c r="F25" s="91">
        <v>0.3</v>
      </c>
      <c r="G25" s="91">
        <v>0.4</v>
      </c>
      <c r="H25" s="91">
        <v>0.13069</v>
      </c>
      <c r="I25" s="91">
        <v>3.0217360000000002</v>
      </c>
      <c r="J25" s="91">
        <v>9.7469E-2</v>
      </c>
      <c r="K25" s="91">
        <v>0.167854</v>
      </c>
      <c r="L25" s="138">
        <v>7.0538000000000003E-2</v>
      </c>
      <c r="M25" s="138">
        <v>0.765787</v>
      </c>
      <c r="N25" s="138">
        <v>0.68068600000000001</v>
      </c>
      <c r="O25" s="210"/>
      <c r="P25" s="210"/>
      <c r="Q25" s="210"/>
      <c r="R25" s="210"/>
      <c r="S25" s="210"/>
      <c r="T25" s="207" t="e">
        <f t="shared" si="11"/>
        <v>#DIV/0!</v>
      </c>
      <c r="U25" s="220" t="e">
        <f t="shared" si="11"/>
        <v>#DIV/0!</v>
      </c>
      <c r="V25" s="92"/>
      <c r="W25" s="93">
        <f t="shared" si="4"/>
        <v>-100</v>
      </c>
      <c r="X25" s="225" t="e">
        <f t="shared" si="4"/>
        <v>#DIV/0!</v>
      </c>
      <c r="Z25" s="30" t="s">
        <v>132</v>
      </c>
    </row>
    <row r="26" spans="1:26" s="19" customFormat="1" ht="18" customHeight="1">
      <c r="A26" s="37" t="s">
        <v>133</v>
      </c>
      <c r="B26" s="150">
        <v>24.5</v>
      </c>
      <c r="C26" s="91">
        <v>72.099999999999994</v>
      </c>
      <c r="D26" s="91">
        <v>604.09765100000004</v>
      </c>
      <c r="E26" s="91">
        <v>178</v>
      </c>
      <c r="F26" s="91">
        <v>26.2</v>
      </c>
      <c r="G26" s="91">
        <v>0.6</v>
      </c>
      <c r="H26" s="91">
        <v>488.44098200000002</v>
      </c>
      <c r="I26" s="91">
        <v>37.947304900000006</v>
      </c>
      <c r="J26" s="91">
        <v>63.553004999999999</v>
      </c>
      <c r="K26" s="91">
        <v>38.882137</v>
      </c>
      <c r="L26" s="139">
        <v>27.925922</v>
      </c>
      <c r="M26" s="139">
        <v>20.208456999999999</v>
      </c>
      <c r="N26" s="139">
        <v>38.739479549999999</v>
      </c>
      <c r="O26" s="211"/>
      <c r="P26" s="211"/>
      <c r="Q26" s="211"/>
      <c r="R26" s="211"/>
      <c r="S26" s="211"/>
      <c r="T26" s="207" t="e">
        <f t="shared" si="11"/>
        <v>#DIV/0!</v>
      </c>
      <c r="U26" s="220" t="e">
        <f t="shared" si="11"/>
        <v>#DIV/0!</v>
      </c>
      <c r="V26" s="92"/>
      <c r="W26" s="93">
        <f t="shared" si="4"/>
        <v>-100</v>
      </c>
      <c r="X26" s="225" t="e">
        <f t="shared" si="4"/>
        <v>#DIV/0!</v>
      </c>
      <c r="Z26" s="30" t="s">
        <v>134</v>
      </c>
    </row>
    <row r="27" spans="1:26" s="19" customFormat="1" ht="18" customHeight="1">
      <c r="A27" s="37" t="s">
        <v>135</v>
      </c>
      <c r="B27" s="150">
        <v>4.2</v>
      </c>
      <c r="C27" s="91">
        <v>12.2</v>
      </c>
      <c r="D27" s="91">
        <v>234.37216000000001</v>
      </c>
      <c r="E27" s="91">
        <v>97</v>
      </c>
      <c r="F27" s="91">
        <v>96.6</v>
      </c>
      <c r="G27" s="91">
        <v>55.3</v>
      </c>
      <c r="H27" s="91">
        <v>26.009882000000001</v>
      </c>
      <c r="I27" s="91">
        <v>31.063718000000001</v>
      </c>
      <c r="J27" s="91">
        <v>390.21938299999999</v>
      </c>
      <c r="K27" s="91">
        <v>19.486806000000001</v>
      </c>
      <c r="L27" s="139">
        <v>112.90937890000001</v>
      </c>
      <c r="M27" s="139">
        <v>91.096570999999997</v>
      </c>
      <c r="N27" s="139">
        <v>12.31644783</v>
      </c>
      <c r="O27" s="211"/>
      <c r="P27" s="211"/>
      <c r="Q27" s="211"/>
      <c r="R27" s="211"/>
      <c r="S27" s="211"/>
      <c r="T27" s="207" t="e">
        <f t="shared" si="11"/>
        <v>#DIV/0!</v>
      </c>
      <c r="U27" s="220" t="e">
        <f t="shared" si="11"/>
        <v>#DIV/0!</v>
      </c>
      <c r="V27" s="92"/>
      <c r="W27" s="93">
        <f t="shared" si="4"/>
        <v>-100</v>
      </c>
      <c r="X27" s="225" t="e">
        <f t="shared" si="4"/>
        <v>#DIV/0!</v>
      </c>
      <c r="Z27" s="30" t="s">
        <v>136</v>
      </c>
    </row>
    <row r="28" spans="1:26" s="19" customFormat="1" ht="18" customHeight="1">
      <c r="A28" s="33" t="s">
        <v>137</v>
      </c>
      <c r="B28" s="35">
        <v>-124.5</v>
      </c>
      <c r="C28" s="88">
        <v>-166.4</v>
      </c>
      <c r="D28" s="88">
        <v>-68.900000000000006</v>
      </c>
      <c r="E28" s="88">
        <v>-247.5</v>
      </c>
      <c r="F28" s="88">
        <v>-275.2</v>
      </c>
      <c r="G28" s="88">
        <v>-246.2</v>
      </c>
      <c r="H28" s="88">
        <v>-150.836333</v>
      </c>
      <c r="I28" s="88">
        <v>-181.3</v>
      </c>
      <c r="J28" s="88">
        <v>-399</v>
      </c>
      <c r="K28" s="88">
        <v>-90.231635999999995</v>
      </c>
      <c r="L28" s="137">
        <v>-135.485007</v>
      </c>
      <c r="M28" s="137">
        <v>-122.16204999999999</v>
      </c>
      <c r="N28" s="137">
        <v>-104.018246</v>
      </c>
      <c r="O28" s="214"/>
      <c r="P28" s="214"/>
      <c r="Q28" s="214"/>
      <c r="R28" s="214"/>
      <c r="S28" s="214"/>
      <c r="T28" s="206" t="e">
        <f t="shared" si="11"/>
        <v>#DIV/0!</v>
      </c>
      <c r="U28" s="219" t="e">
        <f t="shared" si="11"/>
        <v>#DIV/0!</v>
      </c>
      <c r="V28" s="38"/>
      <c r="W28" s="90">
        <f t="shared" si="4"/>
        <v>-100</v>
      </c>
      <c r="X28" s="224" t="e">
        <f t="shared" si="4"/>
        <v>#DIV/0!</v>
      </c>
      <c r="Z28" s="36" t="s">
        <v>138</v>
      </c>
    </row>
    <row r="29" spans="1:26" s="20" customFormat="1" ht="18" customHeight="1">
      <c r="A29" s="37" t="s">
        <v>139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141"/>
      <c r="M29" s="141"/>
      <c r="N29" s="141"/>
      <c r="O29" s="216"/>
      <c r="P29" s="216"/>
      <c r="Q29" s="216"/>
      <c r="R29" s="216"/>
      <c r="S29" s="216"/>
      <c r="T29" s="207"/>
      <c r="U29" s="220"/>
      <c r="V29" s="40"/>
      <c r="W29" s="93"/>
      <c r="X29" s="225"/>
      <c r="Y29" s="25"/>
      <c r="Z29" s="30" t="s">
        <v>18</v>
      </c>
    </row>
    <row r="30" spans="1:26" s="20" customFormat="1" ht="18" customHeight="1">
      <c r="A30" s="37" t="s">
        <v>140</v>
      </c>
      <c r="B30" s="96">
        <v>1007.8</v>
      </c>
      <c r="C30" s="97">
        <v>1137.6071899999999</v>
      </c>
      <c r="D30" s="97">
        <v>1774.5</v>
      </c>
      <c r="E30" s="97">
        <v>1441</v>
      </c>
      <c r="F30" s="97">
        <v>1100.8999999999999</v>
      </c>
      <c r="G30" s="97">
        <v>737.1</v>
      </c>
      <c r="H30" s="97">
        <v>778.8</v>
      </c>
      <c r="I30" s="97">
        <v>1283</v>
      </c>
      <c r="J30" s="97">
        <v>916.69999999999993</v>
      </c>
      <c r="K30" s="97">
        <v>1145.9000000000001</v>
      </c>
      <c r="L30" s="142">
        <v>1187.19235</v>
      </c>
      <c r="M30" s="142">
        <v>188.39416600000001</v>
      </c>
      <c r="N30" s="142">
        <v>648.39113899999995</v>
      </c>
      <c r="O30" s="212"/>
      <c r="P30" s="212"/>
      <c r="Q30" s="212"/>
      <c r="R30" s="212"/>
      <c r="S30" s="212"/>
      <c r="T30" s="207" t="e">
        <f t="shared" si="11"/>
        <v>#DIV/0!</v>
      </c>
      <c r="U30" s="220" t="e">
        <f t="shared" si="11"/>
        <v>#DIV/0!</v>
      </c>
      <c r="V30" s="38"/>
      <c r="W30" s="93">
        <f>+((O30/N30)-1)*100</f>
        <v>-100</v>
      </c>
      <c r="X30" s="225" t="e">
        <f>+((P30/O30)-1)*100</f>
        <v>#DIV/0!</v>
      </c>
      <c r="Y30" s="25"/>
      <c r="Z30" s="98" t="s">
        <v>141</v>
      </c>
    </row>
    <row r="31" spans="1:26" s="20" customFormat="1" ht="18" customHeight="1">
      <c r="A31" s="27" t="s">
        <v>142</v>
      </c>
      <c r="B31" s="99">
        <v>392.7</v>
      </c>
      <c r="C31" s="99">
        <v>390.3</v>
      </c>
      <c r="D31" s="99">
        <v>-993.3</v>
      </c>
      <c r="E31" s="99">
        <v>-1332</v>
      </c>
      <c r="F31" s="99">
        <v>-1393</v>
      </c>
      <c r="G31" s="99">
        <v>-668.6</v>
      </c>
      <c r="H31" s="99">
        <v>584.5</v>
      </c>
      <c r="I31" s="99">
        <v>877.1</v>
      </c>
      <c r="J31" s="99">
        <v>987.6</v>
      </c>
      <c r="K31" s="99">
        <v>1806.07971</v>
      </c>
      <c r="L31" s="143">
        <v>1632.2075219999999</v>
      </c>
      <c r="M31" s="143">
        <v>1413.2714820000001</v>
      </c>
      <c r="N31" s="143">
        <v>1171.8811539999999</v>
      </c>
      <c r="O31" s="213"/>
      <c r="P31" s="213"/>
      <c r="Q31" s="213"/>
      <c r="R31" s="213"/>
      <c r="S31" s="213"/>
      <c r="T31" s="209" t="e">
        <f t="shared" si="11"/>
        <v>#DIV/0!</v>
      </c>
      <c r="U31" s="222" t="e">
        <f t="shared" si="11"/>
        <v>#DIV/0!</v>
      </c>
      <c r="V31" s="28"/>
      <c r="W31" s="136">
        <f>+((O31/N31)-1)*100</f>
        <v>-100</v>
      </c>
      <c r="X31" s="227" t="e">
        <f>+((P31/O31)-1)*100</f>
        <v>#DIV/0!</v>
      </c>
      <c r="Y31" s="132"/>
      <c r="Z31" s="29" t="s">
        <v>143</v>
      </c>
    </row>
    <row r="32" spans="1:26" s="20" customFormat="1" ht="15">
      <c r="A32" s="21" t="s">
        <v>144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30" t="s">
        <v>145</v>
      </c>
    </row>
    <row r="33" spans="1:26" s="20" customFormat="1" ht="15">
      <c r="A33" s="21" t="s">
        <v>14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30" t="s">
        <v>15</v>
      </c>
    </row>
    <row r="34" spans="1:26" s="20" customFormat="1" ht="12">
      <c r="A34" s="22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</row>
    <row r="35" spans="1:26">
      <c r="T35" s="23"/>
      <c r="U35" s="23"/>
      <c r="V35" s="23"/>
      <c r="W35" s="23"/>
      <c r="X35" s="23"/>
      <c r="Y35" s="23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21"/>
      <c r="S1" s="321"/>
      <c r="T1" s="321"/>
      <c r="U1" s="321"/>
    </row>
    <row r="3" spans="1:21">
      <c r="B3" s="322" t="s">
        <v>146</v>
      </c>
      <c r="C3" s="323"/>
      <c r="D3" s="323"/>
      <c r="E3" s="323"/>
      <c r="F3" s="323"/>
      <c r="G3" s="323"/>
      <c r="H3" s="4"/>
      <c r="I3" s="4"/>
      <c r="J3" s="4"/>
      <c r="K3" s="4"/>
      <c r="L3" s="4"/>
    </row>
    <row r="4" spans="1:21">
      <c r="B4" s="144">
        <v>2007</v>
      </c>
      <c r="C4" s="145">
        <v>2008</v>
      </c>
      <c r="D4" s="145">
        <v>2009</v>
      </c>
      <c r="E4" s="145">
        <v>2010</v>
      </c>
      <c r="F4" s="145">
        <v>2011</v>
      </c>
      <c r="G4" s="145">
        <v>2012</v>
      </c>
      <c r="H4" s="147">
        <v>2013</v>
      </c>
      <c r="I4" s="147">
        <v>2014</v>
      </c>
      <c r="J4" s="145">
        <v>2015</v>
      </c>
      <c r="K4" s="228" t="s">
        <v>161</v>
      </c>
      <c r="L4" s="228" t="s">
        <v>162</v>
      </c>
      <c r="M4" s="228" t="s">
        <v>163</v>
      </c>
      <c r="N4" s="228" t="s">
        <v>164</v>
      </c>
      <c r="O4" s="228" t="s">
        <v>173</v>
      </c>
    </row>
    <row r="5" spans="1:21">
      <c r="A5" s="7" t="s">
        <v>24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29"/>
      <c r="L5" s="229"/>
      <c r="M5" s="229"/>
      <c r="N5" s="229"/>
      <c r="O5" s="229"/>
    </row>
    <row r="6" spans="1:21">
      <c r="A6" s="7" t="s">
        <v>36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29"/>
      <c r="L6" s="229"/>
      <c r="M6" s="229"/>
      <c r="N6" s="229"/>
      <c r="O6" s="229"/>
    </row>
    <row r="7" spans="1:21">
      <c r="A7" s="7" t="s">
        <v>45</v>
      </c>
      <c r="B7" s="8">
        <f>'[1]13.7'!B20</f>
        <v>329.9</v>
      </c>
      <c r="C7" s="8">
        <f>'[1]13.7'!C20</f>
        <v>937.10000000000014</v>
      </c>
      <c r="D7" s="146">
        <f>'[1]13.7'!H20</f>
        <v>581.73487699999998</v>
      </c>
      <c r="E7" s="146">
        <f>'[1]13.7'!I20</f>
        <v>174.8779509</v>
      </c>
      <c r="F7" s="146">
        <f>'[1]13.7'!J20</f>
        <v>919.10181</v>
      </c>
      <c r="G7" s="146">
        <f>'[1]13.7'!K20</f>
        <v>662.15555800000004</v>
      </c>
      <c r="H7" s="146">
        <v>522.22979633</v>
      </c>
      <c r="I7" s="146">
        <v>750.4553719999999</v>
      </c>
      <c r="J7" s="146">
        <v>870.97274229999994</v>
      </c>
      <c r="K7" s="230"/>
      <c r="L7" s="230"/>
      <c r="M7" s="230"/>
      <c r="N7" s="230"/>
      <c r="O7" s="230"/>
    </row>
    <row r="34" spans="1:15">
      <c r="B34" s="322" t="s">
        <v>19</v>
      </c>
      <c r="C34" s="323"/>
      <c r="D34" s="323"/>
      <c r="E34" s="323"/>
      <c r="F34" s="323"/>
      <c r="G34" s="323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45">
        <v>2015</v>
      </c>
      <c r="K35" s="228" t="s">
        <v>161</v>
      </c>
      <c r="L35" s="228" t="s">
        <v>162</v>
      </c>
      <c r="M35" s="228" t="s">
        <v>163</v>
      </c>
      <c r="N35" s="228" t="s">
        <v>164</v>
      </c>
      <c r="O35" s="228" t="s">
        <v>173</v>
      </c>
    </row>
    <row r="36" spans="1:15">
      <c r="A36" s="7" t="s">
        <v>24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29"/>
      <c r="L36" s="229"/>
      <c r="M36" s="229"/>
      <c r="N36" s="229"/>
      <c r="O36" s="229"/>
    </row>
    <row r="37" spans="1:15">
      <c r="A37" s="7" t="s">
        <v>36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29"/>
      <c r="L37" s="229"/>
      <c r="M37" s="229"/>
      <c r="N37" s="229"/>
      <c r="O37" s="229"/>
    </row>
    <row r="38" spans="1:15">
      <c r="A38" s="7" t="s">
        <v>45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29"/>
      <c r="L38" s="229"/>
      <c r="M38" s="229"/>
      <c r="N38" s="229"/>
      <c r="O38" s="229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85"/>
  <sheetViews>
    <sheetView tabSelected="1" zoomScaleNormal="100" zoomScaleSheetLayoutView="10" workbookViewId="0">
      <selection activeCell="E28" sqref="E28"/>
    </sheetView>
  </sheetViews>
  <sheetFormatPr defaultColWidth="8" defaultRowHeight="15.75"/>
  <cols>
    <col min="1" max="1" width="34" style="231" customWidth="1"/>
    <col min="2" max="2" width="17.7109375" style="231" hidden="1" customWidth="1"/>
    <col min="3" max="3" width="13.7109375" style="231" hidden="1" customWidth="1"/>
    <col min="4" max="4" width="13.7109375" style="231" customWidth="1"/>
    <col min="5" max="6" width="14.7109375" style="231" customWidth="1"/>
    <col min="7" max="8" width="14.7109375" style="231" bestFit="1" customWidth="1"/>
    <col min="9" max="9" width="4.7109375" style="231" customWidth="1"/>
    <col min="10" max="12" width="8" style="231" customWidth="1"/>
    <col min="13" max="13" width="1.28515625" style="231" customWidth="1"/>
    <col min="14" max="14" width="19.42578125" style="231" customWidth="1"/>
    <col min="15" max="15" width="33.7109375" style="242" customWidth="1"/>
    <col min="16" max="16" width="0.85546875" style="231" customWidth="1"/>
    <col min="17" max="16384" width="8" style="231"/>
  </cols>
  <sheetData>
    <row r="1" spans="1:22" s="237" customFormat="1" ht="21">
      <c r="A1" s="326" t="s">
        <v>203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</row>
    <row r="2" spans="1:22" ht="15">
      <c r="A2" s="327" t="s">
        <v>204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</row>
    <row r="3" spans="1:22">
      <c r="A3" s="238"/>
      <c r="B3" s="239"/>
      <c r="C3" s="239"/>
      <c r="D3" s="239"/>
      <c r="E3" s="239"/>
      <c r="F3" s="240"/>
      <c r="G3" s="241"/>
      <c r="H3" s="241"/>
      <c r="I3" s="239"/>
      <c r="J3" s="239"/>
      <c r="K3" s="239"/>
      <c r="L3" s="239"/>
      <c r="M3" s="239"/>
      <c r="N3" s="239"/>
    </row>
    <row r="4" spans="1:22" ht="30" customHeight="1">
      <c r="A4" s="328" t="s">
        <v>176</v>
      </c>
      <c r="C4" s="243"/>
      <c r="D4" s="331" t="s">
        <v>177</v>
      </c>
      <c r="E4" s="331"/>
      <c r="F4" s="331"/>
      <c r="G4" s="331"/>
      <c r="H4" s="331"/>
      <c r="I4" s="244"/>
      <c r="J4" s="332" t="s">
        <v>205</v>
      </c>
      <c r="K4" s="331"/>
      <c r="L4" s="331"/>
      <c r="M4" s="244"/>
      <c r="N4" s="245" t="s">
        <v>206</v>
      </c>
      <c r="O4" s="333" t="s">
        <v>175</v>
      </c>
    </row>
    <row r="5" spans="1:22" ht="18.75" customHeight="1">
      <c r="A5" s="329"/>
      <c r="C5" s="246"/>
      <c r="D5" s="336" t="s">
        <v>178</v>
      </c>
      <c r="E5" s="336"/>
      <c r="F5" s="336"/>
      <c r="G5" s="336"/>
      <c r="H5" s="336"/>
      <c r="I5" s="247"/>
      <c r="J5" s="337" t="s">
        <v>207</v>
      </c>
      <c r="K5" s="338"/>
      <c r="L5" s="338"/>
      <c r="M5" s="248"/>
      <c r="N5" s="339" t="s">
        <v>179</v>
      </c>
      <c r="O5" s="334"/>
    </row>
    <row r="6" spans="1:22" ht="15" customHeight="1">
      <c r="A6" s="330"/>
      <c r="B6" s="249">
        <v>2011</v>
      </c>
      <c r="C6" s="249">
        <v>2012</v>
      </c>
      <c r="D6" s="249">
        <v>2013</v>
      </c>
      <c r="E6" s="249">
        <v>2014</v>
      </c>
      <c r="F6" s="250" t="s">
        <v>180</v>
      </c>
      <c r="G6" s="249" t="s">
        <v>181</v>
      </c>
      <c r="H6" s="249">
        <v>2017</v>
      </c>
      <c r="I6" s="251"/>
      <c r="J6" s="252">
        <v>2015</v>
      </c>
      <c r="K6" s="252">
        <v>2016</v>
      </c>
      <c r="L6" s="252">
        <v>2017</v>
      </c>
      <c r="M6" s="251"/>
      <c r="N6" s="340"/>
      <c r="O6" s="335"/>
    </row>
    <row r="7" spans="1:22" s="260" customFormat="1" ht="19.5">
      <c r="A7" s="253" t="s">
        <v>199</v>
      </c>
      <c r="B7" s="254">
        <f t="shared" ref="B7:H7" si="0">SUM(B8:B67)</f>
        <v>4560205196.3689995</v>
      </c>
      <c r="C7" s="254">
        <f t="shared" si="0"/>
        <v>7152172979.8694992</v>
      </c>
      <c r="D7" s="254">
        <f t="shared" si="0"/>
        <v>8982562927.9292011</v>
      </c>
      <c r="E7" s="254">
        <f t="shared" si="0"/>
        <v>11497398130.023497</v>
      </c>
      <c r="F7" s="254">
        <f t="shared" si="0"/>
        <v>13054497017.590202</v>
      </c>
      <c r="G7" s="254">
        <f t="shared" si="0"/>
        <v>14529264650.182802</v>
      </c>
      <c r="H7" s="254">
        <f t="shared" si="0"/>
        <v>15189837114.03891</v>
      </c>
      <c r="I7" s="255"/>
      <c r="J7" s="256">
        <f>SUM(J8:J67)</f>
        <v>99.999999999999972</v>
      </c>
      <c r="K7" s="256">
        <f>SUM(K8:K67)</f>
        <v>99.999999999999972</v>
      </c>
      <c r="L7" s="256">
        <f>SUM(L8:L67)</f>
        <v>100.00000000000007</v>
      </c>
      <c r="M7" s="257"/>
      <c r="N7" s="258">
        <f>(H7/G7-1)*100</f>
        <v>4.5464961906919177</v>
      </c>
      <c r="O7" s="259" t="s">
        <v>200</v>
      </c>
    </row>
    <row r="8" spans="1:22" ht="19.5">
      <c r="A8" s="233" t="s">
        <v>208</v>
      </c>
      <c r="B8" s="261">
        <v>337494704.2076</v>
      </c>
      <c r="C8" s="261">
        <v>299914418.10500002</v>
      </c>
      <c r="D8" s="261">
        <v>350246279.87499994</v>
      </c>
      <c r="E8" s="261">
        <v>431977863.3118999</v>
      </c>
      <c r="F8" s="261">
        <v>496698013.89529997</v>
      </c>
      <c r="G8" s="261">
        <v>537482907.12529993</v>
      </c>
      <c r="H8" s="261">
        <v>703454858.56371427</v>
      </c>
      <c r="I8" s="262"/>
      <c r="J8" s="263">
        <f>F8/F$7*100</f>
        <v>3.8048039171944139</v>
      </c>
      <c r="K8" s="263">
        <f>G8/G$7*100</f>
        <v>3.6993125258994959</v>
      </c>
      <c r="L8" s="263">
        <f>H8/H$7*100</f>
        <v>4.6310888871452081</v>
      </c>
      <c r="M8" s="264"/>
      <c r="N8" s="265">
        <f>(H8/G8-1)*100</f>
        <v>30.879484582329674</v>
      </c>
      <c r="O8" s="266" t="s">
        <v>182</v>
      </c>
    </row>
    <row r="9" spans="1:22" ht="19.5">
      <c r="A9" s="233" t="s">
        <v>183</v>
      </c>
      <c r="B9" s="261"/>
      <c r="C9" s="261"/>
      <c r="D9" s="261">
        <v>0</v>
      </c>
      <c r="E9" s="261">
        <v>0</v>
      </c>
      <c r="F9" s="261">
        <v>0</v>
      </c>
      <c r="G9" s="261">
        <v>0</v>
      </c>
      <c r="H9" s="261">
        <v>331929256.35999995</v>
      </c>
      <c r="I9" s="262"/>
      <c r="J9" s="263">
        <f t="shared" ref="J9:L67" si="1">F9/F$7*100</f>
        <v>0</v>
      </c>
      <c r="K9" s="263">
        <f t="shared" si="1"/>
        <v>0</v>
      </c>
      <c r="L9" s="263">
        <f t="shared" si="1"/>
        <v>2.1852061603295327</v>
      </c>
      <c r="M9" s="264"/>
      <c r="N9" s="285">
        <v>0</v>
      </c>
      <c r="O9" s="266" t="s">
        <v>184</v>
      </c>
    </row>
    <row r="10" spans="1:22" ht="19.5">
      <c r="A10" s="233" t="s">
        <v>209</v>
      </c>
      <c r="B10" s="261">
        <v>229856988.79999998</v>
      </c>
      <c r="C10" s="261">
        <v>313152517.39999998</v>
      </c>
      <c r="D10" s="261">
        <v>355036694.05000001</v>
      </c>
      <c r="E10" s="261">
        <v>482197189.75</v>
      </c>
      <c r="F10" s="261">
        <v>512725167.70999998</v>
      </c>
      <c r="G10" s="261">
        <v>491669611.60000002</v>
      </c>
      <c r="H10" s="261">
        <v>649894826.80999994</v>
      </c>
      <c r="I10" s="262"/>
      <c r="J10" s="263">
        <f t="shared" si="1"/>
        <v>3.9275750495720483</v>
      </c>
      <c r="K10" s="263">
        <f t="shared" si="1"/>
        <v>3.3839951534905386</v>
      </c>
      <c r="L10" s="263">
        <f t="shared" si="1"/>
        <v>4.2784845020447744</v>
      </c>
      <c r="M10" s="264"/>
      <c r="N10" s="265">
        <f>(H10/G10-1)*100</f>
        <v>32.181206948117172</v>
      </c>
      <c r="O10" s="266" t="s">
        <v>210</v>
      </c>
    </row>
    <row r="11" spans="1:22" ht="19.5">
      <c r="A11" s="233" t="s">
        <v>211</v>
      </c>
      <c r="B11" s="261">
        <v>35069424.219999999</v>
      </c>
      <c r="C11" s="261">
        <v>1401117904.5887001</v>
      </c>
      <c r="D11" s="261">
        <v>1881814670.0172997</v>
      </c>
      <c r="E11" s="261">
        <v>2475402851.9278002</v>
      </c>
      <c r="F11" s="261">
        <v>2676515345.3940001</v>
      </c>
      <c r="G11" s="261">
        <v>2742014597.9856997</v>
      </c>
      <c r="H11" s="261">
        <v>2675878133.4066</v>
      </c>
      <c r="I11" s="262"/>
      <c r="J11" s="263">
        <f t="shared" si="1"/>
        <v>20.502630946160131</v>
      </c>
      <c r="K11" s="263">
        <f t="shared" si="1"/>
        <v>18.872356337395235</v>
      </c>
      <c r="L11" s="263">
        <f t="shared" si="1"/>
        <v>17.616239814273399</v>
      </c>
      <c r="M11" s="264"/>
      <c r="N11" s="265">
        <f>(H11/G11-1)*100</f>
        <v>-2.4119661736186182</v>
      </c>
      <c r="O11" s="266" t="s">
        <v>13</v>
      </c>
    </row>
    <row r="12" spans="1:22" ht="19.5">
      <c r="A12" s="233" t="s">
        <v>212</v>
      </c>
      <c r="B12" s="261">
        <v>66177301.209999993</v>
      </c>
      <c r="C12" s="261">
        <v>64518018.390000001</v>
      </c>
      <c r="D12" s="261">
        <v>68042407.709999993</v>
      </c>
      <c r="E12" s="261">
        <v>75002051.50999999</v>
      </c>
      <c r="F12" s="261">
        <v>79113040.390000001</v>
      </c>
      <c r="G12" s="261">
        <v>102136920.65000001</v>
      </c>
      <c r="H12" s="261">
        <v>111408004.60159999</v>
      </c>
      <c r="I12" s="262"/>
      <c r="J12" s="263">
        <f t="shared" si="1"/>
        <v>0.60602136017496211</v>
      </c>
      <c r="K12" s="263">
        <f t="shared" si="1"/>
        <v>0.70297377815824258</v>
      </c>
      <c r="L12" s="263">
        <f t="shared" si="1"/>
        <v>0.7334377832046225</v>
      </c>
      <c r="M12" s="264"/>
      <c r="N12" s="265">
        <f>(H12/G12-1)*100</f>
        <v>9.077113244259527</v>
      </c>
      <c r="O12" s="266" t="s">
        <v>213</v>
      </c>
    </row>
    <row r="13" spans="1:22" ht="19.5">
      <c r="A13" s="233" t="s">
        <v>214</v>
      </c>
      <c r="B13" s="261">
        <v>9126000</v>
      </c>
      <c r="C13" s="261">
        <v>10083100</v>
      </c>
      <c r="D13" s="261">
        <v>10077300</v>
      </c>
      <c r="E13" s="261">
        <v>9630000</v>
      </c>
      <c r="F13" s="261">
        <v>12342000</v>
      </c>
      <c r="G13" s="261">
        <v>14250000</v>
      </c>
      <c r="H13" s="261">
        <v>16398900</v>
      </c>
      <c r="I13" s="262"/>
      <c r="J13" s="263">
        <f t="shared" si="1"/>
        <v>9.4542133514373239E-2</v>
      </c>
      <c r="K13" s="263">
        <f t="shared" si="1"/>
        <v>9.8077916144370822E-2</v>
      </c>
      <c r="L13" s="263">
        <f t="shared" si="1"/>
        <v>0.10795968302282609</v>
      </c>
      <c r="M13" s="264"/>
      <c r="N13" s="265">
        <f>(H13/G13-1)*100</f>
        <v>15.080000000000005</v>
      </c>
      <c r="O13" s="266" t="s">
        <v>215</v>
      </c>
    </row>
    <row r="14" spans="1:22" ht="19.5">
      <c r="A14" s="233" t="s">
        <v>216</v>
      </c>
      <c r="B14" s="261">
        <v>2800011</v>
      </c>
      <c r="C14" s="261">
        <v>2774867</v>
      </c>
      <c r="D14" s="261">
        <v>2213224</v>
      </c>
      <c r="E14" s="261">
        <v>2662962</v>
      </c>
      <c r="F14" s="261">
        <v>3516877</v>
      </c>
      <c r="G14" s="261">
        <v>3049365</v>
      </c>
      <c r="H14" s="261">
        <v>3848487</v>
      </c>
      <c r="I14" s="262"/>
      <c r="J14" s="263">
        <f t="shared" si="1"/>
        <v>2.6939965555633476E-2</v>
      </c>
      <c r="K14" s="263">
        <f t="shared" si="1"/>
        <v>2.0987744895689775E-2</v>
      </c>
      <c r="L14" s="263">
        <f t="shared" si="1"/>
        <v>2.5335933302689011E-2</v>
      </c>
      <c r="M14" s="264"/>
      <c r="N14" s="265">
        <f>(H14/G14-1)*100</f>
        <v>26.206177351678139</v>
      </c>
      <c r="O14" s="266" t="s">
        <v>217</v>
      </c>
    </row>
    <row r="15" spans="1:22" ht="19.5">
      <c r="A15" s="232" t="s">
        <v>185</v>
      </c>
      <c r="B15" s="232"/>
      <c r="C15" s="232"/>
      <c r="D15" s="267">
        <v>0</v>
      </c>
      <c r="E15" s="267">
        <v>0</v>
      </c>
      <c r="F15" s="267">
        <v>0</v>
      </c>
      <c r="G15" s="267">
        <v>0</v>
      </c>
      <c r="H15" s="261">
        <v>65344950</v>
      </c>
      <c r="I15" s="262"/>
      <c r="J15" s="263">
        <f t="shared" si="1"/>
        <v>0</v>
      </c>
      <c r="K15" s="263">
        <f t="shared" si="1"/>
        <v>0</v>
      </c>
      <c r="L15" s="263">
        <f t="shared" si="1"/>
        <v>0.43018861564753852</v>
      </c>
      <c r="M15" s="264"/>
      <c r="N15" s="285">
        <v>0</v>
      </c>
      <c r="O15" s="266" t="s">
        <v>218</v>
      </c>
      <c r="P15" s="232"/>
      <c r="Q15" s="232"/>
      <c r="R15" s="232"/>
      <c r="S15" s="232"/>
      <c r="T15" s="232"/>
      <c r="U15" s="232"/>
      <c r="V15" s="232"/>
    </row>
    <row r="16" spans="1:22" ht="19.5">
      <c r="A16" s="232" t="s">
        <v>186</v>
      </c>
      <c r="B16" s="232"/>
      <c r="C16" s="232"/>
      <c r="D16" s="267">
        <v>0</v>
      </c>
      <c r="E16" s="267">
        <v>0</v>
      </c>
      <c r="F16" s="267">
        <v>0</v>
      </c>
      <c r="G16" s="267">
        <v>0</v>
      </c>
      <c r="H16" s="261">
        <v>12971000</v>
      </c>
      <c r="I16" s="262"/>
      <c r="J16" s="263">
        <f t="shared" si="1"/>
        <v>0</v>
      </c>
      <c r="K16" s="263">
        <f t="shared" si="1"/>
        <v>0</v>
      </c>
      <c r="L16" s="263">
        <f t="shared" si="1"/>
        <v>8.5392620754384571E-2</v>
      </c>
      <c r="M16" s="264"/>
      <c r="N16" s="285">
        <v>0</v>
      </c>
      <c r="O16" s="266" t="s">
        <v>219</v>
      </c>
      <c r="P16" s="232"/>
      <c r="Q16" s="232"/>
      <c r="R16" s="232"/>
      <c r="S16" s="232"/>
      <c r="T16" s="232"/>
      <c r="U16" s="232"/>
      <c r="V16" s="232"/>
    </row>
    <row r="17" spans="1:15" ht="19.5">
      <c r="A17" s="233" t="s">
        <v>220</v>
      </c>
      <c r="B17" s="261">
        <v>10200</v>
      </c>
      <c r="C17" s="261">
        <v>9800</v>
      </c>
      <c r="D17" s="261">
        <v>8200</v>
      </c>
      <c r="E17" s="261">
        <v>4800</v>
      </c>
      <c r="F17" s="261">
        <v>4000</v>
      </c>
      <c r="G17" s="261">
        <v>9400</v>
      </c>
      <c r="H17" s="261">
        <v>8650</v>
      </c>
      <c r="I17" s="262"/>
      <c r="J17" s="263">
        <f t="shared" si="1"/>
        <v>3.0640782211756025E-5</v>
      </c>
      <c r="K17" s="263">
        <f t="shared" si="1"/>
        <v>6.4697011351374438E-5</v>
      </c>
      <c r="L17" s="263">
        <f t="shared" si="1"/>
        <v>5.6945969433769681E-5</v>
      </c>
      <c r="M17" s="264"/>
      <c r="N17" s="265">
        <f>(H17/G17-1)*100</f>
        <v>-7.9787234042553168</v>
      </c>
      <c r="O17" s="266" t="s">
        <v>221</v>
      </c>
    </row>
    <row r="18" spans="1:15" ht="19.5">
      <c r="A18" s="233" t="s">
        <v>222</v>
      </c>
      <c r="B18" s="261">
        <v>6600</v>
      </c>
      <c r="C18" s="261">
        <v>3800</v>
      </c>
      <c r="D18" s="261">
        <v>1600</v>
      </c>
      <c r="E18" s="261">
        <v>200</v>
      </c>
      <c r="F18" s="261">
        <v>1400</v>
      </c>
      <c r="G18" s="261">
        <v>2200</v>
      </c>
      <c r="H18" s="261">
        <v>2800</v>
      </c>
      <c r="I18" s="262"/>
      <c r="J18" s="263">
        <f t="shared" si="1"/>
        <v>1.0724273774114609E-5</v>
      </c>
      <c r="K18" s="263">
        <f t="shared" si="1"/>
        <v>1.5141853720534439E-5</v>
      </c>
      <c r="L18" s="263">
        <f t="shared" si="1"/>
        <v>1.8433377388965907E-5</v>
      </c>
      <c r="M18" s="264"/>
      <c r="N18" s="265">
        <f>(H18/G18-1)*100</f>
        <v>27.27272727272727</v>
      </c>
      <c r="O18" s="266" t="s">
        <v>223</v>
      </c>
    </row>
    <row r="19" spans="1:15" ht="19.5">
      <c r="A19" s="233" t="s">
        <v>224</v>
      </c>
      <c r="B19" s="261">
        <v>26368958.637699999</v>
      </c>
      <c r="C19" s="261">
        <v>38326919.319099993</v>
      </c>
      <c r="D19" s="261">
        <v>65871274.453900002</v>
      </c>
      <c r="E19" s="261">
        <v>79428949.993799999</v>
      </c>
      <c r="F19" s="261">
        <v>77088771.710000008</v>
      </c>
      <c r="G19" s="261">
        <v>72751662.810000002</v>
      </c>
      <c r="H19" s="261">
        <v>76295076.290000007</v>
      </c>
      <c r="I19" s="262"/>
      <c r="J19" s="263">
        <f t="shared" si="1"/>
        <v>0.59051506623447236</v>
      </c>
      <c r="K19" s="263">
        <f t="shared" si="1"/>
        <v>0.50072501645212075</v>
      </c>
      <c r="L19" s="263">
        <f t="shared" si="1"/>
        <v>0.50227711934768393</v>
      </c>
      <c r="M19" s="264"/>
      <c r="N19" s="265">
        <f>(H19/G19-1)*100</f>
        <v>4.8705601262394094</v>
      </c>
      <c r="O19" s="266" t="s">
        <v>225</v>
      </c>
    </row>
    <row r="20" spans="1:15" ht="19.5">
      <c r="A20" s="233" t="s">
        <v>226</v>
      </c>
      <c r="B20" s="261">
        <v>44654557.465700001</v>
      </c>
      <c r="C20" s="261">
        <v>51539663.522400007</v>
      </c>
      <c r="D20" s="261">
        <v>54796856.450100005</v>
      </c>
      <c r="E20" s="261">
        <v>116054694.13689999</v>
      </c>
      <c r="F20" s="261">
        <v>257569888.39209995</v>
      </c>
      <c r="G20" s="261">
        <v>270265257.52340001</v>
      </c>
      <c r="H20" s="261">
        <v>195759473.72079995</v>
      </c>
      <c r="I20" s="262"/>
      <c r="J20" s="263">
        <f t="shared" si="1"/>
        <v>1.9730357136321603</v>
      </c>
      <c r="K20" s="263">
        <f t="shared" si="1"/>
        <v>1.8601440887099516</v>
      </c>
      <c r="L20" s="263">
        <f t="shared" si="1"/>
        <v>1.2887529487717355</v>
      </c>
      <c r="M20" s="264"/>
      <c r="N20" s="265">
        <f>(H20/G20-1)*100</f>
        <v>-27.56765130869595</v>
      </c>
      <c r="O20" s="266" t="s">
        <v>187</v>
      </c>
    </row>
    <row r="21" spans="1:15" ht="19.5">
      <c r="A21" s="233" t="s">
        <v>227</v>
      </c>
      <c r="B21" s="261">
        <v>543387.33450000011</v>
      </c>
      <c r="C21" s="261">
        <v>0</v>
      </c>
      <c r="D21" s="261">
        <v>0</v>
      </c>
      <c r="E21" s="261">
        <v>0</v>
      </c>
      <c r="F21" s="261">
        <v>0</v>
      </c>
      <c r="G21" s="261">
        <v>0</v>
      </c>
      <c r="H21" s="261">
        <v>0</v>
      </c>
      <c r="I21" s="262"/>
      <c r="J21" s="263">
        <f t="shared" si="1"/>
        <v>0</v>
      </c>
      <c r="K21" s="263">
        <f t="shared" si="1"/>
        <v>0</v>
      </c>
      <c r="L21" s="263">
        <f t="shared" si="1"/>
        <v>0</v>
      </c>
      <c r="M21" s="264"/>
      <c r="N21" s="285">
        <v>0</v>
      </c>
      <c r="O21" s="266" t="s">
        <v>228</v>
      </c>
    </row>
    <row r="22" spans="1:15" ht="19.5">
      <c r="A22" s="233" t="s">
        <v>229</v>
      </c>
      <c r="B22" s="261">
        <v>205312</v>
      </c>
      <c r="C22" s="261">
        <v>144688</v>
      </c>
      <c r="D22" s="261">
        <v>122000</v>
      </c>
      <c r="E22" s="261">
        <v>255800</v>
      </c>
      <c r="F22" s="261">
        <v>381292</v>
      </c>
      <c r="G22" s="261">
        <v>563556</v>
      </c>
      <c r="H22" s="261">
        <v>648433.64</v>
      </c>
      <c r="I22" s="262"/>
      <c r="J22" s="263">
        <f t="shared" si="1"/>
        <v>2.9207712827712196E-3</v>
      </c>
      <c r="K22" s="263">
        <f t="shared" si="1"/>
        <v>3.8787647796952309E-3</v>
      </c>
      <c r="L22" s="263">
        <f t="shared" si="1"/>
        <v>4.2688649992217356E-3</v>
      </c>
      <c r="M22" s="264"/>
      <c r="N22" s="265">
        <f>(H22/G22-1)*100</f>
        <v>15.061083548041365</v>
      </c>
      <c r="O22" s="266" t="s">
        <v>230</v>
      </c>
    </row>
    <row r="23" spans="1:15" ht="19.5">
      <c r="A23" s="233" t="s">
        <v>231</v>
      </c>
      <c r="B23" s="261">
        <v>3067500</v>
      </c>
      <c r="C23" s="261">
        <v>2685000</v>
      </c>
      <c r="D23" s="261">
        <v>1820000</v>
      </c>
      <c r="E23" s="261">
        <v>2235925</v>
      </c>
      <c r="F23" s="261">
        <v>863486.3</v>
      </c>
      <c r="G23" s="261">
        <v>496260.27</v>
      </c>
      <c r="H23" s="261">
        <v>13500</v>
      </c>
      <c r="I23" s="262"/>
      <c r="J23" s="263">
        <f t="shared" si="1"/>
        <v>6.6144739152837577E-3</v>
      </c>
      <c r="K23" s="263">
        <f t="shared" si="1"/>
        <v>3.4155910980240576E-3</v>
      </c>
      <c r="L23" s="263">
        <f t="shared" si="1"/>
        <v>8.887521241108562E-5</v>
      </c>
      <c r="M23" s="264"/>
      <c r="N23" s="265">
        <f>(H23/G23-1)*100</f>
        <v>-97.279653275487874</v>
      </c>
      <c r="O23" s="266" t="s">
        <v>232</v>
      </c>
    </row>
    <row r="24" spans="1:15" ht="28.5">
      <c r="A24" s="233" t="s">
        <v>233</v>
      </c>
      <c r="B24" s="261">
        <v>1918832.01</v>
      </c>
      <c r="C24" s="261">
        <v>971033.66999999993</v>
      </c>
      <c r="D24" s="261">
        <v>859560</v>
      </c>
      <c r="E24" s="261">
        <v>1166560</v>
      </c>
      <c r="F24" s="261">
        <v>1840460</v>
      </c>
      <c r="G24" s="261">
        <v>2210538</v>
      </c>
      <c r="H24" s="261">
        <v>2181300</v>
      </c>
      <c r="I24" s="262"/>
      <c r="J24" s="263">
        <f t="shared" si="1"/>
        <v>1.4098283507362126E-2</v>
      </c>
      <c r="K24" s="263">
        <f t="shared" si="1"/>
        <v>1.52143831998558E-2</v>
      </c>
      <c r="L24" s="263">
        <f t="shared" si="1"/>
        <v>1.436025932091119E-2</v>
      </c>
      <c r="M24" s="264"/>
      <c r="N24" s="265">
        <f>(H24/G24-1)*100</f>
        <v>-1.3226644373451224</v>
      </c>
      <c r="O24" s="268" t="s">
        <v>234</v>
      </c>
    </row>
    <row r="25" spans="1:15" ht="19.5">
      <c r="A25" s="233" t="s">
        <v>235</v>
      </c>
      <c r="B25" s="261">
        <v>13328804.895099999</v>
      </c>
      <c r="C25" s="261">
        <v>3751557.7451999998</v>
      </c>
      <c r="D25" s="261">
        <v>0</v>
      </c>
      <c r="E25" s="261">
        <v>0</v>
      </c>
      <c r="F25" s="261">
        <v>0</v>
      </c>
      <c r="G25" s="261">
        <v>0</v>
      </c>
      <c r="H25" s="261">
        <v>0</v>
      </c>
      <c r="I25" s="262"/>
      <c r="J25" s="263">
        <f t="shared" si="1"/>
        <v>0</v>
      </c>
      <c r="K25" s="263">
        <f t="shared" si="1"/>
        <v>0</v>
      </c>
      <c r="L25" s="263">
        <f t="shared" si="1"/>
        <v>0</v>
      </c>
      <c r="M25" s="264"/>
      <c r="N25" s="285">
        <v>0</v>
      </c>
      <c r="O25" s="266" t="s">
        <v>236</v>
      </c>
    </row>
    <row r="26" spans="1:15" ht="19.5">
      <c r="A26" s="233" t="s">
        <v>237</v>
      </c>
      <c r="B26" s="261">
        <v>34441393.530400001</v>
      </c>
      <c r="C26" s="261">
        <v>33094297.160799991</v>
      </c>
      <c r="D26" s="261">
        <v>35600432.367200002</v>
      </c>
      <c r="E26" s="261">
        <v>9666424.6421999969</v>
      </c>
      <c r="F26" s="261">
        <v>1452475.8979</v>
      </c>
      <c r="G26" s="261">
        <v>1386174.2361000003</v>
      </c>
      <c r="H26" s="261">
        <v>781782.84220000007</v>
      </c>
      <c r="I26" s="262"/>
      <c r="J26" s="263">
        <f t="shared" si="1"/>
        <v>1.112624941384467E-2</v>
      </c>
      <c r="K26" s="263">
        <f t="shared" si="1"/>
        <v>9.5405670519089891E-3</v>
      </c>
      <c r="L26" s="263">
        <f t="shared" si="1"/>
        <v>5.1467493451753509E-3</v>
      </c>
      <c r="M26" s="264"/>
      <c r="N26" s="265">
        <f t="shared" ref="N26:N36" si="2">(H26/G26-1)*100</f>
        <v>-43.601401480412363</v>
      </c>
      <c r="O26" s="266" t="s">
        <v>238</v>
      </c>
    </row>
    <row r="27" spans="1:15" ht="19.5">
      <c r="A27" s="233" t="s">
        <v>239</v>
      </c>
      <c r="B27" s="261">
        <v>923334858.34319997</v>
      </c>
      <c r="C27" s="261">
        <v>2572005117.2307997</v>
      </c>
      <c r="D27" s="261">
        <v>3654632712.6659002</v>
      </c>
      <c r="E27" s="261">
        <v>4542200766.8251991</v>
      </c>
      <c r="F27" s="261">
        <v>6052938369.3219995</v>
      </c>
      <c r="G27" s="261">
        <v>6276877706.3801994</v>
      </c>
      <c r="H27" s="261">
        <v>6851523223.1966991</v>
      </c>
      <c r="I27" s="262"/>
      <c r="J27" s="263">
        <f t="shared" si="1"/>
        <v>46.366691578894262</v>
      </c>
      <c r="K27" s="263">
        <f t="shared" si="1"/>
        <v>43.201620023496687</v>
      </c>
      <c r="L27" s="263">
        <f t="shared" si="1"/>
        <v>45.105969022303164</v>
      </c>
      <c r="M27" s="264"/>
      <c r="N27" s="265">
        <f t="shared" si="2"/>
        <v>9.1549579854390828</v>
      </c>
      <c r="O27" s="266" t="s">
        <v>12</v>
      </c>
    </row>
    <row r="28" spans="1:15" ht="19.5">
      <c r="A28" s="233" t="s">
        <v>240</v>
      </c>
      <c r="B28" s="261">
        <v>7052607.3000000007</v>
      </c>
      <c r="C28" s="261">
        <v>6572305.9499999993</v>
      </c>
      <c r="D28" s="261">
        <v>6006803.5</v>
      </c>
      <c r="E28" s="261">
        <v>5931325.75</v>
      </c>
      <c r="F28" s="261">
        <v>5873988.4400000004</v>
      </c>
      <c r="G28" s="261">
        <v>3949857.33</v>
      </c>
      <c r="H28" s="261">
        <v>3435640</v>
      </c>
      <c r="I28" s="262"/>
      <c r="J28" s="263">
        <f t="shared" si="1"/>
        <v>4.499590012610314E-2</v>
      </c>
      <c r="K28" s="263">
        <f t="shared" si="1"/>
        <v>2.7185528139927605E-2</v>
      </c>
      <c r="L28" s="263">
        <f t="shared" si="1"/>
        <v>2.2618017390223868E-2</v>
      </c>
      <c r="M28" s="264"/>
      <c r="N28" s="265">
        <f t="shared" si="2"/>
        <v>-13.018630472913816</v>
      </c>
      <c r="O28" s="266" t="s">
        <v>241</v>
      </c>
    </row>
    <row r="29" spans="1:15" ht="18.75">
      <c r="A29" s="233" t="s">
        <v>188</v>
      </c>
      <c r="B29" s="261">
        <v>0</v>
      </c>
      <c r="C29" s="261">
        <v>0</v>
      </c>
      <c r="D29" s="261">
        <v>0</v>
      </c>
      <c r="E29" s="261">
        <v>0</v>
      </c>
      <c r="F29" s="261">
        <v>45483359.280000001</v>
      </c>
      <c r="G29" s="261">
        <v>633548360.1105001</v>
      </c>
      <c r="H29" s="261">
        <v>694048350.40590012</v>
      </c>
      <c r="I29" s="262"/>
      <c r="J29" s="263">
        <f t="shared" si="1"/>
        <v>0.34841142648938311</v>
      </c>
      <c r="K29" s="263">
        <f t="shared" si="1"/>
        <v>4.3604984516716687</v>
      </c>
      <c r="L29" s="263">
        <f t="shared" si="1"/>
        <v>4.569162560436145</v>
      </c>
      <c r="M29" s="264"/>
      <c r="N29" s="265">
        <f t="shared" si="2"/>
        <v>9.549387877011938</v>
      </c>
      <c r="O29" s="234" t="s">
        <v>147</v>
      </c>
    </row>
    <row r="30" spans="1:15" ht="18.75">
      <c r="A30" s="233" t="s">
        <v>189</v>
      </c>
      <c r="B30" s="261" t="s">
        <v>152</v>
      </c>
      <c r="C30" s="261" t="s">
        <v>152</v>
      </c>
      <c r="D30" s="261" t="s">
        <v>152</v>
      </c>
      <c r="E30" s="261" t="s">
        <v>152</v>
      </c>
      <c r="F30" s="261">
        <v>0</v>
      </c>
      <c r="G30" s="261">
        <v>14583885.27</v>
      </c>
      <c r="H30" s="261">
        <v>114217777.92999999</v>
      </c>
      <c r="I30" s="262"/>
      <c r="J30" s="263">
        <f t="shared" si="1"/>
        <v>0</v>
      </c>
      <c r="K30" s="263">
        <f t="shared" si="1"/>
        <v>0.10037593519790769</v>
      </c>
      <c r="L30" s="263">
        <f t="shared" si="1"/>
        <v>0.75193550182599678</v>
      </c>
      <c r="M30" s="264"/>
      <c r="N30" s="265">
        <f t="shared" si="2"/>
        <v>683.1779790873245</v>
      </c>
      <c r="O30" s="234" t="s">
        <v>190</v>
      </c>
    </row>
    <row r="31" spans="1:15" ht="19.5">
      <c r="A31" s="233" t="s">
        <v>242</v>
      </c>
      <c r="B31" s="261">
        <v>7483460</v>
      </c>
      <c r="C31" s="261">
        <v>7606520</v>
      </c>
      <c r="D31" s="261">
        <v>7870030</v>
      </c>
      <c r="E31" s="261">
        <v>7806260</v>
      </c>
      <c r="F31" s="261">
        <v>7681260</v>
      </c>
      <c r="G31" s="261">
        <v>7393642.1899999995</v>
      </c>
      <c r="H31" s="261">
        <v>8278206.9600000009</v>
      </c>
      <c r="I31" s="262"/>
      <c r="J31" s="263">
        <f t="shared" si="1"/>
        <v>5.8839953692968273E-2</v>
      </c>
      <c r="K31" s="263">
        <f t="shared" si="1"/>
        <v>5.0887931137705407E-2</v>
      </c>
      <c r="L31" s="263">
        <f t="shared" si="1"/>
        <v>5.4498326070587223E-2</v>
      </c>
      <c r="M31" s="264"/>
      <c r="N31" s="265">
        <f t="shared" si="2"/>
        <v>11.96385688228716</v>
      </c>
      <c r="O31" s="266" t="s">
        <v>243</v>
      </c>
    </row>
    <row r="32" spans="1:15" ht="18.75">
      <c r="A32" s="233" t="s">
        <v>191</v>
      </c>
      <c r="B32" s="261">
        <v>0</v>
      </c>
      <c r="C32" s="261">
        <v>0</v>
      </c>
      <c r="D32" s="261">
        <v>0</v>
      </c>
      <c r="E32" s="261">
        <v>114128047.2168</v>
      </c>
      <c r="F32" s="261">
        <v>106062455.44860001</v>
      </c>
      <c r="G32" s="261">
        <v>866691371.39180005</v>
      </c>
      <c r="H32" s="261">
        <v>543512031.66700006</v>
      </c>
      <c r="I32" s="262"/>
      <c r="J32" s="263">
        <f t="shared" si="1"/>
        <v>0.81245914956115728</v>
      </c>
      <c r="K32" s="263">
        <f t="shared" si="1"/>
        <v>5.9651427120291016</v>
      </c>
      <c r="L32" s="263">
        <f t="shared" si="1"/>
        <v>3.5781294268433581</v>
      </c>
      <c r="M32" s="264"/>
      <c r="N32" s="265">
        <f t="shared" si="2"/>
        <v>-37.288860878563227</v>
      </c>
      <c r="O32" s="234" t="s">
        <v>192</v>
      </c>
    </row>
    <row r="33" spans="1:15" ht="19.5">
      <c r="A33" s="233" t="s">
        <v>244</v>
      </c>
      <c r="B33" s="261">
        <v>7338828.0599999996</v>
      </c>
      <c r="C33" s="261">
        <v>16626055.370000001</v>
      </c>
      <c r="D33" s="261">
        <v>20650873.640000001</v>
      </c>
      <c r="E33" s="261">
        <v>28491864.500000004</v>
      </c>
      <c r="F33" s="261">
        <v>29136730.280000005</v>
      </c>
      <c r="G33" s="261">
        <v>23143294.260000002</v>
      </c>
      <c r="H33" s="261">
        <v>93789092.709999979</v>
      </c>
      <c r="I33" s="262"/>
      <c r="J33" s="263">
        <f t="shared" si="1"/>
        <v>0.22319305171803935</v>
      </c>
      <c r="K33" s="263">
        <f t="shared" si="1"/>
        <v>0.15928744377100199</v>
      </c>
      <c r="L33" s="263">
        <f t="shared" si="1"/>
        <v>0.61744633603290744</v>
      </c>
      <c r="M33" s="264"/>
      <c r="N33" s="265">
        <f t="shared" si="2"/>
        <v>305.25385736507491</v>
      </c>
      <c r="O33" s="269" t="s">
        <v>193</v>
      </c>
    </row>
    <row r="34" spans="1:15" ht="19.5">
      <c r="A34" s="233" t="s">
        <v>245</v>
      </c>
      <c r="B34" s="261">
        <v>511255000</v>
      </c>
      <c r="C34" s="261">
        <v>168705000</v>
      </c>
      <c r="D34" s="261">
        <v>0</v>
      </c>
      <c r="E34" s="261">
        <v>789362981.79999995</v>
      </c>
      <c r="F34" s="261">
        <v>1096364901.3702002</v>
      </c>
      <c r="G34" s="261">
        <v>569097504.54999995</v>
      </c>
      <c r="H34" s="261">
        <v>117413250</v>
      </c>
      <c r="I34" s="262"/>
      <c r="J34" s="263">
        <f t="shared" si="1"/>
        <v>8.3983695418744198</v>
      </c>
      <c r="K34" s="263">
        <f t="shared" si="1"/>
        <v>3.9169050757351282</v>
      </c>
      <c r="L34" s="263">
        <f t="shared" si="1"/>
        <v>0.7729724098982147</v>
      </c>
      <c r="M34" s="264"/>
      <c r="N34" s="265">
        <f t="shared" si="2"/>
        <v>-79.368517861830782</v>
      </c>
      <c r="O34" s="266" t="s">
        <v>194</v>
      </c>
    </row>
    <row r="35" spans="1:15" ht="28.5">
      <c r="A35" s="233" t="s">
        <v>246</v>
      </c>
      <c r="B35" s="261">
        <v>6737481.419999999</v>
      </c>
      <c r="C35" s="261">
        <v>7508921.870000001</v>
      </c>
      <c r="D35" s="261">
        <v>14004293.390000001</v>
      </c>
      <c r="E35" s="261">
        <v>21367539.843200002</v>
      </c>
      <c r="F35" s="261">
        <v>19776911.629999995</v>
      </c>
      <c r="G35" s="261">
        <v>17764069.445</v>
      </c>
      <c r="H35" s="261">
        <v>15100188.74</v>
      </c>
      <c r="I35" s="262"/>
      <c r="J35" s="263">
        <f t="shared" si="1"/>
        <v>0.15149501051899369</v>
      </c>
      <c r="K35" s="263">
        <f t="shared" si="1"/>
        <v>0.12226406409891157</v>
      </c>
      <c r="L35" s="263">
        <f t="shared" si="1"/>
        <v>9.9409813460369131E-2</v>
      </c>
      <c r="M35" s="264"/>
      <c r="N35" s="265">
        <f t="shared" si="2"/>
        <v>-14.995892203910488</v>
      </c>
      <c r="O35" s="266" t="s">
        <v>247</v>
      </c>
    </row>
    <row r="36" spans="1:15" ht="19.5">
      <c r="A36" s="233" t="s">
        <v>248</v>
      </c>
      <c r="B36" s="261">
        <v>0</v>
      </c>
      <c r="C36" s="261">
        <v>0</v>
      </c>
      <c r="D36" s="261">
        <v>0</v>
      </c>
      <c r="E36" s="261">
        <v>283466.0528</v>
      </c>
      <c r="F36" s="261">
        <v>101.8</v>
      </c>
      <c r="G36" s="261">
        <v>1001018.28</v>
      </c>
      <c r="H36" s="261">
        <v>5909719.0500000007</v>
      </c>
      <c r="I36" s="262"/>
      <c r="J36" s="263">
        <f t="shared" si="1"/>
        <v>7.7980790728919084E-7</v>
      </c>
      <c r="K36" s="263">
        <f t="shared" si="1"/>
        <v>6.8896692578822669E-3</v>
      </c>
      <c r="L36" s="263">
        <f t="shared" si="1"/>
        <v>3.8905743396932535E-2</v>
      </c>
      <c r="M36" s="264"/>
      <c r="N36" s="265">
        <f t="shared" si="2"/>
        <v>490.37074228055059</v>
      </c>
      <c r="O36" s="266" t="s">
        <v>249</v>
      </c>
    </row>
    <row r="37" spans="1:15" ht="19.5">
      <c r="A37" s="233" t="s">
        <v>195</v>
      </c>
      <c r="B37" s="261"/>
      <c r="C37" s="261"/>
      <c r="D37" s="261">
        <v>0</v>
      </c>
      <c r="E37" s="261">
        <v>0</v>
      </c>
      <c r="F37" s="261">
        <v>0</v>
      </c>
      <c r="G37" s="261">
        <v>0</v>
      </c>
      <c r="H37" s="261">
        <v>2455050</v>
      </c>
      <c r="I37" s="262"/>
      <c r="J37" s="263">
        <f t="shared" si="1"/>
        <v>0</v>
      </c>
      <c r="K37" s="263">
        <f t="shared" si="1"/>
        <v>0</v>
      </c>
      <c r="L37" s="263">
        <f t="shared" si="1"/>
        <v>1.6162451128135982E-2</v>
      </c>
      <c r="M37" s="264"/>
      <c r="N37" s="285">
        <v>0</v>
      </c>
      <c r="O37" s="266" t="s">
        <v>196</v>
      </c>
    </row>
    <row r="38" spans="1:15" ht="19.5">
      <c r="A38" s="233" t="s">
        <v>250</v>
      </c>
      <c r="B38" s="261">
        <v>70761.650000000009</v>
      </c>
      <c r="C38" s="261">
        <v>61879.78</v>
      </c>
      <c r="D38" s="261">
        <v>0</v>
      </c>
      <c r="E38" s="261">
        <v>4000</v>
      </c>
      <c r="F38" s="261">
        <v>0</v>
      </c>
      <c r="G38" s="261">
        <v>0</v>
      </c>
      <c r="H38" s="261">
        <v>0</v>
      </c>
      <c r="I38" s="262"/>
      <c r="J38" s="263">
        <f t="shared" si="1"/>
        <v>0</v>
      </c>
      <c r="K38" s="263">
        <f t="shared" si="1"/>
        <v>0</v>
      </c>
      <c r="L38" s="263">
        <f t="shared" si="1"/>
        <v>0</v>
      </c>
      <c r="M38" s="264"/>
      <c r="N38" s="285">
        <v>0</v>
      </c>
      <c r="O38" s="266" t="s">
        <v>251</v>
      </c>
    </row>
    <row r="39" spans="1:15" ht="19.5">
      <c r="A39" s="233" t="s">
        <v>252</v>
      </c>
      <c r="B39" s="261">
        <v>22915.07</v>
      </c>
      <c r="C39" s="261">
        <v>52027.4</v>
      </c>
      <c r="D39" s="261">
        <v>78000</v>
      </c>
      <c r="E39" s="261">
        <v>102000</v>
      </c>
      <c r="F39" s="261">
        <v>266000</v>
      </c>
      <c r="G39" s="261">
        <v>344000</v>
      </c>
      <c r="H39" s="261">
        <v>336000</v>
      </c>
      <c r="I39" s="262"/>
      <c r="J39" s="263">
        <f t="shared" si="1"/>
        <v>2.0376120170817759E-3</v>
      </c>
      <c r="K39" s="263">
        <f t="shared" si="1"/>
        <v>2.3676353090290214E-3</v>
      </c>
      <c r="L39" s="263">
        <f t="shared" si="1"/>
        <v>2.2120052866759087E-3</v>
      </c>
      <c r="M39" s="264"/>
      <c r="N39" s="265">
        <f>(H39/G39-1)*100</f>
        <v>-2.3255813953488413</v>
      </c>
      <c r="O39" s="266" t="s">
        <v>253</v>
      </c>
    </row>
    <row r="40" spans="1:15" ht="19.5">
      <c r="A40" s="233" t="s">
        <v>254</v>
      </c>
      <c r="B40" s="261">
        <v>183022.32170000003</v>
      </c>
      <c r="C40" s="261">
        <v>0</v>
      </c>
      <c r="D40" s="261">
        <v>0</v>
      </c>
      <c r="E40" s="261">
        <v>0</v>
      </c>
      <c r="F40" s="261">
        <v>0</v>
      </c>
      <c r="G40" s="261">
        <v>0</v>
      </c>
      <c r="H40" s="261">
        <v>0</v>
      </c>
      <c r="I40" s="262"/>
      <c r="J40" s="263">
        <f t="shared" si="1"/>
        <v>0</v>
      </c>
      <c r="K40" s="263">
        <f t="shared" si="1"/>
        <v>0</v>
      </c>
      <c r="L40" s="263">
        <f t="shared" si="1"/>
        <v>0</v>
      </c>
      <c r="M40" s="264"/>
      <c r="N40" s="285">
        <v>0</v>
      </c>
      <c r="O40" s="266" t="s">
        <v>255</v>
      </c>
    </row>
    <row r="41" spans="1:15" ht="28.5">
      <c r="A41" s="233" t="s">
        <v>256</v>
      </c>
      <c r="B41" s="261">
        <v>0</v>
      </c>
      <c r="C41" s="261">
        <v>0</v>
      </c>
      <c r="D41" s="261">
        <v>30534.559999999998</v>
      </c>
      <c r="E41" s="261">
        <v>0</v>
      </c>
      <c r="F41" s="261">
        <v>79956.509999999995</v>
      </c>
      <c r="G41" s="261">
        <v>280621.83</v>
      </c>
      <c r="H41" s="261">
        <v>104497.42</v>
      </c>
      <c r="I41" s="262"/>
      <c r="J41" s="263">
        <f t="shared" si="1"/>
        <v>6.1248250233052323E-4</v>
      </c>
      <c r="K41" s="263">
        <f t="shared" si="1"/>
        <v>1.9314248639312199E-3</v>
      </c>
      <c r="L41" s="263">
        <f t="shared" si="1"/>
        <v>6.8794299251188353E-4</v>
      </c>
      <c r="M41" s="264"/>
      <c r="N41" s="265">
        <f>(H41/G41-1)*100</f>
        <v>-62.762191380478136</v>
      </c>
      <c r="O41" s="266" t="s">
        <v>257</v>
      </c>
    </row>
    <row r="42" spans="1:15" ht="19.5">
      <c r="A42" s="233" t="s">
        <v>258</v>
      </c>
      <c r="B42" s="261">
        <v>84000</v>
      </c>
      <c r="C42" s="261">
        <v>84000</v>
      </c>
      <c r="D42" s="261">
        <v>84000</v>
      </c>
      <c r="E42" s="261">
        <v>84000</v>
      </c>
      <c r="F42" s="261">
        <v>84000</v>
      </c>
      <c r="G42" s="261">
        <v>84000</v>
      </c>
      <c r="H42" s="261">
        <v>96000</v>
      </c>
      <c r="I42" s="262"/>
      <c r="J42" s="263">
        <f t="shared" si="1"/>
        <v>6.4345642644687655E-4</v>
      </c>
      <c r="K42" s="263">
        <f t="shared" si="1"/>
        <v>5.7814350569313313E-4</v>
      </c>
      <c r="L42" s="263">
        <f t="shared" si="1"/>
        <v>6.3200151047883106E-4</v>
      </c>
      <c r="M42" s="264"/>
      <c r="N42" s="265">
        <f>(H42/G42-1)*100</f>
        <v>14.285714285714279</v>
      </c>
      <c r="O42" s="266" t="s">
        <v>259</v>
      </c>
    </row>
    <row r="43" spans="1:15" ht="19.5">
      <c r="A43" s="233" t="s">
        <v>260</v>
      </c>
      <c r="B43" s="261">
        <v>6570852.9999999991</v>
      </c>
      <c r="C43" s="261">
        <v>6292505.6700000009</v>
      </c>
      <c r="D43" s="261">
        <v>3859126.6630000002</v>
      </c>
      <c r="E43" s="261">
        <v>3712770.9800000004</v>
      </c>
      <c r="F43" s="261">
        <v>3781185.34</v>
      </c>
      <c r="G43" s="261">
        <v>3216364.4099999997</v>
      </c>
      <c r="H43" s="261">
        <v>9195958.9600000009</v>
      </c>
      <c r="I43" s="262"/>
      <c r="J43" s="263">
        <f t="shared" si="1"/>
        <v>2.8964619126306167E-2</v>
      </c>
      <c r="K43" s="263">
        <f t="shared" si="1"/>
        <v>2.2137145185524117E-2</v>
      </c>
      <c r="L43" s="263">
        <f t="shared" si="1"/>
        <v>6.05402078439723E-2</v>
      </c>
      <c r="M43" s="264"/>
      <c r="N43" s="265">
        <f>(H43/G43-1)*100</f>
        <v>185.91160042092378</v>
      </c>
      <c r="O43" s="266" t="s">
        <v>261</v>
      </c>
    </row>
    <row r="44" spans="1:15" ht="19.5">
      <c r="A44" s="233" t="s">
        <v>262</v>
      </c>
      <c r="B44" s="261"/>
      <c r="C44" s="261"/>
      <c r="D44" s="261">
        <v>0</v>
      </c>
      <c r="E44" s="261">
        <v>0</v>
      </c>
      <c r="F44" s="261">
        <v>0</v>
      </c>
      <c r="G44" s="261">
        <v>0</v>
      </c>
      <c r="H44" s="261">
        <v>233536</v>
      </c>
      <c r="I44" s="262"/>
      <c r="J44" s="263">
        <f t="shared" si="1"/>
        <v>0</v>
      </c>
      <c r="K44" s="263">
        <f t="shared" si="1"/>
        <v>0</v>
      </c>
      <c r="L44" s="263">
        <f t="shared" si="1"/>
        <v>1.5374490078248365E-3</v>
      </c>
      <c r="M44" s="264"/>
      <c r="N44" s="285">
        <v>0</v>
      </c>
      <c r="O44" s="266"/>
    </row>
    <row r="45" spans="1:15" ht="19.5">
      <c r="A45" s="233" t="s">
        <v>263</v>
      </c>
      <c r="B45" s="261">
        <v>87861980</v>
      </c>
      <c r="C45" s="261">
        <v>171860080</v>
      </c>
      <c r="D45" s="261">
        <v>177775270</v>
      </c>
      <c r="E45" s="261">
        <v>227539500</v>
      </c>
      <c r="F45" s="261">
        <v>248727790</v>
      </c>
      <c r="G45" s="261">
        <v>262209160</v>
      </c>
      <c r="H45" s="261">
        <v>263216830</v>
      </c>
      <c r="I45" s="262"/>
      <c r="J45" s="263">
        <f t="shared" si="1"/>
        <v>1.9053035108503473</v>
      </c>
      <c r="K45" s="263">
        <f t="shared" si="1"/>
        <v>1.8046967022291867</v>
      </c>
      <c r="L45" s="263">
        <f>H45/H$7*100</f>
        <v>1.7328482723276011</v>
      </c>
      <c r="M45" s="264"/>
      <c r="N45" s="265">
        <f>(H45/G45-1)*100</f>
        <v>0.38430007555800838</v>
      </c>
      <c r="O45" s="266" t="s">
        <v>264</v>
      </c>
    </row>
    <row r="46" spans="1:15" ht="39">
      <c r="A46" s="233" t="s">
        <v>265</v>
      </c>
      <c r="B46" s="261">
        <v>1595200</v>
      </c>
      <c r="C46" s="261">
        <v>1564800</v>
      </c>
      <c r="D46" s="261">
        <v>1569400</v>
      </c>
      <c r="E46" s="261">
        <v>1553800</v>
      </c>
      <c r="F46" s="261">
        <v>1699000</v>
      </c>
      <c r="G46" s="261">
        <v>1458085</v>
      </c>
      <c r="H46" s="261">
        <v>1806365</v>
      </c>
      <c r="I46" s="262"/>
      <c r="J46" s="263">
        <f t="shared" si="1"/>
        <v>1.3014672244443373E-2</v>
      </c>
      <c r="K46" s="263">
        <f t="shared" si="1"/>
        <v>1.0035504446411573E-2</v>
      </c>
      <c r="L46" s="263">
        <f t="shared" si="1"/>
        <v>1.1891931338292644E-2</v>
      </c>
      <c r="M46" s="264"/>
      <c r="N46" s="265">
        <f>(H46/G46-1)*100</f>
        <v>23.886124608647652</v>
      </c>
      <c r="O46" s="266" t="s">
        <v>266</v>
      </c>
    </row>
    <row r="47" spans="1:15" ht="19.5">
      <c r="A47" s="233" t="s">
        <v>267</v>
      </c>
      <c r="B47" s="261">
        <v>37072935</v>
      </c>
      <c r="C47" s="261">
        <v>39918623.75</v>
      </c>
      <c r="D47" s="261">
        <v>32890380.349999998</v>
      </c>
      <c r="E47" s="261">
        <v>38065530.5</v>
      </c>
      <c r="F47" s="261">
        <v>37610881.899999999</v>
      </c>
      <c r="G47" s="261">
        <v>43317638.149999999</v>
      </c>
      <c r="H47" s="261">
        <v>44347953.650000006</v>
      </c>
      <c r="I47" s="262"/>
      <c r="J47" s="263">
        <f t="shared" si="1"/>
        <v>0.28810671027249418</v>
      </c>
      <c r="K47" s="263">
        <f t="shared" si="1"/>
        <v>0.29814060926651914</v>
      </c>
      <c r="L47" s="263">
        <f t="shared" si="1"/>
        <v>0.29195805930672081</v>
      </c>
      <c r="M47" s="264"/>
      <c r="N47" s="265">
        <f>(H47/G47-1)*100</f>
        <v>2.3785126428921055</v>
      </c>
      <c r="O47" s="266" t="s">
        <v>197</v>
      </c>
    </row>
    <row r="48" spans="1:15" ht="19.5">
      <c r="A48" s="233" t="s">
        <v>268</v>
      </c>
      <c r="B48" s="261">
        <v>1668748.04</v>
      </c>
      <c r="C48" s="261">
        <v>1297591.8</v>
      </c>
      <c r="D48" s="261">
        <v>898349.8400000002</v>
      </c>
      <c r="E48" s="261">
        <v>1067876.9200000002</v>
      </c>
      <c r="F48" s="261">
        <v>690960.24000000011</v>
      </c>
      <c r="G48" s="261">
        <v>926804.19000000018</v>
      </c>
      <c r="H48" s="261">
        <v>874045.94000000018</v>
      </c>
      <c r="I48" s="262"/>
      <c r="J48" s="263">
        <f t="shared" si="1"/>
        <v>5.2928905577056705E-3</v>
      </c>
      <c r="K48" s="263">
        <f t="shared" si="1"/>
        <v>6.3788788511629137E-3</v>
      </c>
      <c r="L48" s="263">
        <f t="shared" si="1"/>
        <v>5.7541495240405202E-3</v>
      </c>
      <c r="M48" s="264"/>
      <c r="N48" s="265">
        <f>(H48/G48-1)*100</f>
        <v>-5.6924915283345872</v>
      </c>
      <c r="O48" s="266" t="s">
        <v>269</v>
      </c>
    </row>
    <row r="49" spans="1:16" ht="19.5">
      <c r="A49" s="233" t="s">
        <v>270</v>
      </c>
      <c r="B49" s="261">
        <v>137836230.31</v>
      </c>
      <c r="C49" s="261">
        <v>16241056.810000002</v>
      </c>
      <c r="D49" s="261">
        <v>244520646.0862</v>
      </c>
      <c r="E49" s="261">
        <v>5536990.5499999998</v>
      </c>
      <c r="F49" s="261">
        <v>6211579.3000000007</v>
      </c>
      <c r="G49" s="261">
        <v>12137275.700000001</v>
      </c>
      <c r="H49" s="261">
        <v>26647124.090000004</v>
      </c>
      <c r="I49" s="262"/>
      <c r="J49" s="263">
        <f t="shared" si="1"/>
        <v>4.7581912130588003E-2</v>
      </c>
      <c r="K49" s="263">
        <f t="shared" si="1"/>
        <v>8.3536751461453312E-2</v>
      </c>
      <c r="L49" s="263">
        <f t="shared" si="1"/>
        <v>0.17542731952913387</v>
      </c>
      <c r="M49" s="264"/>
      <c r="N49" s="265">
        <f>(H49/G49-1)*100</f>
        <v>119.5478190381718</v>
      </c>
      <c r="O49" s="266" t="s">
        <v>271</v>
      </c>
    </row>
    <row r="50" spans="1:16" ht="19.5">
      <c r="A50" s="233" t="s">
        <v>272</v>
      </c>
      <c r="B50" s="261">
        <v>6831</v>
      </c>
      <c r="C50" s="261">
        <v>24623.16</v>
      </c>
      <c r="D50" s="261">
        <v>0</v>
      </c>
      <c r="E50" s="261">
        <v>0</v>
      </c>
      <c r="F50" s="261">
        <v>0</v>
      </c>
      <c r="G50" s="261">
        <v>0</v>
      </c>
      <c r="H50" s="261">
        <v>0</v>
      </c>
      <c r="I50" s="262"/>
      <c r="J50" s="263">
        <f t="shared" si="1"/>
        <v>0</v>
      </c>
      <c r="K50" s="263">
        <f t="shared" si="1"/>
        <v>0</v>
      </c>
      <c r="L50" s="263">
        <f t="shared" si="1"/>
        <v>0</v>
      </c>
      <c r="M50" s="264"/>
      <c r="N50" s="285">
        <v>0</v>
      </c>
      <c r="O50" s="266" t="s">
        <v>273</v>
      </c>
    </row>
    <row r="51" spans="1:16" ht="19.5">
      <c r="A51" s="233" t="s">
        <v>274</v>
      </c>
      <c r="B51" s="261">
        <v>2548315.2200000002</v>
      </c>
      <c r="C51" s="261">
        <v>0</v>
      </c>
      <c r="D51" s="261">
        <v>0</v>
      </c>
      <c r="E51" s="261">
        <v>0</v>
      </c>
      <c r="F51" s="261">
        <v>0</v>
      </c>
      <c r="G51" s="261">
        <v>0</v>
      </c>
      <c r="H51" s="261">
        <v>0</v>
      </c>
      <c r="I51" s="262"/>
      <c r="J51" s="263">
        <f t="shared" si="1"/>
        <v>0</v>
      </c>
      <c r="K51" s="263">
        <f t="shared" si="1"/>
        <v>0</v>
      </c>
      <c r="L51" s="263">
        <f t="shared" si="1"/>
        <v>0</v>
      </c>
      <c r="M51" s="264"/>
      <c r="N51" s="285">
        <v>0</v>
      </c>
      <c r="O51" s="266" t="s">
        <v>275</v>
      </c>
    </row>
    <row r="52" spans="1:16" ht="18.75">
      <c r="A52" s="233" t="s">
        <v>276</v>
      </c>
      <c r="B52" s="261">
        <v>0</v>
      </c>
      <c r="C52" s="261">
        <v>0</v>
      </c>
      <c r="D52" s="261">
        <v>0</v>
      </c>
      <c r="E52" s="261">
        <v>0</v>
      </c>
      <c r="F52" s="261">
        <v>2532700</v>
      </c>
      <c r="G52" s="261">
        <v>1649900</v>
      </c>
      <c r="H52" s="261">
        <v>1322100</v>
      </c>
      <c r="I52" s="262"/>
      <c r="J52" s="263">
        <f t="shared" si="1"/>
        <v>1.9400977276928622E-2</v>
      </c>
      <c r="K52" s="263">
        <f t="shared" si="1"/>
        <v>1.1355702024322626E-2</v>
      </c>
      <c r="L52" s="263">
        <f t="shared" si="1"/>
        <v>8.7038458021256523E-3</v>
      </c>
      <c r="M52" s="264"/>
      <c r="N52" s="265">
        <f>(H52/G52-1)*100</f>
        <v>-19.86787078004728</v>
      </c>
      <c r="O52" s="234" t="s">
        <v>277</v>
      </c>
    </row>
    <row r="53" spans="1:16" ht="18.75">
      <c r="A53" s="233" t="s">
        <v>278</v>
      </c>
      <c r="B53" s="261"/>
      <c r="C53" s="261"/>
      <c r="D53" s="261">
        <v>0</v>
      </c>
      <c r="E53" s="261">
        <v>0</v>
      </c>
      <c r="F53" s="261">
        <v>0</v>
      </c>
      <c r="G53" s="261">
        <v>0</v>
      </c>
      <c r="H53" s="261">
        <v>16865000</v>
      </c>
      <c r="I53" s="262"/>
      <c r="J53" s="263">
        <f t="shared" si="1"/>
        <v>0</v>
      </c>
      <c r="K53" s="263">
        <f t="shared" si="1"/>
        <v>0</v>
      </c>
      <c r="L53" s="263">
        <f t="shared" si="1"/>
        <v>0.11102818202318215</v>
      </c>
      <c r="M53" s="264"/>
      <c r="N53" s="285">
        <v>0</v>
      </c>
      <c r="O53" s="234" t="s">
        <v>198</v>
      </c>
      <c r="P53" s="231" t="s">
        <v>155</v>
      </c>
    </row>
    <row r="54" spans="1:16" ht="19.5">
      <c r="A54" s="233" t="s">
        <v>279</v>
      </c>
      <c r="B54" s="261">
        <v>1202495510.0143998</v>
      </c>
      <c r="C54" s="261">
        <v>1049841778.2217</v>
      </c>
      <c r="D54" s="261">
        <v>1068823153.4752001</v>
      </c>
      <c r="E54" s="261">
        <v>1156222825.7628999</v>
      </c>
      <c r="F54" s="261">
        <v>1197553906.7121</v>
      </c>
      <c r="G54" s="261">
        <v>1449680465.8505001</v>
      </c>
      <c r="H54" s="261">
        <v>1401635711.642</v>
      </c>
      <c r="I54" s="262"/>
      <c r="J54" s="263">
        <f t="shared" si="1"/>
        <v>9.1734971106007634</v>
      </c>
      <c r="K54" s="263">
        <f t="shared" si="1"/>
        <v>9.9776588888293176</v>
      </c>
      <c r="L54" s="263">
        <f t="shared" si="1"/>
        <v>9.2274571551959941</v>
      </c>
      <c r="M54" s="264"/>
      <c r="N54" s="265">
        <f t="shared" ref="N54:N60" si="3">(H54/G54-1)*100</f>
        <v>-3.3141616611570446</v>
      </c>
      <c r="O54" s="266" t="s">
        <v>280</v>
      </c>
    </row>
    <row r="55" spans="1:16" ht="19.5">
      <c r="A55" s="233" t="s">
        <v>281</v>
      </c>
      <c r="B55" s="261">
        <v>750739844.92149997</v>
      </c>
      <c r="C55" s="261">
        <v>802900158.02600002</v>
      </c>
      <c r="D55" s="261">
        <v>860140725.22539997</v>
      </c>
      <c r="E55" s="261">
        <v>804701951.22000003</v>
      </c>
      <c r="F55" s="261">
        <v>632505.73799999978</v>
      </c>
      <c r="G55" s="261">
        <v>152966.62</v>
      </c>
      <c r="H55" s="261">
        <v>3072</v>
      </c>
      <c r="I55" s="262"/>
      <c r="J55" s="263">
        <f t="shared" si="1"/>
        <v>4.8451176414360028E-3</v>
      </c>
      <c r="K55" s="263">
        <f t="shared" si="1"/>
        <v>1.0528173564384447E-3</v>
      </c>
      <c r="L55" s="263">
        <f t="shared" si="1"/>
        <v>2.0224048335322596E-5</v>
      </c>
      <c r="M55" s="264"/>
      <c r="N55" s="265">
        <f t="shared" si="3"/>
        <v>-97.991718716148654</v>
      </c>
      <c r="O55" s="266" t="s">
        <v>282</v>
      </c>
    </row>
    <row r="56" spans="1:16" ht="19.5">
      <c r="A56" s="233" t="s">
        <v>283</v>
      </c>
      <c r="B56" s="261">
        <v>2722950</v>
      </c>
      <c r="C56" s="261">
        <v>2640850</v>
      </c>
      <c r="D56" s="261">
        <v>3091300</v>
      </c>
      <c r="E56" s="261">
        <v>2751950</v>
      </c>
      <c r="F56" s="261">
        <v>1086200</v>
      </c>
      <c r="G56" s="261">
        <v>1203850</v>
      </c>
      <c r="H56" s="261">
        <v>1857300</v>
      </c>
      <c r="I56" s="262"/>
      <c r="J56" s="263">
        <f t="shared" si="1"/>
        <v>8.3205044096023497E-3</v>
      </c>
      <c r="K56" s="263">
        <f t="shared" si="1"/>
        <v>8.2856911824842668E-3</v>
      </c>
      <c r="L56" s="263">
        <f t="shared" si="1"/>
        <v>1.2227254223045136E-2</v>
      </c>
      <c r="M56" s="264"/>
      <c r="N56" s="265">
        <f t="shared" si="3"/>
        <v>54.280018274701987</v>
      </c>
      <c r="O56" s="266" t="s">
        <v>284</v>
      </c>
    </row>
    <row r="57" spans="1:16" ht="19.5">
      <c r="A57" s="233" t="s">
        <v>285</v>
      </c>
      <c r="B57" s="261">
        <v>90115</v>
      </c>
      <c r="C57" s="261">
        <v>41400</v>
      </c>
      <c r="D57" s="261">
        <v>13800</v>
      </c>
      <c r="E57" s="261">
        <v>0</v>
      </c>
      <c r="F57" s="261">
        <v>0</v>
      </c>
      <c r="G57" s="261">
        <v>12000</v>
      </c>
      <c r="H57" s="261">
        <v>0</v>
      </c>
      <c r="I57" s="262"/>
      <c r="J57" s="263">
        <f t="shared" si="1"/>
        <v>0</v>
      </c>
      <c r="K57" s="263">
        <f t="shared" si="1"/>
        <v>8.2591929384733312E-5</v>
      </c>
      <c r="L57" s="263">
        <f t="shared" si="1"/>
        <v>0</v>
      </c>
      <c r="M57" s="264"/>
      <c r="N57" s="265">
        <f t="shared" si="3"/>
        <v>-100</v>
      </c>
      <c r="O57" s="266" t="s">
        <v>286</v>
      </c>
    </row>
    <row r="58" spans="1:16" ht="19.5">
      <c r="A58" s="233" t="s">
        <v>287</v>
      </c>
      <c r="B58" s="261">
        <v>4945838.9999999991</v>
      </c>
      <c r="C58" s="261">
        <v>4574175.1999999993</v>
      </c>
      <c r="D58" s="261">
        <v>3173348.76</v>
      </c>
      <c r="E58" s="261">
        <v>1892151.2000000002</v>
      </c>
      <c r="F58" s="261">
        <v>781481.62</v>
      </c>
      <c r="G58" s="261">
        <v>4074889.67</v>
      </c>
      <c r="H58" s="261">
        <v>6825411.5500000007</v>
      </c>
      <c r="I58" s="262"/>
      <c r="J58" s="263">
        <f t="shared" si="1"/>
        <v>5.9863020302275711E-3</v>
      </c>
      <c r="K58" s="263">
        <f t="shared" si="1"/>
        <v>2.8046083322934935E-2</v>
      </c>
      <c r="L58" s="263">
        <f t="shared" si="1"/>
        <v>4.493406676291313E-2</v>
      </c>
      <c r="M58" s="264"/>
      <c r="N58" s="265">
        <f t="shared" si="3"/>
        <v>67.49929698096588</v>
      </c>
      <c r="O58" s="266" t="s">
        <v>288</v>
      </c>
    </row>
    <row r="59" spans="1:16" ht="19.5">
      <c r="A59" s="233" t="s">
        <v>289</v>
      </c>
      <c r="B59" s="261">
        <v>47548283.660000004</v>
      </c>
      <c r="C59" s="261">
        <v>45912900.350000001</v>
      </c>
      <c r="D59" s="261">
        <v>49700980.010000005</v>
      </c>
      <c r="E59" s="261">
        <v>52186302.670000002</v>
      </c>
      <c r="F59" s="261">
        <v>62245584.850000001</v>
      </c>
      <c r="G59" s="261">
        <v>75695789.819999993</v>
      </c>
      <c r="H59" s="261">
        <v>83909983</v>
      </c>
      <c r="I59" s="262"/>
      <c r="J59" s="263">
        <f t="shared" si="1"/>
        <v>0.47681335225805765</v>
      </c>
      <c r="K59" s="263">
        <f t="shared" si="1"/>
        <v>0.52098844396125454</v>
      </c>
      <c r="L59" s="263">
        <f t="shared" si="1"/>
        <v>0.55240870833596922</v>
      </c>
      <c r="M59" s="264"/>
      <c r="N59" s="265">
        <f t="shared" si="3"/>
        <v>10.851585272487242</v>
      </c>
      <c r="O59" s="266" t="s">
        <v>290</v>
      </c>
    </row>
    <row r="60" spans="1:16" ht="24" customHeight="1">
      <c r="A60" s="270" t="s">
        <v>291</v>
      </c>
      <c r="B60" s="261">
        <v>6802023.7300000004</v>
      </c>
      <c r="C60" s="261">
        <v>6443984.5899999999</v>
      </c>
      <c r="D60" s="261">
        <v>6238700.8399999999</v>
      </c>
      <c r="E60" s="261">
        <v>6704584.9800000004</v>
      </c>
      <c r="F60" s="261">
        <v>7051600.6999999993</v>
      </c>
      <c r="G60" s="261">
        <v>20481678.534299999</v>
      </c>
      <c r="H60" s="261">
        <v>28495907.719999999</v>
      </c>
      <c r="I60" s="262"/>
      <c r="J60" s="263">
        <f t="shared" si="1"/>
        <v>5.4016640323241577E-2</v>
      </c>
      <c r="K60" s="263">
        <f t="shared" si="1"/>
        <v>0.14096844559880947</v>
      </c>
      <c r="L60" s="263">
        <f t="shared" si="1"/>
        <v>0.18759850751568108</v>
      </c>
      <c r="M60" s="264"/>
      <c r="N60" s="265">
        <f t="shared" si="3"/>
        <v>39.128771464110379</v>
      </c>
      <c r="O60" s="266" t="s">
        <v>292</v>
      </c>
    </row>
    <row r="61" spans="1:16" ht="24" customHeight="1">
      <c r="A61" s="270" t="s">
        <v>293</v>
      </c>
      <c r="B61" s="261">
        <v>1066627.9971999999</v>
      </c>
      <c r="C61" s="261">
        <v>1309039.7897999999</v>
      </c>
      <c r="D61" s="261">
        <v>0</v>
      </c>
      <c r="E61" s="261">
        <v>13370.98</v>
      </c>
      <c r="F61" s="261">
        <v>31388.42</v>
      </c>
      <c r="G61" s="261">
        <v>0</v>
      </c>
      <c r="H61" s="261">
        <v>0</v>
      </c>
      <c r="I61" s="262"/>
      <c r="J61" s="263">
        <f t="shared" si="1"/>
        <v>2.404414352977818E-4</v>
      </c>
      <c r="K61" s="263">
        <f t="shared" si="1"/>
        <v>0</v>
      </c>
      <c r="L61" s="263">
        <f t="shared" si="1"/>
        <v>0</v>
      </c>
      <c r="M61" s="264"/>
      <c r="N61" s="285">
        <v>0</v>
      </c>
      <c r="O61" s="271" t="s">
        <v>294</v>
      </c>
    </row>
    <row r="62" spans="1:16" ht="24" customHeight="1">
      <c r="A62" s="270" t="s">
        <v>295</v>
      </c>
      <c r="B62" s="261"/>
      <c r="C62" s="261"/>
      <c r="D62" s="261">
        <v>0</v>
      </c>
      <c r="E62" s="261">
        <v>0</v>
      </c>
      <c r="F62" s="261">
        <v>0</v>
      </c>
      <c r="G62" s="261">
        <v>0</v>
      </c>
      <c r="H62" s="261">
        <v>155000</v>
      </c>
      <c r="I62" s="262"/>
      <c r="J62" s="263">
        <f t="shared" si="1"/>
        <v>0</v>
      </c>
      <c r="K62" s="263">
        <f t="shared" si="1"/>
        <v>0</v>
      </c>
      <c r="L62" s="263">
        <f t="shared" si="1"/>
        <v>1.0204191054606127E-3</v>
      </c>
      <c r="M62" s="264"/>
      <c r="N62" s="285">
        <v>0</v>
      </c>
      <c r="O62" s="271" t="s">
        <v>311</v>
      </c>
    </row>
    <row r="63" spans="1:16" ht="24" customHeight="1">
      <c r="A63" s="270" t="s">
        <v>296</v>
      </c>
      <c r="B63" s="261"/>
      <c r="C63" s="261"/>
      <c r="D63" s="261">
        <v>0</v>
      </c>
      <c r="E63" s="261">
        <v>0</v>
      </c>
      <c r="F63" s="261">
        <v>0</v>
      </c>
      <c r="G63" s="261">
        <v>0</v>
      </c>
      <c r="H63" s="261">
        <v>635373.4</v>
      </c>
      <c r="I63" s="262"/>
      <c r="J63" s="263">
        <f t="shared" si="1"/>
        <v>0</v>
      </c>
      <c r="K63" s="263">
        <f t="shared" si="1"/>
        <v>0</v>
      </c>
      <c r="L63" s="263">
        <f t="shared" si="1"/>
        <v>4.1828848803965686E-3</v>
      </c>
      <c r="M63" s="264"/>
      <c r="N63" s="285">
        <v>0</v>
      </c>
      <c r="O63" s="271" t="s">
        <v>312</v>
      </c>
    </row>
    <row r="64" spans="1:16" ht="24" customHeight="1">
      <c r="A64" s="270" t="s">
        <v>297</v>
      </c>
      <c r="B64" s="261"/>
      <c r="C64" s="261"/>
      <c r="D64" s="261">
        <v>0</v>
      </c>
      <c r="E64" s="261">
        <v>0</v>
      </c>
      <c r="F64" s="261">
        <v>0</v>
      </c>
      <c r="G64" s="261">
        <v>0</v>
      </c>
      <c r="H64" s="261">
        <v>3747036.1500000004</v>
      </c>
      <c r="I64" s="262"/>
      <c r="J64" s="263">
        <f t="shared" si="1"/>
        <v>0</v>
      </c>
      <c r="K64" s="263">
        <f t="shared" si="1"/>
        <v>0</v>
      </c>
      <c r="L64" s="263">
        <f t="shared" si="1"/>
        <v>2.4668046943945671E-2</v>
      </c>
      <c r="M64" s="264"/>
      <c r="N64" s="285">
        <v>0</v>
      </c>
      <c r="O64" s="271" t="s">
        <v>313</v>
      </c>
    </row>
    <row r="65" spans="1:17" ht="24" customHeight="1">
      <c r="A65" s="270" t="s">
        <v>298</v>
      </c>
      <c r="B65" s="261"/>
      <c r="C65" s="261"/>
      <c r="D65" s="261">
        <v>0</v>
      </c>
      <c r="E65" s="261">
        <v>0</v>
      </c>
      <c r="F65" s="261">
        <v>0</v>
      </c>
      <c r="G65" s="261">
        <v>0</v>
      </c>
      <c r="H65" s="261">
        <v>146500</v>
      </c>
      <c r="I65" s="262"/>
      <c r="J65" s="263">
        <f t="shared" si="1"/>
        <v>0</v>
      </c>
      <c r="K65" s="263">
        <f t="shared" si="1"/>
        <v>0</v>
      </c>
      <c r="L65" s="263">
        <f t="shared" si="1"/>
        <v>9.6446063838696622E-4</v>
      </c>
      <c r="M65" s="264"/>
      <c r="N65" s="285">
        <v>0</v>
      </c>
      <c r="O65" s="271" t="s">
        <v>314</v>
      </c>
    </row>
    <row r="66" spans="1:17" ht="24" customHeight="1">
      <c r="A66" s="270" t="s">
        <v>299</v>
      </c>
      <c r="B66" s="261"/>
      <c r="C66" s="261"/>
      <c r="D66" s="261">
        <v>0</v>
      </c>
      <c r="E66" s="261">
        <v>0</v>
      </c>
      <c r="F66" s="261">
        <v>0</v>
      </c>
      <c r="G66" s="261">
        <v>0</v>
      </c>
      <c r="H66" s="261">
        <v>480000</v>
      </c>
      <c r="I66" s="262"/>
      <c r="J66" s="263">
        <f t="shared" si="1"/>
        <v>0</v>
      </c>
      <c r="K66" s="263">
        <f t="shared" si="1"/>
        <v>0</v>
      </c>
      <c r="L66" s="263">
        <f t="shared" si="1"/>
        <v>3.1600075523941554E-3</v>
      </c>
      <c r="M66" s="264"/>
      <c r="N66" s="285">
        <v>0</v>
      </c>
      <c r="O66" s="271" t="s">
        <v>315</v>
      </c>
    </row>
    <row r="67" spans="1:17" ht="24" customHeight="1">
      <c r="A67" s="270" t="s">
        <v>300</v>
      </c>
      <c r="B67" s="261"/>
      <c r="C67" s="261"/>
      <c r="D67" s="261">
        <v>0</v>
      </c>
      <c r="E67" s="261">
        <v>0</v>
      </c>
      <c r="F67" s="261">
        <v>0</v>
      </c>
      <c r="G67" s="261">
        <v>0</v>
      </c>
      <c r="H67" s="261">
        <v>398443.62239999999</v>
      </c>
      <c r="I67" s="262"/>
      <c r="J67" s="272">
        <f t="shared" si="1"/>
        <v>0</v>
      </c>
      <c r="K67" s="273">
        <f t="shared" si="1"/>
        <v>0</v>
      </c>
      <c r="L67" s="273">
        <f t="shared" si="1"/>
        <v>2.6230934499735107E-3</v>
      </c>
      <c r="M67" s="274"/>
      <c r="N67" s="286">
        <v>0</v>
      </c>
      <c r="O67" s="287" t="s">
        <v>316</v>
      </c>
    </row>
    <row r="68" spans="1:17" ht="14.25" customHeight="1">
      <c r="A68" s="324" t="s">
        <v>301</v>
      </c>
      <c r="B68" s="324"/>
      <c r="C68" s="324"/>
      <c r="D68" s="324"/>
      <c r="E68" s="324"/>
      <c r="F68" s="324"/>
      <c r="G68" s="324"/>
      <c r="H68" s="324"/>
      <c r="I68" s="324"/>
      <c r="J68" s="263"/>
      <c r="K68" s="263"/>
      <c r="L68" s="263"/>
      <c r="M68" s="263"/>
      <c r="N68" s="275"/>
      <c r="O68" s="276" t="s">
        <v>202</v>
      </c>
    </row>
    <row r="69" spans="1:17" ht="39.75" customHeight="1">
      <c r="A69" s="325" t="s">
        <v>302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263"/>
      <c r="M69" s="263"/>
      <c r="N69" s="275"/>
      <c r="O69" s="276"/>
    </row>
    <row r="70" spans="1:17" ht="24" customHeight="1">
      <c r="A70" s="277" t="s">
        <v>303</v>
      </c>
      <c r="B70" s="261"/>
      <c r="C70" s="261"/>
      <c r="D70" s="261"/>
      <c r="E70" s="261"/>
      <c r="F70" s="261"/>
      <c r="G70" s="261"/>
      <c r="H70" s="261"/>
      <c r="I70" s="261"/>
      <c r="J70" s="263"/>
      <c r="K70" s="263"/>
      <c r="L70" s="263"/>
      <c r="M70" s="263"/>
      <c r="N70" s="275"/>
      <c r="O70" s="271"/>
    </row>
    <row r="71" spans="1:17" s="278" customFormat="1" ht="15" customHeight="1">
      <c r="A71" s="236" t="s">
        <v>304</v>
      </c>
      <c r="B71" s="235"/>
      <c r="C71" s="235"/>
      <c r="D71" s="235"/>
      <c r="E71" s="235"/>
      <c r="F71" s="235"/>
      <c r="G71" s="235"/>
      <c r="H71" s="235"/>
    </row>
    <row r="72" spans="1:17" s="281" customFormat="1" ht="15.6" customHeight="1">
      <c r="A72" s="279" t="s">
        <v>201</v>
      </c>
      <c r="B72" s="280"/>
      <c r="C72" s="280"/>
      <c r="D72" s="280"/>
      <c r="E72" s="280"/>
      <c r="F72" s="280"/>
      <c r="G72" s="280"/>
      <c r="H72" s="280"/>
      <c r="I72" s="280"/>
      <c r="P72" s="282"/>
      <c r="Q72" s="282"/>
    </row>
    <row r="73" spans="1:17" s="281" customFormat="1" ht="15.6" customHeight="1">
      <c r="A73" s="288" t="s">
        <v>317</v>
      </c>
      <c r="B73" s="280"/>
      <c r="C73" s="280"/>
      <c r="D73" s="280"/>
      <c r="E73" s="280"/>
      <c r="F73" s="280"/>
      <c r="G73" s="280"/>
      <c r="H73" s="280"/>
      <c r="I73" s="280"/>
      <c r="P73" s="282"/>
      <c r="Q73" s="282"/>
    </row>
    <row r="74" spans="1:17" s="281" customFormat="1" ht="9.75" customHeight="1">
      <c r="A74" s="279"/>
      <c r="B74" s="280"/>
      <c r="C74" s="280"/>
      <c r="D74" s="280"/>
      <c r="E74" s="280"/>
      <c r="F74" s="280"/>
      <c r="G74" s="280"/>
      <c r="H74" s="280"/>
      <c r="I74" s="280"/>
      <c r="P74" s="282"/>
      <c r="Q74" s="282"/>
    </row>
    <row r="75" spans="1:17" ht="17.25" customHeight="1">
      <c r="A75" s="231" t="s">
        <v>305</v>
      </c>
      <c r="F75" s="283">
        <f>F13+F14+F17+F18+F22+F23+F24+F31+F39+F46+F52+F56</f>
        <v>32214675.300000001</v>
      </c>
      <c r="G75" s="283">
        <f>G13+G14+G17+G18+G22+G23+G24+G31+G39+G46+G52+G56</f>
        <v>32630796.460000001</v>
      </c>
      <c r="H75" s="283"/>
    </row>
    <row r="76" spans="1:17" ht="17.25" customHeight="1">
      <c r="A76" s="231" t="s">
        <v>306</v>
      </c>
      <c r="F76" s="283">
        <f>F12+F28+F35+F42+F43+F58</f>
        <v>109410607.42</v>
      </c>
      <c r="G76" s="283">
        <f>G12+G28+G35+G42+G43+G58+G57</f>
        <v>131238101.50500001</v>
      </c>
      <c r="H76" s="283"/>
    </row>
    <row r="77" spans="1:17" ht="17.25" customHeight="1">
      <c r="A77" s="231" t="s">
        <v>307</v>
      </c>
      <c r="F77" s="283">
        <f>F19+F26</f>
        <v>78541247.607900009</v>
      </c>
      <c r="G77" s="283">
        <f>G19+G26</f>
        <v>74137837.046100006</v>
      </c>
      <c r="H77" s="283"/>
    </row>
    <row r="78" spans="1:17" ht="17.25" customHeight="1">
      <c r="A78" s="231" t="s">
        <v>308</v>
      </c>
      <c r="G78" s="254">
        <f>H7</f>
        <v>15189837114.03891</v>
      </c>
      <c r="H78" s="254"/>
    </row>
    <row r="79" spans="1:17">
      <c r="A79" s="231" t="s">
        <v>309</v>
      </c>
      <c r="G79" s="284">
        <v>30216.387599999998</v>
      </c>
      <c r="H79" s="284"/>
    </row>
    <row r="80" spans="1:17">
      <c r="A80" s="231" t="s">
        <v>310</v>
      </c>
      <c r="G80" s="283">
        <f>SUM(G78:G79)</f>
        <v>15189867330.42651</v>
      </c>
      <c r="H80" s="283"/>
    </row>
    <row r="81" spans="3:15">
      <c r="G81" s="283"/>
    </row>
    <row r="85" spans="3:15" ht="15">
      <c r="C85" s="261"/>
      <c r="D85" s="261"/>
      <c r="E85" s="261"/>
      <c r="F85" s="261"/>
      <c r="G85" s="261"/>
      <c r="H85" s="261"/>
      <c r="O85" s="231"/>
    </row>
  </sheetData>
  <mergeCells count="11">
    <mergeCell ref="A68:I68"/>
    <mergeCell ref="A69:K69"/>
    <mergeCell ref="A1:O1"/>
    <mergeCell ref="A2:O2"/>
    <mergeCell ref="A4:A6"/>
    <mergeCell ref="D4:H4"/>
    <mergeCell ref="J4:L4"/>
    <mergeCell ref="O4:O6"/>
    <mergeCell ref="D5:H5"/>
    <mergeCell ref="J5:L5"/>
    <mergeCell ref="N5:N6"/>
  </mergeCells>
  <pageMargins left="0.7" right="0.7" top="0.75" bottom="0.75" header="0.3" footer="0.3"/>
  <pageSetup paperSize="9" scale="45" orientation="portrait" horizontalDpi="4294967295" verticalDpi="4294967295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13.5</vt:lpstr>
      <vt:lpstr>13.6</vt:lpstr>
      <vt:lpstr>13.7</vt:lpstr>
      <vt:lpstr>Fig 1.5 &amp; 1.6</vt:lpstr>
      <vt:lpstr>13.13</vt:lpstr>
      <vt:lpstr>'13.13'!Print_Area</vt:lpstr>
      <vt:lpstr>'13.5'!Print_Area</vt:lpstr>
      <vt:lpstr>'13.6'!Print_Area</vt:lpstr>
      <vt:lpstr>'13.7'!Print_Area</vt:lpstr>
      <vt:lpstr>'Fig 1.5 &amp; 1.6'!Print_Area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2018-04-17T06:06:10Z</cp:lastPrinted>
  <dcterms:created xsi:type="dcterms:W3CDTF">2014-03-06T08:38:12Z</dcterms:created>
  <dcterms:modified xsi:type="dcterms:W3CDTF">2018-04-17T06:06:17Z</dcterms:modified>
</cp:coreProperties>
</file>