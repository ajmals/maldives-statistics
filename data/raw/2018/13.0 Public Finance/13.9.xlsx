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 firstSheet="3" activeTab="3"/>
  </bookViews>
  <sheets>
    <sheet name="13.5" sheetId="14" state="hidden" r:id="rId1"/>
    <sheet name="13.6" sheetId="16" state="hidden" r:id="rId2"/>
    <sheet name="13.7" sheetId="15" state="hidden" r:id="rId3"/>
    <sheet name="13.9" sheetId="24" r:id="rId4"/>
    <sheet name="Fig 1.5 &amp; 1.6" sheetId="17" state="hidden" r:id="rId5"/>
  </sheets>
  <externalReferences>
    <externalReference r:id="rId6"/>
  </externalReferences>
  <definedNames>
    <definedName name="_xlnm.Print_Area" localSheetId="0">'13.5'!$A$1:$T$34</definedName>
    <definedName name="_xlnm.Print_Area" localSheetId="1">'13.6'!$A$1:$Y$37</definedName>
    <definedName name="_xlnm.Print_Area" localSheetId="2">'13.7'!$A$1:$Z$34</definedName>
    <definedName name="_xlnm.Print_Area" localSheetId="3">'13.9'!$A$1:$P$156</definedName>
    <definedName name="_xlnm.Print_Area" localSheetId="4">'Fig 1.5 &amp; 1.6'!$A$1:$O$62</definedName>
    <definedName name="_xlnm.Print_Titles" localSheetId="3">'13.9'!$4:$5</definedName>
  </definedNames>
  <calcPr calcId="162913"/>
</workbook>
</file>

<file path=xl/calcChain.xml><?xml version="1.0" encoding="utf-8"?>
<calcChain xmlns="http://schemas.openxmlformats.org/spreadsheetml/2006/main">
  <c r="E140" i="24" l="1"/>
  <c r="F140" i="24"/>
  <c r="G140" i="24"/>
  <c r="H140" i="24"/>
  <c r="I140" i="24"/>
  <c r="J140" i="24"/>
  <c r="K140" i="24"/>
  <c r="D94" i="24"/>
  <c r="E94" i="24"/>
  <c r="F94" i="24"/>
  <c r="E99" i="24"/>
  <c r="E103" i="24"/>
  <c r="E111" i="24"/>
  <c r="E114" i="24"/>
  <c r="E117" i="24"/>
  <c r="H99" i="24"/>
  <c r="I99" i="24"/>
  <c r="K94" i="24"/>
  <c r="L94" i="24"/>
  <c r="M94" i="24"/>
  <c r="N94" i="24"/>
  <c r="O94" i="24"/>
  <c r="P94" i="24"/>
  <c r="K99" i="24"/>
  <c r="L99" i="24"/>
  <c r="M99" i="24"/>
  <c r="N99" i="24"/>
  <c r="O99" i="24"/>
  <c r="P99" i="24"/>
  <c r="K71" i="24"/>
  <c r="J36" i="24"/>
  <c r="K36" i="24"/>
  <c r="L36" i="24"/>
  <c r="M36" i="24"/>
  <c r="N36" i="24"/>
  <c r="O36" i="24"/>
  <c r="P36" i="24"/>
  <c r="O44" i="24"/>
  <c r="P44" i="24"/>
  <c r="I29" i="24"/>
  <c r="J29" i="24"/>
  <c r="K29" i="24"/>
  <c r="L29" i="24"/>
  <c r="M29" i="24"/>
  <c r="N29" i="24"/>
  <c r="O29" i="24"/>
  <c r="P29" i="24"/>
  <c r="I21" i="24"/>
  <c r="J21" i="24"/>
  <c r="K21" i="24"/>
  <c r="B117" i="24" l="1"/>
  <c r="C117" i="24"/>
  <c r="D117" i="24"/>
  <c r="F117" i="24"/>
  <c r="G117" i="24"/>
  <c r="H117" i="24"/>
  <c r="I117" i="24"/>
  <c r="J117" i="24"/>
  <c r="K117" i="24"/>
  <c r="L117" i="24"/>
  <c r="M117" i="24"/>
  <c r="N117" i="24"/>
  <c r="O117" i="24"/>
  <c r="F134" i="24"/>
  <c r="C135" i="24"/>
  <c r="C134" i="24" s="1"/>
  <c r="D135" i="24"/>
  <c r="D134" i="24" s="1"/>
  <c r="E135" i="24"/>
  <c r="E134" i="24" s="1"/>
  <c r="F135" i="24"/>
  <c r="G135" i="24"/>
  <c r="G134" i="24" s="1"/>
  <c r="H135" i="24"/>
  <c r="H134" i="24" s="1"/>
  <c r="I135" i="24"/>
  <c r="I134" i="24" s="1"/>
  <c r="J135" i="24"/>
  <c r="J134" i="24" s="1"/>
  <c r="K135" i="24"/>
  <c r="K134" i="24" s="1"/>
  <c r="B135" i="24"/>
  <c r="B134" i="24" s="1"/>
  <c r="B137" i="24"/>
  <c r="C137" i="24"/>
  <c r="D137" i="24"/>
  <c r="E137" i="24"/>
  <c r="F137" i="24"/>
  <c r="G137" i="24"/>
  <c r="H137" i="24"/>
  <c r="I137" i="24"/>
  <c r="J137" i="24"/>
  <c r="C140" i="24"/>
  <c r="D140" i="24"/>
  <c r="L140" i="24"/>
  <c r="M140" i="24"/>
  <c r="N140" i="24"/>
  <c r="O140" i="24"/>
  <c r="P140" i="24"/>
  <c r="B140" i="24"/>
  <c r="K137" i="24"/>
  <c r="L137" i="24"/>
  <c r="M137" i="24"/>
  <c r="N137" i="24"/>
  <c r="P137" i="24"/>
  <c r="O137" i="24"/>
  <c r="L50" i="24"/>
  <c r="M50" i="24"/>
  <c r="N50" i="24"/>
  <c r="O50" i="24"/>
  <c r="P50" i="24"/>
  <c r="P134" i="24" l="1"/>
  <c r="P131" i="24"/>
  <c r="P125" i="24"/>
  <c r="P117" i="24"/>
  <c r="P114" i="24"/>
  <c r="P111" i="24"/>
  <c r="P103" i="24"/>
  <c r="P83" i="24"/>
  <c r="P71" i="24"/>
  <c r="P33" i="24"/>
  <c r="P21" i="24"/>
  <c r="P16" i="24"/>
  <c r="P8" i="24"/>
  <c r="S21" i="15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P7" i="24" l="1"/>
  <c r="S9" i="15"/>
  <c r="S8" i="15" s="1"/>
  <c r="S8" i="16"/>
  <c r="J99" i="24" l="1"/>
  <c r="K131" i="24"/>
  <c r="L131" i="24"/>
  <c r="M131" i="24"/>
  <c r="N131" i="24"/>
  <c r="O131" i="24"/>
  <c r="K125" i="24"/>
  <c r="L125" i="24"/>
  <c r="M125" i="24"/>
  <c r="N125" i="24"/>
  <c r="O125" i="24"/>
  <c r="K120" i="24"/>
  <c r="O71" i="24"/>
  <c r="L134" i="24"/>
  <c r="M134" i="24"/>
  <c r="N134" i="24"/>
  <c r="O134" i="24"/>
  <c r="L83" i="24" l="1"/>
  <c r="M83" i="24"/>
  <c r="N83" i="24"/>
  <c r="O83" i="24"/>
  <c r="K83" i="24"/>
  <c r="K50" i="24"/>
  <c r="O21" i="24"/>
  <c r="N21" i="24"/>
  <c r="M21" i="24"/>
  <c r="L21" i="24"/>
  <c r="H21" i="24"/>
  <c r="G21" i="24"/>
  <c r="L16" i="24"/>
  <c r="M16" i="24"/>
  <c r="N16" i="24"/>
  <c r="O16" i="24"/>
  <c r="K16" i="24"/>
  <c r="L8" i="24"/>
  <c r="M8" i="24"/>
  <c r="N8" i="24"/>
  <c r="O8" i="24"/>
  <c r="K8" i="24"/>
  <c r="O33" i="24"/>
  <c r="O103" i="24"/>
  <c r="O111" i="24"/>
  <c r="O114" i="24"/>
  <c r="R10" i="15"/>
  <c r="R15" i="15"/>
  <c r="R21" i="15"/>
  <c r="R9" i="16"/>
  <c r="R14" i="16"/>
  <c r="R20" i="16"/>
  <c r="N12" i="14"/>
  <c r="N10" i="14" s="1"/>
  <c r="N17" i="14"/>
  <c r="N23" i="14"/>
  <c r="O7" i="24" l="1"/>
  <c r="R9" i="15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L33" i="24" l="1"/>
  <c r="M33" i="24"/>
  <c r="N33" i="24"/>
  <c r="M44" i="24"/>
  <c r="N44" i="24"/>
  <c r="J103" i="24"/>
  <c r="J114" i="24"/>
  <c r="K114" i="24"/>
  <c r="J120" i="24"/>
  <c r="J125" i="24"/>
  <c r="J131" i="24"/>
  <c r="J16" i="24"/>
  <c r="J33" i="24"/>
  <c r="K33" i="24"/>
  <c r="J44" i="24"/>
  <c r="K44" i="24"/>
  <c r="L44" i="24"/>
  <c r="J50" i="24"/>
  <c r="J71" i="24"/>
  <c r="L71" i="24"/>
  <c r="M71" i="24"/>
  <c r="N71" i="24"/>
  <c r="J83" i="24"/>
  <c r="J94" i="24"/>
  <c r="K103" i="24"/>
  <c r="L103" i="24"/>
  <c r="M103" i="24"/>
  <c r="N103" i="24"/>
  <c r="J111" i="24"/>
  <c r="K111" i="24"/>
  <c r="L111" i="24"/>
  <c r="M111" i="24"/>
  <c r="N111" i="24"/>
  <c r="L114" i="24"/>
  <c r="M114" i="24"/>
  <c r="N114" i="24"/>
  <c r="K7" i="24" l="1"/>
  <c r="L7" i="24"/>
  <c r="M7" i="24"/>
  <c r="N7" i="24"/>
  <c r="B132" i="24" l="1"/>
  <c r="B131" i="24" s="1"/>
  <c r="C132" i="24"/>
  <c r="D132" i="24"/>
  <c r="E132" i="24"/>
  <c r="F132" i="24"/>
  <c r="F131" i="24" s="1"/>
  <c r="G132" i="24"/>
  <c r="H132" i="24"/>
  <c r="I132" i="24"/>
  <c r="I131" i="24" s="1"/>
  <c r="C131" i="24"/>
  <c r="D131" i="24"/>
  <c r="E131" i="24"/>
  <c r="G131" i="24"/>
  <c r="H131" i="24"/>
  <c r="B34" i="24"/>
  <c r="C34" i="24"/>
  <c r="D34" i="24"/>
  <c r="B17" i="24"/>
  <c r="C17" i="24"/>
  <c r="C16" i="24" s="1"/>
  <c r="D17" i="24"/>
  <c r="D16" i="24" s="1"/>
  <c r="E17" i="24"/>
  <c r="E16" i="24" s="1"/>
  <c r="I103" i="24"/>
  <c r="H103" i="24"/>
  <c r="I94" i="24"/>
  <c r="H94" i="24"/>
  <c r="I83" i="24"/>
  <c r="H83" i="24"/>
  <c r="I71" i="24"/>
  <c r="H71" i="24"/>
  <c r="I50" i="24"/>
  <c r="H50" i="24"/>
  <c r="I44" i="24"/>
  <c r="H44" i="24"/>
  <c r="H36" i="24"/>
  <c r="H29" i="24"/>
  <c r="H16" i="24"/>
  <c r="I8" i="24"/>
  <c r="J8" i="24"/>
  <c r="J7" i="24" s="1"/>
  <c r="H8" i="24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Q9" i="15" l="1"/>
  <c r="Q8" i="15" s="1"/>
  <c r="Q8" i="16"/>
  <c r="F114" i="24" l="1"/>
  <c r="D114" i="24"/>
  <c r="C114" i="24"/>
  <c r="B114" i="24"/>
  <c r="G114" i="24"/>
  <c r="B8" i="24"/>
  <c r="C8" i="24"/>
  <c r="D8" i="24"/>
  <c r="B16" i="24"/>
  <c r="I125" i="24"/>
  <c r="H125" i="24"/>
  <c r="G125" i="24"/>
  <c r="F125" i="24"/>
  <c r="E125" i="24"/>
  <c r="D125" i="24"/>
  <c r="C125" i="24"/>
  <c r="B125" i="24"/>
  <c r="I120" i="24"/>
  <c r="H120" i="24"/>
  <c r="G120" i="24"/>
  <c r="F120" i="24"/>
  <c r="E120" i="24"/>
  <c r="D120" i="24"/>
  <c r="C120" i="24"/>
  <c r="B120" i="24"/>
  <c r="I114" i="24"/>
  <c r="H114" i="24"/>
  <c r="I111" i="24"/>
  <c r="H111" i="24"/>
  <c r="G111" i="24"/>
  <c r="F111" i="24"/>
  <c r="D111" i="24"/>
  <c r="C111" i="24"/>
  <c r="B111" i="24"/>
  <c r="G103" i="24"/>
  <c r="F103" i="24"/>
  <c r="D103" i="24"/>
  <c r="C103" i="24"/>
  <c r="B103" i="24"/>
  <c r="G99" i="24"/>
  <c r="F99" i="24"/>
  <c r="D99" i="24"/>
  <c r="C99" i="24"/>
  <c r="B99" i="24"/>
  <c r="G94" i="24"/>
  <c r="C94" i="24"/>
  <c r="B94" i="24"/>
  <c r="G83" i="24"/>
  <c r="G71" i="24"/>
  <c r="F71" i="24"/>
  <c r="E71" i="24"/>
  <c r="D71" i="24"/>
  <c r="C71" i="24"/>
  <c r="B71" i="24"/>
  <c r="G50" i="24"/>
  <c r="F50" i="24"/>
  <c r="E50" i="24"/>
  <c r="D50" i="24"/>
  <c r="C50" i="24"/>
  <c r="B50" i="24"/>
  <c r="G44" i="24"/>
  <c r="F44" i="24"/>
  <c r="E44" i="24"/>
  <c r="D44" i="24"/>
  <c r="C44" i="24"/>
  <c r="B44" i="24"/>
  <c r="I36" i="24"/>
  <c r="G36" i="24"/>
  <c r="F36" i="24"/>
  <c r="E36" i="24"/>
  <c r="D36" i="24"/>
  <c r="C36" i="24"/>
  <c r="B36" i="24"/>
  <c r="I33" i="24"/>
  <c r="H33" i="24"/>
  <c r="G33" i="24"/>
  <c r="F33" i="24"/>
  <c r="E33" i="24"/>
  <c r="D33" i="24"/>
  <c r="D31" i="24" s="1"/>
  <c r="D30" i="24" s="1"/>
  <c r="D29" i="24" s="1"/>
  <c r="C33" i="24"/>
  <c r="C31" i="24" s="1"/>
  <c r="C30" i="24" s="1"/>
  <c r="C29" i="24" s="1"/>
  <c r="B33" i="24"/>
  <c r="B31" i="24" s="1"/>
  <c r="B30" i="24" s="1"/>
  <c r="B29" i="24" s="1"/>
  <c r="G29" i="24"/>
  <c r="F29" i="24"/>
  <c r="E29" i="24"/>
  <c r="F21" i="24"/>
  <c r="E21" i="24"/>
  <c r="D21" i="24"/>
  <c r="C21" i="24"/>
  <c r="B21" i="24"/>
  <c r="I16" i="24"/>
  <c r="G16" i="24"/>
  <c r="F16" i="24"/>
  <c r="G8" i="24"/>
  <c r="F8" i="24"/>
  <c r="E8" i="24"/>
  <c r="I7" i="24" l="1"/>
  <c r="B7" i="24"/>
  <c r="H7" i="24"/>
  <c r="G7" i="24"/>
  <c r="F7" i="24"/>
  <c r="E7" i="24"/>
  <c r="C7" i="24"/>
  <c r="D7" i="24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</calcChain>
</file>

<file path=xl/sharedStrings.xml><?xml version="1.0" encoding="utf-8"?>
<sst xmlns="http://schemas.openxmlformats.org/spreadsheetml/2006/main" count="924" uniqueCount="297">
  <si>
    <t>Particulars</t>
  </si>
  <si>
    <t>(iawfiverukuhWlcsia)</t>
  </si>
  <si>
    <t>clIBcfwt</t>
  </si>
  <si>
    <t>Actual</t>
  </si>
  <si>
    <t>(MTEF)</t>
  </si>
  <si>
    <t>(cTejwbWtcsWrudem)</t>
  </si>
  <si>
    <t>Actuals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</si>
  <si>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</si>
  <si>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</si>
  <si>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</si>
  <si>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</si>
  <si>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</si>
  <si>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</si>
  <si>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</si>
  <si>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</si>
  <si>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</si>
  <si>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</si>
  <si>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</si>
  <si>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</si>
  <si>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</si>
  <si>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</si>
  <si>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</si>
  <si>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</si>
  <si>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</si>
  <si>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</si>
  <si>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</si>
  <si>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</si>
  <si>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</si>
  <si>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</si>
  <si>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</si>
  <si>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</si>
  <si>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</si>
  <si>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</si>
  <si>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</si>
  <si>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</si>
  <si>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</si>
  <si>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</si>
  <si>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</si>
  <si>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</si>
  <si>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</si>
  <si>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</si>
  <si>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</si>
  <si>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</si>
  <si>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</si>
  <si>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</si>
  <si>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</si>
  <si>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</si>
  <si>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</si>
  <si>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</si>
  <si>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</si>
  <si>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</si>
  <si>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</si>
  <si>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</si>
  <si>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</si>
  <si>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</si>
  <si>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</si>
  <si>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</si>
  <si>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</si>
  <si>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</si>
  <si>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</si>
  <si>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</si>
  <si>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</si>
  <si>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އިތުރުވި މިންވަރު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</si>
  <si>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</si>
  <si>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</si>
  <si>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</si>
  <si>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</si>
  <si>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</si>
  <si>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</si>
  <si>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</si>
  <si>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</si>
  <si>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</si>
  <si>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</si>
  <si>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</si>
  <si>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</si>
  <si>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</si>
  <si>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</si>
  <si>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</si>
  <si>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</si>
  <si>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</si>
  <si>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</si>
  <si>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</si>
  <si>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</si>
  <si>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</si>
  <si>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</si>
  <si>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</si>
  <si>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</si>
  <si>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</si>
  <si>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</si>
  <si>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</si>
  <si>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</si>
  <si>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</si>
  <si>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</si>
  <si>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</si>
  <si>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</si>
  <si>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</si>
  <si>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</si>
  <si>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</si>
  <si>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</si>
  <si>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</si>
  <si>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</si>
  <si>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</si>
  <si>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</si>
  <si>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</si>
  <si>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</si>
  <si>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</si>
  <si>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</si>
  <si>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</si>
  <si>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</si>
  <si>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</si>
  <si>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</si>
  <si>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</si>
  <si>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</si>
  <si>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</si>
  <si>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</si>
  <si>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</si>
  <si>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</si>
  <si>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</si>
  <si>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</si>
  <si>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</si>
  <si>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</si>
  <si>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</si>
  <si>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</si>
  <si>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</si>
  <si>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</si>
  <si>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</si>
  <si>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</si>
  <si>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</si>
  <si>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</si>
  <si>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</si>
  <si>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</si>
  <si>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</si>
  <si>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</si>
  <si>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</si>
  <si>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</si>
  <si>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</si>
  <si>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</si>
  <si>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</si>
  <si>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</si>
  <si>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</si>
  <si>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</si>
  <si>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</si>
  <si>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</si>
  <si>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</si>
  <si>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</si>
  <si>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</si>
  <si>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</si>
  <si>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</si>
  <si>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</si>
  <si>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</si>
  <si>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Major projects</t>
  </si>
  <si>
    <t>Expenditure on major projects</t>
  </si>
  <si>
    <t>Saudhi Fund</t>
  </si>
  <si>
    <t>Reconstruction and Development of Ga. Atoll</t>
  </si>
  <si>
    <t>Reconstruction of fishing Harbours In Maldives</t>
  </si>
  <si>
    <t>Contraction of S.Hithadhoo Hospital</t>
  </si>
  <si>
    <t>AbuDhabi Fund</t>
  </si>
  <si>
    <t>Housing and Infrastructure project in Tsunami affected areas</t>
  </si>
  <si>
    <t>Kuwait Fund</t>
  </si>
  <si>
    <t>Rehabilitation of Tsunami Damage Utilities Project</t>
  </si>
  <si>
    <t xml:space="preserve">Water Supply and Sewerage in Gn.Fuwammulah </t>
  </si>
  <si>
    <t>Maldives Port Development</t>
  </si>
  <si>
    <t>Regional Port Project</t>
  </si>
  <si>
    <t>Japan</t>
  </si>
  <si>
    <t>Post Tsunami Recovery and Reconstruction</t>
  </si>
  <si>
    <t>Airport Upgrading</t>
  </si>
  <si>
    <t>French Develoment Agency</t>
  </si>
  <si>
    <t>Rehabilitation of Harbors and Creation of Sewerage network</t>
  </si>
  <si>
    <t>International Development Association(IDA)</t>
  </si>
  <si>
    <t>Integrated Human Development Project</t>
  </si>
  <si>
    <t xml:space="preserve">Mobile phone banking </t>
  </si>
  <si>
    <t>Maldives Environment Management Project</t>
  </si>
  <si>
    <t>Pension and Social Protection Administration Project</t>
  </si>
  <si>
    <t>Third Education Training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</si>
  <si>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</si>
  <si>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</si>
  <si>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</si>
  <si>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</si>
  <si>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Development of water supply and sewerage</t>
  </si>
  <si>
    <t>Micro Finance Loan to BML</t>
  </si>
  <si>
    <t>Construction of Basic housing in Tsunami affected</t>
  </si>
  <si>
    <t>Construction of Harbours for Tsunami Victims</t>
  </si>
  <si>
    <t>Quarentine facility</t>
  </si>
  <si>
    <t xml:space="preserve">SME Co-Finance </t>
  </si>
  <si>
    <t>Trade Finance Loan</t>
  </si>
  <si>
    <t>Trade Finance Loan 2</t>
  </si>
  <si>
    <t>Technical Assistance Loan</t>
  </si>
  <si>
    <t>Health and Education Project</t>
  </si>
  <si>
    <t>Health and Education Project Phase 2</t>
  </si>
  <si>
    <t>Reconstruction of Harbours (Istisna)</t>
  </si>
  <si>
    <t>Sanitation in 5 islands ( Istisna)</t>
  </si>
  <si>
    <t>Asian Development Bank(ADB)</t>
  </si>
  <si>
    <t>Information Technology Development Project</t>
  </si>
  <si>
    <t>Outer Island Electrification</t>
  </si>
  <si>
    <t>Employment Skills Training Project</t>
  </si>
  <si>
    <t>Regional Development Project Phase 2</t>
  </si>
  <si>
    <t>Domestic Maritime transport Project</t>
  </si>
  <si>
    <t>Private Sector Development Porject</t>
  </si>
  <si>
    <t>Micro Small &amp; Medium Enterprises dev project</t>
  </si>
  <si>
    <t>Post Secondary Education Development Project</t>
  </si>
  <si>
    <t>OPEC Fund For International Development (OFID)</t>
  </si>
  <si>
    <t>-</t>
  </si>
  <si>
    <t>Provision of water supply &amp; sewerage project</t>
  </si>
  <si>
    <t>Danish Commercial Loan (DANIDA)</t>
  </si>
  <si>
    <t>Fourth Power Generation Project</t>
  </si>
  <si>
    <t>Supplementary loan for Fourth Power</t>
  </si>
  <si>
    <t>ING Bank / Netherland</t>
  </si>
  <si>
    <t>Dredging &amp; Reclamation Project (4 islands)</t>
  </si>
  <si>
    <t>Ga. Villingili Reclamation Project</t>
  </si>
  <si>
    <t>EXIM Bank / China</t>
  </si>
  <si>
    <t>1000 Housing Units in Hulumale'</t>
  </si>
  <si>
    <t>EXIM Bank / India</t>
  </si>
  <si>
    <t>Velaanaage Office building</t>
  </si>
  <si>
    <t xml:space="preserve">Procurement of construction equipment </t>
  </si>
  <si>
    <t xml:space="preserve">Coastal Surveillance Vessel </t>
  </si>
  <si>
    <t>India</t>
  </si>
  <si>
    <t>Standby Credit Facilities</t>
  </si>
  <si>
    <t>Police 9 story Building</t>
  </si>
  <si>
    <t>MNDF 9 story Building</t>
  </si>
  <si>
    <t xml:space="preserve">Hulhumale' Project </t>
  </si>
  <si>
    <t>Other</t>
  </si>
  <si>
    <t>Tsunami Projects</t>
  </si>
  <si>
    <t>Construction of S.Hithadhoo Hospital (Funded by Saudhi/OFID)</t>
  </si>
  <si>
    <t>Source: Ministry of Finance and Treasury</t>
  </si>
  <si>
    <t>Bank of Ceylon</t>
  </si>
  <si>
    <t>ދީނީ، ސަޤާފީ، މުނިފޫހިފިލުވުން</t>
  </si>
  <si>
    <t>Small Scale Waste-to-Energy Project</t>
  </si>
  <si>
    <t>Preparing Outer island for sustainable energy (POISED)</t>
  </si>
  <si>
    <t>Outer Island Water Supply and Sewerage</t>
  </si>
  <si>
    <t>Establishment of a regional Solid waste management in Upper North Region</t>
  </si>
  <si>
    <t>Development of  GDh atoll</t>
  </si>
  <si>
    <t>Ibrahim Nasir international Airport Development Project</t>
  </si>
  <si>
    <t>Male-Hulhule Bridge Project</t>
  </si>
  <si>
    <t>European Investment Bank (EIB)</t>
  </si>
  <si>
    <t>Preparing Outer Island for Sustainable Energy (POISED)</t>
  </si>
  <si>
    <t>2015-2016</t>
  </si>
  <si>
    <t>Ibrahim Nasir International Airport Development Project (Terminal)</t>
  </si>
  <si>
    <t>Development Of Hulhumale' Phase II</t>
  </si>
  <si>
    <t>Mariculture Enterprises Development Project</t>
  </si>
  <si>
    <t>Reconstruction of Harbours ( Concessional )</t>
  </si>
  <si>
    <t>Sanitation in 5 islands ( Concessional )</t>
  </si>
  <si>
    <t>Reconstruction of Harbours Phase II (additional financing)</t>
  </si>
  <si>
    <t>Hdh.Kulhudufushi Harbour Expansion Project</t>
  </si>
  <si>
    <t>L.Gan - Fonadhoo Connectivity Project</t>
  </si>
  <si>
    <t>Provision of water supply &amp; waste management project (Phase II)</t>
  </si>
  <si>
    <t>Gdh.Thinadhoo Township Development Project</t>
  </si>
  <si>
    <t xml:space="preserve">Fourth Power Supplementary Loan </t>
  </si>
  <si>
    <t>Development of 1500 Housing Units in Maldives (Phase II)</t>
  </si>
  <si>
    <t>SMART Maldives</t>
  </si>
  <si>
    <t xml:space="preserve">Other Consessional loan </t>
  </si>
  <si>
    <t>Development of 485 Housing Units in Maldives (Phase III)</t>
  </si>
  <si>
    <t>Development Bank/ China</t>
  </si>
  <si>
    <t>Development of 1500 Housing Units in Maldives</t>
  </si>
  <si>
    <t>Arabic Fund</t>
  </si>
  <si>
    <t>Ibrahim Nasir International Airport Development Project (terminal)</t>
  </si>
  <si>
    <t>Coastal Protection in Gn.Fuwammulah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</si>
  <si>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</si>
  <si>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</si>
  <si>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</si>
  <si>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</si>
  <si>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</si>
  <si>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I-Heaven Project</t>
  </si>
  <si>
    <t>Expansion and Upgrading of Ibrahim Nasir International Airport Development Project</t>
  </si>
  <si>
    <t>Micro Enterprises Development Project</t>
  </si>
  <si>
    <t xml:space="preserve">Terminal Development Project at Ibrahim Nasir International Airport </t>
  </si>
  <si>
    <t>Islamic Corporation for the Development of the Private Sector (I.C.D)</t>
  </si>
  <si>
    <t>Construction of National Dignostics Service Center</t>
  </si>
  <si>
    <t>2016 Rev</t>
  </si>
  <si>
    <t>2017 Est</t>
  </si>
  <si>
    <t>2018 Est</t>
  </si>
  <si>
    <t>2019 Est</t>
  </si>
  <si>
    <t>2016-2017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</si>
  <si>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</si>
  <si>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</si>
  <si>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</si>
  <si>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</si>
  <si>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</si>
  <si>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</si>
  <si>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</si>
  <si>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ތާވަލު 13.9: ބޮޑެތި މަޝްރޫޢުތަކަށް ރާއްޖޭން ބޭރުން ނެގޭ ލޯނުތަކުން ޚަރަދުކުރެވޭ ގޮތް، 2013 - 2020</t>
  </si>
  <si>
    <t>Table  13.9 : EXPENDITURE ON MAJOR PROJECTS FINANCED BY FOREIGN LOANS, 2013- 2020</t>
  </si>
  <si>
    <t>2020 Est</t>
  </si>
  <si>
    <t xml:space="preserve">Revised </t>
  </si>
  <si>
    <t>Greater Male' Environmental Improvement &amp; Waste Management Project</t>
  </si>
  <si>
    <t>Asian Infrastructure Investment Bank (AIIB)</t>
  </si>
  <si>
    <t>Airports</t>
  </si>
  <si>
    <t>Surveillance Radar Communication System</t>
  </si>
  <si>
    <t xml:space="preserve">Procurement of communication equipment </t>
  </si>
  <si>
    <t>Faculty of Health Science Project</t>
  </si>
  <si>
    <t>Terminal Development at Velana International Airport -  Additional Financing</t>
  </si>
  <si>
    <t>Male' Water Crisis Management Project</t>
  </si>
  <si>
    <t>Sana Building (7 storey Waqf Building)</t>
  </si>
  <si>
    <t xml:space="preserve">Construction of Dharumavantha Hospital 
</t>
  </si>
  <si>
    <t>Dharumavantha Hospital major medical equipment &amp; accessories</t>
  </si>
  <si>
    <t xml:space="preserve"> Note:  1_/  Data revised</t>
  </si>
  <si>
    <r>
      <t>2016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</si>
  <si>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ނޯޓް: </t>
    </r>
    <r>
      <rPr>
        <i/>
        <sz val="9"/>
        <color theme="1"/>
        <rFont val="Faruma"/>
      </rPr>
      <t>/_1</t>
    </r>
    <r>
      <rPr>
        <sz val="9"/>
        <color theme="1"/>
        <rFont val="Faruma"/>
      </rPr>
      <t xml:space="preserve">  އިސްލާޙުކުރެވިފައި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</si>
</sst>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i/>
      <sz val="9"/>
      <color theme="1"/>
      <name val="Faru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0" fontId="2" fillId="0" borderId="0"/>
    <xf numFmtId="170" fontId="1" fillId="0" borderId="0" applyFont="0" applyFill="0" applyBorder="0" applyAlignment="0" applyProtection="0"/>
    <xf numFmtId="0" fontId="8" fillId="0" borderId="0"/>
    <xf numFmtId="171" fontId="8" fillId="0" borderId="0"/>
    <xf numFmtId="0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312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9" xfId="4" applyNumberFormat="1" applyFont="1" applyFill="1" applyBorder="1"/>
    <xf numFmtId="164" fontId="3" fillId="2" borderId="9" xfId="4" applyNumberFormat="1" applyFont="1" applyFill="1" applyBorder="1"/>
    <xf numFmtId="164" fontId="3" fillId="2" borderId="9" xfId="4" applyNumberFormat="1" applyFont="1" applyFill="1" applyBorder="1" applyAlignment="1" applyProtection="1">
      <alignment horizontal="left" vertical="center"/>
    </xf>
    <xf numFmtId="167" fontId="4" fillId="2" borderId="9" xfId="1" applyNumberFormat="1" applyFont="1" applyFill="1" applyBorder="1"/>
    <xf numFmtId="164" fontId="4" fillId="2" borderId="0" xfId="4" applyNumberFormat="1" applyFont="1" applyFill="1" applyAlignment="1"/>
    <xf numFmtId="165" fontId="7" fillId="2" borderId="0" xfId="2" applyNumberFormat="1" applyFont="1" applyFill="1" applyBorder="1" applyAlignment="1" applyProtection="1">
      <alignment horizontal="right" vertical="center"/>
      <protection locked="0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12" fillId="2" borderId="2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 applyProtection="1">
      <alignment horizontal="right" vertical="center"/>
      <protection locked="0"/>
    </xf>
    <xf numFmtId="164" fontId="7" fillId="2" borderId="1" xfId="2" applyNumberFormat="1" applyFont="1" applyFill="1" applyBorder="1" applyAlignment="1" applyProtection="1">
      <alignment horizontal="right" vertical="center"/>
    </xf>
    <xf numFmtId="164" fontId="21" fillId="2" borderId="0" xfId="2" applyNumberFormat="1" applyFont="1" applyFill="1" applyAlignment="1">
      <alignment vertical="center"/>
    </xf>
    <xf numFmtId="164" fontId="22" fillId="2" borderId="0" xfId="2" applyNumberFormat="1" applyFont="1" applyFill="1" applyAlignment="1">
      <alignment vertical="center"/>
    </xf>
    <xf numFmtId="164" fontId="7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4" fontId="11" fillId="2" borderId="0" xfId="2" applyNumberFormat="1" applyFont="1" applyFill="1" applyAlignment="1">
      <alignment vertical="center"/>
    </xf>
    <xf numFmtId="164" fontId="26" fillId="2" borderId="0" xfId="2" applyNumberFormat="1" applyFont="1" applyFill="1" applyAlignment="1">
      <alignment vertical="center"/>
    </xf>
    <xf numFmtId="164" fontId="19" fillId="2" borderId="0" xfId="2" applyNumberFormat="1" applyFont="1" applyFill="1" applyAlignment="1" applyProtection="1">
      <alignment horizontal="left" vertical="center"/>
    </xf>
    <xf numFmtId="164" fontId="17" fillId="2" borderId="0" xfId="2" applyNumberFormat="1" applyFont="1" applyFill="1" applyAlignment="1">
      <alignment vertical="center"/>
    </xf>
    <xf numFmtId="164" fontId="13" fillId="2" borderId="0" xfId="2" applyNumberFormat="1" applyFont="1" applyFill="1" applyAlignment="1">
      <alignment horizontal="center" vertical="center"/>
    </xf>
    <xf numFmtId="164" fontId="21" fillId="2" borderId="0" xfId="2" applyNumberFormat="1" applyFont="1" applyFill="1" applyAlignment="1">
      <alignment horizontal="center" vertical="center"/>
    </xf>
    <xf numFmtId="164" fontId="26" fillId="2" borderId="0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7" fillId="2" borderId="2" xfId="2" applyNumberFormat="1" applyFont="1" applyFill="1" applyBorder="1" applyAlignment="1" applyProtection="1">
      <alignment horizontal="left" vertical="center"/>
    </xf>
    <xf numFmtId="41" fontId="27" fillId="2" borderId="2" xfId="3" applyNumberFormat="1" applyFont="1" applyFill="1" applyBorder="1" applyAlignment="1" applyProtection="1">
      <alignment horizontal="right" vertical="center"/>
      <protection locked="0"/>
    </xf>
    <xf numFmtId="164" fontId="25" fillId="2" borderId="2" xfId="2" applyNumberFormat="1" applyFont="1" applyFill="1" applyBorder="1" applyAlignment="1">
      <alignment horizontal="right" vertical="center"/>
    </xf>
    <xf numFmtId="164" fontId="25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>
      <alignment vertical="center"/>
    </xf>
    <xf numFmtId="164" fontId="12" fillId="2" borderId="2" xfId="2" applyNumberFormat="1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>
      <alignment horizontal="left" vertical="center"/>
    </xf>
    <xf numFmtId="164" fontId="12" fillId="2" borderId="0" xfId="2" applyNumberFormat="1" applyFont="1" applyFill="1" applyAlignment="1" applyProtection="1">
      <alignment horizontal="left" vertical="center"/>
    </xf>
    <xf numFmtId="165" fontId="12" fillId="2" borderId="0" xfId="2" applyNumberFormat="1" applyFont="1" applyFill="1" applyAlignment="1" applyProtection="1">
      <alignment horizontal="right" vertical="center"/>
    </xf>
    <xf numFmtId="165" fontId="12" fillId="2" borderId="0" xfId="2" applyNumberFormat="1" applyFont="1" applyFill="1" applyAlignment="1" applyProtection="1">
      <alignment horizontal="right" vertical="center"/>
      <protection locked="0"/>
    </xf>
    <xf numFmtId="164" fontId="10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Alignment="1" applyProtection="1">
      <alignment horizontal="left" vertical="center"/>
    </xf>
    <xf numFmtId="41" fontId="27" fillId="2" borderId="0" xfId="3" applyNumberFormat="1" applyFont="1" applyFill="1" applyBorder="1" applyAlignment="1" applyProtection="1">
      <alignment horizontal="right" vertical="center"/>
      <protection locked="0"/>
    </xf>
    <xf numFmtId="164" fontId="17" fillId="2" borderId="0" xfId="2" applyNumberFormat="1" applyFont="1" applyFill="1" applyBorder="1" applyAlignment="1" applyProtection="1">
      <alignment horizontal="left" vertical="center"/>
    </xf>
    <xf numFmtId="165" fontId="17" fillId="2" borderId="0" xfId="2" applyNumberFormat="1" applyFont="1" applyFill="1" applyBorder="1" applyAlignment="1" applyProtection="1">
      <alignment horizontal="right" vertical="center"/>
    </xf>
    <xf numFmtId="165" fontId="12" fillId="2" borderId="2" xfId="2" applyNumberFormat="1" applyFont="1" applyFill="1" applyBorder="1" applyAlignment="1" applyProtection="1">
      <alignment horizontal="right" vertical="center"/>
      <protection locked="0"/>
    </xf>
    <xf numFmtId="164" fontId="29" fillId="2" borderId="0" xfId="2" applyNumberFormat="1" applyFont="1" applyFill="1" applyAlignment="1">
      <alignment vertical="center" wrapText="1"/>
    </xf>
    <xf numFmtId="164" fontId="24" fillId="2" borderId="3" xfId="2" applyNumberFormat="1" applyFont="1" applyFill="1" applyBorder="1" applyAlignment="1">
      <alignment vertical="center"/>
    </xf>
    <xf numFmtId="164" fontId="23" fillId="2" borderId="0" xfId="2" applyNumberFormat="1" applyFont="1" applyFill="1" applyBorder="1" applyAlignment="1"/>
    <xf numFmtId="164" fontId="23" fillId="2" borderId="0" xfId="2" applyNumberFormat="1" applyFont="1" applyFill="1" applyBorder="1" applyAlignment="1">
      <alignment horizontal="center"/>
    </xf>
    <xf numFmtId="164" fontId="24" fillId="2" borderId="0" xfId="2" applyNumberFormat="1" applyFont="1" applyFill="1" applyBorder="1" applyAlignment="1">
      <alignment vertical="center"/>
    </xf>
    <xf numFmtId="164" fontId="11" fillId="2" borderId="0" xfId="2" applyNumberFormat="1" applyFont="1" applyFill="1" applyBorder="1" applyAlignment="1" applyProtection="1">
      <alignment horizontal="right" vertical="center"/>
      <protection locked="0"/>
    </xf>
    <xf numFmtId="164" fontId="24" fillId="2" borderId="0" xfId="2" applyNumberFormat="1" applyFont="1" applyFill="1" applyBorder="1" applyAlignment="1" applyProtection="1">
      <alignment horizontal="center" vertical="center"/>
      <protection locked="0"/>
    </xf>
    <xf numFmtId="164" fontId="24" fillId="2" borderId="0" xfId="2" applyNumberFormat="1" applyFont="1" applyFill="1" applyBorder="1" applyAlignment="1" applyProtection="1">
      <alignment horizontal="right" vertical="center"/>
      <protection locked="0"/>
    </xf>
    <xf numFmtId="168" fontId="12" fillId="2" borderId="17" xfId="2" applyNumberFormat="1" applyFont="1" applyFill="1" applyBorder="1" applyAlignment="1">
      <alignment horizontal="right" vertical="center"/>
    </xf>
    <xf numFmtId="164" fontId="31" fillId="2" borderId="2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Border="1" applyAlignment="1" applyProtection="1">
      <alignment horizontal="right" vertical="center"/>
    </xf>
    <xf numFmtId="3" fontId="7" fillId="2" borderId="3" xfId="2" applyNumberFormat="1" applyFont="1" applyFill="1" applyBorder="1" applyAlignment="1" applyProtection="1">
      <alignment horizontal="right" vertical="center"/>
    </xf>
    <xf numFmtId="165" fontId="7" fillId="2" borderId="3" xfId="2" applyNumberFormat="1" applyFont="1" applyFill="1" applyBorder="1" applyAlignment="1" applyProtection="1">
      <alignment horizontal="right" vertical="center"/>
    </xf>
    <xf numFmtId="168" fontId="7" fillId="2" borderId="0" xfId="2" applyNumberFormat="1" applyFont="1" applyFill="1" applyBorder="1" applyAlignment="1" applyProtection="1">
      <alignment horizontal="right" vertical="center"/>
      <protection locked="0"/>
    </xf>
    <xf numFmtId="3" fontId="7" fillId="2" borderId="0" xfId="2" applyNumberFormat="1" applyFont="1" applyFill="1" applyBorder="1" applyAlignment="1" applyProtection="1">
      <alignment horizontal="right" vertical="center"/>
      <protection locked="0"/>
    </xf>
    <xf numFmtId="168" fontId="7" fillId="2" borderId="10" xfId="2" applyNumberFormat="1" applyFont="1" applyFill="1" applyBorder="1" applyAlignment="1" applyProtection="1">
      <alignment vertical="center"/>
      <protection locked="0"/>
    </xf>
    <xf numFmtId="164" fontId="13" fillId="2" borderId="0" xfId="2" applyNumberFormat="1" applyFont="1" applyFill="1" applyAlignment="1" applyProtection="1">
      <alignment horizontal="left" vertical="center"/>
    </xf>
    <xf numFmtId="3" fontId="13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0" xfId="2" applyNumberFormat="1" applyFont="1" applyFill="1" applyBorder="1" applyAlignment="1" applyProtection="1">
      <alignment vertical="center"/>
      <protection locked="0"/>
    </xf>
    <xf numFmtId="168" fontId="13" fillId="2" borderId="10" xfId="2" applyNumberFormat="1" applyFont="1" applyFill="1" applyBorder="1" applyAlignment="1" applyProtection="1">
      <alignment vertical="center"/>
      <protection locked="0"/>
    </xf>
    <xf numFmtId="168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0" xfId="2" applyNumberFormat="1" applyFont="1" applyFill="1" applyAlignment="1">
      <alignment horizontal="right" vertical="center" indent="3"/>
    </xf>
    <xf numFmtId="3" fontId="13" fillId="2" borderId="0" xfId="2" applyNumberFormat="1" applyFont="1" applyFill="1" applyBorder="1" applyAlignment="1">
      <alignment vertical="center"/>
    </xf>
    <xf numFmtId="164" fontId="18" fillId="2" borderId="0" xfId="2" applyNumberFormat="1" applyFont="1" applyFill="1" applyAlignment="1">
      <alignment horizontal="right" vertical="center"/>
    </xf>
    <xf numFmtId="3" fontId="13" fillId="2" borderId="0" xfId="2" applyNumberFormat="1" applyFont="1" applyFill="1" applyBorder="1" applyAlignment="1" applyProtection="1">
      <alignment horizontal="righ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3" fontId="13" fillId="2" borderId="2" xfId="2" applyNumberFormat="1" applyFont="1" applyFill="1" applyBorder="1" applyAlignment="1" applyProtection="1">
      <alignment horizontal="center" vertical="center"/>
      <protection locked="0"/>
    </xf>
    <xf numFmtId="3" fontId="13" fillId="2" borderId="2" xfId="2" applyNumberFormat="1" applyFont="1" applyFill="1" applyBorder="1" applyAlignment="1" applyProtection="1">
      <alignment horizontal="right" vertical="center"/>
      <protection locked="0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8" fontId="13" fillId="2" borderId="11" xfId="2" applyNumberFormat="1" applyFont="1" applyFill="1" applyBorder="1" applyAlignment="1" applyProtection="1">
      <alignment vertical="center"/>
      <protection locked="0"/>
    </xf>
    <xf numFmtId="168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18" fillId="2" borderId="2" xfId="2" applyNumberFormat="1" applyFont="1" applyFill="1" applyBorder="1" applyAlignment="1">
      <alignment horizontal="right" vertical="center"/>
    </xf>
    <xf numFmtId="37" fontId="17" fillId="2" borderId="0" xfId="2" applyNumberFormat="1" applyFont="1" applyFill="1" applyAlignment="1" applyProtection="1">
      <alignment horizontal="center" vertical="center"/>
    </xf>
    <xf numFmtId="168" fontId="17" fillId="2" borderId="0" xfId="2" applyNumberFormat="1" applyFont="1" applyFill="1" applyAlignment="1" applyProtection="1">
      <alignment horizontal="center" vertical="center"/>
    </xf>
    <xf numFmtId="168" fontId="21" fillId="2" borderId="0" xfId="2" applyNumberFormat="1" applyFont="1" applyFill="1" applyAlignment="1">
      <alignment horizontal="center" vertical="center"/>
    </xf>
    <xf numFmtId="165" fontId="11" fillId="2" borderId="0" xfId="2" applyNumberFormat="1" applyFont="1" applyFill="1" applyAlignment="1" applyProtection="1">
      <alignment horizontal="right" vertical="center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4" fontId="10" fillId="2" borderId="0" xfId="2" applyNumberFormat="1" applyFont="1" applyFill="1" applyBorder="1" applyAlignment="1"/>
    <xf numFmtId="164" fontId="10" fillId="2" borderId="3" xfId="2" applyNumberFormat="1" applyFont="1" applyFill="1" applyBorder="1" applyAlignment="1">
      <alignment horizontal="center"/>
    </xf>
    <xf numFmtId="0" fontId="15" fillId="2" borderId="3" xfId="2" applyFont="1" applyFill="1" applyBorder="1" applyAlignment="1" applyProtection="1">
      <alignment horizontal="center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0" xfId="2" applyNumberFormat="1" applyFont="1" applyFill="1" applyBorder="1" applyAlignment="1">
      <alignment horizontal="right"/>
    </xf>
    <xf numFmtId="1" fontId="12" fillId="2" borderId="2" xfId="2" applyNumberFormat="1" applyFont="1" applyFill="1" applyBorder="1" applyAlignment="1" applyProtection="1">
      <alignment horizontal="right" vertical="center"/>
    </xf>
    <xf numFmtId="1" fontId="12" fillId="2" borderId="2" xfId="2" applyNumberFormat="1" applyFont="1" applyFill="1" applyBorder="1" applyAlignment="1" applyProtection="1">
      <alignment horizontal="center" vertical="center"/>
    </xf>
    <xf numFmtId="1" fontId="12" fillId="2" borderId="2" xfId="2" applyNumberFormat="1" applyFont="1" applyFill="1" applyBorder="1" applyAlignment="1">
      <alignment horizontal="right" vertical="center"/>
    </xf>
    <xf numFmtId="1" fontId="12" fillId="2" borderId="0" xfId="2" applyNumberFormat="1" applyFont="1" applyFill="1" applyAlignment="1">
      <alignment horizontal="right" vertical="center"/>
    </xf>
    <xf numFmtId="165" fontId="12" fillId="2" borderId="0" xfId="2" applyNumberFormat="1" applyFont="1" applyFill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 indent="3"/>
    </xf>
    <xf numFmtId="165" fontId="17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 indent="3"/>
    </xf>
    <xf numFmtId="164" fontId="18" fillId="2" borderId="0" xfId="2" applyNumberFormat="1" applyFont="1" applyFill="1" applyAlignment="1">
      <alignment horizontal="right" vertical="center" indent="4"/>
    </xf>
    <xf numFmtId="165" fontId="17" fillId="2" borderId="0" xfId="2" applyNumberFormat="1" applyFont="1" applyFill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  <protection locked="0"/>
    </xf>
    <xf numFmtId="168" fontId="17" fillId="2" borderId="0" xfId="2" applyNumberFormat="1" applyFont="1" applyFill="1" applyAlignment="1">
      <alignment vertical="center"/>
    </xf>
    <xf numFmtId="164" fontId="25" fillId="2" borderId="0" xfId="2" applyNumberFormat="1" applyFont="1" applyFill="1" applyBorder="1" applyAlignment="1">
      <alignment horizontal="right" vertical="center"/>
    </xf>
    <xf numFmtId="168" fontId="17" fillId="2" borderId="2" xfId="2" applyNumberFormat="1" applyFont="1" applyFill="1" applyBorder="1" applyAlignment="1" applyProtection="1">
      <alignment horizontal="right" vertical="center"/>
      <protection locked="0"/>
    </xf>
    <xf numFmtId="164" fontId="17" fillId="2" borderId="0" xfId="2" applyNumberFormat="1" applyFont="1" applyFill="1" applyAlignment="1">
      <alignment horizontal="center" vertical="center"/>
    </xf>
    <xf numFmtId="164" fontId="13" fillId="2" borderId="0" xfId="5" applyNumberFormat="1" applyFont="1" applyFill="1" applyAlignment="1">
      <alignment vertical="center"/>
    </xf>
    <xf numFmtId="164" fontId="7" fillId="2" borderId="0" xfId="5" applyNumberFormat="1" applyFont="1" applyFill="1" applyAlignment="1">
      <alignment vertical="center"/>
    </xf>
    <xf numFmtId="164" fontId="7" fillId="2" borderId="3" xfId="5" applyNumberFormat="1" applyFont="1" applyFill="1" applyBorder="1" applyAlignment="1">
      <alignment vertical="center"/>
    </xf>
    <xf numFmtId="164" fontId="7" fillId="2" borderId="3" xfId="5" applyNumberFormat="1" applyFont="1" applyFill="1" applyBorder="1" applyAlignment="1" applyProtection="1">
      <alignment horizontal="right" vertical="center"/>
      <protection locked="0"/>
    </xf>
    <xf numFmtId="164" fontId="7" fillId="2" borderId="2" xfId="5" applyNumberFormat="1" applyFont="1" applyFill="1" applyBorder="1" applyAlignment="1" applyProtection="1">
      <alignment horizontal="right"/>
    </xf>
    <xf numFmtId="164" fontId="13" fillId="2" borderId="0" xfId="5" applyNumberFormat="1" applyFont="1" applyFill="1" applyBorder="1" applyAlignment="1">
      <alignment vertical="center"/>
    </xf>
    <xf numFmtId="164" fontId="7" fillId="2" borderId="0" xfId="5" applyNumberFormat="1" applyFont="1" applyFill="1" applyBorder="1" applyAlignment="1" applyProtection="1">
      <alignment horizontal="left" vertical="center"/>
    </xf>
    <xf numFmtId="167" fontId="13" fillId="2" borderId="0" xfId="1" applyNumberFormat="1" applyFont="1" applyFill="1" applyAlignment="1">
      <alignment horizontal="right" vertical="center"/>
    </xf>
    <xf numFmtId="167" fontId="7" fillId="2" borderId="0" xfId="1" applyNumberFormat="1" applyFont="1" applyFill="1" applyBorder="1" applyAlignment="1" applyProtection="1">
      <alignment horizontal="right"/>
    </xf>
    <xf numFmtId="0" fontId="32" fillId="2" borderId="0" xfId="0" applyFont="1" applyFill="1" applyBorder="1" applyAlignment="1">
      <alignment horizontal="left" vertical="center"/>
    </xf>
    <xf numFmtId="167" fontId="7" fillId="2" borderId="0" xfId="1" applyNumberFormat="1" applyFont="1" applyFill="1" applyAlignment="1">
      <alignment horizontal="right" vertical="center"/>
    </xf>
    <xf numFmtId="167" fontId="7" fillId="2" borderId="0" xfId="1" applyNumberFormat="1" applyFont="1" applyFill="1" applyBorder="1" applyAlignment="1">
      <alignment horizontal="right" vertical="center"/>
    </xf>
    <xf numFmtId="168" fontId="7" fillId="2" borderId="0" xfId="0" applyNumberFormat="1" applyFont="1" applyFill="1" applyAlignment="1">
      <alignment horizontal="left" indent="1"/>
    </xf>
    <xf numFmtId="0" fontId="13" fillId="2" borderId="0" xfId="0" applyFont="1" applyFill="1" applyBorder="1" applyAlignment="1">
      <alignment horizontal="left" vertical="center"/>
    </xf>
    <xf numFmtId="167" fontId="1" fillId="2" borderId="0" xfId="1" applyNumberFormat="1" applyFont="1" applyFill="1" applyBorder="1" applyAlignment="1">
      <alignment horizontal="right" vertical="center"/>
    </xf>
    <xf numFmtId="168" fontId="13" fillId="2" borderId="0" xfId="0" applyNumberFormat="1" applyFont="1" applyFill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167" fontId="13" fillId="2" borderId="18" xfId="1" applyNumberFormat="1" applyFont="1" applyFill="1" applyBorder="1" applyAlignment="1">
      <alignment horizontal="right" vertical="center"/>
    </xf>
    <xf numFmtId="167" fontId="13" fillId="2" borderId="0" xfId="1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left" vertical="center"/>
    </xf>
    <xf numFmtId="167" fontId="13" fillId="2" borderId="2" xfId="1" applyNumberFormat="1" applyFont="1" applyFill="1" applyBorder="1" applyAlignment="1">
      <alignment horizontal="right" vertical="center"/>
    </xf>
    <xf numFmtId="43" fontId="13" fillId="2" borderId="0" xfId="1" applyNumberFormat="1" applyFont="1" applyFill="1" applyBorder="1" applyAlignment="1">
      <alignment horizontal="right" vertical="center"/>
    </xf>
    <xf numFmtId="164" fontId="13" fillId="2" borderId="0" xfId="5" applyNumberFormat="1" applyFont="1" applyFill="1" applyAlignment="1">
      <alignment horizontal="left" vertical="center"/>
    </xf>
    <xf numFmtId="43" fontId="13" fillId="2" borderId="0" xfId="1" applyNumberFormat="1" applyFont="1" applyFill="1" applyAlignment="1">
      <alignment horizontal="right" vertical="center"/>
    </xf>
    <xf numFmtId="164" fontId="13" fillId="2" borderId="0" xfId="5" applyNumberFormat="1" applyFont="1" applyFill="1" applyAlignment="1">
      <alignment horizontal="right" vertical="center"/>
    </xf>
    <xf numFmtId="167" fontId="7" fillId="2" borderId="0" xfId="1" applyNumberFormat="1" applyFont="1" applyFill="1" applyBorder="1" applyAlignment="1" applyProtection="1">
      <alignment horizontal="right" vertical="center"/>
    </xf>
    <xf numFmtId="167" fontId="13" fillId="2" borderId="0" xfId="1" applyNumberFormat="1" applyFont="1" applyFill="1" applyAlignment="1">
      <alignment horizontal="left" indent="1"/>
    </xf>
    <xf numFmtId="167" fontId="13" fillId="2" borderId="0" xfId="1" applyNumberFormat="1" applyFont="1" applyFill="1" applyAlignment="1">
      <alignment vertical="center"/>
    </xf>
    <xf numFmtId="164" fontId="33" fillId="2" borderId="0" xfId="2" applyNumberFormat="1" applyFont="1" applyFill="1"/>
    <xf numFmtId="164" fontId="7" fillId="2" borderId="0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Border="1" applyAlignment="1">
      <alignment horizontal="right"/>
    </xf>
    <xf numFmtId="164" fontId="12" fillId="2" borderId="3" xfId="2" applyNumberFormat="1" applyFont="1" applyFill="1" applyBorder="1" applyAlignment="1">
      <alignment horizontal="right"/>
    </xf>
    <xf numFmtId="0" fontId="16" fillId="2" borderId="0" xfId="2" applyFont="1" applyFill="1" applyBorder="1" applyAlignment="1" applyProtection="1">
      <alignment horizontal="center" vertical="center"/>
    </xf>
    <xf numFmtId="164" fontId="22" fillId="2" borderId="0" xfId="2" applyNumberFormat="1" applyFont="1" applyFill="1" applyBorder="1" applyAlignment="1">
      <alignment horizontal="center" vertical="center"/>
    </xf>
    <xf numFmtId="164" fontId="12" fillId="2" borderId="0" xfId="2" applyNumberFormat="1" applyFont="1" applyFill="1" applyBorder="1" applyAlignment="1">
      <alignment horizontal="right" vertical="center"/>
    </xf>
    <xf numFmtId="168" fontId="12" fillId="2" borderId="0" xfId="2" applyNumberFormat="1" applyFont="1" applyFill="1" applyBorder="1" applyAlignment="1" applyProtection="1">
      <alignment horizontal="center" vertical="center"/>
      <protection locked="0"/>
    </xf>
    <xf numFmtId="168" fontId="12" fillId="2" borderId="2" xfId="2" applyNumberFormat="1" applyFont="1" applyFill="1" applyBorder="1" applyAlignment="1">
      <alignment horizontal="right" vertical="center"/>
    </xf>
    <xf numFmtId="164" fontId="31" fillId="2" borderId="2" xfId="2" applyNumberFormat="1" applyFont="1" applyFill="1" applyBorder="1" applyAlignment="1">
      <alignment vertical="center"/>
    </xf>
    <xf numFmtId="165" fontId="12" fillId="2" borderId="0" xfId="2" applyNumberFormat="1" applyFont="1" applyFill="1" applyBorder="1" applyAlignment="1" applyProtection="1">
      <alignment horizontal="right" vertical="center"/>
    </xf>
    <xf numFmtId="168" fontId="12" fillId="2" borderId="0" xfId="2" applyNumberFormat="1" applyFont="1" applyFill="1" applyBorder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Border="1" applyAlignment="1">
      <alignment vertical="center"/>
    </xf>
    <xf numFmtId="165" fontId="17" fillId="2" borderId="0" xfId="2" applyNumberFormat="1" applyFont="1" applyFill="1" applyBorder="1" applyAlignment="1" applyProtection="1">
      <alignment horizontal="right"/>
    </xf>
    <xf numFmtId="164" fontId="25" fillId="2" borderId="0" xfId="2" applyNumberFormat="1" applyFont="1" applyFill="1" applyAlignment="1">
      <alignment horizontal="center" vertical="center"/>
    </xf>
    <xf numFmtId="164" fontId="25" fillId="2" borderId="0" xfId="2" applyNumberFormat="1" applyFont="1" applyFill="1" applyBorder="1" applyAlignment="1">
      <alignment horizontal="center" vertical="center"/>
    </xf>
    <xf numFmtId="165" fontId="12" fillId="2" borderId="2" xfId="2" applyNumberFormat="1" applyFont="1" applyFill="1" applyBorder="1" applyAlignment="1" applyProtection="1">
      <alignment horizontal="right" vertical="center"/>
    </xf>
    <xf numFmtId="168" fontId="12" fillId="2" borderId="2" xfId="2" applyNumberFormat="1" applyFont="1" applyFill="1" applyBorder="1" applyAlignment="1" applyProtection="1">
      <alignment horizontal="right" vertical="center"/>
    </xf>
    <xf numFmtId="164" fontId="10" fillId="2" borderId="2" xfId="2" applyNumberFormat="1" applyFont="1" applyFill="1" applyBorder="1" applyAlignment="1">
      <alignment horizontal="right" vertical="center"/>
    </xf>
    <xf numFmtId="168" fontId="17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/>
    <xf numFmtId="164" fontId="17" fillId="2" borderId="0" xfId="2" applyNumberFormat="1" applyFont="1" applyFill="1" applyAlignment="1">
      <alignment horizontal="center"/>
    </xf>
    <xf numFmtId="168" fontId="17" fillId="2" borderId="0" xfId="2" applyNumberFormat="1" applyFont="1" applyFill="1" applyAlignment="1">
      <alignment horizontal="center"/>
    </xf>
    <xf numFmtId="164" fontId="34" fillId="2" borderId="0" xfId="2" applyNumberFormat="1" applyFont="1" applyFill="1"/>
    <xf numFmtId="164" fontId="34" fillId="2" borderId="0" xfId="2" applyNumberFormat="1" applyFont="1" applyFill="1" applyAlignment="1">
      <alignment horizontal="center"/>
    </xf>
    <xf numFmtId="168" fontId="34" fillId="2" borderId="0" xfId="2" applyNumberFormat="1" applyFont="1" applyFill="1" applyAlignment="1">
      <alignment horizontal="center"/>
    </xf>
    <xf numFmtId="164" fontId="33" fillId="2" borderId="0" xfId="2" applyNumberFormat="1" applyFont="1" applyFill="1" applyAlignment="1">
      <alignment horizontal="center"/>
    </xf>
    <xf numFmtId="168" fontId="33" fillId="2" borderId="0" xfId="2" applyNumberFormat="1" applyFont="1" applyFill="1" applyAlignment="1">
      <alignment horizontal="center"/>
    </xf>
    <xf numFmtId="164" fontId="7" fillId="2" borderId="7" xfId="2" applyNumberFormat="1" applyFont="1" applyFill="1" applyBorder="1" applyAlignment="1" applyProtection="1">
      <alignment horizontal="center" vertical="center"/>
      <protection locked="0"/>
    </xf>
    <xf numFmtId="164" fontId="26" fillId="2" borderId="2" xfId="2" applyNumberFormat="1" applyFont="1" applyFill="1" applyBorder="1" applyAlignment="1">
      <alignment vertical="center"/>
    </xf>
    <xf numFmtId="164" fontId="11" fillId="2" borderId="10" xfId="2" applyNumberFormat="1" applyFont="1" applyFill="1" applyBorder="1" applyAlignment="1">
      <alignment vertical="center"/>
    </xf>
    <xf numFmtId="168" fontId="15" fillId="2" borderId="3" xfId="2" applyNumberFormat="1" applyFont="1" applyFill="1" applyBorder="1" applyAlignment="1" applyProtection="1">
      <alignment vertical="center"/>
      <protection hidden="1"/>
    </xf>
    <xf numFmtId="1" fontId="7" fillId="2" borderId="0" xfId="2" applyNumberFormat="1" applyFont="1" applyFill="1" applyBorder="1" applyAlignment="1" applyProtection="1">
      <alignment vertical="center"/>
      <protection locked="0"/>
    </xf>
    <xf numFmtId="165" fontId="17" fillId="2" borderId="2" xfId="2" applyNumberFormat="1" applyFont="1" applyFill="1" applyBorder="1" applyAlignment="1">
      <alignment horizontal="right" vertical="center" indent="3"/>
    </xf>
    <xf numFmtId="167" fontId="12" fillId="2" borderId="0" xfId="1" applyNumberFormat="1" applyFont="1" applyFill="1" applyAlignment="1">
      <alignment horizontal="right" vertical="center"/>
    </xf>
    <xf numFmtId="167" fontId="17" fillId="2" borderId="0" xfId="1" applyNumberFormat="1" applyFont="1" applyFill="1" applyBorder="1" applyAlignment="1" applyProtection="1">
      <alignment horizontal="right" vertical="center"/>
    </xf>
    <xf numFmtId="167" fontId="17" fillId="2" borderId="0" xfId="1" applyNumberFormat="1" applyFont="1" applyFill="1" applyAlignment="1">
      <alignment horizontal="right" vertical="center"/>
    </xf>
    <xf numFmtId="167" fontId="12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>
      <alignment vertical="center"/>
    </xf>
    <xf numFmtId="167" fontId="17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9" xfId="4" applyNumberFormat="1" applyFont="1" applyFill="1" applyBorder="1" applyAlignment="1">
      <alignment horizontal="center" vertical="center"/>
    </xf>
    <xf numFmtId="164" fontId="3" fillId="2" borderId="9" xfId="4" applyNumberFormat="1" applyFont="1" applyFill="1" applyBorder="1" applyAlignment="1">
      <alignment horizontal="center" vertical="center"/>
    </xf>
    <xf numFmtId="167" fontId="4" fillId="2" borderId="9" xfId="1" applyNumberFormat="1" applyFont="1" applyFill="1" applyBorder="1" applyAlignment="1" applyProtection="1">
      <alignment horizontal="right" vertical="center"/>
    </xf>
    <xf numFmtId="164" fontId="3" fillId="0" borderId="9" xfId="4" applyNumberFormat="1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>
      <alignment horizontal="center" vertical="center"/>
    </xf>
    <xf numFmtId="165" fontId="17" fillId="2" borderId="0" xfId="2" applyNumberFormat="1" applyFont="1" applyFill="1" applyAlignment="1" applyProtection="1">
      <alignment horizontal="right" vertical="center"/>
      <protection locked="0"/>
    </xf>
    <xf numFmtId="165" fontId="17" fillId="2" borderId="0" xfId="2" applyNumberFormat="1" applyFont="1" applyFill="1" applyBorder="1" applyAlignment="1" applyProtection="1">
      <alignment horizontal="right" vertical="center"/>
      <protection locked="0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2" xfId="2" applyNumberFormat="1" applyFont="1" applyFill="1" applyBorder="1" applyAlignment="1" applyProtection="1">
      <alignment horizontal="left" vertical="center"/>
    </xf>
    <xf numFmtId="164" fontId="22" fillId="2" borderId="0" xfId="2" applyNumberFormat="1" applyFont="1" applyFill="1" applyBorder="1" applyAlignment="1" applyProtection="1">
      <alignment horizontal="center" vertical="center"/>
    </xf>
    <xf numFmtId="164" fontId="36" fillId="2" borderId="0" xfId="2" applyNumberFormat="1" applyFont="1" applyFill="1" applyAlignment="1">
      <alignment vertical="center"/>
    </xf>
    <xf numFmtId="164" fontId="37" fillId="2" borderId="0" xfId="2" applyNumberFormat="1" applyFont="1" applyFill="1" applyAlignment="1">
      <alignment horizontal="center" vertical="center"/>
    </xf>
    <xf numFmtId="168" fontId="37" fillId="2" borderId="0" xfId="2" applyNumberFormat="1" applyFont="1" applyFill="1" applyAlignment="1">
      <alignment horizontal="center" vertical="center"/>
    </xf>
    <xf numFmtId="164" fontId="37" fillId="2" borderId="0" xfId="2" applyNumberFormat="1" applyFont="1" applyFill="1" applyAlignment="1">
      <alignment horizontal="right" vertical="center"/>
    </xf>
    <xf numFmtId="164" fontId="37" fillId="2" borderId="0" xfId="2" applyNumberFormat="1" applyFont="1" applyFill="1" applyAlignment="1">
      <alignment vertical="center"/>
    </xf>
    <xf numFmtId="167" fontId="17" fillId="2" borderId="0" xfId="1" applyNumberFormat="1" applyFont="1" applyFill="1" applyAlignment="1">
      <alignment horizontal="right" vertical="center" indent="2"/>
    </xf>
    <xf numFmtId="168" fontId="13" fillId="2" borderId="0" xfId="1" applyNumberFormat="1" applyFont="1" applyFill="1" applyBorder="1" applyAlignment="1">
      <alignment horizontal="right" vertical="center"/>
    </xf>
    <xf numFmtId="165" fontId="13" fillId="2" borderId="18" xfId="1" applyNumberFormat="1" applyFont="1" applyFill="1" applyBorder="1" applyAlignment="1">
      <alignment horizontal="right" vertical="center"/>
    </xf>
    <xf numFmtId="165" fontId="13" fillId="2" borderId="0" xfId="1" applyNumberFormat="1" applyFont="1" applyFill="1" applyBorder="1" applyAlignment="1">
      <alignment horizontal="right" vertical="center"/>
    </xf>
    <xf numFmtId="165" fontId="13" fillId="2" borderId="2" xfId="1" applyNumberFormat="1" applyFont="1" applyFill="1" applyBorder="1" applyAlignment="1">
      <alignment horizontal="right" vertical="center"/>
    </xf>
    <xf numFmtId="164" fontId="7" fillId="2" borderId="3" xfId="2" applyNumberFormat="1" applyFont="1" applyFill="1" applyBorder="1" applyAlignment="1" applyProtection="1">
      <alignment horizontal="right" vertical="center"/>
      <protection locked="0"/>
    </xf>
    <xf numFmtId="164" fontId="13" fillId="2" borderId="0" xfId="5" applyNumberFormat="1" applyFont="1" applyFill="1" applyBorder="1" applyAlignment="1">
      <alignment horizontal="left" vertical="center"/>
    </xf>
    <xf numFmtId="168" fontId="13" fillId="2" borderId="0" xfId="5" applyNumberFormat="1" applyFont="1" applyFill="1" applyBorder="1" applyAlignment="1">
      <alignment horizontal="left" vertical="center"/>
    </xf>
    <xf numFmtId="164" fontId="7" fillId="5" borderId="0" xfId="2" applyNumberFormat="1" applyFont="1" applyFill="1" applyBorder="1" applyAlignment="1" applyProtection="1">
      <alignment horizontal="right" vertical="center"/>
      <protection locked="0"/>
    </xf>
    <xf numFmtId="164" fontId="7" fillId="5" borderId="1" xfId="2" applyNumberFormat="1" applyFont="1" applyFill="1" applyBorder="1" applyAlignment="1" applyProtection="1">
      <alignment horizontal="right" vertical="center"/>
    </xf>
    <xf numFmtId="165" fontId="7" fillId="5" borderId="0" xfId="2" applyNumberFormat="1" applyFont="1" applyFill="1" applyBorder="1" applyAlignment="1" applyProtection="1">
      <alignment horizontal="right" vertical="center"/>
      <protection locked="0"/>
    </xf>
    <xf numFmtId="164" fontId="23" fillId="2" borderId="14" xfId="2" applyNumberFormat="1" applyFont="1" applyFill="1" applyBorder="1" applyAlignment="1">
      <alignment vertical="center"/>
    </xf>
    <xf numFmtId="165" fontId="13" fillId="5" borderId="11" xfId="2" applyNumberFormat="1" applyFont="1" applyFill="1" applyBorder="1" applyAlignment="1" applyProtection="1">
      <alignment horizontal="right" vertical="center"/>
      <protection locked="0"/>
    </xf>
    <xf numFmtId="165" fontId="13" fillId="5" borderId="10" xfId="2" applyNumberFormat="1" applyFont="1" applyFill="1" applyBorder="1" applyAlignment="1" applyProtection="1">
      <alignment horizontal="right" vertical="center"/>
      <protection locked="0"/>
    </xf>
    <xf numFmtId="164" fontId="7" fillId="5" borderId="16" xfId="2" applyNumberFormat="1" applyFont="1" applyFill="1" applyBorder="1" applyAlignment="1" applyProtection="1">
      <alignment horizontal="right" vertical="center"/>
      <protection locked="0"/>
    </xf>
    <xf numFmtId="164" fontId="7" fillId="5" borderId="21" xfId="2" applyNumberFormat="1" applyFont="1" applyFill="1" applyBorder="1" applyAlignment="1" applyProtection="1">
      <alignment horizontal="right" vertical="center"/>
    </xf>
    <xf numFmtId="165" fontId="7" fillId="5" borderId="3" xfId="2" applyNumberFormat="1" applyFont="1" applyFill="1" applyBorder="1" applyAlignment="1" applyProtection="1">
      <alignment horizontal="right" vertical="center"/>
    </xf>
    <xf numFmtId="165" fontId="7" fillId="5" borderId="12" xfId="2" applyNumberFormat="1" applyFont="1" applyFill="1" applyBorder="1" applyAlignment="1" applyProtection="1">
      <alignment horizontal="right" vertical="center"/>
    </xf>
    <xf numFmtId="165" fontId="7" fillId="5" borderId="10" xfId="2" applyNumberFormat="1" applyFont="1" applyFill="1" applyBorder="1" applyAlignment="1" applyProtection="1">
      <alignment horizontal="right" vertical="center"/>
      <protection locked="0"/>
    </xf>
    <xf numFmtId="165" fontId="13" fillId="5" borderId="0" xfId="2" applyNumberFormat="1" applyFont="1" applyFill="1" applyBorder="1" applyAlignment="1" applyProtection="1">
      <alignment horizontal="right" vertical="center"/>
      <protection locked="0"/>
    </xf>
    <xf numFmtId="165" fontId="13" fillId="5" borderId="2" xfId="2" applyNumberFormat="1" applyFont="1" applyFill="1" applyBorder="1" applyAlignment="1" applyProtection="1">
      <alignment horizontal="right" vertical="center"/>
      <protection locked="0"/>
    </xf>
    <xf numFmtId="164" fontId="23" fillId="2" borderId="14" xfId="2" applyNumberFormat="1" applyFont="1" applyFill="1" applyBorder="1" applyAlignment="1">
      <alignment horizontal="center"/>
    </xf>
    <xf numFmtId="164" fontId="24" fillId="2" borderId="14" xfId="2" applyNumberFormat="1" applyFont="1" applyFill="1" applyBorder="1" applyAlignment="1">
      <alignment vertical="center"/>
    </xf>
    <xf numFmtId="164" fontId="12" fillId="5" borderId="24" xfId="2" applyNumberFormat="1" applyFont="1" applyFill="1" applyBorder="1" applyAlignment="1">
      <alignment horizontal="right" vertical="center"/>
    </xf>
    <xf numFmtId="164" fontId="11" fillId="5" borderId="10" xfId="2" applyNumberFormat="1" applyFont="1" applyFill="1" applyBorder="1" applyAlignment="1">
      <alignment vertical="center"/>
    </xf>
    <xf numFmtId="168" fontId="7" fillId="5" borderId="10" xfId="2" applyNumberFormat="1" applyFont="1" applyFill="1" applyBorder="1" applyAlignment="1" applyProtection="1">
      <alignment vertical="center"/>
      <protection locked="0"/>
    </xf>
    <xf numFmtId="168" fontId="13" fillId="5" borderId="10" xfId="2" applyNumberFormat="1" applyFont="1" applyFill="1" applyBorder="1" applyAlignment="1" applyProtection="1">
      <alignment vertical="center"/>
      <protection locked="0"/>
    </xf>
    <xf numFmtId="168" fontId="13" fillId="5" borderId="11" xfId="2" applyNumberFormat="1" applyFont="1" applyFill="1" applyBorder="1" applyAlignment="1" applyProtection="1">
      <alignment vertical="center"/>
      <protection locked="0"/>
    </xf>
    <xf numFmtId="168" fontId="12" fillId="5" borderId="17" xfId="2" applyNumberFormat="1" applyFont="1" applyFill="1" applyBorder="1" applyAlignment="1">
      <alignment horizontal="right" vertical="center"/>
    </xf>
    <xf numFmtId="168" fontId="7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vertical="center"/>
      <protection locked="0"/>
    </xf>
    <xf numFmtId="168" fontId="13" fillId="5" borderId="2" xfId="2" applyNumberFormat="1" applyFont="1" applyFill="1" applyBorder="1" applyAlignment="1" applyProtection="1">
      <alignment horizontal="right" vertical="center"/>
      <protection locked="0"/>
    </xf>
    <xf numFmtId="164" fontId="38" fillId="2" borderId="0" xfId="2" applyNumberFormat="1" applyFont="1" applyFill="1" applyBorder="1" applyAlignment="1" applyProtection="1">
      <alignment horizontal="right" vertical="center"/>
      <protection locked="0"/>
    </xf>
    <xf numFmtId="164" fontId="38" fillId="5" borderId="23" xfId="2" applyNumberFormat="1" applyFont="1" applyFill="1" applyBorder="1" applyAlignment="1" applyProtection="1">
      <alignment horizontal="right" vertical="center"/>
      <protection locked="0"/>
    </xf>
    <xf numFmtId="168" fontId="12" fillId="2" borderId="5" xfId="2" applyNumberFormat="1" applyFont="1" applyFill="1" applyBorder="1" applyAlignment="1">
      <alignment horizontal="right" vertical="center"/>
    </xf>
    <xf numFmtId="164" fontId="12" fillId="2" borderId="22" xfId="2" applyNumberFormat="1" applyFont="1" applyFill="1" applyBorder="1" applyAlignment="1" applyProtection="1">
      <alignment horizontal="right" vertical="center"/>
    </xf>
    <xf numFmtId="165" fontId="12" fillId="2" borderId="25" xfId="2" applyNumberFormat="1" applyFont="1" applyFill="1" applyBorder="1" applyAlignment="1" applyProtection="1">
      <alignment horizontal="right" vertical="center"/>
    </xf>
    <xf numFmtId="165" fontId="17" fillId="2" borderId="25" xfId="2" applyNumberFormat="1" applyFont="1" applyFill="1" applyBorder="1" applyAlignment="1" applyProtection="1">
      <alignment horizontal="right" vertical="center"/>
    </xf>
    <xf numFmtId="165" fontId="12" fillId="2" borderId="24" xfId="2" applyNumberFormat="1" applyFont="1" applyFill="1" applyBorder="1" applyAlignment="1" applyProtection="1">
      <alignment horizontal="right" vertical="center"/>
    </xf>
    <xf numFmtId="165" fontId="17" fillId="5" borderId="0" xfId="2" applyNumberFormat="1" applyFont="1" applyFill="1" applyBorder="1" applyAlignment="1" applyProtection="1">
      <alignment horizontal="right" vertical="center"/>
    </xf>
    <xf numFmtId="165" fontId="12" fillId="5" borderId="2" xfId="2" applyNumberFormat="1" applyFont="1" applyFill="1" applyBorder="1" applyAlignment="1" applyProtection="1">
      <alignment horizontal="right" vertical="center"/>
    </xf>
    <xf numFmtId="165" fontId="12" fillId="5" borderId="0" xfId="2" applyNumberFormat="1" applyFont="1" applyFill="1" applyBorder="1" applyAlignment="1" applyProtection="1">
      <alignment horizontal="right" vertical="center"/>
    </xf>
    <xf numFmtId="164" fontId="12" fillId="5" borderId="20" xfId="2" applyNumberFormat="1" applyFont="1" applyFill="1" applyBorder="1" applyAlignment="1" applyProtection="1">
      <alignment horizontal="right" vertical="center"/>
    </xf>
    <xf numFmtId="165" fontId="12" fillId="5" borderId="10" xfId="2" applyNumberFormat="1" applyFont="1" applyFill="1" applyBorder="1" applyAlignment="1" applyProtection="1">
      <alignment horizontal="right" vertical="center"/>
    </xf>
    <xf numFmtId="165" fontId="17" fillId="5" borderId="10" xfId="2" applyNumberFormat="1" applyFont="1" applyFill="1" applyBorder="1" applyAlignment="1" applyProtection="1">
      <alignment horizontal="right" vertical="center"/>
    </xf>
    <xf numFmtId="165" fontId="12" fillId="5" borderId="11" xfId="2" applyNumberFormat="1" applyFont="1" applyFill="1" applyBorder="1" applyAlignment="1" applyProtection="1">
      <alignment horizontal="right" vertical="center"/>
    </xf>
    <xf numFmtId="168" fontId="12" fillId="5" borderId="0" xfId="2" applyNumberFormat="1" applyFont="1" applyFill="1" applyBorder="1" applyAlignment="1" applyProtection="1">
      <alignment horizontal="right" vertical="center"/>
    </xf>
    <xf numFmtId="168" fontId="17" fillId="5" borderId="0" xfId="2" applyNumberFormat="1" applyFont="1" applyFill="1" applyBorder="1" applyAlignment="1" applyProtection="1">
      <alignment horizontal="right" vertical="center"/>
    </xf>
    <xf numFmtId="168" fontId="12" fillId="5" borderId="2" xfId="2" applyNumberFormat="1" applyFont="1" applyFill="1" applyBorder="1" applyAlignment="1" applyProtection="1">
      <alignment horizontal="right" vertical="center"/>
    </xf>
    <xf numFmtId="168" fontId="12" fillId="5" borderId="2" xfId="2" applyNumberFormat="1" applyFont="1" applyFill="1" applyBorder="1" applyAlignment="1">
      <alignment horizontal="right" vertical="center"/>
    </xf>
    <xf numFmtId="1" fontId="12" fillId="2" borderId="24" xfId="2" applyNumberFormat="1" applyFont="1" applyFill="1" applyBorder="1" applyAlignment="1" applyProtection="1">
      <alignment horizontal="right" vertical="center"/>
    </xf>
    <xf numFmtId="165" fontId="12" fillId="2" borderId="26" xfId="2" applyNumberFormat="1" applyFont="1" applyFill="1" applyBorder="1" applyAlignment="1">
      <alignment horizontal="right" vertical="center"/>
    </xf>
    <xf numFmtId="165" fontId="12" fillId="2" borderId="25" xfId="2" applyNumberFormat="1" applyFont="1" applyFill="1" applyBorder="1" applyAlignment="1">
      <alignment horizontal="right" vertical="center"/>
    </xf>
    <xf numFmtId="165" fontId="17" fillId="2" borderId="25" xfId="2" applyNumberFormat="1" applyFont="1" applyFill="1" applyBorder="1" applyAlignment="1">
      <alignment horizontal="right" vertical="center"/>
    </xf>
    <xf numFmtId="167" fontId="17" fillId="2" borderId="25" xfId="1" applyNumberFormat="1" applyFont="1" applyFill="1" applyBorder="1" applyAlignment="1">
      <alignment horizontal="right" vertical="center"/>
    </xf>
    <xf numFmtId="165" fontId="17" fillId="2" borderId="24" xfId="2" applyNumberFormat="1" applyFont="1" applyFill="1" applyBorder="1" applyAlignment="1">
      <alignment horizontal="right" vertical="center"/>
    </xf>
    <xf numFmtId="167" fontId="17" fillId="5" borderId="0" xfId="1" applyNumberFormat="1" applyFont="1" applyFill="1" applyBorder="1" applyAlignment="1" applyProtection="1">
      <alignment horizontal="right" vertical="center"/>
    </xf>
    <xf numFmtId="167" fontId="17" fillId="5" borderId="0" xfId="1" applyNumberFormat="1" applyFont="1" applyFill="1" applyAlignment="1">
      <alignment horizontal="right" vertical="center"/>
    </xf>
    <xf numFmtId="167" fontId="17" fillId="5" borderId="0" xfId="1" applyNumberFormat="1" applyFont="1" applyFill="1" applyAlignment="1">
      <alignment vertical="center"/>
    </xf>
    <xf numFmtId="167" fontId="17" fillId="5" borderId="2" xfId="1" applyNumberFormat="1" applyFont="1" applyFill="1" applyBorder="1" applyAlignment="1" applyProtection="1">
      <alignment horizontal="right" vertical="center"/>
      <protection locked="0"/>
    </xf>
    <xf numFmtId="167" fontId="12" fillId="5" borderId="0" xfId="1" applyNumberFormat="1" applyFont="1" applyFill="1" applyAlignment="1">
      <alignment horizontal="right" vertical="center"/>
    </xf>
    <xf numFmtId="167" fontId="12" fillId="5" borderId="0" xfId="1" applyNumberFormat="1" applyFont="1" applyFill="1" applyAlignment="1" applyProtection="1">
      <alignment horizontal="right" vertical="center"/>
    </xf>
    <xf numFmtId="167" fontId="17" fillId="5" borderId="0" xfId="1" applyNumberFormat="1" applyFont="1" applyFill="1" applyAlignment="1" applyProtection="1">
      <alignment horizontal="right" vertical="center"/>
    </xf>
    <xf numFmtId="1" fontId="12" fillId="5" borderId="11" xfId="2" applyNumberFormat="1" applyFont="1" applyFill="1" applyBorder="1" applyAlignment="1" applyProtection="1">
      <alignment horizontal="right" vertical="center"/>
    </xf>
    <xf numFmtId="165" fontId="12" fillId="5" borderId="12" xfId="2" applyNumberFormat="1" applyFont="1" applyFill="1" applyBorder="1" applyAlignment="1">
      <alignment horizontal="right" vertical="center"/>
    </xf>
    <xf numFmtId="165" fontId="12" fillId="5" borderId="10" xfId="2" applyNumberFormat="1" applyFont="1" applyFill="1" applyBorder="1" applyAlignment="1">
      <alignment horizontal="right" vertical="center"/>
    </xf>
    <xf numFmtId="165" fontId="17" fillId="5" borderId="10" xfId="2" applyNumberFormat="1" applyFont="1" applyFill="1" applyBorder="1" applyAlignment="1">
      <alignment horizontal="right" vertical="center"/>
    </xf>
    <xf numFmtId="167" fontId="17" fillId="5" borderId="10" xfId="1" applyNumberFormat="1" applyFont="1" applyFill="1" applyBorder="1" applyAlignment="1">
      <alignment horizontal="right" vertical="center"/>
    </xf>
    <xf numFmtId="165" fontId="17" fillId="5" borderId="11" xfId="2" applyNumberFormat="1" applyFont="1" applyFill="1" applyBorder="1" applyAlignment="1">
      <alignment horizontal="right" vertical="center"/>
    </xf>
    <xf numFmtId="1" fontId="12" fillId="5" borderId="2" xfId="2" applyNumberFormat="1" applyFont="1" applyFill="1" applyBorder="1" applyAlignment="1" applyProtection="1">
      <alignment horizontal="center" vertical="center"/>
    </xf>
    <xf numFmtId="165" fontId="12" fillId="5" borderId="0" xfId="2" applyNumberFormat="1" applyFont="1" applyFill="1" applyBorder="1" applyAlignment="1">
      <alignment horizontal="right" vertical="center" indent="3"/>
    </xf>
    <xf numFmtId="165" fontId="17" fillId="5" borderId="0" xfId="2" applyNumberFormat="1" applyFont="1" applyFill="1" applyBorder="1" applyAlignment="1">
      <alignment horizontal="right" vertical="center" indent="3"/>
    </xf>
    <xf numFmtId="167" fontId="17" fillId="5" borderId="0" xfId="1" applyNumberFormat="1" applyFont="1" applyFill="1" applyAlignment="1">
      <alignment horizontal="right" vertical="center" indent="2"/>
    </xf>
    <xf numFmtId="165" fontId="17" fillId="5" borderId="2" xfId="2" applyNumberFormat="1" applyFont="1" applyFill="1" applyBorder="1" applyAlignment="1">
      <alignment horizontal="right" vertical="center" indent="3"/>
    </xf>
    <xf numFmtId="164" fontId="39" fillId="3" borderId="9" xfId="4" applyNumberFormat="1" applyFont="1" applyFill="1" applyBorder="1" applyAlignment="1">
      <alignment horizontal="center" vertical="center"/>
    </xf>
    <xf numFmtId="167" fontId="40" fillId="4" borderId="9" xfId="1" applyNumberFormat="1" applyFont="1" applyFill="1" applyBorder="1"/>
    <xf numFmtId="167" fontId="40" fillId="4" borderId="9" xfId="1" applyNumberFormat="1" applyFont="1" applyFill="1" applyBorder="1" applyAlignment="1" applyProtection="1">
      <alignment horizontal="right" vertical="center"/>
    </xf>
    <xf numFmtId="167" fontId="13" fillId="2" borderId="0" xfId="1" applyNumberFormat="1" applyFont="1" applyFill="1" applyBorder="1" applyAlignment="1">
      <alignment vertical="center"/>
    </xf>
    <xf numFmtId="164" fontId="19" fillId="2" borderId="0" xfId="2" applyNumberFormat="1" applyFont="1" applyFill="1" applyAlignment="1">
      <alignment vertical="center"/>
    </xf>
    <xf numFmtId="1" fontId="18" fillId="2" borderId="0" xfId="2" applyNumberFormat="1" applyFont="1" applyFill="1" applyAlignment="1">
      <alignment horizontal="right" vertical="center"/>
    </xf>
    <xf numFmtId="164" fontId="7" fillId="2" borderId="0" xfId="5" applyNumberFormat="1" applyFont="1" applyFill="1" applyBorder="1" applyAlignment="1">
      <alignment vertical="center"/>
    </xf>
    <xf numFmtId="164" fontId="20" fillId="2" borderId="0" xfId="2" applyNumberFormat="1" applyFont="1" applyFill="1" applyAlignment="1">
      <alignment horizontal="center" vertical="center"/>
    </xf>
    <xf numFmtId="164" fontId="14" fillId="2" borderId="0" xfId="2" applyNumberFormat="1" applyFont="1" applyFill="1" applyBorder="1" applyAlignment="1" applyProtection="1">
      <alignment horizontal="center" vertical="center" wrapText="1"/>
    </xf>
    <xf numFmtId="164" fontId="28" fillId="2" borderId="0" xfId="2" applyNumberFormat="1" applyFont="1" applyFill="1" applyAlignment="1">
      <alignment horizontal="center" vertical="center" wrapText="1"/>
    </xf>
    <xf numFmtId="164" fontId="22" fillId="2" borderId="2" xfId="2" applyNumberFormat="1" applyFont="1" applyFill="1" applyBorder="1" applyAlignment="1">
      <alignment horizontal="center" vertical="center"/>
    </xf>
    <xf numFmtId="164" fontId="12" fillId="2" borderId="3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2" xfId="2" applyNumberFormat="1" applyFont="1" applyFill="1" applyBorder="1" applyAlignment="1" applyProtection="1">
      <alignment horizontal="left" vertical="center"/>
    </xf>
    <xf numFmtId="164" fontId="23" fillId="2" borderId="14" xfId="2" applyNumberFormat="1" applyFont="1" applyFill="1" applyBorder="1" applyAlignment="1">
      <alignment horizontal="center" vertical="center"/>
    </xf>
    <xf numFmtId="164" fontId="23" fillId="2" borderId="19" xfId="2" applyNumberFormat="1" applyFont="1" applyFill="1" applyBorder="1" applyAlignment="1">
      <alignment horizontal="center" vertical="center"/>
    </xf>
    <xf numFmtId="164" fontId="24" fillId="2" borderId="15" xfId="2" applyNumberFormat="1" applyFont="1" applyFill="1" applyBorder="1" applyAlignment="1">
      <alignment horizontal="center" vertical="center"/>
    </xf>
    <xf numFmtId="164" fontId="24" fillId="2" borderId="19" xfId="2" applyNumberFormat="1" applyFont="1" applyFill="1" applyBorder="1" applyAlignment="1">
      <alignment horizontal="center" vertical="center"/>
    </xf>
    <xf numFmtId="168" fontId="23" fillId="2" borderId="6" xfId="2" applyNumberFormat="1" applyFont="1" applyFill="1" applyBorder="1" applyAlignment="1" applyProtection="1">
      <alignment horizontal="center" vertical="center"/>
      <protection hidden="1"/>
    </xf>
    <xf numFmtId="168" fontId="23" fillId="2" borderId="3" xfId="2" applyNumberFormat="1" applyFont="1" applyFill="1" applyBorder="1" applyAlignment="1" applyProtection="1">
      <alignment horizontal="center" vertical="center"/>
      <protection hidden="1"/>
    </xf>
    <xf numFmtId="168" fontId="24" fillId="2" borderId="5" xfId="2" applyNumberFormat="1" applyFont="1" applyFill="1" applyBorder="1" applyAlignment="1" applyProtection="1">
      <alignment horizontal="center" vertical="center"/>
      <protection locked="0"/>
    </xf>
    <xf numFmtId="168" fontId="24" fillId="2" borderId="2" xfId="2" applyNumberFormat="1" applyFont="1" applyFill="1" applyBorder="1" applyAlignment="1" applyProtection="1">
      <alignment horizontal="center" vertical="center"/>
      <protection locked="0"/>
    </xf>
    <xf numFmtId="164" fontId="12" fillId="2" borderId="8" xfId="2" applyNumberFormat="1" applyFont="1" applyFill="1" applyBorder="1" applyAlignment="1" applyProtection="1">
      <alignment horizontal="center" vertical="center"/>
      <protection locked="0"/>
    </xf>
    <xf numFmtId="164" fontId="12" fillId="2" borderId="13" xfId="2" applyNumberFormat="1" applyFont="1" applyFill="1" applyBorder="1" applyAlignment="1" applyProtection="1">
      <alignment horizontal="center" vertical="center"/>
      <protection locked="0"/>
    </xf>
    <xf numFmtId="164" fontId="22" fillId="2" borderId="0" xfId="2" applyNumberFormat="1" applyFont="1" applyFill="1" applyBorder="1" applyAlignment="1" applyProtection="1">
      <alignment horizontal="center" vertical="center"/>
    </xf>
    <xf numFmtId="164" fontId="29" fillId="2" borderId="0" xfId="2" applyNumberFormat="1" applyFont="1" applyFill="1" applyAlignment="1">
      <alignment horizontal="center" vertical="center" wrapText="1"/>
    </xf>
    <xf numFmtId="164" fontId="12" fillId="2" borderId="14" xfId="2" applyNumberFormat="1" applyFont="1" applyFill="1" applyBorder="1" applyAlignment="1">
      <alignment horizontal="right"/>
    </xf>
    <xf numFmtId="0" fontId="16" fillId="2" borderId="6" xfId="2" applyFont="1" applyFill="1" applyBorder="1" applyAlignment="1" applyProtection="1">
      <alignment horizontal="center" vertical="center"/>
    </xf>
    <xf numFmtId="0" fontId="16" fillId="2" borderId="12" xfId="2" applyFont="1" applyFill="1" applyBorder="1" applyAlignment="1" applyProtection="1">
      <alignment horizontal="center" vertical="center"/>
    </xf>
    <xf numFmtId="0" fontId="16" fillId="2" borderId="3" xfId="2" applyFont="1" applyFill="1" applyBorder="1" applyAlignment="1" applyProtection="1">
      <alignment horizontal="center" vertical="center"/>
    </xf>
    <xf numFmtId="168" fontId="12" fillId="2" borderId="8" xfId="2" applyNumberFormat="1" applyFont="1" applyFill="1" applyBorder="1" applyAlignment="1" applyProtection="1">
      <alignment horizontal="center" vertical="center"/>
      <protection locked="0"/>
    </xf>
    <xf numFmtId="168" fontId="12" fillId="2" borderId="7" xfId="2" applyNumberFormat="1" applyFont="1" applyFill="1" applyBorder="1" applyAlignment="1" applyProtection="1">
      <alignment horizontal="center" vertical="center"/>
      <protection locked="0"/>
    </xf>
    <xf numFmtId="1" fontId="7" fillId="2" borderId="7" xfId="2" applyNumberFormat="1" applyFont="1" applyFill="1" applyBorder="1" applyAlignment="1" applyProtection="1">
      <alignment horizontal="center" vertical="center"/>
      <protection locked="0"/>
    </xf>
    <xf numFmtId="164" fontId="7" fillId="2" borderId="8" xfId="2" applyNumberFormat="1" applyFont="1" applyFill="1" applyBorder="1" applyAlignment="1" applyProtection="1">
      <alignment horizontal="center" vertical="center"/>
      <protection locked="0"/>
    </xf>
    <xf numFmtId="164" fontId="7" fillId="2" borderId="13" xfId="2" applyNumberFormat="1" applyFont="1" applyFill="1" applyBorder="1" applyAlignment="1" applyProtection="1">
      <alignment horizontal="center" vertical="center"/>
      <protection locked="0"/>
    </xf>
    <xf numFmtId="0" fontId="15" fillId="2" borderId="6" xfId="2" applyFont="1" applyFill="1" applyBorder="1" applyAlignment="1" applyProtection="1">
      <alignment horizontal="center" vertical="center"/>
    </xf>
    <xf numFmtId="0" fontId="15" fillId="2" borderId="12" xfId="2" applyFont="1" applyFill="1" applyBorder="1" applyAlignment="1" applyProtection="1">
      <alignment horizontal="center" vertical="center"/>
    </xf>
    <xf numFmtId="164" fontId="10" fillId="2" borderId="14" xfId="2" applyNumberFormat="1" applyFont="1" applyFill="1" applyBorder="1" applyAlignment="1">
      <alignment horizontal="center"/>
    </xf>
    <xf numFmtId="168" fontId="15" fillId="2" borderId="3" xfId="2" applyNumberFormat="1" applyFont="1" applyFill="1" applyBorder="1" applyAlignment="1" applyProtection="1">
      <alignment horizontal="center" vertical="center"/>
      <protection hidden="1"/>
    </xf>
    <xf numFmtId="164" fontId="7" fillId="2" borderId="3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center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15" fillId="2" borderId="0" xfId="5" applyNumberFormat="1" applyFont="1" applyFill="1" applyAlignment="1">
      <alignment horizontal="center" vertical="center"/>
    </xf>
    <xf numFmtId="164" fontId="4" fillId="2" borderId="0" xfId="4" applyNumberFormat="1" applyFont="1" applyFill="1" applyAlignment="1">
      <alignment horizontal="center"/>
    </xf>
    <xf numFmtId="164" fontId="3" fillId="2" borderId="4" xfId="4" applyNumberFormat="1" applyFont="1" applyFill="1" applyBorder="1" applyAlignment="1">
      <alignment horizontal="center"/>
    </xf>
    <xf numFmtId="164" fontId="3" fillId="2" borderId="2" xfId="4" applyNumberFormat="1" applyFont="1" applyFill="1" applyBorder="1" applyAlignment="1">
      <alignment horizontal="center"/>
    </xf>
  </cellXfs>
  <cellStyles count="14">
    <cellStyle name="Comma" xfId="1" builtinId="3"/>
    <cellStyle name="Comma 2" xfId="9"/>
    <cellStyle name="Comma 3" xfId="10"/>
    <cellStyle name="Comma 4" xfId="6"/>
    <cellStyle name="Comma 6" xfId="12"/>
    <cellStyle name="Comma_13 Public Finance_done" xfId="3"/>
    <cellStyle name="Excel Built-in Comma" xfId="8"/>
    <cellStyle name="Excel Built-in Normal" xfId="7"/>
    <cellStyle name="Normal" xfId="0" builtinId="0"/>
    <cellStyle name="Normal 2" xfId="13"/>
    <cellStyle name="Normal 4" xfId="11"/>
    <cellStyle name="Normal_13 Public Finance" xfId="4"/>
    <cellStyle name="Normal_13 Public Finance_done" xfId="2"/>
    <cellStyle name="Normal_13 Public Finance_done 2" xfId="5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0</xdr:col>
      <xdr:colOff>1743075</xdr:colOff>
      <xdr:row>59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926592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1743075</xdr:colOff>
      <xdr:row>57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0" y="891540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24" hidden="1" customWidth="1"/>
    <col min="8" max="8" width="8.85546875" style="24"/>
    <col min="9" max="15" width="10.7109375" style="24" customWidth="1"/>
    <col min="16" max="17" width="12.7109375" style="24" customWidth="1"/>
    <col min="18" max="19" width="10.7109375" style="77" customWidth="1"/>
    <col min="20" max="20" width="39" style="15" customWidth="1"/>
    <col min="21" max="16384" width="8.85546875" style="15"/>
  </cols>
  <sheetData>
    <row r="1" spans="1:21" ht="19.5">
      <c r="A1" s="272" t="s">
        <v>272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</row>
    <row r="2" spans="1:21" ht="15.75">
      <c r="A2" s="273" t="s">
        <v>273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</row>
    <row r="3" spans="1:21" ht="14.25">
      <c r="A3" s="274" t="s">
        <v>15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43"/>
    </row>
    <row r="4" spans="1:21" s="16" customFormat="1">
      <c r="A4" s="275" t="s">
        <v>65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</row>
    <row r="5" spans="1:21" s="47" customFormat="1" ht="26.45" customHeight="1">
      <c r="A5" s="276" t="s">
        <v>0</v>
      </c>
      <c r="B5" s="44"/>
      <c r="C5" s="45"/>
      <c r="D5" s="45"/>
      <c r="E5" s="45"/>
      <c r="F5" s="45"/>
      <c r="G5" s="46"/>
      <c r="H5" s="211"/>
      <c r="I5" s="212"/>
      <c r="J5" s="201"/>
      <c r="K5" s="201"/>
      <c r="L5" s="279" t="s">
        <v>5</v>
      </c>
      <c r="M5" s="279"/>
      <c r="N5" s="279"/>
      <c r="O5" s="280"/>
      <c r="P5" s="281" t="s">
        <v>256</v>
      </c>
      <c r="Q5" s="282"/>
      <c r="R5" s="283" t="s">
        <v>19</v>
      </c>
      <c r="S5" s="284"/>
    </row>
    <row r="6" spans="1:21" s="31" customFormat="1" ht="15">
      <c r="A6" s="277"/>
      <c r="C6" s="48"/>
      <c r="D6" s="48"/>
      <c r="E6" s="48"/>
      <c r="F6" s="48"/>
      <c r="G6" s="49"/>
      <c r="H6" s="49" t="s">
        <v>3</v>
      </c>
      <c r="I6" s="50" t="s">
        <v>3</v>
      </c>
      <c r="J6" s="13" t="s">
        <v>3</v>
      </c>
      <c r="K6" s="198" t="s">
        <v>3</v>
      </c>
      <c r="L6" s="198" t="s">
        <v>282</v>
      </c>
      <c r="M6" s="198" t="s">
        <v>258</v>
      </c>
      <c r="N6" s="198" t="s">
        <v>258</v>
      </c>
      <c r="O6" s="204" t="s">
        <v>258</v>
      </c>
      <c r="P6" s="223" t="s">
        <v>3</v>
      </c>
      <c r="Q6" s="224" t="s">
        <v>3</v>
      </c>
      <c r="R6" s="285" t="s">
        <v>20</v>
      </c>
      <c r="S6" s="286"/>
      <c r="T6" s="178" t="s">
        <v>2</v>
      </c>
    </row>
    <row r="7" spans="1:21" s="19" customFormat="1">
      <c r="A7" s="278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99">
        <v>2016</v>
      </c>
      <c r="L7" s="199">
        <v>2017</v>
      </c>
      <c r="M7" s="199">
        <v>2018</v>
      </c>
      <c r="N7" s="199">
        <v>2019</v>
      </c>
      <c r="O7" s="205">
        <v>2020</v>
      </c>
      <c r="P7" s="12">
        <v>2016</v>
      </c>
      <c r="Q7" s="213">
        <v>2017</v>
      </c>
      <c r="R7" s="51" t="s">
        <v>235</v>
      </c>
      <c r="S7" s="218" t="s">
        <v>271</v>
      </c>
      <c r="T7" s="52"/>
    </row>
    <row r="8" spans="1:21" s="19" customFormat="1" ht="15">
      <c r="A8" s="17" t="s">
        <v>21</v>
      </c>
      <c r="B8" s="53">
        <f t="shared" ref="B8:J8" si="0">SUM(B9,B31)</f>
        <v>8200.9</v>
      </c>
      <c r="C8" s="54">
        <f t="shared" si="0"/>
        <v>10175.996671999999</v>
      </c>
      <c r="D8" s="54">
        <f t="shared" si="0"/>
        <v>10953.434156000003</v>
      </c>
      <c r="E8" s="54">
        <f t="shared" si="0"/>
        <v>10815.062102899999</v>
      </c>
      <c r="F8" s="55">
        <f t="shared" si="0"/>
        <v>12264.741933000001</v>
      </c>
      <c r="G8" s="55">
        <f t="shared" si="0"/>
        <v>13110.002924999997</v>
      </c>
      <c r="H8" s="55">
        <f t="shared" si="0"/>
        <v>13530.77100239</v>
      </c>
      <c r="I8" s="55">
        <f t="shared" si="0"/>
        <v>16417.281596000001</v>
      </c>
      <c r="J8" s="55">
        <f t="shared" si="0"/>
        <v>21336.878536910001</v>
      </c>
      <c r="K8" s="206"/>
      <c r="L8" s="206"/>
      <c r="M8" s="206"/>
      <c r="N8" s="206"/>
      <c r="O8" s="207"/>
      <c r="P8" s="163"/>
      <c r="Q8" s="214"/>
      <c r="R8" s="56">
        <f t="shared" ref="R8:S31" si="1">+((K8/J8)-1)*100</f>
        <v>-100</v>
      </c>
      <c r="S8" s="219" t="e">
        <f t="shared" si="1"/>
        <v>#DIV/0!</v>
      </c>
      <c r="T8" s="37" t="s">
        <v>22</v>
      </c>
    </row>
    <row r="9" spans="1:21" s="19" customFormat="1" ht="15">
      <c r="A9" s="17" t="s">
        <v>7</v>
      </c>
      <c r="B9" s="57">
        <f t="shared" ref="B9:J9" si="2">SUM(B10,B17,B23,B30)</f>
        <v>8325.4</v>
      </c>
      <c r="C9" s="57">
        <f t="shared" si="2"/>
        <v>10342.396671999999</v>
      </c>
      <c r="D9" s="57">
        <f t="shared" si="2"/>
        <v>11104.270489000002</v>
      </c>
      <c r="E9" s="57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200"/>
      <c r="L9" s="200"/>
      <c r="M9" s="200"/>
      <c r="N9" s="200"/>
      <c r="O9" s="208"/>
      <c r="P9" s="58" t="e">
        <f>+(K9/$K$9)*100</f>
        <v>#DIV/0!</v>
      </c>
      <c r="Q9" s="215" t="e">
        <f>+(L9/$K$9)*100</f>
        <v>#DIV/0!</v>
      </c>
      <c r="R9" s="56">
        <f t="shared" si="1"/>
        <v>-100</v>
      </c>
      <c r="S9" s="219" t="e">
        <f t="shared" si="1"/>
        <v>#DIV/0!</v>
      </c>
      <c r="T9" s="37" t="s">
        <v>8</v>
      </c>
    </row>
    <row r="10" spans="1:21" s="19" customFormat="1" ht="15">
      <c r="A10" s="17" t="s">
        <v>23</v>
      </c>
      <c r="B10" s="57">
        <f>SUM(B11,B12,B15,B16)</f>
        <v>3050.7999999999997</v>
      </c>
      <c r="C10" s="57">
        <f t="shared" ref="C10:L10" si="3">SUM(C11,C12,C15,C16)</f>
        <v>3708.5</v>
      </c>
      <c r="D10" s="57">
        <f t="shared" si="3"/>
        <v>4216.3047380000016</v>
      </c>
      <c r="E10" s="57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200">
        <f t="shared" ref="K10" si="4">SUM(K11,K12,K15,K16)</f>
        <v>0</v>
      </c>
      <c r="L10" s="200">
        <f t="shared" si="3"/>
        <v>0</v>
      </c>
      <c r="M10" s="200">
        <f t="shared" ref="M10:N10" si="5">SUM(M11,M12,M15,M16)</f>
        <v>0</v>
      </c>
      <c r="N10" s="200">
        <f t="shared" si="5"/>
        <v>0</v>
      </c>
      <c r="O10" s="208">
        <f t="shared" ref="O10" si="6">SUM(O11,O12,O15,O16)</f>
        <v>0</v>
      </c>
      <c r="P10" s="58" t="e">
        <f>+(K10/$K$9)*100</f>
        <v>#DIV/0!</v>
      </c>
      <c r="Q10" s="215" t="e">
        <f>+(L10/$K$9)*100</f>
        <v>#DIV/0!</v>
      </c>
      <c r="R10" s="56">
        <f t="shared" si="1"/>
        <v>-100</v>
      </c>
      <c r="S10" s="219" t="e">
        <f t="shared" si="1"/>
        <v>#DIV/0!</v>
      </c>
      <c r="T10" s="37" t="s">
        <v>24</v>
      </c>
    </row>
    <row r="11" spans="1:21" s="20" customFormat="1" ht="15">
      <c r="A11" s="59" t="s">
        <v>25</v>
      </c>
      <c r="B11" s="60">
        <v>1607.3</v>
      </c>
      <c r="C11" s="60">
        <v>2043.9</v>
      </c>
      <c r="D11" s="60">
        <v>2197.6652670000008</v>
      </c>
      <c r="E11" s="60">
        <v>2684.2828549999995</v>
      </c>
      <c r="F11" s="26">
        <v>3414.360107</v>
      </c>
      <c r="G11" s="26">
        <v>3431.8828060000001</v>
      </c>
      <c r="H11" s="26">
        <v>2539.0598371399997</v>
      </c>
      <c r="I11" s="26">
        <v>3189.9729499999999</v>
      </c>
      <c r="J11" s="26">
        <v>3623.5494148099997</v>
      </c>
      <c r="K11" s="209"/>
      <c r="L11" s="209"/>
      <c r="M11" s="209"/>
      <c r="N11" s="209"/>
      <c r="O11" s="203"/>
      <c r="P11" s="62" t="e">
        <f t="shared" ref="P11:Q33" si="7">+(K11/$K$9)*100</f>
        <v>#DIV/0!</v>
      </c>
      <c r="Q11" s="216" t="e">
        <f t="shared" si="7"/>
        <v>#DIV/0!</v>
      </c>
      <c r="R11" s="63">
        <f t="shared" si="1"/>
        <v>-100</v>
      </c>
      <c r="S11" s="220" t="e">
        <f t="shared" si="1"/>
        <v>#DIV/0!</v>
      </c>
      <c r="T11" s="30" t="s">
        <v>26</v>
      </c>
    </row>
    <row r="12" spans="1:21" s="20" customFormat="1" ht="15">
      <c r="A12" s="59" t="s">
        <v>27</v>
      </c>
      <c r="B12" s="60">
        <v>475.70000000000005</v>
      </c>
      <c r="C12" s="60">
        <v>586.4</v>
      </c>
      <c r="D12" s="60">
        <v>752.52470600000004</v>
      </c>
      <c r="E12" s="60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200">
        <f t="shared" si="8"/>
        <v>0</v>
      </c>
      <c r="L12" s="200">
        <f t="shared" si="8"/>
        <v>0</v>
      </c>
      <c r="M12" s="200">
        <f t="shared" ref="M12:N12" si="9">SUM(M13:M14)</f>
        <v>0</v>
      </c>
      <c r="N12" s="200">
        <f t="shared" si="9"/>
        <v>0</v>
      </c>
      <c r="O12" s="208"/>
      <c r="P12" s="62" t="e">
        <f t="shared" si="7"/>
        <v>#DIV/0!</v>
      </c>
      <c r="Q12" s="216" t="e">
        <f t="shared" si="7"/>
        <v>#DIV/0!</v>
      </c>
      <c r="R12" s="56">
        <f t="shared" si="1"/>
        <v>-100</v>
      </c>
      <c r="S12" s="219" t="e">
        <f t="shared" si="1"/>
        <v>#DIV/0!</v>
      </c>
      <c r="T12" s="30" t="s">
        <v>28</v>
      </c>
    </row>
    <row r="13" spans="1:21" s="20" customFormat="1" ht="15">
      <c r="A13" s="59" t="s">
        <v>29</v>
      </c>
      <c r="B13" s="60">
        <v>0</v>
      </c>
      <c r="C13" s="60">
        <v>0</v>
      </c>
      <c r="D13" s="60">
        <v>0</v>
      </c>
      <c r="E13" s="60">
        <v>0</v>
      </c>
      <c r="F13" s="26">
        <v>777.54432100000008</v>
      </c>
      <c r="G13" s="26">
        <v>800.809574</v>
      </c>
      <c r="H13" s="26">
        <v>787.97938867999994</v>
      </c>
      <c r="I13" s="26">
        <v>913.25778199999991</v>
      </c>
      <c r="J13" s="26">
        <v>1178.86784837</v>
      </c>
      <c r="K13" s="209"/>
      <c r="L13" s="209"/>
      <c r="M13" s="209"/>
      <c r="N13" s="209"/>
      <c r="O13" s="203"/>
      <c r="P13" s="62" t="e">
        <f t="shared" si="7"/>
        <v>#DIV/0!</v>
      </c>
      <c r="Q13" s="216" t="e">
        <f t="shared" si="7"/>
        <v>#DIV/0!</v>
      </c>
      <c r="R13" s="63">
        <f t="shared" si="1"/>
        <v>-100</v>
      </c>
      <c r="S13" s="220" t="e">
        <f t="shared" si="1"/>
        <v>#DIV/0!</v>
      </c>
      <c r="T13" s="64" t="s">
        <v>63</v>
      </c>
    </row>
    <row r="14" spans="1:21" s="20" customFormat="1" ht="15">
      <c r="A14" s="59" t="s">
        <v>30</v>
      </c>
      <c r="B14" s="60">
        <v>0</v>
      </c>
      <c r="C14" s="60">
        <v>0</v>
      </c>
      <c r="D14" s="60">
        <v>0</v>
      </c>
      <c r="E14" s="60">
        <v>0</v>
      </c>
      <c r="F14" s="26">
        <v>133.04289900000001</v>
      </c>
      <c r="G14" s="26">
        <v>11.852705</v>
      </c>
      <c r="H14" s="26">
        <v>8.6218819999999994</v>
      </c>
      <c r="I14" s="26">
        <v>10.056538</v>
      </c>
      <c r="J14" s="26">
        <v>16.476253</v>
      </c>
      <c r="K14" s="209"/>
      <c r="L14" s="209"/>
      <c r="M14" s="209"/>
      <c r="N14" s="209"/>
      <c r="O14" s="203"/>
      <c r="P14" s="62" t="e">
        <f t="shared" si="7"/>
        <v>#DIV/0!</v>
      </c>
      <c r="Q14" s="216" t="e">
        <f t="shared" si="7"/>
        <v>#DIV/0!</v>
      </c>
      <c r="R14" s="63">
        <f t="shared" si="1"/>
        <v>-100</v>
      </c>
      <c r="S14" s="220" t="e">
        <f t="shared" si="1"/>
        <v>#DIV/0!</v>
      </c>
      <c r="T14" s="64" t="s">
        <v>64</v>
      </c>
    </row>
    <row r="15" spans="1:21" s="20" customFormat="1" ht="15">
      <c r="A15" s="59" t="s">
        <v>31</v>
      </c>
      <c r="B15" s="60">
        <v>825.69999999999993</v>
      </c>
      <c r="C15" s="65">
        <v>982.5</v>
      </c>
      <c r="D15" s="60">
        <v>1170.997198</v>
      </c>
      <c r="E15" s="60">
        <v>1192.3427610000001</v>
      </c>
      <c r="F15" s="26">
        <v>1364.5149330000002</v>
      </c>
      <c r="G15" s="26">
        <v>1525.6040499999999</v>
      </c>
      <c r="H15" s="26">
        <v>1725.97350061</v>
      </c>
      <c r="I15" s="26">
        <v>1982.1994500000001</v>
      </c>
      <c r="J15" s="26">
        <v>2681.8339682300002</v>
      </c>
      <c r="K15" s="209"/>
      <c r="L15" s="209"/>
      <c r="M15" s="209"/>
      <c r="N15" s="209"/>
      <c r="O15" s="203"/>
      <c r="P15" s="62" t="e">
        <f t="shared" si="7"/>
        <v>#DIV/0!</v>
      </c>
      <c r="Q15" s="216" t="e">
        <f t="shared" si="7"/>
        <v>#DIV/0!</v>
      </c>
      <c r="R15" s="63">
        <f t="shared" si="1"/>
        <v>-100</v>
      </c>
      <c r="S15" s="220" t="e">
        <f t="shared" si="1"/>
        <v>#DIV/0!</v>
      </c>
      <c r="T15" s="30" t="s">
        <v>32</v>
      </c>
    </row>
    <row r="16" spans="1:21" s="20" customFormat="1" ht="15">
      <c r="A16" s="59" t="s">
        <v>33</v>
      </c>
      <c r="B16" s="60">
        <v>142.1</v>
      </c>
      <c r="C16" s="60">
        <v>95.7</v>
      </c>
      <c r="D16" s="60">
        <v>95.117567000000008</v>
      </c>
      <c r="E16" s="60">
        <v>68.551455000000004</v>
      </c>
      <c r="F16" s="26">
        <v>192.31341699999999</v>
      </c>
      <c r="G16" s="26">
        <v>144.17275000000001</v>
      </c>
      <c r="H16" s="26">
        <v>184.99255256999999</v>
      </c>
      <c r="I16" s="26">
        <v>121.27882399999999</v>
      </c>
      <c r="J16" s="26">
        <v>821.70280199000001</v>
      </c>
      <c r="K16" s="209"/>
      <c r="L16" s="209"/>
      <c r="M16" s="209"/>
      <c r="N16" s="209"/>
      <c r="O16" s="203"/>
      <c r="P16" s="62" t="e">
        <f t="shared" si="7"/>
        <v>#DIV/0!</v>
      </c>
      <c r="Q16" s="216" t="e">
        <f t="shared" si="7"/>
        <v>#DIV/0!</v>
      </c>
      <c r="R16" s="63">
        <f t="shared" si="1"/>
        <v>-100</v>
      </c>
      <c r="S16" s="220" t="e">
        <f t="shared" si="1"/>
        <v>#DIV/0!</v>
      </c>
      <c r="T16" s="30" t="s">
        <v>34</v>
      </c>
    </row>
    <row r="17" spans="1:20" s="19" customFormat="1" ht="15">
      <c r="A17" s="17" t="s">
        <v>35</v>
      </c>
      <c r="B17" s="57">
        <f>SUM(B18:B21)</f>
        <v>4444.1000000000004</v>
      </c>
      <c r="C17" s="57">
        <f>SUM(C18:C21)</f>
        <v>5122.8</v>
      </c>
      <c r="D17" s="57">
        <f>SUM(D18:D21)</f>
        <v>5432.5708530000002</v>
      </c>
      <c r="E17" s="57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200">
        <f t="shared" si="10"/>
        <v>0</v>
      </c>
      <c r="L17" s="200">
        <f t="shared" si="10"/>
        <v>0</v>
      </c>
      <c r="M17" s="200">
        <f t="shared" ref="M17:N17" si="11">SUM(M18:M22)</f>
        <v>0</v>
      </c>
      <c r="N17" s="200">
        <f t="shared" si="11"/>
        <v>0</v>
      </c>
      <c r="O17" s="208">
        <f t="shared" ref="O17" si="12">SUM(O18:O22)</f>
        <v>0</v>
      </c>
      <c r="P17" s="58" t="e">
        <f t="shared" si="7"/>
        <v>#DIV/0!</v>
      </c>
      <c r="Q17" s="215" t="e">
        <f t="shared" si="7"/>
        <v>#DIV/0!</v>
      </c>
      <c r="R17" s="56">
        <f t="shared" si="1"/>
        <v>-100</v>
      </c>
      <c r="S17" s="219" t="e">
        <f t="shared" si="1"/>
        <v>#DIV/0!</v>
      </c>
      <c r="T17" s="37" t="s">
        <v>36</v>
      </c>
    </row>
    <row r="18" spans="1:20" s="20" customFormat="1" ht="15">
      <c r="A18" s="59" t="s">
        <v>37</v>
      </c>
      <c r="B18" s="60">
        <v>1313.8000000000002</v>
      </c>
      <c r="C18" s="60">
        <v>1630.5</v>
      </c>
      <c r="D18" s="60">
        <v>1935.0878400000001</v>
      </c>
      <c r="E18" s="60">
        <v>1643.137213</v>
      </c>
      <c r="F18" s="26">
        <v>1796.661055</v>
      </c>
      <c r="G18" s="26">
        <v>2203.168764</v>
      </c>
      <c r="H18" s="26">
        <v>2002.2797697200001</v>
      </c>
      <c r="I18" s="26">
        <v>2212.015058</v>
      </c>
      <c r="J18" s="26">
        <v>2933.05047655</v>
      </c>
      <c r="K18" s="209"/>
      <c r="L18" s="209"/>
      <c r="M18" s="209"/>
      <c r="N18" s="209"/>
      <c r="O18" s="203"/>
      <c r="P18" s="62" t="e">
        <f t="shared" si="7"/>
        <v>#DIV/0!</v>
      </c>
      <c r="Q18" s="216" t="e">
        <f t="shared" si="7"/>
        <v>#DIV/0!</v>
      </c>
      <c r="R18" s="63">
        <f t="shared" si="1"/>
        <v>-100</v>
      </c>
      <c r="S18" s="220" t="e">
        <f t="shared" si="1"/>
        <v>#DIV/0!</v>
      </c>
      <c r="T18" s="30" t="s">
        <v>38</v>
      </c>
    </row>
    <row r="19" spans="1:20" s="20" customFormat="1" ht="15">
      <c r="A19" s="59" t="s">
        <v>39</v>
      </c>
      <c r="B19" s="60">
        <v>782.19999999999993</v>
      </c>
      <c r="C19" s="60">
        <v>1326.4</v>
      </c>
      <c r="D19" s="60">
        <v>1396.1558639999998</v>
      </c>
      <c r="E19" s="60">
        <v>990.87232799999992</v>
      </c>
      <c r="F19" s="26">
        <v>368.31382600000001</v>
      </c>
      <c r="G19" s="26">
        <v>296.66393599999998</v>
      </c>
      <c r="H19" s="26">
        <v>1391.70545487</v>
      </c>
      <c r="I19" s="26">
        <v>1866.0390179999999</v>
      </c>
      <c r="J19" s="26">
        <v>2525.9593407700004</v>
      </c>
      <c r="K19" s="209"/>
      <c r="L19" s="209"/>
      <c r="M19" s="209"/>
      <c r="N19" s="209"/>
      <c r="O19" s="203"/>
      <c r="P19" s="62" t="e">
        <f t="shared" si="7"/>
        <v>#DIV/0!</v>
      </c>
      <c r="Q19" s="216" t="e">
        <f t="shared" si="7"/>
        <v>#DIV/0!</v>
      </c>
      <c r="R19" s="63">
        <f t="shared" si="1"/>
        <v>-100</v>
      </c>
      <c r="S19" s="220" t="e">
        <f t="shared" si="1"/>
        <v>#DIV/0!</v>
      </c>
      <c r="T19" s="30" t="s">
        <v>40</v>
      </c>
    </row>
    <row r="20" spans="1:20" s="20" customFormat="1" ht="15">
      <c r="A20" s="59" t="s">
        <v>41</v>
      </c>
      <c r="B20" s="60">
        <v>235.5</v>
      </c>
      <c r="C20" s="60">
        <v>640.6</v>
      </c>
      <c r="D20" s="60">
        <v>464.54098499999998</v>
      </c>
      <c r="E20" s="60">
        <v>578.16290700000002</v>
      </c>
      <c r="F20" s="26">
        <v>1135.3461150000001</v>
      </c>
      <c r="G20" s="26">
        <v>1578.1540559999999</v>
      </c>
      <c r="H20" s="26">
        <v>1959.2764668599998</v>
      </c>
      <c r="I20" s="26">
        <v>2925.2288200000003</v>
      </c>
      <c r="J20" s="26">
        <v>3222.1829934400002</v>
      </c>
      <c r="K20" s="209"/>
      <c r="L20" s="209"/>
      <c r="M20" s="209"/>
      <c r="N20" s="209"/>
      <c r="O20" s="203"/>
      <c r="P20" s="62" t="e">
        <f t="shared" si="7"/>
        <v>#DIV/0!</v>
      </c>
      <c r="Q20" s="216" t="e">
        <f t="shared" si="7"/>
        <v>#DIV/0!</v>
      </c>
      <c r="R20" s="63">
        <f t="shared" si="1"/>
        <v>-100</v>
      </c>
      <c r="S20" s="220" t="e">
        <f t="shared" si="1"/>
        <v>#DIV/0!</v>
      </c>
      <c r="T20" s="30" t="s">
        <v>42</v>
      </c>
    </row>
    <row r="21" spans="1:20" s="20" customFormat="1" ht="15">
      <c r="A21" s="59" t="s">
        <v>259</v>
      </c>
      <c r="B21" s="60">
        <v>2112.6</v>
      </c>
      <c r="C21" s="60">
        <v>1525.3000000000002</v>
      </c>
      <c r="D21" s="60">
        <v>1636.7861640000001</v>
      </c>
      <c r="E21" s="60">
        <v>2067.0886810000002</v>
      </c>
      <c r="F21" s="26">
        <v>1627.3893010000002</v>
      </c>
      <c r="G21" s="26">
        <v>1229.5066119999999</v>
      </c>
      <c r="H21" s="26">
        <v>979.91802029999997</v>
      </c>
      <c r="I21" s="26">
        <v>772.59129199999995</v>
      </c>
      <c r="J21" s="26">
        <v>0</v>
      </c>
      <c r="K21" s="209"/>
      <c r="L21" s="209"/>
      <c r="M21" s="209"/>
      <c r="N21" s="209"/>
      <c r="O21" s="203"/>
      <c r="P21" s="62" t="e">
        <f t="shared" si="7"/>
        <v>#DIV/0!</v>
      </c>
      <c r="Q21" s="216" t="e">
        <f t="shared" si="7"/>
        <v>#DIV/0!</v>
      </c>
      <c r="R21" s="61" t="e">
        <f t="shared" ref="R21:S21" si="13">+(M21/$K$9)*100</f>
        <v>#DIV/0!</v>
      </c>
      <c r="S21" s="221" t="e">
        <f t="shared" si="13"/>
        <v>#DIV/0!</v>
      </c>
      <c r="T21" s="30" t="s">
        <v>43</v>
      </c>
    </row>
    <row r="22" spans="1:20" s="20" customFormat="1" ht="17.25">
      <c r="A22" s="59" t="s">
        <v>146</v>
      </c>
      <c r="B22" s="60"/>
      <c r="C22" s="60"/>
      <c r="D22" s="60"/>
      <c r="E22" s="60"/>
      <c r="F22" s="26"/>
      <c r="G22" s="39">
        <v>0</v>
      </c>
      <c r="H22" s="26">
        <v>306.67357454999978</v>
      </c>
      <c r="I22" s="26">
        <v>469.69796699999995</v>
      </c>
      <c r="J22" s="26">
        <v>1874.0939446899999</v>
      </c>
      <c r="K22" s="209"/>
      <c r="L22" s="209"/>
      <c r="M22" s="209"/>
      <c r="N22" s="209"/>
      <c r="O22" s="203"/>
      <c r="P22" s="62" t="e">
        <f t="shared" si="7"/>
        <v>#DIV/0!</v>
      </c>
      <c r="Q22" s="216" t="e">
        <f t="shared" si="7"/>
        <v>#DIV/0!</v>
      </c>
      <c r="R22" s="63">
        <f t="shared" si="1"/>
        <v>-100</v>
      </c>
      <c r="S22" s="220" t="e">
        <f t="shared" si="1"/>
        <v>#DIV/0!</v>
      </c>
      <c r="T22" s="66" t="s">
        <v>225</v>
      </c>
    </row>
    <row r="23" spans="1:20" s="19" customFormat="1" ht="15">
      <c r="A23" s="17" t="s">
        <v>44</v>
      </c>
      <c r="B23" s="57">
        <f t="shared" ref="B23:L23" si="14">SUM(B24:B29)</f>
        <v>596.20000000000005</v>
      </c>
      <c r="C23" s="57">
        <f t="shared" si="14"/>
        <v>1231.0999999999999</v>
      </c>
      <c r="D23" s="57">
        <f t="shared" si="14"/>
        <v>837.51612</v>
      </c>
      <c r="E23" s="57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200">
        <f t="shared" ref="K23" si="15">SUM(K24:K29)</f>
        <v>0</v>
      </c>
      <c r="L23" s="200">
        <f t="shared" si="14"/>
        <v>0</v>
      </c>
      <c r="M23" s="200">
        <f t="shared" ref="M23:N23" si="16">SUM(M24:M29)</f>
        <v>0</v>
      </c>
      <c r="N23" s="200">
        <f t="shared" si="16"/>
        <v>0</v>
      </c>
      <c r="O23" s="208">
        <f t="shared" ref="O23" si="17">SUM(O24:O29)</f>
        <v>0</v>
      </c>
      <c r="P23" s="58" t="e">
        <f t="shared" si="7"/>
        <v>#DIV/0!</v>
      </c>
      <c r="Q23" s="215" t="e">
        <f t="shared" si="7"/>
        <v>#DIV/0!</v>
      </c>
      <c r="R23" s="56">
        <f t="shared" si="1"/>
        <v>-100</v>
      </c>
      <c r="S23" s="219" t="e">
        <f t="shared" si="1"/>
        <v>#DIV/0!</v>
      </c>
      <c r="T23" s="37" t="s">
        <v>45</v>
      </c>
    </row>
    <row r="24" spans="1:20" s="20" customFormat="1" ht="15">
      <c r="A24" s="59" t="s">
        <v>46</v>
      </c>
      <c r="B24" s="60">
        <v>179.9</v>
      </c>
      <c r="C24" s="60">
        <v>159.79999999999998</v>
      </c>
      <c r="D24" s="60">
        <v>58.986502000000002</v>
      </c>
      <c r="E24" s="60">
        <v>146.70229599999999</v>
      </c>
      <c r="F24" s="26">
        <v>93.345458000000008</v>
      </c>
      <c r="G24" s="26">
        <v>70.257467000000005</v>
      </c>
      <c r="H24" s="26">
        <v>70.500645059999997</v>
      </c>
      <c r="I24" s="26">
        <v>93.968531999999996</v>
      </c>
      <c r="J24" s="26">
        <v>67.21094626</v>
      </c>
      <c r="K24" s="209"/>
      <c r="L24" s="209"/>
      <c r="M24" s="209"/>
      <c r="N24" s="209"/>
      <c r="O24" s="203"/>
      <c r="P24" s="62" t="e">
        <f t="shared" si="7"/>
        <v>#DIV/0!</v>
      </c>
      <c r="Q24" s="216" t="e">
        <f t="shared" si="7"/>
        <v>#DIV/0!</v>
      </c>
      <c r="R24" s="63">
        <f t="shared" si="1"/>
        <v>-100</v>
      </c>
      <c r="S24" s="220" t="e">
        <f t="shared" si="1"/>
        <v>#DIV/0!</v>
      </c>
      <c r="T24" s="30" t="s">
        <v>47</v>
      </c>
    </row>
    <row r="25" spans="1:20" s="20" customFormat="1" ht="15">
      <c r="A25" s="59" t="s">
        <v>48</v>
      </c>
      <c r="B25" s="60">
        <v>172.2</v>
      </c>
      <c r="C25" s="60">
        <v>837.8</v>
      </c>
      <c r="D25" s="60">
        <v>106.089237</v>
      </c>
      <c r="E25" s="60">
        <v>120.04688899999999</v>
      </c>
      <c r="F25" s="26">
        <v>471.08129199999996</v>
      </c>
      <c r="G25" s="26">
        <v>607.73237199999994</v>
      </c>
      <c r="H25" s="26">
        <v>404.45810542000004</v>
      </c>
      <c r="I25" s="26">
        <v>735.60389299999997</v>
      </c>
      <c r="J25" s="26">
        <v>846.79535526999996</v>
      </c>
      <c r="K25" s="209"/>
      <c r="L25" s="209"/>
      <c r="M25" s="209"/>
      <c r="N25" s="209"/>
      <c r="O25" s="203"/>
      <c r="P25" s="62" t="e">
        <f t="shared" si="7"/>
        <v>#DIV/0!</v>
      </c>
      <c r="Q25" s="216" t="e">
        <f t="shared" si="7"/>
        <v>#DIV/0!</v>
      </c>
      <c r="R25" s="63">
        <f t="shared" si="1"/>
        <v>-100</v>
      </c>
      <c r="S25" s="220" t="e">
        <f t="shared" si="1"/>
        <v>#DIV/0!</v>
      </c>
      <c r="T25" s="30" t="s">
        <v>49</v>
      </c>
    </row>
    <row r="26" spans="1:20" s="20" customFormat="1" ht="15">
      <c r="A26" s="59" t="s">
        <v>50</v>
      </c>
      <c r="B26" s="60">
        <v>88.9</v>
      </c>
      <c r="C26" s="60">
        <v>35.700000000000003</v>
      </c>
      <c r="D26" s="60">
        <v>62.029623999999998</v>
      </c>
      <c r="E26" s="60">
        <v>43.271078000000003</v>
      </c>
      <c r="F26" s="26">
        <v>59.675843</v>
      </c>
      <c r="G26" s="26">
        <v>66.77496099999999</v>
      </c>
      <c r="H26" s="26">
        <v>31.982870659999989</v>
      </c>
      <c r="I26" s="26">
        <v>75.050148000000007</v>
      </c>
      <c r="J26" s="26">
        <v>52.374541500000007</v>
      </c>
      <c r="K26" s="209"/>
      <c r="L26" s="209"/>
      <c r="M26" s="209"/>
      <c r="N26" s="209"/>
      <c r="O26" s="203"/>
      <c r="P26" s="62" t="e">
        <f t="shared" si="7"/>
        <v>#DIV/0!</v>
      </c>
      <c r="Q26" s="216" t="e">
        <f t="shared" si="7"/>
        <v>#DIV/0!</v>
      </c>
      <c r="R26" s="63">
        <f t="shared" si="1"/>
        <v>-100</v>
      </c>
      <c r="S26" s="220" t="e">
        <f t="shared" si="1"/>
        <v>#DIV/0!</v>
      </c>
      <c r="T26" s="30" t="s">
        <v>51</v>
      </c>
    </row>
    <row r="27" spans="1:20" s="19" customFormat="1" ht="15">
      <c r="A27" s="59" t="s">
        <v>52</v>
      </c>
      <c r="B27" s="60">
        <v>108.2</v>
      </c>
      <c r="C27" s="60">
        <v>93.3</v>
      </c>
      <c r="D27" s="60">
        <v>78.466514000000004</v>
      </c>
      <c r="E27" s="60">
        <v>46.860301</v>
      </c>
      <c r="F27" s="26">
        <v>33.749803</v>
      </c>
      <c r="G27" s="26">
        <v>52.519985999999996</v>
      </c>
      <c r="H27" s="26">
        <v>33.124519409999998</v>
      </c>
      <c r="I27" s="26">
        <v>49.642775</v>
      </c>
      <c r="J27" s="26">
        <v>103.70914999999999</v>
      </c>
      <c r="K27" s="209"/>
      <c r="L27" s="209"/>
      <c r="M27" s="209"/>
      <c r="N27" s="209"/>
      <c r="O27" s="203"/>
      <c r="P27" s="62" t="e">
        <f t="shared" si="7"/>
        <v>#DIV/0!</v>
      </c>
      <c r="Q27" s="216" t="e">
        <f t="shared" si="7"/>
        <v>#DIV/0!</v>
      </c>
      <c r="R27" s="63">
        <f t="shared" si="1"/>
        <v>-100</v>
      </c>
      <c r="S27" s="220" t="e">
        <f t="shared" si="1"/>
        <v>#DIV/0!</v>
      </c>
      <c r="T27" s="30" t="s">
        <v>53</v>
      </c>
    </row>
    <row r="28" spans="1:20" s="19" customFormat="1" ht="15">
      <c r="A28" s="59" t="s">
        <v>54</v>
      </c>
      <c r="B28" s="60">
        <v>42.8</v>
      </c>
      <c r="C28" s="60">
        <v>92.3</v>
      </c>
      <c r="D28" s="60">
        <v>505.93436100000002</v>
      </c>
      <c r="E28" s="60">
        <v>52.495815900000004</v>
      </c>
      <c r="F28" s="26">
        <v>80.384180000000001</v>
      </c>
      <c r="G28" s="26">
        <v>54.566487000000002</v>
      </c>
      <c r="H28" s="26">
        <v>168.21187463999996</v>
      </c>
      <c r="I28" s="26">
        <v>51.606206</v>
      </c>
      <c r="J28" s="26">
        <v>131.16637020000002</v>
      </c>
      <c r="K28" s="209"/>
      <c r="L28" s="209"/>
      <c r="M28" s="209"/>
      <c r="N28" s="209"/>
      <c r="O28" s="203"/>
      <c r="P28" s="62" t="e">
        <f t="shared" si="7"/>
        <v>#DIV/0!</v>
      </c>
      <c r="Q28" s="216" t="e">
        <f t="shared" si="7"/>
        <v>#DIV/0!</v>
      </c>
      <c r="R28" s="63">
        <f t="shared" si="1"/>
        <v>-100</v>
      </c>
      <c r="S28" s="220" t="e">
        <f t="shared" si="1"/>
        <v>#DIV/0!</v>
      </c>
      <c r="T28" s="30" t="s">
        <v>55</v>
      </c>
    </row>
    <row r="29" spans="1:20" s="20" customFormat="1" ht="15">
      <c r="A29" s="59" t="s">
        <v>56</v>
      </c>
      <c r="B29" s="60">
        <v>4.2</v>
      </c>
      <c r="C29" s="60">
        <v>12.2</v>
      </c>
      <c r="D29" s="60">
        <v>26.009882000000001</v>
      </c>
      <c r="E29" s="60">
        <v>31.063718000000001</v>
      </c>
      <c r="F29" s="26">
        <v>390.21938299999999</v>
      </c>
      <c r="G29" s="26">
        <v>19.486806000000001</v>
      </c>
      <c r="H29" s="26">
        <v>114.7713499</v>
      </c>
      <c r="I29" s="26">
        <v>92.887023999999997</v>
      </c>
      <c r="J29" s="26">
        <v>14.27351683</v>
      </c>
      <c r="K29" s="209"/>
      <c r="L29" s="209"/>
      <c r="M29" s="209"/>
      <c r="N29" s="209"/>
      <c r="O29" s="203"/>
      <c r="P29" s="62" t="e">
        <f t="shared" si="7"/>
        <v>#DIV/0!</v>
      </c>
      <c r="Q29" s="216" t="e">
        <f t="shared" si="7"/>
        <v>#DIV/0!</v>
      </c>
      <c r="R29" s="63">
        <f t="shared" si="1"/>
        <v>-100</v>
      </c>
      <c r="S29" s="220" t="e">
        <f t="shared" si="1"/>
        <v>#DIV/0!</v>
      </c>
      <c r="T29" s="30" t="s">
        <v>57</v>
      </c>
    </row>
    <row r="30" spans="1:20" s="19" customFormat="1" ht="15">
      <c r="A30" s="17" t="s">
        <v>58</v>
      </c>
      <c r="B30" s="57">
        <v>234.3</v>
      </c>
      <c r="C30" s="57">
        <v>279.99667199999999</v>
      </c>
      <c r="D30" s="57">
        <v>617.87877800000001</v>
      </c>
      <c r="E30" s="57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200"/>
      <c r="L30" s="200"/>
      <c r="M30" s="200"/>
      <c r="N30" s="200"/>
      <c r="O30" s="208"/>
      <c r="P30" s="58" t="e">
        <f t="shared" si="7"/>
        <v>#DIV/0!</v>
      </c>
      <c r="Q30" s="215" t="e">
        <f t="shared" si="7"/>
        <v>#DIV/0!</v>
      </c>
      <c r="R30" s="56">
        <f t="shared" si="1"/>
        <v>-100</v>
      </c>
      <c r="S30" s="219" t="e">
        <f t="shared" si="1"/>
        <v>#DIV/0!</v>
      </c>
      <c r="T30" s="37" t="s">
        <v>59</v>
      </c>
    </row>
    <row r="31" spans="1:20" s="19" customFormat="1" ht="15">
      <c r="A31" s="17" t="s">
        <v>11</v>
      </c>
      <c r="B31" s="57">
        <v>-124.5</v>
      </c>
      <c r="C31" s="57">
        <v>-166.4</v>
      </c>
      <c r="D31" s="57">
        <v>-150.836333</v>
      </c>
      <c r="E31" s="57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200"/>
      <c r="L31" s="200"/>
      <c r="M31" s="200"/>
      <c r="N31" s="200"/>
      <c r="O31" s="208"/>
      <c r="P31" s="58" t="e">
        <f t="shared" si="7"/>
        <v>#DIV/0!</v>
      </c>
      <c r="Q31" s="215" t="e">
        <f t="shared" si="7"/>
        <v>#DIV/0!</v>
      </c>
      <c r="R31" s="56">
        <f t="shared" si="1"/>
        <v>-100</v>
      </c>
      <c r="S31" s="219" t="e">
        <f t="shared" si="1"/>
        <v>#DIV/0!</v>
      </c>
      <c r="T31" s="37" t="s">
        <v>12</v>
      </c>
    </row>
    <row r="32" spans="1:20" s="20" customFormat="1" ht="15">
      <c r="A32" s="59" t="s">
        <v>16</v>
      </c>
      <c r="B32" s="67"/>
      <c r="C32" s="67"/>
      <c r="D32" s="67"/>
      <c r="E32" s="67"/>
      <c r="F32" s="18"/>
      <c r="G32" s="10"/>
      <c r="H32" s="10"/>
      <c r="I32" s="10"/>
      <c r="J32" s="10"/>
      <c r="K32" s="200"/>
      <c r="L32" s="200"/>
      <c r="M32" s="200"/>
      <c r="N32" s="200"/>
      <c r="O32" s="208"/>
      <c r="P32" s="58"/>
      <c r="Q32" s="215"/>
      <c r="R32" s="63"/>
      <c r="S32" s="220"/>
      <c r="T32" s="30" t="s">
        <v>17</v>
      </c>
    </row>
    <row r="33" spans="1:20" ht="17.25">
      <c r="A33" s="68" t="s">
        <v>60</v>
      </c>
      <c r="B33" s="69">
        <v>1007.8</v>
      </c>
      <c r="C33" s="69">
        <v>390.30930799999999</v>
      </c>
      <c r="D33" s="70">
        <v>584.5</v>
      </c>
      <c r="E33" s="70">
        <v>877.1</v>
      </c>
      <c r="F33" s="71">
        <v>987.6</v>
      </c>
      <c r="G33" s="71">
        <v>1145.8582073000002</v>
      </c>
      <c r="H33" s="71">
        <v>1187.19235</v>
      </c>
      <c r="I33" s="71">
        <v>188.39416600000001</v>
      </c>
      <c r="J33" s="71">
        <v>635.05139099999997</v>
      </c>
      <c r="K33" s="210"/>
      <c r="L33" s="210"/>
      <c r="M33" s="210"/>
      <c r="N33" s="210"/>
      <c r="O33" s="202"/>
      <c r="P33" s="72" t="e">
        <f t="shared" si="7"/>
        <v>#DIV/0!</v>
      </c>
      <c r="Q33" s="217" t="e">
        <f t="shared" si="7"/>
        <v>#DIV/0!</v>
      </c>
      <c r="R33" s="73">
        <f>+((K33/J33)-1)*100</f>
        <v>-100</v>
      </c>
      <c r="S33" s="222" t="e">
        <f>+((L33/K33)-1)*100</f>
        <v>#DIV/0!</v>
      </c>
      <c r="T33" s="74" t="s">
        <v>61</v>
      </c>
    </row>
    <row r="34" spans="1:20" ht="15">
      <c r="A34" s="21" t="s">
        <v>13</v>
      </c>
      <c r="B34" s="75"/>
      <c r="C34" s="75"/>
      <c r="D34" s="75"/>
      <c r="E34" s="75"/>
      <c r="F34" s="75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30" t="s">
        <v>14</v>
      </c>
    </row>
    <row r="35" spans="1:20" s="189" customFormat="1" ht="11.25">
      <c r="A35" s="185" t="s">
        <v>260</v>
      </c>
      <c r="B35" s="186"/>
      <c r="C35" s="186"/>
      <c r="D35" s="186"/>
      <c r="E35" s="186"/>
      <c r="F35" s="186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8"/>
    </row>
    <row r="36" spans="1:20"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20">
      <c r="B37" s="78"/>
      <c r="C37" s="78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20">
      <c r="B38" s="79"/>
      <c r="C38" s="79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20"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20">
      <c r="P40" s="77"/>
      <c r="Q40" s="77"/>
    </row>
    <row r="41" spans="1:20">
      <c r="P41" s="77"/>
      <c r="Q41" s="77"/>
    </row>
    <row r="42" spans="1:20"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</row>
    <row r="43" spans="1:20"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</row>
    <row r="44" spans="1:20"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</row>
    <row r="45" spans="1:20"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</row>
    <row r="46" spans="1:20"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20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20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</row>
    <row r="49" spans="7:17"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</row>
    <row r="50" spans="7:17"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7:17"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7:17"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</row>
    <row r="53" spans="7:17"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</row>
    <row r="54" spans="7:17"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</row>
    <row r="55" spans="7:17"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</row>
    <row r="56" spans="7:17"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</row>
    <row r="57" spans="7:17"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</row>
    <row r="58" spans="7:17"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</row>
    <row r="59" spans="7:17"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</row>
    <row r="60" spans="7:17"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</row>
    <row r="61" spans="7:17"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</row>
    <row r="62" spans="7:17"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</row>
    <row r="63" spans="7:17"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</row>
    <row r="64" spans="7:17"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</row>
    <row r="65" spans="7:17"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</row>
    <row r="66" spans="7:17"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</row>
    <row r="67" spans="7:17"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</row>
    <row r="68" spans="7:17"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31" customWidth="1"/>
    <col min="2" max="3" width="0" style="159" hidden="1" customWidth="1"/>
    <col min="4" max="4" width="12.7109375" style="159" hidden="1" customWidth="1"/>
    <col min="5" max="7" width="8.85546875" style="159" hidden="1" customWidth="1"/>
    <col min="8" max="11" width="0" style="159" hidden="1" customWidth="1"/>
    <col min="12" max="14" width="8.85546875" style="159"/>
    <col min="15" max="19" width="9.28515625" style="159" customWidth="1"/>
    <col min="20" max="21" width="11.28515625" style="159" customWidth="1"/>
    <col min="22" max="23" width="11" style="160" customWidth="1"/>
    <col min="24" max="24" width="7.7109375" style="160" customWidth="1"/>
    <col min="25" max="25" width="43.42578125" style="131" customWidth="1"/>
    <col min="26" max="26" width="17.28515625" style="131" customWidth="1"/>
    <col min="27" max="16384" width="8.85546875" style="131"/>
  </cols>
  <sheetData>
    <row r="1" spans="1:27" ht="19.5">
      <c r="A1" s="272" t="s">
        <v>274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</row>
    <row r="2" spans="1:27" ht="12.75">
      <c r="A2" s="289" t="s">
        <v>275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</row>
    <row r="3" spans="1:27" s="16" customFormat="1" ht="14.25">
      <c r="A3" s="290" t="s">
        <v>15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</row>
    <row r="4" spans="1:27" s="16" customFormat="1" ht="12.75">
      <c r="A4" s="275" t="s">
        <v>65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</row>
    <row r="5" spans="1:27" s="16" customFormat="1" ht="17.25">
      <c r="A5" s="179"/>
      <c r="B5" s="132"/>
      <c r="C5" s="133"/>
      <c r="D5" s="134" t="s">
        <v>1</v>
      </c>
      <c r="E5" s="291" t="s">
        <v>5</v>
      </c>
      <c r="F5" s="291"/>
      <c r="G5" s="291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292" t="s">
        <v>103</v>
      </c>
      <c r="U5" s="293"/>
      <c r="V5" s="292" t="s">
        <v>62</v>
      </c>
      <c r="W5" s="294"/>
      <c r="X5" s="136"/>
      <c r="Y5" s="137"/>
    </row>
    <row r="6" spans="1:27" s="19" customFormat="1" ht="15" customHeight="1">
      <c r="A6" s="182" t="s">
        <v>0</v>
      </c>
      <c r="B6" s="138"/>
      <c r="C6" s="11"/>
      <c r="D6" s="11" t="s">
        <v>66</v>
      </c>
      <c r="E6" s="11" t="s">
        <v>4</v>
      </c>
      <c r="F6" s="11" t="s">
        <v>4</v>
      </c>
      <c r="G6" s="11" t="s">
        <v>4</v>
      </c>
      <c r="H6" s="11"/>
      <c r="I6" s="11"/>
      <c r="J6" s="11"/>
      <c r="K6" s="11" t="s">
        <v>3</v>
      </c>
      <c r="L6" s="11" t="s">
        <v>3</v>
      </c>
      <c r="M6" s="11" t="s">
        <v>3</v>
      </c>
      <c r="N6" s="13" t="s">
        <v>3</v>
      </c>
      <c r="O6" s="198" t="s">
        <v>3</v>
      </c>
      <c r="P6" s="198" t="s">
        <v>282</v>
      </c>
      <c r="Q6" s="198" t="s">
        <v>258</v>
      </c>
      <c r="R6" s="198" t="s">
        <v>258</v>
      </c>
      <c r="S6" s="198" t="s">
        <v>258</v>
      </c>
      <c r="T6" s="287" t="s">
        <v>67</v>
      </c>
      <c r="U6" s="288"/>
      <c r="V6" s="295" t="s">
        <v>20</v>
      </c>
      <c r="W6" s="296"/>
      <c r="X6" s="139"/>
      <c r="Y6" s="178" t="s">
        <v>2</v>
      </c>
    </row>
    <row r="7" spans="1:27" s="19" customFormat="1" ht="12.75">
      <c r="A7" s="183"/>
      <c r="B7" s="32">
        <v>2007</v>
      </c>
      <c r="C7" s="32">
        <v>2008</v>
      </c>
      <c r="D7" s="32">
        <v>2009</v>
      </c>
      <c r="E7" s="32">
        <v>2010</v>
      </c>
      <c r="F7" s="32">
        <v>2011</v>
      </c>
      <c r="G7" s="32">
        <v>2012</v>
      </c>
      <c r="H7" s="32">
        <v>2009</v>
      </c>
      <c r="I7" s="32">
        <v>2010</v>
      </c>
      <c r="J7" s="32">
        <v>2011</v>
      </c>
      <c r="K7" s="32">
        <v>2012</v>
      </c>
      <c r="L7" s="32">
        <v>2013</v>
      </c>
      <c r="M7" s="32">
        <v>2014</v>
      </c>
      <c r="N7" s="14">
        <v>2015</v>
      </c>
      <c r="O7" s="199">
        <v>2016</v>
      </c>
      <c r="P7" s="199">
        <v>2017</v>
      </c>
      <c r="Q7" s="199">
        <v>2018</v>
      </c>
      <c r="R7" s="199">
        <v>2019</v>
      </c>
      <c r="S7" s="199">
        <v>2020</v>
      </c>
      <c r="T7" s="226">
        <v>2016</v>
      </c>
      <c r="U7" s="233">
        <v>2017</v>
      </c>
      <c r="V7" s="225" t="s">
        <v>257</v>
      </c>
      <c r="W7" s="240" t="s">
        <v>276</v>
      </c>
      <c r="X7" s="140"/>
      <c r="Y7" s="141"/>
      <c r="Z7" s="31"/>
      <c r="AA7" s="31"/>
    </row>
    <row r="8" spans="1:27" s="19" customFormat="1" ht="15">
      <c r="A8" s="34" t="s">
        <v>9</v>
      </c>
      <c r="B8" s="142">
        <f t="shared" ref="B8:O8" si="0">SUM(B9,B14,B20,B27)</f>
        <v>6560.1</v>
      </c>
      <c r="C8" s="142">
        <f t="shared" si="0"/>
        <v>7463.2</v>
      </c>
      <c r="D8" s="142">
        <f t="shared" si="0"/>
        <v>7942.4</v>
      </c>
      <c r="E8" s="142">
        <f t="shared" si="0"/>
        <v>9115.1999999999989</v>
      </c>
      <c r="F8" s="142">
        <f t="shared" si="0"/>
        <v>8659.1</v>
      </c>
      <c r="G8" s="142">
        <f t="shared" si="0"/>
        <v>8744.8993789999986</v>
      </c>
      <c r="H8" s="142">
        <f t="shared" si="0"/>
        <v>8738.7354969999997</v>
      </c>
      <c r="I8" s="142">
        <f t="shared" si="0"/>
        <v>8369.1443089999993</v>
      </c>
      <c r="J8" s="142">
        <f t="shared" si="0"/>
        <v>9075.7587179999991</v>
      </c>
      <c r="K8" s="142">
        <f t="shared" si="0"/>
        <v>10316.485255000001</v>
      </c>
      <c r="L8" s="142">
        <f t="shared" si="0"/>
        <v>11573.21458545</v>
      </c>
      <c r="M8" s="142">
        <f t="shared" si="0"/>
        <v>13954.396592000001</v>
      </c>
      <c r="N8" s="142">
        <f t="shared" si="0"/>
        <v>16678.511400880001</v>
      </c>
      <c r="O8" s="232">
        <f t="shared" si="0"/>
        <v>0</v>
      </c>
      <c r="P8" s="232">
        <f t="shared" ref="P8:Q8" si="1">SUM(P9,P14,P20,P27)</f>
        <v>0</v>
      </c>
      <c r="Q8" s="232">
        <f t="shared" si="1"/>
        <v>0</v>
      </c>
      <c r="R8" s="232">
        <f t="shared" ref="R8:S8" si="2">SUM(R9,R14,R20,R27)</f>
        <v>0</v>
      </c>
      <c r="S8" s="232">
        <f t="shared" si="2"/>
        <v>0</v>
      </c>
      <c r="T8" s="227" t="e">
        <f>+(O8/$O$8)*100</f>
        <v>#DIV/0!</v>
      </c>
      <c r="U8" s="234" t="e">
        <f>+(P8/$O$8)*100</f>
        <v>#DIV/0!</v>
      </c>
      <c r="V8" s="143">
        <f t="shared" ref="V8:W27" si="3">+((O8/N8)-1)*100</f>
        <v>-100</v>
      </c>
      <c r="W8" s="237" t="e">
        <f t="shared" si="3"/>
        <v>#DIV/0!</v>
      </c>
      <c r="X8" s="143"/>
      <c r="Y8" s="37" t="s">
        <v>10</v>
      </c>
    </row>
    <row r="9" spans="1:27" s="19" customFormat="1" ht="15">
      <c r="A9" s="34" t="s">
        <v>68</v>
      </c>
      <c r="B9" s="142">
        <f t="shared" ref="B9:O9" si="4">SUM(B10:B13)</f>
        <v>2241.8999999999996</v>
      </c>
      <c r="C9" s="142">
        <f t="shared" si="4"/>
        <v>3209.7</v>
      </c>
      <c r="D9" s="142">
        <f t="shared" si="4"/>
        <v>3276.6</v>
      </c>
      <c r="E9" s="142">
        <f t="shared" si="4"/>
        <v>4021.9</v>
      </c>
      <c r="F9" s="142">
        <f t="shared" si="4"/>
        <v>3529.1</v>
      </c>
      <c r="G9" s="142">
        <f t="shared" si="4"/>
        <v>3593.374147</v>
      </c>
      <c r="H9" s="142">
        <f t="shared" si="4"/>
        <v>3519.7833220000007</v>
      </c>
      <c r="I9" s="142">
        <f t="shared" si="4"/>
        <v>3978.9039029999999</v>
      </c>
      <c r="J9" s="142">
        <f t="shared" si="4"/>
        <v>4596.1388089999991</v>
      </c>
      <c r="K9" s="142">
        <f t="shared" si="4"/>
        <v>4774.492886</v>
      </c>
      <c r="L9" s="142">
        <f t="shared" si="4"/>
        <v>4784.0412950399996</v>
      </c>
      <c r="M9" s="142">
        <f t="shared" si="4"/>
        <v>5537.7483140000004</v>
      </c>
      <c r="N9" s="142">
        <f t="shared" si="4"/>
        <v>6243.3481799699994</v>
      </c>
      <c r="O9" s="232">
        <f t="shared" si="4"/>
        <v>0</v>
      </c>
      <c r="P9" s="232">
        <f t="shared" ref="P9:Q9" si="5">SUM(P10:P13)</f>
        <v>0</v>
      </c>
      <c r="Q9" s="232">
        <f t="shared" si="5"/>
        <v>0</v>
      </c>
      <c r="R9" s="232">
        <f t="shared" ref="R9:S9" si="6">SUM(R10:R13)</f>
        <v>0</v>
      </c>
      <c r="S9" s="232">
        <f t="shared" si="6"/>
        <v>0</v>
      </c>
      <c r="T9" s="227" t="e">
        <f t="shared" ref="T9:U27" si="7">+(O9/$O$8)*100</f>
        <v>#DIV/0!</v>
      </c>
      <c r="U9" s="234" t="e">
        <f t="shared" si="7"/>
        <v>#DIV/0!</v>
      </c>
      <c r="V9" s="143">
        <f t="shared" si="3"/>
        <v>-100</v>
      </c>
      <c r="W9" s="237" t="e">
        <f t="shared" si="3"/>
        <v>#DIV/0!</v>
      </c>
      <c r="X9" s="143"/>
      <c r="Y9" s="37" t="s">
        <v>69</v>
      </c>
    </row>
    <row r="10" spans="1:27" s="20" customFormat="1" ht="15">
      <c r="A10" s="38" t="s">
        <v>70</v>
      </c>
      <c r="B10" s="181">
        <v>1141.8</v>
      </c>
      <c r="C10" s="41">
        <v>1743.5</v>
      </c>
      <c r="D10" s="41">
        <v>1620.1</v>
      </c>
      <c r="E10" s="41">
        <v>2323.1</v>
      </c>
      <c r="F10" s="41">
        <v>1785</v>
      </c>
      <c r="G10" s="41">
        <v>1807.6922320000001</v>
      </c>
      <c r="H10" s="41">
        <v>1640.2071530000007</v>
      </c>
      <c r="I10" s="41">
        <v>2160.2136339999997</v>
      </c>
      <c r="J10" s="41">
        <v>2490.5053929999999</v>
      </c>
      <c r="K10" s="41">
        <v>2464.698202</v>
      </c>
      <c r="L10" s="41">
        <v>2284.8721354499999</v>
      </c>
      <c r="M10" s="41">
        <v>2757.612995</v>
      </c>
      <c r="N10" s="41">
        <v>2566.7069908099998</v>
      </c>
      <c r="O10" s="230"/>
      <c r="P10" s="230"/>
      <c r="Q10" s="230"/>
      <c r="R10" s="230"/>
      <c r="S10" s="230"/>
      <c r="T10" s="228" t="e">
        <f t="shared" si="7"/>
        <v>#DIV/0!</v>
      </c>
      <c r="U10" s="235" t="e">
        <f t="shared" si="7"/>
        <v>#DIV/0!</v>
      </c>
      <c r="V10" s="144">
        <f t="shared" si="3"/>
        <v>-100</v>
      </c>
      <c r="W10" s="238" t="e">
        <f t="shared" si="3"/>
        <v>#DIV/0!</v>
      </c>
      <c r="X10" s="144"/>
      <c r="Y10" s="30" t="s">
        <v>71</v>
      </c>
    </row>
    <row r="11" spans="1:27" s="20" customFormat="1" ht="15">
      <c r="A11" s="38" t="s">
        <v>72</v>
      </c>
      <c r="B11" s="181">
        <v>404.6</v>
      </c>
      <c r="C11" s="41">
        <v>549.1</v>
      </c>
      <c r="D11" s="41">
        <v>593.9</v>
      </c>
      <c r="E11" s="41">
        <v>551.20000000000005</v>
      </c>
      <c r="F11" s="41">
        <v>611.5</v>
      </c>
      <c r="G11" s="41">
        <v>637.60149200000001</v>
      </c>
      <c r="H11" s="41">
        <v>712.88716299999999</v>
      </c>
      <c r="I11" s="41">
        <v>651.41233499999998</v>
      </c>
      <c r="J11" s="41">
        <v>774.11099200000001</v>
      </c>
      <c r="K11" s="41">
        <v>800.63111700000002</v>
      </c>
      <c r="L11" s="41">
        <v>794.20175268000003</v>
      </c>
      <c r="M11" s="41">
        <v>834.3948089999999</v>
      </c>
      <c r="N11" s="41">
        <v>1023.3242030399999</v>
      </c>
      <c r="O11" s="230"/>
      <c r="P11" s="230"/>
      <c r="Q11" s="230"/>
      <c r="R11" s="230"/>
      <c r="S11" s="230"/>
      <c r="T11" s="228" t="e">
        <f t="shared" si="7"/>
        <v>#DIV/0!</v>
      </c>
      <c r="U11" s="235" t="e">
        <f t="shared" si="7"/>
        <v>#DIV/0!</v>
      </c>
      <c r="V11" s="144">
        <f t="shared" si="3"/>
        <v>-100</v>
      </c>
      <c r="W11" s="238" t="e">
        <f t="shared" si="3"/>
        <v>#DIV/0!</v>
      </c>
      <c r="X11" s="144"/>
      <c r="Y11" s="30" t="s">
        <v>73</v>
      </c>
    </row>
    <row r="12" spans="1:27" s="20" customFormat="1" ht="15">
      <c r="A12" s="38" t="s">
        <v>74</v>
      </c>
      <c r="B12" s="145">
        <v>600.29999999999995</v>
      </c>
      <c r="C12" s="41">
        <v>833.4</v>
      </c>
      <c r="D12" s="41">
        <v>968.9</v>
      </c>
      <c r="E12" s="41">
        <v>1055.0999999999999</v>
      </c>
      <c r="F12" s="41">
        <v>1052.7</v>
      </c>
      <c r="G12" s="41">
        <v>1066.94895</v>
      </c>
      <c r="H12" s="41">
        <v>1097.180717</v>
      </c>
      <c r="I12" s="41">
        <v>1132.7824310000001</v>
      </c>
      <c r="J12" s="41">
        <v>1296.9194520000001</v>
      </c>
      <c r="K12" s="41">
        <v>1470.4859779999999</v>
      </c>
      <c r="L12" s="41">
        <v>1659.45558701</v>
      </c>
      <c r="M12" s="41">
        <v>1876.671333</v>
      </c>
      <c r="N12" s="41">
        <v>2512.6496932300001</v>
      </c>
      <c r="O12" s="230"/>
      <c r="P12" s="230"/>
      <c r="Q12" s="230"/>
      <c r="R12" s="230"/>
      <c r="S12" s="230"/>
      <c r="T12" s="228" t="e">
        <f t="shared" si="7"/>
        <v>#DIV/0!</v>
      </c>
      <c r="U12" s="235" t="e">
        <f t="shared" si="7"/>
        <v>#DIV/0!</v>
      </c>
      <c r="V12" s="144">
        <f t="shared" si="3"/>
        <v>-100</v>
      </c>
      <c r="W12" s="238" t="e">
        <f t="shared" si="3"/>
        <v>#DIV/0!</v>
      </c>
      <c r="X12" s="144"/>
      <c r="Y12" s="30" t="s">
        <v>75</v>
      </c>
    </row>
    <row r="13" spans="1:27" s="20" customFormat="1" ht="15">
      <c r="A13" s="38" t="s">
        <v>76</v>
      </c>
      <c r="B13" s="93">
        <v>95.2</v>
      </c>
      <c r="C13" s="41">
        <v>83.7</v>
      </c>
      <c r="D13" s="41">
        <v>93.7</v>
      </c>
      <c r="E13" s="41">
        <v>92.5</v>
      </c>
      <c r="F13" s="41">
        <v>79.900000000000006</v>
      </c>
      <c r="G13" s="41">
        <v>81.131473</v>
      </c>
      <c r="H13" s="41">
        <v>69.508289000000005</v>
      </c>
      <c r="I13" s="41">
        <v>34.495502999999999</v>
      </c>
      <c r="J13" s="41">
        <v>34.602972000000001</v>
      </c>
      <c r="K13" s="41">
        <v>38.677588999999998</v>
      </c>
      <c r="L13" s="41">
        <v>45.511819899999999</v>
      </c>
      <c r="M13" s="41">
        <v>69.069176999999996</v>
      </c>
      <c r="N13" s="41">
        <v>140.66729289</v>
      </c>
      <c r="O13" s="230"/>
      <c r="P13" s="230"/>
      <c r="Q13" s="230"/>
      <c r="R13" s="230"/>
      <c r="S13" s="230"/>
      <c r="T13" s="228" t="e">
        <f t="shared" si="7"/>
        <v>#DIV/0!</v>
      </c>
      <c r="U13" s="235" t="e">
        <f t="shared" si="7"/>
        <v>#DIV/0!</v>
      </c>
      <c r="V13" s="144">
        <f t="shared" si="3"/>
        <v>-100</v>
      </c>
      <c r="W13" s="238" t="e">
        <f t="shared" si="3"/>
        <v>#DIV/0!</v>
      </c>
      <c r="X13" s="144"/>
      <c r="Y13" s="30" t="s">
        <v>77</v>
      </c>
    </row>
    <row r="14" spans="1:27" s="19" customFormat="1" ht="15">
      <c r="A14" s="34" t="s">
        <v>78</v>
      </c>
      <c r="B14" s="142">
        <f t="shared" ref="B14:I14" si="8">SUM(B15:B18)</f>
        <v>3817.6</v>
      </c>
      <c r="C14" s="142">
        <f t="shared" si="8"/>
        <v>3679.5</v>
      </c>
      <c r="D14" s="142">
        <f t="shared" si="8"/>
        <v>4016.4</v>
      </c>
      <c r="E14" s="142">
        <f t="shared" si="8"/>
        <v>4170.5</v>
      </c>
      <c r="F14" s="142">
        <f t="shared" si="8"/>
        <v>4282.6000000000004</v>
      </c>
      <c r="G14" s="142">
        <f t="shared" si="8"/>
        <v>4413.3455789999998</v>
      </c>
      <c r="H14" s="142">
        <f t="shared" si="8"/>
        <v>4345.2921539999998</v>
      </c>
      <c r="I14" s="142">
        <f t="shared" si="8"/>
        <v>3462.622922</v>
      </c>
      <c r="J14" s="142">
        <f>SUM(J15:J19)</f>
        <v>3544.46576</v>
      </c>
      <c r="K14" s="142">
        <f t="shared" ref="K14:Q14" si="9">SUM(K15:K19)</f>
        <v>4225.7286190000004</v>
      </c>
      <c r="L14" s="142">
        <f t="shared" si="9"/>
        <v>5531.6275246499999</v>
      </c>
      <c r="M14" s="142">
        <f t="shared" si="9"/>
        <v>7089.9977030000009</v>
      </c>
      <c r="N14" s="142">
        <f t="shared" si="9"/>
        <v>8742.95622215</v>
      </c>
      <c r="O14" s="232">
        <f t="shared" si="9"/>
        <v>0</v>
      </c>
      <c r="P14" s="232">
        <f t="shared" si="9"/>
        <v>0</v>
      </c>
      <c r="Q14" s="232">
        <f t="shared" si="9"/>
        <v>0</v>
      </c>
      <c r="R14" s="232">
        <f t="shared" ref="R14:S14" si="10">SUM(R15:R19)</f>
        <v>0</v>
      </c>
      <c r="S14" s="232">
        <f t="shared" si="10"/>
        <v>0</v>
      </c>
      <c r="T14" s="227" t="e">
        <f t="shared" si="7"/>
        <v>#DIV/0!</v>
      </c>
      <c r="U14" s="234" t="e">
        <f t="shared" si="7"/>
        <v>#DIV/0!</v>
      </c>
      <c r="V14" s="143">
        <f t="shared" si="3"/>
        <v>-100</v>
      </c>
      <c r="W14" s="237" t="e">
        <f t="shared" si="3"/>
        <v>#DIV/0!</v>
      </c>
      <c r="X14" s="143"/>
      <c r="Y14" s="37" t="s">
        <v>79</v>
      </c>
    </row>
    <row r="15" spans="1:27" s="20" customFormat="1" ht="15">
      <c r="A15" s="38" t="s">
        <v>80</v>
      </c>
      <c r="B15" s="181">
        <v>1149.4000000000001</v>
      </c>
      <c r="C15" s="41">
        <v>1467.1</v>
      </c>
      <c r="D15" s="41">
        <v>1958.3</v>
      </c>
      <c r="E15" s="41">
        <v>1632</v>
      </c>
      <c r="F15" s="41">
        <v>1703.1</v>
      </c>
      <c r="G15" s="41">
        <v>1731.0649900000001</v>
      </c>
      <c r="H15" s="41">
        <v>1801.544161</v>
      </c>
      <c r="I15" s="41">
        <v>1588.6194419999999</v>
      </c>
      <c r="J15" s="41">
        <v>1701.1680309999999</v>
      </c>
      <c r="K15" s="146">
        <v>2095.118363</v>
      </c>
      <c r="L15" s="41">
        <v>1927.3062449400002</v>
      </c>
      <c r="M15" s="41">
        <v>2111.528174</v>
      </c>
      <c r="N15" s="41">
        <v>2660.2240680199998</v>
      </c>
      <c r="O15" s="230"/>
      <c r="P15" s="230"/>
      <c r="Q15" s="230"/>
      <c r="R15" s="230"/>
      <c r="S15" s="230"/>
      <c r="T15" s="228" t="e">
        <f t="shared" si="7"/>
        <v>#DIV/0!</v>
      </c>
      <c r="U15" s="235" t="e">
        <f t="shared" si="7"/>
        <v>#DIV/0!</v>
      </c>
      <c r="V15" s="144">
        <f t="shared" si="3"/>
        <v>-100</v>
      </c>
      <c r="W15" s="238" t="e">
        <f t="shared" si="3"/>
        <v>#DIV/0!</v>
      </c>
      <c r="X15" s="144"/>
      <c r="Y15" s="30" t="s">
        <v>81</v>
      </c>
    </row>
    <row r="16" spans="1:27" s="20" customFormat="1" ht="15">
      <c r="A16" s="38" t="s">
        <v>82</v>
      </c>
      <c r="B16" s="181">
        <v>682.3</v>
      </c>
      <c r="C16" s="41">
        <v>1037.3</v>
      </c>
      <c r="D16" s="41">
        <v>798.5</v>
      </c>
      <c r="E16" s="41">
        <v>875.1</v>
      </c>
      <c r="F16" s="41">
        <v>922.4</v>
      </c>
      <c r="G16" s="41">
        <v>966.45820000000003</v>
      </c>
      <c r="H16" s="41">
        <v>1327.7892979999999</v>
      </c>
      <c r="I16" s="41">
        <v>946.95926599999996</v>
      </c>
      <c r="J16" s="41">
        <v>356.75031100000001</v>
      </c>
      <c r="K16" s="41">
        <v>288.929912</v>
      </c>
      <c r="L16" s="41">
        <v>1369.90178399</v>
      </c>
      <c r="M16" s="41">
        <v>1723.199959</v>
      </c>
      <c r="N16" s="41">
        <v>2233.1620040500002</v>
      </c>
      <c r="O16" s="230"/>
      <c r="P16" s="230"/>
      <c r="Q16" s="230"/>
      <c r="R16" s="230"/>
      <c r="S16" s="230"/>
      <c r="T16" s="228" t="e">
        <f t="shared" si="7"/>
        <v>#DIV/0!</v>
      </c>
      <c r="U16" s="235" t="e">
        <f t="shared" si="7"/>
        <v>#DIV/0!</v>
      </c>
      <c r="V16" s="144">
        <f t="shared" si="3"/>
        <v>-100</v>
      </c>
      <c r="W16" s="238" t="e">
        <f t="shared" si="3"/>
        <v>#DIV/0!</v>
      </c>
      <c r="X16" s="144"/>
      <c r="Y16" s="30" t="s">
        <v>83</v>
      </c>
    </row>
    <row r="17" spans="1:25" s="20" customFormat="1" ht="15">
      <c r="A17" s="38" t="s">
        <v>84</v>
      </c>
      <c r="B17" s="181">
        <v>231.4</v>
      </c>
      <c r="C17" s="41">
        <v>638.4</v>
      </c>
      <c r="D17" s="41">
        <v>772.2</v>
      </c>
      <c r="E17" s="41">
        <v>1202</v>
      </c>
      <c r="F17" s="41">
        <v>1115.4000000000001</v>
      </c>
      <c r="G17" s="41">
        <v>1165.9169099999999</v>
      </c>
      <c r="H17" s="41">
        <v>463.99557299999998</v>
      </c>
      <c r="I17" s="41">
        <v>577.73113499999999</v>
      </c>
      <c r="J17" s="41">
        <v>1132.764089</v>
      </c>
      <c r="K17" s="41">
        <v>1577.597278</v>
      </c>
      <c r="L17" s="41">
        <v>1958.0622446499999</v>
      </c>
      <c r="M17" s="41">
        <v>2924.2179980000001</v>
      </c>
      <c r="N17" s="41">
        <v>3212.2614754400001</v>
      </c>
      <c r="O17" s="230"/>
      <c r="P17" s="230"/>
      <c r="Q17" s="230"/>
      <c r="R17" s="230"/>
      <c r="S17" s="230"/>
      <c r="T17" s="228" t="e">
        <f t="shared" si="7"/>
        <v>#DIV/0!</v>
      </c>
      <c r="U17" s="235" t="e">
        <f t="shared" si="7"/>
        <v>#DIV/0!</v>
      </c>
      <c r="V17" s="144">
        <f t="shared" si="3"/>
        <v>-100</v>
      </c>
      <c r="W17" s="238" t="e">
        <f t="shared" si="3"/>
        <v>#DIV/0!</v>
      </c>
      <c r="X17" s="144"/>
      <c r="Y17" s="30" t="s">
        <v>85</v>
      </c>
    </row>
    <row r="18" spans="1:25" s="20" customFormat="1" ht="15">
      <c r="A18" s="38" t="s">
        <v>86</v>
      </c>
      <c r="B18" s="181">
        <v>1754.5</v>
      </c>
      <c r="C18" s="41">
        <v>536.70000000000005</v>
      </c>
      <c r="D18" s="41">
        <v>487.4</v>
      </c>
      <c r="E18" s="41">
        <v>461.4</v>
      </c>
      <c r="F18" s="41">
        <v>541.70000000000005</v>
      </c>
      <c r="G18" s="41">
        <v>549.90547900000001</v>
      </c>
      <c r="H18" s="41">
        <v>751.963122</v>
      </c>
      <c r="I18" s="41">
        <v>349.31307900000002</v>
      </c>
      <c r="J18" s="41">
        <v>353.78332899999998</v>
      </c>
      <c r="K18" s="41">
        <v>264.08306599999997</v>
      </c>
      <c r="L18" s="41">
        <v>4.6041600000000003</v>
      </c>
      <c r="M18" s="41">
        <v>3.837771</v>
      </c>
      <c r="N18" s="41">
        <v>0</v>
      </c>
      <c r="O18" s="230"/>
      <c r="P18" s="230"/>
      <c r="Q18" s="230"/>
      <c r="R18" s="230"/>
      <c r="S18" s="230"/>
      <c r="T18" s="228" t="e">
        <f t="shared" si="7"/>
        <v>#DIV/0!</v>
      </c>
      <c r="U18" s="235" t="e">
        <f t="shared" si="7"/>
        <v>#DIV/0!</v>
      </c>
      <c r="V18" s="41" t="e">
        <f t="shared" ref="V18:W18" si="11">+(Q18/$O$8)*100</f>
        <v>#DIV/0!</v>
      </c>
      <c r="W18" s="230" t="e">
        <f t="shared" si="11"/>
        <v>#DIV/0!</v>
      </c>
      <c r="X18" s="144"/>
      <c r="Y18" s="30" t="s">
        <v>87</v>
      </c>
    </row>
    <row r="19" spans="1:25" s="20" customFormat="1" ht="17.25">
      <c r="A19" s="38" t="s">
        <v>147</v>
      </c>
      <c r="B19" s="181"/>
      <c r="C19" s="41"/>
      <c r="D19" s="41"/>
      <c r="E19" s="41"/>
      <c r="F19" s="41"/>
      <c r="G19" s="41"/>
      <c r="H19" s="41"/>
      <c r="I19" s="41"/>
      <c r="J19" s="39">
        <v>0</v>
      </c>
      <c r="K19" s="39">
        <v>0</v>
      </c>
      <c r="L19" s="41">
        <v>271.75309106999975</v>
      </c>
      <c r="M19" s="41">
        <v>327.21380099999999</v>
      </c>
      <c r="N19" s="41">
        <v>637.30867463999994</v>
      </c>
      <c r="O19" s="230"/>
      <c r="P19" s="230"/>
      <c r="Q19" s="230"/>
      <c r="R19" s="230"/>
      <c r="S19" s="230"/>
      <c r="T19" s="228" t="e">
        <f t="shared" si="7"/>
        <v>#DIV/0!</v>
      </c>
      <c r="U19" s="235" t="e">
        <f t="shared" si="7"/>
        <v>#DIV/0!</v>
      </c>
      <c r="V19" s="144">
        <f t="shared" si="3"/>
        <v>-100</v>
      </c>
      <c r="W19" s="238" t="e">
        <f t="shared" si="3"/>
        <v>#DIV/0!</v>
      </c>
      <c r="X19" s="144"/>
      <c r="Y19" s="95" t="s">
        <v>225</v>
      </c>
    </row>
    <row r="20" spans="1:25" s="19" customFormat="1" ht="15">
      <c r="A20" s="34" t="s">
        <v>88</v>
      </c>
      <c r="B20" s="142">
        <f t="shared" ref="B20:I20" si="12">SUM(B21:B25)</f>
        <v>266.3</v>
      </c>
      <c r="C20" s="142">
        <f t="shared" si="12"/>
        <v>293.99999999999994</v>
      </c>
      <c r="D20" s="142">
        <f t="shared" si="12"/>
        <v>309.5</v>
      </c>
      <c r="E20" s="142">
        <f t="shared" si="12"/>
        <v>330.00000000000006</v>
      </c>
      <c r="F20" s="142">
        <f t="shared" si="12"/>
        <v>292.89999999999998</v>
      </c>
      <c r="G20" s="142">
        <f t="shared" si="12"/>
        <v>304.13394399999993</v>
      </c>
      <c r="H20" s="142">
        <f t="shared" si="12"/>
        <v>255.78124300000002</v>
      </c>
      <c r="I20" s="142">
        <f t="shared" si="12"/>
        <v>265.56214700000004</v>
      </c>
      <c r="J20" s="142">
        <f>SUM(J21:J26)</f>
        <v>209.35414899999998</v>
      </c>
      <c r="K20" s="142">
        <f t="shared" ref="K20:Q20" si="13">SUM(K21:K26)</f>
        <v>209.18252100000001</v>
      </c>
      <c r="L20" s="142">
        <f t="shared" si="13"/>
        <v>300.81956875999992</v>
      </c>
      <c r="M20" s="142">
        <f t="shared" si="13"/>
        <v>348.30320599999999</v>
      </c>
      <c r="N20" s="142">
        <f t="shared" si="13"/>
        <v>344.55713775999999</v>
      </c>
      <c r="O20" s="232">
        <f t="shared" si="13"/>
        <v>0</v>
      </c>
      <c r="P20" s="232">
        <f t="shared" si="13"/>
        <v>0</v>
      </c>
      <c r="Q20" s="232">
        <f t="shared" si="13"/>
        <v>0</v>
      </c>
      <c r="R20" s="232">
        <f t="shared" ref="R20:S20" si="14">SUM(R21:R26)</f>
        <v>0</v>
      </c>
      <c r="S20" s="232">
        <f t="shared" si="14"/>
        <v>0</v>
      </c>
      <c r="T20" s="227" t="e">
        <f t="shared" si="7"/>
        <v>#DIV/0!</v>
      </c>
      <c r="U20" s="234" t="e">
        <f t="shared" si="7"/>
        <v>#DIV/0!</v>
      </c>
      <c r="V20" s="143">
        <f t="shared" si="3"/>
        <v>-100</v>
      </c>
      <c r="W20" s="237" t="e">
        <f t="shared" si="3"/>
        <v>#DIV/0!</v>
      </c>
      <c r="X20" s="143"/>
      <c r="Y20" s="37" t="s">
        <v>45</v>
      </c>
    </row>
    <row r="21" spans="1:25" s="20" customFormat="1" ht="15">
      <c r="A21" s="38" t="s">
        <v>89</v>
      </c>
      <c r="B21" s="181">
        <v>25.8</v>
      </c>
      <c r="C21" s="41">
        <v>30.1</v>
      </c>
      <c r="D21" s="41">
        <v>36.9</v>
      </c>
      <c r="E21" s="41">
        <v>61.7</v>
      </c>
      <c r="F21" s="41">
        <v>63.7</v>
      </c>
      <c r="G21" s="41">
        <v>56.472088999999997</v>
      </c>
      <c r="H21" s="41">
        <v>35.399478999999999</v>
      </c>
      <c r="I21" s="41">
        <v>108.925563</v>
      </c>
      <c r="J21" s="41">
        <v>59.694450000000003</v>
      </c>
      <c r="K21" s="41">
        <v>45.578457</v>
      </c>
      <c r="L21" s="41">
        <v>62.856177169999995</v>
      </c>
      <c r="M21" s="41">
        <v>77.722431999999998</v>
      </c>
      <c r="N21" s="41">
        <v>44.379290109999999</v>
      </c>
      <c r="O21" s="230"/>
      <c r="P21" s="230"/>
      <c r="Q21" s="230"/>
      <c r="R21" s="230"/>
      <c r="S21" s="230"/>
      <c r="T21" s="228" t="e">
        <f t="shared" si="7"/>
        <v>#DIV/0!</v>
      </c>
      <c r="U21" s="235" t="e">
        <f t="shared" si="7"/>
        <v>#DIV/0!</v>
      </c>
      <c r="V21" s="144">
        <f t="shared" si="3"/>
        <v>-100</v>
      </c>
      <c r="W21" s="238" t="e">
        <f t="shared" si="3"/>
        <v>#DIV/0!</v>
      </c>
      <c r="X21" s="144"/>
      <c r="Y21" s="147" t="s">
        <v>90</v>
      </c>
    </row>
    <row r="22" spans="1:25" s="20" customFormat="1" ht="15">
      <c r="A22" s="38" t="s">
        <v>91</v>
      </c>
      <c r="B22" s="181">
        <v>97.5</v>
      </c>
      <c r="C22" s="41">
        <v>145</v>
      </c>
      <c r="D22" s="41">
        <v>134</v>
      </c>
      <c r="E22" s="41">
        <v>176.9</v>
      </c>
      <c r="F22" s="41">
        <v>139.5</v>
      </c>
      <c r="G22" s="41">
        <v>154.75196</v>
      </c>
      <c r="H22" s="41">
        <v>95.280591000000001</v>
      </c>
      <c r="I22" s="41">
        <v>81.075993999999994</v>
      </c>
      <c r="J22" s="41">
        <v>78.940620999999993</v>
      </c>
      <c r="K22" s="41">
        <v>67.993539999999996</v>
      </c>
      <c r="L22" s="41">
        <v>35.804027499999997</v>
      </c>
      <c r="M22" s="41">
        <v>155.90539000000001</v>
      </c>
      <c r="N22" s="41">
        <v>71.299115999999998</v>
      </c>
      <c r="O22" s="230"/>
      <c r="P22" s="230"/>
      <c r="Q22" s="230"/>
      <c r="R22" s="230"/>
      <c r="S22" s="230"/>
      <c r="T22" s="228" t="e">
        <f t="shared" si="7"/>
        <v>#DIV/0!</v>
      </c>
      <c r="U22" s="235" t="e">
        <f t="shared" si="7"/>
        <v>#DIV/0!</v>
      </c>
      <c r="V22" s="144">
        <f t="shared" si="3"/>
        <v>-100</v>
      </c>
      <c r="W22" s="238" t="e">
        <f t="shared" si="3"/>
        <v>#DIV/0!</v>
      </c>
      <c r="X22" s="144"/>
      <c r="Y22" s="147" t="s">
        <v>92</v>
      </c>
    </row>
    <row r="23" spans="1:25" s="20" customFormat="1" ht="15">
      <c r="A23" s="38" t="s">
        <v>93</v>
      </c>
      <c r="B23" s="181">
        <v>16.899999999999999</v>
      </c>
      <c r="C23" s="41">
        <v>18.600000000000001</v>
      </c>
      <c r="D23" s="41">
        <v>32.700000000000003</v>
      </c>
      <c r="E23" s="41">
        <v>28.6</v>
      </c>
      <c r="F23" s="41">
        <v>33.5</v>
      </c>
      <c r="G23" s="41">
        <v>33.484577000000002</v>
      </c>
      <c r="H23" s="41">
        <v>29.27197</v>
      </c>
      <c r="I23" s="41">
        <v>17.173514000000001</v>
      </c>
      <c r="J23" s="41">
        <v>20.235569000000002</v>
      </c>
      <c r="K23" s="41">
        <v>27.574041999999999</v>
      </c>
      <c r="L23" s="41">
        <v>26.957459039999989</v>
      </c>
      <c r="M23" s="41">
        <v>32.610194</v>
      </c>
      <c r="N23" s="41">
        <v>31.466308000000001</v>
      </c>
      <c r="O23" s="230"/>
      <c r="P23" s="230"/>
      <c r="Q23" s="230"/>
      <c r="R23" s="230"/>
      <c r="S23" s="230"/>
      <c r="T23" s="228" t="e">
        <f t="shared" si="7"/>
        <v>#DIV/0!</v>
      </c>
      <c r="U23" s="235" t="e">
        <f t="shared" si="7"/>
        <v>#DIV/0!</v>
      </c>
      <c r="V23" s="144">
        <f t="shared" si="3"/>
        <v>-100</v>
      </c>
      <c r="W23" s="238" t="e">
        <f t="shared" si="3"/>
        <v>#DIV/0!</v>
      </c>
      <c r="X23" s="144"/>
      <c r="Y23" s="147" t="s">
        <v>94</v>
      </c>
    </row>
    <row r="24" spans="1:25" s="20" customFormat="1" ht="15">
      <c r="A24" s="40" t="s">
        <v>95</v>
      </c>
      <c r="B24" s="181">
        <v>107.8</v>
      </c>
      <c r="C24" s="41">
        <v>80.099999999999994</v>
      </c>
      <c r="D24" s="41">
        <v>87.7</v>
      </c>
      <c r="E24" s="41">
        <v>48.5</v>
      </c>
      <c r="F24" s="41">
        <v>38.9</v>
      </c>
      <c r="G24" s="41">
        <v>42.022793999999998</v>
      </c>
      <c r="H24" s="41">
        <v>78.335824000000002</v>
      </c>
      <c r="I24" s="41">
        <v>43.838565000000003</v>
      </c>
      <c r="J24" s="41">
        <v>33.652334000000003</v>
      </c>
      <c r="K24" s="41">
        <v>52.352131999999997</v>
      </c>
      <c r="L24" s="41">
        <v>33.053981409999999</v>
      </c>
      <c r="M24" s="41">
        <v>48.876987999999997</v>
      </c>
      <c r="N24" s="41">
        <v>103.028464</v>
      </c>
      <c r="O24" s="230"/>
      <c r="P24" s="230"/>
      <c r="Q24" s="230"/>
      <c r="R24" s="230"/>
      <c r="S24" s="230"/>
      <c r="T24" s="228" t="e">
        <f t="shared" si="7"/>
        <v>#DIV/0!</v>
      </c>
      <c r="U24" s="235" t="e">
        <f t="shared" si="7"/>
        <v>#DIV/0!</v>
      </c>
      <c r="V24" s="144">
        <f t="shared" si="3"/>
        <v>-100</v>
      </c>
      <c r="W24" s="238" t="e">
        <f t="shared" si="3"/>
        <v>#DIV/0!</v>
      </c>
      <c r="X24" s="144"/>
      <c r="Y24" s="147" t="s">
        <v>96</v>
      </c>
    </row>
    <row r="25" spans="1:25" s="20" customFormat="1" ht="15">
      <c r="A25" s="40" t="s">
        <v>97</v>
      </c>
      <c r="B25" s="181">
        <v>18.3</v>
      </c>
      <c r="C25" s="41">
        <v>20.2</v>
      </c>
      <c r="D25" s="41">
        <v>18.2</v>
      </c>
      <c r="E25" s="41">
        <v>14.3</v>
      </c>
      <c r="F25" s="41">
        <v>17.3</v>
      </c>
      <c r="G25" s="41">
        <v>17.402524</v>
      </c>
      <c r="H25" s="41">
        <v>17.493379000000001</v>
      </c>
      <c r="I25" s="41">
        <v>14.548511</v>
      </c>
      <c r="J25" s="41">
        <v>16.831175000000002</v>
      </c>
      <c r="K25" s="41">
        <v>15.68435</v>
      </c>
      <c r="L25" s="41">
        <v>140.28595263999998</v>
      </c>
      <c r="M25" s="41">
        <v>31.397749000000001</v>
      </c>
      <c r="N25" s="41">
        <v>92.426890650000004</v>
      </c>
      <c r="O25" s="230"/>
      <c r="P25" s="230"/>
      <c r="Q25" s="230"/>
      <c r="R25" s="230"/>
      <c r="S25" s="230"/>
      <c r="T25" s="228" t="e">
        <f t="shared" si="7"/>
        <v>#DIV/0!</v>
      </c>
      <c r="U25" s="235" t="e">
        <f t="shared" si="7"/>
        <v>#DIV/0!</v>
      </c>
      <c r="V25" s="144">
        <f t="shared" si="3"/>
        <v>-100</v>
      </c>
      <c r="W25" s="238" t="e">
        <f t="shared" si="3"/>
        <v>#DIV/0!</v>
      </c>
      <c r="X25" s="144"/>
      <c r="Y25" s="148" t="s">
        <v>98</v>
      </c>
    </row>
    <row r="26" spans="1:25" s="20" customFormat="1" ht="15">
      <c r="A26" s="40" t="s">
        <v>148</v>
      </c>
      <c r="B26" s="181"/>
      <c r="C26" s="41"/>
      <c r="D26" s="41"/>
      <c r="E26" s="41"/>
      <c r="F26" s="41"/>
      <c r="G26" s="41"/>
      <c r="H26" s="41"/>
      <c r="I26" s="41"/>
      <c r="J26" s="41">
        <v>0</v>
      </c>
      <c r="K26" s="41">
        <v>0</v>
      </c>
      <c r="L26" s="41">
        <v>1.861971</v>
      </c>
      <c r="M26" s="41">
        <v>1.7904530000000001</v>
      </c>
      <c r="N26" s="41">
        <v>1.9570689999999999</v>
      </c>
      <c r="O26" s="230"/>
      <c r="P26" s="230"/>
      <c r="Q26" s="230"/>
      <c r="R26" s="230"/>
      <c r="S26" s="230"/>
      <c r="T26" s="228" t="e">
        <f t="shared" si="7"/>
        <v>#DIV/0!</v>
      </c>
      <c r="U26" s="235" t="e">
        <f t="shared" si="7"/>
        <v>#DIV/0!</v>
      </c>
      <c r="V26" s="144">
        <f t="shared" si="3"/>
        <v>-100</v>
      </c>
      <c r="W26" s="238" t="e">
        <f t="shared" si="3"/>
        <v>#DIV/0!</v>
      </c>
      <c r="X26" s="144"/>
      <c r="Y26" s="148"/>
    </row>
    <row r="27" spans="1:25" s="19" customFormat="1" ht="15">
      <c r="A27" s="183" t="s">
        <v>99</v>
      </c>
      <c r="B27" s="42">
        <v>234.3</v>
      </c>
      <c r="C27" s="149">
        <v>280</v>
      </c>
      <c r="D27" s="149">
        <v>339.9</v>
      </c>
      <c r="E27" s="149">
        <v>592.79999999999995</v>
      </c>
      <c r="F27" s="149">
        <v>554.5</v>
      </c>
      <c r="G27" s="149">
        <v>434.04570899999999</v>
      </c>
      <c r="H27" s="149">
        <v>617.87877800000001</v>
      </c>
      <c r="I27" s="149">
        <v>662.05533700000001</v>
      </c>
      <c r="J27" s="149">
        <v>725.8</v>
      </c>
      <c r="K27" s="149">
        <v>1107.0812289999999</v>
      </c>
      <c r="L27" s="149">
        <v>956.72619699999996</v>
      </c>
      <c r="M27" s="149">
        <v>978.34736899999996</v>
      </c>
      <c r="N27" s="149">
        <v>1347.6498610000001</v>
      </c>
      <c r="O27" s="231"/>
      <c r="P27" s="231"/>
      <c r="Q27" s="231"/>
      <c r="R27" s="231"/>
      <c r="S27" s="231"/>
      <c r="T27" s="229" t="e">
        <f t="shared" si="7"/>
        <v>#DIV/0!</v>
      </c>
      <c r="U27" s="236" t="e">
        <f t="shared" si="7"/>
        <v>#DIV/0!</v>
      </c>
      <c r="V27" s="150">
        <f t="shared" si="3"/>
        <v>-100</v>
      </c>
      <c r="W27" s="239" t="e">
        <f t="shared" si="3"/>
        <v>#DIV/0!</v>
      </c>
      <c r="X27" s="150"/>
      <c r="Y27" s="151" t="s">
        <v>100</v>
      </c>
    </row>
    <row r="28" spans="1:25" s="20" customFormat="1" ht="15">
      <c r="A28" s="21" t="s">
        <v>13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6"/>
      <c r="W28" s="76"/>
      <c r="X28" s="76"/>
      <c r="Y28" s="30" t="s">
        <v>14</v>
      </c>
    </row>
    <row r="29" spans="1:25" s="20" customFormat="1" ht="15">
      <c r="A29" s="21" t="s">
        <v>101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6"/>
      <c r="W29" s="76"/>
      <c r="X29" s="76"/>
      <c r="Y29" s="30" t="s">
        <v>102</v>
      </c>
    </row>
    <row r="30" spans="1:25" s="20" customFormat="1">
      <c r="A30" s="2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52"/>
      <c r="W30" s="152"/>
      <c r="X30" s="152"/>
    </row>
    <row r="31" spans="1:25" s="156" customFormat="1" ht="12.75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5"/>
      <c r="W31" s="155"/>
      <c r="X31" s="155"/>
    </row>
    <row r="32" spans="1:25" s="156" customFormat="1" ht="12.75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5"/>
      <c r="W32" s="155"/>
      <c r="X32" s="155"/>
    </row>
    <row r="33" spans="1:24" s="156" customFormat="1" ht="12.75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5"/>
      <c r="W33" s="155"/>
      <c r="X33" s="155"/>
    </row>
    <row r="34" spans="1:24" s="156" customFormat="1" ht="12.7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5"/>
      <c r="W34" s="155"/>
      <c r="X34" s="155"/>
    </row>
    <row r="35" spans="1:24" s="156" customFormat="1" ht="12.7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5"/>
      <c r="W35" s="155"/>
      <c r="X35" s="155"/>
    </row>
    <row r="36" spans="1:24" s="156" customFormat="1" ht="12.75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5"/>
      <c r="W36" s="155"/>
      <c r="X36" s="155"/>
    </row>
    <row r="37" spans="1:24" s="156" customFormat="1"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8"/>
      <c r="W37" s="158"/>
      <c r="X37" s="158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24" hidden="1" customWidth="1"/>
    <col min="12" max="12" width="8.85546875" style="24"/>
    <col min="13" max="13" width="10.140625" style="24" customWidth="1"/>
    <col min="14" max="14" width="11.5703125" style="24" customWidth="1"/>
    <col min="15" max="19" width="8.85546875" style="24"/>
    <col min="20" max="21" width="10.28515625" style="24" customWidth="1"/>
    <col min="22" max="22" width="1.28515625" style="24" customWidth="1"/>
    <col min="23" max="24" width="12.5703125" style="24" customWidth="1"/>
    <col min="25" max="25" width="3.85546875" style="24" customWidth="1"/>
    <col min="26" max="26" width="42" style="15" customWidth="1"/>
    <col min="27" max="16384" width="8.85546875" style="15"/>
  </cols>
  <sheetData>
    <row r="1" spans="1:26" ht="19.5">
      <c r="A1" s="272" t="s">
        <v>277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spans="1:26">
      <c r="A2" s="289" t="s">
        <v>278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</row>
    <row r="3" spans="1:26" ht="14.25">
      <c r="A3" s="290" t="s">
        <v>15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</row>
    <row r="4" spans="1:26" s="16" customFormat="1">
      <c r="A4" s="275" t="s">
        <v>65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 spans="1:26" s="16" customFormat="1" ht="18.75">
      <c r="A5" s="184"/>
      <c r="B5" s="184"/>
      <c r="D5" s="80" t="s">
        <v>1</v>
      </c>
      <c r="E5" s="302" t="s">
        <v>5</v>
      </c>
      <c r="F5" s="302"/>
      <c r="G5" s="302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300" t="s">
        <v>103</v>
      </c>
      <c r="U5" s="301"/>
      <c r="V5" s="82"/>
      <c r="W5" s="303" t="s">
        <v>62</v>
      </c>
      <c r="X5" s="303"/>
      <c r="Y5" s="164"/>
    </row>
    <row r="6" spans="1:26" s="31" customFormat="1" ht="15">
      <c r="A6" s="83" t="s">
        <v>0</v>
      </c>
      <c r="D6" s="48" t="s">
        <v>104</v>
      </c>
      <c r="E6" s="84" t="s">
        <v>4</v>
      </c>
      <c r="F6" s="84" t="s">
        <v>4</v>
      </c>
      <c r="G6" s="84" t="s">
        <v>4</v>
      </c>
      <c r="H6" s="84"/>
      <c r="I6" s="84"/>
      <c r="J6" s="84"/>
      <c r="K6" s="84" t="s">
        <v>3</v>
      </c>
      <c r="L6" s="84" t="s">
        <v>3</v>
      </c>
      <c r="M6" s="84" t="s">
        <v>3</v>
      </c>
      <c r="N6" s="13" t="s">
        <v>3</v>
      </c>
      <c r="O6" s="198" t="s">
        <v>3</v>
      </c>
      <c r="P6" s="198" t="s">
        <v>282</v>
      </c>
      <c r="Q6" s="198" t="s">
        <v>258</v>
      </c>
      <c r="R6" s="198" t="s">
        <v>258</v>
      </c>
      <c r="S6" s="198" t="s">
        <v>258</v>
      </c>
      <c r="T6" s="298" t="s">
        <v>67</v>
      </c>
      <c r="U6" s="299"/>
      <c r="V6" s="161"/>
      <c r="W6" s="297" t="s">
        <v>20</v>
      </c>
      <c r="X6" s="297"/>
      <c r="Y6" s="165"/>
      <c r="Z6" s="178" t="s">
        <v>2</v>
      </c>
    </row>
    <row r="7" spans="1:26" s="88" customFormat="1">
      <c r="A7" s="85"/>
      <c r="B7" s="85">
        <v>2007</v>
      </c>
      <c r="C7" s="85">
        <v>2008</v>
      </c>
      <c r="D7" s="85">
        <v>2009</v>
      </c>
      <c r="E7" s="85">
        <v>2010</v>
      </c>
      <c r="F7" s="85">
        <v>2011</v>
      </c>
      <c r="G7" s="85">
        <v>2012</v>
      </c>
      <c r="H7" s="85">
        <v>2009</v>
      </c>
      <c r="I7" s="85">
        <v>2010</v>
      </c>
      <c r="J7" s="85">
        <v>2011</v>
      </c>
      <c r="K7" s="85">
        <v>2012</v>
      </c>
      <c r="L7" s="85">
        <v>2013</v>
      </c>
      <c r="M7" s="85">
        <v>2014</v>
      </c>
      <c r="N7" s="14">
        <v>2015</v>
      </c>
      <c r="O7" s="199">
        <v>2016</v>
      </c>
      <c r="P7" s="199">
        <v>2017</v>
      </c>
      <c r="Q7" s="199">
        <v>2018</v>
      </c>
      <c r="R7" s="199">
        <v>2019</v>
      </c>
      <c r="S7" s="199">
        <v>2020</v>
      </c>
      <c r="T7" s="241">
        <v>2016</v>
      </c>
      <c r="U7" s="254">
        <v>2017</v>
      </c>
      <c r="V7" s="85"/>
      <c r="W7" s="86" t="s">
        <v>257</v>
      </c>
      <c r="X7" s="260" t="s">
        <v>276</v>
      </c>
      <c r="Y7" s="87"/>
      <c r="Z7" s="87"/>
    </row>
    <row r="8" spans="1:26" s="19" customFormat="1" ht="18" customHeight="1">
      <c r="A8" s="34" t="s">
        <v>105</v>
      </c>
      <c r="B8" s="89">
        <f t="shared" ref="B8:O8" si="0">SUM(B9,B28)</f>
        <v>1640.8000000000002</v>
      </c>
      <c r="C8" s="89">
        <f t="shared" si="0"/>
        <v>2712.7999999999997</v>
      </c>
      <c r="D8" s="89">
        <f t="shared" si="0"/>
        <v>2938.9670029999997</v>
      </c>
      <c r="E8" s="89">
        <f t="shared" si="0"/>
        <v>1791.4</v>
      </c>
      <c r="F8" s="89">
        <f t="shared" si="0"/>
        <v>1261.8</v>
      </c>
      <c r="G8" s="89">
        <f t="shared" si="0"/>
        <v>1398.8000000000002</v>
      </c>
      <c r="H8" s="89">
        <f t="shared" si="0"/>
        <v>2214.6986589999997</v>
      </c>
      <c r="I8" s="89">
        <f t="shared" si="0"/>
        <v>2445.9177938999997</v>
      </c>
      <c r="J8" s="89">
        <f t="shared" si="0"/>
        <v>3188.9832150000002</v>
      </c>
      <c r="K8" s="89">
        <f t="shared" si="0"/>
        <v>2793.5176700000002</v>
      </c>
      <c r="L8" s="167">
        <f t="shared" si="0"/>
        <v>1957.5564169399997</v>
      </c>
      <c r="M8" s="167">
        <f t="shared" si="0"/>
        <v>2462.8850039999998</v>
      </c>
      <c r="N8" s="167">
        <f t="shared" si="0"/>
        <v>4658.3671360299995</v>
      </c>
      <c r="O8" s="251">
        <f t="shared" si="0"/>
        <v>0</v>
      </c>
      <c r="P8" s="251">
        <f t="shared" ref="P8" si="1">SUM(P9,P28)</f>
        <v>0</v>
      </c>
      <c r="Q8" s="251">
        <f t="shared" ref="Q8:R8" si="2">SUM(Q9,Q28)</f>
        <v>0</v>
      </c>
      <c r="R8" s="251">
        <f t="shared" si="2"/>
        <v>0</v>
      </c>
      <c r="S8" s="251">
        <f t="shared" ref="S8" si="3">SUM(S9,S28)</f>
        <v>0</v>
      </c>
      <c r="T8" s="242"/>
      <c r="U8" s="255"/>
      <c r="V8" s="90"/>
      <c r="W8" s="91">
        <f t="shared" ref="W8:X28" si="4">+((O8/N8)-1)*100</f>
        <v>-100</v>
      </c>
      <c r="X8" s="261" t="e">
        <f>+((P8/O8)-1)*100</f>
        <v>#DIV/0!</v>
      </c>
      <c r="Z8" s="37" t="s">
        <v>106</v>
      </c>
    </row>
    <row r="9" spans="1:26" s="19" customFormat="1" ht="18" customHeight="1">
      <c r="A9" s="34" t="s">
        <v>107</v>
      </c>
      <c r="B9" s="89">
        <f t="shared" ref="B9:O9" si="5">SUM(B10,B15,B21)</f>
        <v>1765.3000000000002</v>
      </c>
      <c r="C9" s="89">
        <f t="shared" si="5"/>
        <v>2879.2</v>
      </c>
      <c r="D9" s="89">
        <f t="shared" si="5"/>
        <v>3007.8670029999998</v>
      </c>
      <c r="E9" s="89">
        <f t="shared" si="5"/>
        <v>2038.9</v>
      </c>
      <c r="F9" s="89">
        <f t="shared" si="5"/>
        <v>1537</v>
      </c>
      <c r="G9" s="89">
        <f t="shared" si="5"/>
        <v>1645.0000000000002</v>
      </c>
      <c r="H9" s="89">
        <f t="shared" si="5"/>
        <v>2365.5349919999999</v>
      </c>
      <c r="I9" s="89">
        <f t="shared" si="5"/>
        <v>2627.2177938999998</v>
      </c>
      <c r="J9" s="89">
        <f t="shared" si="5"/>
        <v>3587.9832150000002</v>
      </c>
      <c r="K9" s="89">
        <f t="shared" si="5"/>
        <v>2883.7493060000002</v>
      </c>
      <c r="L9" s="167">
        <f t="shared" si="5"/>
        <v>2093.0414239399997</v>
      </c>
      <c r="M9" s="167">
        <f t="shared" si="5"/>
        <v>2585.0470539999997</v>
      </c>
      <c r="N9" s="167">
        <f t="shared" si="5"/>
        <v>4762.3853820299992</v>
      </c>
      <c r="O9" s="251">
        <f t="shared" si="5"/>
        <v>0</v>
      </c>
      <c r="P9" s="251">
        <f t="shared" ref="P9:Q9" si="6">SUM(P10,P15,P21)</f>
        <v>0</v>
      </c>
      <c r="Q9" s="251">
        <f t="shared" si="6"/>
        <v>0</v>
      </c>
      <c r="R9" s="251">
        <f t="shared" ref="R9:S9" si="7">SUM(R10,R15,R21)</f>
        <v>0</v>
      </c>
      <c r="S9" s="251">
        <f t="shared" si="7"/>
        <v>0</v>
      </c>
      <c r="T9" s="243" t="e">
        <f>+(O9/$O$9)*100</f>
        <v>#DIV/0!</v>
      </c>
      <c r="U9" s="256" t="e">
        <f>+(P9/$O$9)*100</f>
        <v>#DIV/0!</v>
      </c>
      <c r="V9" s="90"/>
      <c r="W9" s="91">
        <f t="shared" si="4"/>
        <v>-100</v>
      </c>
      <c r="X9" s="261" t="e">
        <f t="shared" si="4"/>
        <v>#DIV/0!</v>
      </c>
      <c r="Z9" s="37" t="s">
        <v>108</v>
      </c>
    </row>
    <row r="10" spans="1:26" s="19" customFormat="1" ht="18" customHeight="1">
      <c r="A10" s="34" t="s">
        <v>109</v>
      </c>
      <c r="B10" s="89">
        <f t="shared" ref="B10:O10" si="8">SUM(B11:B14)</f>
        <v>808.9</v>
      </c>
      <c r="C10" s="89">
        <f t="shared" si="8"/>
        <v>498.79999999999995</v>
      </c>
      <c r="D10" s="89">
        <f t="shared" si="8"/>
        <v>867.71007999999995</v>
      </c>
      <c r="E10" s="89">
        <f t="shared" si="8"/>
        <v>495.4</v>
      </c>
      <c r="F10" s="89">
        <f t="shared" si="8"/>
        <v>381.3</v>
      </c>
      <c r="G10" s="89">
        <f t="shared" si="8"/>
        <v>709.7</v>
      </c>
      <c r="H10" s="89">
        <f t="shared" si="8"/>
        <v>696.52141600000004</v>
      </c>
      <c r="I10" s="89">
        <f t="shared" si="8"/>
        <v>635.70163600000001</v>
      </c>
      <c r="J10" s="89">
        <f t="shared" si="8"/>
        <v>1285.636868</v>
      </c>
      <c r="K10" s="89">
        <f t="shared" si="8"/>
        <v>1139.8289990000001</v>
      </c>
      <c r="L10" s="167">
        <f t="shared" si="8"/>
        <v>462.58586595999998</v>
      </c>
      <c r="M10" s="167">
        <f t="shared" si="8"/>
        <v>679.01722999999993</v>
      </c>
      <c r="N10" s="167">
        <f t="shared" si="8"/>
        <v>2079.0821064299998</v>
      </c>
      <c r="O10" s="251">
        <f t="shared" si="8"/>
        <v>0</v>
      </c>
      <c r="P10" s="251">
        <f t="shared" ref="P10:Q10" si="9">SUM(P11:P14)</f>
        <v>0</v>
      </c>
      <c r="Q10" s="251">
        <f t="shared" si="9"/>
        <v>0</v>
      </c>
      <c r="R10" s="251">
        <f t="shared" ref="R10:S10" si="10">SUM(R11:R14)</f>
        <v>0</v>
      </c>
      <c r="S10" s="251">
        <f t="shared" si="10"/>
        <v>0</v>
      </c>
      <c r="T10" s="243" t="e">
        <f t="shared" ref="T10:U31" si="11">+(O10/$O$9)*100</f>
        <v>#DIV/0!</v>
      </c>
      <c r="U10" s="256" t="e">
        <f t="shared" si="11"/>
        <v>#DIV/0!</v>
      </c>
      <c r="V10" s="90"/>
      <c r="W10" s="91">
        <f t="shared" si="4"/>
        <v>-100</v>
      </c>
      <c r="X10" s="261" t="e">
        <f t="shared" si="4"/>
        <v>#DIV/0!</v>
      </c>
      <c r="Z10" s="37" t="s">
        <v>110</v>
      </c>
    </row>
    <row r="11" spans="1:26" s="20" customFormat="1" ht="18" customHeight="1">
      <c r="A11" s="38" t="s">
        <v>111</v>
      </c>
      <c r="B11" s="180">
        <v>465.50000000000006</v>
      </c>
      <c r="C11" s="92">
        <v>300.39999999999998</v>
      </c>
      <c r="D11" s="92">
        <v>659</v>
      </c>
      <c r="E11" s="92">
        <v>197</v>
      </c>
      <c r="F11" s="92">
        <v>230.9</v>
      </c>
      <c r="G11" s="92">
        <v>523.29999999999995</v>
      </c>
      <c r="H11" s="92">
        <v>557.45811400000002</v>
      </c>
      <c r="I11" s="92">
        <v>524.06922099999997</v>
      </c>
      <c r="J11" s="92">
        <v>923.85471400000006</v>
      </c>
      <c r="K11" s="92">
        <v>967.18460399999992</v>
      </c>
      <c r="L11" s="168">
        <v>254.18770169000001</v>
      </c>
      <c r="M11" s="168">
        <v>432.35995500000001</v>
      </c>
      <c r="N11" s="168">
        <v>1056.8424239999999</v>
      </c>
      <c r="O11" s="247"/>
      <c r="P11" s="247"/>
      <c r="Q11" s="247"/>
      <c r="R11" s="247"/>
      <c r="S11" s="247"/>
      <c r="T11" s="244" t="e">
        <f t="shared" si="11"/>
        <v>#DIV/0!</v>
      </c>
      <c r="U11" s="257" t="e">
        <f t="shared" si="11"/>
        <v>#DIV/0!</v>
      </c>
      <c r="V11" s="93"/>
      <c r="W11" s="94">
        <f t="shared" si="4"/>
        <v>-100</v>
      </c>
      <c r="X11" s="262" t="e">
        <f t="shared" si="4"/>
        <v>#DIV/0!</v>
      </c>
      <c r="Z11" s="30" t="s">
        <v>71</v>
      </c>
    </row>
    <row r="12" spans="1:26" s="20" customFormat="1" ht="18" customHeight="1">
      <c r="A12" s="38" t="s">
        <v>112</v>
      </c>
      <c r="B12" s="180">
        <v>71.099999999999994</v>
      </c>
      <c r="C12" s="92">
        <v>37.299999999999997</v>
      </c>
      <c r="D12" s="92">
        <v>41.634203999999997</v>
      </c>
      <c r="E12" s="92">
        <v>33</v>
      </c>
      <c r="F12" s="92">
        <v>26.7</v>
      </c>
      <c r="G12" s="92">
        <v>21.2</v>
      </c>
      <c r="H12" s="92">
        <v>39.637543000000001</v>
      </c>
      <c r="I12" s="92">
        <v>18.016133</v>
      </c>
      <c r="J12" s="92">
        <v>136.47622799999999</v>
      </c>
      <c r="K12" s="92">
        <v>12.031162</v>
      </c>
      <c r="L12" s="168">
        <v>2.399518</v>
      </c>
      <c r="M12" s="168">
        <v>88.919511</v>
      </c>
      <c r="N12" s="168">
        <v>172.01989833000002</v>
      </c>
      <c r="O12" s="247"/>
      <c r="P12" s="247"/>
      <c r="Q12" s="247"/>
      <c r="R12" s="247"/>
      <c r="S12" s="247"/>
      <c r="T12" s="244" t="e">
        <f t="shared" si="11"/>
        <v>#DIV/0!</v>
      </c>
      <c r="U12" s="257" t="e">
        <f t="shared" si="11"/>
        <v>#DIV/0!</v>
      </c>
      <c r="V12" s="93"/>
      <c r="W12" s="94">
        <f t="shared" si="4"/>
        <v>-100</v>
      </c>
      <c r="X12" s="262" t="e">
        <f t="shared" si="4"/>
        <v>#DIV/0!</v>
      </c>
      <c r="Z12" s="30" t="s">
        <v>73</v>
      </c>
    </row>
    <row r="13" spans="1:26" s="19" customFormat="1" ht="18" customHeight="1">
      <c r="A13" s="38" t="s">
        <v>113</v>
      </c>
      <c r="B13" s="92">
        <v>225.4</v>
      </c>
      <c r="C13" s="92">
        <v>149.1</v>
      </c>
      <c r="D13" s="92">
        <v>145.506271</v>
      </c>
      <c r="E13" s="92">
        <v>227.5</v>
      </c>
      <c r="F13" s="92">
        <v>86.3</v>
      </c>
      <c r="G13" s="92">
        <v>118</v>
      </c>
      <c r="H13" s="92">
        <v>73.816480999999996</v>
      </c>
      <c r="I13" s="92">
        <v>59.56033</v>
      </c>
      <c r="J13" s="92">
        <v>67.595481000000007</v>
      </c>
      <c r="K13" s="92">
        <v>55.118071999999998</v>
      </c>
      <c r="L13" s="168">
        <v>66.5179136</v>
      </c>
      <c r="M13" s="168">
        <v>105.52811699999999</v>
      </c>
      <c r="N13" s="168">
        <v>169.18427500000001</v>
      </c>
      <c r="O13" s="247"/>
      <c r="P13" s="247"/>
      <c r="Q13" s="247"/>
      <c r="R13" s="247"/>
      <c r="S13" s="247"/>
      <c r="T13" s="244" t="e">
        <f t="shared" si="11"/>
        <v>#DIV/0!</v>
      </c>
      <c r="U13" s="257" t="e">
        <f t="shared" si="11"/>
        <v>#DIV/0!</v>
      </c>
      <c r="V13" s="93"/>
      <c r="W13" s="94">
        <f t="shared" si="4"/>
        <v>-100</v>
      </c>
      <c r="X13" s="262" t="e">
        <f t="shared" si="4"/>
        <v>#DIV/0!</v>
      </c>
      <c r="Z13" s="30" t="s">
        <v>114</v>
      </c>
    </row>
    <row r="14" spans="1:26" s="20" customFormat="1" ht="18" customHeight="1">
      <c r="A14" s="38" t="s">
        <v>115</v>
      </c>
      <c r="B14" s="180">
        <v>46.9</v>
      </c>
      <c r="C14" s="92">
        <v>12</v>
      </c>
      <c r="D14" s="92">
        <v>21.569604999999999</v>
      </c>
      <c r="E14" s="92">
        <v>37.9</v>
      </c>
      <c r="F14" s="92">
        <v>37.4</v>
      </c>
      <c r="G14" s="92">
        <v>47.2</v>
      </c>
      <c r="H14" s="92">
        <v>25.609278</v>
      </c>
      <c r="I14" s="92">
        <v>34.055951999999998</v>
      </c>
      <c r="J14" s="92">
        <v>157.71044499999999</v>
      </c>
      <c r="K14" s="92">
        <v>105.495161</v>
      </c>
      <c r="L14" s="169">
        <v>139.48073266999998</v>
      </c>
      <c r="M14" s="169">
        <v>52.209646999999997</v>
      </c>
      <c r="N14" s="169">
        <v>681.03550910000001</v>
      </c>
      <c r="O14" s="248"/>
      <c r="P14" s="248"/>
      <c r="Q14" s="248"/>
      <c r="R14" s="248"/>
      <c r="S14" s="248"/>
      <c r="T14" s="244" t="e">
        <f t="shared" si="11"/>
        <v>#DIV/0!</v>
      </c>
      <c r="U14" s="257" t="e">
        <f t="shared" si="11"/>
        <v>#DIV/0!</v>
      </c>
      <c r="V14" s="93"/>
      <c r="W14" s="94">
        <f t="shared" si="4"/>
        <v>-100</v>
      </c>
      <c r="X14" s="262" t="e">
        <f t="shared" si="4"/>
        <v>#DIV/0!</v>
      </c>
      <c r="Z14" s="30" t="s">
        <v>77</v>
      </c>
    </row>
    <row r="15" spans="1:26" s="19" customFormat="1" ht="18" customHeight="1">
      <c r="A15" s="34" t="s">
        <v>116</v>
      </c>
      <c r="B15" s="89">
        <f>SUM(B16:B20)</f>
        <v>626.5</v>
      </c>
      <c r="C15" s="89">
        <f t="shared" ref="C15:P15" si="12">SUM(C16:C20)</f>
        <v>1443.3</v>
      </c>
      <c r="D15" s="89">
        <f t="shared" si="12"/>
        <v>849.36242600000003</v>
      </c>
      <c r="E15" s="89">
        <f t="shared" si="12"/>
        <v>896.5</v>
      </c>
      <c r="F15" s="89">
        <f t="shared" si="12"/>
        <v>834.6</v>
      </c>
      <c r="G15" s="89">
        <f t="shared" si="12"/>
        <v>734.1</v>
      </c>
      <c r="H15" s="89">
        <f t="shared" si="12"/>
        <v>1087.278699</v>
      </c>
      <c r="I15" s="89">
        <f t="shared" si="12"/>
        <v>1816.638207</v>
      </c>
      <c r="J15" s="89">
        <f t="shared" si="12"/>
        <v>1383.244537</v>
      </c>
      <c r="K15" s="89">
        <f t="shared" si="12"/>
        <v>1081.7647489999999</v>
      </c>
      <c r="L15" s="167">
        <f t="shared" si="12"/>
        <v>1108.2257616500001</v>
      </c>
      <c r="M15" s="167">
        <f t="shared" si="12"/>
        <v>1155.5744520000001</v>
      </c>
      <c r="N15" s="167">
        <f t="shared" si="12"/>
        <v>1812.3305333000001</v>
      </c>
      <c r="O15" s="251">
        <f t="shared" si="12"/>
        <v>0</v>
      </c>
      <c r="P15" s="251">
        <f t="shared" si="12"/>
        <v>0</v>
      </c>
      <c r="Q15" s="251">
        <f t="shared" ref="Q15:R15" si="13">SUM(Q16:Q20)</f>
        <v>0</v>
      </c>
      <c r="R15" s="251">
        <f t="shared" si="13"/>
        <v>0</v>
      </c>
      <c r="S15" s="251">
        <f t="shared" ref="S15" si="14">SUM(S16:S20)</f>
        <v>0</v>
      </c>
      <c r="T15" s="243" t="e">
        <f t="shared" si="11"/>
        <v>#DIV/0!</v>
      </c>
      <c r="U15" s="256" t="e">
        <f t="shared" si="11"/>
        <v>#DIV/0!</v>
      </c>
      <c r="V15" s="90"/>
      <c r="W15" s="91">
        <f t="shared" si="4"/>
        <v>-100</v>
      </c>
      <c r="X15" s="261" t="e">
        <f t="shared" si="4"/>
        <v>#DIV/0!</v>
      </c>
      <c r="Z15" s="37" t="s">
        <v>117</v>
      </c>
    </row>
    <row r="16" spans="1:26" s="20" customFormat="1" ht="18" customHeight="1">
      <c r="A16" s="38" t="s">
        <v>118</v>
      </c>
      <c r="B16" s="180">
        <v>164.4</v>
      </c>
      <c r="C16" s="92">
        <v>163.4</v>
      </c>
      <c r="D16" s="92">
        <v>108.19257</v>
      </c>
      <c r="E16" s="92">
        <v>68.400000000000006</v>
      </c>
      <c r="F16" s="92">
        <v>36.6</v>
      </c>
      <c r="G16" s="92">
        <v>29.5</v>
      </c>
      <c r="H16" s="92">
        <v>133.543679</v>
      </c>
      <c r="I16" s="92">
        <v>54.517771000000003</v>
      </c>
      <c r="J16" s="92">
        <v>95.493024000000005</v>
      </c>
      <c r="K16" s="92">
        <v>108.05040099999999</v>
      </c>
      <c r="L16" s="168">
        <v>74.973524780000005</v>
      </c>
      <c r="M16" s="168">
        <v>100.486884</v>
      </c>
      <c r="N16" s="168">
        <v>272.82640853000004</v>
      </c>
      <c r="O16" s="247"/>
      <c r="P16" s="247"/>
      <c r="Q16" s="247"/>
      <c r="R16" s="247"/>
      <c r="S16" s="247"/>
      <c r="T16" s="244" t="e">
        <f t="shared" si="11"/>
        <v>#DIV/0!</v>
      </c>
      <c r="U16" s="257" t="e">
        <f t="shared" si="11"/>
        <v>#DIV/0!</v>
      </c>
      <c r="V16" s="93"/>
      <c r="W16" s="94">
        <f t="shared" si="4"/>
        <v>-100</v>
      </c>
      <c r="X16" s="262" t="e">
        <f t="shared" si="4"/>
        <v>#DIV/0!</v>
      </c>
      <c r="Z16" s="30" t="s">
        <v>81</v>
      </c>
    </row>
    <row r="17" spans="1:26" s="19" customFormat="1" ht="18" customHeight="1">
      <c r="A17" s="38" t="s">
        <v>119</v>
      </c>
      <c r="B17" s="180">
        <v>99.9</v>
      </c>
      <c r="C17" s="92">
        <v>289.10000000000002</v>
      </c>
      <c r="D17" s="92">
        <v>46.711798999999999</v>
      </c>
      <c r="E17" s="92">
        <v>45.4</v>
      </c>
      <c r="F17" s="92">
        <v>27.2</v>
      </c>
      <c r="G17" s="92">
        <v>25.5</v>
      </c>
      <c r="H17" s="92">
        <v>68.366566000000006</v>
      </c>
      <c r="I17" s="92">
        <v>43.913061999999996</v>
      </c>
      <c r="J17" s="92">
        <v>11.563515000000001</v>
      </c>
      <c r="K17" s="92">
        <v>7.7340239999999998</v>
      </c>
      <c r="L17" s="168">
        <v>21.803670879999999</v>
      </c>
      <c r="M17" s="168">
        <v>142.83905899999999</v>
      </c>
      <c r="N17" s="168">
        <v>292.79733672000003</v>
      </c>
      <c r="O17" s="247"/>
      <c r="P17" s="247"/>
      <c r="Q17" s="247"/>
      <c r="R17" s="247"/>
      <c r="S17" s="247"/>
      <c r="T17" s="244" t="e">
        <f t="shared" si="11"/>
        <v>#DIV/0!</v>
      </c>
      <c r="U17" s="257" t="e">
        <f t="shared" si="11"/>
        <v>#DIV/0!</v>
      </c>
      <c r="V17" s="93"/>
      <c r="W17" s="94">
        <f t="shared" si="4"/>
        <v>-100</v>
      </c>
      <c r="X17" s="262" t="e">
        <f t="shared" si="4"/>
        <v>#DIV/0!</v>
      </c>
      <c r="Z17" s="30" t="s">
        <v>120</v>
      </c>
    </row>
    <row r="18" spans="1:26" s="19" customFormat="1" ht="18" customHeight="1">
      <c r="A18" s="38" t="s">
        <v>121</v>
      </c>
      <c r="B18" s="180">
        <v>4.0999999999999996</v>
      </c>
      <c r="C18" s="92">
        <v>2.2000000000000002</v>
      </c>
      <c r="D18" s="92">
        <v>0.68482100000000001</v>
      </c>
      <c r="E18" s="92">
        <v>8.4</v>
      </c>
      <c r="F18" s="92">
        <v>0.7</v>
      </c>
      <c r="G18" s="92">
        <v>1</v>
      </c>
      <c r="H18" s="92">
        <v>0.54541200000000001</v>
      </c>
      <c r="I18" s="92">
        <v>0.43177199999999999</v>
      </c>
      <c r="J18" s="92">
        <v>2.5820259999999999</v>
      </c>
      <c r="K18" s="92">
        <v>0.556778</v>
      </c>
      <c r="L18" s="168">
        <v>1.21422221</v>
      </c>
      <c r="M18" s="168">
        <v>1.0108220000000001</v>
      </c>
      <c r="N18" s="168">
        <v>9.9215180000000007</v>
      </c>
      <c r="O18" s="247"/>
      <c r="P18" s="247"/>
      <c r="Q18" s="247"/>
      <c r="R18" s="247"/>
      <c r="S18" s="247"/>
      <c r="T18" s="244" t="e">
        <f t="shared" si="11"/>
        <v>#DIV/0!</v>
      </c>
      <c r="U18" s="257" t="e">
        <f t="shared" si="11"/>
        <v>#DIV/0!</v>
      </c>
      <c r="V18" s="93"/>
      <c r="W18" s="94">
        <f t="shared" si="4"/>
        <v>-100</v>
      </c>
      <c r="X18" s="262" t="e">
        <f t="shared" si="4"/>
        <v>#DIV/0!</v>
      </c>
      <c r="Z18" s="30" t="s">
        <v>85</v>
      </c>
    </row>
    <row r="19" spans="1:26" s="20" customFormat="1" ht="18" customHeight="1">
      <c r="A19" s="38" t="s">
        <v>122</v>
      </c>
      <c r="B19" s="180">
        <v>358.1</v>
      </c>
      <c r="C19" s="92">
        <v>988.6</v>
      </c>
      <c r="D19" s="92">
        <v>693.773236</v>
      </c>
      <c r="E19" s="92">
        <v>774.3</v>
      </c>
      <c r="F19" s="92">
        <v>770.1</v>
      </c>
      <c r="G19" s="92">
        <v>678.1</v>
      </c>
      <c r="H19" s="92">
        <v>884.82304199999999</v>
      </c>
      <c r="I19" s="92">
        <v>1717.7756019999999</v>
      </c>
      <c r="J19" s="92">
        <v>1273.6059720000001</v>
      </c>
      <c r="K19" s="92">
        <v>965.42354599999999</v>
      </c>
      <c r="L19" s="169">
        <v>975.31386029999999</v>
      </c>
      <c r="M19" s="169">
        <v>768.75352099999998</v>
      </c>
      <c r="N19" s="169">
        <v>0</v>
      </c>
      <c r="O19" s="248"/>
      <c r="P19" s="248"/>
      <c r="Q19" s="248"/>
      <c r="R19" s="248"/>
      <c r="S19" s="248"/>
      <c r="T19" s="245">
        <v>0</v>
      </c>
      <c r="U19" s="258">
        <v>0</v>
      </c>
      <c r="V19" s="93"/>
      <c r="W19" s="190">
        <v>0</v>
      </c>
      <c r="X19" s="263">
        <v>0</v>
      </c>
      <c r="Z19" s="30" t="s">
        <v>123</v>
      </c>
    </row>
    <row r="20" spans="1:26" s="20" customFormat="1" ht="18" customHeight="1">
      <c r="A20" s="38" t="s">
        <v>149</v>
      </c>
      <c r="B20" s="180"/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169">
        <v>34.920483480000001</v>
      </c>
      <c r="M20" s="169">
        <v>142.48416599999999</v>
      </c>
      <c r="N20" s="169">
        <v>1236.78527005</v>
      </c>
      <c r="O20" s="248"/>
      <c r="P20" s="248"/>
      <c r="Q20" s="248"/>
      <c r="R20" s="248"/>
      <c r="S20" s="248"/>
      <c r="T20" s="244" t="e">
        <f t="shared" si="11"/>
        <v>#DIV/0!</v>
      </c>
      <c r="U20" s="257" t="e">
        <f t="shared" si="11"/>
        <v>#DIV/0!</v>
      </c>
      <c r="V20" s="93"/>
      <c r="W20" s="94">
        <f t="shared" si="4"/>
        <v>-100</v>
      </c>
      <c r="X20" s="262" t="e">
        <f t="shared" si="4"/>
        <v>#DIV/0!</v>
      </c>
      <c r="Z20" s="95" t="s">
        <v>225</v>
      </c>
    </row>
    <row r="21" spans="1:26" s="19" customFormat="1" ht="18" customHeight="1">
      <c r="A21" s="34" t="s">
        <v>88</v>
      </c>
      <c r="B21" s="35">
        <f t="shared" ref="B21:O21" si="15">SUM(B22:B27)</f>
        <v>329.9</v>
      </c>
      <c r="C21" s="35">
        <f t="shared" si="15"/>
        <v>937.10000000000014</v>
      </c>
      <c r="D21" s="35">
        <f t="shared" si="15"/>
        <v>1290.7944969999999</v>
      </c>
      <c r="E21" s="35">
        <f t="shared" si="15"/>
        <v>647</v>
      </c>
      <c r="F21" s="35">
        <f t="shared" si="15"/>
        <v>321.10000000000002</v>
      </c>
      <c r="G21" s="35">
        <f t="shared" si="15"/>
        <v>201.2</v>
      </c>
      <c r="H21" s="35">
        <f t="shared" si="15"/>
        <v>581.73487699999998</v>
      </c>
      <c r="I21" s="35">
        <f t="shared" si="15"/>
        <v>174.8779509</v>
      </c>
      <c r="J21" s="35">
        <f t="shared" si="15"/>
        <v>919.10181</v>
      </c>
      <c r="K21" s="35">
        <f t="shared" si="15"/>
        <v>662.15555800000004</v>
      </c>
      <c r="L21" s="170">
        <f t="shared" si="15"/>
        <v>522.22979633</v>
      </c>
      <c r="M21" s="170">
        <f t="shared" si="15"/>
        <v>750.4553719999999</v>
      </c>
      <c r="N21" s="170">
        <f t="shared" si="15"/>
        <v>870.97274229999994</v>
      </c>
      <c r="O21" s="252">
        <f t="shared" si="15"/>
        <v>0</v>
      </c>
      <c r="P21" s="252">
        <f t="shared" ref="P21:Q21" si="16">SUM(P22:P27)</f>
        <v>0</v>
      </c>
      <c r="Q21" s="252">
        <f t="shared" si="16"/>
        <v>0</v>
      </c>
      <c r="R21" s="252">
        <f t="shared" ref="R21:S21" si="17">SUM(R22:R27)</f>
        <v>0</v>
      </c>
      <c r="S21" s="252">
        <f t="shared" si="17"/>
        <v>0</v>
      </c>
      <c r="T21" s="243" t="e">
        <f t="shared" si="11"/>
        <v>#DIV/0!</v>
      </c>
      <c r="U21" s="256" t="e">
        <f t="shared" si="11"/>
        <v>#DIV/0!</v>
      </c>
      <c r="V21" s="90"/>
      <c r="W21" s="91">
        <f t="shared" si="4"/>
        <v>-100</v>
      </c>
      <c r="X21" s="261" t="e">
        <f t="shared" si="4"/>
        <v>#DIV/0!</v>
      </c>
      <c r="Z21" s="37" t="s">
        <v>45</v>
      </c>
    </row>
    <row r="22" spans="1:26" s="20" customFormat="1" ht="18" customHeight="1">
      <c r="A22" s="38" t="s">
        <v>124</v>
      </c>
      <c r="B22" s="180">
        <v>154.1</v>
      </c>
      <c r="C22" s="92">
        <v>129.69999999999999</v>
      </c>
      <c r="D22" s="92">
        <v>42.402295000000002</v>
      </c>
      <c r="E22" s="92">
        <v>60.5</v>
      </c>
      <c r="F22" s="92">
        <v>71.900000000000006</v>
      </c>
      <c r="G22" s="92">
        <v>64.2</v>
      </c>
      <c r="H22" s="92">
        <v>23.587022999999999</v>
      </c>
      <c r="I22" s="92">
        <v>37.776733</v>
      </c>
      <c r="J22" s="92">
        <v>33.651007999999997</v>
      </c>
      <c r="K22" s="92">
        <v>24.679010000000002</v>
      </c>
      <c r="L22" s="168">
        <v>7.6444678900000005</v>
      </c>
      <c r="M22" s="168">
        <v>16.246099999999998</v>
      </c>
      <c r="N22" s="168">
        <v>22.831656149999997</v>
      </c>
      <c r="O22" s="247"/>
      <c r="P22" s="247"/>
      <c r="Q22" s="247"/>
      <c r="R22" s="247"/>
      <c r="S22" s="247"/>
      <c r="T22" s="244" t="e">
        <f t="shared" si="11"/>
        <v>#DIV/0!</v>
      </c>
      <c r="U22" s="257" t="e">
        <f t="shared" si="11"/>
        <v>#DIV/0!</v>
      </c>
      <c r="V22" s="93"/>
      <c r="W22" s="94">
        <f t="shared" si="4"/>
        <v>-100</v>
      </c>
      <c r="X22" s="262" t="e">
        <f t="shared" si="4"/>
        <v>#DIV/0!</v>
      </c>
      <c r="Z22" s="30" t="s">
        <v>125</v>
      </c>
    </row>
    <row r="23" spans="1:26" s="20" customFormat="1" ht="18" customHeight="1">
      <c r="A23" s="38" t="s">
        <v>126</v>
      </c>
      <c r="B23" s="180">
        <v>74.7</v>
      </c>
      <c r="C23" s="92">
        <v>692.8</v>
      </c>
      <c r="D23" s="92">
        <v>318.28409399999998</v>
      </c>
      <c r="E23" s="92">
        <v>294.2</v>
      </c>
      <c r="F23" s="92">
        <v>118.6</v>
      </c>
      <c r="G23" s="92">
        <v>66.7</v>
      </c>
      <c r="H23" s="92">
        <v>10.808646</v>
      </c>
      <c r="I23" s="92">
        <v>38.970894999999999</v>
      </c>
      <c r="J23" s="92">
        <v>392.140671</v>
      </c>
      <c r="K23" s="92">
        <v>539.738832</v>
      </c>
      <c r="L23" s="168">
        <v>368.65407792000002</v>
      </c>
      <c r="M23" s="168">
        <v>579.69850299999996</v>
      </c>
      <c r="N23" s="168">
        <v>775.49623926999993</v>
      </c>
      <c r="O23" s="247"/>
      <c r="P23" s="247"/>
      <c r="Q23" s="247"/>
      <c r="R23" s="247"/>
      <c r="S23" s="247"/>
      <c r="T23" s="244" t="e">
        <f t="shared" si="11"/>
        <v>#DIV/0!</v>
      </c>
      <c r="U23" s="257" t="e">
        <f t="shared" si="11"/>
        <v>#DIV/0!</v>
      </c>
      <c r="V23" s="93"/>
      <c r="W23" s="94">
        <f t="shared" si="4"/>
        <v>-100</v>
      </c>
      <c r="X23" s="262" t="e">
        <f t="shared" si="4"/>
        <v>#DIV/0!</v>
      </c>
      <c r="Z23" s="30" t="s">
        <v>127</v>
      </c>
    </row>
    <row r="24" spans="1:26" s="20" customFormat="1" ht="18" customHeight="1">
      <c r="A24" s="38" t="s">
        <v>128</v>
      </c>
      <c r="B24" s="180">
        <v>72</v>
      </c>
      <c r="C24" s="92">
        <v>17.100000000000001</v>
      </c>
      <c r="D24" s="92">
        <v>26.934477000000001</v>
      </c>
      <c r="E24" s="92">
        <v>16.8</v>
      </c>
      <c r="F24" s="92">
        <v>7.5</v>
      </c>
      <c r="G24" s="92">
        <v>14</v>
      </c>
      <c r="H24" s="92">
        <v>32.757654000000002</v>
      </c>
      <c r="I24" s="92">
        <v>26.097563999999998</v>
      </c>
      <c r="J24" s="92">
        <v>39.440274000000002</v>
      </c>
      <c r="K24" s="92">
        <v>39.200918999999999</v>
      </c>
      <c r="L24" s="168">
        <v>5.0254116199999999</v>
      </c>
      <c r="M24" s="168">
        <v>42.439954</v>
      </c>
      <c r="N24" s="168">
        <v>20.908233500000001</v>
      </c>
      <c r="O24" s="247"/>
      <c r="P24" s="247"/>
      <c r="Q24" s="247"/>
      <c r="R24" s="247"/>
      <c r="S24" s="247"/>
      <c r="T24" s="244" t="e">
        <f t="shared" si="11"/>
        <v>#DIV/0!</v>
      </c>
      <c r="U24" s="257" t="e">
        <f t="shared" si="11"/>
        <v>#DIV/0!</v>
      </c>
      <c r="V24" s="93"/>
      <c r="W24" s="94">
        <f t="shared" si="4"/>
        <v>-100</v>
      </c>
      <c r="X24" s="262" t="e">
        <f t="shared" si="4"/>
        <v>#DIV/0!</v>
      </c>
      <c r="Z24" s="30" t="s">
        <v>129</v>
      </c>
    </row>
    <row r="25" spans="1:26" s="19" customFormat="1" ht="18" customHeight="1">
      <c r="A25" s="38" t="s">
        <v>130</v>
      </c>
      <c r="B25" s="180">
        <v>0.4</v>
      </c>
      <c r="C25" s="92">
        <v>13.2</v>
      </c>
      <c r="D25" s="92">
        <v>64.703819999999993</v>
      </c>
      <c r="E25" s="92">
        <v>0.5</v>
      </c>
      <c r="F25" s="92">
        <v>0.3</v>
      </c>
      <c r="G25" s="92">
        <v>0.4</v>
      </c>
      <c r="H25" s="92">
        <v>0.13069</v>
      </c>
      <c r="I25" s="92">
        <v>3.0217360000000002</v>
      </c>
      <c r="J25" s="92">
        <v>9.7469E-2</v>
      </c>
      <c r="K25" s="92">
        <v>0.167854</v>
      </c>
      <c r="L25" s="168">
        <v>7.0538000000000003E-2</v>
      </c>
      <c r="M25" s="168">
        <v>0.765787</v>
      </c>
      <c r="N25" s="168">
        <v>0.68068600000000001</v>
      </c>
      <c r="O25" s="247"/>
      <c r="P25" s="247"/>
      <c r="Q25" s="247"/>
      <c r="R25" s="247"/>
      <c r="S25" s="247"/>
      <c r="T25" s="244" t="e">
        <f t="shared" si="11"/>
        <v>#DIV/0!</v>
      </c>
      <c r="U25" s="257" t="e">
        <f t="shared" si="11"/>
        <v>#DIV/0!</v>
      </c>
      <c r="V25" s="93"/>
      <c r="W25" s="94">
        <f t="shared" si="4"/>
        <v>-100</v>
      </c>
      <c r="X25" s="262" t="e">
        <f t="shared" si="4"/>
        <v>#DIV/0!</v>
      </c>
      <c r="Z25" s="30" t="s">
        <v>131</v>
      </c>
    </row>
    <row r="26" spans="1:26" s="19" customFormat="1" ht="18" customHeight="1">
      <c r="A26" s="38" t="s">
        <v>132</v>
      </c>
      <c r="B26" s="180">
        <v>24.5</v>
      </c>
      <c r="C26" s="92">
        <v>72.099999999999994</v>
      </c>
      <c r="D26" s="92">
        <v>604.09765100000004</v>
      </c>
      <c r="E26" s="92">
        <v>178</v>
      </c>
      <c r="F26" s="92">
        <v>26.2</v>
      </c>
      <c r="G26" s="92">
        <v>0.6</v>
      </c>
      <c r="H26" s="92">
        <v>488.44098200000002</v>
      </c>
      <c r="I26" s="92">
        <v>37.947304900000006</v>
      </c>
      <c r="J26" s="92">
        <v>63.553004999999999</v>
      </c>
      <c r="K26" s="92">
        <v>38.882137</v>
      </c>
      <c r="L26" s="169">
        <v>27.925922</v>
      </c>
      <c r="M26" s="169">
        <v>20.208456999999999</v>
      </c>
      <c r="N26" s="169">
        <v>38.739479549999999</v>
      </c>
      <c r="O26" s="248"/>
      <c r="P26" s="248"/>
      <c r="Q26" s="248"/>
      <c r="R26" s="248"/>
      <c r="S26" s="248"/>
      <c r="T26" s="244" t="e">
        <f t="shared" si="11"/>
        <v>#DIV/0!</v>
      </c>
      <c r="U26" s="257" t="e">
        <f t="shared" si="11"/>
        <v>#DIV/0!</v>
      </c>
      <c r="V26" s="93"/>
      <c r="W26" s="94">
        <f t="shared" si="4"/>
        <v>-100</v>
      </c>
      <c r="X26" s="262" t="e">
        <f t="shared" si="4"/>
        <v>#DIV/0!</v>
      </c>
      <c r="Z26" s="30" t="s">
        <v>133</v>
      </c>
    </row>
    <row r="27" spans="1:26" s="19" customFormat="1" ht="18" customHeight="1">
      <c r="A27" s="38" t="s">
        <v>134</v>
      </c>
      <c r="B27" s="180">
        <v>4.2</v>
      </c>
      <c r="C27" s="92">
        <v>12.2</v>
      </c>
      <c r="D27" s="92">
        <v>234.37216000000001</v>
      </c>
      <c r="E27" s="92">
        <v>97</v>
      </c>
      <c r="F27" s="92">
        <v>96.6</v>
      </c>
      <c r="G27" s="92">
        <v>55.3</v>
      </c>
      <c r="H27" s="92">
        <v>26.009882000000001</v>
      </c>
      <c r="I27" s="92">
        <v>31.063718000000001</v>
      </c>
      <c r="J27" s="92">
        <v>390.21938299999999</v>
      </c>
      <c r="K27" s="92">
        <v>19.486806000000001</v>
      </c>
      <c r="L27" s="169">
        <v>112.90937890000001</v>
      </c>
      <c r="M27" s="169">
        <v>91.096570999999997</v>
      </c>
      <c r="N27" s="169">
        <v>12.31644783</v>
      </c>
      <c r="O27" s="248"/>
      <c r="P27" s="248"/>
      <c r="Q27" s="248"/>
      <c r="R27" s="248"/>
      <c r="S27" s="248"/>
      <c r="T27" s="244" t="e">
        <f t="shared" si="11"/>
        <v>#DIV/0!</v>
      </c>
      <c r="U27" s="257" t="e">
        <f t="shared" si="11"/>
        <v>#DIV/0!</v>
      </c>
      <c r="V27" s="93"/>
      <c r="W27" s="94">
        <f t="shared" si="4"/>
        <v>-100</v>
      </c>
      <c r="X27" s="262" t="e">
        <f t="shared" si="4"/>
        <v>#DIV/0!</v>
      </c>
      <c r="Z27" s="30" t="s">
        <v>135</v>
      </c>
    </row>
    <row r="28" spans="1:26" s="19" customFormat="1" ht="18" customHeight="1">
      <c r="A28" s="34" t="s">
        <v>136</v>
      </c>
      <c r="B28" s="36">
        <v>-124.5</v>
      </c>
      <c r="C28" s="89">
        <v>-166.4</v>
      </c>
      <c r="D28" s="89">
        <v>-68.900000000000006</v>
      </c>
      <c r="E28" s="89">
        <v>-247.5</v>
      </c>
      <c r="F28" s="89">
        <v>-275.2</v>
      </c>
      <c r="G28" s="89">
        <v>-246.2</v>
      </c>
      <c r="H28" s="89">
        <v>-150.836333</v>
      </c>
      <c r="I28" s="89">
        <v>-181.3</v>
      </c>
      <c r="J28" s="89">
        <v>-399</v>
      </c>
      <c r="K28" s="89">
        <v>-90.231635999999995</v>
      </c>
      <c r="L28" s="167">
        <v>-135.485007</v>
      </c>
      <c r="M28" s="167">
        <v>-122.16204999999999</v>
      </c>
      <c r="N28" s="167">
        <v>-104.018246</v>
      </c>
      <c r="O28" s="251"/>
      <c r="P28" s="251"/>
      <c r="Q28" s="251"/>
      <c r="R28" s="251"/>
      <c r="S28" s="251"/>
      <c r="T28" s="243" t="e">
        <f t="shared" si="11"/>
        <v>#DIV/0!</v>
      </c>
      <c r="U28" s="256" t="e">
        <f t="shared" si="11"/>
        <v>#DIV/0!</v>
      </c>
      <c r="V28" s="39"/>
      <c r="W28" s="91">
        <f t="shared" si="4"/>
        <v>-100</v>
      </c>
      <c r="X28" s="261" t="e">
        <f t="shared" si="4"/>
        <v>#DIV/0!</v>
      </c>
      <c r="Z28" s="37" t="s">
        <v>137</v>
      </c>
    </row>
    <row r="29" spans="1:26" s="20" customFormat="1" ht="18" customHeight="1">
      <c r="A29" s="38" t="s">
        <v>138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171"/>
      <c r="M29" s="171"/>
      <c r="N29" s="171"/>
      <c r="O29" s="253"/>
      <c r="P29" s="253"/>
      <c r="Q29" s="253"/>
      <c r="R29" s="253"/>
      <c r="S29" s="253"/>
      <c r="T29" s="244"/>
      <c r="U29" s="257"/>
      <c r="V29" s="41"/>
      <c r="W29" s="94"/>
      <c r="X29" s="262"/>
      <c r="Y29" s="25"/>
      <c r="Z29" s="30" t="s">
        <v>17</v>
      </c>
    </row>
    <row r="30" spans="1:26" s="20" customFormat="1" ht="18" customHeight="1">
      <c r="A30" s="38" t="s">
        <v>139</v>
      </c>
      <c r="B30" s="97">
        <v>1007.8</v>
      </c>
      <c r="C30" s="98">
        <v>1137.6071899999999</v>
      </c>
      <c r="D30" s="98">
        <v>1774.5</v>
      </c>
      <c r="E30" s="98">
        <v>1441</v>
      </c>
      <c r="F30" s="98">
        <v>1100.8999999999999</v>
      </c>
      <c r="G30" s="98">
        <v>737.1</v>
      </c>
      <c r="H30" s="98">
        <v>778.8</v>
      </c>
      <c r="I30" s="98">
        <v>1283</v>
      </c>
      <c r="J30" s="98">
        <v>916.69999999999993</v>
      </c>
      <c r="K30" s="98">
        <v>1145.9000000000001</v>
      </c>
      <c r="L30" s="172">
        <v>1187.19235</v>
      </c>
      <c r="M30" s="172">
        <v>188.39416600000001</v>
      </c>
      <c r="N30" s="172">
        <v>648.39113899999995</v>
      </c>
      <c r="O30" s="249"/>
      <c r="P30" s="249"/>
      <c r="Q30" s="249"/>
      <c r="R30" s="249"/>
      <c r="S30" s="249"/>
      <c r="T30" s="244" t="e">
        <f t="shared" si="11"/>
        <v>#DIV/0!</v>
      </c>
      <c r="U30" s="257" t="e">
        <f t="shared" si="11"/>
        <v>#DIV/0!</v>
      </c>
      <c r="V30" s="39"/>
      <c r="W30" s="94">
        <f>+((O30/N30)-1)*100</f>
        <v>-100</v>
      </c>
      <c r="X30" s="262" t="e">
        <f>+((P30/O30)-1)*100</f>
        <v>#DIV/0!</v>
      </c>
      <c r="Y30" s="25"/>
      <c r="Z30" s="99" t="s">
        <v>140</v>
      </c>
    </row>
    <row r="31" spans="1:26" s="20" customFormat="1" ht="18" customHeight="1">
      <c r="A31" s="27" t="s">
        <v>141</v>
      </c>
      <c r="B31" s="100">
        <v>392.7</v>
      </c>
      <c r="C31" s="100">
        <v>390.3</v>
      </c>
      <c r="D31" s="100">
        <v>-993.3</v>
      </c>
      <c r="E31" s="100">
        <v>-1332</v>
      </c>
      <c r="F31" s="100">
        <v>-1393</v>
      </c>
      <c r="G31" s="100">
        <v>-668.6</v>
      </c>
      <c r="H31" s="100">
        <v>584.5</v>
      </c>
      <c r="I31" s="100">
        <v>877.1</v>
      </c>
      <c r="J31" s="100">
        <v>987.6</v>
      </c>
      <c r="K31" s="100">
        <v>1806.07971</v>
      </c>
      <c r="L31" s="173">
        <v>1632.2075219999999</v>
      </c>
      <c r="M31" s="173">
        <v>1413.2714820000001</v>
      </c>
      <c r="N31" s="173">
        <v>1171.8811539999999</v>
      </c>
      <c r="O31" s="250"/>
      <c r="P31" s="250"/>
      <c r="Q31" s="250"/>
      <c r="R31" s="250"/>
      <c r="S31" s="250"/>
      <c r="T31" s="246" t="e">
        <f t="shared" si="11"/>
        <v>#DIV/0!</v>
      </c>
      <c r="U31" s="259" t="e">
        <f t="shared" si="11"/>
        <v>#DIV/0!</v>
      </c>
      <c r="V31" s="28"/>
      <c r="W31" s="166">
        <f>+((O31/N31)-1)*100</f>
        <v>-100</v>
      </c>
      <c r="X31" s="264" t="e">
        <f>+((P31/O31)-1)*100</f>
        <v>#DIV/0!</v>
      </c>
      <c r="Y31" s="162"/>
      <c r="Z31" s="29" t="s">
        <v>142</v>
      </c>
    </row>
    <row r="32" spans="1:26" s="20" customFormat="1" ht="15">
      <c r="A32" s="21" t="s">
        <v>143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30" t="s">
        <v>144</v>
      </c>
    </row>
    <row r="33" spans="1:26" s="20" customFormat="1" ht="15">
      <c r="A33" s="21" t="s">
        <v>13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30" t="s">
        <v>14</v>
      </c>
    </row>
    <row r="34" spans="1:26" s="20" customFormat="1" ht="12">
      <c r="A34" s="22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spans="1:26">
      <c r="T35" s="23"/>
      <c r="U35" s="23"/>
      <c r="V35" s="23"/>
      <c r="W35" s="23"/>
      <c r="X35" s="23"/>
      <c r="Y35" s="23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87"/>
  <sheetViews>
    <sheetView tabSelected="1" zoomScaleNormal="100" workbookViewId="0">
      <selection activeCell="V27" sqref="V27"/>
    </sheetView>
  </sheetViews>
  <sheetFormatPr defaultColWidth="9.140625" defaultRowHeight="12.75"/>
  <cols>
    <col min="1" max="1" width="78.42578125" style="102" customWidth="1"/>
    <col min="2" max="2" width="12.5703125" style="102" hidden="1" customWidth="1"/>
    <col min="3" max="3" width="9.28515625" style="102" hidden="1" customWidth="1"/>
    <col min="4" max="5" width="8.7109375" style="102" customWidth="1"/>
    <col min="6" max="6" width="11.7109375" style="127" customWidth="1"/>
    <col min="7" max="12" width="8.7109375" style="102" customWidth="1"/>
    <col min="13" max="16384" width="9.140625" style="102"/>
  </cols>
  <sheetData>
    <row r="1" spans="1:17" ht="15.75" customHeight="1">
      <c r="A1" s="308" t="s">
        <v>279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</row>
    <row r="2" spans="1:17" s="103" customFormat="1" ht="13.5" customHeight="1">
      <c r="A2" s="307" t="s">
        <v>280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</row>
    <row r="3" spans="1:17" s="103" customFormat="1" ht="15" customHeight="1">
      <c r="A3" s="306" t="s">
        <v>65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</row>
    <row r="4" spans="1:17" s="103" customFormat="1">
      <c r="A4" s="304" t="s">
        <v>150</v>
      </c>
      <c r="B4" s="104"/>
      <c r="C4" s="104"/>
      <c r="D4" s="105"/>
      <c r="E4" s="105"/>
      <c r="F4" s="104"/>
      <c r="G4" s="105" t="s">
        <v>6</v>
      </c>
      <c r="H4" s="105" t="s">
        <v>6</v>
      </c>
      <c r="I4" s="105" t="s">
        <v>6</v>
      </c>
      <c r="J4" s="105" t="s">
        <v>3</v>
      </c>
      <c r="K4" s="195" t="s">
        <v>3</v>
      </c>
      <c r="L4" s="195" t="s">
        <v>3</v>
      </c>
      <c r="M4" s="195" t="s">
        <v>282</v>
      </c>
      <c r="N4" s="195" t="s">
        <v>258</v>
      </c>
      <c r="O4" s="195" t="s">
        <v>258</v>
      </c>
      <c r="P4" s="195" t="s">
        <v>258</v>
      </c>
      <c r="Q4" s="271"/>
    </row>
    <row r="5" spans="1:17" s="107" customFormat="1" ht="15">
      <c r="A5" s="305"/>
      <c r="B5" s="106">
        <v>2006</v>
      </c>
      <c r="C5" s="106">
        <v>2007</v>
      </c>
      <c r="D5" s="106">
        <v>2008</v>
      </c>
      <c r="E5" s="106">
        <v>2009</v>
      </c>
      <c r="F5" s="106">
        <v>2010</v>
      </c>
      <c r="G5" s="106">
        <v>2011</v>
      </c>
      <c r="H5" s="106">
        <v>2012</v>
      </c>
      <c r="I5" s="106">
        <v>2013</v>
      </c>
      <c r="J5" s="106">
        <v>2014</v>
      </c>
      <c r="K5" s="14">
        <v>2015</v>
      </c>
      <c r="L5" s="14" t="s">
        <v>295</v>
      </c>
      <c r="M5" s="14">
        <v>2017</v>
      </c>
      <c r="N5" s="14">
        <v>2018</v>
      </c>
      <c r="O5" s="14">
        <v>2019</v>
      </c>
      <c r="P5" s="14">
        <v>2020</v>
      </c>
    </row>
    <row r="6" spans="1:17" s="107" customFormat="1">
      <c r="A6" s="108"/>
      <c r="G6" s="191"/>
      <c r="H6" s="191"/>
      <c r="I6" s="121"/>
      <c r="J6" s="121"/>
      <c r="K6" s="268"/>
      <c r="L6" s="121"/>
      <c r="M6" s="121"/>
      <c r="N6" s="268"/>
      <c r="O6" s="268"/>
      <c r="P6" s="268"/>
    </row>
    <row r="7" spans="1:17" s="103" customFormat="1" ht="14.25" customHeight="1">
      <c r="A7" s="108" t="s">
        <v>151</v>
      </c>
      <c r="B7" s="110">
        <f>B8+B16+B21+B29+B33+B36+B44+B50+B71+B83+B94+B99+B103+B111+B114+B120+B125+B131+B134+B137+B140</f>
        <v>806.06999999999994</v>
      </c>
      <c r="C7" s="110">
        <f>C8+C16+C21+C29+C33+C36+C44+C50+C71+C83+C94+C99+C103+C111+C120+C125+C140</f>
        <v>816.50812199999996</v>
      </c>
      <c r="D7" s="110">
        <f>D8+D16+D21+D29+D33+D36+D44+D50+D71+D83+D94+D99+D103+D111+D120+D125+D140</f>
        <v>755.14876800000002</v>
      </c>
      <c r="E7" s="110">
        <f>E8+E16+E21+E29+E33+E36+E44+E50+E71+E83+E94+E99+E103+E111+E120+E125+E140</f>
        <v>778.84185679999996</v>
      </c>
      <c r="F7" s="110">
        <f>F8+F16+F21+F29+F33+F36+F44+F50+F71+F83+F94+F99+F103+F111+F120+F125+F140</f>
        <v>1283.0207659999999</v>
      </c>
      <c r="G7" s="128">
        <f>G8+G16+G21+G29+G33+G36+G44+G50+G71+G83+G94+G99+G103+G111+G114+G120+G125+G131+G134+G140+G117</f>
        <v>1398.4178940000002</v>
      </c>
      <c r="H7" s="128">
        <f>H8+H16+H21+H29+H33+H36+H44+H50+H71+H83+H94+H99+H103+H111+H114+H120+H125+H131+H134+H140+H117</f>
        <v>1145.8582073</v>
      </c>
      <c r="I7" s="128">
        <f>I8+I16+I21+I29+I33+I36+I44+I50+I71+I83+I94+I99+I103+I111+I114+I120+I125+I131+I134+I140+I117</f>
        <v>1187.1923500000003</v>
      </c>
      <c r="J7" s="128">
        <f>J8+J16+J21+J29+J33+J36+J44+J50+J71+J83+J94+J99+J103+J111+J114+J120+J125+J131+J134+J140+J117</f>
        <v>188.39416600000004</v>
      </c>
      <c r="K7" s="128">
        <f>K8+K16+K21+K29+K33+K36+K44+K50+K71+K83+K94+K99+K103+K111+K114+K120+K125+K131+K134+K140+K117</f>
        <v>648.38820088</v>
      </c>
      <c r="L7" s="128">
        <f>L8+L16+L21+L29+L33+L36+L44+L50+L71+L83+L94+L99+L103+L111+L114+L120+L125+L131+L134+L137+L140+L117</f>
        <v>2987.2736873200001</v>
      </c>
      <c r="M7" s="128">
        <f>M8+M16+M21+M29+M33+M36+M44+M50+M71+M83+M94+M99+M103+M111+M114+M120+M125+M131+M134+M137+M140+M117</f>
        <v>2444.2880209999998</v>
      </c>
      <c r="N7" s="128">
        <f>N8+N16+N21+N29+N33+N36+N44+N50+N71+N83+N94+N99+N103+N111+N114+N120+N125+N131+N134+N137+N140+N117</f>
        <v>2867.8265730000003</v>
      </c>
      <c r="O7" s="128">
        <f>O8+O16+O21+O29+O33+O36+O44+O50+O71+O83+O94+O99+O103+O111+O114+O120+O125+O131+O134+O137+O140+O117</f>
        <v>4458.9783089999992</v>
      </c>
      <c r="P7" s="128">
        <f>P8+P16+P21+P29+P33+P36+P44+P50+P71+P83+P94+P99+P103+P111+P114+P120+P125+P131+P134+P137+P140+P117</f>
        <v>5259.2561619999997</v>
      </c>
    </row>
    <row r="8" spans="1:17" s="103" customFormat="1" ht="14.25" customHeight="1">
      <c r="A8" s="111" t="s">
        <v>152</v>
      </c>
      <c r="B8" s="113">
        <f>SUM(B9:B11)</f>
        <v>0</v>
      </c>
      <c r="C8" s="113">
        <f t="shared" ref="C8:G8" si="0">SUM(C9:C11)</f>
        <v>0</v>
      </c>
      <c r="D8" s="113">
        <f t="shared" si="0"/>
        <v>0</v>
      </c>
      <c r="E8" s="113">
        <f t="shared" si="0"/>
        <v>40.133375999999998</v>
      </c>
      <c r="F8" s="113">
        <f t="shared" si="0"/>
        <v>22.482177</v>
      </c>
      <c r="G8" s="113">
        <f t="shared" si="0"/>
        <v>181.95449299999999</v>
      </c>
      <c r="H8" s="113">
        <f>SUM(H9:H13)</f>
        <v>153.78399200000001</v>
      </c>
      <c r="I8" s="113">
        <f t="shared" ref="I8:J8" si="1">SUM(I9:I13)</f>
        <v>37.905923999999999</v>
      </c>
      <c r="J8" s="113">
        <f t="shared" si="1"/>
        <v>25.450016999999999</v>
      </c>
      <c r="K8" s="113">
        <f>SUM(K9:K14)</f>
        <v>0</v>
      </c>
      <c r="L8" s="113">
        <f t="shared" ref="L8:O8" si="2">SUM(L9:L14)</f>
        <v>0</v>
      </c>
      <c r="M8" s="113">
        <f t="shared" si="2"/>
        <v>341.53113100000002</v>
      </c>
      <c r="N8" s="113">
        <f t="shared" si="2"/>
        <v>506.540976</v>
      </c>
      <c r="O8" s="112">
        <f t="shared" si="2"/>
        <v>1045.1492920000001</v>
      </c>
      <c r="P8" s="112">
        <f t="shared" ref="P8" si="3">SUM(P9:P14)</f>
        <v>1249.1353349999999</v>
      </c>
      <c r="Q8" s="114"/>
    </row>
    <row r="9" spans="1:17" s="103" customFormat="1" ht="14.25" customHeight="1">
      <c r="A9" s="115" t="s">
        <v>153</v>
      </c>
      <c r="B9" s="116" t="s">
        <v>201</v>
      </c>
      <c r="C9" s="116" t="s">
        <v>201</v>
      </c>
      <c r="D9" s="116" t="s">
        <v>201</v>
      </c>
      <c r="E9" s="121">
        <v>40.133375999999998</v>
      </c>
      <c r="F9" s="121">
        <v>22.482177</v>
      </c>
      <c r="G9" s="121">
        <v>134.44019499999999</v>
      </c>
      <c r="H9" s="121">
        <v>5.2662300000000002</v>
      </c>
      <c r="I9" s="121">
        <v>14.556865</v>
      </c>
      <c r="J9" s="121">
        <v>14.498196999999999</v>
      </c>
      <c r="K9" s="121">
        <v>0</v>
      </c>
      <c r="L9" s="121">
        <v>0</v>
      </c>
      <c r="M9" s="121">
        <v>27.6685996</v>
      </c>
      <c r="N9" s="121" t="s">
        <v>201</v>
      </c>
      <c r="O9" s="109" t="s">
        <v>201</v>
      </c>
      <c r="P9" s="109" t="s">
        <v>201</v>
      </c>
      <c r="Q9" s="117"/>
    </row>
    <row r="10" spans="1:17" s="103" customFormat="1" ht="14.25" customHeight="1">
      <c r="A10" s="115" t="s">
        <v>154</v>
      </c>
      <c r="B10" s="116">
        <v>0</v>
      </c>
      <c r="C10" s="116">
        <v>0</v>
      </c>
      <c r="D10" s="116">
        <v>0</v>
      </c>
      <c r="E10" s="121">
        <v>0</v>
      </c>
      <c r="F10" s="121">
        <v>0</v>
      </c>
      <c r="G10" s="121">
        <v>47.514297999999997</v>
      </c>
      <c r="H10" s="121">
        <v>148.517762</v>
      </c>
      <c r="I10" s="121">
        <v>23.349059</v>
      </c>
      <c r="J10" s="121">
        <v>10.95182</v>
      </c>
      <c r="K10" s="121">
        <v>0</v>
      </c>
      <c r="L10" s="121">
        <v>0</v>
      </c>
      <c r="M10" s="121" t="s">
        <v>201</v>
      </c>
      <c r="N10" s="121" t="s">
        <v>201</v>
      </c>
      <c r="O10" s="109" t="s">
        <v>201</v>
      </c>
      <c r="P10" s="109" t="s">
        <v>201</v>
      </c>
      <c r="Q10" s="117"/>
    </row>
    <row r="11" spans="1:17" s="103" customFormat="1" ht="14.25" customHeight="1">
      <c r="A11" s="115" t="s">
        <v>155</v>
      </c>
      <c r="B11" s="116">
        <v>0</v>
      </c>
      <c r="C11" s="116">
        <v>0</v>
      </c>
      <c r="D11" s="116">
        <v>0</v>
      </c>
      <c r="E11" s="121">
        <v>0</v>
      </c>
      <c r="F11" s="121">
        <v>0</v>
      </c>
      <c r="G11" s="121" t="s">
        <v>201</v>
      </c>
      <c r="H11" s="121" t="s">
        <v>201</v>
      </c>
      <c r="I11" s="121" t="s">
        <v>201</v>
      </c>
      <c r="J11" s="121" t="s">
        <v>201</v>
      </c>
      <c r="K11" s="121">
        <v>0</v>
      </c>
      <c r="L11" s="121">
        <v>0</v>
      </c>
      <c r="M11" s="121">
        <v>36.437531399999997</v>
      </c>
      <c r="N11" s="121">
        <v>28.753475999999999</v>
      </c>
      <c r="O11" s="109">
        <v>28.753475999999999</v>
      </c>
      <c r="P11" s="109">
        <v>33.206201999999998</v>
      </c>
      <c r="Q11" s="117"/>
    </row>
    <row r="12" spans="1:17" s="103" customFormat="1" ht="14.25" customHeight="1">
      <c r="A12" s="115" t="s">
        <v>236</v>
      </c>
      <c r="B12" s="116">
        <v>0</v>
      </c>
      <c r="C12" s="116">
        <v>0</v>
      </c>
      <c r="D12" s="116">
        <v>0</v>
      </c>
      <c r="E12" s="121">
        <v>0</v>
      </c>
      <c r="F12" s="121">
        <v>0</v>
      </c>
      <c r="G12" s="116">
        <v>0</v>
      </c>
      <c r="H12" s="116">
        <v>0</v>
      </c>
      <c r="I12" s="116">
        <v>0</v>
      </c>
      <c r="J12" s="121">
        <v>0</v>
      </c>
      <c r="K12" s="121">
        <v>0</v>
      </c>
      <c r="L12" s="121">
        <v>0</v>
      </c>
      <c r="M12" s="121">
        <v>154.125</v>
      </c>
      <c r="N12" s="121">
        <v>231.1875</v>
      </c>
      <c r="O12" s="109">
        <v>462.375</v>
      </c>
      <c r="P12" s="109">
        <v>539.4375</v>
      </c>
      <c r="Q12" s="117"/>
    </row>
    <row r="13" spans="1:17" s="103" customFormat="1" ht="14.25" customHeight="1">
      <c r="A13" s="115" t="s">
        <v>237</v>
      </c>
      <c r="B13" s="116">
        <v>0</v>
      </c>
      <c r="C13" s="116">
        <v>0</v>
      </c>
      <c r="D13" s="116">
        <v>0</v>
      </c>
      <c r="E13" s="121">
        <v>0</v>
      </c>
      <c r="F13" s="121">
        <v>0</v>
      </c>
      <c r="G13" s="116">
        <v>0</v>
      </c>
      <c r="H13" s="116">
        <v>0</v>
      </c>
      <c r="I13" s="116">
        <v>0</v>
      </c>
      <c r="J13" s="121">
        <v>0</v>
      </c>
      <c r="K13" s="121">
        <v>0</v>
      </c>
      <c r="L13" s="121">
        <v>0</v>
      </c>
      <c r="M13" s="121">
        <v>123.3</v>
      </c>
      <c r="N13" s="121">
        <v>246.6</v>
      </c>
      <c r="O13" s="109">
        <v>431.55</v>
      </c>
      <c r="P13" s="109">
        <v>431.55</v>
      </c>
      <c r="Q13" s="117"/>
    </row>
    <row r="14" spans="1:17" s="103" customFormat="1" ht="14.25" customHeight="1">
      <c r="A14" s="115" t="s">
        <v>261</v>
      </c>
      <c r="B14" s="116">
        <v>0</v>
      </c>
      <c r="C14" s="116">
        <v>0</v>
      </c>
      <c r="D14" s="116">
        <v>0</v>
      </c>
      <c r="E14" s="121">
        <v>0</v>
      </c>
      <c r="F14" s="121">
        <v>0</v>
      </c>
      <c r="G14" s="116">
        <v>0</v>
      </c>
      <c r="H14" s="116">
        <v>0</v>
      </c>
      <c r="I14" s="116">
        <v>0</v>
      </c>
      <c r="J14" s="121">
        <v>0</v>
      </c>
      <c r="K14" s="121">
        <v>0</v>
      </c>
      <c r="L14" s="121">
        <v>0</v>
      </c>
      <c r="M14" s="121" t="s">
        <v>201</v>
      </c>
      <c r="N14" s="121" t="s">
        <v>201</v>
      </c>
      <c r="O14" s="109">
        <v>122.470816</v>
      </c>
      <c r="P14" s="109">
        <v>244.941633</v>
      </c>
      <c r="Q14" s="117"/>
    </row>
    <row r="15" spans="1:17" s="103" customFormat="1" ht="9.75" customHeight="1">
      <c r="A15" s="115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09"/>
      <c r="P15" s="109"/>
      <c r="Q15" s="117"/>
    </row>
    <row r="16" spans="1:17" s="103" customFormat="1" ht="14.25" customHeight="1">
      <c r="A16" s="111" t="s">
        <v>156</v>
      </c>
      <c r="B16" s="121">
        <f t="shared" ref="B16:F17" si="4">SUM(B17)</f>
        <v>0</v>
      </c>
      <c r="C16" s="121">
        <f t="shared" si="4"/>
        <v>0</v>
      </c>
      <c r="D16" s="121">
        <f t="shared" si="4"/>
        <v>0</v>
      </c>
      <c r="E16" s="121">
        <f t="shared" si="4"/>
        <v>0</v>
      </c>
      <c r="F16" s="113">
        <f t="shared" si="4"/>
        <v>13.876379999999999</v>
      </c>
      <c r="G16" s="128">
        <f>SUM(G17:G18)</f>
        <v>16.510059999999999</v>
      </c>
      <c r="H16" s="128">
        <f>SUM(H17:H18)</f>
        <v>87.622929999999997</v>
      </c>
      <c r="I16" s="128">
        <f t="shared" ref="I16:J16" si="5">SUM(I17:I18)</f>
        <v>21.216504</v>
      </c>
      <c r="J16" s="128">
        <f t="shared" si="5"/>
        <v>9.7509049999999995</v>
      </c>
      <c r="K16" s="128">
        <f>SUM(K17:K19)</f>
        <v>11.3955135</v>
      </c>
      <c r="L16" s="128">
        <f t="shared" ref="L16:O16" si="6">SUM(L17:L19)</f>
        <v>0</v>
      </c>
      <c r="M16" s="128">
        <f t="shared" si="6"/>
        <v>11.107151999999999</v>
      </c>
      <c r="N16" s="128">
        <f t="shared" si="6"/>
        <v>90.98393999999999</v>
      </c>
      <c r="O16" s="128">
        <f t="shared" si="6"/>
        <v>249.81192000000001</v>
      </c>
      <c r="P16" s="128">
        <f t="shared" ref="P16" si="7">SUM(P17:P19)</f>
        <v>294.37829400000004</v>
      </c>
      <c r="Q16" s="117"/>
    </row>
    <row r="17" spans="1:17" s="103" customFormat="1" ht="14.25" customHeight="1">
      <c r="A17" s="115" t="s">
        <v>157</v>
      </c>
      <c r="B17" s="121">
        <f t="shared" si="4"/>
        <v>0</v>
      </c>
      <c r="C17" s="121">
        <f t="shared" si="4"/>
        <v>0</v>
      </c>
      <c r="D17" s="121">
        <f t="shared" si="4"/>
        <v>0</v>
      </c>
      <c r="E17" s="121">
        <f t="shared" si="4"/>
        <v>0</v>
      </c>
      <c r="F17" s="121">
        <v>13.876379999999999</v>
      </c>
      <c r="G17" s="121">
        <v>16.510059999999999</v>
      </c>
      <c r="H17" s="121">
        <v>87.622929999999997</v>
      </c>
      <c r="I17" s="121">
        <v>21.216504</v>
      </c>
      <c r="J17" s="121">
        <v>9.7509049999999995</v>
      </c>
      <c r="K17" s="121">
        <v>11.3955135</v>
      </c>
      <c r="L17" s="121">
        <v>0</v>
      </c>
      <c r="M17" s="121" t="s">
        <v>201</v>
      </c>
      <c r="N17" s="121" t="s">
        <v>201</v>
      </c>
      <c r="O17" s="109" t="s">
        <v>201</v>
      </c>
      <c r="P17" s="109" t="s">
        <v>201</v>
      </c>
      <c r="Q17" s="117"/>
    </row>
    <row r="18" spans="1:17" s="103" customFormat="1" ht="14.25" customHeight="1">
      <c r="A18" s="115" t="s">
        <v>226</v>
      </c>
      <c r="B18" s="121">
        <v>0</v>
      </c>
      <c r="C18" s="121">
        <v>0</v>
      </c>
      <c r="D18" s="121">
        <v>0</v>
      </c>
      <c r="E18" s="121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21">
        <v>0</v>
      </c>
      <c r="M18" s="121">
        <v>11.107151999999999</v>
      </c>
      <c r="N18" s="121">
        <v>13.883940000000001</v>
      </c>
      <c r="O18" s="109">
        <v>18.51192</v>
      </c>
      <c r="P18" s="109">
        <v>24.528293999999999</v>
      </c>
      <c r="Q18" s="117"/>
    </row>
    <row r="19" spans="1:17" s="103" customFormat="1" ht="14.25" customHeight="1">
      <c r="A19" s="115" t="s">
        <v>262</v>
      </c>
      <c r="B19" s="121">
        <v>0</v>
      </c>
      <c r="C19" s="121">
        <v>0</v>
      </c>
      <c r="D19" s="121">
        <v>0</v>
      </c>
      <c r="E19" s="121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21">
        <v>0</v>
      </c>
      <c r="M19" s="121" t="s">
        <v>201</v>
      </c>
      <c r="N19" s="121">
        <v>77.099999999999994</v>
      </c>
      <c r="O19" s="109">
        <v>231.3</v>
      </c>
      <c r="P19" s="109">
        <v>269.85000000000002</v>
      </c>
      <c r="Q19" s="117"/>
    </row>
    <row r="20" spans="1:17" s="103" customFormat="1" ht="14.25" customHeight="1">
      <c r="A20" s="115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09"/>
      <c r="P20" s="109"/>
      <c r="Q20" s="117"/>
    </row>
    <row r="21" spans="1:17" s="103" customFormat="1" ht="14.25" customHeight="1">
      <c r="A21" s="111" t="s">
        <v>158</v>
      </c>
      <c r="B21" s="113">
        <f>SUM(B22:B26)</f>
        <v>21.2</v>
      </c>
      <c r="C21" s="113">
        <f t="shared" ref="C21:F21" si="8">SUM(C22:C26)</f>
        <v>9.5</v>
      </c>
      <c r="D21" s="113">
        <f t="shared" si="8"/>
        <v>2.7</v>
      </c>
      <c r="E21" s="113">
        <f t="shared" si="8"/>
        <v>4.1224828000000002</v>
      </c>
      <c r="F21" s="113">
        <f t="shared" si="8"/>
        <v>65.438178000000008</v>
      </c>
      <c r="G21" s="128">
        <f>SUM(G22:G27)</f>
        <v>41.59984</v>
      </c>
      <c r="H21" s="113">
        <f t="shared" ref="H21:O21" si="9">SUM(H22:H27)</f>
        <v>9.1164190000000005</v>
      </c>
      <c r="I21" s="113">
        <f>SUM(I22:I27)</f>
        <v>0</v>
      </c>
      <c r="J21" s="113">
        <f>SUM(J22:J27)</f>
        <v>0</v>
      </c>
      <c r="K21" s="113">
        <f t="shared" si="9"/>
        <v>0</v>
      </c>
      <c r="L21" s="113">
        <f t="shared" si="9"/>
        <v>22.5097825</v>
      </c>
      <c r="M21" s="113">
        <f t="shared" si="9"/>
        <v>105.6205636</v>
      </c>
      <c r="N21" s="113">
        <f t="shared" si="9"/>
        <v>151.34741099999999</v>
      </c>
      <c r="O21" s="112">
        <f t="shared" si="9"/>
        <v>334.47657499999997</v>
      </c>
      <c r="P21" s="112">
        <f t="shared" ref="P21" si="10">SUM(P22:P27)</f>
        <v>342.90609999999998</v>
      </c>
      <c r="Q21" s="117"/>
    </row>
    <row r="22" spans="1:17" s="103" customFormat="1" ht="14.25" customHeight="1">
      <c r="A22" s="115" t="s">
        <v>159</v>
      </c>
      <c r="B22" s="116" t="s">
        <v>201</v>
      </c>
      <c r="C22" s="116" t="s">
        <v>201</v>
      </c>
      <c r="D22" s="116" t="s">
        <v>201</v>
      </c>
      <c r="E22" s="121">
        <v>0.77411799999999997</v>
      </c>
      <c r="F22" s="121">
        <v>63.394744000000003</v>
      </c>
      <c r="G22" s="121">
        <v>41.59984</v>
      </c>
      <c r="H22" s="121">
        <v>9.1164190000000005</v>
      </c>
      <c r="I22" s="121">
        <v>0</v>
      </c>
      <c r="J22" s="121">
        <v>0</v>
      </c>
      <c r="K22" s="121">
        <v>0</v>
      </c>
      <c r="L22" s="121" t="s">
        <v>201</v>
      </c>
      <c r="M22" s="121" t="s">
        <v>201</v>
      </c>
      <c r="N22" s="121" t="s">
        <v>201</v>
      </c>
      <c r="O22" s="109" t="s">
        <v>201</v>
      </c>
      <c r="P22" s="109" t="s">
        <v>201</v>
      </c>
      <c r="Q22" s="117"/>
    </row>
    <row r="23" spans="1:17" s="103" customFormat="1" ht="14.25" customHeight="1">
      <c r="A23" s="115" t="s">
        <v>160</v>
      </c>
      <c r="B23" s="116">
        <v>0</v>
      </c>
      <c r="C23" s="116">
        <v>0</v>
      </c>
      <c r="D23" s="116">
        <v>0</v>
      </c>
      <c r="E23" s="121">
        <v>0</v>
      </c>
      <c r="F23" s="121">
        <v>0</v>
      </c>
      <c r="G23" s="121">
        <v>0</v>
      </c>
      <c r="H23" s="121">
        <v>0</v>
      </c>
      <c r="I23" s="121">
        <v>0</v>
      </c>
      <c r="J23" s="121">
        <v>0</v>
      </c>
      <c r="K23" s="121">
        <v>0</v>
      </c>
      <c r="L23" s="121">
        <v>22.5097825</v>
      </c>
      <c r="M23" s="121">
        <v>28.865563600000002</v>
      </c>
      <c r="N23" s="121">
        <v>25.214911000000001</v>
      </c>
      <c r="O23" s="109">
        <v>67.369174999999998</v>
      </c>
      <c r="P23" s="109">
        <v>19</v>
      </c>
      <c r="Q23" s="117"/>
    </row>
    <row r="24" spans="1:17" s="103" customFormat="1" ht="14.25" customHeight="1">
      <c r="A24" s="115" t="s">
        <v>255</v>
      </c>
      <c r="B24" s="116">
        <v>0</v>
      </c>
      <c r="C24" s="116">
        <v>0</v>
      </c>
      <c r="D24" s="116">
        <v>0</v>
      </c>
      <c r="E24" s="121">
        <v>0</v>
      </c>
      <c r="F24" s="121">
        <v>0</v>
      </c>
      <c r="G24" s="121">
        <v>0</v>
      </c>
      <c r="H24" s="121">
        <v>0</v>
      </c>
      <c r="I24" s="121">
        <v>0</v>
      </c>
      <c r="J24" s="121">
        <v>0</v>
      </c>
      <c r="K24" s="121">
        <v>0</v>
      </c>
      <c r="L24" s="121">
        <v>0</v>
      </c>
      <c r="M24" s="121" t="s">
        <v>201</v>
      </c>
      <c r="N24" s="121">
        <v>11</v>
      </c>
      <c r="O24" s="109">
        <v>36.842399999999998</v>
      </c>
      <c r="P24" s="109">
        <v>55.263599999999997</v>
      </c>
      <c r="Q24" s="117"/>
    </row>
    <row r="25" spans="1:17" s="103" customFormat="1" ht="14.25" customHeight="1">
      <c r="A25" s="115" t="s">
        <v>161</v>
      </c>
      <c r="B25" s="116" t="s">
        <v>201</v>
      </c>
      <c r="C25" s="116" t="s">
        <v>201</v>
      </c>
      <c r="D25" s="116" t="s">
        <v>201</v>
      </c>
      <c r="E25" s="121">
        <v>3.3483648000000001</v>
      </c>
      <c r="F25" s="121">
        <v>2.043434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 t="s">
        <v>201</v>
      </c>
      <c r="N25" s="121" t="s">
        <v>201</v>
      </c>
      <c r="O25" s="121" t="s">
        <v>201</v>
      </c>
      <c r="P25" s="121" t="s">
        <v>201</v>
      </c>
      <c r="Q25" s="117"/>
    </row>
    <row r="26" spans="1:17" s="103" customFormat="1" ht="14.25" customHeight="1">
      <c r="A26" s="115" t="s">
        <v>162</v>
      </c>
      <c r="B26" s="121">
        <v>21.2</v>
      </c>
      <c r="C26" s="121">
        <v>9.5</v>
      </c>
      <c r="D26" s="121">
        <v>2.7</v>
      </c>
      <c r="E26" s="121">
        <v>0</v>
      </c>
      <c r="F26" s="121">
        <v>0</v>
      </c>
      <c r="G26" s="121">
        <v>0</v>
      </c>
      <c r="H26" s="121">
        <v>0</v>
      </c>
      <c r="I26" s="121">
        <v>0</v>
      </c>
      <c r="J26" s="121">
        <v>0</v>
      </c>
      <c r="K26" s="121">
        <v>0</v>
      </c>
      <c r="L26" s="121">
        <v>0</v>
      </c>
      <c r="M26" s="121" t="s">
        <v>201</v>
      </c>
      <c r="N26" s="121" t="s">
        <v>201</v>
      </c>
      <c r="O26" s="121" t="s">
        <v>201</v>
      </c>
      <c r="P26" s="121" t="s">
        <v>201</v>
      </c>
      <c r="Q26" s="117"/>
    </row>
    <row r="27" spans="1:17" s="103" customFormat="1" ht="14.25" customHeight="1">
      <c r="A27" s="115" t="s">
        <v>262</v>
      </c>
      <c r="B27" s="121">
        <v>0</v>
      </c>
      <c r="C27" s="121">
        <v>0</v>
      </c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76.754999999999995</v>
      </c>
      <c r="N27" s="121">
        <v>115.13249999999999</v>
      </c>
      <c r="O27" s="109">
        <v>230.26499999999999</v>
      </c>
      <c r="P27" s="109">
        <v>268.64249999999998</v>
      </c>
      <c r="Q27" s="117"/>
    </row>
    <row r="28" spans="1:17" s="103" customFormat="1" ht="14.25" customHeight="1">
      <c r="A28" s="115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09"/>
      <c r="P28" s="109"/>
      <c r="Q28" s="117"/>
    </row>
    <row r="29" spans="1:17" s="103" customFormat="1" ht="14.25" customHeight="1">
      <c r="A29" s="111" t="s">
        <v>163</v>
      </c>
      <c r="B29" s="113">
        <f>SUM(B30:B31)</f>
        <v>0</v>
      </c>
      <c r="C29" s="113">
        <f t="shared" ref="C29:M29" si="11">SUM(C30:C31)</f>
        <v>0</v>
      </c>
      <c r="D29" s="113">
        <f t="shared" si="11"/>
        <v>0</v>
      </c>
      <c r="E29" s="113">
        <f t="shared" si="11"/>
        <v>73.282560000000004</v>
      </c>
      <c r="F29" s="113">
        <f t="shared" si="11"/>
        <v>249.074994</v>
      </c>
      <c r="G29" s="128">
        <f t="shared" si="11"/>
        <v>32.668301999999997</v>
      </c>
      <c r="H29" s="113">
        <f>SUM(H30:H31)</f>
        <v>7.1360210000000004</v>
      </c>
      <c r="I29" s="113">
        <f t="shared" si="11"/>
        <v>0</v>
      </c>
      <c r="J29" s="113">
        <f t="shared" si="11"/>
        <v>0</v>
      </c>
      <c r="K29" s="113">
        <f t="shared" si="11"/>
        <v>0</v>
      </c>
      <c r="L29" s="113">
        <f t="shared" si="11"/>
        <v>0</v>
      </c>
      <c r="M29" s="113">
        <f t="shared" si="11"/>
        <v>0</v>
      </c>
      <c r="N29" s="113">
        <f t="shared" ref="N29:O29" si="12">SUM(N30:N31)</f>
        <v>0</v>
      </c>
      <c r="O29" s="112">
        <f t="shared" si="12"/>
        <v>0</v>
      </c>
      <c r="P29" s="112">
        <f t="shared" ref="P29" si="13">SUM(P30:P31)</f>
        <v>0</v>
      </c>
      <c r="Q29" s="114"/>
    </row>
    <row r="30" spans="1:17" s="103" customFormat="1" ht="14.25" customHeight="1">
      <c r="A30" s="115" t="s">
        <v>164</v>
      </c>
      <c r="B30" s="121">
        <f t="shared" ref="B30:D30" si="14">SUM(B31:B32)</f>
        <v>0</v>
      </c>
      <c r="C30" s="121">
        <f t="shared" si="14"/>
        <v>0</v>
      </c>
      <c r="D30" s="121">
        <f t="shared" si="14"/>
        <v>0</v>
      </c>
      <c r="E30" s="121">
        <v>73.282560000000004</v>
      </c>
      <c r="F30" s="121">
        <v>249.074994</v>
      </c>
      <c r="G30" s="121">
        <v>32.668301999999997</v>
      </c>
      <c r="H30" s="121">
        <v>7.1360210000000004</v>
      </c>
      <c r="I30" s="121">
        <v>0</v>
      </c>
      <c r="J30" s="121">
        <v>0</v>
      </c>
      <c r="K30" s="121">
        <v>0</v>
      </c>
      <c r="L30" s="121">
        <v>0</v>
      </c>
      <c r="M30" s="121">
        <v>0</v>
      </c>
      <c r="N30" s="121">
        <v>0</v>
      </c>
      <c r="O30" s="121">
        <v>0</v>
      </c>
      <c r="P30" s="121">
        <v>0</v>
      </c>
      <c r="Q30" s="117"/>
    </row>
    <row r="31" spans="1:17" s="103" customFormat="1" ht="14.25" customHeight="1">
      <c r="A31" s="115" t="s">
        <v>165</v>
      </c>
      <c r="B31" s="121">
        <f t="shared" ref="B31:D31" si="15">SUM(B32:B33)</f>
        <v>0</v>
      </c>
      <c r="C31" s="121">
        <f t="shared" si="15"/>
        <v>0</v>
      </c>
      <c r="D31" s="121">
        <f t="shared" si="15"/>
        <v>0</v>
      </c>
      <c r="E31" s="116" t="s">
        <v>201</v>
      </c>
      <c r="F31" s="116" t="s">
        <v>201</v>
      </c>
      <c r="G31" s="121" t="s">
        <v>201</v>
      </c>
      <c r="H31" s="121" t="s">
        <v>201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17"/>
    </row>
    <row r="32" spans="1:17" s="103" customFormat="1" ht="14.25" customHeight="1">
      <c r="A32" s="115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09"/>
      <c r="P32" s="109"/>
      <c r="Q32" s="117"/>
    </row>
    <row r="33" spans="1:17" s="103" customFormat="1" ht="14.25" customHeight="1">
      <c r="A33" s="111" t="s">
        <v>166</v>
      </c>
      <c r="B33" s="113">
        <f>SUM(B34)</f>
        <v>0</v>
      </c>
      <c r="C33" s="113">
        <f t="shared" ref="C33:P34" si="16">SUM(C34)</f>
        <v>0</v>
      </c>
      <c r="D33" s="113">
        <f t="shared" si="16"/>
        <v>0</v>
      </c>
      <c r="E33" s="113">
        <f t="shared" si="16"/>
        <v>0.52935699999999997</v>
      </c>
      <c r="F33" s="113">
        <f t="shared" si="16"/>
        <v>3.4447350000000001</v>
      </c>
      <c r="G33" s="128">
        <f t="shared" si="16"/>
        <v>0.482072</v>
      </c>
      <c r="H33" s="113">
        <f t="shared" si="16"/>
        <v>49.063294999999997</v>
      </c>
      <c r="I33" s="113">
        <f t="shared" si="16"/>
        <v>66.525672</v>
      </c>
      <c r="J33" s="113">
        <f t="shared" si="16"/>
        <v>52.931077999999999</v>
      </c>
      <c r="K33" s="113">
        <f t="shared" si="16"/>
        <v>82.833104200000008</v>
      </c>
      <c r="L33" s="113">
        <f t="shared" si="16"/>
        <v>6.6819044000000005</v>
      </c>
      <c r="M33" s="113">
        <f t="shared" si="16"/>
        <v>7.0292820000000003</v>
      </c>
      <c r="N33" s="113">
        <f t="shared" si="16"/>
        <v>0</v>
      </c>
      <c r="O33" s="112">
        <f t="shared" si="16"/>
        <v>0</v>
      </c>
      <c r="P33" s="112">
        <f t="shared" si="16"/>
        <v>0</v>
      </c>
      <c r="Q33" s="114"/>
    </row>
    <row r="34" spans="1:17" s="103" customFormat="1" ht="14.25" customHeight="1">
      <c r="A34" s="115" t="s">
        <v>167</v>
      </c>
      <c r="B34" s="121">
        <f>SUM(B35)</f>
        <v>0</v>
      </c>
      <c r="C34" s="121">
        <f t="shared" si="16"/>
        <v>0</v>
      </c>
      <c r="D34" s="121">
        <f t="shared" si="16"/>
        <v>0</v>
      </c>
      <c r="E34" s="121">
        <v>0.52935699999999997</v>
      </c>
      <c r="F34" s="121">
        <v>3.4447350000000001</v>
      </c>
      <c r="G34" s="121">
        <v>0.482072</v>
      </c>
      <c r="H34" s="121">
        <v>49.063294999999997</v>
      </c>
      <c r="I34" s="121">
        <v>66.525672</v>
      </c>
      <c r="J34" s="121">
        <v>52.931077999999999</v>
      </c>
      <c r="K34" s="121">
        <v>82.833104200000008</v>
      </c>
      <c r="L34" s="121">
        <v>6.6819044000000005</v>
      </c>
      <c r="M34" s="121">
        <v>7.0292820000000003</v>
      </c>
      <c r="N34" s="121">
        <v>0</v>
      </c>
      <c r="O34" s="109">
        <v>0</v>
      </c>
      <c r="P34" s="109">
        <v>0</v>
      </c>
      <c r="Q34" s="117"/>
    </row>
    <row r="35" spans="1:17" s="103" customFormat="1" ht="14.25" customHeight="1">
      <c r="A35" s="115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09"/>
      <c r="P35" s="109"/>
      <c r="Q35" s="117"/>
    </row>
    <row r="36" spans="1:17" s="103" customFormat="1" ht="14.25" customHeight="1">
      <c r="A36" s="111" t="s">
        <v>168</v>
      </c>
      <c r="B36" s="113">
        <f>SUM(B37:B42)</f>
        <v>5.3</v>
      </c>
      <c r="C36" s="113">
        <f t="shared" ref="C36:M36" si="17">SUM(C37:C42)</f>
        <v>35.1</v>
      </c>
      <c r="D36" s="113">
        <f t="shared" si="17"/>
        <v>43.17801</v>
      </c>
      <c r="E36" s="113">
        <f t="shared" si="17"/>
        <v>73.612108800000001</v>
      </c>
      <c r="F36" s="113">
        <f t="shared" si="17"/>
        <v>56.078963999999999</v>
      </c>
      <c r="G36" s="128">
        <f t="shared" si="17"/>
        <v>114.40424900000001</v>
      </c>
      <c r="H36" s="113">
        <f>SUM(H37:H42)</f>
        <v>86.079061999999993</v>
      </c>
      <c r="I36" s="113">
        <f t="shared" si="17"/>
        <v>59.978202999999993</v>
      </c>
      <c r="J36" s="113">
        <f t="shared" si="17"/>
        <v>0</v>
      </c>
      <c r="K36" s="113">
        <f t="shared" si="17"/>
        <v>0</v>
      </c>
      <c r="L36" s="113">
        <f t="shared" si="17"/>
        <v>0</v>
      </c>
      <c r="M36" s="113">
        <f t="shared" si="17"/>
        <v>0</v>
      </c>
      <c r="N36" s="113">
        <f t="shared" ref="N36:O36" si="18">SUM(N37:N42)</f>
        <v>0</v>
      </c>
      <c r="O36" s="112">
        <f t="shared" si="18"/>
        <v>0</v>
      </c>
      <c r="P36" s="112">
        <f t="shared" ref="P36" si="19">SUM(P37:P42)</f>
        <v>0</v>
      </c>
      <c r="Q36" s="117"/>
    </row>
    <row r="37" spans="1:17" s="103" customFormat="1" ht="14.25" customHeight="1">
      <c r="A37" s="115" t="s">
        <v>169</v>
      </c>
      <c r="B37" s="121">
        <v>5.3</v>
      </c>
      <c r="C37" s="121">
        <v>26</v>
      </c>
      <c r="D37" s="121">
        <v>39.338009999999997</v>
      </c>
      <c r="E37" s="121">
        <v>15.217036800000001</v>
      </c>
      <c r="F37" s="121">
        <v>1.2089019999999999</v>
      </c>
      <c r="G37" s="121">
        <v>47.196472</v>
      </c>
      <c r="H37" s="121">
        <v>0</v>
      </c>
      <c r="I37" s="121">
        <v>0</v>
      </c>
      <c r="J37" s="121" t="s">
        <v>201</v>
      </c>
      <c r="K37" s="121">
        <v>0</v>
      </c>
      <c r="L37" s="121">
        <v>0</v>
      </c>
      <c r="M37" s="121">
        <v>0</v>
      </c>
      <c r="N37" s="121">
        <v>0</v>
      </c>
      <c r="O37" s="109">
        <v>0</v>
      </c>
      <c r="P37" s="109">
        <v>0</v>
      </c>
      <c r="Q37" s="117"/>
    </row>
    <row r="38" spans="1:17" s="103" customFormat="1" ht="14.25" customHeight="1">
      <c r="A38" s="115" t="s">
        <v>170</v>
      </c>
      <c r="B38" s="121">
        <v>0</v>
      </c>
      <c r="C38" s="121">
        <v>0</v>
      </c>
      <c r="D38" s="121">
        <v>3.84</v>
      </c>
      <c r="E38" s="121">
        <v>29.44</v>
      </c>
      <c r="F38" s="121">
        <v>24.441600000000001</v>
      </c>
      <c r="G38" s="121">
        <v>27.064851000000001</v>
      </c>
      <c r="H38" s="121">
        <v>18.497710999999999</v>
      </c>
      <c r="I38" s="121">
        <v>0</v>
      </c>
      <c r="J38" s="121" t="s">
        <v>201</v>
      </c>
      <c r="K38" s="121">
        <v>0</v>
      </c>
      <c r="L38" s="121">
        <v>0</v>
      </c>
      <c r="M38" s="121">
        <v>0</v>
      </c>
      <c r="N38" s="121">
        <v>0</v>
      </c>
      <c r="O38" s="109">
        <v>0</v>
      </c>
      <c r="P38" s="109">
        <v>0</v>
      </c>
      <c r="Q38" s="117"/>
    </row>
    <row r="39" spans="1:17" s="103" customFormat="1" ht="14.25" customHeight="1">
      <c r="A39" s="115" t="s">
        <v>171</v>
      </c>
      <c r="B39" s="121">
        <v>0</v>
      </c>
      <c r="C39" s="121">
        <v>0</v>
      </c>
      <c r="D39" s="121">
        <v>0</v>
      </c>
      <c r="E39" s="121">
        <v>15.268672</v>
      </c>
      <c r="F39" s="121">
        <v>26.117453000000001</v>
      </c>
      <c r="G39" s="121">
        <v>16.562859</v>
      </c>
      <c r="H39" s="121">
        <v>56.438654999999997</v>
      </c>
      <c r="I39" s="121">
        <v>49.712792999999998</v>
      </c>
      <c r="J39" s="121" t="s">
        <v>201</v>
      </c>
      <c r="K39" s="121">
        <v>0</v>
      </c>
      <c r="L39" s="121">
        <v>0</v>
      </c>
      <c r="M39" s="121">
        <v>0</v>
      </c>
      <c r="N39" s="121">
        <v>0</v>
      </c>
      <c r="O39" s="109">
        <v>0</v>
      </c>
      <c r="P39" s="109">
        <v>0</v>
      </c>
      <c r="Q39" s="117"/>
    </row>
    <row r="40" spans="1:17" s="103" customFormat="1" ht="14.25" customHeight="1">
      <c r="A40" s="115" t="s">
        <v>172</v>
      </c>
      <c r="B40" s="121">
        <v>0</v>
      </c>
      <c r="C40" s="121">
        <v>0</v>
      </c>
      <c r="D40" s="121">
        <v>0</v>
      </c>
      <c r="E40" s="121">
        <v>10.133760000000001</v>
      </c>
      <c r="F40" s="121">
        <v>4.3110090000000003</v>
      </c>
      <c r="G40" s="121">
        <v>23.580067</v>
      </c>
      <c r="H40" s="121">
        <v>11.142696000000001</v>
      </c>
      <c r="I40" s="121">
        <v>10.265409999999999</v>
      </c>
      <c r="J40" s="121" t="s">
        <v>201</v>
      </c>
      <c r="K40" s="121">
        <v>0</v>
      </c>
      <c r="L40" s="121">
        <v>0</v>
      </c>
      <c r="M40" s="121">
        <v>0</v>
      </c>
      <c r="N40" s="121">
        <v>0</v>
      </c>
      <c r="O40" s="109">
        <v>0</v>
      </c>
      <c r="P40" s="109">
        <v>0</v>
      </c>
      <c r="Q40" s="117"/>
    </row>
    <row r="41" spans="1:17" s="103" customFormat="1" ht="14.25" customHeight="1">
      <c r="A41" s="115" t="s">
        <v>164</v>
      </c>
      <c r="B41" s="121">
        <v>0</v>
      </c>
      <c r="C41" s="121">
        <v>0</v>
      </c>
      <c r="D41" s="121">
        <v>0</v>
      </c>
      <c r="E41" s="121">
        <v>3.5526399999999998</v>
      </c>
      <c r="F41" s="121">
        <v>0</v>
      </c>
      <c r="G41" s="121">
        <v>0</v>
      </c>
      <c r="H41" s="121" t="s">
        <v>201</v>
      </c>
      <c r="I41" s="121" t="s">
        <v>201</v>
      </c>
      <c r="J41" s="121" t="s">
        <v>201</v>
      </c>
      <c r="K41" s="121">
        <v>0</v>
      </c>
      <c r="L41" s="121">
        <v>0</v>
      </c>
      <c r="M41" s="121">
        <v>0</v>
      </c>
      <c r="N41" s="121">
        <v>0</v>
      </c>
      <c r="O41" s="109">
        <v>0</v>
      </c>
      <c r="P41" s="109">
        <v>0</v>
      </c>
      <c r="Q41" s="117"/>
    </row>
    <row r="42" spans="1:17" s="103" customFormat="1" ht="14.25" customHeight="1">
      <c r="A42" s="115" t="s">
        <v>173</v>
      </c>
      <c r="B42" s="121">
        <v>0</v>
      </c>
      <c r="C42" s="121">
        <v>9.1</v>
      </c>
      <c r="D42" s="121">
        <v>0</v>
      </c>
      <c r="E42" s="121">
        <v>0</v>
      </c>
      <c r="F42" s="121">
        <v>0</v>
      </c>
      <c r="G42" s="121">
        <v>0</v>
      </c>
      <c r="H42" s="121" t="s">
        <v>201</v>
      </c>
      <c r="I42" s="121" t="s">
        <v>201</v>
      </c>
      <c r="J42" s="121" t="s">
        <v>201</v>
      </c>
      <c r="K42" s="121">
        <v>0</v>
      </c>
      <c r="L42" s="121">
        <v>0</v>
      </c>
      <c r="M42" s="121">
        <v>0</v>
      </c>
      <c r="N42" s="121">
        <v>0</v>
      </c>
      <c r="O42" s="109">
        <v>0</v>
      </c>
      <c r="P42" s="109">
        <v>0</v>
      </c>
      <c r="Q42" s="117"/>
    </row>
    <row r="43" spans="1:17" s="103" customFormat="1" ht="14.25" customHeight="1">
      <c r="A43" s="115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09"/>
      <c r="P43" s="109"/>
      <c r="Q43" s="117"/>
    </row>
    <row r="44" spans="1:17" s="103" customFormat="1" ht="14.25" customHeight="1">
      <c r="A44" s="111" t="s">
        <v>174</v>
      </c>
      <c r="B44" s="113">
        <f t="shared" ref="B44:G44" si="20">SUM(B45:B47)</f>
        <v>0</v>
      </c>
      <c r="C44" s="113">
        <f t="shared" si="20"/>
        <v>0</v>
      </c>
      <c r="D44" s="113">
        <f t="shared" si="20"/>
        <v>0</v>
      </c>
      <c r="E44" s="113">
        <f t="shared" si="20"/>
        <v>0.97870100000000004</v>
      </c>
      <c r="F44" s="113">
        <f t="shared" si="20"/>
        <v>16.572000000000003</v>
      </c>
      <c r="G44" s="128">
        <f t="shared" si="20"/>
        <v>26.341757999999999</v>
      </c>
      <c r="H44" s="113">
        <f>SUM(H45:H48)</f>
        <v>18.887602999999999</v>
      </c>
      <c r="I44" s="113">
        <f t="shared" ref="I44:N44" si="21">SUM(I45:I48)</f>
        <v>2.7029269999999999</v>
      </c>
      <c r="J44" s="113">
        <f t="shared" si="21"/>
        <v>5.7226840000000001</v>
      </c>
      <c r="K44" s="113">
        <f t="shared" si="21"/>
        <v>9.0050719099999998</v>
      </c>
      <c r="L44" s="113">
        <f t="shared" si="21"/>
        <v>17.833543120000002</v>
      </c>
      <c r="M44" s="113">
        <f t="shared" si="21"/>
        <v>6.7483194000000006</v>
      </c>
      <c r="N44" s="113">
        <f t="shared" si="21"/>
        <v>1.0277510000000001</v>
      </c>
      <c r="O44" s="112">
        <f t="shared" ref="O44:P44" si="22">SUM(O45:O48)</f>
        <v>0</v>
      </c>
      <c r="P44" s="112">
        <f t="shared" si="22"/>
        <v>0</v>
      </c>
      <c r="Q44" s="117"/>
    </row>
    <row r="45" spans="1:17" s="103" customFormat="1" ht="14.25" customHeight="1">
      <c r="A45" s="115" t="s">
        <v>175</v>
      </c>
      <c r="B45" s="121">
        <v>0</v>
      </c>
      <c r="C45" s="121">
        <v>0</v>
      </c>
      <c r="D45" s="121">
        <v>0</v>
      </c>
      <c r="E45" s="121">
        <v>0</v>
      </c>
      <c r="F45" s="121">
        <v>10.172000000000001</v>
      </c>
      <c r="G45" s="121">
        <v>12.119864</v>
      </c>
      <c r="H45" s="121">
        <v>5.4513499999999999E-2</v>
      </c>
      <c r="I45" s="121">
        <v>0</v>
      </c>
      <c r="J45" s="121" t="s">
        <v>201</v>
      </c>
      <c r="K45" s="121" t="s">
        <v>201</v>
      </c>
      <c r="L45" s="121">
        <v>2.6532256899999997</v>
      </c>
      <c r="M45" s="121">
        <v>0</v>
      </c>
      <c r="N45" s="121">
        <v>0</v>
      </c>
      <c r="O45" s="109">
        <v>0</v>
      </c>
      <c r="P45" s="109">
        <v>0</v>
      </c>
      <c r="Q45" s="117"/>
    </row>
    <row r="46" spans="1:17" s="103" customFormat="1" ht="14.25" customHeight="1">
      <c r="A46" s="115" t="s">
        <v>175</v>
      </c>
      <c r="B46" s="121">
        <v>0</v>
      </c>
      <c r="C46" s="121">
        <v>0</v>
      </c>
      <c r="D46" s="121">
        <v>0</v>
      </c>
      <c r="E46" s="121">
        <v>0</v>
      </c>
      <c r="F46" s="121">
        <v>0</v>
      </c>
      <c r="G46" s="121">
        <v>14.221894000000001</v>
      </c>
      <c r="H46" s="121">
        <v>14.6449775</v>
      </c>
      <c r="I46" s="121">
        <v>0</v>
      </c>
      <c r="J46" s="121">
        <v>1.71305</v>
      </c>
      <c r="K46" s="121" t="s">
        <v>201</v>
      </c>
      <c r="L46" s="121" t="s">
        <v>201</v>
      </c>
      <c r="M46" s="121">
        <v>0</v>
      </c>
      <c r="N46" s="121">
        <v>0</v>
      </c>
      <c r="O46" s="121">
        <v>0</v>
      </c>
      <c r="P46" s="121">
        <v>0</v>
      </c>
      <c r="Q46" s="117"/>
    </row>
    <row r="47" spans="1:17" s="103" customFormat="1" ht="14.25" customHeight="1">
      <c r="A47" s="115" t="s">
        <v>176</v>
      </c>
      <c r="B47" s="121">
        <v>0</v>
      </c>
      <c r="C47" s="121">
        <v>0</v>
      </c>
      <c r="D47" s="121">
        <v>0</v>
      </c>
      <c r="E47" s="121">
        <v>0.97870100000000004</v>
      </c>
      <c r="F47" s="121">
        <v>6.4</v>
      </c>
      <c r="G47" s="121">
        <v>0</v>
      </c>
      <c r="H47" s="121">
        <v>4.1881120000000003</v>
      </c>
      <c r="I47" s="121">
        <v>2.7029269999999999</v>
      </c>
      <c r="J47" s="121">
        <v>4.0096340000000001</v>
      </c>
      <c r="K47" s="121">
        <v>9.0050719099999998</v>
      </c>
      <c r="L47" s="121">
        <v>15.180317430000001</v>
      </c>
      <c r="M47" s="121">
        <v>6.7483194000000006</v>
      </c>
      <c r="N47" s="121">
        <v>1.0277510000000001</v>
      </c>
      <c r="O47" s="109" t="s">
        <v>201</v>
      </c>
      <c r="P47" s="109" t="s">
        <v>201</v>
      </c>
      <c r="Q47" s="117"/>
    </row>
    <row r="48" spans="1:17" s="103" customFormat="1" ht="14.25" customHeight="1">
      <c r="A48" s="115" t="s">
        <v>238</v>
      </c>
      <c r="B48" s="121"/>
      <c r="C48" s="121"/>
      <c r="D48" s="121"/>
      <c r="E48" s="121"/>
      <c r="F48" s="121"/>
      <c r="G48" s="116" t="s">
        <v>201</v>
      </c>
      <c r="H48" s="116" t="s">
        <v>201</v>
      </c>
      <c r="I48" s="116" t="s">
        <v>201</v>
      </c>
      <c r="J48" s="116" t="s">
        <v>201</v>
      </c>
      <c r="K48" s="121" t="s">
        <v>201</v>
      </c>
      <c r="L48" s="121" t="s">
        <v>201</v>
      </c>
      <c r="M48" s="121" t="s">
        <v>201</v>
      </c>
      <c r="N48" s="121" t="s">
        <v>201</v>
      </c>
      <c r="O48" s="121" t="s">
        <v>201</v>
      </c>
      <c r="P48" s="121" t="s">
        <v>201</v>
      </c>
      <c r="Q48" s="117"/>
    </row>
    <row r="49" spans="1:17" s="103" customFormat="1" ht="14.25" customHeight="1">
      <c r="A49" s="115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09"/>
      <c r="P49" s="109"/>
      <c r="Q49" s="117"/>
    </row>
    <row r="50" spans="1:17" s="103" customFormat="1" ht="14.25" customHeight="1">
      <c r="A50" s="111" t="s">
        <v>177</v>
      </c>
      <c r="B50" s="113">
        <f>SUM(B51:B65)</f>
        <v>144.19999999999999</v>
      </c>
      <c r="C50" s="113">
        <f>SUM(C51:C65)</f>
        <v>18</v>
      </c>
      <c r="D50" s="113">
        <f>SUM(D51:D65)</f>
        <v>68.600000000000009</v>
      </c>
      <c r="E50" s="113">
        <f>SUM(E51:E65)</f>
        <v>60.392844799999999</v>
      </c>
      <c r="F50" s="113">
        <f>SUM(F51:F65)</f>
        <v>27.212074000000001</v>
      </c>
      <c r="G50" s="113">
        <f t="shared" ref="G50" si="23">SUM(G51:G66)</f>
        <v>86.673029999999997</v>
      </c>
      <c r="H50" s="113">
        <f>SUM(H51:H67)</f>
        <v>82.244337999999999</v>
      </c>
      <c r="I50" s="113">
        <f t="shared" ref="I50:J50" si="24">SUM(I51:I67)</f>
        <v>30.346392999999999</v>
      </c>
      <c r="J50" s="113">
        <f t="shared" si="24"/>
        <v>11.611944999999999</v>
      </c>
      <c r="K50" s="113">
        <f>SUM(K51:K68)</f>
        <v>6.6867516699999996</v>
      </c>
      <c r="L50" s="112">
        <f t="shared" ref="L50:O50" si="25">SUM(L51:L69)</f>
        <v>117.37629888000001</v>
      </c>
      <c r="M50" s="112">
        <f t="shared" si="25"/>
        <v>125.9752963</v>
      </c>
      <c r="N50" s="112">
        <f t="shared" si="25"/>
        <v>93.184113000000011</v>
      </c>
      <c r="O50" s="112">
        <f t="shared" si="25"/>
        <v>145.785156</v>
      </c>
      <c r="P50" s="112">
        <f>SUM(P51:P69)</f>
        <v>145.42899799999998</v>
      </c>
      <c r="Q50" s="117"/>
    </row>
    <row r="51" spans="1:17" s="103" customFormat="1" ht="14.25" customHeight="1">
      <c r="A51" s="115" t="s">
        <v>178</v>
      </c>
      <c r="B51" s="116" t="s">
        <v>201</v>
      </c>
      <c r="C51" s="116" t="s">
        <v>201</v>
      </c>
      <c r="D51" s="121">
        <v>1.4</v>
      </c>
      <c r="E51" s="116" t="s">
        <v>201</v>
      </c>
      <c r="F51" s="121">
        <v>0.383718</v>
      </c>
      <c r="G51" s="121" t="s">
        <v>201</v>
      </c>
      <c r="H51" s="121" t="s">
        <v>201</v>
      </c>
      <c r="I51" s="121" t="s">
        <v>201</v>
      </c>
      <c r="J51" s="121" t="s">
        <v>201</v>
      </c>
      <c r="K51" s="121" t="s">
        <v>201</v>
      </c>
      <c r="L51" s="121">
        <v>0</v>
      </c>
      <c r="M51" s="121">
        <v>0</v>
      </c>
      <c r="N51" s="121">
        <v>0</v>
      </c>
      <c r="O51" s="109">
        <v>0</v>
      </c>
      <c r="P51" s="109">
        <v>0</v>
      </c>
      <c r="Q51" s="117"/>
    </row>
    <row r="52" spans="1:17" ht="14.25" customHeight="1">
      <c r="A52" s="115" t="s">
        <v>179</v>
      </c>
      <c r="B52" s="116" t="s">
        <v>201</v>
      </c>
      <c r="C52" s="116" t="s">
        <v>201</v>
      </c>
      <c r="D52" s="116" t="s">
        <v>201</v>
      </c>
      <c r="E52" s="116" t="s">
        <v>201</v>
      </c>
      <c r="F52" s="121">
        <v>0</v>
      </c>
      <c r="G52" s="121">
        <v>20.308920000000001</v>
      </c>
      <c r="H52" s="121" t="s">
        <v>201</v>
      </c>
      <c r="I52" s="121" t="s">
        <v>201</v>
      </c>
      <c r="J52" s="121" t="s">
        <v>201</v>
      </c>
      <c r="K52" s="121" t="s">
        <v>201</v>
      </c>
      <c r="L52" s="121">
        <v>0</v>
      </c>
      <c r="M52" s="121">
        <v>0</v>
      </c>
      <c r="N52" s="121">
        <v>0</v>
      </c>
      <c r="O52" s="109">
        <v>0</v>
      </c>
      <c r="P52" s="109">
        <v>0</v>
      </c>
      <c r="Q52" s="117"/>
    </row>
    <row r="53" spans="1:17" ht="14.25" customHeight="1">
      <c r="A53" s="115" t="s">
        <v>180</v>
      </c>
      <c r="B53" s="116" t="s">
        <v>201</v>
      </c>
      <c r="C53" s="116" t="s">
        <v>201</v>
      </c>
      <c r="D53" s="116" t="s">
        <v>201</v>
      </c>
      <c r="E53" s="121">
        <v>12.635954999999999</v>
      </c>
      <c r="F53" s="121">
        <v>23.015940000000001</v>
      </c>
      <c r="G53" s="121">
        <v>35.039594999999998</v>
      </c>
      <c r="H53" s="121">
        <v>22.579273000000001</v>
      </c>
      <c r="I53" s="121">
        <v>0.46817999999999999</v>
      </c>
      <c r="J53" s="121" t="s">
        <v>201</v>
      </c>
      <c r="K53" s="121" t="s">
        <v>201</v>
      </c>
      <c r="L53" s="121">
        <v>0</v>
      </c>
      <c r="M53" s="121">
        <v>0</v>
      </c>
      <c r="N53" s="121">
        <v>0</v>
      </c>
      <c r="O53" s="109">
        <v>0</v>
      </c>
      <c r="P53" s="109">
        <v>0</v>
      </c>
      <c r="Q53" s="117"/>
    </row>
    <row r="54" spans="1:17" ht="14.25" customHeight="1">
      <c r="A54" s="115" t="s">
        <v>181</v>
      </c>
      <c r="B54" s="116" t="s">
        <v>201</v>
      </c>
      <c r="C54" s="116" t="s">
        <v>201</v>
      </c>
      <c r="D54" s="116" t="s">
        <v>201</v>
      </c>
      <c r="E54" s="121">
        <v>1.758157</v>
      </c>
      <c r="F54" s="121">
        <v>3.8124159999999998</v>
      </c>
      <c r="G54" s="121">
        <v>31.324515000000002</v>
      </c>
      <c r="H54" s="121">
        <v>59.665064999999998</v>
      </c>
      <c r="I54" s="121">
        <v>29.878212999999999</v>
      </c>
      <c r="J54" s="121" t="s">
        <v>201</v>
      </c>
      <c r="K54" s="121" t="s">
        <v>201</v>
      </c>
      <c r="L54" s="121">
        <v>0</v>
      </c>
      <c r="M54" s="121">
        <v>0</v>
      </c>
      <c r="N54" s="121">
        <v>0</v>
      </c>
      <c r="O54" s="109">
        <v>0</v>
      </c>
      <c r="P54" s="109">
        <v>0</v>
      </c>
      <c r="Q54" s="117"/>
    </row>
    <row r="55" spans="1:17" ht="14.25" customHeight="1">
      <c r="A55" s="115" t="s">
        <v>182</v>
      </c>
      <c r="B55" s="116" t="s">
        <v>201</v>
      </c>
      <c r="C55" s="116" t="s">
        <v>201</v>
      </c>
      <c r="D55" s="116" t="s">
        <v>201</v>
      </c>
      <c r="E55" s="116" t="s">
        <v>201</v>
      </c>
      <c r="F55" s="116" t="s">
        <v>201</v>
      </c>
      <c r="G55" s="116" t="s">
        <v>201</v>
      </c>
      <c r="H55" s="116" t="s">
        <v>201</v>
      </c>
      <c r="I55" s="116" t="s">
        <v>201</v>
      </c>
      <c r="J55" s="121">
        <v>0.27332400000000001</v>
      </c>
      <c r="K55" s="121">
        <v>0.16628499999999999</v>
      </c>
      <c r="L55" s="121" t="s">
        <v>201</v>
      </c>
      <c r="M55" s="121">
        <v>1.1375901000000002</v>
      </c>
      <c r="N55" s="121">
        <v>2.8439760000000001</v>
      </c>
      <c r="O55" s="109">
        <v>14.219878</v>
      </c>
      <c r="P55" s="109">
        <v>22.751804</v>
      </c>
      <c r="Q55" s="117"/>
    </row>
    <row r="56" spans="1:17" ht="14.25" customHeight="1">
      <c r="A56" s="115" t="s">
        <v>183</v>
      </c>
      <c r="B56" s="116" t="s">
        <v>201</v>
      </c>
      <c r="C56" s="116" t="s">
        <v>201</v>
      </c>
      <c r="D56" s="116" t="s">
        <v>201</v>
      </c>
      <c r="E56" s="116" t="s">
        <v>201</v>
      </c>
      <c r="F56" s="116" t="s">
        <v>201</v>
      </c>
      <c r="G56" s="116" t="s">
        <v>201</v>
      </c>
      <c r="H56" s="116" t="s">
        <v>201</v>
      </c>
      <c r="I56" s="116" t="s">
        <v>201</v>
      </c>
      <c r="J56" s="121">
        <v>6.2303629999999997</v>
      </c>
      <c r="K56" s="121" t="s">
        <v>201</v>
      </c>
      <c r="L56" s="121">
        <v>0</v>
      </c>
      <c r="M56" s="121">
        <v>0</v>
      </c>
      <c r="N56" s="121">
        <v>0</v>
      </c>
      <c r="O56" s="109">
        <v>0</v>
      </c>
      <c r="P56" s="109">
        <v>0</v>
      </c>
      <c r="Q56" s="117"/>
    </row>
    <row r="57" spans="1:17" ht="14.25" customHeight="1">
      <c r="A57" s="115" t="s">
        <v>184</v>
      </c>
      <c r="B57" s="121">
        <v>137.1</v>
      </c>
      <c r="C57" s="121">
        <v>10</v>
      </c>
      <c r="D57" s="116" t="s">
        <v>201</v>
      </c>
      <c r="E57" s="116" t="s">
        <v>201</v>
      </c>
      <c r="F57" s="116" t="s">
        <v>201</v>
      </c>
      <c r="G57" s="116" t="s">
        <v>201</v>
      </c>
      <c r="H57" s="116" t="s">
        <v>201</v>
      </c>
      <c r="I57" s="116" t="s">
        <v>201</v>
      </c>
      <c r="J57" s="121" t="s">
        <v>201</v>
      </c>
      <c r="K57" s="121" t="s">
        <v>201</v>
      </c>
      <c r="L57" s="121">
        <v>0</v>
      </c>
      <c r="M57" s="121">
        <v>0</v>
      </c>
      <c r="N57" s="121">
        <v>0</v>
      </c>
      <c r="O57" s="109">
        <v>0</v>
      </c>
      <c r="P57" s="109">
        <v>0</v>
      </c>
      <c r="Q57" s="117"/>
    </row>
    <row r="58" spans="1:17" ht="14.25" customHeight="1">
      <c r="A58" s="115" t="s">
        <v>185</v>
      </c>
      <c r="B58" s="116" t="s">
        <v>201</v>
      </c>
      <c r="C58" s="116" t="s">
        <v>201</v>
      </c>
      <c r="D58" s="121">
        <v>67.2</v>
      </c>
      <c r="E58" s="121">
        <v>38.764032</v>
      </c>
      <c r="F58" s="116" t="s">
        <v>201</v>
      </c>
      <c r="G58" s="116" t="s">
        <v>201</v>
      </c>
      <c r="H58" s="116" t="s">
        <v>201</v>
      </c>
      <c r="I58" s="116" t="s">
        <v>201</v>
      </c>
      <c r="J58" s="121" t="s">
        <v>201</v>
      </c>
      <c r="K58" s="121" t="s">
        <v>201</v>
      </c>
      <c r="L58" s="121">
        <v>0</v>
      </c>
      <c r="M58" s="121">
        <v>0</v>
      </c>
      <c r="N58" s="121">
        <v>0</v>
      </c>
      <c r="O58" s="109">
        <v>0</v>
      </c>
      <c r="P58" s="109">
        <v>0</v>
      </c>
      <c r="Q58" s="117"/>
    </row>
    <row r="59" spans="1:17" ht="14.25" customHeight="1">
      <c r="A59" s="115" t="s">
        <v>186</v>
      </c>
      <c r="B59" s="116" t="s">
        <v>201</v>
      </c>
      <c r="C59" s="116" t="s">
        <v>201</v>
      </c>
      <c r="D59" s="116" t="s">
        <v>201</v>
      </c>
      <c r="E59" s="121">
        <v>6.4</v>
      </c>
      <c r="F59" s="116" t="s">
        <v>201</v>
      </c>
      <c r="G59" s="116" t="s">
        <v>201</v>
      </c>
      <c r="H59" s="116" t="s">
        <v>201</v>
      </c>
      <c r="I59" s="116" t="s">
        <v>201</v>
      </c>
      <c r="J59" s="121" t="s">
        <v>201</v>
      </c>
      <c r="K59" s="121" t="s">
        <v>201</v>
      </c>
      <c r="L59" s="121">
        <v>0</v>
      </c>
      <c r="M59" s="121">
        <v>0</v>
      </c>
      <c r="N59" s="121">
        <v>0</v>
      </c>
      <c r="O59" s="109">
        <v>0</v>
      </c>
      <c r="P59" s="109">
        <v>0</v>
      </c>
      <c r="Q59" s="117"/>
    </row>
    <row r="60" spans="1:17" ht="14.25" customHeight="1">
      <c r="A60" s="115" t="s">
        <v>187</v>
      </c>
      <c r="B60" s="121">
        <v>7</v>
      </c>
      <c r="C60" s="121">
        <v>3.8</v>
      </c>
      <c r="D60" s="116" t="s">
        <v>201</v>
      </c>
      <c r="E60" s="116" t="s">
        <v>201</v>
      </c>
      <c r="F60" s="116" t="s">
        <v>201</v>
      </c>
      <c r="G60" s="116" t="s">
        <v>201</v>
      </c>
      <c r="H60" s="116" t="s">
        <v>201</v>
      </c>
      <c r="I60" s="116" t="s">
        <v>201</v>
      </c>
      <c r="J60" s="121" t="s">
        <v>201</v>
      </c>
      <c r="K60" s="121" t="s">
        <v>201</v>
      </c>
      <c r="L60" s="121">
        <v>0</v>
      </c>
      <c r="M60" s="121">
        <v>0</v>
      </c>
      <c r="N60" s="121">
        <v>0</v>
      </c>
      <c r="O60" s="109">
        <v>0</v>
      </c>
      <c r="P60" s="109">
        <v>0</v>
      </c>
      <c r="Q60" s="117"/>
    </row>
    <row r="61" spans="1:17" ht="14.25" customHeight="1">
      <c r="A61" s="115" t="s">
        <v>188</v>
      </c>
      <c r="B61" s="121">
        <v>0.1</v>
      </c>
      <c r="C61" s="121">
        <v>4.2</v>
      </c>
      <c r="D61" s="121">
        <v>0</v>
      </c>
      <c r="E61" s="121">
        <v>0.83470080000000002</v>
      </c>
      <c r="F61" s="116" t="s">
        <v>201</v>
      </c>
      <c r="G61" s="116" t="s">
        <v>201</v>
      </c>
      <c r="H61" s="116" t="s">
        <v>201</v>
      </c>
      <c r="I61" s="116" t="s">
        <v>201</v>
      </c>
      <c r="J61" s="121" t="s">
        <v>201</v>
      </c>
      <c r="K61" s="121" t="s">
        <v>201</v>
      </c>
      <c r="L61" s="121">
        <v>0</v>
      </c>
      <c r="M61" s="121">
        <v>0</v>
      </c>
      <c r="N61" s="121">
        <v>0</v>
      </c>
      <c r="O61" s="109">
        <v>0</v>
      </c>
      <c r="P61" s="109">
        <v>0</v>
      </c>
      <c r="Q61" s="117"/>
    </row>
    <row r="62" spans="1:17" ht="14.25" customHeight="1">
      <c r="A62" s="115" t="s">
        <v>239</v>
      </c>
      <c r="B62" s="116" t="s">
        <v>201</v>
      </c>
      <c r="C62" s="116" t="s">
        <v>201</v>
      </c>
      <c r="D62" s="116" t="s">
        <v>201</v>
      </c>
      <c r="E62" s="116" t="s">
        <v>201</v>
      </c>
      <c r="F62" s="116" t="s">
        <v>201</v>
      </c>
      <c r="G62" s="116" t="s">
        <v>201</v>
      </c>
      <c r="H62" s="116" t="s">
        <v>201</v>
      </c>
      <c r="I62" s="116" t="s">
        <v>201</v>
      </c>
      <c r="J62" s="121">
        <v>5.1082580000000002</v>
      </c>
      <c r="K62" s="121">
        <v>2.1887285700000003</v>
      </c>
      <c r="L62" s="121">
        <v>83.848357850000014</v>
      </c>
      <c r="M62" s="121">
        <v>46.139272700000006</v>
      </c>
      <c r="N62" s="121">
        <v>15.637236</v>
      </c>
      <c r="O62" s="109">
        <v>12.735877</v>
      </c>
      <c r="P62" s="109" t="s">
        <v>201</v>
      </c>
      <c r="Q62" s="117"/>
    </row>
    <row r="63" spans="1:17" ht="14.25" customHeight="1">
      <c r="A63" s="115" t="s">
        <v>189</v>
      </c>
      <c r="B63" s="116" t="s">
        <v>201</v>
      </c>
      <c r="C63" s="116" t="s">
        <v>201</v>
      </c>
      <c r="D63" s="116" t="s">
        <v>201</v>
      </c>
      <c r="E63" s="116" t="s">
        <v>201</v>
      </c>
      <c r="F63" s="116" t="s">
        <v>201</v>
      </c>
      <c r="G63" s="116" t="s">
        <v>201</v>
      </c>
      <c r="H63" s="116" t="s">
        <v>201</v>
      </c>
      <c r="I63" s="116" t="s">
        <v>201</v>
      </c>
      <c r="J63" s="121" t="s">
        <v>201</v>
      </c>
      <c r="K63" s="121">
        <v>0</v>
      </c>
      <c r="L63" s="121" t="s">
        <v>201</v>
      </c>
      <c r="M63" s="121">
        <v>43.638322000000002</v>
      </c>
      <c r="N63" s="121">
        <v>37.503348000000003</v>
      </c>
      <c r="O63" s="109">
        <v>36.565764999999999</v>
      </c>
      <c r="P63" s="109" t="s">
        <v>201</v>
      </c>
      <c r="Q63" s="117"/>
    </row>
    <row r="64" spans="1:17" ht="14.25" customHeight="1">
      <c r="A64" s="115" t="s">
        <v>190</v>
      </c>
      <c r="B64" s="116" t="s">
        <v>201</v>
      </c>
      <c r="C64" s="116" t="s">
        <v>201</v>
      </c>
      <c r="D64" s="116" t="s">
        <v>201</v>
      </c>
      <c r="E64" s="116" t="s">
        <v>201</v>
      </c>
      <c r="F64" s="116" t="s">
        <v>201</v>
      </c>
      <c r="G64" s="116" t="s">
        <v>201</v>
      </c>
      <c r="H64" s="116" t="s">
        <v>201</v>
      </c>
      <c r="I64" s="116" t="s">
        <v>201</v>
      </c>
      <c r="J64" s="121" t="s">
        <v>201</v>
      </c>
      <c r="K64" s="121">
        <v>0</v>
      </c>
      <c r="L64" s="121">
        <v>2.3233030000000001</v>
      </c>
      <c r="M64" s="121">
        <v>19.287354899999997</v>
      </c>
      <c r="N64" s="121">
        <v>20.267306000000001</v>
      </c>
      <c r="O64" s="109">
        <v>44.267305</v>
      </c>
      <c r="P64" s="109">
        <v>77.903366000000005</v>
      </c>
      <c r="Q64" s="117"/>
    </row>
    <row r="65" spans="1:17" ht="14.25" customHeight="1">
      <c r="A65" s="115" t="s">
        <v>240</v>
      </c>
      <c r="B65" s="116" t="s">
        <v>201</v>
      </c>
      <c r="C65" s="116" t="s">
        <v>201</v>
      </c>
      <c r="D65" s="116" t="s">
        <v>201</v>
      </c>
      <c r="E65" s="116" t="s">
        <v>201</v>
      </c>
      <c r="F65" s="116" t="s">
        <v>201</v>
      </c>
      <c r="G65" s="116" t="s">
        <v>201</v>
      </c>
      <c r="H65" s="116" t="s">
        <v>201</v>
      </c>
      <c r="I65" s="116" t="s">
        <v>201</v>
      </c>
      <c r="J65" s="121" t="s">
        <v>201</v>
      </c>
      <c r="K65" s="121">
        <v>0</v>
      </c>
      <c r="L65" s="121">
        <v>0</v>
      </c>
      <c r="M65" s="121">
        <v>0</v>
      </c>
      <c r="N65" s="121">
        <v>0</v>
      </c>
      <c r="O65" s="109">
        <v>0</v>
      </c>
      <c r="P65" s="109">
        <v>0</v>
      </c>
      <c r="Q65" s="117"/>
    </row>
    <row r="66" spans="1:17" ht="13.5" customHeight="1">
      <c r="A66" s="115" t="s">
        <v>227</v>
      </c>
      <c r="B66" s="116" t="s">
        <v>201</v>
      </c>
      <c r="C66" s="116" t="s">
        <v>201</v>
      </c>
      <c r="D66" s="116" t="s">
        <v>201</v>
      </c>
      <c r="E66" s="116" t="s">
        <v>201</v>
      </c>
      <c r="F66" s="116" t="s">
        <v>201</v>
      </c>
      <c r="G66" s="116" t="s">
        <v>201</v>
      </c>
      <c r="H66" s="116" t="s">
        <v>201</v>
      </c>
      <c r="I66" s="116" t="s">
        <v>201</v>
      </c>
      <c r="J66" s="121" t="s">
        <v>201</v>
      </c>
      <c r="K66" s="121">
        <v>0</v>
      </c>
      <c r="L66" s="121">
        <v>0</v>
      </c>
      <c r="M66" s="121">
        <v>0</v>
      </c>
      <c r="N66" s="121">
        <v>0</v>
      </c>
      <c r="O66" s="109">
        <v>0</v>
      </c>
      <c r="P66" s="109">
        <v>0</v>
      </c>
      <c r="Q66" s="117"/>
    </row>
    <row r="67" spans="1:17" ht="13.5" customHeight="1">
      <c r="A67" s="115" t="s">
        <v>241</v>
      </c>
      <c r="B67" s="116">
        <v>0</v>
      </c>
      <c r="C67" s="116">
        <v>0</v>
      </c>
      <c r="D67" s="116" t="s">
        <v>201</v>
      </c>
      <c r="E67" s="116" t="s">
        <v>201</v>
      </c>
      <c r="F67" s="116" t="s">
        <v>201</v>
      </c>
      <c r="G67" s="116" t="s">
        <v>201</v>
      </c>
      <c r="H67" s="116" t="s">
        <v>201</v>
      </c>
      <c r="I67" s="116" t="s">
        <v>201</v>
      </c>
      <c r="J67" s="121" t="s">
        <v>201</v>
      </c>
      <c r="K67" s="121">
        <v>0</v>
      </c>
      <c r="L67" s="121">
        <v>0</v>
      </c>
      <c r="M67" s="121">
        <v>0</v>
      </c>
      <c r="N67" s="121">
        <v>0</v>
      </c>
      <c r="O67" s="109">
        <v>0</v>
      </c>
      <c r="P67" s="109">
        <v>0</v>
      </c>
      <c r="Q67" s="117"/>
    </row>
    <row r="68" spans="1:17" ht="13.5" customHeight="1">
      <c r="A68" s="115" t="s">
        <v>263</v>
      </c>
      <c r="B68" s="116">
        <v>0</v>
      </c>
      <c r="C68" s="116">
        <v>0</v>
      </c>
      <c r="D68" s="116" t="s">
        <v>201</v>
      </c>
      <c r="E68" s="116" t="s">
        <v>201</v>
      </c>
      <c r="F68" s="116" t="s">
        <v>201</v>
      </c>
      <c r="G68" s="116" t="s">
        <v>201</v>
      </c>
      <c r="H68" s="116" t="s">
        <v>201</v>
      </c>
      <c r="I68" s="116" t="s">
        <v>201</v>
      </c>
      <c r="J68" s="121" t="s">
        <v>201</v>
      </c>
      <c r="K68" s="121">
        <v>4.3317380999999999</v>
      </c>
      <c r="L68" s="121">
        <v>31.204638030000002</v>
      </c>
      <c r="M68" s="121">
        <v>15.772756599999999</v>
      </c>
      <c r="N68" s="121">
        <v>16.932247</v>
      </c>
      <c r="O68" s="109">
        <v>22.576331</v>
      </c>
      <c r="P68" s="109">
        <v>6.2238280000000001</v>
      </c>
      <c r="Q68" s="117"/>
    </row>
    <row r="69" spans="1:17" ht="13.5" customHeight="1">
      <c r="A69" s="115" t="s">
        <v>283</v>
      </c>
      <c r="B69" s="116"/>
      <c r="C69" s="116"/>
      <c r="D69" s="116"/>
      <c r="E69" s="116"/>
      <c r="F69" s="116"/>
      <c r="G69" s="121"/>
      <c r="H69" s="121"/>
      <c r="I69" s="121"/>
      <c r="J69" s="121"/>
      <c r="K69" s="121"/>
      <c r="L69" s="121"/>
      <c r="M69" s="121"/>
      <c r="N69" s="121"/>
      <c r="O69" s="109">
        <v>15.42</v>
      </c>
      <c r="P69" s="109">
        <v>38.549999999999997</v>
      </c>
      <c r="Q69" s="117"/>
    </row>
    <row r="70" spans="1:17" ht="13.5" customHeight="1">
      <c r="A70" s="115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09"/>
      <c r="P70" s="109"/>
      <c r="Q70" s="117"/>
    </row>
    <row r="71" spans="1:17" ht="14.25" customHeight="1">
      <c r="A71" s="111" t="s">
        <v>191</v>
      </c>
      <c r="B71" s="113">
        <f t="shared" ref="B71:G71" si="26">SUM(B72:B79)</f>
        <v>64.87</v>
      </c>
      <c r="C71" s="113">
        <f t="shared" si="26"/>
        <v>77.8</v>
      </c>
      <c r="D71" s="113">
        <f t="shared" si="26"/>
        <v>34.9</v>
      </c>
      <c r="E71" s="113">
        <f t="shared" si="26"/>
        <v>81.389620000000008</v>
      </c>
      <c r="F71" s="113">
        <f t="shared" si="26"/>
        <v>125.39468100000001</v>
      </c>
      <c r="G71" s="128">
        <f t="shared" si="26"/>
        <v>110.975019</v>
      </c>
      <c r="H71" s="113">
        <f>SUM(H72:H81)</f>
        <v>43.581213299999995</v>
      </c>
      <c r="I71" s="113">
        <f t="shared" ref="I71:N71" si="27">SUM(I72:I81)</f>
        <v>37.78454</v>
      </c>
      <c r="J71" s="113">
        <f t="shared" si="27"/>
        <v>11.569822</v>
      </c>
      <c r="K71" s="113">
        <f t="shared" si="27"/>
        <v>0</v>
      </c>
      <c r="L71" s="113">
        <f t="shared" si="27"/>
        <v>0.1019655</v>
      </c>
      <c r="M71" s="113">
        <f t="shared" si="27"/>
        <v>20.310776199999999</v>
      </c>
      <c r="N71" s="113">
        <f t="shared" si="27"/>
        <v>0</v>
      </c>
      <c r="O71" s="112">
        <f>SUM(O72:O81)</f>
        <v>0</v>
      </c>
      <c r="P71" s="112">
        <f>SUM(P72:P81)</f>
        <v>0</v>
      </c>
      <c r="Q71" s="129"/>
    </row>
    <row r="72" spans="1:17" ht="14.25" customHeight="1">
      <c r="A72" s="115" t="s">
        <v>192</v>
      </c>
      <c r="B72" s="121">
        <v>18.8</v>
      </c>
      <c r="C72" s="121">
        <v>27.9</v>
      </c>
      <c r="D72" s="121">
        <v>16.5</v>
      </c>
      <c r="E72" s="121">
        <v>28.826278400000003</v>
      </c>
      <c r="F72" s="121">
        <v>26.077563999999999</v>
      </c>
      <c r="G72" s="121" t="s">
        <v>201</v>
      </c>
      <c r="H72" s="121" t="s">
        <v>201</v>
      </c>
      <c r="I72" s="121" t="s">
        <v>201</v>
      </c>
      <c r="J72" s="121" t="s">
        <v>201</v>
      </c>
      <c r="K72" s="121" t="s">
        <v>201</v>
      </c>
      <c r="L72" s="121" t="s">
        <v>201</v>
      </c>
      <c r="M72" s="121" t="s">
        <v>201</v>
      </c>
      <c r="N72" s="121" t="s">
        <v>201</v>
      </c>
      <c r="O72" s="121" t="s">
        <v>201</v>
      </c>
      <c r="P72" s="121" t="s">
        <v>201</v>
      </c>
      <c r="Q72" s="129"/>
    </row>
    <row r="73" spans="1:17" ht="14.25" customHeight="1">
      <c r="A73" s="115" t="s">
        <v>193</v>
      </c>
      <c r="B73" s="121">
        <v>30</v>
      </c>
      <c r="C73" s="121">
        <v>4.2</v>
      </c>
      <c r="D73" s="121">
        <v>12.2</v>
      </c>
      <c r="E73" s="121">
        <v>26.0098816</v>
      </c>
      <c r="F73" s="121">
        <v>31.063718000000001</v>
      </c>
      <c r="G73" s="121" t="s">
        <v>201</v>
      </c>
      <c r="H73" s="121" t="s">
        <v>201</v>
      </c>
      <c r="I73" s="121" t="s">
        <v>201</v>
      </c>
      <c r="J73" s="121" t="s">
        <v>201</v>
      </c>
      <c r="K73" s="121" t="s">
        <v>201</v>
      </c>
      <c r="L73" s="121" t="s">
        <v>201</v>
      </c>
      <c r="M73" s="121" t="s">
        <v>201</v>
      </c>
      <c r="N73" s="121" t="s">
        <v>201</v>
      </c>
      <c r="O73" s="121" t="s">
        <v>201</v>
      </c>
      <c r="P73" s="121" t="s">
        <v>201</v>
      </c>
      <c r="Q73" s="129"/>
    </row>
    <row r="74" spans="1:17" ht="14.25" customHeight="1">
      <c r="A74" s="115" t="s">
        <v>194</v>
      </c>
      <c r="B74" s="121">
        <v>3.7</v>
      </c>
      <c r="C74" s="121">
        <v>14.4</v>
      </c>
      <c r="D74" s="121">
        <v>0.2</v>
      </c>
      <c r="E74" s="121">
        <v>15.06729</v>
      </c>
      <c r="F74" s="121">
        <v>21.153192000000001</v>
      </c>
      <c r="G74" s="121">
        <v>2.4465000000000001E-2</v>
      </c>
      <c r="H74" s="121">
        <v>3.0701839999999998</v>
      </c>
      <c r="I74" s="121">
        <v>11.101946999999999</v>
      </c>
      <c r="J74" s="121" t="s">
        <v>201</v>
      </c>
      <c r="K74" s="121" t="s">
        <v>201</v>
      </c>
      <c r="L74" s="121" t="s">
        <v>201</v>
      </c>
      <c r="M74" s="121" t="s">
        <v>201</v>
      </c>
      <c r="N74" s="121" t="s">
        <v>201</v>
      </c>
      <c r="O74" s="121" t="s">
        <v>201</v>
      </c>
      <c r="P74" s="121" t="s">
        <v>201</v>
      </c>
      <c r="Q74" s="129"/>
    </row>
    <row r="75" spans="1:17" ht="14.25" customHeight="1">
      <c r="A75" s="115" t="s">
        <v>195</v>
      </c>
      <c r="B75" s="121">
        <v>5.4</v>
      </c>
      <c r="C75" s="121">
        <v>3.9</v>
      </c>
      <c r="D75" s="121">
        <v>3.6</v>
      </c>
      <c r="E75" s="121">
        <v>5.09504</v>
      </c>
      <c r="F75" s="121">
        <v>5.163119</v>
      </c>
      <c r="G75" s="121">
        <v>44.064557000000001</v>
      </c>
      <c r="H75" s="121">
        <v>1.8353710000000001</v>
      </c>
      <c r="I75" s="121" t="s">
        <v>201</v>
      </c>
      <c r="J75" s="121" t="s">
        <v>201</v>
      </c>
      <c r="K75" s="121" t="s">
        <v>201</v>
      </c>
      <c r="L75" s="121" t="s">
        <v>201</v>
      </c>
      <c r="M75" s="121" t="s">
        <v>201</v>
      </c>
      <c r="N75" s="121" t="s">
        <v>201</v>
      </c>
      <c r="O75" s="121" t="s">
        <v>201</v>
      </c>
      <c r="P75" s="121" t="s">
        <v>201</v>
      </c>
      <c r="Q75" s="129"/>
    </row>
    <row r="76" spans="1:17" ht="14.25" customHeight="1">
      <c r="A76" s="115" t="s">
        <v>196</v>
      </c>
      <c r="B76" s="121">
        <v>0</v>
      </c>
      <c r="C76" s="121">
        <v>0</v>
      </c>
      <c r="D76" s="121">
        <v>2.4</v>
      </c>
      <c r="E76" s="121">
        <v>6.3911300000000004</v>
      </c>
      <c r="F76" s="121">
        <v>29.665980000000001</v>
      </c>
      <c r="G76" s="121">
        <v>24.122235</v>
      </c>
      <c r="H76" s="121">
        <v>0</v>
      </c>
      <c r="I76" s="121" t="s">
        <v>201</v>
      </c>
      <c r="J76" s="121" t="s">
        <v>201</v>
      </c>
      <c r="K76" s="121" t="s">
        <v>201</v>
      </c>
      <c r="L76" s="121" t="s">
        <v>201</v>
      </c>
      <c r="M76" s="121" t="s">
        <v>201</v>
      </c>
      <c r="N76" s="121" t="s">
        <v>201</v>
      </c>
      <c r="O76" s="121" t="s">
        <v>201</v>
      </c>
      <c r="P76" s="121" t="s">
        <v>201</v>
      </c>
      <c r="Q76" s="129"/>
    </row>
    <row r="77" spans="1:17" ht="14.25" customHeight="1">
      <c r="A77" s="115" t="s">
        <v>197</v>
      </c>
      <c r="B77" s="121">
        <v>0</v>
      </c>
      <c r="C77" s="121">
        <v>0</v>
      </c>
      <c r="D77" s="116" t="s">
        <v>201</v>
      </c>
      <c r="E77" s="116" t="s">
        <v>201</v>
      </c>
      <c r="F77" s="121">
        <v>12.271108</v>
      </c>
      <c r="G77" s="121">
        <v>42.763762</v>
      </c>
      <c r="H77" s="121">
        <v>38.675658299999995</v>
      </c>
      <c r="I77" s="121">
        <v>26.682593000000001</v>
      </c>
      <c r="J77" s="116" t="s">
        <v>201</v>
      </c>
      <c r="K77" s="121" t="s">
        <v>201</v>
      </c>
      <c r="L77" s="121" t="s">
        <v>201</v>
      </c>
      <c r="M77" s="121" t="s">
        <v>201</v>
      </c>
      <c r="N77" s="121" t="s">
        <v>201</v>
      </c>
      <c r="O77" s="121" t="s">
        <v>201</v>
      </c>
      <c r="P77" s="121" t="s">
        <v>201</v>
      </c>
      <c r="Q77" s="129"/>
    </row>
    <row r="78" spans="1:17" ht="14.25" customHeight="1">
      <c r="A78" s="115" t="s">
        <v>198</v>
      </c>
      <c r="B78" s="121">
        <v>0</v>
      </c>
      <c r="C78" s="121">
        <v>12.8</v>
      </c>
      <c r="D78" s="116" t="s">
        <v>201</v>
      </c>
      <c r="E78" s="121" t="s">
        <v>201</v>
      </c>
      <c r="F78" s="121" t="s">
        <v>201</v>
      </c>
      <c r="G78" s="121" t="s">
        <v>201</v>
      </c>
      <c r="H78" s="121" t="s">
        <v>201</v>
      </c>
      <c r="I78" s="121" t="s">
        <v>201</v>
      </c>
      <c r="J78" s="121">
        <v>11.569822</v>
      </c>
      <c r="K78" s="121" t="s">
        <v>201</v>
      </c>
      <c r="L78" s="121">
        <v>0.1019655</v>
      </c>
      <c r="M78" s="116">
        <v>20.310776199999999</v>
      </c>
      <c r="N78" s="116" t="s">
        <v>201</v>
      </c>
      <c r="O78" s="116" t="s">
        <v>201</v>
      </c>
      <c r="P78" s="116" t="s">
        <v>201</v>
      </c>
      <c r="Q78" s="129"/>
    </row>
    <row r="79" spans="1:17" ht="14.25" customHeight="1">
      <c r="A79" s="115" t="s">
        <v>199</v>
      </c>
      <c r="B79" s="121">
        <v>6.97</v>
      </c>
      <c r="C79" s="121">
        <v>14.6</v>
      </c>
      <c r="D79" s="116" t="s">
        <v>201</v>
      </c>
      <c r="E79" s="121" t="s">
        <v>201</v>
      </c>
      <c r="F79" s="121" t="s">
        <v>201</v>
      </c>
      <c r="G79" s="121" t="s">
        <v>201</v>
      </c>
      <c r="H79" s="121" t="s">
        <v>201</v>
      </c>
      <c r="I79" s="121" t="s">
        <v>201</v>
      </c>
      <c r="J79" s="121" t="s">
        <v>201</v>
      </c>
      <c r="K79" s="121" t="s">
        <v>201</v>
      </c>
      <c r="L79" s="121" t="s">
        <v>201</v>
      </c>
      <c r="M79" s="121" t="s">
        <v>201</v>
      </c>
      <c r="N79" s="121" t="s">
        <v>201</v>
      </c>
      <c r="O79" s="121" t="s">
        <v>201</v>
      </c>
      <c r="P79" s="121" t="s">
        <v>201</v>
      </c>
      <c r="Q79" s="129"/>
    </row>
    <row r="80" spans="1:17" ht="14.25" customHeight="1">
      <c r="A80" s="115" t="s">
        <v>242</v>
      </c>
      <c r="B80" s="116" t="s">
        <v>201</v>
      </c>
      <c r="C80" s="116" t="s">
        <v>201</v>
      </c>
      <c r="D80" s="116" t="s">
        <v>201</v>
      </c>
      <c r="E80" s="121" t="s">
        <v>201</v>
      </c>
      <c r="F80" s="121" t="s">
        <v>201</v>
      </c>
      <c r="G80" s="121" t="s">
        <v>201</v>
      </c>
      <c r="H80" s="121" t="s">
        <v>201</v>
      </c>
      <c r="I80" s="121" t="s">
        <v>201</v>
      </c>
      <c r="J80" s="121" t="s">
        <v>201</v>
      </c>
      <c r="K80" s="121" t="s">
        <v>201</v>
      </c>
      <c r="L80" s="121" t="s">
        <v>201</v>
      </c>
      <c r="M80" s="121" t="s">
        <v>201</v>
      </c>
      <c r="N80" s="121" t="s">
        <v>201</v>
      </c>
      <c r="O80" s="121" t="s">
        <v>201</v>
      </c>
      <c r="P80" s="121" t="s">
        <v>201</v>
      </c>
      <c r="Q80" s="129"/>
    </row>
    <row r="81" spans="1:17" ht="14.25" customHeight="1">
      <c r="A81" s="115" t="s">
        <v>243</v>
      </c>
      <c r="B81" s="116" t="s">
        <v>201</v>
      </c>
      <c r="C81" s="116" t="s">
        <v>201</v>
      </c>
      <c r="D81" s="116" t="s">
        <v>201</v>
      </c>
      <c r="E81" s="121" t="s">
        <v>201</v>
      </c>
      <c r="F81" s="121" t="s">
        <v>201</v>
      </c>
      <c r="G81" s="121" t="s">
        <v>201</v>
      </c>
      <c r="H81" s="121" t="s">
        <v>201</v>
      </c>
      <c r="I81" s="121" t="s">
        <v>201</v>
      </c>
      <c r="J81" s="121" t="s">
        <v>201</v>
      </c>
      <c r="K81" s="121" t="s">
        <v>201</v>
      </c>
      <c r="L81" s="121" t="s">
        <v>201</v>
      </c>
      <c r="M81" s="121" t="s">
        <v>201</v>
      </c>
      <c r="N81" s="121" t="s">
        <v>201</v>
      </c>
      <c r="O81" s="121" t="s">
        <v>201</v>
      </c>
      <c r="P81" s="121" t="s">
        <v>201</v>
      </c>
      <c r="Q81" s="129"/>
    </row>
    <row r="82" spans="1:17" ht="14.25" customHeight="1">
      <c r="A82" s="115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09"/>
      <c r="P82" s="109"/>
      <c r="Q82" s="129"/>
    </row>
    <row r="83" spans="1:17" ht="14.25" customHeight="1">
      <c r="A83" s="111" t="s">
        <v>200</v>
      </c>
      <c r="B83" s="113">
        <v>0</v>
      </c>
      <c r="C83" s="113">
        <v>0</v>
      </c>
      <c r="D83" s="113">
        <v>0</v>
      </c>
      <c r="E83" s="113">
        <v>0</v>
      </c>
      <c r="F83" s="113">
        <v>0</v>
      </c>
      <c r="G83" s="128">
        <f>SUM(G84:G89)</f>
        <v>10.230764000000001</v>
      </c>
      <c r="H83" s="128">
        <f>SUM(H84:H91)</f>
        <v>14.050041999999999</v>
      </c>
      <c r="I83" s="128">
        <f t="shared" ref="I83:J83" si="28">SUM(I84:I91)</f>
        <v>14.039686</v>
      </c>
      <c r="J83" s="128">
        <f t="shared" si="28"/>
        <v>15.610315</v>
      </c>
      <c r="K83" s="128">
        <f>SUM(K84:K92)</f>
        <v>31.178673200000006</v>
      </c>
      <c r="L83" s="128">
        <f t="shared" ref="L83:O83" si="29">SUM(L84:L92)</f>
        <v>1.40838182</v>
      </c>
      <c r="M83" s="128">
        <f t="shared" si="29"/>
        <v>235.34901529999999</v>
      </c>
      <c r="N83" s="128">
        <f t="shared" si="29"/>
        <v>315.80912999999998</v>
      </c>
      <c r="O83" s="128">
        <f t="shared" si="29"/>
        <v>488.35386</v>
      </c>
      <c r="P83" s="128">
        <f t="shared" ref="P83" si="30">SUM(P84:P92)</f>
        <v>610.16692699999999</v>
      </c>
      <c r="Q83" s="129"/>
    </row>
    <row r="84" spans="1:17" ht="14.25" customHeight="1">
      <c r="A84" s="115" t="s">
        <v>181</v>
      </c>
      <c r="B84" s="121">
        <v>0</v>
      </c>
      <c r="C84" s="121">
        <v>0</v>
      </c>
      <c r="D84" s="121">
        <v>0</v>
      </c>
      <c r="E84" s="121">
        <v>0</v>
      </c>
      <c r="F84" s="121">
        <v>0</v>
      </c>
      <c r="G84" s="121">
        <v>10.230764000000001</v>
      </c>
      <c r="H84" s="121">
        <v>14.050041999999999</v>
      </c>
      <c r="I84" s="121">
        <v>14.039686</v>
      </c>
      <c r="J84" s="121">
        <v>15.610315</v>
      </c>
      <c r="K84" s="121">
        <v>27.327903700000004</v>
      </c>
      <c r="L84" s="121" t="s">
        <v>201</v>
      </c>
      <c r="M84" s="121" t="s">
        <v>201</v>
      </c>
      <c r="N84" s="121" t="s">
        <v>201</v>
      </c>
      <c r="O84" s="109" t="s">
        <v>201</v>
      </c>
      <c r="P84" s="109" t="s">
        <v>201</v>
      </c>
      <c r="Q84" s="129"/>
    </row>
    <row r="85" spans="1:17" ht="14.25" customHeight="1">
      <c r="A85" s="115" t="s">
        <v>155</v>
      </c>
      <c r="B85" s="121">
        <v>0</v>
      </c>
      <c r="C85" s="121">
        <v>0</v>
      </c>
      <c r="D85" s="121">
        <v>0</v>
      </c>
      <c r="E85" s="121">
        <v>0</v>
      </c>
      <c r="F85" s="121">
        <v>0</v>
      </c>
      <c r="G85" s="116" t="s">
        <v>201</v>
      </c>
      <c r="H85" s="116" t="s">
        <v>201</v>
      </c>
      <c r="I85" s="116" t="s">
        <v>201</v>
      </c>
      <c r="J85" s="116" t="s">
        <v>201</v>
      </c>
      <c r="K85" s="121">
        <v>0</v>
      </c>
      <c r="L85" s="121" t="s">
        <v>201</v>
      </c>
      <c r="M85" s="121">
        <v>14.659475299999999</v>
      </c>
      <c r="N85" s="121">
        <v>37.780672000000003</v>
      </c>
      <c r="O85" s="109">
        <v>40.906399999999998</v>
      </c>
      <c r="P85" s="109">
        <v>36.174429000000003</v>
      </c>
      <c r="Q85" s="129"/>
    </row>
    <row r="86" spans="1:17" ht="14.25" customHeight="1">
      <c r="A86" s="115" t="s">
        <v>228</v>
      </c>
      <c r="B86" s="121">
        <v>0</v>
      </c>
      <c r="C86" s="121">
        <v>0</v>
      </c>
      <c r="D86" s="121">
        <v>0</v>
      </c>
      <c r="E86" s="121">
        <v>0</v>
      </c>
      <c r="F86" s="121">
        <v>0</v>
      </c>
      <c r="G86" s="116" t="s">
        <v>201</v>
      </c>
      <c r="H86" s="116" t="s">
        <v>201</v>
      </c>
      <c r="I86" s="116" t="s">
        <v>201</v>
      </c>
      <c r="J86" s="116" t="s">
        <v>201</v>
      </c>
      <c r="K86" s="121">
        <v>3.8507695000000002</v>
      </c>
      <c r="L86" s="121" t="s">
        <v>201</v>
      </c>
      <c r="M86" s="121">
        <v>74.688359800000001</v>
      </c>
      <c r="N86" s="121">
        <v>49.604773000000002</v>
      </c>
      <c r="O86" s="109">
        <v>65.024772999999996</v>
      </c>
      <c r="P86" s="109">
        <v>116.091634</v>
      </c>
      <c r="Q86" s="129"/>
    </row>
    <row r="87" spans="1:17" ht="14.25" customHeight="1">
      <c r="A87" s="115" t="s">
        <v>229</v>
      </c>
      <c r="B87" s="121">
        <v>0</v>
      </c>
      <c r="C87" s="121">
        <v>0</v>
      </c>
      <c r="D87" s="121">
        <v>0</v>
      </c>
      <c r="E87" s="121">
        <v>0</v>
      </c>
      <c r="F87" s="121">
        <v>0</v>
      </c>
      <c r="G87" s="116" t="s">
        <v>201</v>
      </c>
      <c r="H87" s="116" t="s">
        <v>201</v>
      </c>
      <c r="I87" s="116" t="s">
        <v>201</v>
      </c>
      <c r="J87" s="116" t="s">
        <v>201</v>
      </c>
      <c r="K87" s="116" t="s">
        <v>201</v>
      </c>
      <c r="L87" s="116" t="s">
        <v>201</v>
      </c>
      <c r="M87" s="116" t="s">
        <v>201</v>
      </c>
      <c r="N87" s="116" t="s">
        <v>201</v>
      </c>
      <c r="O87" s="116" t="s">
        <v>201</v>
      </c>
      <c r="P87" s="116" t="s">
        <v>201</v>
      </c>
      <c r="Q87" s="129"/>
    </row>
    <row r="88" spans="1:17" ht="14.25" customHeight="1">
      <c r="A88" s="115" t="s">
        <v>202</v>
      </c>
      <c r="B88" s="121">
        <v>0</v>
      </c>
      <c r="C88" s="121">
        <v>0</v>
      </c>
      <c r="D88" s="121">
        <v>0</v>
      </c>
      <c r="E88" s="121">
        <v>0</v>
      </c>
      <c r="F88" s="121">
        <v>0</v>
      </c>
      <c r="G88" s="116" t="s">
        <v>201</v>
      </c>
      <c r="H88" s="116" t="s">
        <v>201</v>
      </c>
      <c r="I88" s="116" t="s">
        <v>201</v>
      </c>
      <c r="J88" s="116" t="s">
        <v>201</v>
      </c>
      <c r="K88" s="116" t="s">
        <v>201</v>
      </c>
      <c r="L88" s="121">
        <v>1.40838182</v>
      </c>
      <c r="M88" s="121">
        <v>68.901180199999985</v>
      </c>
      <c r="N88" s="121">
        <v>112.773685</v>
      </c>
      <c r="O88" s="109">
        <v>151.12268700000001</v>
      </c>
      <c r="P88" s="109">
        <v>188.05086399999999</v>
      </c>
      <c r="Q88" s="129"/>
    </row>
    <row r="89" spans="1:17" ht="14.25" customHeight="1">
      <c r="A89" s="115" t="s">
        <v>230</v>
      </c>
      <c r="B89" s="121">
        <v>0</v>
      </c>
      <c r="C89" s="121">
        <v>0</v>
      </c>
      <c r="D89" s="121">
        <v>0</v>
      </c>
      <c r="E89" s="121">
        <v>0</v>
      </c>
      <c r="F89" s="121">
        <v>0</v>
      </c>
      <c r="G89" s="116" t="s">
        <v>201</v>
      </c>
      <c r="H89" s="116" t="s">
        <v>201</v>
      </c>
      <c r="I89" s="116" t="s">
        <v>201</v>
      </c>
      <c r="J89" s="116" t="s">
        <v>201</v>
      </c>
      <c r="K89" s="121" t="s">
        <v>201</v>
      </c>
      <c r="L89" s="121" t="s">
        <v>201</v>
      </c>
      <c r="M89" s="121" t="s">
        <v>201</v>
      </c>
      <c r="N89" s="121" t="s">
        <v>201</v>
      </c>
      <c r="O89" s="121" t="s">
        <v>201</v>
      </c>
      <c r="P89" s="121" t="s">
        <v>201</v>
      </c>
      <c r="Q89" s="129"/>
    </row>
    <row r="90" spans="1:17" ht="14.25" customHeight="1">
      <c r="A90" s="115" t="s">
        <v>244</v>
      </c>
      <c r="B90" s="121">
        <v>0</v>
      </c>
      <c r="C90" s="121">
        <v>0</v>
      </c>
      <c r="D90" s="121">
        <v>0</v>
      </c>
      <c r="E90" s="121">
        <v>0</v>
      </c>
      <c r="F90" s="121">
        <v>0</v>
      </c>
      <c r="G90" s="116" t="s">
        <v>201</v>
      </c>
      <c r="H90" s="116" t="s">
        <v>201</v>
      </c>
      <c r="I90" s="116" t="s">
        <v>201</v>
      </c>
      <c r="J90" s="116" t="s">
        <v>201</v>
      </c>
      <c r="K90" s="121" t="s">
        <v>201</v>
      </c>
      <c r="L90" s="121" t="s">
        <v>201</v>
      </c>
      <c r="M90" s="121" t="s">
        <v>201</v>
      </c>
      <c r="N90" s="121" t="s">
        <v>201</v>
      </c>
      <c r="O90" s="121" t="s">
        <v>201</v>
      </c>
      <c r="P90" s="121" t="s">
        <v>201</v>
      </c>
      <c r="Q90" s="129"/>
    </row>
    <row r="91" spans="1:17" ht="14.25" customHeight="1">
      <c r="A91" s="115" t="s">
        <v>245</v>
      </c>
      <c r="B91" s="121">
        <v>0</v>
      </c>
      <c r="C91" s="121">
        <v>0</v>
      </c>
      <c r="D91" s="121">
        <v>0</v>
      </c>
      <c r="E91" s="121">
        <v>0</v>
      </c>
      <c r="F91" s="121">
        <v>0</v>
      </c>
      <c r="G91" s="116" t="s">
        <v>201</v>
      </c>
      <c r="H91" s="116" t="s">
        <v>201</v>
      </c>
      <c r="I91" s="116" t="s">
        <v>201</v>
      </c>
      <c r="J91" s="116" t="s">
        <v>201</v>
      </c>
      <c r="K91" s="121" t="s">
        <v>201</v>
      </c>
      <c r="L91" s="121" t="s">
        <v>201</v>
      </c>
      <c r="M91" s="121" t="s">
        <v>201</v>
      </c>
      <c r="N91" s="121" t="s">
        <v>201</v>
      </c>
      <c r="O91" s="121" t="s">
        <v>201</v>
      </c>
      <c r="P91" s="121" t="s">
        <v>201</v>
      </c>
      <c r="Q91" s="129"/>
    </row>
    <row r="92" spans="1:17" ht="14.25" customHeight="1">
      <c r="A92" s="115" t="s">
        <v>264</v>
      </c>
      <c r="B92" s="121"/>
      <c r="C92" s="121"/>
      <c r="D92" s="121"/>
      <c r="E92" s="121"/>
      <c r="F92" s="121"/>
      <c r="G92" s="116" t="s">
        <v>201</v>
      </c>
      <c r="H92" s="116" t="s">
        <v>201</v>
      </c>
      <c r="I92" s="116" t="s">
        <v>201</v>
      </c>
      <c r="J92" s="116" t="s">
        <v>201</v>
      </c>
      <c r="K92" s="121" t="s">
        <v>201</v>
      </c>
      <c r="L92" s="121" t="s">
        <v>201</v>
      </c>
      <c r="M92" s="121">
        <v>77.099999999999994</v>
      </c>
      <c r="N92" s="121">
        <v>115.65</v>
      </c>
      <c r="O92" s="109">
        <v>231.3</v>
      </c>
      <c r="P92" s="109">
        <v>269.85000000000002</v>
      </c>
      <c r="Q92" s="129"/>
    </row>
    <row r="93" spans="1:17" ht="14.25" customHeight="1">
      <c r="A93" s="115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09"/>
      <c r="P93" s="109"/>
      <c r="Q93" s="129"/>
    </row>
    <row r="94" spans="1:17" ht="14.25" customHeight="1">
      <c r="A94" s="111" t="s">
        <v>203</v>
      </c>
      <c r="B94" s="113">
        <f t="shared" ref="B94:G94" si="31">SUM(B95:B96)</f>
        <v>0</v>
      </c>
      <c r="C94" s="113">
        <f t="shared" si="31"/>
        <v>0</v>
      </c>
      <c r="D94" s="113">
        <f t="shared" si="31"/>
        <v>0</v>
      </c>
      <c r="E94" s="113">
        <f t="shared" si="31"/>
        <v>0</v>
      </c>
      <c r="F94" s="113">
        <f t="shared" si="31"/>
        <v>0</v>
      </c>
      <c r="G94" s="128">
        <f t="shared" si="31"/>
        <v>277.13603499999999</v>
      </c>
      <c r="H94" s="113">
        <f>SUM(H95:H97)</f>
        <v>19.486806000000001</v>
      </c>
      <c r="I94" s="113">
        <f t="shared" ref="I94:P94" si="32">SUM(I95:I97)</f>
        <v>100.155069</v>
      </c>
      <c r="J94" s="113">
        <f t="shared" si="32"/>
        <v>37.040430999999998</v>
      </c>
      <c r="K94" s="113">
        <f t="shared" si="32"/>
        <v>0</v>
      </c>
      <c r="L94" s="113">
        <f t="shared" si="32"/>
        <v>0</v>
      </c>
      <c r="M94" s="113">
        <f t="shared" si="32"/>
        <v>0</v>
      </c>
      <c r="N94" s="113">
        <f t="shared" si="32"/>
        <v>0</v>
      </c>
      <c r="O94" s="113">
        <f t="shared" si="32"/>
        <v>0</v>
      </c>
      <c r="P94" s="113">
        <f t="shared" si="32"/>
        <v>0</v>
      </c>
      <c r="Q94" s="129"/>
    </row>
    <row r="95" spans="1:17" ht="14.25" customHeight="1">
      <c r="A95" s="115" t="s">
        <v>204</v>
      </c>
      <c r="B95" s="121">
        <v>0</v>
      </c>
      <c r="C95" s="121">
        <v>0</v>
      </c>
      <c r="D95" s="121">
        <v>0</v>
      </c>
      <c r="E95" s="121">
        <v>0</v>
      </c>
      <c r="F95" s="121">
        <v>0</v>
      </c>
      <c r="G95" s="121">
        <v>277.13603499999999</v>
      </c>
      <c r="H95" s="121">
        <v>19.486806000000001</v>
      </c>
      <c r="I95" s="121">
        <v>100.155069</v>
      </c>
      <c r="J95" s="121" t="s">
        <v>201</v>
      </c>
      <c r="K95" s="121">
        <v>0</v>
      </c>
      <c r="L95" s="121">
        <v>0</v>
      </c>
      <c r="M95" s="121">
        <v>0</v>
      </c>
      <c r="N95" s="121">
        <v>0</v>
      </c>
      <c r="O95" s="109">
        <v>0</v>
      </c>
      <c r="P95" s="109">
        <v>0</v>
      </c>
      <c r="Q95" s="129"/>
    </row>
    <row r="96" spans="1:17" ht="14.25" customHeight="1">
      <c r="A96" s="115" t="s">
        <v>205</v>
      </c>
      <c r="B96" s="121">
        <v>0</v>
      </c>
      <c r="C96" s="121">
        <v>0</v>
      </c>
      <c r="D96" s="121">
        <v>0</v>
      </c>
      <c r="E96" s="121">
        <v>0</v>
      </c>
      <c r="F96" s="121">
        <v>0</v>
      </c>
      <c r="G96" s="121">
        <v>0</v>
      </c>
      <c r="H96" s="121">
        <v>0</v>
      </c>
      <c r="I96" s="121">
        <v>0</v>
      </c>
      <c r="J96" s="121" t="s">
        <v>201</v>
      </c>
      <c r="K96" s="121">
        <v>0</v>
      </c>
      <c r="L96" s="121">
        <v>0</v>
      </c>
      <c r="M96" s="121">
        <v>0</v>
      </c>
      <c r="N96" s="121">
        <v>0</v>
      </c>
      <c r="O96" s="109">
        <v>0</v>
      </c>
      <c r="P96" s="109">
        <v>0</v>
      </c>
      <c r="Q96" s="129"/>
    </row>
    <row r="97" spans="1:17" ht="14.25" customHeight="1">
      <c r="A97" s="115" t="s">
        <v>246</v>
      </c>
      <c r="B97" s="121">
        <v>0</v>
      </c>
      <c r="C97" s="121">
        <v>0</v>
      </c>
      <c r="D97" s="121">
        <v>0</v>
      </c>
      <c r="E97" s="121">
        <v>0</v>
      </c>
      <c r="F97" s="121">
        <v>0</v>
      </c>
      <c r="G97" s="121">
        <v>0</v>
      </c>
      <c r="H97" s="121">
        <v>0</v>
      </c>
      <c r="I97" s="121">
        <v>0</v>
      </c>
      <c r="J97" s="121">
        <v>37.040430999999998</v>
      </c>
      <c r="K97" s="121">
        <v>0</v>
      </c>
      <c r="L97" s="121">
        <v>0</v>
      </c>
      <c r="M97" s="121">
        <v>0</v>
      </c>
      <c r="N97" s="121">
        <v>0</v>
      </c>
      <c r="O97" s="109">
        <v>0</v>
      </c>
      <c r="P97" s="109">
        <v>0</v>
      </c>
      <c r="Q97" s="129"/>
    </row>
    <row r="98" spans="1:17" ht="14.25" customHeight="1">
      <c r="A98" s="115"/>
      <c r="B98" s="121"/>
      <c r="C98" s="121"/>
      <c r="D98" s="121"/>
      <c r="E98" s="121"/>
      <c r="F98" s="121"/>
      <c r="G98" s="121"/>
      <c r="H98" s="121"/>
      <c r="I98" s="121"/>
      <c r="J98" s="121"/>
      <c r="K98" s="121">
        <v>0</v>
      </c>
      <c r="L98" s="121">
        <v>0</v>
      </c>
      <c r="M98" s="121">
        <v>0</v>
      </c>
      <c r="N98" s="121">
        <v>0</v>
      </c>
      <c r="O98" s="109">
        <v>0</v>
      </c>
      <c r="P98" s="109">
        <v>0</v>
      </c>
      <c r="Q98" s="129"/>
    </row>
    <row r="99" spans="1:17" ht="14.25" customHeight="1">
      <c r="A99" s="111" t="s">
        <v>206</v>
      </c>
      <c r="B99" s="113">
        <f>SUM(B100:B101)</f>
        <v>0</v>
      </c>
      <c r="C99" s="113">
        <f t="shared" ref="C99:P99" si="33">SUM(C100:C101)</f>
        <v>35.9</v>
      </c>
      <c r="D99" s="113">
        <f t="shared" si="33"/>
        <v>129.30000000000001</v>
      </c>
      <c r="E99" s="113">
        <f t="shared" si="33"/>
        <v>0</v>
      </c>
      <c r="F99" s="113">
        <f t="shared" si="33"/>
        <v>386.53935100000001</v>
      </c>
      <c r="G99" s="128">
        <f t="shared" si="33"/>
        <v>233.78553700000001</v>
      </c>
      <c r="H99" s="113">
        <f t="shared" si="33"/>
        <v>0</v>
      </c>
      <c r="I99" s="113">
        <f t="shared" si="33"/>
        <v>0</v>
      </c>
      <c r="J99" s="113">
        <f t="shared" si="33"/>
        <v>0</v>
      </c>
      <c r="K99" s="113">
        <f t="shared" si="33"/>
        <v>0</v>
      </c>
      <c r="L99" s="113">
        <f t="shared" si="33"/>
        <v>0</v>
      </c>
      <c r="M99" s="113">
        <f t="shared" si="33"/>
        <v>0</v>
      </c>
      <c r="N99" s="113">
        <f t="shared" si="33"/>
        <v>0</v>
      </c>
      <c r="O99" s="113">
        <f t="shared" si="33"/>
        <v>0</v>
      </c>
      <c r="P99" s="113">
        <f t="shared" si="33"/>
        <v>0</v>
      </c>
      <c r="Q99" s="129"/>
    </row>
    <row r="100" spans="1:17" ht="14.25" customHeight="1">
      <c r="A100" s="115" t="s">
        <v>207</v>
      </c>
      <c r="B100" s="121">
        <v>0</v>
      </c>
      <c r="C100" s="121">
        <v>0</v>
      </c>
      <c r="D100" s="121">
        <v>0</v>
      </c>
      <c r="E100" s="121">
        <v>0</v>
      </c>
      <c r="F100" s="121">
        <v>386.53935100000001</v>
      </c>
      <c r="G100" s="121">
        <v>233.78553700000001</v>
      </c>
      <c r="H100" s="121">
        <v>0</v>
      </c>
      <c r="I100" s="121">
        <v>0</v>
      </c>
      <c r="J100" s="121">
        <v>0</v>
      </c>
      <c r="K100" s="121">
        <v>0</v>
      </c>
      <c r="L100" s="121">
        <v>0</v>
      </c>
      <c r="M100" s="121">
        <v>0</v>
      </c>
      <c r="N100" s="121">
        <v>0</v>
      </c>
      <c r="O100" s="109">
        <v>0</v>
      </c>
      <c r="P100" s="109">
        <v>0</v>
      </c>
      <c r="Q100" s="129"/>
    </row>
    <row r="101" spans="1:17" ht="14.25" customHeight="1">
      <c r="A101" s="115" t="s">
        <v>208</v>
      </c>
      <c r="B101" s="121">
        <v>0</v>
      </c>
      <c r="C101" s="121">
        <v>35.9</v>
      </c>
      <c r="D101" s="121">
        <v>129.30000000000001</v>
      </c>
      <c r="E101" s="121">
        <v>0</v>
      </c>
      <c r="F101" s="121">
        <v>0</v>
      </c>
      <c r="G101" s="121">
        <v>0</v>
      </c>
      <c r="H101" s="121">
        <v>0</v>
      </c>
      <c r="I101" s="121">
        <v>0</v>
      </c>
      <c r="J101" s="121">
        <v>0</v>
      </c>
      <c r="K101" s="121">
        <v>0</v>
      </c>
      <c r="L101" s="121">
        <v>0</v>
      </c>
      <c r="M101" s="121">
        <v>0</v>
      </c>
      <c r="N101" s="121">
        <v>0</v>
      </c>
      <c r="O101" s="109">
        <v>0</v>
      </c>
      <c r="P101" s="109">
        <v>0</v>
      </c>
      <c r="Q101" s="129"/>
    </row>
    <row r="102" spans="1:17" ht="14.25" customHeight="1">
      <c r="A102" s="115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09"/>
      <c r="P102" s="109"/>
      <c r="Q102" s="129"/>
    </row>
    <row r="103" spans="1:17" ht="14.25" customHeight="1">
      <c r="A103" s="111" t="s">
        <v>209</v>
      </c>
      <c r="B103" s="113">
        <f t="shared" ref="B103:G103" si="34">SUM(B104:B107)</f>
        <v>0</v>
      </c>
      <c r="C103" s="113">
        <f t="shared" si="34"/>
        <v>0</v>
      </c>
      <c r="D103" s="113">
        <f t="shared" si="34"/>
        <v>0</v>
      </c>
      <c r="E103" s="113">
        <f t="shared" si="34"/>
        <v>0</v>
      </c>
      <c r="F103" s="113">
        <f t="shared" si="34"/>
        <v>270.71978799999999</v>
      </c>
      <c r="G103" s="128">
        <f t="shared" si="34"/>
        <v>265.65673500000003</v>
      </c>
      <c r="H103" s="113">
        <f>SUM(H104:H109)</f>
        <v>471.93762600000002</v>
      </c>
      <c r="I103" s="113">
        <f t="shared" ref="I103:N103" si="35">SUM(I104:I109)</f>
        <v>816.53743200000008</v>
      </c>
      <c r="J103" s="113">
        <f t="shared" si="35"/>
        <v>0</v>
      </c>
      <c r="K103" s="113">
        <f t="shared" si="35"/>
        <v>408.18139250000002</v>
      </c>
      <c r="L103" s="113">
        <f t="shared" si="35"/>
        <v>2682.0185108000001</v>
      </c>
      <c r="M103" s="113">
        <f t="shared" si="35"/>
        <v>1431.7509852000001</v>
      </c>
      <c r="N103" s="113">
        <f t="shared" si="35"/>
        <v>1187.923395</v>
      </c>
      <c r="O103" s="112">
        <f t="shared" ref="O103:P103" si="36">SUM(O104:O109)</f>
        <v>1501.0630180000001</v>
      </c>
      <c r="P103" s="112">
        <f t="shared" si="36"/>
        <v>1153.261872</v>
      </c>
      <c r="Q103" s="130"/>
    </row>
    <row r="104" spans="1:17" ht="14.25" customHeight="1">
      <c r="A104" s="115" t="s">
        <v>210</v>
      </c>
      <c r="B104" s="121">
        <v>0</v>
      </c>
      <c r="C104" s="121">
        <v>0</v>
      </c>
      <c r="D104" s="121">
        <v>0</v>
      </c>
      <c r="E104" s="121">
        <v>0</v>
      </c>
      <c r="F104" s="121">
        <v>270.71978799999999</v>
      </c>
      <c r="G104" s="121">
        <v>265.65673500000003</v>
      </c>
      <c r="H104" s="121">
        <v>471.93762600000002</v>
      </c>
      <c r="I104" s="121">
        <v>94.399932000000007</v>
      </c>
      <c r="J104" s="121">
        <v>0</v>
      </c>
      <c r="K104" s="121">
        <v>0</v>
      </c>
      <c r="L104" s="121">
        <v>0</v>
      </c>
      <c r="M104" s="121">
        <v>0</v>
      </c>
      <c r="N104" s="121">
        <v>0</v>
      </c>
      <c r="O104" s="121">
        <v>0</v>
      </c>
      <c r="P104" s="121">
        <v>0</v>
      </c>
      <c r="Q104" s="130"/>
    </row>
    <row r="105" spans="1:17" ht="14.25" customHeight="1">
      <c r="A105" s="115" t="s">
        <v>247</v>
      </c>
      <c r="B105" s="121">
        <v>0</v>
      </c>
      <c r="C105" s="121">
        <v>0</v>
      </c>
      <c r="D105" s="121">
        <v>0</v>
      </c>
      <c r="E105" s="121">
        <v>0</v>
      </c>
      <c r="F105" s="121">
        <v>0</v>
      </c>
      <c r="G105" s="121">
        <v>0</v>
      </c>
      <c r="H105" s="121">
        <v>0</v>
      </c>
      <c r="I105" s="121">
        <v>722.13750000000005</v>
      </c>
      <c r="J105" s="121">
        <v>0</v>
      </c>
      <c r="K105" s="121">
        <v>408.18139250000002</v>
      </c>
      <c r="L105" s="121">
        <v>727.40005780000013</v>
      </c>
      <c r="M105" s="121">
        <v>403.69336850000002</v>
      </c>
      <c r="N105" s="121">
        <v>7.0729810000000004</v>
      </c>
      <c r="O105" s="121">
        <v>0</v>
      </c>
      <c r="P105" s="121">
        <v>0</v>
      </c>
      <c r="Q105" s="130"/>
    </row>
    <row r="106" spans="1:17" ht="14.25" customHeight="1">
      <c r="A106" s="115" t="s">
        <v>231</v>
      </c>
      <c r="B106" s="121">
        <v>0</v>
      </c>
      <c r="C106" s="121">
        <v>0</v>
      </c>
      <c r="D106" s="121">
        <v>0</v>
      </c>
      <c r="E106" s="121">
        <v>0</v>
      </c>
      <c r="F106" s="121">
        <v>0</v>
      </c>
      <c r="G106" s="121">
        <v>0</v>
      </c>
      <c r="H106" s="121">
        <v>0</v>
      </c>
      <c r="I106" s="121">
        <v>0</v>
      </c>
      <c r="J106" s="121">
        <v>0</v>
      </c>
      <c r="K106" s="121">
        <v>0</v>
      </c>
      <c r="L106" s="121">
        <v>1692.168975</v>
      </c>
      <c r="M106" s="121">
        <v>766.99881670000002</v>
      </c>
      <c r="N106" s="121">
        <v>1052.9179340000001</v>
      </c>
      <c r="O106" s="109">
        <v>1341.147418</v>
      </c>
      <c r="P106" s="109">
        <v>908.057952</v>
      </c>
      <c r="Q106" s="130"/>
    </row>
    <row r="107" spans="1:17" ht="14.25" customHeight="1">
      <c r="A107" s="115" t="s">
        <v>232</v>
      </c>
      <c r="B107" s="121">
        <v>0</v>
      </c>
      <c r="C107" s="121">
        <v>0</v>
      </c>
      <c r="D107" s="121">
        <v>0</v>
      </c>
      <c r="E107" s="121">
        <v>0</v>
      </c>
      <c r="F107" s="121">
        <v>0</v>
      </c>
      <c r="G107" s="121">
        <v>0</v>
      </c>
      <c r="H107" s="121">
        <v>0</v>
      </c>
      <c r="I107" s="121">
        <v>0</v>
      </c>
      <c r="J107" s="121">
        <v>0</v>
      </c>
      <c r="K107" s="121">
        <v>0</v>
      </c>
      <c r="L107" s="121">
        <v>262.449478</v>
      </c>
      <c r="M107" s="121">
        <v>261.05880000000002</v>
      </c>
      <c r="N107" s="121">
        <v>127.93248</v>
      </c>
      <c r="O107" s="109">
        <v>159.91560000000001</v>
      </c>
      <c r="P107" s="109">
        <v>245.20392000000001</v>
      </c>
      <c r="Q107" s="130"/>
    </row>
    <row r="108" spans="1:17" ht="14.25" customHeight="1">
      <c r="A108" s="115" t="s">
        <v>248</v>
      </c>
      <c r="B108" s="121">
        <v>0</v>
      </c>
      <c r="C108" s="121">
        <v>0</v>
      </c>
      <c r="D108" s="121">
        <v>0</v>
      </c>
      <c r="E108" s="121">
        <v>0</v>
      </c>
      <c r="F108" s="121">
        <v>0</v>
      </c>
      <c r="G108" s="121">
        <v>0</v>
      </c>
      <c r="H108" s="121">
        <v>0</v>
      </c>
      <c r="I108" s="121">
        <v>0</v>
      </c>
      <c r="J108" s="121">
        <v>0</v>
      </c>
      <c r="K108" s="121">
        <v>0</v>
      </c>
      <c r="L108" s="121">
        <v>0</v>
      </c>
      <c r="M108" s="121">
        <v>0</v>
      </c>
      <c r="N108" s="121">
        <v>0</v>
      </c>
      <c r="O108" s="109">
        <v>0</v>
      </c>
      <c r="P108" s="109">
        <v>0</v>
      </c>
      <c r="Q108" s="130"/>
    </row>
    <row r="109" spans="1:17" ht="14.25" customHeight="1">
      <c r="A109" s="115" t="s">
        <v>249</v>
      </c>
      <c r="B109" s="121">
        <v>0</v>
      </c>
      <c r="C109" s="121">
        <v>0</v>
      </c>
      <c r="D109" s="121">
        <v>0</v>
      </c>
      <c r="E109" s="121">
        <v>0</v>
      </c>
      <c r="F109" s="121">
        <v>0</v>
      </c>
      <c r="G109" s="121">
        <v>0</v>
      </c>
      <c r="H109" s="121">
        <v>0</v>
      </c>
      <c r="I109" s="121">
        <v>0</v>
      </c>
      <c r="J109" s="121">
        <v>0</v>
      </c>
      <c r="K109" s="121">
        <v>0</v>
      </c>
      <c r="L109" s="121">
        <v>0</v>
      </c>
      <c r="M109" s="121">
        <v>0</v>
      </c>
      <c r="N109" s="121">
        <v>0</v>
      </c>
      <c r="O109" s="109">
        <v>0</v>
      </c>
      <c r="P109" s="109">
        <v>0</v>
      </c>
      <c r="Q109" s="130"/>
    </row>
    <row r="110" spans="1:17" ht="14.25" customHeight="1">
      <c r="A110" s="115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09"/>
      <c r="P110" s="109"/>
      <c r="Q110" s="130"/>
    </row>
    <row r="111" spans="1:17" ht="14.25" customHeight="1">
      <c r="A111" s="111" t="s">
        <v>211</v>
      </c>
      <c r="B111" s="113">
        <f>SUM(B112)</f>
        <v>0</v>
      </c>
      <c r="C111" s="113">
        <f t="shared" ref="C111:P111" si="37">SUM(C112)</f>
        <v>0</v>
      </c>
      <c r="D111" s="113">
        <f t="shared" si="37"/>
        <v>0</v>
      </c>
      <c r="E111" s="113">
        <f t="shared" si="37"/>
        <v>0</v>
      </c>
      <c r="F111" s="113">
        <f t="shared" si="37"/>
        <v>0</v>
      </c>
      <c r="G111" s="113">
        <f t="shared" si="37"/>
        <v>0</v>
      </c>
      <c r="H111" s="113">
        <f t="shared" si="37"/>
        <v>102.86886</v>
      </c>
      <c r="I111" s="113">
        <f t="shared" si="37"/>
        <v>0</v>
      </c>
      <c r="J111" s="113">
        <f t="shared" si="37"/>
        <v>18.706969000000001</v>
      </c>
      <c r="K111" s="113">
        <f t="shared" si="37"/>
        <v>99.107693899999987</v>
      </c>
      <c r="L111" s="113">
        <f t="shared" si="37"/>
        <v>64.343300299999996</v>
      </c>
      <c r="M111" s="113">
        <f t="shared" si="37"/>
        <v>0</v>
      </c>
      <c r="N111" s="113">
        <f t="shared" si="37"/>
        <v>15.542909</v>
      </c>
      <c r="O111" s="112">
        <f t="shared" si="37"/>
        <v>103.085818</v>
      </c>
      <c r="P111" s="112">
        <f t="shared" si="37"/>
        <v>158.17163600000001</v>
      </c>
      <c r="Q111" s="130"/>
    </row>
    <row r="112" spans="1:17" ht="14.25" customHeight="1">
      <c r="A112" s="115" t="s">
        <v>250</v>
      </c>
      <c r="B112" s="121">
        <v>0</v>
      </c>
      <c r="C112" s="121">
        <v>0</v>
      </c>
      <c r="D112" s="121">
        <v>0</v>
      </c>
      <c r="E112" s="121">
        <v>0</v>
      </c>
      <c r="F112" s="121">
        <v>0</v>
      </c>
      <c r="G112" s="121">
        <v>0</v>
      </c>
      <c r="H112" s="121">
        <v>102.86886</v>
      </c>
      <c r="I112" s="121">
        <v>0</v>
      </c>
      <c r="J112" s="121">
        <v>18.706969000000001</v>
      </c>
      <c r="K112" s="121">
        <v>99.107693899999987</v>
      </c>
      <c r="L112" s="121">
        <v>64.343300299999996</v>
      </c>
      <c r="M112" s="121">
        <v>0</v>
      </c>
      <c r="N112" s="121">
        <v>15.542909</v>
      </c>
      <c r="O112" s="109">
        <v>103.085818</v>
      </c>
      <c r="P112" s="109">
        <v>158.17163600000001</v>
      </c>
      <c r="Q112" s="130"/>
    </row>
    <row r="113" spans="1:17" ht="14.25" customHeight="1">
      <c r="A113" s="115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09"/>
      <c r="P113" s="109"/>
      <c r="Q113" s="130"/>
    </row>
    <row r="114" spans="1:17" ht="14.25" customHeight="1">
      <c r="A114" s="111" t="s">
        <v>233</v>
      </c>
      <c r="B114" s="113">
        <f t="shared" ref="B114:E114" si="38">SUM(B115)</f>
        <v>0</v>
      </c>
      <c r="C114" s="113">
        <f t="shared" si="38"/>
        <v>0</v>
      </c>
      <c r="D114" s="113">
        <f t="shared" si="38"/>
        <v>0</v>
      </c>
      <c r="E114" s="113">
        <f t="shared" si="38"/>
        <v>0</v>
      </c>
      <c r="F114" s="113">
        <f>SUM(F115)</f>
        <v>0</v>
      </c>
      <c r="G114" s="113">
        <f>SUM(G115)</f>
        <v>0</v>
      </c>
      <c r="H114" s="113">
        <f t="shared" ref="H114:J114" si="39">SUM(H115)</f>
        <v>0</v>
      </c>
      <c r="I114" s="113">
        <f t="shared" si="39"/>
        <v>0</v>
      </c>
      <c r="J114" s="113">
        <f t="shared" si="39"/>
        <v>0</v>
      </c>
      <c r="K114" s="113">
        <f t="shared" ref="K114:P114" si="40">SUM(K115)</f>
        <v>0</v>
      </c>
      <c r="L114" s="113">
        <f t="shared" si="40"/>
        <v>0</v>
      </c>
      <c r="M114" s="113">
        <f t="shared" si="40"/>
        <v>57.865499999999997</v>
      </c>
      <c r="N114" s="113">
        <f t="shared" si="40"/>
        <v>50.464500000000001</v>
      </c>
      <c r="O114" s="112">
        <f t="shared" si="40"/>
        <v>222.33</v>
      </c>
      <c r="P114" s="112">
        <f t="shared" si="40"/>
        <v>247.995</v>
      </c>
      <c r="Q114" s="130"/>
    </row>
    <row r="115" spans="1:17" ht="14.25" customHeight="1">
      <c r="A115" s="115" t="s">
        <v>234</v>
      </c>
      <c r="B115" s="121">
        <v>0</v>
      </c>
      <c r="C115" s="121">
        <v>0</v>
      </c>
      <c r="D115" s="121">
        <v>0</v>
      </c>
      <c r="E115" s="121">
        <v>0</v>
      </c>
      <c r="F115" s="121">
        <v>0</v>
      </c>
      <c r="G115" s="121">
        <v>0</v>
      </c>
      <c r="H115" s="121">
        <v>0</v>
      </c>
      <c r="I115" s="121">
        <v>0</v>
      </c>
      <c r="J115" s="121">
        <v>0</v>
      </c>
      <c r="K115" s="121">
        <v>0</v>
      </c>
      <c r="L115" s="121">
        <v>0</v>
      </c>
      <c r="M115" s="121">
        <v>57.865499999999997</v>
      </c>
      <c r="N115" s="121">
        <v>50.464500000000001</v>
      </c>
      <c r="O115" s="109">
        <v>222.33</v>
      </c>
      <c r="P115" s="109">
        <v>247.995</v>
      </c>
      <c r="Q115" s="130"/>
    </row>
    <row r="116" spans="1:17" ht="14.25" customHeight="1">
      <c r="A116" s="115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09"/>
      <c r="P116" s="109"/>
      <c r="Q116" s="130"/>
    </row>
    <row r="117" spans="1:17" ht="14.25" customHeight="1">
      <c r="A117" s="111" t="s">
        <v>265</v>
      </c>
      <c r="B117" s="113">
        <f t="shared" ref="B117:O117" si="41">B118</f>
        <v>0</v>
      </c>
      <c r="C117" s="113">
        <f t="shared" si="41"/>
        <v>0</v>
      </c>
      <c r="D117" s="113">
        <f t="shared" si="41"/>
        <v>0</v>
      </c>
      <c r="E117" s="113">
        <f t="shared" si="41"/>
        <v>0</v>
      </c>
      <c r="F117" s="113">
        <f t="shared" si="41"/>
        <v>0</v>
      </c>
      <c r="G117" s="113">
        <f t="shared" si="41"/>
        <v>0</v>
      </c>
      <c r="H117" s="113">
        <f t="shared" si="41"/>
        <v>0</v>
      </c>
      <c r="I117" s="113">
        <f t="shared" si="41"/>
        <v>0</v>
      </c>
      <c r="J117" s="113">
        <f t="shared" si="41"/>
        <v>0</v>
      </c>
      <c r="K117" s="113">
        <f t="shared" si="41"/>
        <v>0</v>
      </c>
      <c r="L117" s="112">
        <f t="shared" si="41"/>
        <v>0</v>
      </c>
      <c r="M117" s="112">
        <f t="shared" si="41"/>
        <v>0</v>
      </c>
      <c r="N117" s="112">
        <f t="shared" si="41"/>
        <v>0</v>
      </c>
      <c r="O117" s="112">
        <f t="shared" si="41"/>
        <v>0</v>
      </c>
      <c r="P117" s="112">
        <f>P118</f>
        <v>0</v>
      </c>
      <c r="Q117" s="130"/>
    </row>
    <row r="118" spans="1:17" ht="14.25" customHeight="1">
      <c r="A118" s="115" t="s">
        <v>266</v>
      </c>
      <c r="B118" s="121">
        <v>0</v>
      </c>
      <c r="C118" s="121">
        <v>0</v>
      </c>
      <c r="D118" s="121">
        <v>0</v>
      </c>
      <c r="E118" s="121">
        <v>0</v>
      </c>
      <c r="F118" s="121">
        <v>0</v>
      </c>
      <c r="G118" s="121">
        <v>0</v>
      </c>
      <c r="H118" s="121">
        <v>0</v>
      </c>
      <c r="I118" s="121">
        <v>0</v>
      </c>
      <c r="J118" s="121">
        <v>0</v>
      </c>
      <c r="K118" s="121">
        <v>0</v>
      </c>
      <c r="L118" s="121">
        <v>0</v>
      </c>
      <c r="M118" s="121">
        <v>0</v>
      </c>
      <c r="N118" s="121">
        <v>0</v>
      </c>
      <c r="O118" s="109">
        <v>0</v>
      </c>
      <c r="P118" s="109">
        <v>0</v>
      </c>
      <c r="Q118" s="130"/>
    </row>
    <row r="119" spans="1:17" ht="14.25" customHeight="1">
      <c r="A119" s="115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>
        <v>0</v>
      </c>
      <c r="M119" s="121">
        <v>0</v>
      </c>
      <c r="N119" s="121">
        <v>0</v>
      </c>
      <c r="O119" s="109">
        <v>0</v>
      </c>
      <c r="P119" s="109">
        <v>0</v>
      </c>
      <c r="Q119" s="130"/>
    </row>
    <row r="120" spans="1:17" ht="14.25" customHeight="1">
      <c r="A120" s="111" t="s">
        <v>224</v>
      </c>
      <c r="B120" s="113">
        <f t="shared" ref="B120:J120" si="42">SUM(B121:B123)</f>
        <v>66.2</v>
      </c>
      <c r="C120" s="113">
        <f t="shared" si="42"/>
        <v>117.8</v>
      </c>
      <c r="D120" s="113">
        <f t="shared" si="42"/>
        <v>25</v>
      </c>
      <c r="E120" s="113">
        <f t="shared" si="42"/>
        <v>30.742463999999998</v>
      </c>
      <c r="F120" s="113">
        <f t="shared" si="42"/>
        <v>46.187443999999999</v>
      </c>
      <c r="G120" s="128">
        <f t="shared" si="42"/>
        <v>0</v>
      </c>
      <c r="H120" s="113">
        <f t="shared" si="42"/>
        <v>0</v>
      </c>
      <c r="I120" s="113">
        <f t="shared" si="42"/>
        <v>0</v>
      </c>
      <c r="J120" s="113">
        <f t="shared" si="42"/>
        <v>0</v>
      </c>
      <c r="K120" s="113">
        <f>SUM(K121:K123)</f>
        <v>0</v>
      </c>
      <c r="L120" s="113">
        <v>0</v>
      </c>
      <c r="M120" s="113">
        <v>0</v>
      </c>
      <c r="N120" s="113">
        <v>0</v>
      </c>
      <c r="O120" s="112">
        <v>0</v>
      </c>
      <c r="P120" s="112">
        <v>0</v>
      </c>
      <c r="Q120" s="130"/>
    </row>
    <row r="121" spans="1:17" ht="14.25" customHeight="1">
      <c r="A121" s="115" t="s">
        <v>212</v>
      </c>
      <c r="B121" s="121">
        <v>45.5</v>
      </c>
      <c r="C121" s="121">
        <v>21.3</v>
      </c>
      <c r="D121" s="121">
        <v>19.399999999999999</v>
      </c>
      <c r="E121" s="121">
        <v>30.742463999999998</v>
      </c>
      <c r="F121" s="121">
        <v>46.187443999999999</v>
      </c>
      <c r="G121" s="121">
        <v>0</v>
      </c>
      <c r="H121" s="121">
        <v>0</v>
      </c>
      <c r="I121" s="121">
        <v>0</v>
      </c>
      <c r="J121" s="121">
        <v>0</v>
      </c>
      <c r="K121" s="121">
        <v>0</v>
      </c>
      <c r="L121" s="121">
        <v>0</v>
      </c>
      <c r="M121" s="121">
        <v>0</v>
      </c>
      <c r="N121" s="121">
        <v>0</v>
      </c>
      <c r="O121" s="109">
        <v>0</v>
      </c>
      <c r="P121" s="109">
        <v>0</v>
      </c>
      <c r="Q121" s="130"/>
    </row>
    <row r="122" spans="1:17" ht="14.25" customHeight="1">
      <c r="A122" s="115" t="s">
        <v>213</v>
      </c>
      <c r="B122" s="121">
        <v>0</v>
      </c>
      <c r="C122" s="121">
        <v>29.7</v>
      </c>
      <c r="D122" s="121">
        <v>0</v>
      </c>
      <c r="E122" s="121">
        <v>0</v>
      </c>
      <c r="F122" s="121">
        <v>0</v>
      </c>
      <c r="G122" s="121">
        <v>0</v>
      </c>
      <c r="H122" s="121">
        <v>0</v>
      </c>
      <c r="I122" s="121">
        <v>0</v>
      </c>
      <c r="J122" s="121">
        <v>0</v>
      </c>
      <c r="K122" s="121">
        <v>0</v>
      </c>
      <c r="L122" s="121">
        <v>0</v>
      </c>
      <c r="M122" s="121">
        <v>0</v>
      </c>
      <c r="N122" s="121">
        <v>0</v>
      </c>
      <c r="O122" s="109">
        <v>0</v>
      </c>
      <c r="P122" s="109">
        <v>0</v>
      </c>
      <c r="Q122" s="130"/>
    </row>
    <row r="123" spans="1:17" ht="14.25" customHeight="1">
      <c r="A123" s="115" t="s">
        <v>214</v>
      </c>
      <c r="B123" s="121">
        <v>20.7</v>
      </c>
      <c r="C123" s="121">
        <v>66.8</v>
      </c>
      <c r="D123" s="121">
        <v>5.6</v>
      </c>
      <c r="E123" s="121">
        <v>0</v>
      </c>
      <c r="F123" s="121">
        <v>0</v>
      </c>
      <c r="G123" s="121">
        <v>0</v>
      </c>
      <c r="H123" s="121">
        <v>0</v>
      </c>
      <c r="I123" s="121">
        <v>0</v>
      </c>
      <c r="J123" s="121">
        <v>0</v>
      </c>
      <c r="K123" s="121">
        <v>0</v>
      </c>
      <c r="L123" s="121">
        <v>0</v>
      </c>
      <c r="M123" s="121">
        <v>0</v>
      </c>
      <c r="N123" s="121">
        <v>0</v>
      </c>
      <c r="O123" s="109">
        <v>0</v>
      </c>
      <c r="P123" s="109">
        <v>0</v>
      </c>
      <c r="Q123" s="130"/>
    </row>
    <row r="124" spans="1:17" ht="14.25" customHeight="1">
      <c r="A124" s="115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09"/>
      <c r="P124" s="109"/>
      <c r="Q124" s="130"/>
    </row>
    <row r="125" spans="1:17" ht="14.25" customHeight="1">
      <c r="A125" s="111" t="s">
        <v>215</v>
      </c>
      <c r="B125" s="113">
        <f>SUM(B126:B129)</f>
        <v>8.5</v>
      </c>
      <c r="C125" s="113">
        <f t="shared" ref="C125:O125" si="43">SUM(C126:C129)</f>
        <v>98.7</v>
      </c>
      <c r="D125" s="113">
        <f t="shared" si="43"/>
        <v>80.370757999999995</v>
      </c>
      <c r="E125" s="113">
        <f t="shared" si="43"/>
        <v>413.65834240000004</v>
      </c>
      <c r="F125" s="113">
        <f t="shared" si="43"/>
        <v>0</v>
      </c>
      <c r="G125" s="128">
        <f t="shared" si="43"/>
        <v>0</v>
      </c>
      <c r="H125" s="113">
        <f t="shared" si="43"/>
        <v>0</v>
      </c>
      <c r="I125" s="113">
        <f t="shared" si="43"/>
        <v>0</v>
      </c>
      <c r="J125" s="113">
        <f>SUM(J126:J129)</f>
        <v>0</v>
      </c>
      <c r="K125" s="128">
        <f t="shared" si="43"/>
        <v>0</v>
      </c>
      <c r="L125" s="113">
        <f t="shared" si="43"/>
        <v>0</v>
      </c>
      <c r="M125" s="113">
        <f t="shared" si="43"/>
        <v>0</v>
      </c>
      <c r="N125" s="113">
        <f t="shared" si="43"/>
        <v>0</v>
      </c>
      <c r="O125" s="128">
        <f t="shared" si="43"/>
        <v>0</v>
      </c>
      <c r="P125" s="128">
        <f t="shared" ref="P125" si="44">SUM(P126:P129)</f>
        <v>0</v>
      </c>
      <c r="Q125" s="130"/>
    </row>
    <row r="126" spans="1:17" ht="14.25" customHeight="1">
      <c r="A126" s="115" t="s">
        <v>216</v>
      </c>
      <c r="B126" s="121">
        <v>0</v>
      </c>
      <c r="C126" s="121">
        <v>0</v>
      </c>
      <c r="D126" s="121">
        <v>0</v>
      </c>
      <c r="E126" s="121">
        <v>413.65834240000004</v>
      </c>
      <c r="F126" s="121">
        <v>0</v>
      </c>
      <c r="G126" s="121">
        <v>0</v>
      </c>
      <c r="H126" s="121">
        <v>0</v>
      </c>
      <c r="I126" s="121">
        <v>0</v>
      </c>
      <c r="J126" s="121">
        <v>0</v>
      </c>
      <c r="K126" s="121">
        <v>0</v>
      </c>
      <c r="L126" s="121">
        <v>0</v>
      </c>
      <c r="M126" s="121">
        <v>0</v>
      </c>
      <c r="N126" s="121">
        <v>0</v>
      </c>
      <c r="O126" s="109">
        <v>0</v>
      </c>
      <c r="P126" s="109">
        <v>0</v>
      </c>
      <c r="Q126" s="130"/>
    </row>
    <row r="127" spans="1:17" ht="14.25" customHeight="1">
      <c r="A127" s="115" t="s">
        <v>217</v>
      </c>
      <c r="B127" s="121">
        <v>0</v>
      </c>
      <c r="C127" s="121">
        <v>17.5</v>
      </c>
      <c r="D127" s="121">
        <v>9.9</v>
      </c>
      <c r="E127" s="121">
        <v>0</v>
      </c>
      <c r="F127" s="121">
        <v>0</v>
      </c>
      <c r="G127" s="121">
        <v>0</v>
      </c>
      <c r="H127" s="121">
        <v>0</v>
      </c>
      <c r="I127" s="121">
        <v>0</v>
      </c>
      <c r="J127" s="121">
        <v>0</v>
      </c>
      <c r="K127" s="121">
        <v>0</v>
      </c>
      <c r="L127" s="121">
        <v>0</v>
      </c>
      <c r="M127" s="121">
        <v>0</v>
      </c>
      <c r="N127" s="121">
        <v>0</v>
      </c>
      <c r="O127" s="109">
        <v>0</v>
      </c>
      <c r="P127" s="109">
        <v>0</v>
      </c>
      <c r="Q127" s="130"/>
    </row>
    <row r="128" spans="1:17" ht="14.25" customHeight="1">
      <c r="A128" s="115" t="s">
        <v>218</v>
      </c>
      <c r="B128" s="121">
        <v>8.5</v>
      </c>
      <c r="C128" s="121">
        <v>12.5</v>
      </c>
      <c r="D128" s="121">
        <v>11.2</v>
      </c>
      <c r="E128" s="121">
        <v>0</v>
      </c>
      <c r="F128" s="121">
        <v>0</v>
      </c>
      <c r="G128" s="121">
        <v>0</v>
      </c>
      <c r="H128" s="121">
        <v>0</v>
      </c>
      <c r="I128" s="121">
        <v>0</v>
      </c>
      <c r="J128" s="121">
        <v>0</v>
      </c>
      <c r="K128" s="121">
        <v>0</v>
      </c>
      <c r="L128" s="121">
        <v>0</v>
      </c>
      <c r="M128" s="121">
        <v>0</v>
      </c>
      <c r="N128" s="121">
        <v>0</v>
      </c>
      <c r="O128" s="109">
        <v>0</v>
      </c>
      <c r="P128" s="109">
        <v>0</v>
      </c>
      <c r="Q128" s="130"/>
    </row>
    <row r="129" spans="1:17" ht="14.25" customHeight="1">
      <c r="A129" s="115" t="s">
        <v>219</v>
      </c>
      <c r="B129" s="121">
        <v>0</v>
      </c>
      <c r="C129" s="121">
        <v>68.7</v>
      </c>
      <c r="D129" s="121">
        <v>59.270758000000001</v>
      </c>
      <c r="E129" s="121">
        <v>0</v>
      </c>
      <c r="F129" s="121">
        <v>0</v>
      </c>
      <c r="G129" s="121">
        <v>0</v>
      </c>
      <c r="H129" s="121">
        <v>0</v>
      </c>
      <c r="I129" s="121">
        <v>0</v>
      </c>
      <c r="J129" s="121">
        <v>0</v>
      </c>
      <c r="K129" s="121">
        <v>0</v>
      </c>
      <c r="L129" s="121"/>
      <c r="M129" s="121"/>
      <c r="N129" s="121"/>
      <c r="O129" s="109"/>
      <c r="P129" s="109"/>
      <c r="Q129" s="130"/>
    </row>
    <row r="130" spans="1:17" ht="14.25" customHeight="1">
      <c r="A130" s="115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09"/>
      <c r="P130" s="109"/>
      <c r="Q130" s="130"/>
    </row>
    <row r="131" spans="1:17" ht="14.25" customHeight="1">
      <c r="A131" s="111" t="s">
        <v>251</v>
      </c>
      <c r="B131" s="113">
        <f t="shared" ref="B131" si="45">SUM(B132)</f>
        <v>0</v>
      </c>
      <c r="C131" s="113">
        <f t="shared" ref="C131" si="46">SUM(C132)</f>
        <v>0</v>
      </c>
      <c r="D131" s="113">
        <f t="shared" ref="D131" si="47">SUM(D132)</f>
        <v>0</v>
      </c>
      <c r="E131" s="113">
        <f t="shared" ref="E131" si="48">SUM(E132)</f>
        <v>0</v>
      </c>
      <c r="F131" s="113">
        <f t="shared" ref="F131" si="49">SUM(F132)</f>
        <v>0</v>
      </c>
      <c r="G131" s="113">
        <f t="shared" ref="G131" si="50">SUM(G132)</f>
        <v>0</v>
      </c>
      <c r="H131" s="113">
        <f t="shared" ref="H131" si="51">SUM(H132)</f>
        <v>0</v>
      </c>
      <c r="I131" s="113">
        <f t="shared" ref="I131" si="52">SUM(I132)</f>
        <v>0</v>
      </c>
      <c r="J131" s="113">
        <f>SUM(J132)</f>
        <v>0</v>
      </c>
      <c r="K131" s="113">
        <f t="shared" ref="K131:P131" si="53">SUM(K132)</f>
        <v>0</v>
      </c>
      <c r="L131" s="113">
        <f t="shared" si="53"/>
        <v>0</v>
      </c>
      <c r="M131" s="113">
        <f t="shared" si="53"/>
        <v>0</v>
      </c>
      <c r="N131" s="113">
        <f t="shared" si="53"/>
        <v>0</v>
      </c>
      <c r="O131" s="112">
        <f t="shared" si="53"/>
        <v>0</v>
      </c>
      <c r="P131" s="112">
        <f t="shared" si="53"/>
        <v>0</v>
      </c>
      <c r="Q131" s="130"/>
    </row>
    <row r="132" spans="1:17" ht="14.25" customHeight="1">
      <c r="A132" s="115" t="s">
        <v>252</v>
      </c>
      <c r="B132" s="121">
        <f t="shared" ref="B132" si="54">SUM(B133)</f>
        <v>0</v>
      </c>
      <c r="C132" s="121">
        <f t="shared" ref="C132" si="55">SUM(C133)</f>
        <v>0</v>
      </c>
      <c r="D132" s="121">
        <f t="shared" ref="D132" si="56">SUM(D133)</f>
        <v>0</v>
      </c>
      <c r="E132" s="121">
        <f t="shared" ref="E132" si="57">SUM(E133)</f>
        <v>0</v>
      </c>
      <c r="F132" s="121">
        <f t="shared" ref="F132" si="58">SUM(F133)</f>
        <v>0</v>
      </c>
      <c r="G132" s="121">
        <f t="shared" ref="G132" si="59">SUM(G133)</f>
        <v>0</v>
      </c>
      <c r="H132" s="121">
        <f t="shared" ref="H132" si="60">SUM(H133)</f>
        <v>0</v>
      </c>
      <c r="I132" s="121">
        <f t="shared" ref="I132" si="61">SUM(I133)</f>
        <v>0</v>
      </c>
      <c r="J132" s="121">
        <v>0</v>
      </c>
      <c r="K132" s="121">
        <v>0</v>
      </c>
      <c r="L132" s="121">
        <v>0</v>
      </c>
      <c r="M132" s="121">
        <v>0</v>
      </c>
      <c r="N132" s="121">
        <v>0</v>
      </c>
      <c r="O132" s="109">
        <v>0</v>
      </c>
      <c r="P132" s="109">
        <v>0</v>
      </c>
      <c r="Q132" s="130"/>
    </row>
    <row r="133" spans="1:17" ht="14.25" customHeight="1">
      <c r="A133" s="115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09"/>
      <c r="P133" s="109"/>
      <c r="Q133" s="130"/>
    </row>
    <row r="134" spans="1:17" ht="14.25" customHeight="1">
      <c r="A134" s="118" t="s">
        <v>253</v>
      </c>
      <c r="B134" s="113">
        <f t="shared" ref="B134:K134" si="62">SUM(B135)</f>
        <v>0</v>
      </c>
      <c r="C134" s="113">
        <f t="shared" si="62"/>
        <v>0</v>
      </c>
      <c r="D134" s="113">
        <f t="shared" si="62"/>
        <v>0</v>
      </c>
      <c r="E134" s="113">
        <f t="shared" si="62"/>
        <v>0</v>
      </c>
      <c r="F134" s="113">
        <f t="shared" si="62"/>
        <v>0</v>
      </c>
      <c r="G134" s="113">
        <f t="shared" si="62"/>
        <v>0</v>
      </c>
      <c r="H134" s="113">
        <f t="shared" si="62"/>
        <v>0</v>
      </c>
      <c r="I134" s="113">
        <f t="shared" si="62"/>
        <v>0</v>
      </c>
      <c r="J134" s="113">
        <f t="shared" si="62"/>
        <v>0</v>
      </c>
      <c r="K134" s="113">
        <f t="shared" si="62"/>
        <v>0</v>
      </c>
      <c r="L134" s="113">
        <f t="shared" ref="L134:P134" si="63">SUM(L135)</f>
        <v>0</v>
      </c>
      <c r="M134" s="113">
        <f t="shared" si="63"/>
        <v>0</v>
      </c>
      <c r="N134" s="113">
        <f t="shared" si="63"/>
        <v>0</v>
      </c>
      <c r="O134" s="112">
        <f t="shared" si="63"/>
        <v>0</v>
      </c>
      <c r="P134" s="112">
        <f t="shared" si="63"/>
        <v>0</v>
      </c>
      <c r="Q134" s="130"/>
    </row>
    <row r="135" spans="1:17" ht="14.25" customHeight="1">
      <c r="A135" s="115" t="s">
        <v>254</v>
      </c>
      <c r="B135" s="121">
        <f t="shared" ref="B135:K135" si="64">SUM(B136)</f>
        <v>0</v>
      </c>
      <c r="C135" s="121">
        <f t="shared" si="64"/>
        <v>0</v>
      </c>
      <c r="D135" s="121">
        <f t="shared" si="64"/>
        <v>0</v>
      </c>
      <c r="E135" s="121">
        <f t="shared" si="64"/>
        <v>0</v>
      </c>
      <c r="F135" s="121">
        <f t="shared" si="64"/>
        <v>0</v>
      </c>
      <c r="G135" s="121">
        <f t="shared" si="64"/>
        <v>0</v>
      </c>
      <c r="H135" s="121">
        <f t="shared" si="64"/>
        <v>0</v>
      </c>
      <c r="I135" s="121">
        <f t="shared" si="64"/>
        <v>0</v>
      </c>
      <c r="J135" s="121">
        <f t="shared" si="64"/>
        <v>0</v>
      </c>
      <c r="K135" s="121">
        <f t="shared" si="64"/>
        <v>0</v>
      </c>
      <c r="L135" s="121">
        <v>0</v>
      </c>
      <c r="M135" s="121">
        <v>0</v>
      </c>
      <c r="N135" s="121">
        <v>0</v>
      </c>
      <c r="O135" s="109">
        <v>0</v>
      </c>
      <c r="P135" s="109">
        <v>0</v>
      </c>
      <c r="Q135" s="130"/>
    </row>
    <row r="136" spans="1:17" ht="14.25" customHeight="1">
      <c r="A136" s="115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09"/>
      <c r="P136" s="109"/>
      <c r="Q136" s="130"/>
    </row>
    <row r="137" spans="1:17" ht="14.25" customHeight="1">
      <c r="A137" s="118" t="s">
        <v>284</v>
      </c>
      <c r="B137" s="112">
        <f t="shared" ref="B137" si="65">B138</f>
        <v>0</v>
      </c>
      <c r="C137" s="112">
        <f t="shared" ref="C137" si="66">C138</f>
        <v>0</v>
      </c>
      <c r="D137" s="112">
        <f t="shared" ref="D137" si="67">D138</f>
        <v>0</v>
      </c>
      <c r="E137" s="112">
        <f t="shared" ref="E137" si="68">E138</f>
        <v>0</v>
      </c>
      <c r="F137" s="112">
        <f t="shared" ref="F137" si="69">F138</f>
        <v>0</v>
      </c>
      <c r="G137" s="112">
        <f t="shared" ref="G137" si="70">G138</f>
        <v>0</v>
      </c>
      <c r="H137" s="112">
        <f t="shared" ref="H137" si="71">H138</f>
        <v>0</v>
      </c>
      <c r="I137" s="112">
        <f t="shared" ref="I137" si="72">I138</f>
        <v>0</v>
      </c>
      <c r="J137" s="112">
        <f t="shared" ref="J137" si="73">J138</f>
        <v>0</v>
      </c>
      <c r="K137" s="112">
        <f t="shared" ref="K137:N137" si="74">K138</f>
        <v>0</v>
      </c>
      <c r="L137" s="112">
        <f t="shared" si="74"/>
        <v>0</v>
      </c>
      <c r="M137" s="112">
        <f t="shared" si="74"/>
        <v>0</v>
      </c>
      <c r="N137" s="112">
        <f t="shared" si="74"/>
        <v>0</v>
      </c>
      <c r="O137" s="112">
        <f>O138</f>
        <v>38.549999999999997</v>
      </c>
      <c r="P137" s="112">
        <f>P138</f>
        <v>96.375</v>
      </c>
      <c r="Q137" s="130"/>
    </row>
    <row r="138" spans="1:17" ht="14.25" customHeight="1">
      <c r="A138" s="115" t="s">
        <v>283</v>
      </c>
      <c r="B138" s="121">
        <v>0</v>
      </c>
      <c r="C138" s="121">
        <v>0</v>
      </c>
      <c r="D138" s="121">
        <v>0</v>
      </c>
      <c r="E138" s="121">
        <v>0</v>
      </c>
      <c r="F138" s="121">
        <v>0</v>
      </c>
      <c r="G138" s="121">
        <v>0</v>
      </c>
      <c r="H138" s="121">
        <v>0</v>
      </c>
      <c r="I138" s="121">
        <v>0</v>
      </c>
      <c r="J138" s="121">
        <v>0</v>
      </c>
      <c r="K138" s="121">
        <v>0</v>
      </c>
      <c r="L138" s="121">
        <v>0</v>
      </c>
      <c r="M138" s="121">
        <v>0</v>
      </c>
      <c r="N138" s="121">
        <v>0</v>
      </c>
      <c r="O138" s="109">
        <v>38.549999999999997</v>
      </c>
      <c r="P138" s="109">
        <v>96.375</v>
      </c>
      <c r="Q138" s="130"/>
    </row>
    <row r="139" spans="1:17" ht="14.25" customHeight="1">
      <c r="A139" s="115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09"/>
      <c r="P139" s="109"/>
      <c r="Q139" s="130"/>
    </row>
    <row r="140" spans="1:17" ht="14.25" customHeight="1">
      <c r="A140" s="111" t="s">
        <v>220</v>
      </c>
      <c r="B140" s="113">
        <f>SUM(B141:B150)</f>
        <v>495.79999999999995</v>
      </c>
      <c r="C140" s="113">
        <f t="shared" ref="C140:P140" si="75">SUM(C141:C150)</f>
        <v>423.70812199999995</v>
      </c>
      <c r="D140" s="113">
        <f t="shared" si="75"/>
        <v>371.1</v>
      </c>
      <c r="E140" s="113">
        <f t="shared" si="75"/>
        <v>0</v>
      </c>
      <c r="F140" s="113">
        <f t="shared" si="75"/>
        <v>0</v>
      </c>
      <c r="G140" s="113">
        <f t="shared" si="75"/>
        <v>0</v>
      </c>
      <c r="H140" s="113">
        <f t="shared" si="75"/>
        <v>0</v>
      </c>
      <c r="I140" s="113">
        <f t="shared" si="75"/>
        <v>0</v>
      </c>
      <c r="J140" s="113">
        <f t="shared" si="75"/>
        <v>0</v>
      </c>
      <c r="K140" s="113">
        <f t="shared" si="75"/>
        <v>0</v>
      </c>
      <c r="L140" s="113">
        <f t="shared" si="75"/>
        <v>75</v>
      </c>
      <c r="M140" s="113">
        <f t="shared" si="75"/>
        <v>101</v>
      </c>
      <c r="N140" s="113">
        <f t="shared" si="75"/>
        <v>455.00244799999996</v>
      </c>
      <c r="O140" s="113">
        <f t="shared" si="75"/>
        <v>330.37267000000003</v>
      </c>
      <c r="P140" s="113">
        <f t="shared" si="75"/>
        <v>961.43700000000001</v>
      </c>
      <c r="Q140" s="130"/>
    </row>
    <row r="141" spans="1:17" ht="14.25" customHeight="1">
      <c r="A141" s="115" t="s">
        <v>285</v>
      </c>
      <c r="B141" s="121">
        <v>40.799999999999997</v>
      </c>
      <c r="C141" s="121">
        <v>14.9</v>
      </c>
      <c r="D141" s="121">
        <v>12.6</v>
      </c>
      <c r="E141" s="121" t="s">
        <v>201</v>
      </c>
      <c r="F141" s="121" t="s">
        <v>201</v>
      </c>
      <c r="G141" s="121" t="s">
        <v>201</v>
      </c>
      <c r="H141" s="121" t="s">
        <v>201</v>
      </c>
      <c r="I141" s="121" t="s">
        <v>201</v>
      </c>
      <c r="J141" s="121" t="s">
        <v>201</v>
      </c>
      <c r="K141" s="121" t="s">
        <v>201</v>
      </c>
      <c r="L141" s="121" t="s">
        <v>201</v>
      </c>
      <c r="M141" s="121" t="s">
        <v>201</v>
      </c>
      <c r="N141" s="121" t="s">
        <v>201</v>
      </c>
      <c r="O141" s="121" t="s">
        <v>201</v>
      </c>
      <c r="P141" s="121" t="s">
        <v>201</v>
      </c>
      <c r="Q141" s="130"/>
    </row>
    <row r="142" spans="1:17" ht="14.25" customHeight="1">
      <c r="A142" s="115" t="s">
        <v>221</v>
      </c>
      <c r="B142" s="121">
        <v>437.7</v>
      </c>
      <c r="C142" s="121">
        <v>380.8</v>
      </c>
      <c r="D142" s="121">
        <v>358.5</v>
      </c>
      <c r="E142" s="121" t="s">
        <v>201</v>
      </c>
      <c r="F142" s="121" t="s">
        <v>201</v>
      </c>
      <c r="G142" s="121" t="s">
        <v>201</v>
      </c>
      <c r="H142" s="121" t="s">
        <v>201</v>
      </c>
      <c r="I142" s="121" t="s">
        <v>201</v>
      </c>
      <c r="J142" s="121" t="s">
        <v>201</v>
      </c>
      <c r="K142" s="121" t="s">
        <v>201</v>
      </c>
      <c r="L142" s="121" t="s">
        <v>201</v>
      </c>
      <c r="M142" s="121" t="s">
        <v>201</v>
      </c>
      <c r="N142" s="121" t="s">
        <v>201</v>
      </c>
      <c r="O142" s="121" t="s">
        <v>201</v>
      </c>
      <c r="P142" s="121" t="s">
        <v>201</v>
      </c>
      <c r="Q142" s="130"/>
    </row>
    <row r="143" spans="1:17" ht="14.25" customHeight="1">
      <c r="A143" s="115" t="s">
        <v>286</v>
      </c>
      <c r="B143" s="121">
        <v>15.4</v>
      </c>
      <c r="C143" s="121">
        <v>8.1081219999999998</v>
      </c>
      <c r="D143" s="121" t="s">
        <v>201</v>
      </c>
      <c r="E143" s="121" t="s">
        <v>201</v>
      </c>
      <c r="F143" s="121" t="s">
        <v>201</v>
      </c>
      <c r="G143" s="121" t="s">
        <v>201</v>
      </c>
      <c r="H143" s="121" t="s">
        <v>201</v>
      </c>
      <c r="I143" s="121" t="s">
        <v>201</v>
      </c>
      <c r="J143" s="121" t="s">
        <v>201</v>
      </c>
      <c r="K143" s="121" t="s">
        <v>201</v>
      </c>
      <c r="L143" s="121" t="s">
        <v>201</v>
      </c>
      <c r="M143" s="121" t="s">
        <v>201</v>
      </c>
      <c r="N143" s="121" t="s">
        <v>201</v>
      </c>
      <c r="O143" s="121" t="s">
        <v>201</v>
      </c>
      <c r="P143" s="121" t="s">
        <v>201</v>
      </c>
      <c r="Q143" s="130"/>
    </row>
    <row r="144" spans="1:17" ht="14.25" customHeight="1">
      <c r="A144" s="115" t="s">
        <v>287</v>
      </c>
      <c r="B144" s="121" t="s">
        <v>201</v>
      </c>
      <c r="C144" s="121">
        <v>19.899999999999999</v>
      </c>
      <c r="D144" s="121" t="s">
        <v>201</v>
      </c>
      <c r="E144" s="121" t="s">
        <v>201</v>
      </c>
      <c r="F144" s="121" t="s">
        <v>201</v>
      </c>
      <c r="G144" s="121" t="s">
        <v>201</v>
      </c>
      <c r="H144" s="121" t="s">
        <v>201</v>
      </c>
      <c r="I144" s="121" t="s">
        <v>201</v>
      </c>
      <c r="J144" s="121" t="s">
        <v>201</v>
      </c>
      <c r="K144" s="121" t="s">
        <v>201</v>
      </c>
      <c r="L144" s="121" t="s">
        <v>201</v>
      </c>
      <c r="M144" s="121" t="s">
        <v>201</v>
      </c>
      <c r="N144" s="121" t="s">
        <v>201</v>
      </c>
      <c r="O144" s="121" t="s">
        <v>201</v>
      </c>
      <c r="P144" s="121" t="s">
        <v>201</v>
      </c>
      <c r="Q144" s="130"/>
    </row>
    <row r="145" spans="1:17" ht="14.25" customHeight="1">
      <c r="A145" s="115" t="s">
        <v>288</v>
      </c>
      <c r="B145" s="121">
        <v>1.9</v>
      </c>
      <c r="C145" s="121" t="s">
        <v>201</v>
      </c>
      <c r="D145" s="121" t="s">
        <v>201</v>
      </c>
      <c r="E145" s="121" t="s">
        <v>201</v>
      </c>
      <c r="F145" s="121" t="s">
        <v>201</v>
      </c>
      <c r="G145" s="121" t="s">
        <v>201</v>
      </c>
      <c r="H145" s="121" t="s">
        <v>201</v>
      </c>
      <c r="I145" s="121" t="s">
        <v>201</v>
      </c>
      <c r="J145" s="121" t="s">
        <v>201</v>
      </c>
      <c r="K145" s="121" t="s">
        <v>201</v>
      </c>
      <c r="L145" s="121" t="s">
        <v>201</v>
      </c>
      <c r="M145" s="121" t="s">
        <v>201</v>
      </c>
      <c r="N145" s="121" t="s">
        <v>201</v>
      </c>
      <c r="O145" s="121" t="s">
        <v>201</v>
      </c>
      <c r="P145" s="121" t="s">
        <v>201</v>
      </c>
      <c r="Q145" s="130"/>
    </row>
    <row r="146" spans="1:17" ht="14.25" customHeight="1">
      <c r="A146" s="115" t="s">
        <v>289</v>
      </c>
      <c r="B146" s="121" t="s">
        <v>201</v>
      </c>
      <c r="C146" s="121" t="s">
        <v>201</v>
      </c>
      <c r="D146" s="121" t="s">
        <v>201</v>
      </c>
      <c r="E146" s="121" t="s">
        <v>201</v>
      </c>
      <c r="F146" s="121" t="s">
        <v>201</v>
      </c>
      <c r="G146" s="121" t="s">
        <v>201</v>
      </c>
      <c r="H146" s="121" t="s">
        <v>201</v>
      </c>
      <c r="I146" s="121" t="s">
        <v>201</v>
      </c>
      <c r="J146" s="121" t="s">
        <v>201</v>
      </c>
      <c r="K146" s="121" t="s">
        <v>201</v>
      </c>
      <c r="L146" s="121" t="s">
        <v>201</v>
      </c>
      <c r="M146" s="121" t="s">
        <v>201</v>
      </c>
      <c r="N146" s="121" t="s">
        <v>201</v>
      </c>
      <c r="O146" s="109" t="s">
        <v>201</v>
      </c>
      <c r="P146" s="109">
        <v>824.97</v>
      </c>
      <c r="Q146" s="130"/>
    </row>
    <row r="147" spans="1:17" ht="14.25" customHeight="1">
      <c r="A147" s="115" t="s">
        <v>290</v>
      </c>
      <c r="B147" s="121" t="s">
        <v>201</v>
      </c>
      <c r="C147" s="121" t="s">
        <v>201</v>
      </c>
      <c r="D147" s="121" t="s">
        <v>201</v>
      </c>
      <c r="E147" s="121" t="s">
        <v>201</v>
      </c>
      <c r="F147" s="121" t="s">
        <v>201</v>
      </c>
      <c r="G147" s="121" t="s">
        <v>201</v>
      </c>
      <c r="H147" s="121" t="s">
        <v>201</v>
      </c>
      <c r="I147" s="121" t="s">
        <v>201</v>
      </c>
      <c r="J147" s="121" t="s">
        <v>201</v>
      </c>
      <c r="K147" s="121" t="s">
        <v>201</v>
      </c>
      <c r="L147" s="121">
        <v>75</v>
      </c>
      <c r="M147" s="121" t="s">
        <v>201</v>
      </c>
      <c r="N147" s="121" t="s">
        <v>201</v>
      </c>
      <c r="O147" s="109" t="s">
        <v>201</v>
      </c>
      <c r="P147" s="109" t="s">
        <v>201</v>
      </c>
      <c r="Q147" s="130"/>
    </row>
    <row r="148" spans="1:17" ht="14.25" customHeight="1">
      <c r="A148" s="115" t="s">
        <v>291</v>
      </c>
      <c r="B148" s="121" t="s">
        <v>201</v>
      </c>
      <c r="C148" s="121" t="s">
        <v>201</v>
      </c>
      <c r="D148" s="121" t="s">
        <v>201</v>
      </c>
      <c r="E148" s="121" t="s">
        <v>201</v>
      </c>
      <c r="F148" s="121" t="s">
        <v>201</v>
      </c>
      <c r="G148" s="121" t="s">
        <v>201</v>
      </c>
      <c r="H148" s="121" t="s">
        <v>201</v>
      </c>
      <c r="I148" s="121" t="s">
        <v>201</v>
      </c>
      <c r="J148" s="121" t="s">
        <v>201</v>
      </c>
      <c r="K148" s="121" t="s">
        <v>201</v>
      </c>
      <c r="L148" s="121" t="s">
        <v>201</v>
      </c>
      <c r="M148" s="121" t="s">
        <v>201</v>
      </c>
      <c r="N148" s="121">
        <v>7.8224479999999996</v>
      </c>
      <c r="O148" s="109">
        <v>11.949669999999999</v>
      </c>
      <c r="P148" s="109" t="s">
        <v>201</v>
      </c>
      <c r="Q148" s="130"/>
    </row>
    <row r="149" spans="1:17" ht="14.25" customHeight="1">
      <c r="A149" s="115" t="s">
        <v>292</v>
      </c>
      <c r="B149" s="121" t="s">
        <v>201</v>
      </c>
      <c r="C149" s="121" t="s">
        <v>201</v>
      </c>
      <c r="D149" s="121" t="s">
        <v>201</v>
      </c>
      <c r="E149" s="121" t="s">
        <v>201</v>
      </c>
      <c r="F149" s="121" t="s">
        <v>201</v>
      </c>
      <c r="G149" s="121" t="s">
        <v>201</v>
      </c>
      <c r="H149" s="121" t="s">
        <v>201</v>
      </c>
      <c r="I149" s="121" t="s">
        <v>201</v>
      </c>
      <c r="J149" s="121" t="s">
        <v>201</v>
      </c>
      <c r="K149" s="121" t="s">
        <v>201</v>
      </c>
      <c r="L149" s="121" t="s">
        <v>201</v>
      </c>
      <c r="M149" s="121">
        <v>96.5</v>
      </c>
      <c r="N149" s="121">
        <v>53.97</v>
      </c>
      <c r="O149" s="109" t="s">
        <v>201</v>
      </c>
      <c r="P149" s="109" t="s">
        <v>201</v>
      </c>
      <c r="Q149" s="130"/>
    </row>
    <row r="150" spans="1:17" ht="14.25" customHeight="1">
      <c r="A150" s="115" t="s">
        <v>293</v>
      </c>
      <c r="B150" s="121" t="s">
        <v>201</v>
      </c>
      <c r="C150" s="121" t="s">
        <v>201</v>
      </c>
      <c r="D150" s="121" t="s">
        <v>201</v>
      </c>
      <c r="E150" s="121" t="s">
        <v>201</v>
      </c>
      <c r="F150" s="121" t="s">
        <v>201</v>
      </c>
      <c r="G150" s="121" t="s">
        <v>201</v>
      </c>
      <c r="H150" s="121" t="s">
        <v>201</v>
      </c>
      <c r="I150" s="121" t="s">
        <v>201</v>
      </c>
      <c r="J150" s="121" t="s">
        <v>201</v>
      </c>
      <c r="K150" s="121" t="s">
        <v>201</v>
      </c>
      <c r="L150" s="121" t="s">
        <v>201</v>
      </c>
      <c r="M150" s="121">
        <v>4.5</v>
      </c>
      <c r="N150" s="121">
        <v>393.21</v>
      </c>
      <c r="O150" s="109">
        <v>318.423</v>
      </c>
      <c r="P150" s="109">
        <v>136.46700000000001</v>
      </c>
      <c r="Q150" s="130"/>
    </row>
    <row r="151" spans="1:17" ht="13.5" customHeight="1">
      <c r="A151" s="115"/>
      <c r="B151" s="121"/>
      <c r="C151" s="121"/>
      <c r="D151" s="121"/>
      <c r="E151" s="121"/>
      <c r="F151" s="121"/>
      <c r="G151" s="193"/>
      <c r="H151" s="193"/>
      <c r="I151" s="121"/>
      <c r="J151" s="121"/>
      <c r="K151" s="121"/>
      <c r="L151" s="121"/>
      <c r="M151" s="121"/>
      <c r="N151" s="121"/>
      <c r="O151" s="109"/>
      <c r="P151" s="109"/>
      <c r="Q151" s="130"/>
    </row>
    <row r="152" spans="1:17" ht="14.25" customHeight="1" thickBot="1">
      <c r="A152" s="119" t="s">
        <v>16</v>
      </c>
      <c r="B152" s="120"/>
      <c r="C152" s="120"/>
      <c r="D152" s="120"/>
      <c r="E152" s="120"/>
      <c r="F152" s="120"/>
      <c r="G152" s="192"/>
      <c r="H152" s="192"/>
      <c r="I152" s="120"/>
      <c r="J152" s="120"/>
      <c r="K152" s="120"/>
      <c r="L152" s="120"/>
      <c r="M152" s="120"/>
      <c r="N152" s="120"/>
      <c r="O152" s="120"/>
      <c r="P152" s="120"/>
      <c r="Q152" s="130"/>
    </row>
    <row r="153" spans="1:17" ht="14.25" customHeight="1">
      <c r="A153" s="115" t="s">
        <v>222</v>
      </c>
      <c r="B153" s="121">
        <v>0</v>
      </c>
      <c r="C153" s="121">
        <v>0</v>
      </c>
      <c r="D153" s="121">
        <v>0</v>
      </c>
      <c r="E153" s="121">
        <v>0</v>
      </c>
      <c r="F153" s="121">
        <v>0</v>
      </c>
      <c r="G153" s="121">
        <v>0</v>
      </c>
      <c r="H153" s="193" t="s">
        <v>201</v>
      </c>
      <c r="I153" s="121" t="s">
        <v>201</v>
      </c>
      <c r="J153" s="121" t="s">
        <v>201</v>
      </c>
      <c r="K153" s="121" t="s">
        <v>201</v>
      </c>
      <c r="L153" s="121" t="s">
        <v>201</v>
      </c>
      <c r="M153" s="121" t="s">
        <v>201</v>
      </c>
      <c r="N153" s="121" t="s">
        <v>201</v>
      </c>
      <c r="O153" s="109" t="s">
        <v>201</v>
      </c>
      <c r="P153" s="109"/>
      <c r="Q153" s="130"/>
    </row>
    <row r="154" spans="1:17" ht="14.25" customHeight="1">
      <c r="A154" s="122" t="s">
        <v>221</v>
      </c>
      <c r="B154" s="123">
        <v>437.7</v>
      </c>
      <c r="C154" s="123">
        <v>380.8</v>
      </c>
      <c r="D154" s="123">
        <v>358.5</v>
      </c>
      <c r="E154" s="123">
        <v>92.003429999999994</v>
      </c>
      <c r="F154" s="123">
        <v>363.346474</v>
      </c>
      <c r="G154" s="194" t="s">
        <v>201</v>
      </c>
      <c r="H154" s="194" t="s">
        <v>201</v>
      </c>
      <c r="I154" s="123" t="s">
        <v>201</v>
      </c>
      <c r="J154" s="123" t="s">
        <v>201</v>
      </c>
      <c r="K154" s="123" t="s">
        <v>201</v>
      </c>
      <c r="L154" s="123" t="s">
        <v>201</v>
      </c>
      <c r="M154" s="123" t="s">
        <v>201</v>
      </c>
      <c r="N154" s="123" t="s">
        <v>201</v>
      </c>
      <c r="O154" s="123" t="s">
        <v>201</v>
      </c>
      <c r="P154" s="123"/>
      <c r="Q154" s="130"/>
    </row>
    <row r="155" spans="1:17" ht="17.25">
      <c r="A155" s="269" t="s">
        <v>294</v>
      </c>
      <c r="B155" s="124"/>
      <c r="C155" s="124"/>
      <c r="D155" s="124"/>
      <c r="E155" s="124"/>
      <c r="F155" s="124"/>
      <c r="G155" s="121"/>
      <c r="H155" s="121"/>
      <c r="I155" s="121"/>
      <c r="J155" s="121"/>
      <c r="K155" s="121"/>
      <c r="L155" s="121"/>
      <c r="M155" s="121"/>
      <c r="N155" s="268"/>
      <c r="O155" s="130"/>
      <c r="P155" s="270" t="s">
        <v>296</v>
      </c>
      <c r="Q155" s="130"/>
    </row>
    <row r="156" spans="1:17" ht="15">
      <c r="A156" s="33" t="s">
        <v>223</v>
      </c>
      <c r="B156" s="124"/>
      <c r="C156" s="124"/>
      <c r="D156" s="124"/>
      <c r="E156" s="124"/>
      <c r="F156" s="124"/>
      <c r="G156" s="121"/>
      <c r="H156" s="121"/>
      <c r="I156" s="121"/>
      <c r="J156" s="121"/>
      <c r="K156" s="121"/>
      <c r="L156" s="121"/>
      <c r="M156" s="121"/>
      <c r="N156" s="268"/>
      <c r="O156" s="130"/>
      <c r="P156" s="30" t="s">
        <v>14</v>
      </c>
      <c r="Q156" s="130"/>
    </row>
    <row r="157" spans="1:17">
      <c r="A157" s="197"/>
      <c r="B157" s="124"/>
      <c r="C157" s="124"/>
      <c r="D157" s="124"/>
      <c r="E157" s="124"/>
      <c r="F157" s="124"/>
      <c r="G157" s="121"/>
      <c r="H157" s="121"/>
      <c r="I157" s="121"/>
      <c r="J157" s="121"/>
      <c r="K157" s="121"/>
      <c r="L157" s="121"/>
      <c r="M157" s="121"/>
      <c r="N157" s="268"/>
      <c r="O157" s="130"/>
      <c r="P157" s="130"/>
      <c r="Q157" s="130"/>
    </row>
    <row r="158" spans="1:17">
      <c r="A158" s="197"/>
      <c r="B158" s="124"/>
      <c r="C158" s="124"/>
      <c r="D158" s="124"/>
      <c r="E158" s="124"/>
      <c r="F158" s="124"/>
      <c r="G158" s="193"/>
      <c r="H158" s="121"/>
      <c r="I158" s="121"/>
      <c r="J158" s="121"/>
      <c r="K158" s="121"/>
      <c r="L158" s="121"/>
      <c r="M158" s="121"/>
      <c r="N158" s="268"/>
      <c r="O158" s="130"/>
      <c r="P158" s="130"/>
      <c r="Q158" s="130"/>
    </row>
    <row r="159" spans="1:17">
      <c r="A159" s="197"/>
      <c r="B159" s="124"/>
      <c r="C159" s="124"/>
      <c r="D159" s="124"/>
      <c r="E159" s="124"/>
      <c r="F159" s="124"/>
      <c r="G159" s="121"/>
      <c r="H159" s="121"/>
      <c r="I159" s="121"/>
      <c r="J159" s="121"/>
      <c r="K159" s="121"/>
      <c r="L159" s="121"/>
      <c r="M159" s="121"/>
      <c r="N159" s="268"/>
      <c r="O159" s="130"/>
      <c r="P159" s="130"/>
      <c r="Q159" s="130"/>
    </row>
    <row r="160" spans="1:17">
      <c r="A160" s="196"/>
      <c r="B160" s="124"/>
      <c r="C160" s="124"/>
      <c r="D160" s="124"/>
      <c r="E160" s="124"/>
      <c r="F160" s="124"/>
      <c r="G160" s="124"/>
      <c r="H160" s="121"/>
      <c r="I160" s="121"/>
      <c r="J160" s="121"/>
      <c r="K160" s="121"/>
      <c r="L160" s="121"/>
      <c r="M160" s="121"/>
      <c r="N160" s="268"/>
      <c r="O160" s="130"/>
      <c r="P160" s="130"/>
      <c r="Q160" s="130"/>
    </row>
    <row r="161" spans="1:17">
      <c r="A161" s="197"/>
      <c r="B161" s="124"/>
      <c r="C161" s="124"/>
      <c r="D161" s="124"/>
      <c r="E161" s="124"/>
      <c r="F161" s="124"/>
      <c r="G161" s="124"/>
      <c r="H161" s="121"/>
      <c r="I161" s="121"/>
      <c r="J161" s="121"/>
      <c r="K161" s="121"/>
      <c r="L161" s="121"/>
      <c r="M161" s="121"/>
      <c r="N161" s="268"/>
      <c r="O161" s="130"/>
      <c r="P161" s="130"/>
      <c r="Q161" s="130"/>
    </row>
    <row r="162" spans="1:17">
      <c r="A162" s="196"/>
      <c r="B162" s="124"/>
      <c r="C162" s="124"/>
      <c r="D162" s="124"/>
      <c r="E162" s="124"/>
      <c r="F162" s="124"/>
      <c r="G162" s="124"/>
      <c r="H162" s="121"/>
      <c r="I162" s="121"/>
      <c r="J162" s="121"/>
      <c r="K162" s="121"/>
      <c r="L162" s="121"/>
      <c r="M162" s="121"/>
      <c r="N162" s="268"/>
      <c r="O162" s="130"/>
    </row>
    <row r="163" spans="1:17">
      <c r="A163" s="196"/>
      <c r="B163" s="124"/>
      <c r="C163" s="124"/>
      <c r="D163" s="124"/>
      <c r="E163" s="124"/>
      <c r="F163" s="124"/>
      <c r="G163" s="124"/>
      <c r="H163" s="121"/>
      <c r="I163" s="121"/>
      <c r="J163" s="121"/>
      <c r="K163" s="121"/>
      <c r="L163" s="121"/>
      <c r="M163" s="121"/>
      <c r="N163" s="268"/>
      <c r="O163" s="130"/>
      <c r="P163" s="130"/>
      <c r="Q163" s="130"/>
    </row>
    <row r="164" spans="1:17">
      <c r="A164" s="196"/>
      <c r="B164" s="124"/>
      <c r="C164" s="124"/>
      <c r="D164" s="124"/>
      <c r="E164" s="124"/>
      <c r="F164" s="124"/>
      <c r="G164" s="124"/>
      <c r="H164" s="121"/>
      <c r="I164" s="121"/>
      <c r="J164" s="121"/>
      <c r="K164" s="121"/>
      <c r="L164" s="121"/>
      <c r="M164" s="121"/>
      <c r="N164" s="268"/>
      <c r="O164" s="130"/>
      <c r="P164" s="130"/>
      <c r="Q164" s="130"/>
    </row>
    <row r="165" spans="1:17">
      <c r="A165" s="196"/>
      <c r="B165" s="124"/>
      <c r="C165" s="124"/>
      <c r="D165" s="124"/>
      <c r="E165" s="124"/>
      <c r="F165" s="124"/>
      <c r="G165" s="124"/>
      <c r="H165" s="121"/>
      <c r="I165" s="121"/>
      <c r="J165" s="121"/>
      <c r="K165" s="121"/>
      <c r="L165" s="121"/>
      <c r="M165" s="121"/>
      <c r="N165" s="268"/>
      <c r="O165" s="130"/>
      <c r="P165" s="130"/>
      <c r="Q165" s="130"/>
    </row>
    <row r="166" spans="1:17">
      <c r="A166" s="196"/>
      <c r="B166" s="124"/>
      <c r="C166" s="124"/>
      <c r="D166" s="124"/>
      <c r="E166" s="124"/>
      <c r="F166" s="124"/>
      <c r="G166" s="124"/>
      <c r="H166" s="121"/>
      <c r="I166" s="121"/>
      <c r="J166" s="121"/>
      <c r="K166" s="121"/>
      <c r="L166" s="121"/>
      <c r="M166" s="121"/>
      <c r="N166" s="268"/>
      <c r="O166" s="130"/>
      <c r="P166" s="130"/>
      <c r="Q166" s="130"/>
    </row>
    <row r="167" spans="1:17">
      <c r="A167" s="196"/>
      <c r="B167" s="124"/>
      <c r="C167" s="124"/>
      <c r="D167" s="124"/>
      <c r="E167" s="124"/>
      <c r="F167" s="124"/>
      <c r="G167" s="124"/>
      <c r="H167" s="121"/>
      <c r="I167" s="121"/>
      <c r="J167" s="121"/>
      <c r="K167" s="121"/>
      <c r="L167" s="121"/>
      <c r="M167" s="121"/>
      <c r="N167" s="268"/>
      <c r="O167" s="130"/>
      <c r="P167" s="130"/>
      <c r="Q167" s="130"/>
    </row>
    <row r="168" spans="1:17">
      <c r="A168" s="196"/>
      <c r="B168" s="124"/>
      <c r="C168" s="124"/>
      <c r="D168" s="124"/>
      <c r="E168" s="124"/>
      <c r="F168" s="124"/>
      <c r="G168" s="124"/>
      <c r="H168" s="121"/>
      <c r="I168" s="121"/>
      <c r="J168" s="121"/>
      <c r="K168" s="121"/>
      <c r="L168" s="121"/>
      <c r="M168" s="121"/>
      <c r="N168" s="268"/>
      <c r="O168" s="130"/>
      <c r="P168" s="130"/>
      <c r="Q168" s="130"/>
    </row>
    <row r="169" spans="1:17">
      <c r="A169" s="196"/>
      <c r="B169" s="124"/>
      <c r="C169" s="124"/>
      <c r="D169" s="124"/>
      <c r="E169" s="124"/>
      <c r="F169" s="124"/>
      <c r="G169" s="124"/>
      <c r="H169" s="121"/>
      <c r="I169" s="121"/>
      <c r="J169" s="121"/>
      <c r="K169" s="121"/>
      <c r="L169" s="121"/>
      <c r="M169" s="121"/>
      <c r="N169" s="268"/>
      <c r="O169" s="130"/>
      <c r="P169" s="130"/>
      <c r="Q169" s="130"/>
    </row>
    <row r="170" spans="1:17">
      <c r="A170" s="196"/>
      <c r="B170" s="124"/>
      <c r="C170" s="124"/>
      <c r="D170" s="124"/>
      <c r="E170" s="124"/>
      <c r="F170" s="124"/>
      <c r="G170" s="124"/>
      <c r="H170" s="121"/>
      <c r="I170" s="121"/>
      <c r="J170" s="121"/>
      <c r="K170" s="121"/>
      <c r="L170" s="121"/>
      <c r="M170" s="121"/>
      <c r="N170" s="268"/>
      <c r="O170" s="130"/>
      <c r="P170" s="130"/>
      <c r="Q170" s="130"/>
    </row>
    <row r="171" spans="1:17">
      <c r="A171" s="196"/>
      <c r="B171" s="124"/>
      <c r="C171" s="124"/>
      <c r="D171" s="124"/>
      <c r="E171" s="124"/>
      <c r="F171" s="124"/>
      <c r="G171" s="124"/>
      <c r="H171" s="121"/>
      <c r="I171" s="121"/>
      <c r="J171" s="121"/>
      <c r="K171" s="121"/>
      <c r="L171" s="121"/>
      <c r="M171" s="121"/>
      <c r="N171" s="268"/>
      <c r="O171" s="130"/>
      <c r="P171" s="130"/>
      <c r="Q171" s="130"/>
    </row>
    <row r="172" spans="1:17">
      <c r="A172" s="196"/>
      <c r="B172" s="124"/>
      <c r="C172" s="124"/>
      <c r="D172" s="124"/>
      <c r="E172" s="124"/>
      <c r="F172" s="124"/>
      <c r="G172" s="124"/>
      <c r="H172" s="121"/>
      <c r="I172" s="121"/>
      <c r="J172" s="121"/>
      <c r="K172" s="121"/>
      <c r="L172" s="121"/>
      <c r="M172" s="121"/>
      <c r="N172" s="268"/>
      <c r="O172" s="130"/>
      <c r="P172" s="130"/>
      <c r="Q172" s="130"/>
    </row>
    <row r="173" spans="1:17">
      <c r="A173" s="196"/>
      <c r="B173" s="124"/>
      <c r="C173" s="124"/>
      <c r="D173" s="124"/>
      <c r="E173" s="124"/>
      <c r="F173" s="124"/>
      <c r="G173" s="124"/>
      <c r="H173" s="121"/>
      <c r="I173" s="121"/>
      <c r="J173" s="121"/>
      <c r="K173" s="121"/>
      <c r="L173" s="121"/>
      <c r="M173" s="121"/>
      <c r="N173" s="268"/>
      <c r="O173" s="130"/>
      <c r="P173" s="130"/>
      <c r="Q173" s="130"/>
    </row>
    <row r="174" spans="1:17">
      <c r="A174" s="196"/>
      <c r="B174" s="124"/>
      <c r="C174" s="124"/>
      <c r="D174" s="124"/>
      <c r="E174" s="124"/>
      <c r="F174" s="124"/>
      <c r="G174" s="124"/>
      <c r="H174" s="121"/>
      <c r="I174" s="121"/>
      <c r="J174" s="121"/>
      <c r="K174" s="121"/>
      <c r="L174" s="121"/>
      <c r="M174" s="121"/>
      <c r="N174" s="268"/>
      <c r="O174" s="130"/>
      <c r="P174" s="130"/>
      <c r="Q174" s="130"/>
    </row>
    <row r="175" spans="1:17">
      <c r="A175" s="196"/>
      <c r="B175" s="124"/>
      <c r="C175" s="124"/>
      <c r="D175" s="124"/>
      <c r="E175" s="124"/>
      <c r="F175" s="124"/>
      <c r="G175" s="124"/>
      <c r="H175" s="121"/>
      <c r="I175" s="121"/>
      <c r="J175" s="121"/>
      <c r="K175" s="121"/>
      <c r="L175" s="121"/>
      <c r="M175" s="121"/>
      <c r="N175" s="268"/>
      <c r="O175" s="130"/>
      <c r="P175" s="130"/>
      <c r="Q175" s="130"/>
    </row>
    <row r="176" spans="1:17">
      <c r="A176" s="196"/>
      <c r="B176" s="124"/>
      <c r="C176" s="124"/>
      <c r="D176" s="124"/>
      <c r="E176" s="124"/>
      <c r="F176" s="124"/>
      <c r="G176" s="124"/>
      <c r="H176" s="121"/>
      <c r="I176" s="121"/>
      <c r="J176" s="121"/>
      <c r="K176" s="121"/>
      <c r="L176" s="121"/>
      <c r="M176" s="121"/>
      <c r="N176" s="268"/>
      <c r="O176" s="130"/>
      <c r="P176" s="130"/>
      <c r="Q176" s="130"/>
    </row>
    <row r="177" spans="1:17">
      <c r="A177" s="196"/>
      <c r="B177" s="124"/>
      <c r="C177" s="124"/>
      <c r="D177" s="124"/>
      <c r="E177" s="124"/>
      <c r="F177" s="124"/>
      <c r="G177" s="124"/>
      <c r="H177" s="121"/>
      <c r="I177" s="121"/>
      <c r="J177" s="121"/>
      <c r="K177" s="121"/>
      <c r="L177" s="121"/>
      <c r="M177" s="121"/>
      <c r="N177" s="268"/>
      <c r="O177" s="130"/>
      <c r="P177" s="130"/>
      <c r="Q177" s="130"/>
    </row>
    <row r="178" spans="1:17">
      <c r="A178" s="196"/>
      <c r="B178" s="124"/>
      <c r="C178" s="124"/>
      <c r="D178" s="124"/>
      <c r="E178" s="124"/>
      <c r="F178" s="124"/>
      <c r="G178" s="124"/>
      <c r="H178" s="121"/>
      <c r="I178" s="121"/>
      <c r="J178" s="121"/>
      <c r="K178" s="121"/>
      <c r="L178" s="121"/>
      <c r="M178" s="121"/>
      <c r="N178" s="268"/>
      <c r="O178" s="130"/>
      <c r="P178" s="130"/>
      <c r="Q178" s="130"/>
    </row>
    <row r="179" spans="1:17">
      <c r="A179" s="196"/>
      <c r="B179" s="124"/>
      <c r="C179" s="124"/>
      <c r="D179" s="124"/>
      <c r="E179" s="124"/>
      <c r="F179" s="124"/>
      <c r="G179" s="124"/>
      <c r="H179" s="121"/>
      <c r="I179" s="121"/>
      <c r="J179" s="121"/>
      <c r="K179" s="121"/>
      <c r="L179" s="121"/>
      <c r="M179" s="121"/>
      <c r="N179" s="268"/>
      <c r="O179" s="130"/>
      <c r="P179" s="130"/>
      <c r="Q179" s="130"/>
    </row>
    <row r="180" spans="1:17">
      <c r="A180" s="196"/>
      <c r="B180" s="124"/>
      <c r="C180" s="124"/>
      <c r="D180" s="124"/>
      <c r="E180" s="124"/>
      <c r="F180" s="124"/>
      <c r="G180" s="124"/>
      <c r="H180" s="121"/>
      <c r="I180" s="121"/>
      <c r="J180" s="121"/>
      <c r="K180" s="121"/>
      <c r="L180" s="121"/>
      <c r="M180" s="121"/>
      <c r="N180" s="268"/>
      <c r="O180" s="130"/>
      <c r="P180" s="130"/>
      <c r="Q180" s="130"/>
    </row>
    <row r="181" spans="1:17">
      <c r="A181" s="196"/>
      <c r="B181" s="124"/>
      <c r="C181" s="124"/>
      <c r="D181" s="124"/>
      <c r="E181" s="124"/>
      <c r="F181" s="124"/>
      <c r="G181" s="124"/>
      <c r="H181" s="121"/>
      <c r="I181" s="121"/>
      <c r="J181" s="121"/>
      <c r="K181" s="121"/>
      <c r="L181" s="121"/>
      <c r="M181" s="121"/>
      <c r="N181" s="268"/>
      <c r="O181" s="130"/>
      <c r="P181" s="130"/>
      <c r="Q181" s="130"/>
    </row>
    <row r="182" spans="1:17">
      <c r="A182" s="196"/>
      <c r="B182" s="124"/>
      <c r="C182" s="124"/>
      <c r="D182" s="124"/>
      <c r="E182" s="124"/>
      <c r="F182" s="124"/>
      <c r="G182" s="124"/>
      <c r="H182" s="121"/>
      <c r="I182" s="121"/>
      <c r="J182" s="121"/>
      <c r="K182" s="121"/>
      <c r="L182" s="121"/>
      <c r="M182" s="121"/>
      <c r="N182" s="268"/>
      <c r="O182" s="130"/>
      <c r="P182" s="130"/>
      <c r="Q182" s="130"/>
    </row>
    <row r="183" spans="1:17">
      <c r="A183" s="196"/>
      <c r="B183" s="124"/>
      <c r="C183" s="124"/>
      <c r="D183" s="124"/>
      <c r="E183" s="124"/>
      <c r="F183" s="124"/>
      <c r="G183" s="124"/>
      <c r="H183" s="121"/>
      <c r="I183" s="121"/>
      <c r="J183" s="121"/>
      <c r="K183" s="121"/>
      <c r="L183" s="121"/>
      <c r="M183" s="121"/>
      <c r="N183" s="268"/>
      <c r="O183" s="130"/>
      <c r="P183" s="130"/>
      <c r="Q183" s="130"/>
    </row>
    <row r="184" spans="1:17">
      <c r="A184" s="196"/>
      <c r="B184" s="124"/>
      <c r="C184" s="124"/>
      <c r="D184" s="124"/>
      <c r="E184" s="124"/>
      <c r="F184" s="124"/>
      <c r="G184" s="124"/>
      <c r="H184" s="121"/>
      <c r="I184" s="121"/>
      <c r="J184" s="121"/>
      <c r="K184" s="121"/>
      <c r="L184" s="121"/>
      <c r="M184" s="121"/>
      <c r="N184" s="268"/>
      <c r="O184" s="130"/>
      <c r="P184" s="130"/>
      <c r="Q184" s="130"/>
    </row>
    <row r="185" spans="1:17">
      <c r="A185" s="196"/>
      <c r="B185" s="124"/>
      <c r="C185" s="124"/>
      <c r="D185" s="124"/>
      <c r="E185" s="124"/>
      <c r="F185" s="124"/>
      <c r="G185" s="124"/>
      <c r="H185" s="121"/>
      <c r="I185" s="121"/>
      <c r="J185" s="121"/>
      <c r="K185" s="121"/>
      <c r="L185" s="121"/>
      <c r="M185" s="121"/>
      <c r="N185" s="268"/>
      <c r="O185" s="130"/>
      <c r="P185" s="130"/>
      <c r="Q185" s="130"/>
    </row>
    <row r="186" spans="1:17">
      <c r="A186" s="196"/>
      <c r="B186" s="124"/>
      <c r="C186" s="124"/>
      <c r="D186" s="124"/>
      <c r="E186" s="124"/>
      <c r="F186" s="124"/>
      <c r="G186" s="124"/>
      <c r="H186" s="121"/>
      <c r="I186" s="121"/>
      <c r="J186" s="121"/>
      <c r="K186" s="121"/>
      <c r="L186" s="121"/>
      <c r="M186" s="121"/>
      <c r="N186" s="268"/>
      <c r="O186" s="130"/>
      <c r="P186" s="130"/>
      <c r="Q186" s="130"/>
    </row>
    <row r="187" spans="1:17">
      <c r="A187" s="196"/>
      <c r="B187" s="124"/>
      <c r="C187" s="124"/>
      <c r="D187" s="124"/>
      <c r="E187" s="124"/>
      <c r="F187" s="124"/>
      <c r="G187" s="124"/>
      <c r="H187" s="121"/>
      <c r="I187" s="121"/>
      <c r="J187" s="121"/>
      <c r="K187" s="121"/>
      <c r="L187" s="121"/>
      <c r="M187" s="121"/>
      <c r="N187" s="268"/>
      <c r="O187" s="130"/>
      <c r="P187" s="130"/>
      <c r="Q187" s="130"/>
    </row>
    <row r="188" spans="1:17">
      <c r="A188" s="196"/>
      <c r="B188" s="124"/>
      <c r="C188" s="124"/>
      <c r="D188" s="124"/>
      <c r="E188" s="124"/>
      <c r="F188" s="124"/>
      <c r="G188" s="124"/>
      <c r="H188" s="121"/>
      <c r="I188" s="121"/>
      <c r="J188" s="121"/>
      <c r="K188" s="121"/>
      <c r="L188" s="121"/>
      <c r="M188" s="121"/>
      <c r="N188" s="268"/>
      <c r="O188" s="130"/>
      <c r="P188" s="130"/>
      <c r="Q188" s="130"/>
    </row>
    <row r="189" spans="1:17">
      <c r="A189" s="196"/>
      <c r="B189" s="124"/>
      <c r="C189" s="124"/>
      <c r="D189" s="124"/>
      <c r="E189" s="124"/>
      <c r="F189" s="124"/>
      <c r="G189" s="124"/>
      <c r="H189" s="121"/>
      <c r="I189" s="121"/>
      <c r="J189" s="121"/>
      <c r="K189" s="121"/>
      <c r="L189" s="121"/>
      <c r="M189" s="121"/>
      <c r="N189" s="268"/>
      <c r="O189" s="130"/>
      <c r="P189" s="130"/>
      <c r="Q189" s="130"/>
    </row>
    <row r="190" spans="1:17">
      <c r="A190" s="196"/>
      <c r="B190" s="124"/>
      <c r="C190" s="124"/>
      <c r="D190" s="124"/>
      <c r="E190" s="124"/>
      <c r="F190" s="124"/>
      <c r="G190" s="124"/>
      <c r="H190" s="121"/>
      <c r="I190" s="121"/>
      <c r="J190" s="121"/>
      <c r="K190" s="121"/>
      <c r="L190" s="121"/>
      <c r="M190" s="121"/>
      <c r="N190" s="268"/>
      <c r="O190" s="130"/>
      <c r="P190" s="130"/>
      <c r="Q190" s="130"/>
    </row>
    <row r="191" spans="1:17">
      <c r="A191" s="196"/>
      <c r="B191" s="124"/>
      <c r="C191" s="124"/>
      <c r="D191" s="124"/>
      <c r="E191" s="124"/>
      <c r="F191" s="124"/>
      <c r="G191" s="124"/>
      <c r="H191" s="121"/>
      <c r="I191" s="121"/>
      <c r="J191" s="121"/>
      <c r="K191" s="121"/>
      <c r="L191" s="121"/>
      <c r="M191" s="121"/>
      <c r="N191" s="268"/>
      <c r="O191" s="130"/>
      <c r="P191" s="130"/>
      <c r="Q191" s="130"/>
    </row>
    <row r="192" spans="1:17">
      <c r="A192" s="196"/>
      <c r="B192" s="124"/>
      <c r="C192" s="124"/>
      <c r="D192" s="124"/>
      <c r="E192" s="124"/>
      <c r="F192" s="124"/>
      <c r="G192" s="124"/>
      <c r="H192" s="124"/>
      <c r="I192" s="121"/>
      <c r="J192" s="121"/>
      <c r="K192" s="121"/>
      <c r="L192" s="121"/>
      <c r="M192" s="121"/>
      <c r="N192" s="268"/>
      <c r="O192" s="130"/>
      <c r="P192" s="130"/>
      <c r="Q192" s="130"/>
    </row>
    <row r="193" spans="1:17">
      <c r="A193" s="196"/>
      <c r="B193" s="124"/>
      <c r="C193" s="124"/>
      <c r="D193" s="124"/>
      <c r="E193" s="124"/>
      <c r="F193" s="124"/>
      <c r="G193" s="124"/>
      <c r="H193" s="124"/>
      <c r="I193" s="121"/>
      <c r="J193" s="121"/>
      <c r="K193" s="121"/>
      <c r="L193" s="121"/>
      <c r="M193" s="121"/>
      <c r="N193" s="268"/>
      <c r="O193" s="130"/>
      <c r="P193" s="130"/>
      <c r="Q193" s="130"/>
    </row>
    <row r="194" spans="1:17">
      <c r="A194" s="196"/>
      <c r="B194" s="124"/>
      <c r="C194" s="124"/>
      <c r="D194" s="124"/>
      <c r="E194" s="124"/>
      <c r="F194" s="124"/>
      <c r="G194" s="124"/>
      <c r="H194" s="124"/>
      <c r="I194" s="121"/>
      <c r="J194" s="121"/>
      <c r="K194" s="121"/>
      <c r="L194" s="121"/>
      <c r="M194" s="121"/>
      <c r="N194" s="268"/>
      <c r="O194" s="130"/>
      <c r="P194" s="130"/>
      <c r="Q194" s="130"/>
    </row>
    <row r="195" spans="1:17">
      <c r="A195" s="196"/>
      <c r="B195" s="124"/>
      <c r="C195" s="124"/>
      <c r="D195" s="124"/>
      <c r="E195" s="124"/>
      <c r="F195" s="124"/>
      <c r="G195" s="124"/>
      <c r="H195" s="124"/>
      <c r="I195" s="121"/>
      <c r="J195" s="121"/>
      <c r="K195" s="121"/>
      <c r="L195" s="121"/>
      <c r="M195" s="121"/>
      <c r="N195" s="268"/>
      <c r="O195" s="130"/>
      <c r="P195" s="130"/>
      <c r="Q195" s="130"/>
    </row>
    <row r="196" spans="1:17">
      <c r="A196" s="196"/>
      <c r="B196" s="124"/>
      <c r="C196" s="124"/>
      <c r="D196" s="124"/>
      <c r="E196" s="124"/>
      <c r="F196" s="124"/>
      <c r="G196" s="124"/>
      <c r="H196" s="124"/>
      <c r="I196" s="121"/>
      <c r="J196" s="121"/>
      <c r="K196" s="121"/>
      <c r="L196" s="121"/>
      <c r="M196" s="121"/>
      <c r="N196" s="268"/>
      <c r="O196" s="130"/>
      <c r="P196" s="130"/>
      <c r="Q196" s="130"/>
    </row>
    <row r="197" spans="1:17">
      <c r="A197" s="196"/>
      <c r="B197" s="124"/>
      <c r="C197" s="124"/>
      <c r="D197" s="124"/>
      <c r="E197" s="124"/>
      <c r="F197" s="124"/>
      <c r="G197" s="124"/>
      <c r="H197" s="124"/>
      <c r="I197" s="121"/>
      <c r="J197" s="121"/>
      <c r="K197" s="121"/>
      <c r="L197" s="121"/>
      <c r="M197" s="121"/>
      <c r="N197" s="268"/>
      <c r="O197" s="130"/>
      <c r="P197" s="130"/>
      <c r="Q197" s="130"/>
    </row>
    <row r="198" spans="1:17">
      <c r="A198" s="196"/>
      <c r="B198" s="124"/>
      <c r="C198" s="124"/>
      <c r="D198" s="124"/>
      <c r="E198" s="124"/>
      <c r="F198" s="124"/>
      <c r="G198" s="124"/>
      <c r="H198" s="124"/>
      <c r="I198" s="121"/>
      <c r="J198" s="121"/>
      <c r="K198" s="121"/>
      <c r="L198" s="121"/>
      <c r="M198" s="121"/>
      <c r="N198" s="268"/>
      <c r="O198" s="130"/>
      <c r="P198" s="130"/>
      <c r="Q198" s="130"/>
    </row>
    <row r="199" spans="1:17">
      <c r="A199" s="196"/>
      <c r="B199" s="124"/>
      <c r="C199" s="124"/>
      <c r="D199" s="124"/>
      <c r="E199" s="124"/>
      <c r="F199" s="124"/>
      <c r="G199" s="124"/>
      <c r="H199" s="124"/>
      <c r="I199" s="121"/>
      <c r="J199" s="121"/>
      <c r="K199" s="121"/>
      <c r="L199" s="121"/>
      <c r="M199" s="121"/>
      <c r="N199" s="268"/>
      <c r="O199" s="130"/>
      <c r="P199" s="130"/>
      <c r="Q199" s="130"/>
    </row>
    <row r="200" spans="1:17">
      <c r="A200" s="196"/>
      <c r="B200" s="124"/>
      <c r="C200" s="124"/>
      <c r="D200" s="124"/>
      <c r="E200" s="124"/>
      <c r="F200" s="124"/>
      <c r="G200" s="124"/>
      <c r="H200" s="124"/>
      <c r="I200" s="121"/>
      <c r="J200" s="121"/>
      <c r="K200" s="121"/>
      <c r="L200" s="121"/>
      <c r="M200" s="121"/>
      <c r="N200" s="268"/>
      <c r="O200" s="130"/>
      <c r="P200" s="130"/>
      <c r="Q200" s="130"/>
    </row>
    <row r="201" spans="1:17">
      <c r="A201" s="196"/>
      <c r="B201" s="124"/>
      <c r="C201" s="124"/>
      <c r="D201" s="124"/>
      <c r="E201" s="124"/>
      <c r="F201" s="124"/>
      <c r="G201" s="124"/>
      <c r="H201" s="124"/>
      <c r="I201" s="121"/>
      <c r="J201" s="121"/>
      <c r="K201" s="121"/>
      <c r="L201" s="121"/>
      <c r="M201" s="121"/>
      <c r="N201" s="268"/>
      <c r="O201" s="130"/>
      <c r="P201" s="130"/>
      <c r="Q201" s="130"/>
    </row>
    <row r="202" spans="1:17">
      <c r="A202" s="196"/>
      <c r="B202" s="124"/>
      <c r="C202" s="124"/>
      <c r="D202" s="124"/>
      <c r="E202" s="124"/>
      <c r="F202" s="124"/>
      <c r="G202" s="124"/>
      <c r="H202" s="124"/>
      <c r="I202" s="121"/>
      <c r="J202" s="121"/>
      <c r="K202" s="121"/>
      <c r="L202" s="121"/>
      <c r="M202" s="121"/>
      <c r="N202" s="268"/>
      <c r="O202" s="130"/>
      <c r="P202" s="130"/>
      <c r="Q202" s="130"/>
    </row>
    <row r="203" spans="1:17">
      <c r="A203" s="196"/>
      <c r="B203" s="124"/>
      <c r="C203" s="124"/>
      <c r="D203" s="124"/>
      <c r="E203" s="124"/>
      <c r="F203" s="124"/>
      <c r="G203" s="124"/>
      <c r="H203" s="124"/>
      <c r="I203" s="121"/>
      <c r="J203" s="121"/>
      <c r="K203" s="121"/>
      <c r="L203" s="121"/>
      <c r="M203" s="121"/>
      <c r="N203" s="268"/>
      <c r="O203" s="130"/>
      <c r="P203" s="130"/>
      <c r="Q203" s="130"/>
    </row>
    <row r="204" spans="1:17">
      <c r="A204" s="196"/>
      <c r="B204" s="124"/>
      <c r="C204" s="124"/>
      <c r="D204" s="124"/>
      <c r="E204" s="124"/>
      <c r="F204" s="124"/>
      <c r="G204" s="124"/>
      <c r="H204" s="124"/>
      <c r="I204" s="121"/>
      <c r="J204" s="121"/>
      <c r="K204" s="121"/>
      <c r="L204" s="121"/>
      <c r="M204" s="121"/>
      <c r="N204" s="268"/>
      <c r="O204" s="130"/>
      <c r="P204" s="130"/>
      <c r="Q204" s="130"/>
    </row>
    <row r="205" spans="1:17">
      <c r="A205" s="196"/>
      <c r="B205" s="124"/>
      <c r="C205" s="124"/>
      <c r="D205" s="124"/>
      <c r="E205" s="124"/>
      <c r="F205" s="124"/>
      <c r="G205" s="124"/>
      <c r="H205" s="124"/>
      <c r="I205" s="121"/>
      <c r="J205" s="121"/>
      <c r="K205" s="121"/>
      <c r="L205" s="121"/>
      <c r="M205" s="121"/>
      <c r="N205" s="268"/>
      <c r="O205" s="130"/>
      <c r="P205" s="130"/>
      <c r="Q205" s="130"/>
    </row>
    <row r="206" spans="1:17">
      <c r="A206" s="196"/>
      <c r="B206" s="124"/>
      <c r="C206" s="124"/>
      <c r="D206" s="124"/>
      <c r="E206" s="124"/>
      <c r="F206" s="124"/>
      <c r="G206" s="124"/>
      <c r="H206" s="124"/>
      <c r="I206" s="121"/>
      <c r="J206" s="121"/>
      <c r="K206" s="121"/>
      <c r="L206" s="121"/>
      <c r="M206" s="121"/>
      <c r="N206" s="268"/>
      <c r="O206" s="130"/>
      <c r="P206" s="130"/>
      <c r="Q206" s="130"/>
    </row>
    <row r="207" spans="1:17">
      <c r="A207" s="196"/>
      <c r="B207" s="124"/>
      <c r="C207" s="124"/>
      <c r="D207" s="124"/>
      <c r="E207" s="124"/>
      <c r="F207" s="124"/>
      <c r="G207" s="124"/>
      <c r="H207" s="124"/>
      <c r="I207" s="121"/>
      <c r="J207" s="121"/>
      <c r="K207" s="121"/>
      <c r="L207" s="121"/>
      <c r="M207" s="121"/>
      <c r="N207" s="268"/>
      <c r="O207" s="130"/>
      <c r="P207" s="130"/>
      <c r="Q207" s="130"/>
    </row>
    <row r="208" spans="1:17">
      <c r="A208" s="196"/>
      <c r="B208" s="124"/>
      <c r="C208" s="124"/>
      <c r="D208" s="124"/>
      <c r="E208" s="124"/>
      <c r="F208" s="124"/>
      <c r="G208" s="124"/>
      <c r="H208" s="124"/>
      <c r="I208" s="121"/>
      <c r="J208" s="121"/>
      <c r="K208" s="121"/>
      <c r="L208" s="121"/>
      <c r="M208" s="121"/>
      <c r="N208" s="268"/>
      <c r="O208" s="130"/>
      <c r="P208" s="130"/>
      <c r="Q208" s="130"/>
    </row>
    <row r="209" spans="1:17">
      <c r="A209" s="196"/>
      <c r="B209" s="124"/>
      <c r="C209" s="124"/>
      <c r="D209" s="124"/>
      <c r="E209" s="124"/>
      <c r="F209" s="124"/>
      <c r="G209" s="124"/>
      <c r="H209" s="124"/>
      <c r="I209" s="121"/>
      <c r="J209" s="121"/>
      <c r="K209" s="121"/>
      <c r="L209" s="121"/>
      <c r="M209" s="121"/>
      <c r="N209" s="268"/>
      <c r="O209" s="130"/>
      <c r="P209" s="130"/>
      <c r="Q209" s="130"/>
    </row>
    <row r="210" spans="1:17">
      <c r="A210" s="196"/>
      <c r="B210" s="124"/>
      <c r="C210" s="124"/>
      <c r="D210" s="124"/>
      <c r="E210" s="124"/>
      <c r="F210" s="124"/>
      <c r="G210" s="124"/>
      <c r="H210" s="124"/>
      <c r="I210" s="121"/>
      <c r="J210" s="121"/>
      <c r="K210" s="121"/>
      <c r="L210" s="121"/>
      <c r="M210" s="121"/>
      <c r="N210" s="268"/>
      <c r="O210" s="130"/>
      <c r="P210" s="130"/>
      <c r="Q210" s="130"/>
    </row>
    <row r="211" spans="1:17">
      <c r="A211" s="196"/>
      <c r="B211" s="124"/>
      <c r="C211" s="124"/>
      <c r="D211" s="124"/>
      <c r="E211" s="124"/>
      <c r="F211" s="124"/>
      <c r="G211" s="124"/>
      <c r="H211" s="124"/>
      <c r="I211" s="121"/>
      <c r="J211" s="121"/>
      <c r="K211" s="121"/>
      <c r="L211" s="121"/>
      <c r="M211" s="121"/>
      <c r="N211" s="268"/>
      <c r="O211" s="130"/>
      <c r="P211" s="130"/>
      <c r="Q211" s="130"/>
    </row>
    <row r="212" spans="1:17">
      <c r="A212" s="196"/>
      <c r="B212" s="124"/>
      <c r="C212" s="124"/>
      <c r="D212" s="124"/>
      <c r="E212" s="124"/>
      <c r="F212" s="124"/>
      <c r="G212" s="124"/>
      <c r="H212" s="124"/>
      <c r="I212" s="121"/>
      <c r="J212" s="121"/>
      <c r="K212" s="121"/>
      <c r="L212" s="121"/>
      <c r="M212" s="121"/>
      <c r="N212" s="268"/>
      <c r="O212" s="130"/>
      <c r="P212" s="130"/>
      <c r="Q212" s="130"/>
    </row>
    <row r="213" spans="1:17">
      <c r="A213" s="196"/>
      <c r="B213" s="124"/>
      <c r="C213" s="124"/>
      <c r="D213" s="124"/>
      <c r="E213" s="124"/>
      <c r="F213" s="124"/>
      <c r="G213" s="124"/>
      <c r="H213" s="124"/>
      <c r="I213" s="121"/>
      <c r="J213" s="121"/>
      <c r="K213" s="121"/>
      <c r="L213" s="121"/>
      <c r="M213" s="121"/>
      <c r="N213" s="268"/>
      <c r="O213" s="130"/>
      <c r="P213" s="130"/>
      <c r="Q213" s="130"/>
    </row>
    <row r="214" spans="1:17">
      <c r="A214" s="196"/>
      <c r="B214" s="124"/>
      <c r="C214" s="124"/>
      <c r="D214" s="124"/>
      <c r="E214" s="124"/>
      <c r="F214" s="124"/>
      <c r="G214" s="124"/>
      <c r="H214" s="124"/>
      <c r="I214" s="121"/>
      <c r="J214" s="121"/>
      <c r="K214" s="121"/>
      <c r="L214" s="121"/>
      <c r="M214" s="121"/>
      <c r="N214" s="268"/>
      <c r="O214" s="130"/>
      <c r="P214" s="130"/>
      <c r="Q214" s="130"/>
    </row>
    <row r="215" spans="1:17">
      <c r="A215" s="196"/>
      <c r="B215" s="124"/>
      <c r="C215" s="124"/>
      <c r="D215" s="124"/>
      <c r="E215" s="124"/>
      <c r="F215" s="124"/>
      <c r="G215" s="124"/>
      <c r="H215" s="124"/>
      <c r="I215" s="121"/>
      <c r="J215" s="121"/>
      <c r="K215" s="121"/>
      <c r="L215" s="121"/>
      <c r="M215" s="121"/>
      <c r="N215" s="268"/>
      <c r="O215" s="130"/>
      <c r="P215" s="130"/>
      <c r="Q215" s="130"/>
    </row>
    <row r="216" spans="1:17">
      <c r="A216" s="196"/>
      <c r="B216" s="124"/>
      <c r="C216" s="124"/>
      <c r="D216" s="124"/>
      <c r="E216" s="124"/>
      <c r="F216" s="124"/>
      <c r="G216" s="124"/>
      <c r="H216" s="124"/>
      <c r="I216" s="121"/>
      <c r="J216" s="121"/>
      <c r="K216" s="121"/>
      <c r="L216" s="121"/>
      <c r="M216" s="121"/>
      <c r="N216" s="268"/>
      <c r="O216" s="130"/>
      <c r="P216" s="130"/>
      <c r="Q216" s="130"/>
    </row>
    <row r="217" spans="1:17">
      <c r="A217" s="196"/>
      <c r="B217" s="124"/>
      <c r="C217" s="124"/>
      <c r="D217" s="124"/>
      <c r="E217" s="124"/>
      <c r="F217" s="124"/>
      <c r="G217" s="124"/>
      <c r="H217" s="124"/>
      <c r="I217" s="121"/>
      <c r="J217" s="121"/>
      <c r="K217" s="121"/>
      <c r="L217" s="121"/>
      <c r="M217" s="121"/>
      <c r="N217" s="268"/>
      <c r="O217" s="130"/>
      <c r="P217" s="130"/>
      <c r="Q217" s="130"/>
    </row>
    <row r="218" spans="1:17">
      <c r="A218" s="196"/>
      <c r="B218" s="124"/>
      <c r="C218" s="124"/>
      <c r="D218" s="124"/>
      <c r="E218" s="124"/>
      <c r="F218" s="124"/>
      <c r="G218" s="124"/>
      <c r="H218" s="124"/>
      <c r="I218" s="121"/>
      <c r="J218" s="121"/>
      <c r="K218" s="121"/>
      <c r="L218" s="121"/>
      <c r="M218" s="121"/>
      <c r="N218" s="268"/>
      <c r="O218" s="130"/>
      <c r="P218" s="130"/>
      <c r="Q218" s="130"/>
    </row>
    <row r="219" spans="1:17">
      <c r="A219" s="196"/>
      <c r="B219" s="124"/>
      <c r="C219" s="124"/>
      <c r="D219" s="124"/>
      <c r="E219" s="124"/>
      <c r="F219" s="124"/>
      <c r="G219" s="124"/>
      <c r="H219" s="124"/>
      <c r="I219" s="121"/>
      <c r="J219" s="121"/>
      <c r="K219" s="121"/>
      <c r="L219" s="121"/>
      <c r="M219" s="121"/>
      <c r="N219" s="268"/>
      <c r="O219" s="130"/>
      <c r="P219" s="130"/>
      <c r="Q219" s="130"/>
    </row>
    <row r="220" spans="1:17">
      <c r="A220" s="196"/>
      <c r="B220" s="124"/>
      <c r="C220" s="124"/>
      <c r="D220" s="124"/>
      <c r="E220" s="124"/>
      <c r="F220" s="124"/>
      <c r="G220" s="124"/>
      <c r="H220" s="124"/>
      <c r="I220" s="121"/>
      <c r="J220" s="121"/>
      <c r="K220" s="121"/>
      <c r="L220" s="121"/>
      <c r="M220" s="121"/>
      <c r="N220" s="268"/>
      <c r="O220" s="130"/>
      <c r="P220" s="130"/>
      <c r="Q220" s="130"/>
    </row>
    <row r="221" spans="1:17">
      <c r="A221" s="196"/>
      <c r="B221" s="124"/>
      <c r="C221" s="124"/>
      <c r="D221" s="124"/>
      <c r="E221" s="124"/>
      <c r="F221" s="124"/>
      <c r="G221" s="124"/>
      <c r="H221" s="124"/>
      <c r="I221" s="121"/>
      <c r="J221" s="121"/>
      <c r="K221" s="121"/>
      <c r="L221" s="121"/>
      <c r="M221" s="121"/>
      <c r="N221" s="268"/>
      <c r="O221" s="130"/>
      <c r="P221" s="130"/>
      <c r="Q221" s="130"/>
    </row>
    <row r="222" spans="1:17">
      <c r="A222" s="196"/>
      <c r="B222" s="124"/>
      <c r="C222" s="124"/>
      <c r="D222" s="124"/>
      <c r="E222" s="124"/>
      <c r="F222" s="124"/>
      <c r="G222" s="124"/>
      <c r="H222" s="124"/>
      <c r="I222" s="121"/>
      <c r="J222" s="121"/>
      <c r="K222" s="121"/>
      <c r="L222" s="121"/>
      <c r="M222" s="121"/>
      <c r="N222" s="268"/>
      <c r="O222" s="130"/>
      <c r="P222" s="130"/>
      <c r="Q222" s="130"/>
    </row>
    <row r="223" spans="1:17">
      <c r="A223" s="196"/>
      <c r="B223" s="124"/>
      <c r="C223" s="124"/>
      <c r="D223" s="124"/>
      <c r="E223" s="124"/>
      <c r="F223" s="124"/>
      <c r="G223" s="124"/>
      <c r="H223" s="124"/>
      <c r="I223" s="121"/>
      <c r="J223" s="121"/>
      <c r="K223" s="121"/>
      <c r="L223" s="121"/>
      <c r="M223" s="121"/>
      <c r="N223" s="268"/>
      <c r="O223" s="130"/>
      <c r="P223" s="130"/>
      <c r="Q223" s="130"/>
    </row>
    <row r="224" spans="1:17">
      <c r="A224" s="196"/>
      <c r="B224" s="124"/>
      <c r="C224" s="124"/>
      <c r="D224" s="124"/>
      <c r="E224" s="124"/>
      <c r="F224" s="124"/>
      <c r="G224" s="124"/>
      <c r="H224" s="124"/>
      <c r="I224" s="121"/>
      <c r="J224" s="121"/>
      <c r="K224" s="121"/>
      <c r="L224" s="121"/>
      <c r="M224" s="121"/>
      <c r="N224" s="268"/>
      <c r="O224" s="130"/>
      <c r="P224" s="130"/>
      <c r="Q224" s="130"/>
    </row>
    <row r="225" spans="1:17">
      <c r="A225" s="196"/>
      <c r="B225" s="124"/>
      <c r="C225" s="124"/>
      <c r="D225" s="124"/>
      <c r="E225" s="124"/>
      <c r="F225" s="124"/>
      <c r="G225" s="124"/>
      <c r="H225" s="124"/>
      <c r="I225" s="121"/>
      <c r="J225" s="121"/>
      <c r="K225" s="121"/>
      <c r="L225" s="121"/>
      <c r="M225" s="121"/>
      <c r="N225" s="268"/>
      <c r="O225" s="130"/>
      <c r="P225" s="130"/>
      <c r="Q225" s="130"/>
    </row>
    <row r="226" spans="1:17">
      <c r="A226" s="196"/>
      <c r="B226" s="124"/>
      <c r="C226" s="124"/>
      <c r="D226" s="124"/>
      <c r="E226" s="124"/>
      <c r="F226" s="124"/>
      <c r="G226" s="124"/>
      <c r="H226" s="124"/>
      <c r="I226" s="121"/>
      <c r="J226" s="121"/>
      <c r="K226" s="121"/>
      <c r="L226" s="121"/>
      <c r="M226" s="121"/>
      <c r="N226" s="268"/>
      <c r="O226" s="130"/>
      <c r="P226" s="130"/>
      <c r="Q226" s="130"/>
    </row>
    <row r="227" spans="1:17">
      <c r="A227" s="196"/>
      <c r="B227" s="124"/>
      <c r="C227" s="124"/>
      <c r="D227" s="124"/>
      <c r="E227" s="124"/>
      <c r="F227" s="124"/>
      <c r="G227" s="124"/>
      <c r="H227" s="124"/>
      <c r="I227" s="121"/>
      <c r="J227" s="121"/>
      <c r="K227" s="121"/>
      <c r="L227" s="121"/>
      <c r="M227" s="121"/>
      <c r="N227" s="268"/>
      <c r="O227" s="130"/>
      <c r="P227" s="130"/>
      <c r="Q227" s="130"/>
    </row>
    <row r="228" spans="1:17">
      <c r="A228" s="196"/>
      <c r="B228" s="124"/>
      <c r="C228" s="124"/>
      <c r="D228" s="124"/>
      <c r="E228" s="124"/>
      <c r="F228" s="124"/>
      <c r="G228" s="124"/>
      <c r="H228" s="124"/>
      <c r="I228" s="121"/>
      <c r="J228" s="121"/>
      <c r="K228" s="121"/>
      <c r="L228" s="121"/>
      <c r="M228" s="121"/>
      <c r="N228" s="268"/>
      <c r="O228" s="130"/>
      <c r="P228" s="130"/>
      <c r="Q228" s="130"/>
    </row>
    <row r="229" spans="1:17">
      <c r="A229" s="196"/>
      <c r="B229" s="124"/>
      <c r="C229" s="124"/>
      <c r="D229" s="124"/>
      <c r="E229" s="124"/>
      <c r="F229" s="124"/>
      <c r="G229" s="124"/>
      <c r="H229" s="124"/>
      <c r="I229" s="121"/>
      <c r="J229" s="121"/>
      <c r="K229" s="121"/>
      <c r="L229" s="121"/>
      <c r="M229" s="121"/>
      <c r="N229" s="268"/>
      <c r="O229" s="130"/>
      <c r="P229" s="130"/>
      <c r="Q229" s="130"/>
    </row>
    <row r="230" spans="1:17">
      <c r="A230" s="196"/>
      <c r="B230" s="124"/>
      <c r="C230" s="124"/>
      <c r="D230" s="124"/>
      <c r="E230" s="124"/>
      <c r="F230" s="124"/>
      <c r="G230" s="124"/>
      <c r="H230" s="124"/>
      <c r="I230" s="121"/>
      <c r="J230" s="121"/>
      <c r="K230" s="121"/>
      <c r="L230" s="121"/>
      <c r="M230" s="121"/>
      <c r="N230" s="268"/>
      <c r="O230" s="130"/>
      <c r="P230" s="130"/>
      <c r="Q230" s="130"/>
    </row>
    <row r="231" spans="1:17">
      <c r="A231" s="196"/>
      <c r="B231" s="124"/>
      <c r="C231" s="124"/>
      <c r="D231" s="124"/>
      <c r="E231" s="124"/>
      <c r="F231" s="124"/>
      <c r="G231" s="124"/>
      <c r="H231" s="124"/>
      <c r="I231" s="121"/>
      <c r="J231" s="121"/>
      <c r="K231" s="121"/>
      <c r="L231" s="121"/>
      <c r="M231" s="121"/>
      <c r="N231" s="268"/>
      <c r="O231" s="130"/>
      <c r="P231" s="130"/>
      <c r="Q231" s="130"/>
    </row>
    <row r="232" spans="1:17">
      <c r="A232" s="196"/>
      <c r="B232" s="124"/>
      <c r="C232" s="124"/>
      <c r="D232" s="124"/>
      <c r="E232" s="124"/>
      <c r="F232" s="124"/>
      <c r="G232" s="124"/>
      <c r="H232" s="124"/>
      <c r="I232" s="121"/>
      <c r="J232" s="121"/>
      <c r="K232" s="121"/>
      <c r="L232" s="121"/>
      <c r="M232" s="121"/>
      <c r="N232" s="268"/>
      <c r="O232" s="130"/>
      <c r="P232" s="130"/>
      <c r="Q232" s="130"/>
    </row>
    <row r="233" spans="1:17">
      <c r="A233" s="196"/>
      <c r="B233" s="124"/>
      <c r="C233" s="124"/>
      <c r="D233" s="124"/>
      <c r="E233" s="124"/>
      <c r="F233" s="124"/>
      <c r="G233" s="124"/>
      <c r="H233" s="124"/>
      <c r="I233" s="121"/>
      <c r="J233" s="121"/>
      <c r="K233" s="121"/>
      <c r="L233" s="121"/>
      <c r="M233" s="121"/>
      <c r="N233" s="268"/>
      <c r="O233" s="130"/>
      <c r="P233" s="130"/>
      <c r="Q233" s="130"/>
    </row>
    <row r="234" spans="1:17">
      <c r="A234" s="196"/>
      <c r="B234" s="124"/>
      <c r="C234" s="124"/>
      <c r="D234" s="124"/>
      <c r="E234" s="124"/>
      <c r="F234" s="124"/>
      <c r="G234" s="124"/>
      <c r="H234" s="124"/>
      <c r="I234" s="121"/>
      <c r="J234" s="121"/>
      <c r="K234" s="121"/>
      <c r="L234" s="121"/>
      <c r="M234" s="121"/>
      <c r="N234" s="268"/>
      <c r="O234" s="130"/>
      <c r="P234" s="130"/>
      <c r="Q234" s="130"/>
    </row>
    <row r="235" spans="1:17">
      <c r="A235" s="196"/>
      <c r="B235" s="124"/>
      <c r="C235" s="124"/>
      <c r="D235" s="124"/>
      <c r="E235" s="124"/>
      <c r="F235" s="124"/>
      <c r="G235" s="124"/>
      <c r="H235" s="124"/>
      <c r="I235" s="121"/>
      <c r="J235" s="121"/>
      <c r="K235" s="121"/>
      <c r="L235" s="121"/>
      <c r="M235" s="121"/>
      <c r="N235" s="268"/>
      <c r="O235" s="130"/>
      <c r="P235" s="130"/>
      <c r="Q235" s="130"/>
    </row>
    <row r="236" spans="1:17">
      <c r="A236" s="196"/>
      <c r="B236" s="124"/>
      <c r="C236" s="124"/>
      <c r="D236" s="124"/>
      <c r="E236" s="124"/>
      <c r="F236" s="124"/>
      <c r="G236" s="124"/>
      <c r="H236" s="124"/>
      <c r="I236" s="121"/>
      <c r="J236" s="121"/>
      <c r="K236" s="121"/>
      <c r="L236" s="121"/>
      <c r="M236" s="121"/>
      <c r="N236" s="268"/>
      <c r="O236" s="130"/>
      <c r="P236" s="130"/>
      <c r="Q236" s="130"/>
    </row>
    <row r="237" spans="1:17">
      <c r="A237" s="196"/>
      <c r="B237" s="124"/>
      <c r="C237" s="124"/>
      <c r="D237" s="124"/>
      <c r="E237" s="124"/>
      <c r="F237" s="124"/>
      <c r="G237" s="124"/>
      <c r="H237" s="124"/>
      <c r="I237" s="121"/>
      <c r="J237" s="121"/>
      <c r="K237" s="121"/>
      <c r="L237" s="121"/>
      <c r="M237" s="121"/>
      <c r="N237" s="268"/>
      <c r="O237" s="130"/>
      <c r="P237" s="130"/>
      <c r="Q237" s="130"/>
    </row>
    <row r="238" spans="1:17">
      <c r="A238" s="196"/>
      <c r="B238" s="124"/>
      <c r="C238" s="124"/>
      <c r="D238" s="124"/>
      <c r="E238" s="124"/>
      <c r="F238" s="124"/>
      <c r="G238" s="124"/>
      <c r="H238" s="124"/>
      <c r="I238" s="121"/>
      <c r="J238" s="121"/>
      <c r="K238" s="121"/>
      <c r="L238" s="121"/>
      <c r="M238" s="121"/>
      <c r="N238" s="268"/>
      <c r="O238" s="130"/>
      <c r="P238" s="130"/>
      <c r="Q238" s="130"/>
    </row>
    <row r="239" spans="1:17">
      <c r="A239" s="196"/>
      <c r="B239" s="124"/>
      <c r="C239" s="124"/>
      <c r="D239" s="124"/>
      <c r="E239" s="124"/>
      <c r="F239" s="124"/>
      <c r="G239" s="124"/>
      <c r="H239" s="124"/>
      <c r="I239" s="121"/>
      <c r="J239" s="121"/>
      <c r="K239" s="121"/>
      <c r="L239" s="121"/>
      <c r="M239" s="121"/>
      <c r="N239" s="268"/>
      <c r="O239" s="130"/>
      <c r="P239" s="130"/>
      <c r="Q239" s="130"/>
    </row>
    <row r="240" spans="1:17">
      <c r="A240" s="196"/>
      <c r="B240" s="124"/>
      <c r="C240" s="124"/>
      <c r="D240" s="124"/>
      <c r="E240" s="124"/>
      <c r="F240" s="124"/>
      <c r="G240" s="124"/>
      <c r="H240" s="124"/>
      <c r="I240" s="121"/>
      <c r="J240" s="121"/>
      <c r="K240" s="121"/>
      <c r="L240" s="121"/>
      <c r="M240" s="121"/>
      <c r="N240" s="268"/>
      <c r="O240" s="130"/>
      <c r="P240" s="130"/>
      <c r="Q240" s="130"/>
    </row>
    <row r="241" spans="1:14">
      <c r="A241" s="196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07"/>
    </row>
    <row r="242" spans="1:14">
      <c r="A242" s="196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07"/>
    </row>
    <row r="243" spans="1:14">
      <c r="A243" s="196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07"/>
    </row>
    <row r="244" spans="1:14">
      <c r="A244" s="196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07"/>
    </row>
    <row r="245" spans="1:14">
      <c r="A245" s="196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07"/>
    </row>
    <row r="246" spans="1:14">
      <c r="A246" s="196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07"/>
    </row>
    <row r="247" spans="1:14">
      <c r="A247" s="125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</row>
    <row r="248" spans="1:14">
      <c r="A248" s="125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</row>
    <row r="249" spans="1:14">
      <c r="A249" s="125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</row>
    <row r="250" spans="1:14">
      <c r="A250" s="125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</row>
    <row r="251" spans="1:14">
      <c r="A251" s="125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</row>
    <row r="252" spans="1:14">
      <c r="A252" s="125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</row>
    <row r="253" spans="1:14">
      <c r="A253" s="125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</row>
    <row r="254" spans="1:14">
      <c r="A254" s="125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</row>
    <row r="255" spans="1:14">
      <c r="A255" s="125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</row>
    <row r="256" spans="1:14">
      <c r="A256" s="125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</row>
    <row r="257" spans="1:12">
      <c r="A257" s="125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</row>
    <row r="258" spans="1:12">
      <c r="A258" s="125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</row>
    <row r="259" spans="1:12">
      <c r="A259" s="125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</row>
    <row r="260" spans="1:12">
      <c r="A260" s="125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</row>
    <row r="261" spans="1:12"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</row>
    <row r="262" spans="1:12"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</row>
    <row r="263" spans="1:12"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</row>
    <row r="264" spans="1:12"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</row>
    <row r="265" spans="1:12"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</row>
    <row r="266" spans="1:12"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</row>
    <row r="267" spans="1:12"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</row>
    <row r="268" spans="1:12"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</row>
    <row r="269" spans="1:12"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</row>
    <row r="270" spans="1:12"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</row>
    <row r="271" spans="1:12"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</row>
    <row r="272" spans="1:12"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</row>
    <row r="273" spans="2:12"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</row>
    <row r="274" spans="2:12"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</row>
    <row r="275" spans="2:12"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</row>
    <row r="276" spans="2:12"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</row>
    <row r="277" spans="2:12"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</row>
    <row r="278" spans="2:12"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</row>
    <row r="279" spans="2:12"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</row>
    <row r="280" spans="2:12"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</row>
    <row r="281" spans="2:12"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</row>
    <row r="282" spans="2:12"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</row>
    <row r="283" spans="2:12"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</row>
    <row r="284" spans="2:12"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</row>
    <row r="285" spans="2:12"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</row>
    <row r="286" spans="2:12"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</row>
    <row r="287" spans="2:12"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</row>
  </sheetData>
  <mergeCells count="4">
    <mergeCell ref="A4:A5"/>
    <mergeCell ref="A3:N3"/>
    <mergeCell ref="A2:P2"/>
    <mergeCell ref="A1:P1"/>
  </mergeCells>
  <pageMargins left="0.18" right="0.22" top="0.42" bottom="0.3" header="0.3" footer="0.17"/>
  <pageSetup paperSize="9" scale="69" orientation="landscape" horizontalDpi="4294967295" verticalDpi="4294967295" r:id="rId1"/>
  <rowBreaks count="2" manualBreakCount="2">
    <brk id="54" max="15" man="1"/>
    <brk id="109" max="1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09"/>
      <c r="S1" s="309"/>
      <c r="T1" s="309"/>
      <c r="U1" s="309"/>
    </row>
    <row r="3" spans="1:21">
      <c r="B3" s="310" t="s">
        <v>145</v>
      </c>
      <c r="C3" s="311"/>
      <c r="D3" s="311"/>
      <c r="E3" s="311"/>
      <c r="F3" s="311"/>
      <c r="G3" s="311"/>
      <c r="H3" s="4"/>
      <c r="I3" s="4"/>
      <c r="J3" s="4"/>
      <c r="K3" s="4"/>
      <c r="L3" s="4"/>
    </row>
    <row r="4" spans="1:21">
      <c r="B4" s="174">
        <v>2007</v>
      </c>
      <c r="C4" s="175">
        <v>2008</v>
      </c>
      <c r="D4" s="175">
        <v>2009</v>
      </c>
      <c r="E4" s="175">
        <v>2010</v>
      </c>
      <c r="F4" s="175">
        <v>2011</v>
      </c>
      <c r="G4" s="175">
        <v>2012</v>
      </c>
      <c r="H4" s="177">
        <v>2013</v>
      </c>
      <c r="I4" s="177">
        <v>2014</v>
      </c>
      <c r="J4" s="175">
        <v>2015</v>
      </c>
      <c r="K4" s="265" t="s">
        <v>267</v>
      </c>
      <c r="L4" s="265" t="s">
        <v>268</v>
      </c>
      <c r="M4" s="265" t="s">
        <v>269</v>
      </c>
      <c r="N4" s="265" t="s">
        <v>270</v>
      </c>
      <c r="O4" s="265" t="s">
        <v>281</v>
      </c>
    </row>
    <row r="5" spans="1:21">
      <c r="A5" s="7" t="s">
        <v>23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66"/>
      <c r="L5" s="266"/>
      <c r="M5" s="266"/>
      <c r="N5" s="266"/>
      <c r="O5" s="266"/>
    </row>
    <row r="6" spans="1:21">
      <c r="A6" s="7" t="s">
        <v>35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66"/>
      <c r="L6" s="266"/>
      <c r="M6" s="266"/>
      <c r="N6" s="266"/>
      <c r="O6" s="266"/>
    </row>
    <row r="7" spans="1:21">
      <c r="A7" s="7" t="s">
        <v>44</v>
      </c>
      <c r="B7" s="8">
        <f>'[1]13.7'!B20</f>
        <v>329.9</v>
      </c>
      <c r="C7" s="8">
        <f>'[1]13.7'!C20</f>
        <v>937.10000000000014</v>
      </c>
      <c r="D7" s="176">
        <f>'[1]13.7'!H20</f>
        <v>581.73487699999998</v>
      </c>
      <c r="E7" s="176">
        <f>'[1]13.7'!I20</f>
        <v>174.8779509</v>
      </c>
      <c r="F7" s="176">
        <f>'[1]13.7'!J20</f>
        <v>919.10181</v>
      </c>
      <c r="G7" s="176">
        <f>'[1]13.7'!K20</f>
        <v>662.15555800000004</v>
      </c>
      <c r="H7" s="176">
        <v>522.22979633</v>
      </c>
      <c r="I7" s="176">
        <v>750.4553719999999</v>
      </c>
      <c r="J7" s="176">
        <v>870.97274229999994</v>
      </c>
      <c r="K7" s="267"/>
      <c r="L7" s="267"/>
      <c r="M7" s="267"/>
      <c r="N7" s="267"/>
      <c r="O7" s="267"/>
    </row>
    <row r="34" spans="1:15">
      <c r="B34" s="310" t="s">
        <v>18</v>
      </c>
      <c r="C34" s="311"/>
      <c r="D34" s="311"/>
      <c r="E34" s="311"/>
      <c r="F34" s="311"/>
      <c r="G34" s="311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75">
        <v>2015</v>
      </c>
      <c r="K35" s="265" t="s">
        <v>267</v>
      </c>
      <c r="L35" s="265" t="s">
        <v>268</v>
      </c>
      <c r="M35" s="265" t="s">
        <v>269</v>
      </c>
      <c r="N35" s="265" t="s">
        <v>270</v>
      </c>
      <c r="O35" s="265" t="s">
        <v>281</v>
      </c>
    </row>
    <row r="36" spans="1:15">
      <c r="A36" s="7" t="s">
        <v>23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66"/>
      <c r="L36" s="266"/>
      <c r="M36" s="266"/>
      <c r="N36" s="266"/>
      <c r="O36" s="266"/>
    </row>
    <row r="37" spans="1:15">
      <c r="A37" s="7" t="s">
        <v>35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66"/>
      <c r="L37" s="266"/>
      <c r="M37" s="266"/>
      <c r="N37" s="266"/>
      <c r="O37" s="266"/>
    </row>
    <row r="38" spans="1:15">
      <c r="A38" s="7" t="s">
        <v>44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66"/>
      <c r="L38" s="266"/>
      <c r="M38" s="266"/>
      <c r="N38" s="266"/>
      <c r="O38" s="266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13.5</vt:lpstr>
      <vt:lpstr>13.6</vt:lpstr>
      <vt:lpstr>13.7</vt:lpstr>
      <vt:lpstr>13.9</vt:lpstr>
      <vt:lpstr>Fig 1.5 &amp; 1.6</vt:lpstr>
      <vt:lpstr>'13.5'!Print_Area</vt:lpstr>
      <vt:lpstr>'13.6'!Print_Area</vt:lpstr>
      <vt:lpstr>'13.7'!Print_Area</vt:lpstr>
      <vt:lpstr>'13.9'!Print_Area</vt:lpstr>
      <vt:lpstr>'Fig 1.5 &amp; 1.6'!Print_Area</vt:lpstr>
      <vt:lpstr>'13.9'!Print_Titles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2018-04-17T05:56:48Z</cp:lastPrinted>
  <dcterms:created xsi:type="dcterms:W3CDTF">2014-03-06T08:38:12Z</dcterms:created>
  <dcterms:modified xsi:type="dcterms:W3CDTF">2018-04-17T05:56:57Z</dcterms:modified>
</cp:coreProperties>
</file>