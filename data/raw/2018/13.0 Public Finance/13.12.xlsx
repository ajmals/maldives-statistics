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harts/chart1.xml" ContentType="application/vnd.openxmlformats-officedocument.drawingml.chart+xml"/>
  <Override PartName="/xl/drawings/drawing4.xml" ContentType="application/vnd.openxmlformats-officedocument.drawingml.chartshapes+xml"/>
  <Override PartName="/xl/charts/chart2.xml" ContentType="application/vnd.openxmlformats-officedocument.drawingml.chart+xml"/>
  <Override PartName="/xl/drawings/drawing5.xml" ContentType="application/vnd.openxmlformats-officedocument.drawingml.chartshapes+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24226"/>
  <mc:AlternateContent xmlns:mc="http://schemas.openxmlformats.org/markup-compatibility/2006">
    <mc:Choice Requires="x15">
      <x15ac:absPath xmlns:x15ac="http://schemas.microsoft.com/office/spreadsheetml/2010/11/ac" url="Z:\Dissemination\Publications\Statistical Year Book\YEARBOOK 2018\FINAL\web\New folder\13. PUBLIC FINANCE\"/>
    </mc:Choice>
  </mc:AlternateContent>
  <bookViews>
    <workbookView xWindow="0" yWindow="0" windowWidth="28800" windowHeight="12330" tabRatio="688" firstSheet="4" activeTab="4"/>
  </bookViews>
  <sheets>
    <sheet name="13.5" sheetId="14" state="hidden" r:id="rId1"/>
    <sheet name="13.6" sheetId="16" state="hidden" r:id="rId2"/>
    <sheet name="13.7" sheetId="15" state="hidden" r:id="rId3"/>
    <sheet name="Fig 1.5 &amp; 1.6" sheetId="17" state="hidden" r:id="rId4"/>
    <sheet name="13.12" sheetId="26" r:id="rId5"/>
  </sheets>
  <externalReferences>
    <externalReference r:id="rId6"/>
  </externalReferences>
  <definedNames>
    <definedName name="_xlnm.Print_Area" localSheetId="4">'13.12'!$A$1:$R$52</definedName>
    <definedName name="_xlnm.Print_Area" localSheetId="0">'13.5'!$A$1:$T$34</definedName>
    <definedName name="_xlnm.Print_Area" localSheetId="1">'13.6'!$A$1:$Y$37</definedName>
    <definedName name="_xlnm.Print_Area" localSheetId="2">'13.7'!$A$1:$Z$34</definedName>
    <definedName name="_xlnm.Print_Area" localSheetId="3">'Fig 1.5 &amp; 1.6'!$A$1:$O$62</definedName>
  </definedNames>
  <calcPr calcId="162913"/>
</workbook>
</file>

<file path=xl/calcChain.xml><?xml version="1.0" encoding="utf-8"?>
<calcChain xmlns="http://schemas.openxmlformats.org/spreadsheetml/2006/main">
  <c r="P34" i="26" l="1"/>
  <c r="P33" i="26"/>
  <c r="P29" i="26"/>
  <c r="P24" i="26"/>
  <c r="P22" i="26"/>
  <c r="P21" i="26"/>
  <c r="P19" i="26"/>
  <c r="P17" i="26"/>
  <c r="P16" i="26"/>
  <c r="P15" i="26"/>
  <c r="P12" i="26"/>
  <c r="P11" i="26"/>
  <c r="P10" i="26"/>
  <c r="P18" i="26" l="1"/>
  <c r="P20" i="26"/>
  <c r="P25" i="26"/>
  <c r="P26" i="26"/>
  <c r="P27" i="26"/>
  <c r="P30" i="26"/>
  <c r="P31" i="26"/>
  <c r="P32" i="26"/>
  <c r="P8" i="26"/>
  <c r="N10" i="26"/>
  <c r="N11" i="26"/>
  <c r="N12" i="26"/>
  <c r="N13" i="26"/>
  <c r="N14" i="26"/>
  <c r="N15" i="26"/>
  <c r="N16" i="26"/>
  <c r="N17" i="26"/>
  <c r="N18" i="26"/>
  <c r="N19" i="26"/>
  <c r="N20" i="26"/>
  <c r="N21" i="26"/>
  <c r="N22" i="26"/>
  <c r="N23" i="26"/>
  <c r="N24" i="26"/>
  <c r="N25" i="26"/>
  <c r="N26" i="26"/>
  <c r="N27" i="26"/>
  <c r="N28" i="26"/>
  <c r="N29" i="26"/>
  <c r="N30" i="26"/>
  <c r="N31" i="26"/>
  <c r="N32" i="26"/>
  <c r="N33" i="26"/>
  <c r="N34" i="26"/>
  <c r="N9" i="26"/>
  <c r="N8" i="26"/>
  <c r="K34" i="26"/>
  <c r="J34" i="26"/>
  <c r="H34" i="26"/>
  <c r="G34" i="26"/>
  <c r="M34" i="26" s="1"/>
  <c r="F34" i="26"/>
  <c r="O34" i="26" s="1"/>
  <c r="E34" i="26"/>
  <c r="K30" i="26" s="1"/>
  <c r="D34" i="26"/>
  <c r="J33" i="26" s="1"/>
  <c r="C34" i="26"/>
  <c r="I32" i="26" s="1"/>
  <c r="B34" i="26"/>
  <c r="O33" i="26"/>
  <c r="M33" i="26"/>
  <c r="K33" i="26"/>
  <c r="I33" i="26"/>
  <c r="O32" i="26"/>
  <c r="K32" i="26"/>
  <c r="O31" i="26"/>
  <c r="M31" i="26"/>
  <c r="L31" i="26"/>
  <c r="K31" i="26"/>
  <c r="J31" i="26"/>
  <c r="O30" i="26"/>
  <c r="M30" i="26"/>
  <c r="O29" i="26"/>
  <c r="M29" i="26"/>
  <c r="J29" i="26"/>
  <c r="O28" i="26"/>
  <c r="L28" i="26"/>
  <c r="O27" i="26"/>
  <c r="M27" i="26"/>
  <c r="L27" i="26"/>
  <c r="O26" i="26"/>
  <c r="M26" i="26"/>
  <c r="L26" i="26"/>
  <c r="O25" i="26"/>
  <c r="M25" i="26"/>
  <c r="L25" i="26"/>
  <c r="O24" i="26"/>
  <c r="M24" i="26"/>
  <c r="L24" i="26"/>
  <c r="K24" i="26"/>
  <c r="J24" i="26"/>
  <c r="O23" i="26"/>
  <c r="M23" i="26"/>
  <c r="J23" i="26"/>
  <c r="O22" i="26"/>
  <c r="L22" i="26"/>
  <c r="O21" i="26"/>
  <c r="M21" i="26"/>
  <c r="K21" i="26"/>
  <c r="I21" i="26"/>
  <c r="O20" i="26"/>
  <c r="M20" i="26"/>
  <c r="O19" i="26"/>
  <c r="M19" i="26"/>
  <c r="L19" i="26"/>
  <c r="M18" i="26"/>
  <c r="M17" i="26"/>
  <c r="K17" i="26"/>
  <c r="I17" i="26"/>
  <c r="O16" i="26"/>
  <c r="M16" i="26"/>
  <c r="K16" i="26"/>
  <c r="I16" i="26"/>
  <c r="O15" i="26"/>
  <c r="M15" i="26"/>
  <c r="L15" i="26"/>
  <c r="K15" i="26"/>
  <c r="O14" i="26"/>
  <c r="M14" i="26"/>
  <c r="L14" i="26"/>
  <c r="K14" i="26"/>
  <c r="O13" i="26"/>
  <c r="M13" i="26"/>
  <c r="L13" i="26"/>
  <c r="K13" i="26"/>
  <c r="O12" i="26"/>
  <c r="M12" i="26"/>
  <c r="L12" i="26"/>
  <c r="K12" i="26"/>
  <c r="J12" i="26"/>
  <c r="I12" i="26"/>
  <c r="O11" i="26"/>
  <c r="M11" i="26"/>
  <c r="L11" i="26"/>
  <c r="K11" i="26"/>
  <c r="J11" i="26"/>
  <c r="I11" i="26"/>
  <c r="O10" i="26"/>
  <c r="M10" i="26"/>
  <c r="L10" i="26"/>
  <c r="K10" i="26"/>
  <c r="J10" i="26"/>
  <c r="I10" i="26"/>
  <c r="O9" i="26"/>
  <c r="M9" i="26"/>
  <c r="L9" i="26"/>
  <c r="K9" i="26"/>
  <c r="O8" i="26"/>
  <c r="M8" i="26"/>
  <c r="L8" i="26"/>
  <c r="K8" i="26"/>
  <c r="J8" i="26"/>
  <c r="I8" i="26"/>
  <c r="M22" i="26" l="1"/>
  <c r="M28" i="26"/>
  <c r="M32" i="26"/>
  <c r="J14" i="26"/>
  <c r="L16" i="26"/>
  <c r="L17" i="26"/>
  <c r="L23" i="26"/>
  <c r="J27" i="26"/>
  <c r="L32" i="26"/>
  <c r="L33" i="26"/>
  <c r="J22" i="26"/>
  <c r="J30" i="26"/>
  <c r="J13" i="26"/>
  <c r="J21" i="26"/>
  <c r="J26" i="26"/>
  <c r="L30" i="26"/>
  <c r="J9" i="26"/>
  <c r="L20" i="26"/>
  <c r="L21" i="26"/>
  <c r="I24" i="26"/>
  <c r="J25" i="26"/>
  <c r="L29" i="26"/>
  <c r="I34" i="26"/>
  <c r="J15" i="26"/>
  <c r="J16" i="26"/>
  <c r="J17" i="26"/>
  <c r="J19" i="26"/>
  <c r="J28" i="26"/>
  <c r="J32" i="26"/>
  <c r="I19" i="26"/>
  <c r="I22" i="26"/>
  <c r="I25" i="26"/>
  <c r="L34" i="26"/>
  <c r="I26" i="26"/>
  <c r="K19" i="26"/>
  <c r="K22" i="26"/>
  <c r="K23" i="26"/>
  <c r="K25" i="26"/>
  <c r="I27" i="26"/>
  <c r="I30" i="26"/>
  <c r="I29" i="26"/>
  <c r="K26" i="26"/>
  <c r="K29" i="26"/>
  <c r="I31" i="26"/>
  <c r="I15" i="26"/>
  <c r="K27" i="26"/>
  <c r="K28" i="26"/>
  <c r="S21" i="15" l="1"/>
  <c r="S15" i="15"/>
  <c r="S10" i="15"/>
  <c r="X31" i="15"/>
  <c r="X30" i="15"/>
  <c r="X28" i="15"/>
  <c r="X27" i="15"/>
  <c r="X26" i="15"/>
  <c r="X25" i="15"/>
  <c r="X24" i="15"/>
  <c r="X23" i="15"/>
  <c r="X22" i="15"/>
  <c r="X20" i="15"/>
  <c r="X18" i="15"/>
  <c r="X17" i="15"/>
  <c r="X16" i="15"/>
  <c r="X14" i="15"/>
  <c r="X13" i="15"/>
  <c r="X12" i="15"/>
  <c r="X11" i="15"/>
  <c r="S20" i="16"/>
  <c r="S14" i="16"/>
  <c r="S9" i="16"/>
  <c r="W27" i="16"/>
  <c r="W26" i="16"/>
  <c r="W25" i="16"/>
  <c r="W24" i="16"/>
  <c r="W23" i="16"/>
  <c r="W22" i="16"/>
  <c r="W21" i="16"/>
  <c r="W19" i="16"/>
  <c r="W17" i="16"/>
  <c r="W16" i="16"/>
  <c r="W15" i="16"/>
  <c r="W13" i="16"/>
  <c r="W12" i="16"/>
  <c r="W11" i="16"/>
  <c r="W10" i="16"/>
  <c r="S33" i="14"/>
  <c r="S31" i="14"/>
  <c r="S30" i="14"/>
  <c r="S29" i="14"/>
  <c r="S28" i="14"/>
  <c r="S27" i="14"/>
  <c r="S26" i="14"/>
  <c r="S25" i="14"/>
  <c r="S24" i="14"/>
  <c r="S22" i="14"/>
  <c r="S20" i="14"/>
  <c r="S19" i="14"/>
  <c r="S18" i="14"/>
  <c r="S16" i="14"/>
  <c r="S15" i="14"/>
  <c r="S14" i="14"/>
  <c r="S13" i="14"/>
  <c r="S11" i="14"/>
  <c r="O23" i="14"/>
  <c r="O17" i="14"/>
  <c r="O10" i="14"/>
  <c r="S9" i="15" l="1"/>
  <c r="S8" i="15" s="1"/>
  <c r="S8" i="16"/>
  <c r="R10" i="15" l="1"/>
  <c r="R15" i="15"/>
  <c r="R21" i="15"/>
  <c r="R9" i="16"/>
  <c r="R14" i="16"/>
  <c r="R20" i="16"/>
  <c r="N12" i="14"/>
  <c r="N10" i="14" s="1"/>
  <c r="N17" i="14"/>
  <c r="N23" i="14"/>
  <c r="R9" i="15" l="1"/>
  <c r="R8" i="15" s="1"/>
  <c r="R8" i="16"/>
  <c r="W11" i="15" l="1"/>
  <c r="W12" i="15"/>
  <c r="W13" i="15"/>
  <c r="W14" i="15"/>
  <c r="W16" i="15"/>
  <c r="W17" i="15"/>
  <c r="W18" i="15"/>
  <c r="W20" i="15"/>
  <c r="W22" i="15"/>
  <c r="W23" i="15"/>
  <c r="W24" i="15"/>
  <c r="W25" i="15"/>
  <c r="W26" i="15"/>
  <c r="W27" i="15"/>
  <c r="W28" i="15"/>
  <c r="W30" i="15"/>
  <c r="W31" i="15"/>
  <c r="V10" i="16"/>
  <c r="V11" i="16"/>
  <c r="V12" i="16"/>
  <c r="V13" i="16"/>
  <c r="V15" i="16"/>
  <c r="V16" i="16"/>
  <c r="V17" i="16"/>
  <c r="V19" i="16"/>
  <c r="V21" i="16"/>
  <c r="V22" i="16"/>
  <c r="V23" i="16"/>
  <c r="V24" i="16"/>
  <c r="V25" i="16"/>
  <c r="V26" i="16"/>
  <c r="V27" i="16"/>
  <c r="Q21" i="15" l="1"/>
  <c r="Q15" i="15"/>
  <c r="Q10" i="15"/>
  <c r="Q20" i="16"/>
  <c r="Q14" i="16"/>
  <c r="Q9" i="16"/>
  <c r="I12" i="14"/>
  <c r="M23" i="14"/>
  <c r="M17" i="14"/>
  <c r="M12" i="14"/>
  <c r="M10" i="14" s="1"/>
  <c r="R33" i="14"/>
  <c r="R31" i="14"/>
  <c r="R30" i="14"/>
  <c r="R29" i="14"/>
  <c r="R28" i="14"/>
  <c r="R27" i="14"/>
  <c r="R26" i="14"/>
  <c r="R25" i="14"/>
  <c r="R24" i="14"/>
  <c r="R22" i="14"/>
  <c r="R20" i="14"/>
  <c r="R19" i="14"/>
  <c r="R18" i="14"/>
  <c r="R16" i="14"/>
  <c r="R15" i="14"/>
  <c r="R14" i="14"/>
  <c r="R13" i="14"/>
  <c r="R11" i="14"/>
  <c r="Q9" i="15" l="1"/>
  <c r="Q8" i="15" s="1"/>
  <c r="Q8" i="16"/>
  <c r="C15" i="15" l="1"/>
  <c r="D15" i="15"/>
  <c r="E15" i="15"/>
  <c r="F15" i="15"/>
  <c r="G15" i="15"/>
  <c r="H15" i="15"/>
  <c r="I15" i="15"/>
  <c r="J15" i="15"/>
  <c r="K15" i="15"/>
  <c r="L15" i="15"/>
  <c r="M15" i="15"/>
  <c r="N15" i="15"/>
  <c r="O15" i="15"/>
  <c r="P15" i="15"/>
  <c r="B15" i="15"/>
  <c r="K20" i="16"/>
  <c r="L20" i="16"/>
  <c r="M20" i="16"/>
  <c r="N20" i="16"/>
  <c r="O20" i="16"/>
  <c r="P20" i="16"/>
  <c r="J20" i="16"/>
  <c r="K14" i="16"/>
  <c r="L14" i="16"/>
  <c r="M14" i="16"/>
  <c r="N14" i="16"/>
  <c r="O14" i="16"/>
  <c r="P14" i="16"/>
  <c r="J14" i="16"/>
  <c r="G17" i="14"/>
  <c r="H17" i="14"/>
  <c r="I17" i="14"/>
  <c r="J17" i="14"/>
  <c r="K17" i="14"/>
  <c r="L17" i="14"/>
  <c r="F17" i="14"/>
  <c r="L12" i="14"/>
  <c r="G12" i="14"/>
  <c r="H12" i="14"/>
  <c r="J12" i="14"/>
  <c r="K12" i="14"/>
  <c r="F12" i="14"/>
  <c r="X15" i="15" l="1"/>
  <c r="W20" i="16"/>
  <c r="W14" i="16"/>
  <c r="S12" i="14"/>
  <c r="S17" i="14"/>
  <c r="W15" i="15"/>
  <c r="V20" i="16"/>
  <c r="V14" i="16"/>
  <c r="R12" i="14"/>
  <c r="R17" i="14"/>
  <c r="P21" i="15" l="1"/>
  <c r="P10" i="15"/>
  <c r="P9" i="16"/>
  <c r="K23" i="14"/>
  <c r="K10" i="14"/>
  <c r="P8" i="16" l="1"/>
  <c r="P9" i="15"/>
  <c r="F38" i="17"/>
  <c r="E38" i="17"/>
  <c r="D38" i="17"/>
  <c r="C38" i="17"/>
  <c r="B38" i="17"/>
  <c r="G7" i="17"/>
  <c r="F7" i="17"/>
  <c r="E7" i="17"/>
  <c r="D7" i="17"/>
  <c r="C7" i="17"/>
  <c r="B7" i="17"/>
  <c r="F37" i="17"/>
  <c r="E37" i="17"/>
  <c r="D37" i="17"/>
  <c r="C37" i="17"/>
  <c r="B37" i="17"/>
  <c r="G6" i="17"/>
  <c r="F6" i="17"/>
  <c r="E6" i="17"/>
  <c r="D6" i="17"/>
  <c r="C6" i="17"/>
  <c r="B6" i="17"/>
  <c r="F36" i="17"/>
  <c r="E36" i="17"/>
  <c r="D36" i="17"/>
  <c r="C36" i="17"/>
  <c r="B36" i="17"/>
  <c r="G5" i="17"/>
  <c r="F5" i="17"/>
  <c r="E5" i="17"/>
  <c r="D5" i="17"/>
  <c r="C5" i="17"/>
  <c r="B5" i="17"/>
  <c r="O21" i="15"/>
  <c r="X21" i="15" s="1"/>
  <c r="N21" i="15"/>
  <c r="M21" i="15"/>
  <c r="L21" i="15"/>
  <c r="K21" i="15"/>
  <c r="J21" i="15"/>
  <c r="I21" i="15"/>
  <c r="H21" i="15"/>
  <c r="G21" i="15"/>
  <c r="F21" i="15"/>
  <c r="E21" i="15"/>
  <c r="D21" i="15"/>
  <c r="C21" i="15"/>
  <c r="B21" i="15"/>
  <c r="O10" i="15"/>
  <c r="X10" i="15" s="1"/>
  <c r="N10" i="15"/>
  <c r="M10" i="15"/>
  <c r="L10" i="15"/>
  <c r="K10" i="15"/>
  <c r="J10" i="15"/>
  <c r="I10" i="15"/>
  <c r="H10" i="15"/>
  <c r="G10" i="15"/>
  <c r="F10" i="15"/>
  <c r="E10" i="15"/>
  <c r="D10" i="15"/>
  <c r="C10" i="15"/>
  <c r="B10" i="15"/>
  <c r="H14" i="16"/>
  <c r="I20" i="16"/>
  <c r="H20" i="16"/>
  <c r="G20" i="16"/>
  <c r="F20" i="16"/>
  <c r="E20" i="16"/>
  <c r="D20" i="16"/>
  <c r="C20" i="16"/>
  <c r="B20" i="16"/>
  <c r="I14" i="16"/>
  <c r="G14" i="16"/>
  <c r="F14" i="16"/>
  <c r="E14" i="16"/>
  <c r="D14" i="16"/>
  <c r="C14" i="16"/>
  <c r="B14" i="16"/>
  <c r="O9" i="16"/>
  <c r="W9" i="16" s="1"/>
  <c r="N9" i="16"/>
  <c r="N8" i="16" s="1"/>
  <c r="M9" i="16"/>
  <c r="L9" i="16"/>
  <c r="L8" i="16" s="1"/>
  <c r="K9" i="16"/>
  <c r="K8" i="16" s="1"/>
  <c r="J9" i="16"/>
  <c r="J8" i="16" s="1"/>
  <c r="I9" i="16"/>
  <c r="H9" i="16"/>
  <c r="G9" i="16"/>
  <c r="F9" i="16"/>
  <c r="E9" i="16"/>
  <c r="D9" i="16"/>
  <c r="C9" i="16"/>
  <c r="B9" i="16"/>
  <c r="P8" i="15" l="1"/>
  <c r="R21" i="14"/>
  <c r="Q25" i="14"/>
  <c r="Q33" i="14"/>
  <c r="Q24" i="14"/>
  <c r="Q16" i="14"/>
  <c r="Q31" i="14"/>
  <c r="Q15" i="14"/>
  <c r="S21" i="14"/>
  <c r="Q30" i="14"/>
  <c r="Q22" i="14"/>
  <c r="Q14" i="14"/>
  <c r="Q18" i="14"/>
  <c r="Q29" i="14"/>
  <c r="Q21" i="14"/>
  <c r="Q13" i="14"/>
  <c r="Q26" i="14"/>
  <c r="Q28" i="14"/>
  <c r="Q20" i="14"/>
  <c r="Q27" i="14"/>
  <c r="Q19" i="14"/>
  <c r="Q11" i="14"/>
  <c r="Q17" i="14"/>
  <c r="Q12" i="14"/>
  <c r="D9" i="15"/>
  <c r="D8" i="15" s="1"/>
  <c r="H9" i="15"/>
  <c r="H8" i="15" s="1"/>
  <c r="L9" i="15"/>
  <c r="L8" i="15" s="1"/>
  <c r="F9" i="15"/>
  <c r="F8" i="15" s="1"/>
  <c r="N9" i="15"/>
  <c r="E9" i="15"/>
  <c r="E8" i="15" s="1"/>
  <c r="P23" i="14"/>
  <c r="P10" i="14"/>
  <c r="W21" i="15"/>
  <c r="W10" i="15"/>
  <c r="I9" i="15"/>
  <c r="I8" i="15" s="1"/>
  <c r="J9" i="15"/>
  <c r="J8" i="15" s="1"/>
  <c r="G9" i="15"/>
  <c r="G8" i="15" s="1"/>
  <c r="O9" i="15"/>
  <c r="X9" i="15" s="1"/>
  <c r="C9" i="15"/>
  <c r="C8" i="15" s="1"/>
  <c r="K9" i="15"/>
  <c r="K8" i="15" s="1"/>
  <c r="D8" i="16"/>
  <c r="V9" i="16"/>
  <c r="O8" i="16"/>
  <c r="W8" i="16" s="1"/>
  <c r="B8" i="16"/>
  <c r="P18" i="14"/>
  <c r="P26" i="14"/>
  <c r="P11" i="14"/>
  <c r="P19" i="14"/>
  <c r="P27" i="14"/>
  <c r="P20" i="14"/>
  <c r="P28" i="14"/>
  <c r="P13" i="14"/>
  <c r="P21" i="14"/>
  <c r="P29" i="14"/>
  <c r="P16" i="14"/>
  <c r="P24" i="14"/>
  <c r="P25" i="14"/>
  <c r="P14" i="14"/>
  <c r="P22" i="14"/>
  <c r="P30" i="14"/>
  <c r="P15" i="14"/>
  <c r="P31" i="14"/>
  <c r="P33" i="14"/>
  <c r="P9" i="14"/>
  <c r="P12" i="14"/>
  <c r="P17" i="14"/>
  <c r="F8" i="16"/>
  <c r="B9" i="15"/>
  <c r="B8" i="15" s="1"/>
  <c r="H8" i="16"/>
  <c r="N8" i="15"/>
  <c r="C8" i="16"/>
  <c r="G8" i="16"/>
  <c r="E8" i="16"/>
  <c r="I8" i="16"/>
  <c r="M8" i="16"/>
  <c r="M9" i="15"/>
  <c r="U9" i="15" l="1"/>
  <c r="T10" i="15"/>
  <c r="U28" i="15"/>
  <c r="U20" i="15"/>
  <c r="U11" i="15"/>
  <c r="U18" i="15"/>
  <c r="U26" i="15"/>
  <c r="U17" i="15"/>
  <c r="U25" i="15"/>
  <c r="U16" i="15"/>
  <c r="U23" i="15"/>
  <c r="U27" i="15"/>
  <c r="U24" i="15"/>
  <c r="U14" i="15"/>
  <c r="U31" i="15"/>
  <c r="U22" i="15"/>
  <c r="U13" i="15"/>
  <c r="U30" i="15"/>
  <c r="U12" i="15"/>
  <c r="U15" i="15"/>
  <c r="U10" i="15"/>
  <c r="U21" i="15"/>
  <c r="U27" i="16"/>
  <c r="U19" i="16"/>
  <c r="U11" i="16"/>
  <c r="U10" i="16"/>
  <c r="U25" i="16"/>
  <c r="U24" i="16"/>
  <c r="U16" i="16"/>
  <c r="U23" i="16"/>
  <c r="U15" i="16"/>
  <c r="U18" i="16"/>
  <c r="U17" i="16"/>
  <c r="W18" i="16"/>
  <c r="U22" i="16"/>
  <c r="U26" i="16"/>
  <c r="U21" i="16"/>
  <c r="U13" i="16"/>
  <c r="U12" i="16"/>
  <c r="U20" i="16"/>
  <c r="U14" i="16"/>
  <c r="U9" i="16"/>
  <c r="U8" i="16"/>
  <c r="V8" i="16"/>
  <c r="V18" i="16"/>
  <c r="T21" i="15"/>
  <c r="W9" i="15"/>
  <c r="T14" i="15"/>
  <c r="T18" i="15"/>
  <c r="T22" i="15"/>
  <c r="T26" i="15"/>
  <c r="T31" i="15"/>
  <c r="T13" i="15"/>
  <c r="T25" i="15"/>
  <c r="T11" i="15"/>
  <c r="T23" i="15"/>
  <c r="T27" i="15"/>
  <c r="T9" i="15"/>
  <c r="T30" i="15"/>
  <c r="T12" i="15"/>
  <c r="T16" i="15"/>
  <c r="T20" i="15"/>
  <c r="T24" i="15"/>
  <c r="T28" i="15"/>
  <c r="T17" i="15"/>
  <c r="T15" i="15"/>
  <c r="O8" i="15"/>
  <c r="W8" i="15" s="1"/>
  <c r="T9" i="16"/>
  <c r="T12" i="16"/>
  <c r="T8" i="16"/>
  <c r="T13" i="16"/>
  <c r="T21" i="16"/>
  <c r="T22" i="16"/>
  <c r="T15" i="16"/>
  <c r="T23" i="16"/>
  <c r="T27" i="16"/>
  <c r="T16" i="16"/>
  <c r="T24" i="16"/>
  <c r="T17" i="16"/>
  <c r="T25" i="16"/>
  <c r="T10" i="16"/>
  <c r="T18" i="16"/>
  <c r="T26" i="16"/>
  <c r="T11" i="16"/>
  <c r="T19" i="16"/>
  <c r="T20" i="16"/>
  <c r="T14" i="16"/>
  <c r="M8" i="15"/>
  <c r="X8" i="15" l="1"/>
  <c r="L23" i="14"/>
  <c r="J23" i="14"/>
  <c r="R23" i="14" s="1"/>
  <c r="I23" i="14"/>
  <c r="H23" i="14"/>
  <c r="G23" i="14"/>
  <c r="F23" i="14"/>
  <c r="E23" i="14"/>
  <c r="D23" i="14"/>
  <c r="C23" i="14"/>
  <c r="B23" i="14"/>
  <c r="E17" i="14"/>
  <c r="D17" i="14"/>
  <c r="C17" i="14"/>
  <c r="B17" i="14"/>
  <c r="L10" i="14"/>
  <c r="J10" i="14"/>
  <c r="I10" i="14"/>
  <c r="H10" i="14"/>
  <c r="G10" i="14"/>
  <c r="F10" i="14"/>
  <c r="E10" i="14"/>
  <c r="D10" i="14"/>
  <c r="C10" i="14"/>
  <c r="B10" i="14"/>
  <c r="G9" i="14" l="1"/>
  <c r="Q10" i="14"/>
  <c r="S10" i="14"/>
  <c r="S23" i="14"/>
  <c r="Q23" i="14"/>
  <c r="F9" i="14"/>
  <c r="F8" i="14" s="1"/>
  <c r="C9" i="14"/>
  <c r="C8" i="14" s="1"/>
  <c r="D9" i="14"/>
  <c r="D8" i="14" s="1"/>
  <c r="R10" i="14"/>
  <c r="J9" i="14"/>
  <c r="E9" i="14"/>
  <c r="E8" i="14" s="1"/>
  <c r="B9" i="14"/>
  <c r="B8" i="14" s="1"/>
  <c r="H9" i="14"/>
  <c r="G8" i="14"/>
  <c r="I9" i="14"/>
  <c r="S8" i="14" l="1"/>
  <c r="Q9" i="14"/>
  <c r="S9" i="14"/>
  <c r="R9" i="14"/>
  <c r="J8" i="14"/>
  <c r="I8" i="14"/>
  <c r="H8" i="14"/>
  <c r="R8" i="14" l="1"/>
</calcChain>
</file>

<file path=xl/comments1.xml><?xml version="1.0" encoding="utf-8"?>
<comments xmlns="http://schemas.openxmlformats.org/spreadsheetml/2006/main">
  <authors>
    <author>Mariyam Juwairiyya</author>
  </authors>
  <commentList>
    <comment ref="H11" authorId="0" shapeId="0">
      <text>
        <r>
          <rPr>
            <sz val="9"/>
            <color indexed="81"/>
            <rFont val="Tahoma"/>
            <family val="2"/>
          </rPr>
          <t xml:space="preserve">
Tourism Fees added</t>
        </r>
      </text>
    </comment>
  </commentList>
</comments>
</file>

<file path=xl/sharedStrings.xml><?xml version="1.0" encoding="utf-8"?>
<sst xmlns="http://schemas.openxmlformats.org/spreadsheetml/2006/main" count="337" uniqueCount="256">
  <si>
    <t>Particulars</t>
  </si>
  <si>
    <t>(iawfiverukuhWlcsia)</t>
  </si>
  <si>
    <t>clIBcfwt</t>
  </si>
  <si>
    <t>Actual</t>
  </si>
  <si>
    <t>(MTEF)</t>
  </si>
  <si>
    <t>(cTejwbWtcsWrudem)</t>
  </si>
  <si>
    <t>Total Expenditure</t>
  </si>
  <si>
    <t>udwrwK</t>
  </si>
  <si>
    <t>Current expenditure</t>
  </si>
  <si>
    <t>udwrwK Wditenivua</t>
  </si>
  <si>
    <t>Net lending</t>
  </si>
  <si>
    <t>IkWbufWs egInwrwd EverukUd</t>
  </si>
  <si>
    <t>Source:  Ministry of Finance and Treasury</t>
  </si>
  <si>
    <t>IrwRercT cDcnea cscnEnif cfoa IrcTcsinim :ctWrwf ivcaedutWmUluAwm</t>
  </si>
  <si>
    <t>(cniaWyifur cnwyilim)</t>
  </si>
  <si>
    <t>Memorandum item:</t>
  </si>
  <si>
    <t>caeacmwTiawa Wviawfiveruk cDrOker iawkwTcSwnWdwh</t>
  </si>
  <si>
    <t>Current Expenditure</t>
  </si>
  <si>
    <t>urwvcnimivurutia</t>
  </si>
  <si>
    <t>% change</t>
  </si>
  <si>
    <t>Total Expenditure and Net Lending</t>
  </si>
  <si>
    <t>IkWbufWs egInwrwd EverukUd iaWdwrwK</t>
  </si>
  <si>
    <t>Public services</t>
  </si>
  <si>
    <t>ctwmcdiK umcaWA EvedcSwncnutiycawr</t>
  </si>
  <si>
    <t xml:space="preserve">  General administration</t>
  </si>
  <si>
    <t>EhebWmugcnih</t>
  </si>
  <si>
    <t xml:space="preserve">  Defence</t>
  </si>
  <si>
    <t xml:space="preserve"> cnuTcaeheleb cSwtcawtcnwkIaWfid</t>
  </si>
  <si>
    <t xml:space="preserve">        Military Defence</t>
  </si>
  <si>
    <t xml:space="preserve">        Civil Defence</t>
  </si>
  <si>
    <t xml:space="preserve">  Public order and Internal security</t>
  </si>
  <si>
    <t>cnuTcaeleb cSokiretWkcawrcnwmwa iaWmurukcmiaWq ufWscniauludwa</t>
  </si>
  <si>
    <t xml:space="preserve"> Environmental Protection</t>
  </si>
  <si>
    <t>cnuTcaeleb iaWmurukiretWkcawr iSevWmit</t>
  </si>
  <si>
    <t>Social services</t>
  </si>
  <si>
    <t>Ihea EvediaWdwrwK Everuk cSwaIqcawrwt eguAwmwtcjum</t>
  </si>
  <si>
    <t xml:space="preserve">  Education</t>
  </si>
  <si>
    <t>cmIluAwt</t>
  </si>
  <si>
    <t xml:space="preserve">  Health </t>
  </si>
  <si>
    <t>utwHcaiB</t>
  </si>
  <si>
    <t xml:space="preserve">  Social security and welfare services</t>
  </si>
  <si>
    <t>ctwmcdiK egrwaefcleviaWmuTcaeheleb cSokiretWkcawr uAwmwtcjum</t>
  </si>
  <si>
    <t>udwrwK Everuk iawkwTcSwaWdiawf egutwAWmwj</t>
  </si>
  <si>
    <t>Economic services</t>
  </si>
  <si>
    <t>ctwmcdiK IdWBitcqia</t>
  </si>
  <si>
    <t xml:space="preserve">  Fisheries and Agriculture</t>
  </si>
  <si>
    <t>cnwkirevcswm iaWmwkirevuDnwd</t>
  </si>
  <si>
    <t xml:space="preserve">  Transportation</t>
  </si>
  <si>
    <t>udwrwK EhebWrutwfurutwd</t>
  </si>
  <si>
    <t xml:space="preserve">  Communication</t>
  </si>
  <si>
    <t>ctwmcdiK ugetWlwBWvum</t>
  </si>
  <si>
    <t xml:space="preserve">  Tourism</t>
  </si>
  <si>
    <t>cmwzirUT</t>
  </si>
  <si>
    <t xml:space="preserve">  Trade and Industries</t>
  </si>
  <si>
    <t>cnwkiretctwkcawswm iaWairWfwyiv</t>
  </si>
  <si>
    <t xml:space="preserve">  Electricity</t>
  </si>
  <si>
    <t>cTcnwrwk</t>
  </si>
  <si>
    <t>Interest on public debt</t>
  </si>
  <si>
    <t>udwrwK egutwmcdiK EvedcSwaWsiawf WviawfigencSwNcnwrwd</t>
  </si>
  <si>
    <t>Loans disbursements</t>
  </si>
  <si>
    <t>ލޯނުން ޚަރަދު ކުރެވުނު</t>
  </si>
  <si>
    <t>އިތުރުވި މިންވަރު</t>
  </si>
  <si>
    <t xml:space="preserve"> cniawfis</t>
  </si>
  <si>
    <t>cnuhuluf</t>
  </si>
  <si>
    <t xml:space="preserve"> (In million MVR)</t>
  </si>
  <si>
    <t>(Rev.)</t>
  </si>
  <si>
    <t>% Share</t>
  </si>
  <si>
    <t xml:space="preserve">   Public services</t>
  </si>
  <si>
    <t xml:space="preserve">cawtctwmcdiK EvedcSwncnutiycawr  </t>
  </si>
  <si>
    <t xml:space="preserve">      General administration</t>
  </si>
  <si>
    <t xml:space="preserve">EhebWmugcnih       </t>
  </si>
  <si>
    <t xml:space="preserve">      Defence</t>
  </si>
  <si>
    <t xml:space="preserve">cnuTcaeheleb cSwtcawtcnwkIaWfid       </t>
  </si>
  <si>
    <t xml:space="preserve">      Public order and Internal security</t>
  </si>
  <si>
    <t xml:space="preserve"> cnuTcaeheleb cSokiretWkcawr   cnwmwa iaWmurukcmiaWq ufWscniauludwa       </t>
  </si>
  <si>
    <t xml:space="preserve">      Environmental Protection</t>
  </si>
  <si>
    <t xml:space="preserve">cnuTcaeleb iaWmurukiretWkcawr iSevWmit       </t>
  </si>
  <si>
    <t xml:space="preserve">   Social services</t>
  </si>
  <si>
    <t xml:space="preserve">Ihea EvediaWdwrwK Everuk cSwaIqcawrwt eguAwmwtcjum  </t>
  </si>
  <si>
    <t xml:space="preserve">      Education</t>
  </si>
  <si>
    <t xml:space="preserve">cmIluAwt       </t>
  </si>
  <si>
    <t xml:space="preserve">      Health 1_/</t>
  </si>
  <si>
    <t xml:space="preserve">1_/ utwHcaiB       </t>
  </si>
  <si>
    <t xml:space="preserve">      Social security &amp; Welfare</t>
  </si>
  <si>
    <t xml:space="preserve">rwaefclev iaWmuTcaeheleb cSokiretWkcawr uAwmwtcjum       </t>
  </si>
  <si>
    <t xml:space="preserve">      Community programmes</t>
  </si>
  <si>
    <t xml:space="preserve">udwrwK Everuk iawkwTcSwaWdiawf egutwAWmwj       </t>
  </si>
  <si>
    <t xml:space="preserve">   Economic services</t>
  </si>
  <si>
    <t xml:space="preserve">      Fisheries and Agriculture</t>
  </si>
  <si>
    <t xml:space="preserve">                            cnwkirevcswm iaWmwkirevuDnwd    </t>
  </si>
  <si>
    <t xml:space="preserve">      Transportation</t>
  </si>
  <si>
    <t xml:space="preserve">                                 udwrwK EhebWrutwfurutwd   </t>
  </si>
  <si>
    <t xml:space="preserve">      Communication</t>
  </si>
  <si>
    <t xml:space="preserve">                              ctwmcdiK ugetWlwBWvum</t>
  </si>
  <si>
    <t xml:space="preserve">      Tourism</t>
  </si>
  <si>
    <t xml:space="preserve">                                          cmwzirUT   </t>
  </si>
  <si>
    <t xml:space="preserve">      Trade and Industries</t>
  </si>
  <si>
    <t xml:space="preserve">                          cnwkiretctwkcawswm iaWairWfwyiv   </t>
  </si>
  <si>
    <t xml:space="preserve">   Interest payments</t>
  </si>
  <si>
    <t>udwrwK egutwmcdiK EvedcSwaWsiawf Wviawfigen cSwNcnwrwd</t>
  </si>
  <si>
    <t>1_/     Expenses for water and sanitation is included in the health sector</t>
  </si>
  <si>
    <t>.eveawgiawbEhebWtwHcaiB Inwviawfinemih cawtudwrwK Wviawfiveruk cSwa WnWKWf iaWnef  1_/</t>
  </si>
  <si>
    <t>ބެހިފައިވަ ގޮތް އިންސައްތައިން</t>
  </si>
  <si>
    <t>(Revised )</t>
  </si>
  <si>
    <t>Capital Expenditure and net lending</t>
  </si>
  <si>
    <t>IkWb ufWs egInwrwd EverukUd iaWdwrwK ivinwncnuhimed</t>
  </si>
  <si>
    <t xml:space="preserve">   Capital expenditure</t>
  </si>
  <si>
    <t xml:space="preserve">udwrwK ivinwncnuhimed  </t>
  </si>
  <si>
    <t xml:space="preserve">      Public services</t>
  </si>
  <si>
    <t xml:space="preserve">ctwmcdiK umcaWA EvedcSwncnutiycawr    </t>
  </si>
  <si>
    <t xml:space="preserve">         General administration</t>
  </si>
  <si>
    <t xml:space="preserve">         Defence</t>
  </si>
  <si>
    <t xml:space="preserve">         Public order and Internal security</t>
  </si>
  <si>
    <t xml:space="preserve">cnuTcaeheleb cSokiretWkcawr cnwmwa iaWmurukcmiaWq ufWscniauludwa       </t>
  </si>
  <si>
    <t xml:space="preserve">         Environmental Protection</t>
  </si>
  <si>
    <t xml:space="preserve">      Social services</t>
  </si>
  <si>
    <t xml:space="preserve">IheaEvedev iaWrwK EverukcSwa Iqcawrwt eguAwmwtcjum    </t>
  </si>
  <si>
    <t xml:space="preserve">         Education</t>
  </si>
  <si>
    <t xml:space="preserve">         Health </t>
  </si>
  <si>
    <t xml:space="preserve">utwHcaiB       </t>
  </si>
  <si>
    <t xml:space="preserve">         Social security &amp; Welfare</t>
  </si>
  <si>
    <t xml:space="preserve">         Community programmes</t>
  </si>
  <si>
    <t xml:space="preserve">udwrWK EverukiawkwTcSwaWdiawf egutwAWmwj       </t>
  </si>
  <si>
    <t xml:space="preserve">        Fisheries and Agriculture</t>
  </si>
  <si>
    <t xml:space="preserve">cnwkirevcswm iaWmwkirevuDnwd      </t>
  </si>
  <si>
    <t xml:space="preserve">        Transportation</t>
  </si>
  <si>
    <t xml:space="preserve">udwrwK EhebWrutwfurutwd      </t>
  </si>
  <si>
    <t xml:space="preserve">        Communication</t>
  </si>
  <si>
    <t xml:space="preserve">ctWlwBWvum      </t>
  </si>
  <si>
    <t xml:space="preserve">        Tourism</t>
  </si>
  <si>
    <t xml:space="preserve">cnwkirevurutwf      </t>
  </si>
  <si>
    <t xml:space="preserve">        Trade and industries</t>
  </si>
  <si>
    <t xml:space="preserve">cnwkiretctwkcawswm iaWairWfwyiv      </t>
  </si>
  <si>
    <t xml:space="preserve">        Electricity</t>
  </si>
  <si>
    <t xml:space="preserve">cTcnwrwk      </t>
  </si>
  <si>
    <t xml:space="preserve">   Net lending  2_/</t>
  </si>
  <si>
    <t xml:space="preserve">                                    2_/  IkWbufWs egInwrwd EverukUd</t>
  </si>
  <si>
    <t xml:space="preserve"> Memorandum item:</t>
  </si>
  <si>
    <t xml:space="preserve"> Foreign-loans disbursements</t>
  </si>
  <si>
    <t>unuverukudwrwK egunOl egurEb</t>
  </si>
  <si>
    <t xml:space="preserve"> Amortization</t>
  </si>
  <si>
    <t>ލޯނު އަނބުރާ ދެއްކުން</t>
  </si>
  <si>
    <t>2_/   Includes capital contributions to public enterprises.</t>
  </si>
  <si>
    <t>.eveaenemih iawgiawbim clwTipek EverukUd cSwkwtcsiawrcprwTcnea ckilcbwp 2_/</t>
  </si>
  <si>
    <t>Capital Expenditure</t>
  </si>
  <si>
    <t>ގްރީން ޓެކްސް</t>
  </si>
  <si>
    <t xml:space="preserve">  Religion, Culture and Entertainment</t>
  </si>
  <si>
    <t xml:space="preserve">      Religion, Culture and Entertainment</t>
  </si>
  <si>
    <t xml:space="preserve">      Electricity</t>
  </si>
  <si>
    <t xml:space="preserve">        Religion, Culture and Entertainment</t>
  </si>
  <si>
    <t>-</t>
  </si>
  <si>
    <t>ދީނީ، ސަޤާފީ، މުނިފޫހިފިލުވުން</t>
  </si>
  <si>
    <t>2015-2016</t>
  </si>
  <si>
    <r>
      <rPr>
        <b/>
        <sz val="8"/>
        <color theme="1"/>
        <rFont val="Faruma"/>
      </rPr>
      <t>ބެހިފައިވާ ގޮތް އިން ސައްތައިން</t>
    </r>
    <r>
      <rPr>
        <b/>
        <sz val="8"/>
        <color theme="1"/>
        <rFont val="Arial"/>
        <family val="2"/>
      </rPr>
      <t xml:space="preserve"> % share</t>
    </r>
  </si>
  <si>
    <t>2015 - 2016</t>
  </si>
  <si>
    <t>Estimate</t>
  </si>
  <si>
    <t xml:space="preserve">  Community programmes*</t>
  </si>
  <si>
    <t>* From 2015 onwards, "community programmes" included in "Religion, Culture and Entertainment".</t>
  </si>
  <si>
    <t>2016 Rev</t>
  </si>
  <si>
    <t>2017 Est</t>
  </si>
  <si>
    <t>2018 Est</t>
  </si>
  <si>
    <t>2019 Est</t>
  </si>
  <si>
    <t>2016-2017</t>
  </si>
  <si>
    <t>2020 -2013 ,ctogWviawfiverukudwrwK cnuTejwb egurWkurws cnutogegukwtiawb WviawfiLeawDnwk cSwmugcnihudwrwK : 13.5 ulwvWt</t>
  </si>
  <si>
    <t>Table  13.5 :  FUNCTIONAL CLASSIFICATION OF CENTRAL GOVERNMENT EXPENDITURE, 2013- 2020</t>
  </si>
  <si>
    <t>2020-2013 ,ctogEverukudwrwK Wditenivua cnurWkurws cnutog egukwtiawb WviawfiLeawDnwk cSwmugcnihudwrwK : 13.6 ulwvWt</t>
  </si>
  <si>
    <t>Table  13.6 :  FUNCTIONAL CLASSIFICATION OF CENTRAL GOVERNMENT  CURRENT EXPENDITURE, 2013 - 2020</t>
  </si>
  <si>
    <t>2016 - 2017</t>
  </si>
  <si>
    <t>2020 -2013 ,ctEverukudwrwK ivinwncnuhimed cnurWkurws cnutog egukwtiawb WviawfiLeawDnwk cSwmugcnihudwrwK : 13.7 ulwvWt</t>
  </si>
  <si>
    <t>Table  13.7 :  FUNCTIONAL CLASSIFICATION OF CENTRAL GOVERNMENT  CAPITAL EXPENDITURE, 2013 - 2020</t>
  </si>
  <si>
    <t>2020 Est</t>
  </si>
  <si>
    <t xml:space="preserve">Revised </t>
  </si>
  <si>
    <t>ތަފްސީލު</t>
  </si>
  <si>
    <t>ތާވަލު 13.12: ޢާމްދަނީގެ ގޮތުގައި ލިބުނު ފައިސާ އެކި ބައިތަކަށް، 2013 - 2017</t>
  </si>
  <si>
    <t>Table 13.12: REVENUE COLLECTED BY MAJOR CATEGORIES, 2013 - 2017</t>
  </si>
  <si>
    <t>Description</t>
  </si>
  <si>
    <t>Revenue collected (MVR)</t>
  </si>
  <si>
    <t>Percentage shares</t>
  </si>
  <si>
    <t>Percentage change over 2014</t>
  </si>
  <si>
    <t>Percentage change over 2016</t>
  </si>
  <si>
    <t>ލިބުނު އާމްދަނީ (ރުފިޔާއިން)</t>
  </si>
  <si>
    <t>cniawtcaws ctogWviawfiheb</t>
  </si>
  <si>
    <t>2014 އާއި އަޅާބަލާއިރު 2015 ގައި އިތުރުވި މިންވަރު (%)</t>
  </si>
  <si>
    <t>2016 އާއި އަޅާބަލާއިރު 2017 ގައި އިތުރުވި މިންވަރު (%)</t>
  </si>
  <si>
    <t>2015*</t>
  </si>
  <si>
    <t>2016*</t>
  </si>
  <si>
    <t xml:space="preserve">Airport Service Charge
</t>
  </si>
  <si>
    <t>އެއަރޕޯޓް ސަރވިސް ޗާޖް</t>
  </si>
  <si>
    <t>Airport Development Fee***</t>
  </si>
  <si>
    <t>އެއަރޕޯޓް ޑިވެލޮޕްމަންޓް ފީ</t>
  </si>
  <si>
    <t xml:space="preserve">Bank Profit Tax
</t>
  </si>
  <si>
    <t>ބެންކް ޕްރޮފިޓް ޓެކްސް</t>
  </si>
  <si>
    <r>
      <t>Business Permits</t>
    </r>
    <r>
      <rPr>
        <vertAlign val="superscript"/>
        <sz val="10"/>
        <rFont val="Calibri"/>
        <family val="2"/>
        <scheme val="minor"/>
      </rPr>
      <t>1</t>
    </r>
    <r>
      <rPr>
        <sz val="10"/>
        <rFont val="Calibri"/>
        <family val="2"/>
        <scheme val="minor"/>
      </rPr>
      <t xml:space="preserve">
</t>
    </r>
  </si>
  <si>
    <r>
      <t>ބިމުގެ ކުލި</t>
    </r>
    <r>
      <rPr>
        <vertAlign val="superscript"/>
        <sz val="10"/>
        <rFont val="Faruma"/>
      </rPr>
      <t>1</t>
    </r>
  </si>
  <si>
    <t xml:space="preserve">Business Profit Tax
</t>
  </si>
  <si>
    <t>ވިޔަފާރި ފައިދާއިން ނެގޭ ޓެކްސް</t>
  </si>
  <si>
    <t>Construction Period Extension Fee***</t>
  </si>
  <si>
    <t>ކޮންސްޓްރަކްޝަން ޕީރިއަޑް އިތުރުކުރުމުގެ ފީ</t>
  </si>
  <si>
    <t>Corporate Social Responsibility Fee***</t>
  </si>
  <si>
    <t>ކޯޕްރޭޓް ސޯޝަލް ރެސްޕޮންސިބިލިޓީ ފީ</t>
  </si>
  <si>
    <t xml:space="preserve">Fines
</t>
  </si>
  <si>
    <t>ޖޫރިމަނާ</t>
  </si>
  <si>
    <t xml:space="preserve">Goods and Services Tax
</t>
  </si>
  <si>
    <t>މުދަލާއި ޚިދުމަތުގެ އަގުން ނެގޭ ޓެކްސް</t>
  </si>
  <si>
    <t>Green Tax</t>
  </si>
  <si>
    <t>Remittance Tax**</t>
  </si>
  <si>
    <t>ރެމިޓެންސް ޓެކްސް</t>
  </si>
  <si>
    <r>
      <t>Land Rent</t>
    </r>
    <r>
      <rPr>
        <vertAlign val="superscript"/>
        <sz val="10"/>
        <rFont val="Calibri"/>
        <family val="2"/>
        <scheme val="minor"/>
      </rPr>
      <t>2</t>
    </r>
    <r>
      <rPr>
        <sz val="10"/>
        <rFont val="Calibri"/>
        <family val="2"/>
        <scheme val="minor"/>
      </rPr>
      <t xml:space="preserve">
</t>
    </r>
  </si>
  <si>
    <r>
      <t>ބިމުގެ ކުލި</t>
    </r>
    <r>
      <rPr>
        <vertAlign val="superscript"/>
        <sz val="9.5"/>
        <rFont val="Faruma"/>
      </rPr>
      <t>2</t>
    </r>
  </si>
  <si>
    <t>Land Acquisition and Conversion Fee</t>
  </si>
  <si>
    <t>ބިން ވިއްކުމާއި ބިން ބަދަލުކުރުމުގެ ފީ</t>
  </si>
  <si>
    <t xml:space="preserve">Land Sales Tax
</t>
  </si>
  <si>
    <t>ބިން ވިއްކުމަށް ނެގޭ ޓެކްސް</t>
  </si>
  <si>
    <t xml:space="preserve">Lease  Period Extension
</t>
  </si>
  <si>
    <t>ކުލީގެ މުއްދަތު އިތުރުކުރުން</t>
  </si>
  <si>
    <t>Ownership Transfer Tax***</t>
  </si>
  <si>
    <t>އޯނަރޝިޕް ޓްރާންސްފަރ ޓެކްސް</t>
  </si>
  <si>
    <t xml:space="preserve">Resident Permit
</t>
  </si>
  <si>
    <t>ރެސިޑެންޓް ޕަރމިޓް</t>
  </si>
  <si>
    <t xml:space="preserve">Revenue Stamp
</t>
  </si>
  <si>
    <t>ރެވެނިއު ސްޓޭމްޕް</t>
  </si>
  <si>
    <r>
      <t>Royalties</t>
    </r>
    <r>
      <rPr>
        <vertAlign val="superscript"/>
        <sz val="10"/>
        <rFont val="Calibri"/>
        <family val="2"/>
        <scheme val="minor"/>
      </rPr>
      <t>3</t>
    </r>
    <r>
      <rPr>
        <sz val="10"/>
        <rFont val="Calibri"/>
        <family val="2"/>
        <scheme val="minor"/>
      </rPr>
      <t xml:space="preserve">
</t>
    </r>
  </si>
  <si>
    <r>
      <t>ރޯޔަލްޓީ</t>
    </r>
    <r>
      <rPr>
        <vertAlign val="superscript"/>
        <sz val="9.5"/>
        <rFont val="Faruma"/>
      </rPr>
      <t>3</t>
    </r>
  </si>
  <si>
    <r>
      <t>Sale of Capital Assets</t>
    </r>
    <r>
      <rPr>
        <vertAlign val="superscript"/>
        <sz val="10"/>
        <rFont val="Calibri"/>
        <family val="2"/>
        <scheme val="minor"/>
      </rPr>
      <t>4</t>
    </r>
    <r>
      <rPr>
        <sz val="10"/>
        <rFont val="Calibri"/>
        <family val="2"/>
        <scheme val="minor"/>
      </rPr>
      <t xml:space="preserve">
</t>
    </r>
  </si>
  <si>
    <r>
      <t>ހަރުމުދާ ވިއްކައިގެން ލިބޭ ފައިސާ</t>
    </r>
    <r>
      <rPr>
        <vertAlign val="superscript"/>
        <sz val="9.5"/>
        <rFont val="Faruma"/>
      </rPr>
      <t>4</t>
    </r>
  </si>
  <si>
    <t>Tourism Administration Fee***</t>
  </si>
  <si>
    <t>ޓޫރިޒަމް އެޑްމިނިސްޓްރޭޝަން ފީ</t>
  </si>
  <si>
    <t xml:space="preserve">Tourism Land Rent
</t>
  </si>
  <si>
    <t>ޓޫރިޒަމް ލޭންޑް ރެންޓް</t>
  </si>
  <si>
    <t xml:space="preserve">Tourism Tax
</t>
  </si>
  <si>
    <t>ޓޫރިޒަމް ޓެކްސް</t>
  </si>
  <si>
    <t xml:space="preserve">Vehicle Fee
</t>
  </si>
  <si>
    <t xml:space="preserve"> އުޅަނދުފަހަރުގެ ފީ</t>
  </si>
  <si>
    <t xml:space="preserve">Vessels Fee
</t>
  </si>
  <si>
    <t xml:space="preserve"> ކަނޑުގައި ދުއްވާ އުޅަނދުފަހަރުގެ ފީ</t>
  </si>
  <si>
    <r>
      <t>Others</t>
    </r>
    <r>
      <rPr>
        <vertAlign val="superscript"/>
        <sz val="10"/>
        <rFont val="Calibri"/>
        <family val="2"/>
        <scheme val="minor"/>
      </rPr>
      <t>5</t>
    </r>
  </si>
  <si>
    <t>އެހެނިހެން</t>
  </si>
  <si>
    <t>Total</t>
  </si>
  <si>
    <t>ޖުމްލަ</t>
  </si>
  <si>
    <t>Note:</t>
  </si>
  <si>
    <t>*** Airport Development Fee, Construction Period Extension Fee, Corporate Social Responsibility Fee, Tourism Administration Fee, Ownership Transfer Tax added</t>
  </si>
  <si>
    <t>** Remittance Tax added by MIRA</t>
  </si>
  <si>
    <t>* 2015 &amp; 2016 figures are revised by MIRA</t>
  </si>
  <si>
    <r>
      <rPr>
        <vertAlign val="superscript"/>
        <sz val="10"/>
        <color theme="1"/>
        <rFont val="Calibri"/>
        <family val="2"/>
        <scheme val="minor"/>
      </rPr>
      <t>2</t>
    </r>
    <r>
      <rPr>
        <sz val="10"/>
        <color theme="1"/>
        <rFont val="Calibri"/>
        <family val="2"/>
        <scheme val="minor"/>
      </rPr>
      <t xml:space="preserve"> Land Rent: Uninhabited Islands Rent, Government Buildings Rent, Commercial Land Rent, Rent from Land for Industry, Longterm Agricultural Leased Islands Rent, Rent from Floating Jetty, Uninhabited Islands Administration Fee</t>
    </r>
  </si>
  <si>
    <r>
      <rPr>
        <vertAlign val="superscript"/>
        <sz val="10"/>
        <color theme="1"/>
        <rFont val="Calibri"/>
        <family val="2"/>
        <scheme val="minor"/>
      </rPr>
      <t>3</t>
    </r>
    <r>
      <rPr>
        <sz val="10"/>
        <color theme="1"/>
        <rFont val="Calibri"/>
        <family val="2"/>
        <scheme val="minor"/>
      </rPr>
      <t xml:space="preserve"> Royalties: Duty Free Royalty, Foreign Investment Royalty, Fishing Royalty, Fuel re-export Royalty, Re-Export Royalty, Yellowfin Tuna Export Royalty, Skipjack Industry Royalty</t>
    </r>
  </si>
  <si>
    <r>
      <rPr>
        <vertAlign val="superscript"/>
        <sz val="10"/>
        <color theme="1"/>
        <rFont val="Calibri"/>
        <family val="2"/>
        <scheme val="minor"/>
      </rPr>
      <t>4</t>
    </r>
    <r>
      <rPr>
        <sz val="10"/>
        <color theme="1"/>
        <rFont val="Calibri"/>
        <family val="2"/>
        <scheme val="minor"/>
      </rPr>
      <t xml:space="preserve"> Sale of Capital Assets: Sale of Items At Auction, Sale of Government Buildings, Sale of Government Lands</t>
    </r>
  </si>
  <si>
    <r>
      <rPr>
        <vertAlign val="superscript"/>
        <sz val="10"/>
        <color theme="1"/>
        <rFont val="Calibri"/>
        <family val="2"/>
        <scheme val="minor"/>
      </rPr>
      <t>5</t>
    </r>
    <r>
      <rPr>
        <sz val="10"/>
        <color theme="1"/>
        <rFont val="Calibri"/>
        <family val="2"/>
        <scheme val="minor"/>
      </rPr>
      <t xml:space="preserve"> Others: Reimbursements from Previous Year's Budget, Other Fees and Charges (latter part added by MIRA)</t>
    </r>
  </si>
  <si>
    <t>Source: Maldives Inland Revenue Authority</t>
  </si>
  <si>
    <t>ވިޔަފާރި ހުއްދަ: ކުންފުނިތަކުގެ އަހަރީ ފީ، ރެސްޓޯރަންޓް، ކެފޭ އަދި ކެންޓީންތަކުގެ ވިޔަފާރި ފީ، ފްލެޓް ބެލެހެއްޓުމުގެ އަގު ، ޕާޓްނާޝިޕް އަހަރީ ފީ، އިމްޕޯޓް ވިޔަފާރި ފީ، ކޯޕަރޭޓިވް ސޮސައިޓީ ރެޖިސްޓްރޭޝަން ފީ، ޓްރޭޑް ރަޖިސްޓްރީ ފީ، ފޮރިން އިންވެސްޓްމަންޓް އެޑްމިނިސްޓްރޭޝަން ފީ، ކުންފުނި ރަޖިސްޓްރީ ކުރުމުގެ ފީ، ބިދޭސީން ވިޔަފާރި ކުރުމުގެ ހުއްދަ، ސެކިއުރިޓީ ފާސް ފީ، ޑައިވް ސްކޫލް ރަޖިސްޓްރޭޝަން ފީ، ގެސްޓް ހައުސް ރަޖިސްޓްރޭޝަން ފީ، އެހެނިހެން ރަޖިސްޓްރޭޝަން އަދި ލައިސަންސް ފީތައް، ޓޫރިސްޓް އުޅަދުގެ ރަޖިސްޓްރޭޝަން ފީ، ބޭންކް މޯގޭޖް ރަޖިސްޓްރޭޝަން ފީ، ސޭލް އޮފް ޓެންޑަރ ޑޮކިއުމެންޓްސް</t>
  </si>
  <si>
    <r>
      <rPr>
        <sz val="10"/>
        <color theme="1"/>
        <rFont val="Faruma"/>
      </rPr>
      <t xml:space="preserve">ބިމުގެ ކުލި: ގޮއިފާލައްބަ، ހިންނަ ފަދަ ތަންތަނުގެ ވަރުވާ، ސަރުކާރު އިމާރާތްތަކުގެ ކުލި، ވިޔަފާރިކުރުމަށް ދޫކުރެވިފައިވާ ބިންބިމުގެ ކުލި، ސިނާޢީ މަސައްކަތްތަކަށް ދޫކުރެވިފައިވާ ބިމުގެ ކުލި، ދަނޑުވެރިކަމަށް ދޫކުރެވިފައިވާ ރަށްރަށުގެ ކުލި، ފްލޯޓިންގ ޖެޓީގެ ކުލި، ފަޅުރަށްރަށް ބެލެހެއްޓުމުގެ ފީ   </t>
    </r>
    <r>
      <rPr>
        <sz val="10"/>
        <color theme="1"/>
        <rFont val="Calibri"/>
        <family val="2"/>
        <scheme val="minor"/>
      </rPr>
      <t xml:space="preserve"> </t>
    </r>
  </si>
  <si>
    <t>ރޯޔަލްޓީ: ޑިއުޓީ ފްރީ ޝޮޕްގެ ރޯޔަލްޓީ، ބިދޭސީން ކުރާ ވިޔަފާރިގެ ރޯޔަލްޓީ، ބިދޭސީން ކުރާ މަސްވެރިކަމުގެ ރޯޔަލްޓީ، ގާމެންޓް އިންޑަސްޓްރީގެ ރޯޔަލްޓީ، ބުލިއަން ރޯޔަލްޓީ، ފިއުލް ރީއެކްސްޕޯޓް ރޯޔަލްޓީ، ރީއެކްސްޕޯޓް ރޯޔަލްޓީ، ބޮޑު ކަންނެލީގެ އެކްސްޕޯޓް ރޯޔަލްޓީ، މަސް އެކްސްޕޯޓް ކުރުމުގެ ރޯޔަލްޓީ</t>
  </si>
  <si>
    <t>ހަރުމުދާ ވިއްކައިގެން ލިބޭ ފައިސާ: ނީލަމުގައި ތަކެތި ވިއްކައިގެން ލިބޭ، ސަރުކާރުގެ އިމާރާތް ވިއްކި، ސަރުކާރުގެ ބިން ވިއްކި</t>
  </si>
  <si>
    <t>އެހެނިހެން: ކުރީ އަހަރުގެ ބަޖެޓުން އަނބުރާ ލިބޭ ފައިސާ</t>
  </si>
  <si>
    <t>މަޢުލޫމާތު ދެއްވި ފަރާތް: މޯލްޑިވްސް އިންލަންޑް ރެވެނިއު އޮތޯރިޓީ</t>
  </si>
  <si>
    <t>Figures as at data dissemination date, ie: 22 February 2018</t>
  </si>
  <si>
    <r>
      <rPr>
        <vertAlign val="superscript"/>
        <sz val="10"/>
        <color theme="1"/>
        <rFont val="Calibri"/>
        <family val="2"/>
        <scheme val="minor"/>
      </rPr>
      <t xml:space="preserve">1 </t>
    </r>
    <r>
      <rPr>
        <sz val="10"/>
        <color theme="1"/>
        <rFont val="Calibri"/>
        <family val="2"/>
        <scheme val="minor"/>
      </rPr>
      <t>Business Permits: Company Annual Fee, Restaurant, Café, Canteen Fee, Flat Maintanance Fee, Partnership Fees, Import Trade Fee, Co-operative Society Fees, Trade Registry Fee, Foreign Investment Administration Annual Fee, Company Registration Fee, Foreign Business Fee, Sole Traders Registration Fee, Sale of Pass, Dive School Registration Fee, Guest Hourse Registration Fee, Other Registration &amp; License Fees, Motorvehicle &amp; Vessel Registration Fee, Bank Mortgage Registration Fee, Sale of Tender Documents</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</si>
</sst>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0">
    <numFmt numFmtId="41" formatCode="_(* #,##0_);_(* \(#,##0\);_(* &quot;-&quot;_);_(@_)"/>
    <numFmt numFmtId="43" formatCode="_(* #,##0.00_);_(* \(#,##0.00\);_(* &quot;-&quot;??_);_(@_)"/>
    <numFmt numFmtId="164" formatCode="General_)"/>
    <numFmt numFmtId="165" formatCode="#,##0.0"/>
    <numFmt numFmtId="167" formatCode="_(* #,##0.0_);_(* \(#,##0.0\);_(* &quot;-&quot;??_);_(@_)"/>
    <numFmt numFmtId="168" formatCode="0.0"/>
    <numFmt numFmtId="170" formatCode="_-* #,##0.00_-;\-* #,##0.00_-;_-* &quot;-&quot;??_-;_-@_-"/>
    <numFmt numFmtId="171" formatCode="#,##0.00\ ;&quot; (&quot;#,##0.00\);&quot; -&quot;#\ ;@\ "/>
    <numFmt numFmtId="174" formatCode="_(* #,##0_);_(* \(#,##0\);_(* &quot;-&quot;??_);_(@_)"/>
    <numFmt numFmtId="175" formatCode="#,##0_);\-#,##0"/>
  </numFmts>
  <fonts count="61">
    <font>
      <sz val="11"/>
      <color theme="1"/>
      <name val="Calibri"/>
      <family val="2"/>
      <scheme val="minor"/>
    </font>
    <font>
      <sz val="11"/>
      <color theme="1"/>
      <name val="Calibri"/>
      <family val="2"/>
      <scheme val="minor"/>
    </font>
    <font>
      <sz val="10"/>
      <name val="Arial"/>
      <family val="2"/>
    </font>
    <font>
      <b/>
      <sz val="9"/>
      <name val="Arial"/>
      <family val="2"/>
    </font>
    <font>
      <sz val="9"/>
      <name val="Arial"/>
      <family val="2"/>
    </font>
    <font>
      <sz val="10"/>
      <name val="MS Sans Serif"/>
      <family val="2"/>
    </font>
    <font>
      <sz val="9"/>
      <name val="Calibri"/>
      <family val="2"/>
      <scheme val="minor"/>
    </font>
    <font>
      <sz val="10"/>
      <name val="Garamond"/>
      <family val="1"/>
    </font>
    <font>
      <b/>
      <sz val="10"/>
      <color theme="1"/>
      <name val="Calibri"/>
      <family val="2"/>
      <scheme val="minor"/>
    </font>
    <font>
      <sz val="11"/>
      <color indexed="8"/>
      <name val="Calibri"/>
      <family val="2"/>
    </font>
    <font>
      <b/>
      <i/>
      <strike/>
      <u/>
      <sz val="10"/>
      <color indexed="8"/>
      <name val="Arial"/>
      <family val="2"/>
    </font>
    <font>
      <b/>
      <sz val="9"/>
      <color theme="1"/>
      <name val="A_Randhoo"/>
    </font>
    <font>
      <b/>
      <sz val="9"/>
      <color theme="1"/>
      <name val="Arial"/>
      <family val="2"/>
    </font>
    <font>
      <b/>
      <sz val="9"/>
      <color theme="1"/>
      <name val="Calibri"/>
      <family val="2"/>
      <scheme val="minor"/>
    </font>
    <font>
      <sz val="10"/>
      <color theme="1"/>
      <name val="Calibri"/>
      <family val="2"/>
      <scheme val="minor"/>
    </font>
    <font>
      <b/>
      <sz val="12"/>
      <color theme="1"/>
      <name val="Calibri"/>
      <family val="2"/>
      <scheme val="minor"/>
    </font>
    <font>
      <b/>
      <sz val="10"/>
      <color theme="1"/>
      <name val="Faruma"/>
    </font>
    <font>
      <b/>
      <sz val="9"/>
      <color theme="1"/>
      <name val="Faruma"/>
    </font>
    <font>
      <sz val="9"/>
      <color theme="1"/>
      <name val="Calibri"/>
      <family val="2"/>
      <scheme val="minor"/>
    </font>
    <font>
      <sz val="10"/>
      <color theme="1"/>
      <name val="Faruma"/>
    </font>
    <font>
      <sz val="9"/>
      <color theme="1"/>
      <name val="Faruma"/>
    </font>
    <font>
      <i/>
      <sz val="10"/>
      <color theme="1"/>
      <name val="Calibri"/>
      <family val="2"/>
      <scheme val="minor"/>
    </font>
    <font>
      <i/>
      <sz val="9"/>
      <color theme="1"/>
      <name val="Calibri"/>
      <family val="2"/>
      <scheme val="minor"/>
    </font>
    <font>
      <b/>
      <sz val="12"/>
      <color theme="1"/>
      <name val="A_Randhoo"/>
    </font>
    <font>
      <sz val="10"/>
      <color theme="1"/>
      <name val="Arial"/>
      <family val="2"/>
    </font>
    <font>
      <b/>
      <sz val="10"/>
      <color theme="1"/>
      <name val="Arial"/>
      <family val="2"/>
    </font>
    <font>
      <b/>
      <sz val="8"/>
      <color theme="1"/>
      <name val="A_Randhoo"/>
    </font>
    <font>
      <b/>
      <sz val="8"/>
      <color theme="1"/>
      <name val="Arial"/>
      <family val="2"/>
    </font>
    <font>
      <sz val="9"/>
      <color theme="1"/>
      <name val="A_Randhoo"/>
    </font>
    <font>
      <sz val="9"/>
      <color theme="1"/>
      <name val="Arial"/>
      <family val="2"/>
    </font>
    <font>
      <sz val="9.3000000000000007"/>
      <color theme="1"/>
      <name val="Calibri"/>
      <family val="2"/>
      <scheme val="minor"/>
    </font>
    <font>
      <b/>
      <sz val="9"/>
      <color theme="1"/>
      <name val="A_Utheem"/>
    </font>
    <font>
      <sz val="9"/>
      <color theme="1"/>
      <name val="A_Utheem"/>
    </font>
    <font>
      <b/>
      <sz val="8"/>
      <color theme="1"/>
      <name val="Faruma"/>
    </font>
    <font>
      <b/>
      <sz val="9"/>
      <color theme="1"/>
      <name val="Win Ahamedey PRB"/>
      <family val="2"/>
    </font>
    <font>
      <sz val="10"/>
      <color theme="1"/>
      <name val="Courier"/>
      <family val="3"/>
    </font>
    <font>
      <sz val="9"/>
      <color theme="1"/>
      <name val="Courier"/>
      <family val="3"/>
    </font>
    <font>
      <sz val="10"/>
      <color indexed="8"/>
      <name val="Arial"/>
      <family val="2"/>
    </font>
    <font>
      <i/>
      <sz val="8"/>
      <color theme="1"/>
      <name val="Calibri"/>
      <family val="2"/>
      <scheme val="minor"/>
    </font>
    <font>
      <sz val="8"/>
      <color theme="1"/>
      <name val="Calibri"/>
      <family val="2"/>
      <scheme val="minor"/>
    </font>
    <font>
      <b/>
      <sz val="8"/>
      <color rgb="FFFF0000"/>
      <name val="Arial"/>
      <family val="2"/>
    </font>
    <font>
      <b/>
      <sz val="9"/>
      <color rgb="FFFF0000"/>
      <name val="Arial"/>
      <family val="2"/>
    </font>
    <font>
      <sz val="9"/>
      <color rgb="FFFF0000"/>
      <name val="Arial"/>
      <family val="2"/>
    </font>
    <font>
      <sz val="10"/>
      <name val="Calibri"/>
      <family val="2"/>
      <scheme val="minor"/>
    </font>
    <font>
      <vertAlign val="superscript"/>
      <sz val="10"/>
      <name val="Calibri"/>
      <family val="2"/>
      <scheme val="minor"/>
    </font>
    <font>
      <sz val="11"/>
      <name val="Calibri"/>
      <family val="2"/>
      <scheme val="minor"/>
    </font>
    <font>
      <b/>
      <sz val="11"/>
      <name val="Faruma"/>
    </font>
    <font>
      <b/>
      <sz val="12"/>
      <name val="Calibri"/>
      <family val="2"/>
      <scheme val="minor"/>
    </font>
    <font>
      <sz val="8"/>
      <name val="Calibri"/>
      <family val="2"/>
      <scheme val="minor"/>
    </font>
    <font>
      <b/>
      <sz val="10"/>
      <name val="Calibri"/>
      <family val="2"/>
      <scheme val="minor"/>
    </font>
    <font>
      <b/>
      <sz val="10"/>
      <name val="Faruma"/>
    </font>
    <font>
      <b/>
      <sz val="9"/>
      <name val="Faruma"/>
    </font>
    <font>
      <b/>
      <sz val="9"/>
      <name val="A_Faseyha"/>
    </font>
    <font>
      <sz val="10"/>
      <name val="Faruma"/>
    </font>
    <font>
      <vertAlign val="superscript"/>
      <sz val="10"/>
      <name val="Faruma"/>
    </font>
    <font>
      <sz val="9.5"/>
      <name val="Faruma"/>
    </font>
    <font>
      <sz val="10.5"/>
      <name val="Calibri"/>
      <family val="2"/>
      <scheme val="minor"/>
    </font>
    <font>
      <vertAlign val="superscript"/>
      <sz val="9.5"/>
      <name val="Faruma"/>
    </font>
    <font>
      <b/>
      <sz val="11"/>
      <name val="Calibri"/>
      <family val="2"/>
      <scheme val="minor"/>
    </font>
    <font>
      <vertAlign val="superscript"/>
      <sz val="10"/>
      <color theme="1"/>
      <name val="Calibri"/>
      <family val="2"/>
      <scheme val="minor"/>
    </font>
    <font>
      <sz val="9"/>
      <color indexed="81"/>
      <name val="Tahoma"/>
      <family val="2"/>
    </font>
  </fonts>
  <fills count="6">
    <fill>
      <patternFill patternType="none"/>
    </fill>
    <fill>
      <patternFill patternType="gray125"/>
    </fill>
    <fill>
      <patternFill patternType="solid">
        <fgColor theme="0"/>
        <bgColor indexed="64"/>
      </patternFill>
    </fill>
    <fill>
      <patternFill patternType="solid">
        <fgColor theme="6" tint="0.39997558519241921"/>
        <bgColor indexed="64"/>
      </patternFill>
    </fill>
    <fill>
      <patternFill patternType="solid">
        <fgColor rgb="FFFFFF00"/>
        <bgColor indexed="64"/>
      </patternFill>
    </fill>
    <fill>
      <patternFill patternType="solid">
        <fgColor theme="6" tint="0.59999389629810485"/>
        <bgColor indexed="64"/>
      </patternFill>
    </fill>
  </fills>
  <borders count="34">
    <border>
      <left/>
      <right/>
      <top/>
      <bottom/>
      <diagonal/>
    </border>
    <border>
      <left/>
      <right/>
      <top/>
      <bottom style="thin">
        <color theme="1" tint="4.9989318521683403E-2"/>
      </bottom>
      <diagonal/>
    </border>
    <border>
      <left/>
      <right/>
      <top/>
      <bottom style="thin">
        <color indexed="64"/>
      </bottom>
      <diagonal/>
    </border>
    <border>
      <left/>
      <right/>
      <top style="thin">
        <color indexed="64"/>
      </top>
      <bottom/>
      <diagonal/>
    </border>
    <border>
      <left style="thin">
        <color indexed="64"/>
      </left>
      <right/>
      <top/>
      <bottom style="thin">
        <color indexed="64"/>
      </bottom>
      <diagonal/>
    </border>
    <border>
      <left style="hair">
        <color indexed="64"/>
      </left>
      <right/>
      <top/>
      <bottom style="thin">
        <color indexed="64"/>
      </bottom>
      <diagonal/>
    </border>
    <border>
      <left style="hair">
        <color indexed="64"/>
      </left>
      <right/>
      <top style="thin">
        <color indexed="64"/>
      </top>
      <bottom/>
      <diagonal/>
    </border>
    <border>
      <left/>
      <right/>
      <top/>
      <bottom style="hair">
        <color indexed="64"/>
      </bottom>
      <diagonal/>
    </border>
    <border>
      <left style="hair">
        <color indexed="64"/>
      </left>
      <right/>
      <top/>
      <bottom style="hair">
        <color indexed="64"/>
      </bottom>
      <diagonal/>
    </border>
    <border>
      <left style="thin">
        <color indexed="64"/>
      </left>
      <right style="thin">
        <color indexed="64"/>
      </right>
      <top style="thin">
        <color indexed="64"/>
      </top>
      <bottom style="thin">
        <color indexed="64"/>
      </bottom>
      <diagonal/>
    </border>
    <border>
      <left/>
      <right style="hair">
        <color indexed="64"/>
      </right>
      <top/>
      <bottom/>
      <diagonal/>
    </border>
    <border>
      <left/>
      <right style="hair">
        <color indexed="64"/>
      </right>
      <top/>
      <bottom style="thin">
        <color indexed="64"/>
      </bottom>
      <diagonal/>
    </border>
    <border>
      <left/>
      <right style="hair">
        <color indexed="64"/>
      </right>
      <top style="thin">
        <color auto="1"/>
      </top>
      <bottom/>
      <diagonal/>
    </border>
    <border>
      <left/>
      <right style="hair">
        <color indexed="64"/>
      </right>
      <top/>
      <bottom style="hair">
        <color indexed="64"/>
      </bottom>
      <diagonal/>
    </border>
    <border>
      <left/>
      <right/>
      <top style="thin">
        <color indexed="64"/>
      </top>
      <bottom style="hair">
        <color indexed="64"/>
      </bottom>
      <diagonal/>
    </border>
    <border>
      <left style="hair">
        <color indexed="64"/>
      </left>
      <right/>
      <top style="thin">
        <color auto="1"/>
      </top>
      <bottom style="hair">
        <color indexed="64"/>
      </bottom>
      <diagonal/>
    </border>
    <border>
      <left/>
      <right style="hair">
        <color indexed="64"/>
      </right>
      <top style="hair">
        <color indexed="64"/>
      </top>
      <bottom/>
      <diagonal/>
    </border>
    <border>
      <left/>
      <right/>
      <top style="thin">
        <color indexed="64"/>
      </top>
      <bottom style="thin">
        <color indexed="64"/>
      </bottom>
      <diagonal/>
    </border>
    <border>
      <left/>
      <right/>
      <top style="hair">
        <color indexed="64"/>
      </top>
      <bottom style="thin">
        <color indexed="64"/>
      </bottom>
      <diagonal/>
    </border>
    <border>
      <left/>
      <right style="hair">
        <color indexed="64"/>
      </right>
      <top style="thin">
        <color auto="1"/>
      </top>
      <bottom style="hair">
        <color indexed="64"/>
      </bottom>
      <diagonal/>
    </border>
    <border>
      <left/>
      <right style="hair">
        <color indexed="64"/>
      </right>
      <top style="hair">
        <color indexed="64"/>
      </top>
      <bottom style="thin">
        <color indexed="64"/>
      </bottom>
      <diagonal/>
    </border>
    <border>
      <left/>
      <right style="hair">
        <color indexed="64"/>
      </right>
      <top/>
      <bottom style="thin">
        <color theme="1" tint="4.9989318521683403E-2"/>
      </bottom>
      <diagonal/>
    </border>
    <border>
      <left style="hair">
        <color indexed="64"/>
      </left>
      <right style="hair">
        <color indexed="64"/>
      </right>
      <top style="hair">
        <color indexed="64"/>
      </top>
      <bottom style="thin">
        <color indexed="64"/>
      </bottom>
      <diagonal/>
    </border>
    <border>
      <left style="hair">
        <color indexed="64"/>
      </left>
      <right style="hair">
        <color indexed="64"/>
      </right>
      <top style="hair">
        <color indexed="64"/>
      </top>
      <bottom/>
      <diagonal/>
    </border>
    <border>
      <left style="hair">
        <color indexed="64"/>
      </left>
      <right style="hair">
        <color indexed="64"/>
      </right>
      <top/>
      <bottom style="thin">
        <color indexed="64"/>
      </bottom>
      <diagonal/>
    </border>
    <border>
      <left style="hair">
        <color indexed="64"/>
      </left>
      <right style="hair">
        <color indexed="64"/>
      </right>
      <top/>
      <bottom/>
      <diagonal/>
    </border>
    <border>
      <left style="hair">
        <color indexed="64"/>
      </left>
      <right style="hair">
        <color indexed="64"/>
      </right>
      <top style="thin">
        <color auto="1"/>
      </top>
      <bottom/>
      <diagonal/>
    </border>
    <border>
      <left style="hair">
        <color indexed="64"/>
      </left>
      <right/>
      <top style="thin">
        <color auto="1"/>
      </top>
      <bottom style="hair">
        <color theme="1"/>
      </bottom>
      <diagonal/>
    </border>
    <border>
      <left/>
      <right/>
      <top style="thin">
        <color auto="1"/>
      </top>
      <bottom style="hair">
        <color theme="1"/>
      </bottom>
      <diagonal/>
    </border>
    <border>
      <left style="hair">
        <color indexed="64"/>
      </left>
      <right/>
      <top style="hair">
        <color theme="1"/>
      </top>
      <bottom style="thin">
        <color auto="1"/>
      </bottom>
      <diagonal/>
    </border>
    <border>
      <left/>
      <right/>
      <top style="hair">
        <color theme="1"/>
      </top>
      <bottom style="thin">
        <color indexed="64"/>
      </bottom>
      <diagonal/>
    </border>
    <border>
      <left/>
      <right style="hair">
        <color indexed="64"/>
      </right>
      <top style="thin">
        <color indexed="64"/>
      </top>
      <bottom style="thin">
        <color indexed="64"/>
      </bottom>
      <diagonal/>
    </border>
    <border>
      <left/>
      <right style="hair">
        <color indexed="64"/>
      </right>
      <top style="thin">
        <color auto="1"/>
      </top>
      <bottom style="hair">
        <color theme="1"/>
      </bottom>
      <diagonal/>
    </border>
    <border>
      <left/>
      <right style="hair">
        <color indexed="64"/>
      </right>
      <top style="hair">
        <color theme="1"/>
      </top>
      <bottom style="thin">
        <color indexed="64"/>
      </bottom>
      <diagonal/>
    </border>
  </borders>
  <cellStyleXfs count="13">
    <xf numFmtId="0" fontId="0" fillId="0" borderId="0"/>
    <xf numFmtId="43" fontId="1" fillId="0" borderId="0" applyFont="0" applyFill="0" applyBorder="0" applyAlignment="0" applyProtection="0"/>
    <xf numFmtId="0" fontId="2" fillId="0" borderId="0"/>
    <xf numFmtId="40" fontId="5" fillId="0" borderId="0" applyFont="0" applyFill="0" applyBorder="0" applyAlignment="0" applyProtection="0"/>
    <xf numFmtId="0" fontId="2" fillId="0" borderId="0"/>
    <xf numFmtId="170" fontId="1" fillId="0" borderId="0" applyFont="0" applyFill="0" applyBorder="0" applyAlignment="0" applyProtection="0"/>
    <xf numFmtId="0" fontId="9" fillId="0" borderId="0"/>
    <xf numFmtId="171" fontId="9" fillId="0" borderId="0"/>
    <xf numFmtId="0" fontId="10" fillId="0" borderId="0" applyFont="0" applyFill="0" applyBorder="0" applyAlignment="0" applyProtection="0"/>
    <xf numFmtId="43" fontId="1" fillId="0" borderId="0" applyFont="0" applyFill="0" applyBorder="0" applyAlignment="0" applyProtection="0"/>
    <xf numFmtId="0" fontId="5" fillId="0" borderId="0"/>
    <xf numFmtId="43" fontId="9" fillId="0" borderId="0" applyFont="0" applyFill="0" applyBorder="0" applyAlignment="0" applyProtection="0"/>
    <xf numFmtId="0" fontId="37" fillId="0" borderId="0" applyNumberFormat="0" applyFill="0" applyBorder="0" applyAlignment="0" applyProtection="0"/>
  </cellStyleXfs>
  <cellXfs count="356">
    <xf numFmtId="0" fontId="0" fillId="0" borderId="0" xfId="0"/>
    <xf numFmtId="164" fontId="4" fillId="2" borderId="0" xfId="4" applyNumberFormat="1" applyFont="1" applyFill="1" applyAlignment="1" applyProtection="1">
      <alignment horizontal="left" vertical="center"/>
    </xf>
    <xf numFmtId="164" fontId="4" fillId="2" borderId="0" xfId="4" applyNumberFormat="1" applyFont="1" applyFill="1"/>
    <xf numFmtId="2" fontId="4" fillId="2" borderId="0" xfId="4" applyNumberFormat="1" applyFont="1" applyFill="1"/>
    <xf numFmtId="164" fontId="3" fillId="2" borderId="0" xfId="4" applyNumberFormat="1" applyFont="1" applyFill="1" applyBorder="1" applyAlignment="1">
      <alignment horizontal="center"/>
    </xf>
    <xf numFmtId="1" fontId="3" fillId="2" borderId="9" xfId="4" applyNumberFormat="1" applyFont="1" applyFill="1" applyBorder="1"/>
    <xf numFmtId="164" fontId="3" fillId="2" borderId="9" xfId="4" applyNumberFormat="1" applyFont="1" applyFill="1" applyBorder="1"/>
    <xf numFmtId="164" fontId="3" fillId="2" borderId="9" xfId="4" applyNumberFormat="1" applyFont="1" applyFill="1" applyBorder="1" applyAlignment="1" applyProtection="1">
      <alignment horizontal="left" vertical="center"/>
    </xf>
    <xf numFmtId="167" fontId="4" fillId="2" borderId="9" xfId="1" applyNumberFormat="1" applyFont="1" applyFill="1" applyBorder="1"/>
    <xf numFmtId="164" fontId="4" fillId="2" borderId="0" xfId="4" applyNumberFormat="1" applyFont="1" applyFill="1" applyAlignment="1"/>
    <xf numFmtId="165" fontId="8" fillId="2" borderId="0" xfId="2" applyNumberFormat="1" applyFont="1" applyFill="1" applyBorder="1" applyAlignment="1" applyProtection="1">
      <alignment horizontal="right" vertical="center"/>
      <protection locked="0"/>
    </xf>
    <xf numFmtId="164" fontId="13" fillId="2" borderId="0" xfId="2" applyNumberFormat="1" applyFont="1" applyFill="1" applyBorder="1" applyAlignment="1" applyProtection="1">
      <alignment horizontal="right" vertical="center"/>
      <protection locked="0"/>
    </xf>
    <xf numFmtId="164" fontId="13" fillId="2" borderId="2" xfId="2" applyNumberFormat="1" applyFont="1" applyFill="1" applyBorder="1" applyAlignment="1">
      <alignment horizontal="right" vertical="center"/>
    </xf>
    <xf numFmtId="164" fontId="8" fillId="2" borderId="0" xfId="2" applyNumberFormat="1" applyFont="1" applyFill="1" applyBorder="1" applyAlignment="1" applyProtection="1">
      <alignment horizontal="right" vertical="center"/>
      <protection locked="0"/>
    </xf>
    <xf numFmtId="164" fontId="8" fillId="2" borderId="1" xfId="2" applyNumberFormat="1" applyFont="1" applyFill="1" applyBorder="1" applyAlignment="1" applyProtection="1">
      <alignment horizontal="right" vertical="center"/>
    </xf>
    <xf numFmtId="164" fontId="24" fillId="2" borderId="0" xfId="2" applyNumberFormat="1" applyFont="1" applyFill="1" applyAlignment="1">
      <alignment vertical="center"/>
    </xf>
    <xf numFmtId="164" fontId="25" fillId="2" borderId="0" xfId="2" applyNumberFormat="1" applyFont="1" applyFill="1" applyAlignment="1">
      <alignment vertical="center"/>
    </xf>
    <xf numFmtId="164" fontId="8" fillId="2" borderId="0" xfId="2" applyNumberFormat="1" applyFont="1" applyFill="1" applyAlignment="1" applyProtection="1">
      <alignment horizontal="left" vertical="center"/>
    </xf>
    <xf numFmtId="165" fontId="14" fillId="2" borderId="0" xfId="2" applyNumberFormat="1" applyFont="1" applyFill="1" applyBorder="1" applyAlignment="1" applyProtection="1">
      <alignment horizontal="right" vertical="center"/>
    </xf>
    <xf numFmtId="164" fontId="12" fillId="2" borderId="0" xfId="2" applyNumberFormat="1" applyFont="1" applyFill="1" applyAlignment="1">
      <alignment vertical="center"/>
    </xf>
    <xf numFmtId="164" fontId="29" fillId="2" borderId="0" xfId="2" applyNumberFormat="1" applyFont="1" applyFill="1" applyAlignment="1">
      <alignment vertical="center"/>
    </xf>
    <xf numFmtId="164" fontId="22" fillId="2" borderId="0" xfId="2" applyNumberFormat="1" applyFont="1" applyFill="1" applyAlignment="1" applyProtection="1">
      <alignment horizontal="left" vertical="center"/>
    </xf>
    <xf numFmtId="164" fontId="18" fillId="2" borderId="0" xfId="2" applyNumberFormat="1" applyFont="1" applyFill="1" applyAlignment="1">
      <alignment vertical="center"/>
    </xf>
    <xf numFmtId="164" fontId="14" fillId="2" borderId="0" xfId="2" applyNumberFormat="1" applyFont="1" applyFill="1" applyAlignment="1">
      <alignment horizontal="center" vertical="center"/>
    </xf>
    <xf numFmtId="164" fontId="24" fillId="2" borderId="0" xfId="2" applyNumberFormat="1" applyFont="1" applyFill="1" applyAlignment="1">
      <alignment horizontal="center" vertical="center"/>
    </xf>
    <xf numFmtId="164" fontId="29" fillId="2" borderId="0" xfId="2" applyNumberFormat="1" applyFont="1" applyFill="1" applyBorder="1" applyAlignment="1">
      <alignment vertical="center"/>
    </xf>
    <xf numFmtId="165" fontId="14" fillId="2" borderId="0" xfId="2" applyNumberFormat="1" applyFont="1" applyFill="1" applyBorder="1" applyAlignment="1" applyProtection="1">
      <alignment horizontal="right" vertical="center"/>
      <protection locked="0"/>
    </xf>
    <xf numFmtId="164" fontId="18" fillId="2" borderId="2" xfId="2" applyNumberFormat="1" applyFont="1" applyFill="1" applyBorder="1" applyAlignment="1" applyProtection="1">
      <alignment horizontal="left" vertical="center"/>
    </xf>
    <xf numFmtId="41" fontId="30" fillId="2" borderId="2" xfId="3" applyNumberFormat="1" applyFont="1" applyFill="1" applyBorder="1" applyAlignment="1" applyProtection="1">
      <alignment horizontal="right" vertical="center"/>
      <protection locked="0"/>
    </xf>
    <xf numFmtId="164" fontId="28" fillId="2" borderId="2" xfId="2" applyNumberFormat="1" applyFont="1" applyFill="1" applyBorder="1" applyAlignment="1">
      <alignment horizontal="right" vertical="center"/>
    </xf>
    <xf numFmtId="164" fontId="28" fillId="2" borderId="0" xfId="2" applyNumberFormat="1" applyFont="1" applyFill="1" applyAlignment="1">
      <alignment horizontal="right" vertical="center"/>
    </xf>
    <xf numFmtId="164" fontId="12" fillId="2" borderId="0" xfId="2" applyNumberFormat="1" applyFont="1" applyFill="1" applyBorder="1" applyAlignment="1">
      <alignment vertical="center"/>
    </xf>
    <xf numFmtId="164" fontId="13" fillId="2" borderId="2" xfId="2" applyNumberFormat="1" applyFont="1" applyFill="1" applyBorder="1" applyAlignment="1" applyProtection="1">
      <alignment horizontal="right" vertical="center"/>
    </xf>
    <xf numFmtId="164" fontId="13" fillId="2" borderId="0" xfId="2" applyNumberFormat="1" applyFont="1" applyFill="1" applyAlignment="1" applyProtection="1">
      <alignment horizontal="left" vertical="center"/>
    </xf>
    <xf numFmtId="165" fontId="13" fillId="2" borderId="0" xfId="2" applyNumberFormat="1" applyFont="1" applyFill="1" applyAlignment="1" applyProtection="1">
      <alignment horizontal="right" vertical="center"/>
    </xf>
    <xf numFmtId="165" fontId="13" fillId="2" borderId="0" xfId="2" applyNumberFormat="1" applyFont="1" applyFill="1" applyAlignment="1" applyProtection="1">
      <alignment horizontal="right" vertical="center"/>
      <protection locked="0"/>
    </xf>
    <xf numFmtId="164" fontId="11" fillId="2" borderId="0" xfId="2" applyNumberFormat="1" applyFont="1" applyFill="1" applyAlignment="1">
      <alignment horizontal="right" vertical="center"/>
    </xf>
    <xf numFmtId="164" fontId="18" fillId="2" borderId="0" xfId="2" applyNumberFormat="1" applyFont="1" applyFill="1" applyAlignment="1" applyProtection="1">
      <alignment horizontal="left" vertical="center"/>
    </xf>
    <xf numFmtId="41" fontId="30" fillId="2" borderId="0" xfId="3" applyNumberFormat="1" applyFont="1" applyFill="1" applyBorder="1" applyAlignment="1" applyProtection="1">
      <alignment horizontal="right" vertical="center"/>
      <protection locked="0"/>
    </xf>
    <xf numFmtId="164" fontId="18" fillId="2" borderId="0" xfId="2" applyNumberFormat="1" applyFont="1" applyFill="1" applyBorder="1" applyAlignment="1" applyProtection="1">
      <alignment horizontal="left" vertical="center"/>
    </xf>
    <xf numFmtId="165" fontId="18" fillId="2" borderId="0" xfId="2" applyNumberFormat="1" applyFont="1" applyFill="1" applyBorder="1" applyAlignment="1" applyProtection="1">
      <alignment horizontal="right" vertical="center"/>
    </xf>
    <xf numFmtId="165" fontId="13" fillId="2" borderId="2" xfId="2" applyNumberFormat="1" applyFont="1" applyFill="1" applyBorder="1" applyAlignment="1" applyProtection="1">
      <alignment horizontal="right" vertical="center"/>
      <protection locked="0"/>
    </xf>
    <xf numFmtId="164" fontId="32" fillId="2" borderId="0" xfId="2" applyNumberFormat="1" applyFont="1" applyFill="1" applyAlignment="1">
      <alignment vertical="center" wrapText="1"/>
    </xf>
    <xf numFmtId="164" fontId="27" fillId="2" borderId="3" xfId="2" applyNumberFormat="1" applyFont="1" applyFill="1" applyBorder="1" applyAlignment="1">
      <alignment vertical="center"/>
    </xf>
    <xf numFmtId="164" fontId="26" fillId="2" borderId="0" xfId="2" applyNumberFormat="1" applyFont="1" applyFill="1" applyBorder="1" applyAlignment="1"/>
    <xf numFmtId="164" fontId="26" fillId="2" borderId="0" xfId="2" applyNumberFormat="1" applyFont="1" applyFill="1" applyBorder="1" applyAlignment="1">
      <alignment horizontal="center"/>
    </xf>
    <xf numFmtId="164" fontId="27" fillId="2" borderId="0" xfId="2" applyNumberFormat="1" applyFont="1" applyFill="1" applyBorder="1" applyAlignment="1">
      <alignment vertical="center"/>
    </xf>
    <xf numFmtId="164" fontId="12" fillId="2" borderId="0" xfId="2" applyNumberFormat="1" applyFont="1" applyFill="1" applyBorder="1" applyAlignment="1" applyProtection="1">
      <alignment horizontal="right" vertical="center"/>
      <protection locked="0"/>
    </xf>
    <xf numFmtId="164" fontId="27" fillId="2" borderId="0" xfId="2" applyNumberFormat="1" applyFont="1" applyFill="1" applyBorder="1" applyAlignment="1" applyProtection="1">
      <alignment horizontal="center" vertical="center"/>
      <protection locked="0"/>
    </xf>
    <xf numFmtId="164" fontId="27" fillId="2" borderId="0" xfId="2" applyNumberFormat="1" applyFont="1" applyFill="1" applyBorder="1" applyAlignment="1" applyProtection="1">
      <alignment horizontal="right" vertical="center"/>
      <protection locked="0"/>
    </xf>
    <xf numFmtId="168" fontId="13" fillId="2" borderId="17" xfId="2" applyNumberFormat="1" applyFont="1" applyFill="1" applyBorder="1" applyAlignment="1">
      <alignment horizontal="right" vertical="center"/>
    </xf>
    <xf numFmtId="164" fontId="34" fillId="2" borderId="2" xfId="2" applyNumberFormat="1" applyFont="1" applyFill="1" applyBorder="1" applyAlignment="1">
      <alignment horizontal="right" vertical="center"/>
    </xf>
    <xf numFmtId="3" fontId="8" fillId="2" borderId="0" xfId="2" applyNumberFormat="1" applyFont="1" applyFill="1" applyBorder="1" applyAlignment="1" applyProtection="1">
      <alignment horizontal="right" vertical="center"/>
    </xf>
    <xf numFmtId="3" fontId="8" fillId="2" borderId="3" xfId="2" applyNumberFormat="1" applyFont="1" applyFill="1" applyBorder="1" applyAlignment="1" applyProtection="1">
      <alignment horizontal="right" vertical="center"/>
    </xf>
    <xf numFmtId="165" fontId="8" fillId="2" borderId="3" xfId="2" applyNumberFormat="1" applyFont="1" applyFill="1" applyBorder="1" applyAlignment="1" applyProtection="1">
      <alignment horizontal="right" vertical="center"/>
    </xf>
    <xf numFmtId="168" fontId="8" fillId="2" borderId="0" xfId="2" applyNumberFormat="1" applyFont="1" applyFill="1" applyBorder="1" applyAlignment="1" applyProtection="1">
      <alignment horizontal="right" vertical="center"/>
      <protection locked="0"/>
    </xf>
    <xf numFmtId="3" fontId="8" fillId="2" borderId="0" xfId="2" applyNumberFormat="1" applyFont="1" applyFill="1" applyBorder="1" applyAlignment="1" applyProtection="1">
      <alignment horizontal="right" vertical="center"/>
      <protection locked="0"/>
    </xf>
    <xf numFmtId="168" fontId="8" fillId="2" borderId="10" xfId="2" applyNumberFormat="1" applyFont="1" applyFill="1" applyBorder="1" applyAlignment="1" applyProtection="1">
      <alignment vertical="center"/>
      <protection locked="0"/>
    </xf>
    <xf numFmtId="164" fontId="14" fillId="2" borderId="0" xfId="2" applyNumberFormat="1" applyFont="1" applyFill="1" applyAlignment="1" applyProtection="1">
      <alignment horizontal="left" vertical="center"/>
    </xf>
    <xf numFmtId="3" fontId="14" fillId="2" borderId="0" xfId="2" applyNumberFormat="1" applyFont="1" applyFill="1" applyBorder="1" applyAlignment="1" applyProtection="1">
      <alignment horizontal="right" vertical="center"/>
      <protection locked="0"/>
    </xf>
    <xf numFmtId="168" fontId="14" fillId="2" borderId="0" xfId="2" applyNumberFormat="1" applyFont="1" applyFill="1" applyBorder="1" applyAlignment="1" applyProtection="1">
      <alignment vertical="center"/>
      <protection locked="0"/>
    </xf>
    <xf numFmtId="168" fontId="14" fillId="2" borderId="10" xfId="2" applyNumberFormat="1" applyFont="1" applyFill="1" applyBorder="1" applyAlignment="1" applyProtection="1">
      <alignment vertical="center"/>
      <protection locked="0"/>
    </xf>
    <xf numFmtId="168" fontId="14" fillId="2" borderId="0" xfId="2" applyNumberFormat="1" applyFont="1" applyFill="1" applyBorder="1" applyAlignment="1" applyProtection="1">
      <alignment horizontal="right" vertical="center"/>
      <protection locked="0"/>
    </xf>
    <xf numFmtId="164" fontId="28" fillId="2" borderId="0" xfId="2" applyNumberFormat="1" applyFont="1" applyFill="1" applyAlignment="1">
      <alignment horizontal="right" vertical="center" indent="3"/>
    </xf>
    <xf numFmtId="3" fontId="14" fillId="2" borderId="0" xfId="2" applyNumberFormat="1" applyFont="1" applyFill="1" applyBorder="1" applyAlignment="1">
      <alignment vertical="center"/>
    </xf>
    <xf numFmtId="164" fontId="20" fillId="2" borderId="0" xfId="2" applyNumberFormat="1" applyFont="1" applyFill="1" applyAlignment="1">
      <alignment horizontal="right" vertical="center"/>
    </xf>
    <xf numFmtId="3" fontId="14" fillId="2" borderId="0" xfId="2" applyNumberFormat="1" applyFont="1" applyFill="1" applyBorder="1" applyAlignment="1" applyProtection="1">
      <alignment horizontal="right" vertical="center"/>
    </xf>
    <xf numFmtId="164" fontId="14" fillId="2" borderId="2" xfId="2" applyNumberFormat="1" applyFont="1" applyFill="1" applyBorder="1" applyAlignment="1" applyProtection="1">
      <alignment horizontal="left" vertical="center"/>
    </xf>
    <xf numFmtId="3" fontId="14" fillId="2" borderId="2" xfId="2" applyNumberFormat="1" applyFont="1" applyFill="1" applyBorder="1" applyAlignment="1" applyProtection="1">
      <alignment horizontal="center" vertical="center"/>
      <protection locked="0"/>
    </xf>
    <xf numFmtId="3" fontId="14" fillId="2" borderId="2" xfId="2" applyNumberFormat="1" applyFont="1" applyFill="1" applyBorder="1" applyAlignment="1" applyProtection="1">
      <alignment horizontal="right" vertical="center"/>
      <protection locked="0"/>
    </xf>
    <xf numFmtId="165" fontId="14" fillId="2" borderId="2" xfId="2" applyNumberFormat="1" applyFont="1" applyFill="1" applyBorder="1" applyAlignment="1" applyProtection="1">
      <alignment horizontal="right" vertical="center"/>
      <protection locked="0"/>
    </xf>
    <xf numFmtId="168" fontId="14" fillId="2" borderId="11" xfId="2" applyNumberFormat="1" applyFont="1" applyFill="1" applyBorder="1" applyAlignment="1" applyProtection="1">
      <alignment vertical="center"/>
      <protection locked="0"/>
    </xf>
    <xf numFmtId="168" fontId="14" fillId="2" borderId="2" xfId="2" applyNumberFormat="1" applyFont="1" applyFill="1" applyBorder="1" applyAlignment="1" applyProtection="1">
      <alignment horizontal="right" vertical="center"/>
      <protection locked="0"/>
    </xf>
    <xf numFmtId="164" fontId="20" fillId="2" borderId="2" xfId="2" applyNumberFormat="1" applyFont="1" applyFill="1" applyBorder="1" applyAlignment="1">
      <alignment horizontal="right" vertical="center"/>
    </xf>
    <xf numFmtId="37" fontId="18" fillId="2" borderId="0" xfId="2" applyNumberFormat="1" applyFont="1" applyFill="1" applyAlignment="1" applyProtection="1">
      <alignment horizontal="center" vertical="center"/>
    </xf>
    <xf numFmtId="168" fontId="18" fillId="2" borderId="0" xfId="2" applyNumberFormat="1" applyFont="1" applyFill="1" applyAlignment="1" applyProtection="1">
      <alignment horizontal="center" vertical="center"/>
    </xf>
    <xf numFmtId="168" fontId="24" fillId="2" borderId="0" xfId="2" applyNumberFormat="1" applyFont="1" applyFill="1" applyAlignment="1">
      <alignment horizontal="center" vertical="center"/>
    </xf>
    <xf numFmtId="165" fontId="12" fillId="2" borderId="0" xfId="2" applyNumberFormat="1" applyFont="1" applyFill="1" applyAlignment="1" applyProtection="1">
      <alignment horizontal="right" vertical="center"/>
    </xf>
    <xf numFmtId="165" fontId="12" fillId="2" borderId="0" xfId="2" applyNumberFormat="1" applyFont="1" applyFill="1" applyAlignment="1" applyProtection="1">
      <alignment horizontal="right" vertical="center"/>
      <protection locked="0"/>
    </xf>
    <xf numFmtId="164" fontId="11" fillId="2" borderId="0" xfId="2" applyNumberFormat="1" applyFont="1" applyFill="1" applyBorder="1" applyAlignment="1"/>
    <xf numFmtId="164" fontId="11" fillId="2" borderId="3" xfId="2" applyNumberFormat="1" applyFont="1" applyFill="1" applyBorder="1" applyAlignment="1">
      <alignment horizontal="center"/>
    </xf>
    <xf numFmtId="0" fontId="16" fillId="2" borderId="3" xfId="2" applyFont="1" applyFill="1" applyBorder="1" applyAlignment="1" applyProtection="1">
      <alignment horizontal="center" vertical="center"/>
    </xf>
    <xf numFmtId="164" fontId="12" fillId="2" borderId="0" xfId="2" applyNumberFormat="1" applyFont="1" applyFill="1" applyBorder="1" applyAlignment="1" applyProtection="1">
      <alignment horizontal="left" vertical="center"/>
    </xf>
    <xf numFmtId="164" fontId="12" fillId="2" borderId="0" xfId="2" applyNumberFormat="1" applyFont="1" applyFill="1" applyBorder="1" applyAlignment="1">
      <alignment horizontal="right"/>
    </xf>
    <xf numFmtId="1" fontId="13" fillId="2" borderId="2" xfId="2" applyNumberFormat="1" applyFont="1" applyFill="1" applyBorder="1" applyAlignment="1" applyProtection="1">
      <alignment horizontal="right" vertical="center"/>
    </xf>
    <xf numFmtId="1" fontId="13" fillId="2" borderId="2" xfId="2" applyNumberFormat="1" applyFont="1" applyFill="1" applyBorder="1" applyAlignment="1" applyProtection="1">
      <alignment horizontal="center" vertical="center"/>
    </xf>
    <xf numFmtId="1" fontId="13" fillId="2" borderId="2" xfId="2" applyNumberFormat="1" applyFont="1" applyFill="1" applyBorder="1" applyAlignment="1">
      <alignment horizontal="right" vertical="center"/>
    </xf>
    <xf numFmtId="1" fontId="13" fillId="2" borderId="0" xfId="2" applyNumberFormat="1" applyFont="1" applyFill="1" applyAlignment="1">
      <alignment horizontal="right" vertical="center"/>
    </xf>
    <xf numFmtId="165" fontId="13" fillId="2" borderId="0" xfId="2" applyNumberFormat="1" applyFont="1" applyFill="1" applyAlignment="1">
      <alignment horizontal="right" vertical="center"/>
    </xf>
    <xf numFmtId="165" fontId="13" fillId="2" borderId="0" xfId="2" applyNumberFormat="1" applyFont="1" applyFill="1" applyBorder="1" applyAlignment="1">
      <alignment horizontal="right" vertical="center"/>
    </xf>
    <xf numFmtId="165" fontId="13" fillId="2" borderId="0" xfId="2" applyNumberFormat="1" applyFont="1" applyFill="1" applyBorder="1" applyAlignment="1">
      <alignment horizontal="right" vertical="center" indent="3"/>
    </xf>
    <xf numFmtId="165" fontId="18" fillId="2" borderId="0" xfId="2" applyNumberFormat="1" applyFont="1" applyFill="1" applyAlignment="1">
      <alignment horizontal="right" vertical="center"/>
    </xf>
    <xf numFmtId="165" fontId="18" fillId="2" borderId="0" xfId="2" applyNumberFormat="1" applyFont="1" applyFill="1" applyBorder="1" applyAlignment="1">
      <alignment horizontal="right" vertical="center"/>
    </xf>
    <xf numFmtId="165" fontId="18" fillId="2" borderId="0" xfId="2" applyNumberFormat="1" applyFont="1" applyFill="1" applyBorder="1" applyAlignment="1">
      <alignment horizontal="right" vertical="center" indent="3"/>
    </xf>
    <xf numFmtId="164" fontId="20" fillId="2" borderId="0" xfId="2" applyNumberFormat="1" applyFont="1" applyFill="1" applyAlignment="1">
      <alignment horizontal="right" vertical="center" indent="4"/>
    </xf>
    <xf numFmtId="165" fontId="18" fillId="2" borderId="0" xfId="2" applyNumberFormat="1" applyFont="1" applyFill="1" applyAlignment="1" applyProtection="1">
      <alignment horizontal="right" vertical="center"/>
    </xf>
    <xf numFmtId="168" fontId="18" fillId="2" borderId="0" xfId="2" applyNumberFormat="1" applyFont="1" applyFill="1" applyBorder="1" applyAlignment="1" applyProtection="1">
      <alignment horizontal="right" vertical="center"/>
      <protection locked="0"/>
    </xf>
    <xf numFmtId="168" fontId="18" fillId="2" borderId="0" xfId="2" applyNumberFormat="1" applyFont="1" applyFill="1" applyAlignment="1">
      <alignment vertical="center"/>
    </xf>
    <xf numFmtId="164" fontId="28" fillId="2" borderId="0" xfId="2" applyNumberFormat="1" applyFont="1" applyFill="1" applyBorder="1" applyAlignment="1">
      <alignment horizontal="right" vertical="center"/>
    </xf>
    <xf numFmtId="168" fontId="18" fillId="2" borderId="2" xfId="2" applyNumberFormat="1" applyFont="1" applyFill="1" applyBorder="1" applyAlignment="1" applyProtection="1">
      <alignment horizontal="right" vertical="center"/>
      <protection locked="0"/>
    </xf>
    <xf numFmtId="164" fontId="18" fillId="2" borderId="0" xfId="2" applyNumberFormat="1" applyFont="1" applyFill="1" applyAlignment="1">
      <alignment horizontal="center" vertical="center"/>
    </xf>
    <xf numFmtId="164" fontId="35" fillId="2" borderId="0" xfId="2" applyNumberFormat="1" applyFont="1" applyFill="1"/>
    <xf numFmtId="164" fontId="8" fillId="2" borderId="0" xfId="2" applyNumberFormat="1" applyFont="1" applyFill="1" applyBorder="1" applyAlignment="1">
      <alignment horizontal="right" vertical="center"/>
    </xf>
    <xf numFmtId="164" fontId="8" fillId="2" borderId="0" xfId="2" applyNumberFormat="1" applyFont="1" applyFill="1" applyAlignment="1">
      <alignment horizontal="right" vertical="center"/>
    </xf>
    <xf numFmtId="164" fontId="13" fillId="2" borderId="0" xfId="2" applyNumberFormat="1" applyFont="1" applyFill="1" applyBorder="1" applyAlignment="1">
      <alignment horizontal="right"/>
    </xf>
    <xf numFmtId="164" fontId="13" fillId="2" borderId="3" xfId="2" applyNumberFormat="1" applyFont="1" applyFill="1" applyBorder="1" applyAlignment="1">
      <alignment horizontal="right"/>
    </xf>
    <xf numFmtId="0" fontId="17" fillId="2" borderId="0" xfId="2" applyFont="1" applyFill="1" applyBorder="1" applyAlignment="1" applyProtection="1">
      <alignment horizontal="center" vertical="center"/>
    </xf>
    <xf numFmtId="164" fontId="25" fillId="2" borderId="0" xfId="2" applyNumberFormat="1" applyFont="1" applyFill="1" applyBorder="1" applyAlignment="1">
      <alignment horizontal="center" vertical="center"/>
    </xf>
    <xf numFmtId="164" fontId="13" fillId="2" borderId="0" xfId="2" applyNumberFormat="1" applyFont="1" applyFill="1" applyBorder="1" applyAlignment="1">
      <alignment horizontal="right" vertical="center"/>
    </xf>
    <xf numFmtId="168" fontId="13" fillId="2" borderId="0" xfId="2" applyNumberFormat="1" applyFont="1" applyFill="1" applyBorder="1" applyAlignment="1" applyProtection="1">
      <alignment horizontal="center" vertical="center"/>
      <protection locked="0"/>
    </xf>
    <xf numFmtId="168" fontId="13" fillId="2" borderId="2" xfId="2" applyNumberFormat="1" applyFont="1" applyFill="1" applyBorder="1" applyAlignment="1">
      <alignment horizontal="right" vertical="center"/>
    </xf>
    <xf numFmtId="164" fontId="34" fillId="2" borderId="2" xfId="2" applyNumberFormat="1" applyFont="1" applyFill="1" applyBorder="1" applyAlignment="1">
      <alignment vertical="center"/>
    </xf>
    <xf numFmtId="165" fontId="13" fillId="2" borderId="0" xfId="2" applyNumberFormat="1" applyFont="1" applyFill="1" applyBorder="1" applyAlignment="1" applyProtection="1">
      <alignment horizontal="right" vertical="center"/>
    </xf>
    <xf numFmtId="168" fontId="13" fillId="2" borderId="0" xfId="2" applyNumberFormat="1" applyFont="1" applyFill="1" applyBorder="1" applyAlignment="1" applyProtection="1">
      <alignment horizontal="right" vertical="center"/>
    </xf>
    <xf numFmtId="168" fontId="18" fillId="2" borderId="0" xfId="2" applyNumberFormat="1" applyFont="1" applyFill="1" applyBorder="1" applyAlignment="1" applyProtection="1">
      <alignment horizontal="right" vertical="center"/>
    </xf>
    <xf numFmtId="164" fontId="18" fillId="2" borderId="0" xfId="2" applyNumberFormat="1" applyFont="1" applyFill="1" applyBorder="1" applyAlignment="1">
      <alignment vertical="center"/>
    </xf>
    <xf numFmtId="165" fontId="18" fillId="2" borderId="0" xfId="2" applyNumberFormat="1" applyFont="1" applyFill="1" applyBorder="1" applyAlignment="1" applyProtection="1">
      <alignment horizontal="right"/>
    </xf>
    <xf numFmtId="164" fontId="28" fillId="2" borderId="0" xfId="2" applyNumberFormat="1" applyFont="1" applyFill="1" applyAlignment="1">
      <alignment horizontal="center" vertical="center"/>
    </xf>
    <xf numFmtId="164" fontId="28" fillId="2" borderId="0" xfId="2" applyNumberFormat="1" applyFont="1" applyFill="1" applyBorder="1" applyAlignment="1">
      <alignment horizontal="center" vertical="center"/>
    </xf>
    <xf numFmtId="165" fontId="13" fillId="2" borderId="2" xfId="2" applyNumberFormat="1" applyFont="1" applyFill="1" applyBorder="1" applyAlignment="1" applyProtection="1">
      <alignment horizontal="right" vertical="center"/>
    </xf>
    <xf numFmtId="168" fontId="13" fillId="2" borderId="2" xfId="2" applyNumberFormat="1" applyFont="1" applyFill="1" applyBorder="1" applyAlignment="1" applyProtection="1">
      <alignment horizontal="right" vertical="center"/>
    </xf>
    <xf numFmtId="164" fontId="11" fillId="2" borderId="2" xfId="2" applyNumberFormat="1" applyFont="1" applyFill="1" applyBorder="1" applyAlignment="1">
      <alignment horizontal="right" vertical="center"/>
    </xf>
    <xf numFmtId="168" fontId="18" fillId="2" borderId="0" xfId="2" applyNumberFormat="1" applyFont="1" applyFill="1" applyAlignment="1">
      <alignment horizontal="center" vertical="center"/>
    </xf>
    <xf numFmtId="164" fontId="18" fillId="2" borderId="0" xfId="2" applyNumberFormat="1" applyFont="1" applyFill="1"/>
    <xf numFmtId="164" fontId="18" fillId="2" borderId="0" xfId="2" applyNumberFormat="1" applyFont="1" applyFill="1" applyAlignment="1">
      <alignment horizontal="center"/>
    </xf>
    <xf numFmtId="168" fontId="18" fillId="2" borderId="0" xfId="2" applyNumberFormat="1" applyFont="1" applyFill="1" applyAlignment="1">
      <alignment horizontal="center"/>
    </xf>
    <xf numFmtId="164" fontId="36" fillId="2" borderId="0" xfId="2" applyNumberFormat="1" applyFont="1" applyFill="1"/>
    <xf numFmtId="164" fontId="36" fillId="2" borderId="0" xfId="2" applyNumberFormat="1" applyFont="1" applyFill="1" applyAlignment="1">
      <alignment horizontal="center"/>
    </xf>
    <xf numFmtId="168" fontId="36" fillId="2" borderId="0" xfId="2" applyNumberFormat="1" applyFont="1" applyFill="1" applyAlignment="1">
      <alignment horizontal="center"/>
    </xf>
    <xf numFmtId="164" fontId="35" fillId="2" borderId="0" xfId="2" applyNumberFormat="1" applyFont="1" applyFill="1" applyAlignment="1">
      <alignment horizontal="center"/>
    </xf>
    <xf numFmtId="168" fontId="35" fillId="2" borderId="0" xfId="2" applyNumberFormat="1" applyFont="1" applyFill="1" applyAlignment="1">
      <alignment horizontal="center"/>
    </xf>
    <xf numFmtId="164" fontId="8" fillId="2" borderId="7" xfId="2" applyNumberFormat="1" applyFont="1" applyFill="1" applyBorder="1" applyAlignment="1" applyProtection="1">
      <alignment horizontal="center" vertical="center"/>
      <protection locked="0"/>
    </xf>
    <xf numFmtId="164" fontId="29" fillId="2" borderId="2" xfId="2" applyNumberFormat="1" applyFont="1" applyFill="1" applyBorder="1" applyAlignment="1">
      <alignment vertical="center"/>
    </xf>
    <xf numFmtId="164" fontId="12" fillId="2" borderId="10" xfId="2" applyNumberFormat="1" applyFont="1" applyFill="1" applyBorder="1" applyAlignment="1">
      <alignment vertical="center"/>
    </xf>
    <xf numFmtId="168" fontId="16" fillId="2" borderId="3" xfId="2" applyNumberFormat="1" applyFont="1" applyFill="1" applyBorder="1" applyAlignment="1" applyProtection="1">
      <alignment vertical="center"/>
      <protection hidden="1"/>
    </xf>
    <xf numFmtId="1" fontId="8" fillId="2" borderId="0" xfId="2" applyNumberFormat="1" applyFont="1" applyFill="1" applyBorder="1" applyAlignment="1" applyProtection="1">
      <alignment vertical="center"/>
      <protection locked="0"/>
    </xf>
    <xf numFmtId="165" fontId="18" fillId="2" borderId="2" xfId="2" applyNumberFormat="1" applyFont="1" applyFill="1" applyBorder="1" applyAlignment="1">
      <alignment horizontal="right" vertical="center" indent="3"/>
    </xf>
    <xf numFmtId="167" fontId="13" fillId="2" borderId="0" xfId="1" applyNumberFormat="1" applyFont="1" applyFill="1" applyAlignment="1">
      <alignment horizontal="right" vertical="center"/>
    </xf>
    <xf numFmtId="167" fontId="18" fillId="2" borderId="0" xfId="1" applyNumberFormat="1" applyFont="1" applyFill="1" applyBorder="1" applyAlignment="1" applyProtection="1">
      <alignment horizontal="right" vertical="center"/>
    </xf>
    <xf numFmtId="167" fontId="18" fillId="2" borderId="0" xfId="1" applyNumberFormat="1" applyFont="1" applyFill="1" applyAlignment="1">
      <alignment horizontal="right" vertical="center"/>
    </xf>
    <xf numFmtId="167" fontId="13" fillId="2" borderId="0" xfId="1" applyNumberFormat="1" applyFont="1" applyFill="1" applyAlignment="1" applyProtection="1">
      <alignment horizontal="right" vertical="center"/>
    </xf>
    <xf numFmtId="167" fontId="18" fillId="2" borderId="0" xfId="1" applyNumberFormat="1" applyFont="1" applyFill="1" applyAlignment="1" applyProtection="1">
      <alignment horizontal="right" vertical="center"/>
    </xf>
    <xf numFmtId="167" fontId="18" fillId="2" borderId="0" xfId="1" applyNumberFormat="1" applyFont="1" applyFill="1" applyAlignment="1">
      <alignment vertical="center"/>
    </xf>
    <xf numFmtId="167" fontId="18" fillId="2" borderId="2" xfId="1" applyNumberFormat="1" applyFont="1" applyFill="1" applyBorder="1" applyAlignment="1" applyProtection="1">
      <alignment horizontal="right" vertical="center"/>
      <protection locked="0"/>
    </xf>
    <xf numFmtId="1" fontId="3" fillId="2" borderId="9" xfId="4" applyNumberFormat="1" applyFont="1" applyFill="1" applyBorder="1" applyAlignment="1">
      <alignment horizontal="center" vertical="center"/>
    </xf>
    <xf numFmtId="164" fontId="3" fillId="2" borderId="9" xfId="4" applyNumberFormat="1" applyFont="1" applyFill="1" applyBorder="1" applyAlignment="1">
      <alignment horizontal="center" vertical="center"/>
    </xf>
    <xf numFmtId="167" fontId="4" fillId="2" borderId="9" xfId="1" applyNumberFormat="1" applyFont="1" applyFill="1" applyBorder="1" applyAlignment="1" applyProtection="1">
      <alignment horizontal="right" vertical="center"/>
    </xf>
    <xf numFmtId="164" fontId="3" fillId="0" borderId="9" xfId="4" applyNumberFormat="1" applyFont="1" applyFill="1" applyBorder="1" applyAlignment="1">
      <alignment horizontal="center" vertical="center"/>
    </xf>
    <xf numFmtId="164" fontId="11" fillId="2" borderId="0" xfId="2" applyNumberFormat="1" applyFont="1" applyFill="1" applyBorder="1" applyAlignment="1">
      <alignment horizontal="right" vertical="center"/>
    </xf>
    <xf numFmtId="164" fontId="8" fillId="2" borderId="0" xfId="2" applyNumberFormat="1" applyFont="1" applyFill="1" applyBorder="1" applyAlignment="1">
      <alignment horizontal="center" vertical="center"/>
    </xf>
    <xf numFmtId="165" fontId="18" fillId="2" borderId="0" xfId="2" applyNumberFormat="1" applyFont="1" applyFill="1" applyAlignment="1" applyProtection="1">
      <alignment horizontal="right" vertical="center"/>
      <protection locked="0"/>
    </xf>
    <xf numFmtId="165" fontId="18" fillId="2" borderId="0" xfId="2" applyNumberFormat="1" applyFont="1" applyFill="1" applyBorder="1" applyAlignment="1" applyProtection="1">
      <alignment horizontal="right" vertical="center"/>
      <protection locked="0"/>
    </xf>
    <xf numFmtId="164" fontId="13" fillId="2" borderId="0" xfId="2" applyNumberFormat="1" applyFont="1" applyFill="1" applyBorder="1" applyAlignment="1" applyProtection="1">
      <alignment horizontal="left" vertical="center"/>
    </xf>
    <xf numFmtId="164" fontId="13" fillId="2" borderId="2" xfId="2" applyNumberFormat="1" applyFont="1" applyFill="1" applyBorder="1" applyAlignment="1" applyProtection="1">
      <alignment horizontal="left" vertical="center"/>
    </xf>
    <xf numFmtId="164" fontId="25" fillId="2" borderId="0" xfId="2" applyNumberFormat="1" applyFont="1" applyFill="1" applyBorder="1" applyAlignment="1" applyProtection="1">
      <alignment horizontal="center" vertical="center"/>
    </xf>
    <xf numFmtId="164" fontId="38" fillId="2" borderId="0" xfId="2" applyNumberFormat="1" applyFont="1" applyFill="1" applyAlignment="1">
      <alignment vertical="center"/>
    </xf>
    <xf numFmtId="164" fontId="39" fillId="2" borderId="0" xfId="2" applyNumberFormat="1" applyFont="1" applyFill="1" applyAlignment="1">
      <alignment horizontal="center" vertical="center"/>
    </xf>
    <xf numFmtId="168" fontId="39" fillId="2" borderId="0" xfId="2" applyNumberFormat="1" applyFont="1" applyFill="1" applyAlignment="1">
      <alignment horizontal="center" vertical="center"/>
    </xf>
    <xf numFmtId="164" fontId="39" fillId="2" borderId="0" xfId="2" applyNumberFormat="1" applyFont="1" applyFill="1" applyAlignment="1">
      <alignment horizontal="right" vertical="center"/>
    </xf>
    <xf numFmtId="164" fontId="39" fillId="2" borderId="0" xfId="2" applyNumberFormat="1" applyFont="1" applyFill="1" applyAlignment="1">
      <alignment vertical="center"/>
    </xf>
    <xf numFmtId="167" fontId="18" fillId="2" borderId="0" xfId="1" applyNumberFormat="1" applyFont="1" applyFill="1" applyAlignment="1">
      <alignment horizontal="right" vertical="center" indent="2"/>
    </xf>
    <xf numFmtId="164" fontId="8" fillId="5" borderId="0" xfId="2" applyNumberFormat="1" applyFont="1" applyFill="1" applyBorder="1" applyAlignment="1" applyProtection="1">
      <alignment horizontal="right" vertical="center"/>
      <protection locked="0"/>
    </xf>
    <xf numFmtId="164" fontId="8" fillId="5" borderId="1" xfId="2" applyNumberFormat="1" applyFont="1" applyFill="1" applyBorder="1" applyAlignment="1" applyProtection="1">
      <alignment horizontal="right" vertical="center"/>
    </xf>
    <xf numFmtId="165" fontId="8" fillId="5" borderId="0" xfId="2" applyNumberFormat="1" applyFont="1" applyFill="1" applyBorder="1" applyAlignment="1" applyProtection="1">
      <alignment horizontal="right" vertical="center"/>
      <protection locked="0"/>
    </xf>
    <xf numFmtId="164" fontId="26" fillId="2" borderId="14" xfId="2" applyNumberFormat="1" applyFont="1" applyFill="1" applyBorder="1" applyAlignment="1">
      <alignment vertical="center"/>
    </xf>
    <xf numFmtId="165" fontId="14" fillId="5" borderId="11" xfId="2" applyNumberFormat="1" applyFont="1" applyFill="1" applyBorder="1" applyAlignment="1" applyProtection="1">
      <alignment horizontal="right" vertical="center"/>
      <protection locked="0"/>
    </xf>
    <xf numFmtId="165" fontId="14" fillId="5" borderId="10" xfId="2" applyNumberFormat="1" applyFont="1" applyFill="1" applyBorder="1" applyAlignment="1" applyProtection="1">
      <alignment horizontal="right" vertical="center"/>
      <protection locked="0"/>
    </xf>
    <xf numFmtId="164" fontId="8" fillId="5" borderId="16" xfId="2" applyNumberFormat="1" applyFont="1" applyFill="1" applyBorder="1" applyAlignment="1" applyProtection="1">
      <alignment horizontal="right" vertical="center"/>
      <protection locked="0"/>
    </xf>
    <xf numFmtId="164" fontId="8" fillId="5" borderId="21" xfId="2" applyNumberFormat="1" applyFont="1" applyFill="1" applyBorder="1" applyAlignment="1" applyProtection="1">
      <alignment horizontal="right" vertical="center"/>
    </xf>
    <xf numFmtId="165" fontId="8" fillId="5" borderId="3" xfId="2" applyNumberFormat="1" applyFont="1" applyFill="1" applyBorder="1" applyAlignment="1" applyProtection="1">
      <alignment horizontal="right" vertical="center"/>
    </xf>
    <xf numFmtId="165" fontId="8" fillId="5" borderId="12" xfId="2" applyNumberFormat="1" applyFont="1" applyFill="1" applyBorder="1" applyAlignment="1" applyProtection="1">
      <alignment horizontal="right" vertical="center"/>
    </xf>
    <xf numFmtId="165" fontId="8" fillId="5" borderId="10" xfId="2" applyNumberFormat="1" applyFont="1" applyFill="1" applyBorder="1" applyAlignment="1" applyProtection="1">
      <alignment horizontal="right" vertical="center"/>
      <protection locked="0"/>
    </xf>
    <xf numFmtId="165" fontId="14" fillId="5" borderId="0" xfId="2" applyNumberFormat="1" applyFont="1" applyFill="1" applyBorder="1" applyAlignment="1" applyProtection="1">
      <alignment horizontal="right" vertical="center"/>
      <protection locked="0"/>
    </xf>
    <xf numFmtId="165" fontId="14" fillId="5" borderId="2" xfId="2" applyNumberFormat="1" applyFont="1" applyFill="1" applyBorder="1" applyAlignment="1" applyProtection="1">
      <alignment horizontal="right" vertical="center"/>
      <protection locked="0"/>
    </xf>
    <xf numFmtId="164" fontId="26" fillId="2" borderId="14" xfId="2" applyNumberFormat="1" applyFont="1" applyFill="1" applyBorder="1" applyAlignment="1">
      <alignment horizontal="center"/>
    </xf>
    <xf numFmtId="164" fontId="27" fillId="2" borderId="14" xfId="2" applyNumberFormat="1" applyFont="1" applyFill="1" applyBorder="1" applyAlignment="1">
      <alignment vertical="center"/>
    </xf>
    <xf numFmtId="164" fontId="13" fillId="5" borderId="24" xfId="2" applyNumberFormat="1" applyFont="1" applyFill="1" applyBorder="1" applyAlignment="1">
      <alignment horizontal="right" vertical="center"/>
    </xf>
    <xf numFmtId="164" fontId="12" fillId="5" borderId="10" xfId="2" applyNumberFormat="1" applyFont="1" applyFill="1" applyBorder="1" applyAlignment="1">
      <alignment vertical="center"/>
    </xf>
    <xf numFmtId="168" fontId="8" fillId="5" borderId="10" xfId="2" applyNumberFormat="1" applyFont="1" applyFill="1" applyBorder="1" applyAlignment="1" applyProtection="1">
      <alignment vertical="center"/>
      <protection locked="0"/>
    </xf>
    <xf numFmtId="168" fontId="14" fillId="5" borderId="10" xfId="2" applyNumberFormat="1" applyFont="1" applyFill="1" applyBorder="1" applyAlignment="1" applyProtection="1">
      <alignment vertical="center"/>
      <protection locked="0"/>
    </xf>
    <xf numFmtId="168" fontId="14" fillId="5" borderId="11" xfId="2" applyNumberFormat="1" applyFont="1" applyFill="1" applyBorder="1" applyAlignment="1" applyProtection="1">
      <alignment vertical="center"/>
      <protection locked="0"/>
    </xf>
    <xf numFmtId="168" fontId="13" fillId="5" borderId="17" xfId="2" applyNumberFormat="1" applyFont="1" applyFill="1" applyBorder="1" applyAlignment="1">
      <alignment horizontal="right" vertical="center"/>
    </xf>
    <xf numFmtId="168" fontId="8" fillId="5" borderId="0" xfId="2" applyNumberFormat="1" applyFont="1" applyFill="1" applyBorder="1" applyAlignment="1" applyProtection="1">
      <alignment horizontal="right" vertical="center"/>
      <protection locked="0"/>
    </xf>
    <xf numFmtId="168" fontId="14" fillId="5" borderId="0" xfId="2" applyNumberFormat="1" applyFont="1" applyFill="1" applyBorder="1" applyAlignment="1" applyProtection="1">
      <alignment horizontal="right" vertical="center"/>
      <protection locked="0"/>
    </xf>
    <xf numFmtId="168" fontId="14" fillId="5" borderId="0" xfId="2" applyNumberFormat="1" applyFont="1" applyFill="1" applyBorder="1" applyAlignment="1" applyProtection="1">
      <alignment vertical="center"/>
      <protection locked="0"/>
    </xf>
    <xf numFmtId="168" fontId="14" fillId="5" borderId="2" xfId="2" applyNumberFormat="1" applyFont="1" applyFill="1" applyBorder="1" applyAlignment="1" applyProtection="1">
      <alignment horizontal="right" vertical="center"/>
      <protection locked="0"/>
    </xf>
    <xf numFmtId="164" fontId="40" fillId="2" borderId="0" xfId="2" applyNumberFormat="1" applyFont="1" applyFill="1" applyBorder="1" applyAlignment="1" applyProtection="1">
      <alignment horizontal="right" vertical="center"/>
      <protection locked="0"/>
    </xf>
    <xf numFmtId="164" fontId="40" fillId="5" borderId="23" xfId="2" applyNumberFormat="1" applyFont="1" applyFill="1" applyBorder="1" applyAlignment="1" applyProtection="1">
      <alignment horizontal="right" vertical="center"/>
      <protection locked="0"/>
    </xf>
    <xf numFmtId="168" fontId="13" fillId="2" borderId="5" xfId="2" applyNumberFormat="1" applyFont="1" applyFill="1" applyBorder="1" applyAlignment="1">
      <alignment horizontal="right" vertical="center"/>
    </xf>
    <xf numFmtId="164" fontId="13" fillId="2" borderId="22" xfId="2" applyNumberFormat="1" applyFont="1" applyFill="1" applyBorder="1" applyAlignment="1" applyProtection="1">
      <alignment horizontal="right" vertical="center"/>
    </xf>
    <xf numFmtId="165" fontId="13" fillId="2" borderId="25" xfId="2" applyNumberFormat="1" applyFont="1" applyFill="1" applyBorder="1" applyAlignment="1" applyProtection="1">
      <alignment horizontal="right" vertical="center"/>
    </xf>
    <xf numFmtId="165" fontId="18" fillId="2" borderId="25" xfId="2" applyNumberFormat="1" applyFont="1" applyFill="1" applyBorder="1" applyAlignment="1" applyProtection="1">
      <alignment horizontal="right" vertical="center"/>
    </xf>
    <xf numFmtId="165" fontId="13" fillId="2" borderId="24" xfId="2" applyNumberFormat="1" applyFont="1" applyFill="1" applyBorder="1" applyAlignment="1" applyProtection="1">
      <alignment horizontal="right" vertical="center"/>
    </xf>
    <xf numFmtId="165" fontId="18" fillId="5" borderId="0" xfId="2" applyNumberFormat="1" applyFont="1" applyFill="1" applyBorder="1" applyAlignment="1" applyProtection="1">
      <alignment horizontal="right" vertical="center"/>
    </xf>
    <xf numFmtId="165" fontId="13" fillId="5" borderId="2" xfId="2" applyNumberFormat="1" applyFont="1" applyFill="1" applyBorder="1" applyAlignment="1" applyProtection="1">
      <alignment horizontal="right" vertical="center"/>
    </xf>
    <xf numFmtId="165" fontId="13" fillId="5" borderId="0" xfId="2" applyNumberFormat="1" applyFont="1" applyFill="1" applyBorder="1" applyAlignment="1" applyProtection="1">
      <alignment horizontal="right" vertical="center"/>
    </xf>
    <xf numFmtId="164" fontId="13" fillId="5" borderId="20" xfId="2" applyNumberFormat="1" applyFont="1" applyFill="1" applyBorder="1" applyAlignment="1" applyProtection="1">
      <alignment horizontal="right" vertical="center"/>
    </xf>
    <xf numFmtId="165" fontId="13" fillId="5" borderId="10" xfId="2" applyNumberFormat="1" applyFont="1" applyFill="1" applyBorder="1" applyAlignment="1" applyProtection="1">
      <alignment horizontal="right" vertical="center"/>
    </xf>
    <xf numFmtId="165" fontId="18" fillId="5" borderId="10" xfId="2" applyNumberFormat="1" applyFont="1" applyFill="1" applyBorder="1" applyAlignment="1" applyProtection="1">
      <alignment horizontal="right" vertical="center"/>
    </xf>
    <xf numFmtId="165" fontId="13" fillId="5" borderId="11" xfId="2" applyNumberFormat="1" applyFont="1" applyFill="1" applyBorder="1" applyAlignment="1" applyProtection="1">
      <alignment horizontal="right" vertical="center"/>
    </xf>
    <xf numFmtId="168" fontId="13" fillId="5" borderId="0" xfId="2" applyNumberFormat="1" applyFont="1" applyFill="1" applyBorder="1" applyAlignment="1" applyProtection="1">
      <alignment horizontal="right" vertical="center"/>
    </xf>
    <xf numFmtId="168" fontId="18" fillId="5" borderId="0" xfId="2" applyNumberFormat="1" applyFont="1" applyFill="1" applyBorder="1" applyAlignment="1" applyProtection="1">
      <alignment horizontal="right" vertical="center"/>
    </xf>
    <xf numFmtId="168" fontId="13" fillId="5" borderId="2" xfId="2" applyNumberFormat="1" applyFont="1" applyFill="1" applyBorder="1" applyAlignment="1" applyProtection="1">
      <alignment horizontal="right" vertical="center"/>
    </xf>
    <xf numFmtId="168" fontId="13" fillId="5" borderId="2" xfId="2" applyNumberFormat="1" applyFont="1" applyFill="1" applyBorder="1" applyAlignment="1">
      <alignment horizontal="right" vertical="center"/>
    </xf>
    <xf numFmtId="1" fontId="13" fillId="2" borderId="24" xfId="2" applyNumberFormat="1" applyFont="1" applyFill="1" applyBorder="1" applyAlignment="1" applyProtection="1">
      <alignment horizontal="right" vertical="center"/>
    </xf>
    <xf numFmtId="165" fontId="13" fillId="2" borderId="26" xfId="2" applyNumberFormat="1" applyFont="1" applyFill="1" applyBorder="1" applyAlignment="1">
      <alignment horizontal="right" vertical="center"/>
    </xf>
    <xf numFmtId="165" fontId="13" fillId="2" borderId="25" xfId="2" applyNumberFormat="1" applyFont="1" applyFill="1" applyBorder="1" applyAlignment="1">
      <alignment horizontal="right" vertical="center"/>
    </xf>
    <xf numFmtId="165" fontId="18" fillId="2" borderId="25" xfId="2" applyNumberFormat="1" applyFont="1" applyFill="1" applyBorder="1" applyAlignment="1">
      <alignment horizontal="right" vertical="center"/>
    </xf>
    <xf numFmtId="167" fontId="18" fillId="2" borderId="25" xfId="1" applyNumberFormat="1" applyFont="1" applyFill="1" applyBorder="1" applyAlignment="1">
      <alignment horizontal="right" vertical="center"/>
    </xf>
    <xf numFmtId="165" fontId="18" fillId="2" borderId="24" xfId="2" applyNumberFormat="1" applyFont="1" applyFill="1" applyBorder="1" applyAlignment="1">
      <alignment horizontal="right" vertical="center"/>
    </xf>
    <xf numFmtId="167" fontId="18" fillId="5" borderId="0" xfId="1" applyNumberFormat="1" applyFont="1" applyFill="1" applyBorder="1" applyAlignment="1" applyProtection="1">
      <alignment horizontal="right" vertical="center"/>
    </xf>
    <xf numFmtId="167" fontId="18" fillId="5" borderId="0" xfId="1" applyNumberFormat="1" applyFont="1" applyFill="1" applyAlignment="1">
      <alignment horizontal="right" vertical="center"/>
    </xf>
    <xf numFmtId="167" fontId="18" fillId="5" borderId="0" xfId="1" applyNumberFormat="1" applyFont="1" applyFill="1" applyAlignment="1">
      <alignment vertical="center"/>
    </xf>
    <xf numFmtId="167" fontId="18" fillId="5" borderId="2" xfId="1" applyNumberFormat="1" applyFont="1" applyFill="1" applyBorder="1" applyAlignment="1" applyProtection="1">
      <alignment horizontal="right" vertical="center"/>
      <protection locked="0"/>
    </xf>
    <xf numFmtId="167" fontId="13" fillId="5" borderId="0" xfId="1" applyNumberFormat="1" applyFont="1" applyFill="1" applyAlignment="1">
      <alignment horizontal="right" vertical="center"/>
    </xf>
    <xf numFmtId="167" fontId="13" fillId="5" borderId="0" xfId="1" applyNumberFormat="1" applyFont="1" applyFill="1" applyAlignment="1" applyProtection="1">
      <alignment horizontal="right" vertical="center"/>
    </xf>
    <xf numFmtId="167" fontId="18" fillId="5" borderId="0" xfId="1" applyNumberFormat="1" applyFont="1" applyFill="1" applyAlignment="1" applyProtection="1">
      <alignment horizontal="right" vertical="center"/>
    </xf>
    <xf numFmtId="1" fontId="13" fillId="5" borderId="11" xfId="2" applyNumberFormat="1" applyFont="1" applyFill="1" applyBorder="1" applyAlignment="1" applyProtection="1">
      <alignment horizontal="right" vertical="center"/>
    </xf>
    <xf numFmtId="165" fontId="13" fillId="5" borderId="12" xfId="2" applyNumberFormat="1" applyFont="1" applyFill="1" applyBorder="1" applyAlignment="1">
      <alignment horizontal="right" vertical="center"/>
    </xf>
    <xf numFmtId="165" fontId="13" fillId="5" borderId="10" xfId="2" applyNumberFormat="1" applyFont="1" applyFill="1" applyBorder="1" applyAlignment="1">
      <alignment horizontal="right" vertical="center"/>
    </xf>
    <xf numFmtId="165" fontId="18" fillId="5" borderId="10" xfId="2" applyNumberFormat="1" applyFont="1" applyFill="1" applyBorder="1" applyAlignment="1">
      <alignment horizontal="right" vertical="center"/>
    </xf>
    <xf numFmtId="167" fontId="18" fillId="5" borderId="10" xfId="1" applyNumberFormat="1" applyFont="1" applyFill="1" applyBorder="1" applyAlignment="1">
      <alignment horizontal="right" vertical="center"/>
    </xf>
    <xf numFmtId="165" fontId="18" fillId="5" borderId="11" xfId="2" applyNumberFormat="1" applyFont="1" applyFill="1" applyBorder="1" applyAlignment="1">
      <alignment horizontal="right" vertical="center"/>
    </xf>
    <xf numFmtId="1" fontId="13" fillId="5" borderId="2" xfId="2" applyNumberFormat="1" applyFont="1" applyFill="1" applyBorder="1" applyAlignment="1" applyProtection="1">
      <alignment horizontal="center" vertical="center"/>
    </xf>
    <xf numFmtId="165" fontId="13" fillId="5" borderId="0" xfId="2" applyNumberFormat="1" applyFont="1" applyFill="1" applyBorder="1" applyAlignment="1">
      <alignment horizontal="right" vertical="center" indent="3"/>
    </xf>
    <xf numFmtId="165" fontId="18" fillId="5" borderId="0" xfId="2" applyNumberFormat="1" applyFont="1" applyFill="1" applyBorder="1" applyAlignment="1">
      <alignment horizontal="right" vertical="center" indent="3"/>
    </xf>
    <xf numFmtId="167" fontId="18" fillId="5" borderId="0" xfId="1" applyNumberFormat="1" applyFont="1" applyFill="1" applyAlignment="1">
      <alignment horizontal="right" vertical="center" indent="2"/>
    </xf>
    <xf numFmtId="165" fontId="18" fillId="5" borderId="2" xfId="2" applyNumberFormat="1" applyFont="1" applyFill="1" applyBorder="1" applyAlignment="1">
      <alignment horizontal="right" vertical="center" indent="3"/>
    </xf>
    <xf numFmtId="164" fontId="41" fillId="3" borderId="9" xfId="4" applyNumberFormat="1" applyFont="1" applyFill="1" applyBorder="1" applyAlignment="1">
      <alignment horizontal="center" vertical="center"/>
    </xf>
    <xf numFmtId="167" fontId="42" fillId="4" borderId="9" xfId="1" applyNumberFormat="1" applyFont="1" applyFill="1" applyBorder="1"/>
    <xf numFmtId="167" fontId="42" fillId="4" borderId="9" xfId="1" applyNumberFormat="1" applyFont="1" applyFill="1" applyBorder="1" applyAlignment="1" applyProtection="1">
      <alignment horizontal="right" vertical="center"/>
    </xf>
    <xf numFmtId="0" fontId="43" fillId="2" borderId="0" xfId="0" applyFont="1" applyFill="1" applyAlignment="1">
      <alignment vertical="top" wrapText="1"/>
    </xf>
    <xf numFmtId="0" fontId="48" fillId="2" borderId="0" xfId="0" applyFont="1" applyFill="1" applyAlignment="1">
      <alignment vertical="top"/>
    </xf>
    <xf numFmtId="0" fontId="45" fillId="2" borderId="0" xfId="0" applyFont="1" applyFill="1" applyAlignment="1">
      <alignment vertical="top" wrapText="1"/>
    </xf>
    <xf numFmtId="0" fontId="43" fillId="2" borderId="14" xfId="0" applyFont="1" applyFill="1" applyBorder="1" applyAlignment="1">
      <alignment vertical="top" wrapText="1"/>
    </xf>
    <xf numFmtId="0" fontId="49" fillId="2" borderId="14" xfId="0" applyFont="1" applyFill="1" applyBorder="1" applyAlignment="1">
      <alignment vertical="center"/>
    </xf>
    <xf numFmtId="0" fontId="49" fillId="2" borderId="19" xfId="0" applyFont="1" applyFill="1" applyBorder="1" applyAlignment="1">
      <alignment vertical="center" wrapText="1"/>
    </xf>
    <xf numFmtId="0" fontId="49" fillId="2" borderId="28" xfId="0" applyFont="1" applyFill="1" applyBorder="1" applyAlignment="1">
      <alignment horizontal="center" vertical="center" wrapText="1"/>
    </xf>
    <xf numFmtId="0" fontId="52" fillId="2" borderId="2" xfId="0" applyFont="1" applyFill="1" applyBorder="1" applyAlignment="1">
      <alignment vertical="center" wrapText="1" readingOrder="2"/>
    </xf>
    <xf numFmtId="0" fontId="51" fillId="2" borderId="0" xfId="0" applyFont="1" applyFill="1" applyBorder="1" applyAlignment="1">
      <alignment horizontal="center" vertical="center" wrapText="1" readingOrder="2"/>
    </xf>
    <xf numFmtId="0" fontId="6" fillId="2" borderId="0" xfId="0" applyFont="1" applyFill="1" applyAlignment="1">
      <alignment vertical="top" wrapText="1"/>
    </xf>
    <xf numFmtId="0" fontId="49" fillId="2" borderId="17" xfId="0" applyFont="1" applyFill="1" applyBorder="1" applyAlignment="1">
      <alignment horizontal="right" vertical="center" wrapText="1"/>
    </xf>
    <xf numFmtId="0" fontId="8" fillId="2" borderId="17" xfId="0" applyFont="1" applyFill="1" applyBorder="1" applyAlignment="1">
      <alignment horizontal="right" vertical="center" wrapText="1"/>
    </xf>
    <xf numFmtId="0" fontId="49" fillId="2" borderId="31" xfId="0" applyFont="1" applyFill="1" applyBorder="1" applyAlignment="1">
      <alignment horizontal="right" vertical="center" wrapText="1"/>
    </xf>
    <xf numFmtId="0" fontId="49" fillId="2" borderId="17" xfId="0" applyFont="1" applyFill="1" applyBorder="1" applyAlignment="1">
      <alignment horizontal="center" vertical="center" wrapText="1"/>
    </xf>
    <xf numFmtId="0" fontId="43" fillId="2" borderId="0" xfId="0" applyFont="1" applyFill="1" applyAlignment="1">
      <alignment horizontal="left" vertical="top"/>
    </xf>
    <xf numFmtId="174" fontId="45" fillId="2" borderId="0" xfId="1" applyNumberFormat="1" applyFont="1" applyFill="1" applyBorder="1" applyAlignment="1">
      <alignment horizontal="right" vertical="center"/>
    </xf>
    <xf numFmtId="168" fontId="45" fillId="2" borderId="0" xfId="0" applyNumberFormat="1" applyFont="1" applyFill="1" applyBorder="1" applyAlignment="1">
      <alignment horizontal="right" vertical="center" wrapText="1"/>
    </xf>
    <xf numFmtId="165" fontId="45" fillId="2" borderId="0" xfId="1" applyNumberFormat="1" applyFont="1" applyFill="1" applyBorder="1" applyAlignment="1">
      <alignment horizontal="center" vertical="center" wrapText="1"/>
    </xf>
    <xf numFmtId="165" fontId="45" fillId="2" borderId="0" xfId="1" applyNumberFormat="1" applyFont="1" applyFill="1" applyAlignment="1">
      <alignment horizontal="center" vertical="center" wrapText="1"/>
    </xf>
    <xf numFmtId="0" fontId="53" fillId="2" borderId="0" xfId="0" applyFont="1" applyFill="1" applyAlignment="1">
      <alignment vertical="top" wrapText="1"/>
    </xf>
    <xf numFmtId="174" fontId="43" fillId="2" borderId="0" xfId="0" applyNumberFormat="1" applyFont="1" applyFill="1" applyAlignment="1">
      <alignment vertical="top" wrapText="1"/>
    </xf>
    <xf numFmtId="175" fontId="43" fillId="2" borderId="0" xfId="0" applyNumberFormat="1" applyFont="1" applyFill="1" applyAlignment="1">
      <alignment horizontal="left" vertical="top"/>
    </xf>
    <xf numFmtId="43" fontId="43" fillId="2" borderId="0" xfId="0" applyNumberFormat="1" applyFont="1" applyFill="1" applyAlignment="1">
      <alignment vertical="top" wrapText="1"/>
    </xf>
    <xf numFmtId="175" fontId="43" fillId="2" borderId="0" xfId="0" applyNumberFormat="1" applyFont="1" applyFill="1" applyAlignment="1">
      <alignment horizontal="left" vertical="top" wrapText="1"/>
    </xf>
    <xf numFmtId="43" fontId="43" fillId="2" borderId="0" xfId="1" applyFont="1" applyFill="1" applyAlignment="1">
      <alignment vertical="top" wrapText="1"/>
    </xf>
    <xf numFmtId="165" fontId="55" fillId="2" borderId="0" xfId="2" applyNumberFormat="1" applyFont="1" applyFill="1" applyAlignment="1">
      <alignment horizontal="right" vertical="center"/>
    </xf>
    <xf numFmtId="0" fontId="56" fillId="2" borderId="0" xfId="0" applyFont="1" applyFill="1" applyAlignment="1">
      <alignment horizontal="left" vertical="center" wrapText="1"/>
    </xf>
    <xf numFmtId="174" fontId="45" fillId="2" borderId="0" xfId="1" applyNumberFormat="1" applyFont="1" applyFill="1" applyBorder="1" applyAlignment="1">
      <alignment horizontal="center" vertical="center"/>
    </xf>
    <xf numFmtId="165" fontId="55" fillId="2" borderId="0" xfId="2" applyNumberFormat="1" applyFont="1" applyFill="1" applyBorder="1" applyAlignment="1">
      <alignment horizontal="right" vertical="center"/>
    </xf>
    <xf numFmtId="175" fontId="43" fillId="2" borderId="0" xfId="0" applyNumberFormat="1" applyFont="1" applyFill="1" applyBorder="1" applyAlignment="1">
      <alignment horizontal="left" vertical="top"/>
    </xf>
    <xf numFmtId="175" fontId="43" fillId="2" borderId="2" xfId="0" applyNumberFormat="1" applyFont="1" applyFill="1" applyBorder="1" applyAlignment="1">
      <alignment horizontal="left" vertical="top"/>
    </xf>
    <xf numFmtId="174" fontId="45" fillId="2" borderId="2" xfId="1" applyNumberFormat="1" applyFont="1" applyFill="1" applyBorder="1" applyAlignment="1">
      <alignment horizontal="right" vertical="center"/>
    </xf>
    <xf numFmtId="175" fontId="49" fillId="2" borderId="17" xfId="0" applyNumberFormat="1" applyFont="1" applyFill="1" applyBorder="1" applyAlignment="1">
      <alignment horizontal="left" vertical="top"/>
    </xf>
    <xf numFmtId="174" fontId="58" fillId="2" borderId="3" xfId="1" applyNumberFormat="1" applyFont="1" applyFill="1" applyBorder="1" applyAlignment="1">
      <alignment horizontal="right" vertical="center"/>
    </xf>
    <xf numFmtId="174" fontId="58" fillId="2" borderId="17" xfId="1" applyNumberFormat="1" applyFont="1" applyFill="1" applyBorder="1" applyAlignment="1">
      <alignment horizontal="right" vertical="center"/>
    </xf>
    <xf numFmtId="1" fontId="58" fillId="2" borderId="17" xfId="0" applyNumberFormat="1" applyFont="1" applyFill="1" applyBorder="1" applyAlignment="1">
      <alignment horizontal="right" vertical="center"/>
    </xf>
    <xf numFmtId="168" fontId="58" fillId="2" borderId="17" xfId="0" applyNumberFormat="1" applyFont="1" applyFill="1" applyBorder="1" applyAlignment="1">
      <alignment horizontal="right" vertical="center" wrapText="1"/>
    </xf>
    <xf numFmtId="165" fontId="58" fillId="2" borderId="17" xfId="1" applyNumberFormat="1" applyFont="1" applyFill="1" applyBorder="1" applyAlignment="1">
      <alignment horizontal="center" vertical="center" wrapText="1"/>
    </xf>
    <xf numFmtId="0" fontId="50" fillId="2" borderId="17" xfId="0" applyFont="1" applyFill="1" applyBorder="1" applyAlignment="1">
      <alignment vertical="top" wrapText="1"/>
    </xf>
    <xf numFmtId="0" fontId="49" fillId="2" borderId="0" xfId="0" applyFont="1" applyFill="1" applyAlignment="1">
      <alignment vertical="top"/>
    </xf>
    <xf numFmtId="174" fontId="49" fillId="2" borderId="3" xfId="1" applyNumberFormat="1" applyFont="1" applyFill="1" applyBorder="1" applyAlignment="1">
      <alignment horizontal="right" vertical="center"/>
    </xf>
    <xf numFmtId="174" fontId="49" fillId="2" borderId="0" xfId="1" applyNumberFormat="1" applyFont="1" applyFill="1" applyBorder="1" applyAlignment="1">
      <alignment horizontal="right" vertical="center"/>
    </xf>
    <xf numFmtId="0" fontId="43" fillId="2" borderId="0" xfId="0" applyFont="1" applyFill="1" applyAlignment="1">
      <alignment vertical="top"/>
    </xf>
    <xf numFmtId="0" fontId="43" fillId="2" borderId="3" xfId="0" applyFont="1" applyFill="1" applyBorder="1" applyAlignment="1">
      <alignment vertical="top"/>
    </xf>
    <xf numFmtId="0" fontId="43" fillId="2" borderId="0" xfId="0" applyFont="1" applyFill="1" applyBorder="1" applyAlignment="1">
      <alignment vertical="top"/>
    </xf>
    <xf numFmtId="0" fontId="21" fillId="2" borderId="0" xfId="0" applyFont="1" applyFill="1" applyAlignment="1">
      <alignment vertical="top"/>
    </xf>
    <xf numFmtId="174" fontId="8" fillId="2" borderId="0" xfId="1" applyNumberFormat="1" applyFont="1" applyFill="1" applyBorder="1" applyAlignment="1">
      <alignment horizontal="right" vertical="center"/>
    </xf>
    <xf numFmtId="0" fontId="14" fillId="2" borderId="0" xfId="0" applyFont="1" applyFill="1" applyAlignment="1">
      <alignment vertical="top"/>
    </xf>
    <xf numFmtId="0" fontId="14" fillId="2" borderId="0" xfId="0" applyFont="1" applyFill="1" applyBorder="1" applyAlignment="1">
      <alignment vertical="top"/>
    </xf>
    <xf numFmtId="0" fontId="59" fillId="2" borderId="0" xfId="0" applyFont="1" applyFill="1" applyAlignment="1">
      <alignment vertical="top"/>
    </xf>
    <xf numFmtId="0" fontId="20" fillId="2" borderId="0" xfId="0" applyFont="1" applyFill="1" applyAlignment="1">
      <alignment vertical="top"/>
    </xf>
    <xf numFmtId="175" fontId="21" fillId="2" borderId="0" xfId="0" applyNumberFormat="1" applyFont="1" applyFill="1" applyBorder="1" applyAlignment="1">
      <alignment horizontal="left" vertical="top"/>
    </xf>
    <xf numFmtId="0" fontId="14" fillId="2" borderId="0" xfId="0" applyFont="1" applyFill="1" applyAlignment="1">
      <alignment horizontal="left" vertical="center" wrapText="1"/>
    </xf>
    <xf numFmtId="0" fontId="59" fillId="2" borderId="0" xfId="0" applyFont="1" applyFill="1" applyAlignment="1">
      <alignment horizontal="center" vertical="top"/>
    </xf>
    <xf numFmtId="0" fontId="14" fillId="2" borderId="0" xfId="0" applyFont="1" applyFill="1" applyAlignment="1">
      <alignment vertical="top" wrapText="1"/>
    </xf>
    <xf numFmtId="0" fontId="44" fillId="2" borderId="0" xfId="0" applyFont="1" applyFill="1" applyAlignment="1">
      <alignment horizontal="center" vertical="top"/>
    </xf>
    <xf numFmtId="0" fontId="53" fillId="2" borderId="0" xfId="0" applyFont="1" applyFill="1" applyBorder="1" applyAlignment="1">
      <alignment horizontal="right" vertical="top" wrapText="1"/>
    </xf>
    <xf numFmtId="0" fontId="44" fillId="2" borderId="0" xfId="0" applyFont="1" applyFill="1" applyBorder="1" applyAlignment="1">
      <alignment horizontal="center" vertical="top"/>
    </xf>
    <xf numFmtId="0" fontId="43" fillId="2" borderId="0" xfId="0" applyFont="1" applyFill="1" applyBorder="1" applyAlignment="1">
      <alignment vertical="top" wrapText="1"/>
    </xf>
    <xf numFmtId="0" fontId="43" fillId="2" borderId="0" xfId="0" applyFont="1" applyFill="1" applyAlignment="1">
      <alignment horizontal="left" vertical="top" wrapText="1"/>
    </xf>
    <xf numFmtId="0" fontId="44" fillId="2" borderId="0" xfId="0" applyFont="1" applyFill="1" applyAlignment="1">
      <alignment vertical="top" wrapText="1"/>
    </xf>
    <xf numFmtId="174" fontId="1" fillId="2" borderId="10" xfId="1" applyNumberFormat="1" applyFont="1" applyFill="1" applyBorder="1" applyAlignment="1">
      <alignment horizontal="right" vertical="center"/>
    </xf>
    <xf numFmtId="168" fontId="45" fillId="2" borderId="10" xfId="0" applyNumberFormat="1" applyFont="1" applyFill="1" applyBorder="1" applyAlignment="1">
      <alignment horizontal="right" vertical="center" wrapText="1"/>
    </xf>
    <xf numFmtId="174" fontId="58" fillId="2" borderId="31" xfId="1" applyNumberFormat="1" applyFont="1" applyFill="1" applyBorder="1" applyAlignment="1">
      <alignment horizontal="right" vertical="center"/>
    </xf>
    <xf numFmtId="168" fontId="45" fillId="2" borderId="11" xfId="0" applyNumberFormat="1" applyFont="1" applyFill="1" applyBorder="1" applyAlignment="1">
      <alignment horizontal="right" vertical="center" wrapText="1"/>
    </xf>
    <xf numFmtId="168" fontId="58" fillId="2" borderId="11" xfId="0" applyNumberFormat="1" applyFont="1" applyFill="1" applyBorder="1" applyAlignment="1">
      <alignment horizontal="right" vertical="center" wrapText="1"/>
    </xf>
    <xf numFmtId="174" fontId="14" fillId="2" borderId="0" xfId="1" applyNumberFormat="1" applyFont="1" applyFill="1" applyBorder="1" applyAlignment="1">
      <alignment horizontal="right" vertical="center" wrapText="1" indent="7"/>
    </xf>
    <xf numFmtId="0" fontId="21" fillId="2" borderId="0" xfId="0" applyFont="1" applyFill="1" applyAlignment="1">
      <alignment horizontal="left" vertical="center"/>
    </xf>
    <xf numFmtId="164" fontId="23" fillId="2" borderId="0" xfId="2" applyNumberFormat="1" applyFont="1" applyFill="1" applyAlignment="1">
      <alignment horizontal="center" vertical="center"/>
    </xf>
    <xf numFmtId="164" fontId="15" fillId="2" borderId="0" xfId="2" applyNumberFormat="1" applyFont="1" applyFill="1" applyBorder="1" applyAlignment="1" applyProtection="1">
      <alignment horizontal="center" vertical="center" wrapText="1"/>
    </xf>
    <xf numFmtId="164" fontId="31" fillId="2" borderId="0" xfId="2" applyNumberFormat="1" applyFont="1" applyFill="1" applyAlignment="1">
      <alignment horizontal="center" vertical="center" wrapText="1"/>
    </xf>
    <xf numFmtId="164" fontId="25" fillId="2" borderId="2" xfId="2" applyNumberFormat="1" applyFont="1" applyFill="1" applyBorder="1" applyAlignment="1">
      <alignment horizontal="center" vertical="center"/>
    </xf>
    <xf numFmtId="164" fontId="13" fillId="2" borderId="3" xfId="2" applyNumberFormat="1" applyFont="1" applyFill="1" applyBorder="1" applyAlignment="1" applyProtection="1">
      <alignment horizontal="left" vertical="center"/>
    </xf>
    <xf numFmtId="164" fontId="13" fillId="2" borderId="0" xfId="2" applyNumberFormat="1" applyFont="1" applyFill="1" applyBorder="1" applyAlignment="1" applyProtection="1">
      <alignment horizontal="left" vertical="center"/>
    </xf>
    <xf numFmtId="164" fontId="13" fillId="2" borderId="2" xfId="2" applyNumberFormat="1" applyFont="1" applyFill="1" applyBorder="1" applyAlignment="1" applyProtection="1">
      <alignment horizontal="left" vertical="center"/>
    </xf>
    <xf numFmtId="164" fontId="26" fillId="2" borderId="14" xfId="2" applyNumberFormat="1" applyFont="1" applyFill="1" applyBorder="1" applyAlignment="1">
      <alignment horizontal="center" vertical="center"/>
    </xf>
    <xf numFmtId="164" fontId="26" fillId="2" borderId="19" xfId="2" applyNumberFormat="1" applyFont="1" applyFill="1" applyBorder="1" applyAlignment="1">
      <alignment horizontal="center" vertical="center"/>
    </xf>
    <xf numFmtId="164" fontId="27" fillId="2" borderId="15" xfId="2" applyNumberFormat="1" applyFont="1" applyFill="1" applyBorder="1" applyAlignment="1">
      <alignment horizontal="center" vertical="center"/>
    </xf>
    <xf numFmtId="164" fontId="27" fillId="2" borderId="19" xfId="2" applyNumberFormat="1" applyFont="1" applyFill="1" applyBorder="1" applyAlignment="1">
      <alignment horizontal="center" vertical="center"/>
    </xf>
    <xf numFmtId="168" fontId="26" fillId="2" borderId="6" xfId="2" applyNumberFormat="1" applyFont="1" applyFill="1" applyBorder="1" applyAlignment="1" applyProtection="1">
      <alignment horizontal="center" vertical="center"/>
      <protection hidden="1"/>
    </xf>
    <xf numFmtId="168" fontId="26" fillId="2" borderId="3" xfId="2" applyNumberFormat="1" applyFont="1" applyFill="1" applyBorder="1" applyAlignment="1" applyProtection="1">
      <alignment horizontal="center" vertical="center"/>
      <protection hidden="1"/>
    </xf>
    <xf numFmtId="168" fontId="27" fillId="2" borderId="5" xfId="2" applyNumberFormat="1" applyFont="1" applyFill="1" applyBorder="1" applyAlignment="1" applyProtection="1">
      <alignment horizontal="center" vertical="center"/>
      <protection locked="0"/>
    </xf>
    <xf numFmtId="168" fontId="27" fillId="2" borderId="2" xfId="2" applyNumberFormat="1" applyFont="1" applyFill="1" applyBorder="1" applyAlignment="1" applyProtection="1">
      <alignment horizontal="center" vertical="center"/>
      <protection locked="0"/>
    </xf>
    <xf numFmtId="164" fontId="13" fillId="2" borderId="8" xfId="2" applyNumberFormat="1" applyFont="1" applyFill="1" applyBorder="1" applyAlignment="1" applyProtection="1">
      <alignment horizontal="center" vertical="center"/>
      <protection locked="0"/>
    </xf>
    <xf numFmtId="164" fontId="13" fillId="2" borderId="13" xfId="2" applyNumberFormat="1" applyFont="1" applyFill="1" applyBorder="1" applyAlignment="1" applyProtection="1">
      <alignment horizontal="center" vertical="center"/>
      <protection locked="0"/>
    </xf>
    <xf numFmtId="164" fontId="25" fillId="2" borderId="0" xfId="2" applyNumberFormat="1" applyFont="1" applyFill="1" applyBorder="1" applyAlignment="1" applyProtection="1">
      <alignment horizontal="center" vertical="center"/>
    </xf>
    <xf numFmtId="164" fontId="32" fillId="2" borderId="0" xfId="2" applyNumberFormat="1" applyFont="1" applyFill="1" applyAlignment="1">
      <alignment horizontal="center" vertical="center" wrapText="1"/>
    </xf>
    <xf numFmtId="164" fontId="13" fillId="2" borderId="14" xfId="2" applyNumberFormat="1" applyFont="1" applyFill="1" applyBorder="1" applyAlignment="1">
      <alignment horizontal="right"/>
    </xf>
    <xf numFmtId="0" fontId="17" fillId="2" borderId="6" xfId="2" applyFont="1" applyFill="1" applyBorder="1" applyAlignment="1" applyProtection="1">
      <alignment horizontal="center" vertical="center"/>
    </xf>
    <xf numFmtId="0" fontId="17" fillId="2" borderId="12" xfId="2" applyFont="1" applyFill="1" applyBorder="1" applyAlignment="1" applyProtection="1">
      <alignment horizontal="center" vertical="center"/>
    </xf>
    <xf numFmtId="0" fontId="17" fillId="2" borderId="3" xfId="2" applyFont="1" applyFill="1" applyBorder="1" applyAlignment="1" applyProtection="1">
      <alignment horizontal="center" vertical="center"/>
    </xf>
    <xf numFmtId="168" fontId="13" fillId="2" borderId="8" xfId="2" applyNumberFormat="1" applyFont="1" applyFill="1" applyBorder="1" applyAlignment="1" applyProtection="1">
      <alignment horizontal="center" vertical="center"/>
      <protection locked="0"/>
    </xf>
    <xf numFmtId="168" fontId="13" fillId="2" borderId="7" xfId="2" applyNumberFormat="1" applyFont="1" applyFill="1" applyBorder="1" applyAlignment="1" applyProtection="1">
      <alignment horizontal="center" vertical="center"/>
      <protection locked="0"/>
    </xf>
    <xf numFmtId="1" fontId="8" fillId="2" borderId="7" xfId="2" applyNumberFormat="1" applyFont="1" applyFill="1" applyBorder="1" applyAlignment="1" applyProtection="1">
      <alignment horizontal="center" vertical="center"/>
      <protection locked="0"/>
    </xf>
    <xf numFmtId="164" fontId="8" fillId="2" borderId="8" xfId="2" applyNumberFormat="1" applyFont="1" applyFill="1" applyBorder="1" applyAlignment="1" applyProtection="1">
      <alignment horizontal="center" vertical="center"/>
      <protection locked="0"/>
    </xf>
    <xf numFmtId="164" fontId="8" fillId="2" borderId="13" xfId="2" applyNumberFormat="1" applyFont="1" applyFill="1" applyBorder="1" applyAlignment="1" applyProtection="1">
      <alignment horizontal="center" vertical="center"/>
      <protection locked="0"/>
    </xf>
    <xf numFmtId="0" fontId="16" fillId="2" borderId="6" xfId="2" applyFont="1" applyFill="1" applyBorder="1" applyAlignment="1" applyProtection="1">
      <alignment horizontal="center" vertical="center"/>
    </xf>
    <xf numFmtId="0" fontId="16" fillId="2" borderId="12" xfId="2" applyFont="1" applyFill="1" applyBorder="1" applyAlignment="1" applyProtection="1">
      <alignment horizontal="center" vertical="center"/>
    </xf>
    <xf numFmtId="164" fontId="11" fillId="2" borderId="14" xfId="2" applyNumberFormat="1" applyFont="1" applyFill="1" applyBorder="1" applyAlignment="1">
      <alignment horizontal="center"/>
    </xf>
    <xf numFmtId="168" fontId="16" fillId="2" borderId="3" xfId="2" applyNumberFormat="1" applyFont="1" applyFill="1" applyBorder="1" applyAlignment="1" applyProtection="1">
      <alignment horizontal="center" vertical="center"/>
      <protection hidden="1"/>
    </xf>
    <xf numFmtId="164" fontId="4" fillId="2" borderId="0" xfId="4" applyNumberFormat="1" applyFont="1" applyFill="1" applyAlignment="1">
      <alignment horizontal="center"/>
    </xf>
    <xf numFmtId="164" fontId="3" fillId="2" borderId="4" xfId="4" applyNumberFormat="1" applyFont="1" applyFill="1" applyBorder="1" applyAlignment="1">
      <alignment horizontal="center"/>
    </xf>
    <xf numFmtId="164" fontId="3" fillId="2" borderId="2" xfId="4" applyNumberFormat="1" applyFont="1" applyFill="1" applyBorder="1" applyAlignment="1">
      <alignment horizontal="center"/>
    </xf>
    <xf numFmtId="0" fontId="19" fillId="2" borderId="0" xfId="0" applyFont="1" applyFill="1" applyAlignment="1">
      <alignment horizontal="right" vertical="top" wrapText="1"/>
    </xf>
    <xf numFmtId="0" fontId="46" fillId="2" borderId="0" xfId="0" applyFont="1" applyFill="1" applyAlignment="1">
      <alignment horizontal="center" vertical="top" wrapText="1"/>
    </xf>
    <xf numFmtId="0" fontId="47" fillId="2" borderId="0" xfId="0" applyFont="1" applyFill="1" applyAlignment="1">
      <alignment horizontal="center" vertical="top"/>
    </xf>
    <xf numFmtId="0" fontId="49" fillId="2" borderId="3" xfId="0" applyFont="1" applyFill="1" applyBorder="1" applyAlignment="1">
      <alignment horizontal="left" vertical="center" wrapText="1"/>
    </xf>
    <xf numFmtId="0" fontId="49" fillId="2" borderId="0" xfId="0" applyFont="1" applyFill="1" applyBorder="1" applyAlignment="1">
      <alignment horizontal="left" vertical="center" wrapText="1"/>
    </xf>
    <xf numFmtId="0" fontId="49" fillId="2" borderId="2" xfId="0" applyFont="1" applyFill="1" applyBorder="1" applyAlignment="1">
      <alignment horizontal="left" vertical="center" wrapText="1"/>
    </xf>
    <xf numFmtId="0" fontId="49" fillId="2" borderId="14" xfId="0" applyFont="1" applyFill="1" applyBorder="1" applyAlignment="1">
      <alignment horizontal="center" vertical="center"/>
    </xf>
    <xf numFmtId="0" fontId="49" fillId="2" borderId="27" xfId="0" applyFont="1" applyFill="1" applyBorder="1" applyAlignment="1">
      <alignment horizontal="center" vertical="center" wrapText="1"/>
    </xf>
    <xf numFmtId="0" fontId="49" fillId="2" borderId="28" xfId="0" applyFont="1" applyFill="1" applyBorder="1" applyAlignment="1">
      <alignment horizontal="center" vertical="center" wrapText="1"/>
    </xf>
    <xf numFmtId="0" fontId="49" fillId="2" borderId="32" xfId="0" applyFont="1" applyFill="1" applyBorder="1" applyAlignment="1">
      <alignment horizontal="center" vertical="center" wrapText="1"/>
    </xf>
    <xf numFmtId="0" fontId="50" fillId="2" borderId="3" xfId="0" applyFont="1" applyFill="1" applyBorder="1" applyAlignment="1">
      <alignment horizontal="right" vertical="center" wrapText="1"/>
    </xf>
    <xf numFmtId="0" fontId="50" fillId="2" borderId="0" xfId="0" applyFont="1" applyFill="1" applyBorder="1" applyAlignment="1">
      <alignment horizontal="right" vertical="center" wrapText="1"/>
    </xf>
    <xf numFmtId="0" fontId="50" fillId="2" borderId="2" xfId="0" applyFont="1" applyFill="1" applyBorder="1" applyAlignment="1">
      <alignment horizontal="right" vertical="center" wrapText="1"/>
    </xf>
    <xf numFmtId="0" fontId="51" fillId="2" borderId="18" xfId="0" applyFont="1" applyFill="1" applyBorder="1" applyAlignment="1">
      <alignment horizontal="center" vertical="center" wrapText="1"/>
    </xf>
    <xf numFmtId="0" fontId="52" fillId="2" borderId="29" xfId="0" applyFont="1" applyFill="1" applyBorder="1" applyAlignment="1">
      <alignment horizontal="center" vertical="center" wrapText="1" readingOrder="2"/>
    </xf>
    <xf numFmtId="0" fontId="52" fillId="2" borderId="30" xfId="0" applyFont="1" applyFill="1" applyBorder="1" applyAlignment="1">
      <alignment horizontal="center" vertical="center" wrapText="1" readingOrder="2"/>
    </xf>
    <xf numFmtId="0" fontId="52" fillId="2" borderId="33" xfId="0" applyFont="1" applyFill="1" applyBorder="1" applyAlignment="1">
      <alignment horizontal="center" vertical="center" wrapText="1" readingOrder="2"/>
    </xf>
    <xf numFmtId="0" fontId="14" fillId="2" borderId="0" xfId="0" applyNumberFormat="1" applyFont="1" applyFill="1" applyAlignment="1">
      <alignment horizontal="left" vertical="center" wrapText="1"/>
    </xf>
    <xf numFmtId="0" fontId="14" fillId="2" borderId="0" xfId="0" applyFont="1" applyFill="1" applyAlignment="1">
      <alignment horizontal="left" vertical="center" wrapText="1"/>
    </xf>
    <xf numFmtId="0" fontId="14" fillId="2" borderId="0" xfId="0" applyFont="1" applyFill="1" applyAlignment="1">
      <alignment horizontal="right" vertical="top" wrapText="1"/>
    </xf>
    <xf numFmtId="0" fontId="53" fillId="2" borderId="0" xfId="0" applyFont="1" applyFill="1" applyAlignment="1">
      <alignment horizontal="right" vertical="top" wrapText="1"/>
    </xf>
    <xf numFmtId="0" fontId="53" fillId="2" borderId="0" xfId="0" applyFont="1" applyFill="1" applyBorder="1" applyAlignment="1">
      <alignment horizontal="right" vertical="top" wrapText="1"/>
    </xf>
  </cellXfs>
  <cellStyles count="13">
    <cellStyle name="Comma" xfId="1" builtinId="3"/>
    <cellStyle name="Comma 2" xfId="8"/>
    <cellStyle name="Comma 3" xfId="9"/>
    <cellStyle name="Comma 4" xfId="5"/>
    <cellStyle name="Comma 6" xfId="11"/>
    <cellStyle name="Comma_13 Public Finance_done" xfId="3"/>
    <cellStyle name="Excel Built-in Comma" xfId="7"/>
    <cellStyle name="Excel Built-in Normal" xfId="6"/>
    <cellStyle name="Normal" xfId="0" builtinId="0"/>
    <cellStyle name="Normal 2" xfId="12"/>
    <cellStyle name="Normal 4" xfId="10"/>
    <cellStyle name="Normal_13 Public Finance" xfId="4"/>
    <cellStyle name="Normal_13 Public Finance_done" xfId="2"/>
  </cellStyles>
  <dxfs count="0"/>
  <tableStyles count="0" defaultTableStyle="TableStyleMedium9" defaultPivotStyle="PivotStyleLight16"/>
  <colors>
    <mruColors>
      <color rgb="FFFAC090"/>
      <color rgb="FFCC6600"/>
      <color rgb="FF953735"/>
      <color rgb="FFFCD5B5"/>
      <color rgb="FFFDEADA"/>
      <color rgb="FFFFCC00"/>
      <color rgb="FFFDEADB"/>
      <color rgb="FF00A8A4"/>
      <color rgb="FF7DDFDD"/>
      <color rgb="FF1C706E"/>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externalLink" Target="externalLinks/externalLink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1" Type="http://schemas.openxmlformats.org/officeDocument/2006/relationships/chartUserShapes" Target="../drawings/drawing4.xml"/></Relationships>
</file>

<file path=xl/charts/_rels/chart2.xml.rels><?xml version="1.0" encoding="UTF-8" standalone="yes"?>
<Relationships xmlns="http://schemas.openxmlformats.org/package/2006/relationships"><Relationship Id="rId1" Type="http://schemas.openxmlformats.org/officeDocument/2006/relationships/chartUserShapes" Target="../drawings/drawing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6.5312046444122113E-2"/>
          <c:y val="0.15951433801640189"/>
          <c:w val="0.92146745995902646"/>
          <c:h val="0.74368999066310226"/>
        </c:manualLayout>
      </c:layout>
      <c:barChart>
        <c:barDir val="col"/>
        <c:grouping val="clustered"/>
        <c:varyColors val="0"/>
        <c:ser>
          <c:idx val="0"/>
          <c:order val="0"/>
          <c:tx>
            <c:strRef>
              <c:f>'Fig 1.5 &amp; 1.6'!$A$5</c:f>
              <c:strCache>
                <c:ptCount val="1"/>
                <c:pt idx="0">
                  <c:v>Public services</c:v>
                </c:pt>
              </c:strCache>
            </c:strRef>
          </c:tx>
          <c:spPr>
            <a:solidFill>
              <a:srgbClr val="FAC090"/>
            </a:solidFill>
            <a:ln w="25400">
              <a:noFill/>
            </a:ln>
          </c:spPr>
          <c:invertIfNegative val="0"/>
          <c:cat>
            <c:strRef>
              <c:f>'Fig 1.5 &amp; 1.6'!$B$4:$N$4</c:f>
              <c:strCache>
                <c:ptCount val="13"/>
                <c:pt idx="0">
                  <c:v>2007</c:v>
                </c:pt>
                <c:pt idx="1">
                  <c:v>2008 </c:v>
                </c:pt>
                <c:pt idx="2">
                  <c:v>2009 </c:v>
                </c:pt>
                <c:pt idx="3">
                  <c:v>2010 </c:v>
                </c:pt>
                <c:pt idx="4">
                  <c:v>2011 </c:v>
                </c:pt>
                <c:pt idx="5">
                  <c:v>2012 </c:v>
                </c:pt>
                <c:pt idx="6">
                  <c:v>2013 </c:v>
                </c:pt>
                <c:pt idx="7">
                  <c:v>2014 </c:v>
                </c:pt>
                <c:pt idx="8">
                  <c:v>2015 </c:v>
                </c:pt>
                <c:pt idx="9">
                  <c:v>2016 Rev</c:v>
                </c:pt>
                <c:pt idx="10">
                  <c:v>2017 Est</c:v>
                </c:pt>
                <c:pt idx="11">
                  <c:v>2018 Est</c:v>
                </c:pt>
                <c:pt idx="12">
                  <c:v>2019 Est</c:v>
                </c:pt>
              </c:strCache>
            </c:strRef>
          </c:cat>
          <c:val>
            <c:numRef>
              <c:f>'Fig 1.5 &amp; 1.6'!$B$5:$N$5</c:f>
              <c:numCache>
                <c:formatCode>_(* #,##0.0_);_(* \(#,##0.0\);_(* "-"??_);_(@_)</c:formatCode>
                <c:ptCount val="13"/>
                <c:pt idx="0">
                  <c:v>808.9</c:v>
                </c:pt>
                <c:pt idx="1">
                  <c:v>498.79999999999995</c:v>
                </c:pt>
                <c:pt idx="2">
                  <c:v>696.52141600000004</c:v>
                </c:pt>
                <c:pt idx="3">
                  <c:v>635.70163600000001</c:v>
                </c:pt>
                <c:pt idx="4">
                  <c:v>1285.636868</c:v>
                </c:pt>
                <c:pt idx="5">
                  <c:v>1139.8289990000001</c:v>
                </c:pt>
                <c:pt idx="6">
                  <c:v>462.58586595999998</c:v>
                </c:pt>
                <c:pt idx="7">
                  <c:v>679.01722999999993</c:v>
                </c:pt>
                <c:pt idx="8">
                  <c:v>2079.0821064299998</c:v>
                </c:pt>
              </c:numCache>
            </c:numRef>
          </c:val>
          <c:extLst>
            <c:ext xmlns:c16="http://schemas.microsoft.com/office/drawing/2014/chart" uri="{C3380CC4-5D6E-409C-BE32-E72D297353CC}">
              <c16:uniqueId val="{00000000-C9D4-4F91-9D75-AA0B0E910D10}"/>
            </c:ext>
          </c:extLst>
        </c:ser>
        <c:ser>
          <c:idx val="1"/>
          <c:order val="1"/>
          <c:tx>
            <c:strRef>
              <c:f>'Fig 1.5 &amp; 1.6'!$A$6</c:f>
              <c:strCache>
                <c:ptCount val="1"/>
                <c:pt idx="0">
                  <c:v>Social services</c:v>
                </c:pt>
              </c:strCache>
            </c:strRef>
          </c:tx>
          <c:spPr>
            <a:solidFill>
              <a:srgbClr val="953735"/>
            </a:solidFill>
            <a:ln w="25400">
              <a:noFill/>
            </a:ln>
          </c:spPr>
          <c:invertIfNegative val="0"/>
          <c:cat>
            <c:strRef>
              <c:f>'Fig 1.5 &amp; 1.6'!$B$4:$N$4</c:f>
              <c:strCache>
                <c:ptCount val="13"/>
                <c:pt idx="0">
                  <c:v>2007</c:v>
                </c:pt>
                <c:pt idx="1">
                  <c:v>2008 </c:v>
                </c:pt>
                <c:pt idx="2">
                  <c:v>2009 </c:v>
                </c:pt>
                <c:pt idx="3">
                  <c:v>2010 </c:v>
                </c:pt>
                <c:pt idx="4">
                  <c:v>2011 </c:v>
                </c:pt>
                <c:pt idx="5">
                  <c:v>2012 </c:v>
                </c:pt>
                <c:pt idx="6">
                  <c:v>2013 </c:v>
                </c:pt>
                <c:pt idx="7">
                  <c:v>2014 </c:v>
                </c:pt>
                <c:pt idx="8">
                  <c:v>2015 </c:v>
                </c:pt>
                <c:pt idx="9">
                  <c:v>2016 Rev</c:v>
                </c:pt>
                <c:pt idx="10">
                  <c:v>2017 Est</c:v>
                </c:pt>
                <c:pt idx="11">
                  <c:v>2018 Est</c:v>
                </c:pt>
                <c:pt idx="12">
                  <c:v>2019 Est</c:v>
                </c:pt>
              </c:strCache>
            </c:strRef>
          </c:cat>
          <c:val>
            <c:numRef>
              <c:f>'Fig 1.5 &amp; 1.6'!$B$6:$N$6</c:f>
              <c:numCache>
                <c:formatCode>_(* #,##0.0_);_(* \(#,##0.0\);_(* "-"??_);_(@_)</c:formatCode>
                <c:ptCount val="13"/>
                <c:pt idx="0">
                  <c:v>626.5</c:v>
                </c:pt>
                <c:pt idx="1">
                  <c:v>1443.3</c:v>
                </c:pt>
                <c:pt idx="2">
                  <c:v>1087.278699</c:v>
                </c:pt>
                <c:pt idx="3">
                  <c:v>1816.638207</c:v>
                </c:pt>
                <c:pt idx="4">
                  <c:v>1383.244537</c:v>
                </c:pt>
                <c:pt idx="5">
                  <c:v>1081.7647489999999</c:v>
                </c:pt>
                <c:pt idx="6">
                  <c:v>1108.2257616500001</c:v>
                </c:pt>
                <c:pt idx="7">
                  <c:v>1155.5744520000001</c:v>
                </c:pt>
                <c:pt idx="8">
                  <c:v>1812.3305333000001</c:v>
                </c:pt>
              </c:numCache>
            </c:numRef>
          </c:val>
          <c:extLst>
            <c:ext xmlns:c16="http://schemas.microsoft.com/office/drawing/2014/chart" uri="{C3380CC4-5D6E-409C-BE32-E72D297353CC}">
              <c16:uniqueId val="{00000001-C9D4-4F91-9D75-AA0B0E910D10}"/>
            </c:ext>
          </c:extLst>
        </c:ser>
        <c:ser>
          <c:idx val="2"/>
          <c:order val="2"/>
          <c:tx>
            <c:strRef>
              <c:f>'Fig 1.5 &amp; 1.6'!$A$7</c:f>
              <c:strCache>
                <c:ptCount val="1"/>
                <c:pt idx="0">
                  <c:v>Economic services</c:v>
                </c:pt>
              </c:strCache>
            </c:strRef>
          </c:tx>
          <c:spPr>
            <a:solidFill>
              <a:srgbClr val="CC6600"/>
            </a:solidFill>
            <a:ln w="25400">
              <a:noFill/>
            </a:ln>
          </c:spPr>
          <c:invertIfNegative val="0"/>
          <c:cat>
            <c:strRef>
              <c:f>'Fig 1.5 &amp; 1.6'!$B$4:$N$4</c:f>
              <c:strCache>
                <c:ptCount val="13"/>
                <c:pt idx="0">
                  <c:v>2007</c:v>
                </c:pt>
                <c:pt idx="1">
                  <c:v>2008 </c:v>
                </c:pt>
                <c:pt idx="2">
                  <c:v>2009 </c:v>
                </c:pt>
                <c:pt idx="3">
                  <c:v>2010 </c:v>
                </c:pt>
                <c:pt idx="4">
                  <c:v>2011 </c:v>
                </c:pt>
                <c:pt idx="5">
                  <c:v>2012 </c:v>
                </c:pt>
                <c:pt idx="6">
                  <c:v>2013 </c:v>
                </c:pt>
                <c:pt idx="7">
                  <c:v>2014 </c:v>
                </c:pt>
                <c:pt idx="8">
                  <c:v>2015 </c:v>
                </c:pt>
                <c:pt idx="9">
                  <c:v>2016 Rev</c:v>
                </c:pt>
                <c:pt idx="10">
                  <c:v>2017 Est</c:v>
                </c:pt>
                <c:pt idx="11">
                  <c:v>2018 Est</c:v>
                </c:pt>
                <c:pt idx="12">
                  <c:v>2019 Est</c:v>
                </c:pt>
              </c:strCache>
            </c:strRef>
          </c:cat>
          <c:val>
            <c:numRef>
              <c:f>'Fig 1.5 &amp; 1.6'!$B$7:$N$7</c:f>
              <c:numCache>
                <c:formatCode>_(* #,##0.0_);_(* \(#,##0.0\);_(* "-"??_);_(@_)</c:formatCode>
                <c:ptCount val="13"/>
                <c:pt idx="0">
                  <c:v>329.9</c:v>
                </c:pt>
                <c:pt idx="1">
                  <c:v>937.10000000000014</c:v>
                </c:pt>
                <c:pt idx="2">
                  <c:v>581.73487699999998</c:v>
                </c:pt>
                <c:pt idx="3">
                  <c:v>174.8779509</c:v>
                </c:pt>
                <c:pt idx="4">
                  <c:v>919.10181</c:v>
                </c:pt>
                <c:pt idx="5">
                  <c:v>662.15555800000004</c:v>
                </c:pt>
                <c:pt idx="6">
                  <c:v>522.22979633</c:v>
                </c:pt>
                <c:pt idx="7">
                  <c:v>750.4553719999999</c:v>
                </c:pt>
                <c:pt idx="8">
                  <c:v>870.97274229999994</c:v>
                </c:pt>
              </c:numCache>
            </c:numRef>
          </c:val>
          <c:extLst>
            <c:ext xmlns:c16="http://schemas.microsoft.com/office/drawing/2014/chart" uri="{C3380CC4-5D6E-409C-BE32-E72D297353CC}">
              <c16:uniqueId val="{00000002-C9D4-4F91-9D75-AA0B0E910D10}"/>
            </c:ext>
          </c:extLst>
        </c:ser>
        <c:dLbls>
          <c:showLegendKey val="0"/>
          <c:showVal val="0"/>
          <c:showCatName val="0"/>
          <c:showSerName val="0"/>
          <c:showPercent val="0"/>
          <c:showBubbleSize val="0"/>
        </c:dLbls>
        <c:gapWidth val="150"/>
        <c:axId val="548688928"/>
        <c:axId val="548690496"/>
      </c:barChart>
      <c:catAx>
        <c:axId val="548688928"/>
        <c:scaling>
          <c:orientation val="minMax"/>
        </c:scaling>
        <c:delete val="0"/>
        <c:axPos val="b"/>
        <c:numFmt formatCode="0" sourceLinked="0"/>
        <c:majorTickMark val="out"/>
        <c:minorTickMark val="none"/>
        <c:tickLblPos val="nextTo"/>
        <c:spPr>
          <a:ln w="3175">
            <a:solidFill>
              <a:srgbClr val="000000"/>
            </a:solidFill>
            <a:prstDash val="solid"/>
          </a:ln>
        </c:spPr>
        <c:txPr>
          <a:bodyPr rot="0" vert="horz"/>
          <a:lstStyle/>
          <a:p>
            <a:pPr>
              <a:defRPr sz="800" b="0" i="0" u="none" strike="noStrike" baseline="0">
                <a:solidFill>
                  <a:srgbClr val="000000"/>
                </a:solidFill>
                <a:latin typeface="Arial"/>
                <a:ea typeface="Arial"/>
                <a:cs typeface="Arial"/>
              </a:defRPr>
            </a:pPr>
            <a:endParaRPr lang="en-US"/>
          </a:p>
        </c:txPr>
        <c:crossAx val="548690496"/>
        <c:crosses val="autoZero"/>
        <c:auto val="1"/>
        <c:lblAlgn val="ctr"/>
        <c:lblOffset val="100"/>
        <c:tickLblSkip val="1"/>
        <c:tickMarkSkip val="1"/>
        <c:noMultiLvlLbl val="0"/>
      </c:catAx>
      <c:valAx>
        <c:axId val="548690496"/>
        <c:scaling>
          <c:orientation val="minMax"/>
          <c:max val="4600"/>
          <c:min val="0"/>
        </c:scaling>
        <c:delete val="0"/>
        <c:axPos val="l"/>
        <c:majorGridlines>
          <c:spPr>
            <a:ln w="3175">
              <a:noFill/>
              <a:prstDash val="solid"/>
            </a:ln>
          </c:spPr>
        </c:majorGridlines>
        <c:numFmt formatCode="#,##0" sourceLinked="0"/>
        <c:majorTickMark val="none"/>
        <c:minorTickMark val="none"/>
        <c:tickLblPos val="nextTo"/>
        <c:spPr>
          <a:ln w="9525">
            <a:noFill/>
          </a:ln>
        </c:spPr>
        <c:txPr>
          <a:bodyPr rot="0" vert="horz"/>
          <a:lstStyle/>
          <a:p>
            <a:pPr>
              <a:defRPr sz="1000" b="0" i="0" u="none" strike="noStrike" baseline="0">
                <a:solidFill>
                  <a:srgbClr val="000000"/>
                </a:solidFill>
                <a:latin typeface="+mn-lt"/>
                <a:ea typeface="Arial"/>
                <a:cs typeface="Consolas" pitchFamily="49" charset="0"/>
              </a:defRPr>
            </a:pPr>
            <a:endParaRPr lang="en-US"/>
          </a:p>
        </c:txPr>
        <c:crossAx val="548688928"/>
        <c:crosses val="autoZero"/>
        <c:crossBetween val="between"/>
        <c:majorUnit val="500"/>
      </c:valAx>
      <c:spPr>
        <a:solidFill>
          <a:srgbClr val="FDEADA"/>
        </a:solidFill>
        <a:ln w="3175">
          <a:solidFill>
            <a:schemeClr val="tx1">
              <a:lumMod val="50000"/>
              <a:lumOff val="50000"/>
            </a:schemeClr>
          </a:solidFill>
          <a:prstDash val="solid"/>
        </a:ln>
      </c:spPr>
    </c:plotArea>
    <c:legend>
      <c:legendPos val="r"/>
      <c:layout>
        <c:manualLayout>
          <c:xMode val="edge"/>
          <c:yMode val="edge"/>
          <c:x val="0.20468926160777695"/>
          <c:y val="0.25138335112514176"/>
          <c:w val="0.46469349034450158"/>
          <c:h val="7.1604981436259069E-2"/>
        </c:manualLayout>
      </c:layout>
      <c:overlay val="0"/>
      <c:spPr>
        <a:solidFill>
          <a:srgbClr val="FDEADA"/>
        </a:solidFill>
        <a:ln w="25400">
          <a:noFill/>
        </a:ln>
      </c:spPr>
      <c:txPr>
        <a:bodyPr/>
        <a:lstStyle/>
        <a:p>
          <a:pPr>
            <a:defRPr sz="1000" b="0" i="0" u="none" strike="noStrike" baseline="0">
              <a:solidFill>
                <a:srgbClr val="000000"/>
              </a:solidFill>
              <a:latin typeface="+mn-lt"/>
              <a:ea typeface="Arial"/>
              <a:cs typeface="Arial"/>
            </a:defRPr>
          </a:pPr>
          <a:endParaRPr lang="en-US"/>
        </a:p>
      </c:txPr>
    </c:legend>
    <c:plotVisOnly val="1"/>
    <c:dispBlanksAs val="gap"/>
    <c:showDLblsOverMax val="0"/>
  </c:chart>
  <c:spPr>
    <a:solidFill>
      <a:srgbClr val="FFFFFF"/>
    </a:solidFill>
    <a:ln w="3175">
      <a:solidFill>
        <a:srgbClr val="000000"/>
      </a:solidFill>
      <a:prstDash val="solid"/>
    </a:ln>
  </c:spPr>
  <c:txPr>
    <a:bodyPr/>
    <a:lstStyle/>
    <a:p>
      <a:pPr>
        <a:defRPr sz="925" b="0" i="0" u="none" strike="noStrike" baseline="0">
          <a:solidFill>
            <a:srgbClr val="000000"/>
          </a:solidFill>
          <a:latin typeface="Arial"/>
          <a:ea typeface="Arial"/>
          <a:cs typeface="Arial"/>
        </a:defRPr>
      </a:pPr>
      <a:endParaRPr lang="en-US"/>
    </a:p>
  </c:txPr>
  <c:printSettings>
    <c:headerFooter alignWithMargins="0"/>
    <c:pageMargins b="1" l="0.75000000000000155" r="0.75000000000000155" t="1" header="0.5" footer="0.5"/>
    <c:pageSetup paperSize="9" orientation="landscape" horizontalDpi="1200" verticalDpi="1200"/>
  </c:printSettings>
  <c:userShapes r:id="rId1"/>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6.4798419707551499E-2"/>
          <c:y val="0.19661511118581726"/>
          <c:w val="0.91825806671102561"/>
          <c:h val="0.68562922290296535"/>
        </c:manualLayout>
      </c:layout>
      <c:barChart>
        <c:barDir val="col"/>
        <c:grouping val="clustered"/>
        <c:varyColors val="0"/>
        <c:ser>
          <c:idx val="0"/>
          <c:order val="0"/>
          <c:tx>
            <c:strRef>
              <c:f>'Fig 1.5 &amp; 1.6'!$A$36</c:f>
              <c:strCache>
                <c:ptCount val="1"/>
                <c:pt idx="0">
                  <c:v>Public services</c:v>
                </c:pt>
              </c:strCache>
            </c:strRef>
          </c:tx>
          <c:spPr>
            <a:solidFill>
              <a:srgbClr val="FAC090"/>
            </a:solidFill>
            <a:ln w="25400">
              <a:noFill/>
            </a:ln>
          </c:spPr>
          <c:invertIfNegative val="0"/>
          <c:dLbls>
            <c:delete val="1"/>
          </c:dLbls>
          <c:cat>
            <c:strRef>
              <c:f>'Fig 1.5 &amp; 1.6'!$B$35:$N$35</c:f>
              <c:strCache>
                <c:ptCount val="13"/>
                <c:pt idx="0">
                  <c:v>2007</c:v>
                </c:pt>
                <c:pt idx="1">
                  <c:v>2008 </c:v>
                </c:pt>
                <c:pt idx="2">
                  <c:v>2009 </c:v>
                </c:pt>
                <c:pt idx="3">
                  <c:v>2010 </c:v>
                </c:pt>
                <c:pt idx="4">
                  <c:v>2011 </c:v>
                </c:pt>
                <c:pt idx="5">
                  <c:v>2012 </c:v>
                </c:pt>
                <c:pt idx="6">
                  <c:v>2013 </c:v>
                </c:pt>
                <c:pt idx="7">
                  <c:v>2014 </c:v>
                </c:pt>
                <c:pt idx="8">
                  <c:v>2015 </c:v>
                </c:pt>
                <c:pt idx="9">
                  <c:v>2016 Rev</c:v>
                </c:pt>
                <c:pt idx="10">
                  <c:v>2017 Est</c:v>
                </c:pt>
                <c:pt idx="11">
                  <c:v>2018 Est</c:v>
                </c:pt>
                <c:pt idx="12">
                  <c:v>2019 Est</c:v>
                </c:pt>
              </c:strCache>
            </c:strRef>
          </c:cat>
          <c:val>
            <c:numRef>
              <c:f>'Fig 1.5 &amp; 1.6'!$B$36:$N$36</c:f>
              <c:numCache>
                <c:formatCode>_(* #,##0.0_);_(* \(#,##0.0\);_(* "-"??_);_(@_)</c:formatCode>
                <c:ptCount val="13"/>
                <c:pt idx="0">
                  <c:v>2241.8999999999996</c:v>
                </c:pt>
                <c:pt idx="1">
                  <c:v>3209.7</c:v>
                </c:pt>
                <c:pt idx="2">
                  <c:v>3519.7833220000007</c:v>
                </c:pt>
                <c:pt idx="3">
                  <c:v>3978.9039029999999</c:v>
                </c:pt>
                <c:pt idx="4">
                  <c:v>4596.1388089999991</c:v>
                </c:pt>
                <c:pt idx="5">
                  <c:v>4774.492886</c:v>
                </c:pt>
                <c:pt idx="6">
                  <c:v>4784.0412950399996</c:v>
                </c:pt>
                <c:pt idx="7">
                  <c:v>5537.7483140000004</c:v>
                </c:pt>
                <c:pt idx="8">
                  <c:v>6243.3481799699994</c:v>
                </c:pt>
              </c:numCache>
            </c:numRef>
          </c:val>
          <c:extLst>
            <c:ext xmlns:c16="http://schemas.microsoft.com/office/drawing/2014/chart" uri="{C3380CC4-5D6E-409C-BE32-E72D297353CC}">
              <c16:uniqueId val="{00000000-5EBD-4ABA-B365-334D662F221F}"/>
            </c:ext>
          </c:extLst>
        </c:ser>
        <c:ser>
          <c:idx val="1"/>
          <c:order val="1"/>
          <c:tx>
            <c:strRef>
              <c:f>'Fig 1.5 &amp; 1.6'!$A$37</c:f>
              <c:strCache>
                <c:ptCount val="1"/>
                <c:pt idx="0">
                  <c:v>Social services</c:v>
                </c:pt>
              </c:strCache>
            </c:strRef>
          </c:tx>
          <c:spPr>
            <a:solidFill>
              <a:srgbClr val="953735"/>
            </a:solidFill>
            <a:ln w="25400">
              <a:noFill/>
            </a:ln>
          </c:spPr>
          <c:invertIfNegative val="0"/>
          <c:dLbls>
            <c:delete val="1"/>
          </c:dLbls>
          <c:cat>
            <c:strRef>
              <c:f>'Fig 1.5 &amp; 1.6'!$B$35:$N$35</c:f>
              <c:strCache>
                <c:ptCount val="13"/>
                <c:pt idx="0">
                  <c:v>2007</c:v>
                </c:pt>
                <c:pt idx="1">
                  <c:v>2008 </c:v>
                </c:pt>
                <c:pt idx="2">
                  <c:v>2009 </c:v>
                </c:pt>
                <c:pt idx="3">
                  <c:v>2010 </c:v>
                </c:pt>
                <c:pt idx="4">
                  <c:v>2011 </c:v>
                </c:pt>
                <c:pt idx="5">
                  <c:v>2012 </c:v>
                </c:pt>
                <c:pt idx="6">
                  <c:v>2013 </c:v>
                </c:pt>
                <c:pt idx="7">
                  <c:v>2014 </c:v>
                </c:pt>
                <c:pt idx="8">
                  <c:v>2015 </c:v>
                </c:pt>
                <c:pt idx="9">
                  <c:v>2016 Rev</c:v>
                </c:pt>
                <c:pt idx="10">
                  <c:v>2017 Est</c:v>
                </c:pt>
                <c:pt idx="11">
                  <c:v>2018 Est</c:v>
                </c:pt>
                <c:pt idx="12">
                  <c:v>2019 Est</c:v>
                </c:pt>
              </c:strCache>
            </c:strRef>
          </c:cat>
          <c:val>
            <c:numRef>
              <c:f>'Fig 1.5 &amp; 1.6'!$B$37:$N$37</c:f>
              <c:numCache>
                <c:formatCode>_(* #,##0.0_);_(* \(#,##0.0\);_(* "-"??_);_(@_)</c:formatCode>
                <c:ptCount val="13"/>
                <c:pt idx="0">
                  <c:v>3817.6</c:v>
                </c:pt>
                <c:pt idx="1">
                  <c:v>3679.5</c:v>
                </c:pt>
                <c:pt idx="2">
                  <c:v>4345.2921539999998</c:v>
                </c:pt>
                <c:pt idx="3">
                  <c:v>3462.622922</c:v>
                </c:pt>
                <c:pt idx="4">
                  <c:v>3544.46576</c:v>
                </c:pt>
                <c:pt idx="5">
                  <c:v>4225.7286190000004</c:v>
                </c:pt>
                <c:pt idx="6">
                  <c:v>5531.6275246499999</c:v>
                </c:pt>
                <c:pt idx="7">
                  <c:v>7089.9977030000009</c:v>
                </c:pt>
                <c:pt idx="8">
                  <c:v>8742.95622215</c:v>
                </c:pt>
              </c:numCache>
            </c:numRef>
          </c:val>
          <c:extLst>
            <c:ext xmlns:c16="http://schemas.microsoft.com/office/drawing/2014/chart" uri="{C3380CC4-5D6E-409C-BE32-E72D297353CC}">
              <c16:uniqueId val="{00000001-5EBD-4ABA-B365-334D662F221F}"/>
            </c:ext>
          </c:extLst>
        </c:ser>
        <c:ser>
          <c:idx val="2"/>
          <c:order val="2"/>
          <c:tx>
            <c:strRef>
              <c:f>'Fig 1.5 &amp; 1.6'!$A$38</c:f>
              <c:strCache>
                <c:ptCount val="1"/>
                <c:pt idx="0">
                  <c:v>Economic services</c:v>
                </c:pt>
              </c:strCache>
            </c:strRef>
          </c:tx>
          <c:spPr>
            <a:solidFill>
              <a:srgbClr val="CC6600"/>
            </a:solidFill>
            <a:ln w="25400">
              <a:noFill/>
            </a:ln>
          </c:spPr>
          <c:invertIfNegative val="0"/>
          <c:dLbls>
            <c:delete val="1"/>
          </c:dLbls>
          <c:cat>
            <c:strRef>
              <c:f>'Fig 1.5 &amp; 1.6'!$B$35:$N$35</c:f>
              <c:strCache>
                <c:ptCount val="13"/>
                <c:pt idx="0">
                  <c:v>2007</c:v>
                </c:pt>
                <c:pt idx="1">
                  <c:v>2008 </c:v>
                </c:pt>
                <c:pt idx="2">
                  <c:v>2009 </c:v>
                </c:pt>
                <c:pt idx="3">
                  <c:v>2010 </c:v>
                </c:pt>
                <c:pt idx="4">
                  <c:v>2011 </c:v>
                </c:pt>
                <c:pt idx="5">
                  <c:v>2012 </c:v>
                </c:pt>
                <c:pt idx="6">
                  <c:v>2013 </c:v>
                </c:pt>
                <c:pt idx="7">
                  <c:v>2014 </c:v>
                </c:pt>
                <c:pt idx="8">
                  <c:v>2015 </c:v>
                </c:pt>
                <c:pt idx="9">
                  <c:v>2016 Rev</c:v>
                </c:pt>
                <c:pt idx="10">
                  <c:v>2017 Est</c:v>
                </c:pt>
                <c:pt idx="11">
                  <c:v>2018 Est</c:v>
                </c:pt>
                <c:pt idx="12">
                  <c:v>2019 Est</c:v>
                </c:pt>
              </c:strCache>
            </c:strRef>
          </c:cat>
          <c:val>
            <c:numRef>
              <c:f>'Fig 1.5 &amp; 1.6'!$B$38:$N$38</c:f>
              <c:numCache>
                <c:formatCode>_(* #,##0.0_);_(* \(#,##0.0\);_(* "-"??_);_(@_)</c:formatCode>
                <c:ptCount val="13"/>
                <c:pt idx="0">
                  <c:v>266.3</c:v>
                </c:pt>
                <c:pt idx="1">
                  <c:v>293.99999999999994</c:v>
                </c:pt>
                <c:pt idx="2">
                  <c:v>255.78124300000002</c:v>
                </c:pt>
                <c:pt idx="3">
                  <c:v>265.56214700000004</c:v>
                </c:pt>
                <c:pt idx="4">
                  <c:v>209.35414899999998</c:v>
                </c:pt>
                <c:pt idx="5">
                  <c:v>209.18252100000001</c:v>
                </c:pt>
                <c:pt idx="6">
                  <c:v>300.81956875999992</c:v>
                </c:pt>
                <c:pt idx="7">
                  <c:v>348.30320599999999</c:v>
                </c:pt>
                <c:pt idx="8">
                  <c:v>344.55713775999999</c:v>
                </c:pt>
              </c:numCache>
            </c:numRef>
          </c:val>
          <c:extLst>
            <c:ext xmlns:c16="http://schemas.microsoft.com/office/drawing/2014/chart" uri="{C3380CC4-5D6E-409C-BE32-E72D297353CC}">
              <c16:uniqueId val="{00000002-5EBD-4ABA-B365-334D662F221F}"/>
            </c:ext>
          </c:extLst>
        </c:ser>
        <c:dLbls>
          <c:showLegendKey val="0"/>
          <c:showVal val="1"/>
          <c:showCatName val="0"/>
          <c:showSerName val="0"/>
          <c:showPercent val="0"/>
          <c:showBubbleSize val="0"/>
        </c:dLbls>
        <c:gapWidth val="150"/>
        <c:axId val="779648080"/>
        <c:axId val="381618720"/>
      </c:barChart>
      <c:catAx>
        <c:axId val="779648080"/>
        <c:scaling>
          <c:orientation val="minMax"/>
        </c:scaling>
        <c:delete val="0"/>
        <c:axPos val="b"/>
        <c:numFmt formatCode="General" sourceLinked="1"/>
        <c:majorTickMark val="out"/>
        <c:minorTickMark val="none"/>
        <c:tickLblPos val="nextTo"/>
        <c:spPr>
          <a:ln w="3175">
            <a:solidFill>
              <a:srgbClr val="000000"/>
            </a:solidFill>
            <a:prstDash val="solid"/>
          </a:ln>
        </c:spPr>
        <c:txPr>
          <a:bodyPr rot="0" vert="horz"/>
          <a:lstStyle/>
          <a:p>
            <a:pPr>
              <a:defRPr sz="900" b="0" i="0" u="none" strike="noStrike" baseline="0">
                <a:solidFill>
                  <a:srgbClr val="000000"/>
                </a:solidFill>
                <a:latin typeface="Arial"/>
                <a:ea typeface="Arial"/>
                <a:cs typeface="Arial"/>
              </a:defRPr>
            </a:pPr>
            <a:endParaRPr lang="en-US"/>
          </a:p>
        </c:txPr>
        <c:crossAx val="381618720"/>
        <c:crosses val="autoZero"/>
        <c:auto val="1"/>
        <c:lblAlgn val="ctr"/>
        <c:lblOffset val="100"/>
        <c:tickLblSkip val="1"/>
        <c:tickMarkSkip val="1"/>
        <c:noMultiLvlLbl val="0"/>
      </c:catAx>
      <c:valAx>
        <c:axId val="381618720"/>
        <c:scaling>
          <c:orientation val="minMax"/>
          <c:max val="9000"/>
        </c:scaling>
        <c:delete val="0"/>
        <c:axPos val="l"/>
        <c:majorGridlines>
          <c:spPr>
            <a:ln w="3175">
              <a:noFill/>
              <a:prstDash val="solid"/>
            </a:ln>
          </c:spPr>
        </c:majorGridlines>
        <c:numFmt formatCode="#,##0" sourceLinked="0"/>
        <c:majorTickMark val="none"/>
        <c:minorTickMark val="none"/>
        <c:tickLblPos val="nextTo"/>
        <c:spPr>
          <a:ln w="9525">
            <a:noFill/>
          </a:ln>
        </c:spPr>
        <c:txPr>
          <a:bodyPr rot="0" vert="horz"/>
          <a:lstStyle/>
          <a:p>
            <a:pPr>
              <a:defRPr sz="825" b="0" i="0" u="none" strike="noStrike" baseline="0">
                <a:solidFill>
                  <a:srgbClr val="000000"/>
                </a:solidFill>
                <a:latin typeface="Arial"/>
                <a:ea typeface="Arial"/>
                <a:cs typeface="Arial"/>
              </a:defRPr>
            </a:pPr>
            <a:endParaRPr lang="en-US"/>
          </a:p>
        </c:txPr>
        <c:crossAx val="779648080"/>
        <c:crosses val="autoZero"/>
        <c:crossBetween val="between"/>
        <c:majorUnit val="500"/>
      </c:valAx>
      <c:spPr>
        <a:solidFill>
          <a:srgbClr val="FDEADA"/>
        </a:solidFill>
        <a:ln w="3175">
          <a:solidFill>
            <a:schemeClr val="tx1">
              <a:lumMod val="50000"/>
              <a:lumOff val="50000"/>
            </a:schemeClr>
          </a:solidFill>
          <a:prstDash val="solid"/>
        </a:ln>
      </c:spPr>
    </c:plotArea>
    <c:legend>
      <c:legendPos val="r"/>
      <c:layout>
        <c:manualLayout>
          <c:xMode val="edge"/>
          <c:yMode val="edge"/>
          <c:x val="8.1186390480266962E-2"/>
          <c:y val="0.25358228873347843"/>
          <c:w val="0.46865950012487517"/>
          <c:h val="8.1005945668923038E-2"/>
        </c:manualLayout>
      </c:layout>
      <c:overlay val="0"/>
      <c:spPr>
        <a:solidFill>
          <a:srgbClr val="FDEADA"/>
        </a:solidFill>
        <a:ln w="25400">
          <a:noFill/>
        </a:ln>
      </c:spPr>
      <c:txPr>
        <a:bodyPr/>
        <a:lstStyle/>
        <a:p>
          <a:pPr>
            <a:defRPr sz="1050" b="0" i="0" u="none" strike="noStrike" baseline="0">
              <a:solidFill>
                <a:srgbClr val="000000"/>
              </a:solidFill>
              <a:latin typeface="+mn-lt"/>
              <a:ea typeface="Arial"/>
              <a:cs typeface="Arial"/>
            </a:defRPr>
          </a:pPr>
          <a:endParaRPr lang="en-US"/>
        </a:p>
      </c:txPr>
    </c:legend>
    <c:plotVisOnly val="1"/>
    <c:dispBlanksAs val="gap"/>
    <c:showDLblsOverMax val="0"/>
  </c:chart>
  <c:spPr>
    <a:solidFill>
      <a:srgbClr val="FFFFFF"/>
    </a:solidFill>
    <a:ln w="3175">
      <a:solidFill>
        <a:srgbClr val="000000"/>
      </a:solidFill>
      <a:prstDash val="solid"/>
    </a:ln>
  </c:spPr>
  <c:txPr>
    <a:bodyPr/>
    <a:lstStyle/>
    <a:p>
      <a:pPr>
        <a:defRPr sz="800" b="0" i="0" u="none" strike="noStrike" baseline="0">
          <a:solidFill>
            <a:srgbClr val="000000"/>
          </a:solidFill>
          <a:latin typeface="Arial"/>
          <a:ea typeface="Arial"/>
          <a:cs typeface="Arial"/>
        </a:defRPr>
      </a:pPr>
      <a:endParaRPr lang="en-US"/>
    </a:p>
  </c:txPr>
  <c:printSettings>
    <c:headerFooter alignWithMargins="0"/>
    <c:pageMargins b="1" l="0.75000000000000155" r="0.75000000000000155" t="1" header="0.5" footer="0.5"/>
    <c:pageSetup paperSize="9" orientation="landscape" horizontalDpi="1200" verticalDpi="1200"/>
  </c:printSettings>
  <c:userShapes r:id="rId1"/>
</c:chartSpace>
</file>

<file path=xl/drawings/_rels/drawing3.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0</xdr:col>
      <xdr:colOff>0</xdr:colOff>
      <xdr:row>19</xdr:row>
      <xdr:rowOff>0</xdr:rowOff>
    </xdr:from>
    <xdr:to>
      <xdr:col>0</xdr:col>
      <xdr:colOff>927687</xdr:colOff>
      <xdr:row>19</xdr:row>
      <xdr:rowOff>0</xdr:rowOff>
    </xdr:to>
    <xdr:sp macro="" textlink="">
      <xdr:nvSpPr>
        <xdr:cNvPr id="2" name="Text 1"/>
        <xdr:cNvSpPr txBox="1">
          <a:spLocks noChangeArrowheads="1"/>
        </xdr:cNvSpPr>
      </xdr:nvSpPr>
      <xdr:spPr bwMode="auto">
        <a:xfrm>
          <a:off x="0" y="3893820"/>
          <a:ext cx="927687" cy="0"/>
        </a:xfrm>
        <a:prstGeom prst="rect">
          <a:avLst/>
        </a:prstGeom>
        <a:noFill/>
        <a:ln w="1">
          <a:noFill/>
          <a:miter lim="800000"/>
          <a:headEnd/>
          <a:tailEnd/>
        </a:ln>
      </xdr:spPr>
      <xdr:txBody>
        <a:bodyPr vertOverflow="clip" wrap="square" lIns="27432" tIns="41148" rIns="0" bIns="0" anchor="t" upright="1"/>
        <a:lstStyle/>
        <a:p>
          <a:pPr algn="l" rtl="0">
            <a:defRPr sz="1000"/>
          </a:pPr>
          <a:r>
            <a:rPr lang="en-US" sz="1000" b="1" i="0" strike="noStrike">
              <a:solidFill>
                <a:srgbClr val="000000"/>
              </a:solidFill>
              <a:latin typeface="A_Randhoo"/>
            </a:rPr>
            <a:t>(ELugWairuk)</a:t>
          </a:r>
          <a:endParaRPr lang="en-US" sz="1000" b="0" i="0" strike="noStrike">
            <a:solidFill>
              <a:srgbClr val="000000"/>
            </a:solidFill>
            <a:latin typeface="Courier"/>
          </a:endParaRPr>
        </a:p>
        <a:p>
          <a:pPr algn="l" rtl="0">
            <a:defRPr sz="1000"/>
          </a:pPr>
          <a:r>
            <a:rPr lang="en-US" sz="900" b="1" i="0" strike="noStrike">
              <a:solidFill>
                <a:srgbClr val="000000"/>
              </a:solidFill>
              <a:latin typeface="Arial"/>
              <a:cs typeface="Arial"/>
            </a:rPr>
            <a:t>(Continued)</a:t>
          </a:r>
        </a:p>
      </xdr:txBody>
    </xdr:sp>
    <xdr:clientData/>
  </xdr:twoCellAnchor>
  <xdr:twoCellAnchor>
    <xdr:from>
      <xdr:col>0</xdr:col>
      <xdr:colOff>0</xdr:colOff>
      <xdr:row>22</xdr:row>
      <xdr:rowOff>0</xdr:rowOff>
    </xdr:from>
    <xdr:to>
      <xdr:col>0</xdr:col>
      <xdr:colOff>927687</xdr:colOff>
      <xdr:row>22</xdr:row>
      <xdr:rowOff>0</xdr:rowOff>
    </xdr:to>
    <xdr:sp macro="" textlink="">
      <xdr:nvSpPr>
        <xdr:cNvPr id="3" name="Text Box 658"/>
        <xdr:cNvSpPr txBox="1">
          <a:spLocks noChangeArrowheads="1"/>
        </xdr:cNvSpPr>
      </xdr:nvSpPr>
      <xdr:spPr bwMode="auto">
        <a:xfrm>
          <a:off x="0" y="4259580"/>
          <a:ext cx="927687" cy="0"/>
        </a:xfrm>
        <a:prstGeom prst="rect">
          <a:avLst/>
        </a:prstGeom>
        <a:noFill/>
        <a:ln w="1">
          <a:noFill/>
          <a:miter lim="800000"/>
          <a:headEnd/>
          <a:tailEnd/>
        </a:ln>
      </xdr:spPr>
      <xdr:txBody>
        <a:bodyPr vertOverflow="clip" wrap="square" lIns="27432" tIns="41148" rIns="0" bIns="0" anchor="t" upright="1"/>
        <a:lstStyle/>
        <a:p>
          <a:pPr algn="l" rtl="0">
            <a:defRPr sz="1000"/>
          </a:pPr>
          <a:r>
            <a:rPr lang="en-US" sz="1000" b="1" i="0" strike="noStrike">
              <a:solidFill>
                <a:srgbClr val="000000"/>
              </a:solidFill>
              <a:latin typeface="A_Randhoo"/>
            </a:rPr>
            <a:t>(ELugWairuk)</a:t>
          </a:r>
          <a:endParaRPr lang="en-US" sz="1000" b="0" i="0" strike="noStrike">
            <a:solidFill>
              <a:srgbClr val="000000"/>
            </a:solidFill>
            <a:latin typeface="Courier"/>
          </a:endParaRPr>
        </a:p>
        <a:p>
          <a:pPr algn="l" rtl="0">
            <a:defRPr sz="1000"/>
          </a:pPr>
          <a:r>
            <a:rPr lang="en-US" sz="900" b="1" i="0" strike="noStrike">
              <a:solidFill>
                <a:srgbClr val="000000"/>
              </a:solidFill>
              <a:latin typeface="Arial"/>
              <a:cs typeface="Arial"/>
            </a:rPr>
            <a:t>(Continued)</a:t>
          </a:r>
        </a:p>
      </xdr:txBody>
    </xdr:sp>
    <xdr:clientData/>
  </xdr:twoCellAnchor>
  <xdr:twoCellAnchor>
    <xdr:from>
      <xdr:col>0</xdr:col>
      <xdr:colOff>0</xdr:colOff>
      <xdr:row>19</xdr:row>
      <xdr:rowOff>0</xdr:rowOff>
    </xdr:from>
    <xdr:to>
      <xdr:col>0</xdr:col>
      <xdr:colOff>927687</xdr:colOff>
      <xdr:row>19</xdr:row>
      <xdr:rowOff>0</xdr:rowOff>
    </xdr:to>
    <xdr:sp macro="" textlink="">
      <xdr:nvSpPr>
        <xdr:cNvPr id="4" name="Text Box 659"/>
        <xdr:cNvSpPr txBox="1">
          <a:spLocks noChangeArrowheads="1"/>
        </xdr:cNvSpPr>
      </xdr:nvSpPr>
      <xdr:spPr bwMode="auto">
        <a:xfrm>
          <a:off x="0" y="3893820"/>
          <a:ext cx="927687" cy="0"/>
        </a:xfrm>
        <a:prstGeom prst="rect">
          <a:avLst/>
        </a:prstGeom>
        <a:noFill/>
        <a:ln w="1">
          <a:noFill/>
          <a:miter lim="800000"/>
          <a:headEnd/>
          <a:tailEnd/>
        </a:ln>
      </xdr:spPr>
      <xdr:txBody>
        <a:bodyPr vertOverflow="clip" wrap="square" lIns="27432" tIns="41148" rIns="0" bIns="0" anchor="t" upright="1"/>
        <a:lstStyle/>
        <a:p>
          <a:pPr algn="l" rtl="0">
            <a:defRPr sz="1000"/>
          </a:pPr>
          <a:r>
            <a:rPr lang="en-US" sz="1000" b="1" i="0" strike="noStrike">
              <a:solidFill>
                <a:srgbClr val="000000"/>
              </a:solidFill>
              <a:latin typeface="A_Randhoo"/>
            </a:rPr>
            <a:t>(ELugWairuk)</a:t>
          </a:r>
          <a:endParaRPr lang="en-US" sz="1000" b="0" i="0" strike="noStrike">
            <a:solidFill>
              <a:srgbClr val="000000"/>
            </a:solidFill>
            <a:latin typeface="Courier"/>
          </a:endParaRPr>
        </a:p>
        <a:p>
          <a:pPr algn="l" rtl="0">
            <a:defRPr sz="1000"/>
          </a:pPr>
          <a:r>
            <a:rPr lang="en-US" sz="900" b="1" i="0" strike="noStrike">
              <a:solidFill>
                <a:srgbClr val="000000"/>
              </a:solidFill>
              <a:latin typeface="Arial"/>
              <a:cs typeface="Arial"/>
            </a:rPr>
            <a:t>(Continued)</a:t>
          </a:r>
        </a:p>
      </xdr:txBody>
    </xdr:sp>
    <xdr:clientData/>
  </xdr:twoCellAnchor>
  <xdr:twoCellAnchor>
    <xdr:from>
      <xdr:col>0</xdr:col>
      <xdr:colOff>0</xdr:colOff>
      <xdr:row>22</xdr:row>
      <xdr:rowOff>0</xdr:rowOff>
    </xdr:from>
    <xdr:to>
      <xdr:col>0</xdr:col>
      <xdr:colOff>927687</xdr:colOff>
      <xdr:row>22</xdr:row>
      <xdr:rowOff>0</xdr:rowOff>
    </xdr:to>
    <xdr:sp macro="" textlink="">
      <xdr:nvSpPr>
        <xdr:cNvPr id="5" name="Text Box 660"/>
        <xdr:cNvSpPr txBox="1">
          <a:spLocks noChangeArrowheads="1"/>
        </xdr:cNvSpPr>
      </xdr:nvSpPr>
      <xdr:spPr bwMode="auto">
        <a:xfrm>
          <a:off x="0" y="4259580"/>
          <a:ext cx="927687" cy="0"/>
        </a:xfrm>
        <a:prstGeom prst="rect">
          <a:avLst/>
        </a:prstGeom>
        <a:noFill/>
        <a:ln w="1">
          <a:noFill/>
          <a:miter lim="800000"/>
          <a:headEnd/>
          <a:tailEnd/>
        </a:ln>
      </xdr:spPr>
      <xdr:txBody>
        <a:bodyPr vertOverflow="clip" wrap="square" lIns="27432" tIns="41148" rIns="0" bIns="0" anchor="t" upright="1"/>
        <a:lstStyle/>
        <a:p>
          <a:pPr algn="l" rtl="0">
            <a:defRPr sz="1000"/>
          </a:pPr>
          <a:r>
            <a:rPr lang="en-US" sz="1000" b="1" i="0" strike="noStrike">
              <a:solidFill>
                <a:srgbClr val="000000"/>
              </a:solidFill>
              <a:latin typeface="A_Randhoo"/>
            </a:rPr>
            <a:t>(ELugWairuk)</a:t>
          </a:r>
          <a:endParaRPr lang="en-US" sz="1000" b="0" i="0" strike="noStrike">
            <a:solidFill>
              <a:srgbClr val="000000"/>
            </a:solidFill>
            <a:latin typeface="Courier"/>
          </a:endParaRPr>
        </a:p>
        <a:p>
          <a:pPr algn="l" rtl="0">
            <a:defRPr sz="1000"/>
          </a:pPr>
          <a:r>
            <a:rPr lang="en-US" sz="900" b="1" i="0" strike="noStrike">
              <a:solidFill>
                <a:srgbClr val="000000"/>
              </a:solidFill>
              <a:latin typeface="Arial"/>
              <a:cs typeface="Arial"/>
            </a:rPr>
            <a:t>(Continued)</a:t>
          </a: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19</xdr:row>
      <xdr:rowOff>0</xdr:rowOff>
    </xdr:from>
    <xdr:to>
      <xdr:col>1</xdr:col>
      <xdr:colOff>0</xdr:colOff>
      <xdr:row>19</xdr:row>
      <xdr:rowOff>0</xdr:rowOff>
    </xdr:to>
    <xdr:sp macro="" textlink="">
      <xdr:nvSpPr>
        <xdr:cNvPr id="2" name="Text 1"/>
        <xdr:cNvSpPr txBox="1">
          <a:spLocks noChangeArrowheads="1"/>
        </xdr:cNvSpPr>
      </xdr:nvSpPr>
      <xdr:spPr bwMode="auto">
        <a:xfrm>
          <a:off x="0" y="3284220"/>
          <a:ext cx="2362200" cy="0"/>
        </a:xfrm>
        <a:prstGeom prst="rect">
          <a:avLst/>
        </a:prstGeom>
        <a:noFill/>
        <a:ln w="1">
          <a:noFill/>
          <a:miter lim="800000"/>
          <a:headEnd/>
          <a:tailEnd/>
        </a:ln>
      </xdr:spPr>
      <xdr:txBody>
        <a:bodyPr vertOverflow="clip" wrap="square" lIns="27432" tIns="41148" rIns="0" bIns="0" anchor="t" upright="1"/>
        <a:lstStyle/>
        <a:p>
          <a:pPr algn="l" rtl="0">
            <a:defRPr sz="1000"/>
          </a:pPr>
          <a:r>
            <a:rPr lang="en-US" sz="1000" b="1" i="0" strike="noStrike">
              <a:solidFill>
                <a:srgbClr val="000000"/>
              </a:solidFill>
              <a:latin typeface="A_Randhoo"/>
            </a:rPr>
            <a:t>(ELugWairuk)</a:t>
          </a:r>
          <a:endParaRPr lang="en-US" sz="1000" b="0" i="0" strike="noStrike">
            <a:solidFill>
              <a:srgbClr val="000000"/>
            </a:solidFill>
            <a:latin typeface="Courier"/>
          </a:endParaRPr>
        </a:p>
        <a:p>
          <a:pPr algn="l" rtl="0">
            <a:defRPr sz="1000"/>
          </a:pPr>
          <a:r>
            <a:rPr lang="en-US" sz="800" b="1" i="0" strike="noStrike">
              <a:solidFill>
                <a:srgbClr val="000000"/>
              </a:solidFill>
              <a:latin typeface="Arial"/>
              <a:cs typeface="Arial"/>
            </a:rPr>
            <a:t>(Continued)</a:t>
          </a:r>
        </a:p>
      </xdr:txBody>
    </xdr:sp>
    <xdr:clientData/>
  </xdr:twoCellAnchor>
  <xdr:twoCellAnchor>
    <xdr:from>
      <xdr:col>0</xdr:col>
      <xdr:colOff>0</xdr:colOff>
      <xdr:row>19</xdr:row>
      <xdr:rowOff>0</xdr:rowOff>
    </xdr:from>
    <xdr:to>
      <xdr:col>1</xdr:col>
      <xdr:colOff>0</xdr:colOff>
      <xdr:row>19</xdr:row>
      <xdr:rowOff>0</xdr:rowOff>
    </xdr:to>
    <xdr:sp macro="" textlink="">
      <xdr:nvSpPr>
        <xdr:cNvPr id="3" name="Text Box 658"/>
        <xdr:cNvSpPr txBox="1">
          <a:spLocks noChangeArrowheads="1"/>
        </xdr:cNvSpPr>
      </xdr:nvSpPr>
      <xdr:spPr bwMode="auto">
        <a:xfrm>
          <a:off x="0" y="3284220"/>
          <a:ext cx="2362200" cy="0"/>
        </a:xfrm>
        <a:prstGeom prst="rect">
          <a:avLst/>
        </a:prstGeom>
        <a:noFill/>
        <a:ln w="1">
          <a:noFill/>
          <a:miter lim="800000"/>
          <a:headEnd/>
          <a:tailEnd/>
        </a:ln>
      </xdr:spPr>
      <xdr:txBody>
        <a:bodyPr vertOverflow="clip" wrap="square" lIns="27432" tIns="41148" rIns="0" bIns="0" anchor="t" upright="1"/>
        <a:lstStyle/>
        <a:p>
          <a:pPr algn="l" rtl="0">
            <a:defRPr sz="1000"/>
          </a:pPr>
          <a:r>
            <a:rPr lang="en-US" sz="1000" b="1" i="0" strike="noStrike">
              <a:solidFill>
                <a:srgbClr val="000000"/>
              </a:solidFill>
              <a:latin typeface="A_Randhoo"/>
            </a:rPr>
            <a:t>(ELugWairuk)</a:t>
          </a:r>
          <a:endParaRPr lang="en-US" sz="1000" b="0" i="0" strike="noStrike">
            <a:solidFill>
              <a:srgbClr val="000000"/>
            </a:solidFill>
            <a:latin typeface="Courier"/>
          </a:endParaRPr>
        </a:p>
        <a:p>
          <a:pPr algn="l" rtl="0">
            <a:defRPr sz="1000"/>
          </a:pPr>
          <a:r>
            <a:rPr lang="en-US" sz="800" b="1" i="0" strike="noStrike">
              <a:solidFill>
                <a:srgbClr val="000000"/>
              </a:solidFill>
              <a:latin typeface="Arial"/>
              <a:cs typeface="Arial"/>
            </a:rPr>
            <a:t>(Continued)</a:t>
          </a:r>
        </a:p>
      </xdr:txBody>
    </xdr:sp>
    <xdr:clientData/>
  </xdr:twoCellAnchor>
  <xdr:twoCellAnchor>
    <xdr:from>
      <xdr:col>0</xdr:col>
      <xdr:colOff>0</xdr:colOff>
      <xdr:row>19</xdr:row>
      <xdr:rowOff>0</xdr:rowOff>
    </xdr:from>
    <xdr:to>
      <xdr:col>1</xdr:col>
      <xdr:colOff>0</xdr:colOff>
      <xdr:row>19</xdr:row>
      <xdr:rowOff>0</xdr:rowOff>
    </xdr:to>
    <xdr:sp macro="" textlink="">
      <xdr:nvSpPr>
        <xdr:cNvPr id="4" name="Text Box 659"/>
        <xdr:cNvSpPr txBox="1">
          <a:spLocks noChangeArrowheads="1"/>
        </xdr:cNvSpPr>
      </xdr:nvSpPr>
      <xdr:spPr bwMode="auto">
        <a:xfrm>
          <a:off x="0" y="3284220"/>
          <a:ext cx="2362200" cy="0"/>
        </a:xfrm>
        <a:prstGeom prst="rect">
          <a:avLst/>
        </a:prstGeom>
        <a:noFill/>
        <a:ln w="1">
          <a:noFill/>
          <a:miter lim="800000"/>
          <a:headEnd/>
          <a:tailEnd/>
        </a:ln>
      </xdr:spPr>
      <xdr:txBody>
        <a:bodyPr vertOverflow="clip" wrap="square" lIns="27432" tIns="41148" rIns="0" bIns="0" anchor="t" upright="1"/>
        <a:lstStyle/>
        <a:p>
          <a:pPr algn="l" rtl="0">
            <a:defRPr sz="1000"/>
          </a:pPr>
          <a:r>
            <a:rPr lang="en-US" sz="1000" b="1" i="0" strike="noStrike">
              <a:solidFill>
                <a:srgbClr val="000000"/>
              </a:solidFill>
              <a:latin typeface="A_Randhoo"/>
            </a:rPr>
            <a:t>(ELugWairuk)</a:t>
          </a:r>
          <a:endParaRPr lang="en-US" sz="1000" b="0" i="0" strike="noStrike">
            <a:solidFill>
              <a:srgbClr val="000000"/>
            </a:solidFill>
            <a:latin typeface="Courier"/>
          </a:endParaRPr>
        </a:p>
        <a:p>
          <a:pPr algn="l" rtl="0">
            <a:defRPr sz="1000"/>
          </a:pPr>
          <a:r>
            <a:rPr lang="en-US" sz="800" b="1" i="0" strike="noStrike">
              <a:solidFill>
                <a:srgbClr val="000000"/>
              </a:solidFill>
              <a:latin typeface="Arial"/>
              <a:cs typeface="Arial"/>
            </a:rPr>
            <a:t>(Continued)</a:t>
          </a:r>
        </a:p>
      </xdr:txBody>
    </xdr:sp>
    <xdr:clientData/>
  </xdr:twoCellAnchor>
  <xdr:twoCellAnchor>
    <xdr:from>
      <xdr:col>0</xdr:col>
      <xdr:colOff>0</xdr:colOff>
      <xdr:row>19</xdr:row>
      <xdr:rowOff>0</xdr:rowOff>
    </xdr:from>
    <xdr:to>
      <xdr:col>1</xdr:col>
      <xdr:colOff>0</xdr:colOff>
      <xdr:row>19</xdr:row>
      <xdr:rowOff>0</xdr:rowOff>
    </xdr:to>
    <xdr:sp macro="" textlink="">
      <xdr:nvSpPr>
        <xdr:cNvPr id="5" name="Text Box 660"/>
        <xdr:cNvSpPr txBox="1">
          <a:spLocks noChangeArrowheads="1"/>
        </xdr:cNvSpPr>
      </xdr:nvSpPr>
      <xdr:spPr bwMode="auto">
        <a:xfrm>
          <a:off x="0" y="3284220"/>
          <a:ext cx="2362200" cy="0"/>
        </a:xfrm>
        <a:prstGeom prst="rect">
          <a:avLst/>
        </a:prstGeom>
        <a:noFill/>
        <a:ln w="1">
          <a:noFill/>
          <a:miter lim="800000"/>
          <a:headEnd/>
          <a:tailEnd/>
        </a:ln>
      </xdr:spPr>
      <xdr:txBody>
        <a:bodyPr vertOverflow="clip" wrap="square" lIns="27432" tIns="41148" rIns="0" bIns="0" anchor="t" upright="1"/>
        <a:lstStyle/>
        <a:p>
          <a:pPr algn="l" rtl="0">
            <a:defRPr sz="1000"/>
          </a:pPr>
          <a:r>
            <a:rPr lang="en-US" sz="1000" b="1" i="0" strike="noStrike">
              <a:solidFill>
                <a:srgbClr val="000000"/>
              </a:solidFill>
              <a:latin typeface="A_Randhoo"/>
            </a:rPr>
            <a:t>(ELugWairuk)</a:t>
          </a:r>
          <a:endParaRPr lang="en-US" sz="1000" b="0" i="0" strike="noStrike">
            <a:solidFill>
              <a:srgbClr val="000000"/>
            </a:solidFill>
            <a:latin typeface="Courier"/>
          </a:endParaRPr>
        </a:p>
        <a:p>
          <a:pPr algn="l" rtl="0">
            <a:defRPr sz="1000"/>
          </a:pPr>
          <a:r>
            <a:rPr lang="en-US" sz="800" b="1" i="0" strike="noStrike">
              <a:solidFill>
                <a:srgbClr val="000000"/>
              </a:solidFill>
              <a:latin typeface="Arial"/>
              <a:cs typeface="Arial"/>
            </a:rPr>
            <a:t>(Continued)</a:t>
          </a: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0</xdr:col>
      <xdr:colOff>342899</xdr:colOff>
      <xdr:row>8</xdr:row>
      <xdr:rowOff>128270</xdr:rowOff>
    </xdr:from>
    <xdr:to>
      <xdr:col>13</xdr:col>
      <xdr:colOff>638174</xdr:colOff>
      <xdr:row>30</xdr:row>
      <xdr:rowOff>63500</xdr:rowOff>
    </xdr:to>
    <xdr:graphicFrame macro="">
      <xdr:nvGraphicFramePr>
        <xdr:cNvPr id="2" name="Chart 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379325</xdr:colOff>
      <xdr:row>38</xdr:row>
      <xdr:rowOff>138545</xdr:rowOff>
    </xdr:from>
    <xdr:to>
      <xdr:col>13</xdr:col>
      <xdr:colOff>638174</xdr:colOff>
      <xdr:row>61</xdr:row>
      <xdr:rowOff>11353</xdr:rowOff>
    </xdr:to>
    <xdr:graphicFrame macro="">
      <xdr:nvGraphicFramePr>
        <xdr:cNvPr id="3" name="Chart 2"/>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439979</xdr:colOff>
      <xdr:row>41</xdr:row>
      <xdr:rowOff>72621</xdr:rowOff>
    </xdr:from>
    <xdr:to>
      <xdr:col>1</xdr:col>
      <xdr:colOff>419101</xdr:colOff>
      <xdr:row>42</xdr:row>
      <xdr:rowOff>68580</xdr:rowOff>
    </xdr:to>
    <xdr:sp macro="" textlink="">
      <xdr:nvSpPr>
        <xdr:cNvPr id="4" name="Text Box 3"/>
        <xdr:cNvSpPr txBox="1">
          <a:spLocks noChangeArrowheads="1"/>
        </xdr:cNvSpPr>
      </xdr:nvSpPr>
      <xdr:spPr bwMode="auto">
        <a:xfrm>
          <a:off x="439979" y="6084801"/>
          <a:ext cx="1053542" cy="140739"/>
        </a:xfrm>
        <a:prstGeom prst="rect">
          <a:avLst/>
        </a:prstGeom>
        <a:noFill/>
        <a:ln w="9525">
          <a:noFill/>
          <a:miter lim="800000"/>
          <a:headEnd/>
          <a:tailEnd/>
        </a:ln>
      </xdr:spPr>
      <xdr:txBody>
        <a:bodyPr vertOverflow="clip" wrap="square" lIns="27432" tIns="22860" rIns="0" bIns="0" anchor="t" upright="1"/>
        <a:lstStyle/>
        <a:p>
          <a:pPr algn="l" rtl="1">
            <a:defRPr sz="1000"/>
          </a:pPr>
          <a:r>
            <a:rPr lang="en-US" sz="800" b="1" i="0" strike="noStrike">
              <a:solidFill>
                <a:srgbClr val="000000"/>
              </a:solidFill>
              <a:latin typeface="Consolas" pitchFamily="49" charset="0"/>
              <a:cs typeface="Consolas" pitchFamily="49" charset="0"/>
            </a:rPr>
            <a:t>In Million Rufiyaa</a:t>
          </a:r>
        </a:p>
      </xdr:txBody>
    </xdr:sp>
    <xdr:clientData/>
  </xdr:twoCellAnchor>
  <xdr:twoCellAnchor>
    <xdr:from>
      <xdr:col>1</xdr:col>
      <xdr:colOff>247649</xdr:colOff>
      <xdr:row>41</xdr:row>
      <xdr:rowOff>57149</xdr:rowOff>
    </xdr:from>
    <xdr:to>
      <xdr:col>13</xdr:col>
      <xdr:colOff>180974</xdr:colOff>
      <xdr:row>41</xdr:row>
      <xdr:rowOff>66674</xdr:rowOff>
    </xdr:to>
    <xdr:sp macro="" textlink="">
      <xdr:nvSpPr>
        <xdr:cNvPr id="9" name="Line 4"/>
        <xdr:cNvSpPr>
          <a:spLocks noChangeShapeType="1"/>
        </xdr:cNvSpPr>
      </xdr:nvSpPr>
      <xdr:spPr bwMode="auto">
        <a:xfrm>
          <a:off x="1295399" y="6305549"/>
          <a:ext cx="6734175" cy="9525"/>
        </a:xfrm>
        <a:prstGeom prst="line">
          <a:avLst/>
        </a:prstGeom>
        <a:ln>
          <a:headEnd/>
          <a:tailEnd/>
        </a:ln>
      </xdr:spPr>
      <xdr:style>
        <a:lnRef idx="3">
          <a:schemeClr val="accent6"/>
        </a:lnRef>
        <a:fillRef idx="0">
          <a:schemeClr val="accent6"/>
        </a:fillRef>
        <a:effectRef idx="2">
          <a:schemeClr val="accent6"/>
        </a:effectRef>
        <a:fontRef idx="minor">
          <a:schemeClr val="tx1"/>
        </a:fontRef>
      </xdr:style>
    </xdr:sp>
    <xdr:clientData/>
  </xdr:twoCellAnchor>
  <xdr:twoCellAnchor>
    <xdr:from>
      <xdr:col>1</xdr:col>
      <xdr:colOff>85725</xdr:colOff>
      <xdr:row>10</xdr:row>
      <xdr:rowOff>133349</xdr:rowOff>
    </xdr:from>
    <xdr:to>
      <xdr:col>13</xdr:col>
      <xdr:colOff>66675</xdr:colOff>
      <xdr:row>10</xdr:row>
      <xdr:rowOff>142874</xdr:rowOff>
    </xdr:to>
    <xdr:sp macro="" textlink="">
      <xdr:nvSpPr>
        <xdr:cNvPr id="10" name="Line 4"/>
        <xdr:cNvSpPr>
          <a:spLocks noChangeShapeType="1"/>
        </xdr:cNvSpPr>
      </xdr:nvSpPr>
      <xdr:spPr bwMode="auto">
        <a:xfrm>
          <a:off x="1133475" y="1657349"/>
          <a:ext cx="6781800" cy="9525"/>
        </a:xfrm>
        <a:prstGeom prst="line">
          <a:avLst/>
        </a:prstGeom>
        <a:ln>
          <a:headEnd/>
          <a:tailEnd/>
        </a:ln>
      </xdr:spPr>
      <xdr:style>
        <a:lnRef idx="3">
          <a:schemeClr val="accent6"/>
        </a:lnRef>
        <a:fillRef idx="0">
          <a:schemeClr val="accent6"/>
        </a:fillRef>
        <a:effectRef idx="2">
          <a:schemeClr val="accent6"/>
        </a:effectRef>
        <a:fontRef idx="minor">
          <a:schemeClr val="tx1"/>
        </a:fontRef>
      </xdr:style>
    </xdr:sp>
    <xdr:clientData/>
  </xdr:twoCellAnchor>
</xdr:wsDr>
</file>

<file path=xl/drawings/drawing4.xml><?xml version="1.0" encoding="utf-8"?>
<c:userShapes xmlns:c="http://schemas.openxmlformats.org/drawingml/2006/chart">
  <cdr:relSizeAnchor xmlns:cdr="http://schemas.openxmlformats.org/drawingml/2006/chartDrawing">
    <cdr:from>
      <cdr:x>0.00834</cdr:x>
      <cdr:y>0.10397</cdr:y>
    </cdr:from>
    <cdr:to>
      <cdr:x>0.14233</cdr:x>
      <cdr:y>0.14452</cdr:y>
    </cdr:to>
    <cdr:sp macro="" textlink="">
      <cdr:nvSpPr>
        <cdr:cNvPr id="23553" name="Text Box 1"/>
        <cdr:cNvSpPr txBox="1">
          <a:spLocks xmlns:a="http://schemas.openxmlformats.org/drawingml/2006/main" noChangeArrowheads="1"/>
        </cdr:cNvSpPr>
      </cdr:nvSpPr>
      <cdr:spPr bwMode="auto">
        <a:xfrm xmlns:a="http://schemas.openxmlformats.org/drawingml/2006/main">
          <a:off x="61184" y="324433"/>
          <a:ext cx="982834" cy="126532"/>
        </a:xfrm>
        <a:prstGeom xmlns:a="http://schemas.openxmlformats.org/drawingml/2006/main" prst="rect">
          <a:avLst/>
        </a:prstGeom>
        <a:noFill xmlns:a="http://schemas.openxmlformats.org/drawingml/2006/main"/>
        <a:ln xmlns:a="http://schemas.openxmlformats.org/drawingml/2006/main" w="9525">
          <a:noFill/>
          <a:miter lim="800000"/>
          <a:headEnd/>
          <a:tailEnd/>
        </a:ln>
      </cdr:spPr>
      <cdr:txBody>
        <a:bodyPr xmlns:a="http://schemas.openxmlformats.org/drawingml/2006/main" vertOverflow="clip" wrap="square" lIns="27432" tIns="22860" rIns="0" bIns="0" anchor="t" upright="1"/>
        <a:lstStyle xmlns:a="http://schemas.openxmlformats.org/drawingml/2006/main"/>
        <a:p xmlns:a="http://schemas.openxmlformats.org/drawingml/2006/main">
          <a:pPr algn="l" rtl="1">
            <a:defRPr sz="1000"/>
          </a:pPr>
          <a:r>
            <a:rPr lang="en-US" sz="700" b="1" i="0" strike="noStrike">
              <a:solidFill>
                <a:srgbClr val="000000"/>
              </a:solidFill>
              <a:latin typeface="Arial"/>
              <a:cs typeface="Arial"/>
            </a:rPr>
            <a:t>In Million Rufiyaa</a:t>
          </a:r>
        </a:p>
      </cdr:txBody>
    </cdr:sp>
  </cdr:relSizeAnchor>
  <cdr:relSizeAnchor xmlns:cdr="http://schemas.openxmlformats.org/drawingml/2006/chartDrawing">
    <cdr:from>
      <cdr:x>0.09869</cdr:x>
      <cdr:y>0.03511</cdr:y>
    </cdr:from>
    <cdr:to>
      <cdr:x>0.98504</cdr:x>
      <cdr:y>0.1377</cdr:y>
    </cdr:to>
    <cdr:sp macro="" textlink="">
      <cdr:nvSpPr>
        <cdr:cNvPr id="23554" name="Text Box 2"/>
        <cdr:cNvSpPr txBox="1">
          <a:spLocks xmlns:a="http://schemas.openxmlformats.org/drawingml/2006/main" noChangeArrowheads="1"/>
        </cdr:cNvSpPr>
      </cdr:nvSpPr>
      <cdr:spPr bwMode="auto">
        <a:xfrm xmlns:a="http://schemas.openxmlformats.org/drawingml/2006/main">
          <a:off x="706897" y="115443"/>
          <a:ext cx="6348748" cy="337312"/>
        </a:xfrm>
        <a:prstGeom xmlns:a="http://schemas.openxmlformats.org/drawingml/2006/main" prst="rect">
          <a:avLst/>
        </a:prstGeom>
        <a:noFill xmlns:a="http://schemas.openxmlformats.org/drawingml/2006/main"/>
        <a:ln xmlns:a="http://schemas.openxmlformats.org/drawingml/2006/main" w="9525">
          <a:noFill/>
          <a:miter lim="800000"/>
          <a:headEnd/>
          <a:tailEnd/>
        </a:ln>
      </cdr:spPr>
      <cdr:txBody>
        <a:bodyPr xmlns:a="http://schemas.openxmlformats.org/drawingml/2006/main" vertOverflow="clip" wrap="square" lIns="27432" tIns="27432" rIns="0" bIns="0" anchor="t" upright="1"/>
        <a:lstStyle xmlns:a="http://schemas.openxmlformats.org/drawingml/2006/main"/>
        <a:p xmlns:a="http://schemas.openxmlformats.org/drawingml/2006/main">
          <a:pPr algn="l" rtl="1">
            <a:defRPr sz="1000"/>
          </a:pPr>
          <a:r>
            <a:rPr lang="en-US" sz="1000" b="1" i="0" u="none" strike="noStrike">
              <a:solidFill>
                <a:srgbClr val="000000"/>
              </a:solidFill>
              <a:latin typeface="Consolas" pitchFamily="49" charset="0"/>
              <a:cs typeface="Consolas" pitchFamily="49" charset="0"/>
            </a:rPr>
            <a:t>Figure 13.5: Functional Classification of Central Government Capital Expenditure, 2007 -  2019</a:t>
          </a:r>
        </a:p>
      </cdr:txBody>
    </cdr:sp>
  </cdr:relSizeAnchor>
</c:userShapes>
</file>

<file path=xl/drawings/drawing5.xml><?xml version="1.0" encoding="utf-8"?>
<c:userShapes xmlns:c="http://schemas.openxmlformats.org/drawingml/2006/chart">
  <cdr:relSizeAnchor xmlns:cdr="http://schemas.openxmlformats.org/drawingml/2006/chartDrawing">
    <cdr:from>
      <cdr:x>0.08384</cdr:x>
      <cdr:y>0.03442</cdr:y>
    </cdr:from>
    <cdr:to>
      <cdr:x>0.9711</cdr:x>
      <cdr:y>0.10901</cdr:y>
    </cdr:to>
    <cdr:sp macro="" textlink="">
      <cdr:nvSpPr>
        <cdr:cNvPr id="24578" name="Text Box 2"/>
        <cdr:cNvSpPr txBox="1">
          <a:spLocks xmlns:a="http://schemas.openxmlformats.org/drawingml/2006/main" noChangeArrowheads="1"/>
        </cdr:cNvSpPr>
      </cdr:nvSpPr>
      <cdr:spPr bwMode="auto">
        <a:xfrm xmlns:a="http://schemas.openxmlformats.org/drawingml/2006/main">
          <a:off x="611275" y="110229"/>
          <a:ext cx="6469380" cy="238906"/>
        </a:xfrm>
        <a:prstGeom xmlns:a="http://schemas.openxmlformats.org/drawingml/2006/main" prst="rect">
          <a:avLst/>
        </a:prstGeom>
        <a:noFill xmlns:a="http://schemas.openxmlformats.org/drawingml/2006/main"/>
        <a:ln xmlns:a="http://schemas.openxmlformats.org/drawingml/2006/main" w="9525">
          <a:noFill/>
          <a:miter lim="800000"/>
          <a:headEnd/>
          <a:tailEnd/>
        </a:ln>
      </cdr:spPr>
      <cdr:txBody>
        <a:bodyPr xmlns:a="http://schemas.openxmlformats.org/drawingml/2006/main" vertOverflow="clip" wrap="square" lIns="27432" tIns="27432" rIns="0" bIns="0" anchor="ctr" upright="1"/>
        <a:lstStyle xmlns:a="http://schemas.openxmlformats.org/drawingml/2006/main"/>
        <a:p xmlns:a="http://schemas.openxmlformats.org/drawingml/2006/main">
          <a:pPr algn="ctr" rtl="1">
            <a:defRPr sz="1000"/>
          </a:pPr>
          <a:r>
            <a:rPr lang="en-US" sz="1000" b="1" i="0" strike="noStrike">
              <a:solidFill>
                <a:srgbClr val="000000"/>
              </a:solidFill>
              <a:latin typeface="Consolas" pitchFamily="49" charset="0"/>
              <a:cs typeface="Consolas" pitchFamily="49" charset="0"/>
            </a:rPr>
            <a:t>Figure 13.6: Functional Classification of Central Government Current Expenditure, 2007 -  2019</a:t>
          </a:r>
        </a:p>
      </cdr:txBody>
    </cdr:sp>
  </cdr:relSizeAnchor>
</c:userShapes>
</file>

<file path=xl/externalLinks/_rels/externalLink1.xml.rels><?xml version="1.0" encoding="UTF-8" standalone="yes"?>
<Relationships xmlns="http://schemas.openxmlformats.org/package/2006/relationships"><Relationship Id="rId1" Type="http://schemas.openxmlformats.org/officeDocument/2006/relationships/externalLinkPath" Target="file:///\\server01\Users\F.shifaza\AppData\Local\Microsoft\Windows\Temporary%20Internet%20Files\Content.Outlook\UI66VG49\Public%20Finance_%2013%206%2013%207%20(2).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13.6"/>
      <sheetName val="13.7"/>
      <sheetName val="graphs13.5&amp;13.6)"/>
    </sheetNames>
    <sheetDataSet>
      <sheetData sheetId="0">
        <row r="9">
          <cell r="B9">
            <v>2241.8999999999996</v>
          </cell>
          <cell r="C9">
            <v>3209.7</v>
          </cell>
          <cell r="H9">
            <v>3519.7833220000007</v>
          </cell>
          <cell r="I9">
            <v>3978.9039029999999</v>
          </cell>
          <cell r="J9">
            <v>4596.1388089999991</v>
          </cell>
        </row>
        <row r="14">
          <cell r="B14">
            <v>3817.6</v>
          </cell>
          <cell r="C14">
            <v>3679.5</v>
          </cell>
          <cell r="H14">
            <v>4345.2921539999998</v>
          </cell>
          <cell r="I14">
            <v>3462.622922</v>
          </cell>
          <cell r="J14">
            <v>3544.46576</v>
          </cell>
        </row>
        <row r="19">
          <cell r="B19">
            <v>266.3</v>
          </cell>
          <cell r="C19">
            <v>293.99999999999994</v>
          </cell>
          <cell r="H19">
            <v>255.78124300000002</v>
          </cell>
          <cell r="I19">
            <v>265.56214700000004</v>
          </cell>
          <cell r="J19">
            <v>209.35414899999998</v>
          </cell>
        </row>
      </sheetData>
      <sheetData sheetId="1">
        <row r="10">
          <cell r="B10">
            <v>808.9</v>
          </cell>
          <cell r="C10">
            <v>498.79999999999995</v>
          </cell>
          <cell r="H10">
            <v>696.52141600000004</v>
          </cell>
          <cell r="I10">
            <v>635.70163600000001</v>
          </cell>
          <cell r="J10">
            <v>1285.636868</v>
          </cell>
          <cell r="K10">
            <v>1139.8289990000001</v>
          </cell>
        </row>
        <row r="15">
          <cell r="B15">
            <v>626.5</v>
          </cell>
          <cell r="C15">
            <v>1443.3</v>
          </cell>
          <cell r="H15">
            <v>1087.278699</v>
          </cell>
          <cell r="I15">
            <v>1816.638207</v>
          </cell>
          <cell r="J15">
            <v>1383.244537</v>
          </cell>
          <cell r="K15">
            <v>1081.7647489999999</v>
          </cell>
        </row>
        <row r="20">
          <cell r="B20">
            <v>329.9</v>
          </cell>
          <cell r="C20">
            <v>937.10000000000014</v>
          </cell>
          <cell r="H20">
            <v>581.73487699999998</v>
          </cell>
          <cell r="I20">
            <v>174.8779509</v>
          </cell>
          <cell r="J20">
            <v>919.10181</v>
          </cell>
          <cell r="K20">
            <v>662.15555800000004</v>
          </cell>
        </row>
      </sheetData>
      <sheetData sheetId="2">
        <row r="4">
          <cell r="B4">
            <v>2007</v>
          </cell>
        </row>
      </sheetData>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92D050"/>
  </sheetPr>
  <dimension ref="A1:U68"/>
  <sheetViews>
    <sheetView zoomScale="130" zoomScaleNormal="130" workbookViewId="0">
      <selection activeCell="L27" sqref="L27"/>
    </sheetView>
  </sheetViews>
  <sheetFormatPr defaultColWidth="8.85546875" defaultRowHeight="12.75"/>
  <cols>
    <col min="1" max="1" width="32.7109375" style="15" customWidth="1"/>
    <col min="2" max="7" width="8.85546875" style="24" hidden="1" customWidth="1"/>
    <col min="8" max="8" width="8.85546875" style="24"/>
    <col min="9" max="15" width="10.7109375" style="24" customWidth="1"/>
    <col min="16" max="17" width="12.7109375" style="24" customWidth="1"/>
    <col min="18" max="19" width="10.7109375" style="76" customWidth="1"/>
    <col min="20" max="20" width="39" style="15" customWidth="1"/>
    <col min="21" max="16384" width="8.85546875" style="15"/>
  </cols>
  <sheetData>
    <row r="1" spans="1:21" ht="19.5">
      <c r="A1" s="299" t="s">
        <v>163</v>
      </c>
      <c r="B1" s="299"/>
      <c r="C1" s="299"/>
      <c r="D1" s="299"/>
      <c r="E1" s="299"/>
      <c r="F1" s="299"/>
      <c r="G1" s="299"/>
      <c r="H1" s="299"/>
      <c r="I1" s="299"/>
      <c r="J1" s="299"/>
      <c r="K1" s="299"/>
      <c r="L1" s="299"/>
      <c r="M1" s="299"/>
      <c r="N1" s="299"/>
      <c r="O1" s="299"/>
      <c r="P1" s="299"/>
      <c r="Q1" s="299"/>
      <c r="R1" s="299"/>
      <c r="S1" s="299"/>
      <c r="T1" s="299"/>
    </row>
    <row r="2" spans="1:21" ht="15.75">
      <c r="A2" s="300" t="s">
        <v>164</v>
      </c>
      <c r="B2" s="300"/>
      <c r="C2" s="300"/>
      <c r="D2" s="300"/>
      <c r="E2" s="300"/>
      <c r="F2" s="300"/>
      <c r="G2" s="300"/>
      <c r="H2" s="300"/>
      <c r="I2" s="300"/>
      <c r="J2" s="300"/>
      <c r="K2" s="300"/>
      <c r="L2" s="300"/>
      <c r="M2" s="300"/>
      <c r="N2" s="300"/>
      <c r="O2" s="300"/>
      <c r="P2" s="300"/>
      <c r="Q2" s="300"/>
      <c r="R2" s="300"/>
      <c r="S2" s="300"/>
      <c r="T2" s="300"/>
    </row>
    <row r="3" spans="1:21" ht="14.25">
      <c r="A3" s="301" t="s">
        <v>14</v>
      </c>
      <c r="B3" s="301"/>
      <c r="C3" s="301"/>
      <c r="D3" s="301"/>
      <c r="E3" s="301"/>
      <c r="F3" s="301"/>
      <c r="G3" s="301"/>
      <c r="H3" s="301"/>
      <c r="I3" s="301"/>
      <c r="J3" s="301"/>
      <c r="K3" s="301"/>
      <c r="L3" s="301"/>
      <c r="M3" s="301"/>
      <c r="N3" s="301"/>
      <c r="O3" s="301"/>
      <c r="P3" s="301"/>
      <c r="Q3" s="301"/>
      <c r="R3" s="301"/>
      <c r="S3" s="301"/>
      <c r="T3" s="301"/>
      <c r="U3" s="42"/>
    </row>
    <row r="4" spans="1:21" s="16" customFormat="1">
      <c r="A4" s="302" t="s">
        <v>64</v>
      </c>
      <c r="B4" s="302"/>
      <c r="C4" s="302"/>
      <c r="D4" s="302"/>
      <c r="E4" s="302"/>
      <c r="F4" s="302"/>
      <c r="G4" s="302"/>
      <c r="H4" s="302"/>
      <c r="I4" s="302"/>
      <c r="J4" s="302"/>
      <c r="K4" s="302"/>
      <c r="L4" s="302"/>
      <c r="M4" s="302"/>
      <c r="N4" s="302"/>
      <c r="O4" s="302"/>
      <c r="P4" s="302"/>
      <c r="Q4" s="302"/>
      <c r="R4" s="302"/>
      <c r="S4" s="302"/>
      <c r="T4" s="302"/>
    </row>
    <row r="5" spans="1:21" s="46" customFormat="1" ht="26.45" customHeight="1">
      <c r="A5" s="303" t="s">
        <v>0</v>
      </c>
      <c r="B5" s="43"/>
      <c r="C5" s="44"/>
      <c r="D5" s="44"/>
      <c r="E5" s="44"/>
      <c r="F5" s="44"/>
      <c r="G5" s="45"/>
      <c r="H5" s="174"/>
      <c r="I5" s="175"/>
      <c r="J5" s="164"/>
      <c r="K5" s="164"/>
      <c r="L5" s="306" t="s">
        <v>5</v>
      </c>
      <c r="M5" s="306"/>
      <c r="N5" s="306"/>
      <c r="O5" s="307"/>
      <c r="P5" s="308" t="s">
        <v>153</v>
      </c>
      <c r="Q5" s="309"/>
      <c r="R5" s="310" t="s">
        <v>18</v>
      </c>
      <c r="S5" s="311"/>
    </row>
    <row r="6" spans="1:21" s="31" customFormat="1" ht="15">
      <c r="A6" s="304"/>
      <c r="C6" s="47"/>
      <c r="D6" s="47"/>
      <c r="E6" s="47"/>
      <c r="F6" s="47"/>
      <c r="G6" s="48"/>
      <c r="H6" s="48" t="s">
        <v>3</v>
      </c>
      <c r="I6" s="49" t="s">
        <v>3</v>
      </c>
      <c r="J6" s="13" t="s">
        <v>3</v>
      </c>
      <c r="K6" s="161" t="s">
        <v>3</v>
      </c>
      <c r="L6" s="161" t="s">
        <v>171</v>
      </c>
      <c r="M6" s="161" t="s">
        <v>155</v>
      </c>
      <c r="N6" s="161" t="s">
        <v>155</v>
      </c>
      <c r="O6" s="167" t="s">
        <v>155</v>
      </c>
      <c r="P6" s="186" t="s">
        <v>3</v>
      </c>
      <c r="Q6" s="187" t="s">
        <v>3</v>
      </c>
      <c r="R6" s="312" t="s">
        <v>19</v>
      </c>
      <c r="S6" s="313"/>
      <c r="T6" s="148" t="s">
        <v>2</v>
      </c>
    </row>
    <row r="7" spans="1:21" s="19" customFormat="1">
      <c r="A7" s="305"/>
      <c r="B7" s="12">
        <v>2007</v>
      </c>
      <c r="C7" s="12">
        <v>2008</v>
      </c>
      <c r="D7" s="12">
        <v>2009</v>
      </c>
      <c r="E7" s="12">
        <v>2010</v>
      </c>
      <c r="F7" s="12">
        <v>2011</v>
      </c>
      <c r="G7" s="12">
        <v>2012</v>
      </c>
      <c r="H7" s="12">
        <v>2013</v>
      </c>
      <c r="I7" s="12">
        <v>2014</v>
      </c>
      <c r="J7" s="14">
        <v>2015</v>
      </c>
      <c r="K7" s="162">
        <v>2016</v>
      </c>
      <c r="L7" s="162">
        <v>2017</v>
      </c>
      <c r="M7" s="162">
        <v>2018</v>
      </c>
      <c r="N7" s="162">
        <v>2019</v>
      </c>
      <c r="O7" s="168">
        <v>2020</v>
      </c>
      <c r="P7" s="12">
        <v>2016</v>
      </c>
      <c r="Q7" s="176">
        <v>2017</v>
      </c>
      <c r="R7" s="50" t="s">
        <v>152</v>
      </c>
      <c r="S7" s="181" t="s">
        <v>162</v>
      </c>
      <c r="T7" s="51"/>
    </row>
    <row r="8" spans="1:21" s="19" customFormat="1" ht="15">
      <c r="A8" s="17" t="s">
        <v>20</v>
      </c>
      <c r="B8" s="52">
        <f t="shared" ref="B8:J8" si="0">SUM(B9,B31)</f>
        <v>8200.9</v>
      </c>
      <c r="C8" s="53">
        <f t="shared" si="0"/>
        <v>10175.996671999999</v>
      </c>
      <c r="D8" s="53">
        <f t="shared" si="0"/>
        <v>10953.434156000003</v>
      </c>
      <c r="E8" s="53">
        <f t="shared" si="0"/>
        <v>10815.062102899999</v>
      </c>
      <c r="F8" s="54">
        <f t="shared" si="0"/>
        <v>12264.741933000001</v>
      </c>
      <c r="G8" s="54">
        <f t="shared" si="0"/>
        <v>13110.002924999997</v>
      </c>
      <c r="H8" s="54">
        <f t="shared" si="0"/>
        <v>13530.77100239</v>
      </c>
      <c r="I8" s="54">
        <f t="shared" si="0"/>
        <v>16417.281596000001</v>
      </c>
      <c r="J8" s="54">
        <f t="shared" si="0"/>
        <v>21336.878536910001</v>
      </c>
      <c r="K8" s="169"/>
      <c r="L8" s="169"/>
      <c r="M8" s="169"/>
      <c r="N8" s="169"/>
      <c r="O8" s="170"/>
      <c r="P8" s="133"/>
      <c r="Q8" s="177"/>
      <c r="R8" s="55">
        <f t="shared" ref="R8:S31" si="1">+((K8/J8)-1)*100</f>
        <v>-100</v>
      </c>
      <c r="S8" s="182" t="e">
        <f t="shared" si="1"/>
        <v>#DIV/0!</v>
      </c>
      <c r="T8" s="36" t="s">
        <v>21</v>
      </c>
    </row>
    <row r="9" spans="1:21" s="19" customFormat="1" ht="15">
      <c r="A9" s="17" t="s">
        <v>6</v>
      </c>
      <c r="B9" s="56">
        <f t="shared" ref="B9:J9" si="2">SUM(B10,B17,B23,B30)</f>
        <v>8325.4</v>
      </c>
      <c r="C9" s="56">
        <f t="shared" si="2"/>
        <v>10342.396671999999</v>
      </c>
      <c r="D9" s="56">
        <f t="shared" si="2"/>
        <v>11104.270489000002</v>
      </c>
      <c r="E9" s="56">
        <f t="shared" si="2"/>
        <v>10996.362102899999</v>
      </c>
      <c r="F9" s="10">
        <f t="shared" si="2"/>
        <v>12663.741933000001</v>
      </c>
      <c r="G9" s="10">
        <f t="shared" si="2"/>
        <v>13200.234560999997</v>
      </c>
      <c r="H9" s="10">
        <f t="shared" si="2"/>
        <v>13666.256009389999</v>
      </c>
      <c r="I9" s="10">
        <f t="shared" si="2"/>
        <v>16539.443646</v>
      </c>
      <c r="J9" s="10">
        <f t="shared" si="2"/>
        <v>21440.89678291</v>
      </c>
      <c r="K9" s="163"/>
      <c r="L9" s="163"/>
      <c r="M9" s="163"/>
      <c r="N9" s="163"/>
      <c r="O9" s="171"/>
      <c r="P9" s="57" t="e">
        <f>+(K9/$K$9)*100</f>
        <v>#DIV/0!</v>
      </c>
      <c r="Q9" s="178" t="e">
        <f>+(L9/$K$9)*100</f>
        <v>#DIV/0!</v>
      </c>
      <c r="R9" s="55">
        <f t="shared" si="1"/>
        <v>-100</v>
      </c>
      <c r="S9" s="182" t="e">
        <f t="shared" si="1"/>
        <v>#DIV/0!</v>
      </c>
      <c r="T9" s="36" t="s">
        <v>7</v>
      </c>
    </row>
    <row r="10" spans="1:21" s="19" customFormat="1" ht="15">
      <c r="A10" s="17" t="s">
        <v>22</v>
      </c>
      <c r="B10" s="56">
        <f>SUM(B11,B12,B15,B16)</f>
        <v>3050.7999999999997</v>
      </c>
      <c r="C10" s="56">
        <f t="shared" ref="C10:L10" si="3">SUM(C11,C12,C15,C16)</f>
        <v>3708.5</v>
      </c>
      <c r="D10" s="56">
        <f t="shared" si="3"/>
        <v>4216.3047380000016</v>
      </c>
      <c r="E10" s="56">
        <f t="shared" si="3"/>
        <v>4614.6055389999992</v>
      </c>
      <c r="F10" s="10">
        <f>SUM(F11,F12,F15,F16)</f>
        <v>5881.7756770000005</v>
      </c>
      <c r="G10" s="10">
        <f t="shared" si="3"/>
        <v>5914.3218849999994</v>
      </c>
      <c r="H10" s="10">
        <f t="shared" si="3"/>
        <v>5246.6271609999994</v>
      </c>
      <c r="I10" s="10">
        <f t="shared" si="3"/>
        <v>6216.7655439999999</v>
      </c>
      <c r="J10" s="10">
        <f t="shared" si="3"/>
        <v>8322.4302864000001</v>
      </c>
      <c r="K10" s="163">
        <f t="shared" ref="K10" si="4">SUM(K11,K12,K15,K16)</f>
        <v>0</v>
      </c>
      <c r="L10" s="163">
        <f t="shared" si="3"/>
        <v>0</v>
      </c>
      <c r="M10" s="163">
        <f t="shared" ref="M10:N10" si="5">SUM(M11,M12,M15,M16)</f>
        <v>0</v>
      </c>
      <c r="N10" s="163">
        <f t="shared" si="5"/>
        <v>0</v>
      </c>
      <c r="O10" s="171">
        <f t="shared" ref="O10" si="6">SUM(O11,O12,O15,O16)</f>
        <v>0</v>
      </c>
      <c r="P10" s="57" t="e">
        <f>+(K10/$K$9)*100</f>
        <v>#DIV/0!</v>
      </c>
      <c r="Q10" s="178" t="e">
        <f>+(L10/$K$9)*100</f>
        <v>#DIV/0!</v>
      </c>
      <c r="R10" s="55">
        <f t="shared" si="1"/>
        <v>-100</v>
      </c>
      <c r="S10" s="182" t="e">
        <f t="shared" si="1"/>
        <v>#DIV/0!</v>
      </c>
      <c r="T10" s="36" t="s">
        <v>23</v>
      </c>
    </row>
    <row r="11" spans="1:21" s="20" customFormat="1" ht="15">
      <c r="A11" s="58" t="s">
        <v>24</v>
      </c>
      <c r="B11" s="59">
        <v>1607.3</v>
      </c>
      <c r="C11" s="59">
        <v>2043.9</v>
      </c>
      <c r="D11" s="59">
        <v>2197.6652670000008</v>
      </c>
      <c r="E11" s="59">
        <v>2684.2828549999995</v>
      </c>
      <c r="F11" s="26">
        <v>3414.360107</v>
      </c>
      <c r="G11" s="26">
        <v>3431.8828060000001</v>
      </c>
      <c r="H11" s="26">
        <v>2539.0598371399997</v>
      </c>
      <c r="I11" s="26">
        <v>3189.9729499999999</v>
      </c>
      <c r="J11" s="26">
        <v>3623.5494148099997</v>
      </c>
      <c r="K11" s="172"/>
      <c r="L11" s="172"/>
      <c r="M11" s="172"/>
      <c r="N11" s="172"/>
      <c r="O11" s="166"/>
      <c r="P11" s="61" t="e">
        <f t="shared" ref="P11:Q33" si="7">+(K11/$K$9)*100</f>
        <v>#DIV/0!</v>
      </c>
      <c r="Q11" s="179" t="e">
        <f t="shared" si="7"/>
        <v>#DIV/0!</v>
      </c>
      <c r="R11" s="62">
        <f t="shared" si="1"/>
        <v>-100</v>
      </c>
      <c r="S11" s="183" t="e">
        <f t="shared" si="1"/>
        <v>#DIV/0!</v>
      </c>
      <c r="T11" s="30" t="s">
        <v>25</v>
      </c>
    </row>
    <row r="12" spans="1:21" s="20" customFormat="1" ht="15">
      <c r="A12" s="58" t="s">
        <v>26</v>
      </c>
      <c r="B12" s="59">
        <v>475.70000000000005</v>
      </c>
      <c r="C12" s="59">
        <v>586.4</v>
      </c>
      <c r="D12" s="59">
        <v>752.52470600000004</v>
      </c>
      <c r="E12" s="59">
        <v>669.42846799999995</v>
      </c>
      <c r="F12" s="10">
        <f>SUM(F13:F14)</f>
        <v>910.58722000000012</v>
      </c>
      <c r="G12" s="10">
        <f t="shared" ref="G12:L12" si="8">SUM(G13:G14)</f>
        <v>812.66227900000001</v>
      </c>
      <c r="H12" s="10">
        <f t="shared" si="8"/>
        <v>796.60127067999997</v>
      </c>
      <c r="I12" s="10">
        <f>SUM(I13:I14)</f>
        <v>923.31431999999995</v>
      </c>
      <c r="J12" s="10">
        <f t="shared" si="8"/>
        <v>1195.3441013700001</v>
      </c>
      <c r="K12" s="163">
        <f t="shared" si="8"/>
        <v>0</v>
      </c>
      <c r="L12" s="163">
        <f t="shared" si="8"/>
        <v>0</v>
      </c>
      <c r="M12" s="163">
        <f t="shared" ref="M12:N12" si="9">SUM(M13:M14)</f>
        <v>0</v>
      </c>
      <c r="N12" s="163">
        <f t="shared" si="9"/>
        <v>0</v>
      </c>
      <c r="O12" s="171"/>
      <c r="P12" s="61" t="e">
        <f t="shared" si="7"/>
        <v>#DIV/0!</v>
      </c>
      <c r="Q12" s="179" t="e">
        <f t="shared" si="7"/>
        <v>#DIV/0!</v>
      </c>
      <c r="R12" s="55">
        <f t="shared" si="1"/>
        <v>-100</v>
      </c>
      <c r="S12" s="182" t="e">
        <f t="shared" si="1"/>
        <v>#DIV/0!</v>
      </c>
      <c r="T12" s="30" t="s">
        <v>27</v>
      </c>
    </row>
    <row r="13" spans="1:21" s="20" customFormat="1" ht="15">
      <c r="A13" s="58" t="s">
        <v>28</v>
      </c>
      <c r="B13" s="59">
        <v>0</v>
      </c>
      <c r="C13" s="59">
        <v>0</v>
      </c>
      <c r="D13" s="59">
        <v>0</v>
      </c>
      <c r="E13" s="59">
        <v>0</v>
      </c>
      <c r="F13" s="26">
        <v>777.54432100000008</v>
      </c>
      <c r="G13" s="26">
        <v>800.809574</v>
      </c>
      <c r="H13" s="26">
        <v>787.97938867999994</v>
      </c>
      <c r="I13" s="26">
        <v>913.25778199999991</v>
      </c>
      <c r="J13" s="26">
        <v>1178.86784837</v>
      </c>
      <c r="K13" s="172"/>
      <c r="L13" s="172"/>
      <c r="M13" s="172"/>
      <c r="N13" s="172"/>
      <c r="O13" s="166"/>
      <c r="P13" s="61" t="e">
        <f t="shared" si="7"/>
        <v>#DIV/0!</v>
      </c>
      <c r="Q13" s="179" t="e">
        <f t="shared" si="7"/>
        <v>#DIV/0!</v>
      </c>
      <c r="R13" s="62">
        <f t="shared" si="1"/>
        <v>-100</v>
      </c>
      <c r="S13" s="183" t="e">
        <f t="shared" si="1"/>
        <v>#DIV/0!</v>
      </c>
      <c r="T13" s="63" t="s">
        <v>62</v>
      </c>
    </row>
    <row r="14" spans="1:21" s="20" customFormat="1" ht="15">
      <c r="A14" s="58" t="s">
        <v>29</v>
      </c>
      <c r="B14" s="59">
        <v>0</v>
      </c>
      <c r="C14" s="59">
        <v>0</v>
      </c>
      <c r="D14" s="59">
        <v>0</v>
      </c>
      <c r="E14" s="59">
        <v>0</v>
      </c>
      <c r="F14" s="26">
        <v>133.04289900000001</v>
      </c>
      <c r="G14" s="26">
        <v>11.852705</v>
      </c>
      <c r="H14" s="26">
        <v>8.6218819999999994</v>
      </c>
      <c r="I14" s="26">
        <v>10.056538</v>
      </c>
      <c r="J14" s="26">
        <v>16.476253</v>
      </c>
      <c r="K14" s="172"/>
      <c r="L14" s="172"/>
      <c r="M14" s="172"/>
      <c r="N14" s="172"/>
      <c r="O14" s="166"/>
      <c r="P14" s="61" t="e">
        <f t="shared" si="7"/>
        <v>#DIV/0!</v>
      </c>
      <c r="Q14" s="179" t="e">
        <f t="shared" si="7"/>
        <v>#DIV/0!</v>
      </c>
      <c r="R14" s="62">
        <f t="shared" si="1"/>
        <v>-100</v>
      </c>
      <c r="S14" s="183" t="e">
        <f t="shared" si="1"/>
        <v>#DIV/0!</v>
      </c>
      <c r="T14" s="63" t="s">
        <v>63</v>
      </c>
    </row>
    <row r="15" spans="1:21" s="20" customFormat="1" ht="15">
      <c r="A15" s="58" t="s">
        <v>30</v>
      </c>
      <c r="B15" s="59">
        <v>825.69999999999993</v>
      </c>
      <c r="C15" s="64">
        <v>982.5</v>
      </c>
      <c r="D15" s="59">
        <v>1170.997198</v>
      </c>
      <c r="E15" s="59">
        <v>1192.3427610000001</v>
      </c>
      <c r="F15" s="26">
        <v>1364.5149330000002</v>
      </c>
      <c r="G15" s="26">
        <v>1525.6040499999999</v>
      </c>
      <c r="H15" s="26">
        <v>1725.97350061</v>
      </c>
      <c r="I15" s="26">
        <v>1982.1994500000001</v>
      </c>
      <c r="J15" s="26">
        <v>2681.8339682300002</v>
      </c>
      <c r="K15" s="172"/>
      <c r="L15" s="172"/>
      <c r="M15" s="172"/>
      <c r="N15" s="172"/>
      <c r="O15" s="166"/>
      <c r="P15" s="61" t="e">
        <f t="shared" si="7"/>
        <v>#DIV/0!</v>
      </c>
      <c r="Q15" s="179" t="e">
        <f t="shared" si="7"/>
        <v>#DIV/0!</v>
      </c>
      <c r="R15" s="62">
        <f t="shared" si="1"/>
        <v>-100</v>
      </c>
      <c r="S15" s="183" t="e">
        <f t="shared" si="1"/>
        <v>#DIV/0!</v>
      </c>
      <c r="T15" s="30" t="s">
        <v>31</v>
      </c>
    </row>
    <row r="16" spans="1:21" s="20" customFormat="1" ht="15">
      <c r="A16" s="58" t="s">
        <v>32</v>
      </c>
      <c r="B16" s="59">
        <v>142.1</v>
      </c>
      <c r="C16" s="59">
        <v>95.7</v>
      </c>
      <c r="D16" s="59">
        <v>95.117567000000008</v>
      </c>
      <c r="E16" s="59">
        <v>68.551455000000004</v>
      </c>
      <c r="F16" s="26">
        <v>192.31341699999999</v>
      </c>
      <c r="G16" s="26">
        <v>144.17275000000001</v>
      </c>
      <c r="H16" s="26">
        <v>184.99255256999999</v>
      </c>
      <c r="I16" s="26">
        <v>121.27882399999999</v>
      </c>
      <c r="J16" s="26">
        <v>821.70280199000001</v>
      </c>
      <c r="K16" s="172"/>
      <c r="L16" s="172"/>
      <c r="M16" s="172"/>
      <c r="N16" s="172"/>
      <c r="O16" s="166"/>
      <c r="P16" s="61" t="e">
        <f t="shared" si="7"/>
        <v>#DIV/0!</v>
      </c>
      <c r="Q16" s="179" t="e">
        <f t="shared" si="7"/>
        <v>#DIV/0!</v>
      </c>
      <c r="R16" s="62">
        <f t="shared" si="1"/>
        <v>-100</v>
      </c>
      <c r="S16" s="183" t="e">
        <f t="shared" si="1"/>
        <v>#DIV/0!</v>
      </c>
      <c r="T16" s="30" t="s">
        <v>33</v>
      </c>
    </row>
    <row r="17" spans="1:20" s="19" customFormat="1" ht="15">
      <c r="A17" s="17" t="s">
        <v>34</v>
      </c>
      <c r="B17" s="56">
        <f>SUM(B18:B21)</f>
        <v>4444.1000000000004</v>
      </c>
      <c r="C17" s="56">
        <f>SUM(C18:C21)</f>
        <v>5122.8</v>
      </c>
      <c r="D17" s="56">
        <f>SUM(D18:D21)</f>
        <v>5432.5708530000002</v>
      </c>
      <c r="E17" s="56">
        <f>SUM(E18:E21)</f>
        <v>5279.2611290000004</v>
      </c>
      <c r="F17" s="10">
        <f>SUM(F18:F22)</f>
        <v>4927.7102970000005</v>
      </c>
      <c r="G17" s="10">
        <f t="shared" ref="G17:L17" si="10">SUM(G18:G22)</f>
        <v>5307.4933679999995</v>
      </c>
      <c r="H17" s="10">
        <f t="shared" si="10"/>
        <v>6639.8532862999991</v>
      </c>
      <c r="I17" s="10">
        <f t="shared" si="10"/>
        <v>8245.5721549999998</v>
      </c>
      <c r="J17" s="10">
        <f t="shared" si="10"/>
        <v>10555.286755449999</v>
      </c>
      <c r="K17" s="163">
        <f t="shared" si="10"/>
        <v>0</v>
      </c>
      <c r="L17" s="163">
        <f t="shared" si="10"/>
        <v>0</v>
      </c>
      <c r="M17" s="163">
        <f t="shared" ref="M17:N17" si="11">SUM(M18:M22)</f>
        <v>0</v>
      </c>
      <c r="N17" s="163">
        <f t="shared" si="11"/>
        <v>0</v>
      </c>
      <c r="O17" s="171">
        <f t="shared" ref="O17" si="12">SUM(O18:O22)</f>
        <v>0</v>
      </c>
      <c r="P17" s="57" t="e">
        <f t="shared" si="7"/>
        <v>#DIV/0!</v>
      </c>
      <c r="Q17" s="178" t="e">
        <f t="shared" si="7"/>
        <v>#DIV/0!</v>
      </c>
      <c r="R17" s="55">
        <f t="shared" si="1"/>
        <v>-100</v>
      </c>
      <c r="S17" s="182" t="e">
        <f t="shared" si="1"/>
        <v>#DIV/0!</v>
      </c>
      <c r="T17" s="36" t="s">
        <v>35</v>
      </c>
    </row>
    <row r="18" spans="1:20" s="20" customFormat="1" ht="15">
      <c r="A18" s="58" t="s">
        <v>36</v>
      </c>
      <c r="B18" s="59">
        <v>1313.8000000000002</v>
      </c>
      <c r="C18" s="59">
        <v>1630.5</v>
      </c>
      <c r="D18" s="59">
        <v>1935.0878400000001</v>
      </c>
      <c r="E18" s="59">
        <v>1643.137213</v>
      </c>
      <c r="F18" s="26">
        <v>1796.661055</v>
      </c>
      <c r="G18" s="26">
        <v>2203.168764</v>
      </c>
      <c r="H18" s="26">
        <v>2002.2797697200001</v>
      </c>
      <c r="I18" s="26">
        <v>2212.015058</v>
      </c>
      <c r="J18" s="26">
        <v>2933.05047655</v>
      </c>
      <c r="K18" s="172"/>
      <c r="L18" s="172"/>
      <c r="M18" s="172"/>
      <c r="N18" s="172"/>
      <c r="O18" s="166"/>
      <c r="P18" s="61" t="e">
        <f t="shared" si="7"/>
        <v>#DIV/0!</v>
      </c>
      <c r="Q18" s="179" t="e">
        <f t="shared" si="7"/>
        <v>#DIV/0!</v>
      </c>
      <c r="R18" s="62">
        <f t="shared" si="1"/>
        <v>-100</v>
      </c>
      <c r="S18" s="183" t="e">
        <f t="shared" si="1"/>
        <v>#DIV/0!</v>
      </c>
      <c r="T18" s="30" t="s">
        <v>37</v>
      </c>
    </row>
    <row r="19" spans="1:20" s="20" customFormat="1" ht="15">
      <c r="A19" s="58" t="s">
        <v>38</v>
      </c>
      <c r="B19" s="59">
        <v>782.19999999999993</v>
      </c>
      <c r="C19" s="59">
        <v>1326.4</v>
      </c>
      <c r="D19" s="59">
        <v>1396.1558639999998</v>
      </c>
      <c r="E19" s="59">
        <v>990.87232799999992</v>
      </c>
      <c r="F19" s="26">
        <v>368.31382600000001</v>
      </c>
      <c r="G19" s="26">
        <v>296.66393599999998</v>
      </c>
      <c r="H19" s="26">
        <v>1391.70545487</v>
      </c>
      <c r="I19" s="26">
        <v>1866.0390179999999</v>
      </c>
      <c r="J19" s="26">
        <v>2525.9593407700004</v>
      </c>
      <c r="K19" s="172"/>
      <c r="L19" s="172"/>
      <c r="M19" s="172"/>
      <c r="N19" s="172"/>
      <c r="O19" s="166"/>
      <c r="P19" s="61" t="e">
        <f t="shared" si="7"/>
        <v>#DIV/0!</v>
      </c>
      <c r="Q19" s="179" t="e">
        <f t="shared" si="7"/>
        <v>#DIV/0!</v>
      </c>
      <c r="R19" s="62">
        <f t="shared" si="1"/>
        <v>-100</v>
      </c>
      <c r="S19" s="183" t="e">
        <f t="shared" si="1"/>
        <v>#DIV/0!</v>
      </c>
      <c r="T19" s="30" t="s">
        <v>39</v>
      </c>
    </row>
    <row r="20" spans="1:20" s="20" customFormat="1" ht="15">
      <c r="A20" s="58" t="s">
        <v>40</v>
      </c>
      <c r="B20" s="59">
        <v>235.5</v>
      </c>
      <c r="C20" s="59">
        <v>640.6</v>
      </c>
      <c r="D20" s="59">
        <v>464.54098499999998</v>
      </c>
      <c r="E20" s="59">
        <v>578.16290700000002</v>
      </c>
      <c r="F20" s="26">
        <v>1135.3461150000001</v>
      </c>
      <c r="G20" s="26">
        <v>1578.1540559999999</v>
      </c>
      <c r="H20" s="26">
        <v>1959.2764668599998</v>
      </c>
      <c r="I20" s="26">
        <v>2925.2288200000003</v>
      </c>
      <c r="J20" s="26">
        <v>3222.1829934400002</v>
      </c>
      <c r="K20" s="172"/>
      <c r="L20" s="172"/>
      <c r="M20" s="172"/>
      <c r="N20" s="172"/>
      <c r="O20" s="166"/>
      <c r="P20" s="61" t="e">
        <f t="shared" si="7"/>
        <v>#DIV/0!</v>
      </c>
      <c r="Q20" s="179" t="e">
        <f t="shared" si="7"/>
        <v>#DIV/0!</v>
      </c>
      <c r="R20" s="62">
        <f t="shared" si="1"/>
        <v>-100</v>
      </c>
      <c r="S20" s="183" t="e">
        <f t="shared" si="1"/>
        <v>#DIV/0!</v>
      </c>
      <c r="T20" s="30" t="s">
        <v>41</v>
      </c>
    </row>
    <row r="21" spans="1:20" s="20" customFormat="1" ht="15">
      <c r="A21" s="58" t="s">
        <v>156</v>
      </c>
      <c r="B21" s="59">
        <v>2112.6</v>
      </c>
      <c r="C21" s="59">
        <v>1525.3000000000002</v>
      </c>
      <c r="D21" s="59">
        <v>1636.7861640000001</v>
      </c>
      <c r="E21" s="59">
        <v>2067.0886810000002</v>
      </c>
      <c r="F21" s="26">
        <v>1627.3893010000002</v>
      </c>
      <c r="G21" s="26">
        <v>1229.5066119999999</v>
      </c>
      <c r="H21" s="26">
        <v>979.91802029999997</v>
      </c>
      <c r="I21" s="26">
        <v>772.59129199999995</v>
      </c>
      <c r="J21" s="26">
        <v>0</v>
      </c>
      <c r="K21" s="172"/>
      <c r="L21" s="172"/>
      <c r="M21" s="172"/>
      <c r="N21" s="172"/>
      <c r="O21" s="166"/>
      <c r="P21" s="61" t="e">
        <f t="shared" si="7"/>
        <v>#DIV/0!</v>
      </c>
      <c r="Q21" s="179" t="e">
        <f t="shared" si="7"/>
        <v>#DIV/0!</v>
      </c>
      <c r="R21" s="60" t="e">
        <f t="shared" ref="R21:S21" si="13">+(M21/$K$9)*100</f>
        <v>#DIV/0!</v>
      </c>
      <c r="S21" s="184" t="e">
        <f t="shared" si="13"/>
        <v>#DIV/0!</v>
      </c>
      <c r="T21" s="30" t="s">
        <v>42</v>
      </c>
    </row>
    <row r="22" spans="1:20" s="20" customFormat="1" ht="17.25">
      <c r="A22" s="58" t="s">
        <v>146</v>
      </c>
      <c r="B22" s="59"/>
      <c r="C22" s="59"/>
      <c r="D22" s="59"/>
      <c r="E22" s="59"/>
      <c r="F22" s="26"/>
      <c r="G22" s="38">
        <v>0</v>
      </c>
      <c r="H22" s="26">
        <v>306.67357454999978</v>
      </c>
      <c r="I22" s="26">
        <v>469.69796699999995</v>
      </c>
      <c r="J22" s="26">
        <v>1874.0939446899999</v>
      </c>
      <c r="K22" s="172"/>
      <c r="L22" s="172"/>
      <c r="M22" s="172"/>
      <c r="N22" s="172"/>
      <c r="O22" s="166"/>
      <c r="P22" s="61" t="e">
        <f t="shared" si="7"/>
        <v>#DIV/0!</v>
      </c>
      <c r="Q22" s="179" t="e">
        <f t="shared" si="7"/>
        <v>#DIV/0!</v>
      </c>
      <c r="R22" s="62">
        <f t="shared" si="1"/>
        <v>-100</v>
      </c>
      <c r="S22" s="183" t="e">
        <f t="shared" si="1"/>
        <v>#DIV/0!</v>
      </c>
      <c r="T22" s="65" t="s">
        <v>151</v>
      </c>
    </row>
    <row r="23" spans="1:20" s="19" customFormat="1" ht="15">
      <c r="A23" s="17" t="s">
        <v>43</v>
      </c>
      <c r="B23" s="56">
        <f t="shared" ref="B23:L23" si="14">SUM(B24:B29)</f>
        <v>596.20000000000005</v>
      </c>
      <c r="C23" s="56">
        <f t="shared" si="14"/>
        <v>1231.0999999999999</v>
      </c>
      <c r="D23" s="56">
        <f t="shared" si="14"/>
        <v>837.51612</v>
      </c>
      <c r="E23" s="56">
        <f t="shared" si="14"/>
        <v>440.44009790000001</v>
      </c>
      <c r="F23" s="10">
        <f t="shared" si="14"/>
        <v>1128.4559589999999</v>
      </c>
      <c r="G23" s="10">
        <f t="shared" si="14"/>
        <v>871.33807899999999</v>
      </c>
      <c r="H23" s="10">
        <f t="shared" si="14"/>
        <v>823.04936508999992</v>
      </c>
      <c r="I23" s="10">
        <f t="shared" si="14"/>
        <v>1098.7585779999999</v>
      </c>
      <c r="J23" s="10">
        <f t="shared" si="14"/>
        <v>1215.5298800600001</v>
      </c>
      <c r="K23" s="163">
        <f t="shared" ref="K23" si="15">SUM(K24:K29)</f>
        <v>0</v>
      </c>
      <c r="L23" s="163">
        <f t="shared" si="14"/>
        <v>0</v>
      </c>
      <c r="M23" s="163">
        <f t="shared" ref="M23:N23" si="16">SUM(M24:M29)</f>
        <v>0</v>
      </c>
      <c r="N23" s="163">
        <f t="shared" si="16"/>
        <v>0</v>
      </c>
      <c r="O23" s="171">
        <f t="shared" ref="O23" si="17">SUM(O24:O29)</f>
        <v>0</v>
      </c>
      <c r="P23" s="57" t="e">
        <f t="shared" si="7"/>
        <v>#DIV/0!</v>
      </c>
      <c r="Q23" s="178" t="e">
        <f t="shared" si="7"/>
        <v>#DIV/0!</v>
      </c>
      <c r="R23" s="55">
        <f t="shared" si="1"/>
        <v>-100</v>
      </c>
      <c r="S23" s="182" t="e">
        <f t="shared" si="1"/>
        <v>#DIV/0!</v>
      </c>
      <c r="T23" s="36" t="s">
        <v>44</v>
      </c>
    </row>
    <row r="24" spans="1:20" s="20" customFormat="1" ht="15">
      <c r="A24" s="58" t="s">
        <v>45</v>
      </c>
      <c r="B24" s="59">
        <v>179.9</v>
      </c>
      <c r="C24" s="59">
        <v>159.79999999999998</v>
      </c>
      <c r="D24" s="59">
        <v>58.986502000000002</v>
      </c>
      <c r="E24" s="59">
        <v>146.70229599999999</v>
      </c>
      <c r="F24" s="26">
        <v>93.345458000000008</v>
      </c>
      <c r="G24" s="26">
        <v>70.257467000000005</v>
      </c>
      <c r="H24" s="26">
        <v>70.500645059999997</v>
      </c>
      <c r="I24" s="26">
        <v>93.968531999999996</v>
      </c>
      <c r="J24" s="26">
        <v>67.21094626</v>
      </c>
      <c r="K24" s="172"/>
      <c r="L24" s="172"/>
      <c r="M24" s="172"/>
      <c r="N24" s="172"/>
      <c r="O24" s="166"/>
      <c r="P24" s="61" t="e">
        <f t="shared" si="7"/>
        <v>#DIV/0!</v>
      </c>
      <c r="Q24" s="179" t="e">
        <f t="shared" si="7"/>
        <v>#DIV/0!</v>
      </c>
      <c r="R24" s="62">
        <f t="shared" si="1"/>
        <v>-100</v>
      </c>
      <c r="S24" s="183" t="e">
        <f t="shared" si="1"/>
        <v>#DIV/0!</v>
      </c>
      <c r="T24" s="30" t="s">
        <v>46</v>
      </c>
    </row>
    <row r="25" spans="1:20" s="20" customFormat="1" ht="15">
      <c r="A25" s="58" t="s">
        <v>47</v>
      </c>
      <c r="B25" s="59">
        <v>172.2</v>
      </c>
      <c r="C25" s="59">
        <v>837.8</v>
      </c>
      <c r="D25" s="59">
        <v>106.089237</v>
      </c>
      <c r="E25" s="59">
        <v>120.04688899999999</v>
      </c>
      <c r="F25" s="26">
        <v>471.08129199999996</v>
      </c>
      <c r="G25" s="26">
        <v>607.73237199999994</v>
      </c>
      <c r="H25" s="26">
        <v>404.45810542000004</v>
      </c>
      <c r="I25" s="26">
        <v>735.60389299999997</v>
      </c>
      <c r="J25" s="26">
        <v>846.79535526999996</v>
      </c>
      <c r="K25" s="172"/>
      <c r="L25" s="172"/>
      <c r="M25" s="172"/>
      <c r="N25" s="172"/>
      <c r="O25" s="166"/>
      <c r="P25" s="61" t="e">
        <f t="shared" si="7"/>
        <v>#DIV/0!</v>
      </c>
      <c r="Q25" s="179" t="e">
        <f t="shared" si="7"/>
        <v>#DIV/0!</v>
      </c>
      <c r="R25" s="62">
        <f t="shared" si="1"/>
        <v>-100</v>
      </c>
      <c r="S25" s="183" t="e">
        <f t="shared" si="1"/>
        <v>#DIV/0!</v>
      </c>
      <c r="T25" s="30" t="s">
        <v>48</v>
      </c>
    </row>
    <row r="26" spans="1:20" s="20" customFormat="1" ht="15">
      <c r="A26" s="58" t="s">
        <v>49</v>
      </c>
      <c r="B26" s="59">
        <v>88.9</v>
      </c>
      <c r="C26" s="59">
        <v>35.700000000000003</v>
      </c>
      <c r="D26" s="59">
        <v>62.029623999999998</v>
      </c>
      <c r="E26" s="59">
        <v>43.271078000000003</v>
      </c>
      <c r="F26" s="26">
        <v>59.675843</v>
      </c>
      <c r="G26" s="26">
        <v>66.77496099999999</v>
      </c>
      <c r="H26" s="26">
        <v>31.982870659999989</v>
      </c>
      <c r="I26" s="26">
        <v>75.050148000000007</v>
      </c>
      <c r="J26" s="26">
        <v>52.374541500000007</v>
      </c>
      <c r="K26" s="172"/>
      <c r="L26" s="172"/>
      <c r="M26" s="172"/>
      <c r="N26" s="172"/>
      <c r="O26" s="166"/>
      <c r="P26" s="61" t="e">
        <f t="shared" si="7"/>
        <v>#DIV/0!</v>
      </c>
      <c r="Q26" s="179" t="e">
        <f t="shared" si="7"/>
        <v>#DIV/0!</v>
      </c>
      <c r="R26" s="62">
        <f t="shared" si="1"/>
        <v>-100</v>
      </c>
      <c r="S26" s="183" t="e">
        <f t="shared" si="1"/>
        <v>#DIV/0!</v>
      </c>
      <c r="T26" s="30" t="s">
        <v>50</v>
      </c>
    </row>
    <row r="27" spans="1:20" s="19" customFormat="1" ht="15">
      <c r="A27" s="58" t="s">
        <v>51</v>
      </c>
      <c r="B27" s="59">
        <v>108.2</v>
      </c>
      <c r="C27" s="59">
        <v>93.3</v>
      </c>
      <c r="D27" s="59">
        <v>78.466514000000004</v>
      </c>
      <c r="E27" s="59">
        <v>46.860301</v>
      </c>
      <c r="F27" s="26">
        <v>33.749803</v>
      </c>
      <c r="G27" s="26">
        <v>52.519985999999996</v>
      </c>
      <c r="H27" s="26">
        <v>33.124519409999998</v>
      </c>
      <c r="I27" s="26">
        <v>49.642775</v>
      </c>
      <c r="J27" s="26">
        <v>103.70914999999999</v>
      </c>
      <c r="K27" s="172"/>
      <c r="L27" s="172"/>
      <c r="M27" s="172"/>
      <c r="N27" s="172"/>
      <c r="O27" s="166"/>
      <c r="P27" s="61" t="e">
        <f t="shared" si="7"/>
        <v>#DIV/0!</v>
      </c>
      <c r="Q27" s="179" t="e">
        <f t="shared" si="7"/>
        <v>#DIV/0!</v>
      </c>
      <c r="R27" s="62">
        <f t="shared" si="1"/>
        <v>-100</v>
      </c>
      <c r="S27" s="183" t="e">
        <f t="shared" si="1"/>
        <v>#DIV/0!</v>
      </c>
      <c r="T27" s="30" t="s">
        <v>52</v>
      </c>
    </row>
    <row r="28" spans="1:20" s="19" customFormat="1" ht="15">
      <c r="A28" s="58" t="s">
        <v>53</v>
      </c>
      <c r="B28" s="59">
        <v>42.8</v>
      </c>
      <c r="C28" s="59">
        <v>92.3</v>
      </c>
      <c r="D28" s="59">
        <v>505.93436100000002</v>
      </c>
      <c r="E28" s="59">
        <v>52.495815900000004</v>
      </c>
      <c r="F28" s="26">
        <v>80.384180000000001</v>
      </c>
      <c r="G28" s="26">
        <v>54.566487000000002</v>
      </c>
      <c r="H28" s="26">
        <v>168.21187463999996</v>
      </c>
      <c r="I28" s="26">
        <v>51.606206</v>
      </c>
      <c r="J28" s="26">
        <v>131.16637020000002</v>
      </c>
      <c r="K28" s="172"/>
      <c r="L28" s="172"/>
      <c r="M28" s="172"/>
      <c r="N28" s="172"/>
      <c r="O28" s="166"/>
      <c r="P28" s="61" t="e">
        <f t="shared" si="7"/>
        <v>#DIV/0!</v>
      </c>
      <c r="Q28" s="179" t="e">
        <f t="shared" si="7"/>
        <v>#DIV/0!</v>
      </c>
      <c r="R28" s="62">
        <f t="shared" si="1"/>
        <v>-100</v>
      </c>
      <c r="S28" s="183" t="e">
        <f t="shared" si="1"/>
        <v>#DIV/0!</v>
      </c>
      <c r="T28" s="30" t="s">
        <v>54</v>
      </c>
    </row>
    <row r="29" spans="1:20" s="20" customFormat="1" ht="15">
      <c r="A29" s="58" t="s">
        <v>55</v>
      </c>
      <c r="B29" s="59">
        <v>4.2</v>
      </c>
      <c r="C29" s="59">
        <v>12.2</v>
      </c>
      <c r="D29" s="59">
        <v>26.009882000000001</v>
      </c>
      <c r="E29" s="59">
        <v>31.063718000000001</v>
      </c>
      <c r="F29" s="26">
        <v>390.21938299999999</v>
      </c>
      <c r="G29" s="26">
        <v>19.486806000000001</v>
      </c>
      <c r="H29" s="26">
        <v>114.7713499</v>
      </c>
      <c r="I29" s="26">
        <v>92.887023999999997</v>
      </c>
      <c r="J29" s="26">
        <v>14.27351683</v>
      </c>
      <c r="K29" s="172"/>
      <c r="L29" s="172"/>
      <c r="M29" s="172"/>
      <c r="N29" s="172"/>
      <c r="O29" s="166"/>
      <c r="P29" s="61" t="e">
        <f t="shared" si="7"/>
        <v>#DIV/0!</v>
      </c>
      <c r="Q29" s="179" t="e">
        <f t="shared" si="7"/>
        <v>#DIV/0!</v>
      </c>
      <c r="R29" s="62">
        <f t="shared" si="1"/>
        <v>-100</v>
      </c>
      <c r="S29" s="183" t="e">
        <f t="shared" si="1"/>
        <v>#DIV/0!</v>
      </c>
      <c r="T29" s="30" t="s">
        <v>56</v>
      </c>
    </row>
    <row r="30" spans="1:20" s="19" customFormat="1" ht="15">
      <c r="A30" s="17" t="s">
        <v>57</v>
      </c>
      <c r="B30" s="56">
        <v>234.3</v>
      </c>
      <c r="C30" s="56">
        <v>279.99667199999999</v>
      </c>
      <c r="D30" s="56">
        <v>617.87877800000001</v>
      </c>
      <c r="E30" s="56">
        <v>662.05533700000001</v>
      </c>
      <c r="F30" s="10">
        <v>725.8</v>
      </c>
      <c r="G30" s="10">
        <v>1107.0812289999999</v>
      </c>
      <c r="H30" s="10">
        <v>956.72619699999996</v>
      </c>
      <c r="I30" s="10">
        <v>978.34736899999996</v>
      </c>
      <c r="J30" s="10">
        <v>1347.6498610000001</v>
      </c>
      <c r="K30" s="163"/>
      <c r="L30" s="163"/>
      <c r="M30" s="163"/>
      <c r="N30" s="163"/>
      <c r="O30" s="171"/>
      <c r="P30" s="57" t="e">
        <f t="shared" si="7"/>
        <v>#DIV/0!</v>
      </c>
      <c r="Q30" s="178" t="e">
        <f t="shared" si="7"/>
        <v>#DIV/0!</v>
      </c>
      <c r="R30" s="55">
        <f t="shared" si="1"/>
        <v>-100</v>
      </c>
      <c r="S30" s="182" t="e">
        <f t="shared" si="1"/>
        <v>#DIV/0!</v>
      </c>
      <c r="T30" s="36" t="s">
        <v>58</v>
      </c>
    </row>
    <row r="31" spans="1:20" s="19" customFormat="1" ht="15">
      <c r="A31" s="17" t="s">
        <v>10</v>
      </c>
      <c r="B31" s="56">
        <v>-124.5</v>
      </c>
      <c r="C31" s="56">
        <v>-166.4</v>
      </c>
      <c r="D31" s="56">
        <v>-150.836333</v>
      </c>
      <c r="E31" s="56">
        <v>-181.3</v>
      </c>
      <c r="F31" s="10">
        <v>-399</v>
      </c>
      <c r="G31" s="10">
        <v>-90.231635999999995</v>
      </c>
      <c r="H31" s="10">
        <v>-135.485007</v>
      </c>
      <c r="I31" s="10">
        <v>-122.16204999999999</v>
      </c>
      <c r="J31" s="10">
        <v>-104.018246</v>
      </c>
      <c r="K31" s="163"/>
      <c r="L31" s="163"/>
      <c r="M31" s="163"/>
      <c r="N31" s="163"/>
      <c r="O31" s="171"/>
      <c r="P31" s="57" t="e">
        <f t="shared" si="7"/>
        <v>#DIV/0!</v>
      </c>
      <c r="Q31" s="178" t="e">
        <f t="shared" si="7"/>
        <v>#DIV/0!</v>
      </c>
      <c r="R31" s="55">
        <f t="shared" si="1"/>
        <v>-100</v>
      </c>
      <c r="S31" s="182" t="e">
        <f t="shared" si="1"/>
        <v>#DIV/0!</v>
      </c>
      <c r="T31" s="36" t="s">
        <v>11</v>
      </c>
    </row>
    <row r="32" spans="1:20" s="20" customFormat="1" ht="15">
      <c r="A32" s="58" t="s">
        <v>15</v>
      </c>
      <c r="B32" s="66"/>
      <c r="C32" s="66"/>
      <c r="D32" s="66"/>
      <c r="E32" s="66"/>
      <c r="F32" s="18"/>
      <c r="G32" s="10"/>
      <c r="H32" s="10"/>
      <c r="I32" s="10"/>
      <c r="J32" s="10"/>
      <c r="K32" s="163"/>
      <c r="L32" s="163"/>
      <c r="M32" s="163"/>
      <c r="N32" s="163"/>
      <c r="O32" s="171"/>
      <c r="P32" s="57"/>
      <c r="Q32" s="178"/>
      <c r="R32" s="62"/>
      <c r="S32" s="183"/>
      <c r="T32" s="30" t="s">
        <v>16</v>
      </c>
    </row>
    <row r="33" spans="1:20" ht="17.25">
      <c r="A33" s="67" t="s">
        <v>59</v>
      </c>
      <c r="B33" s="68">
        <v>1007.8</v>
      </c>
      <c r="C33" s="68">
        <v>390.30930799999999</v>
      </c>
      <c r="D33" s="69">
        <v>584.5</v>
      </c>
      <c r="E33" s="69">
        <v>877.1</v>
      </c>
      <c r="F33" s="70">
        <v>987.6</v>
      </c>
      <c r="G33" s="70">
        <v>1145.8582073000002</v>
      </c>
      <c r="H33" s="70">
        <v>1187.19235</v>
      </c>
      <c r="I33" s="70">
        <v>188.39416600000001</v>
      </c>
      <c r="J33" s="70">
        <v>635.05139099999997</v>
      </c>
      <c r="K33" s="173"/>
      <c r="L33" s="173"/>
      <c r="M33" s="173"/>
      <c r="N33" s="173"/>
      <c r="O33" s="165"/>
      <c r="P33" s="71" t="e">
        <f t="shared" si="7"/>
        <v>#DIV/0!</v>
      </c>
      <c r="Q33" s="180" t="e">
        <f t="shared" si="7"/>
        <v>#DIV/0!</v>
      </c>
      <c r="R33" s="72">
        <f>+((K33/J33)-1)*100</f>
        <v>-100</v>
      </c>
      <c r="S33" s="185" t="e">
        <f>+((L33/K33)-1)*100</f>
        <v>#DIV/0!</v>
      </c>
      <c r="T33" s="73" t="s">
        <v>60</v>
      </c>
    </row>
    <row r="34" spans="1:20" ht="15">
      <c r="A34" s="21" t="s">
        <v>12</v>
      </c>
      <c r="B34" s="74"/>
      <c r="C34" s="74"/>
      <c r="D34" s="74"/>
      <c r="E34" s="74"/>
      <c r="F34" s="74"/>
      <c r="G34" s="75"/>
      <c r="H34" s="75"/>
      <c r="I34" s="75"/>
      <c r="J34" s="75"/>
      <c r="K34" s="75"/>
      <c r="L34" s="75"/>
      <c r="M34" s="75"/>
      <c r="N34" s="75"/>
      <c r="O34" s="75"/>
      <c r="P34" s="75"/>
      <c r="Q34" s="75"/>
      <c r="R34" s="75"/>
      <c r="S34" s="75"/>
      <c r="T34" s="30" t="s">
        <v>13</v>
      </c>
    </row>
    <row r="35" spans="1:20" s="159" customFormat="1" ht="11.25">
      <c r="A35" s="155" t="s">
        <v>157</v>
      </c>
      <c r="B35" s="156"/>
      <c r="C35" s="156"/>
      <c r="D35" s="156"/>
      <c r="E35" s="156"/>
      <c r="F35" s="156"/>
      <c r="G35" s="157"/>
      <c r="H35" s="157"/>
      <c r="I35" s="157"/>
      <c r="J35" s="157"/>
      <c r="K35" s="157"/>
      <c r="L35" s="157"/>
      <c r="M35" s="157"/>
      <c r="N35" s="157"/>
      <c r="O35" s="157"/>
      <c r="P35" s="157"/>
      <c r="Q35" s="157"/>
      <c r="R35" s="157"/>
      <c r="S35" s="157"/>
      <c r="T35" s="158"/>
    </row>
    <row r="36" spans="1:20">
      <c r="G36" s="76"/>
      <c r="H36" s="76"/>
      <c r="I36" s="76"/>
      <c r="J36" s="76"/>
      <c r="K36" s="76"/>
      <c r="L36" s="76"/>
      <c r="M36" s="76"/>
      <c r="N36" s="76"/>
      <c r="O36" s="76"/>
      <c r="P36" s="76"/>
      <c r="Q36" s="76"/>
    </row>
    <row r="37" spans="1:20">
      <c r="B37" s="77"/>
      <c r="C37" s="77"/>
      <c r="G37" s="76"/>
      <c r="H37" s="76"/>
      <c r="I37" s="76"/>
      <c r="J37" s="76"/>
      <c r="K37" s="76"/>
      <c r="L37" s="76"/>
      <c r="M37" s="76"/>
      <c r="N37" s="76"/>
      <c r="O37" s="76"/>
      <c r="P37" s="76"/>
      <c r="Q37" s="76"/>
    </row>
    <row r="38" spans="1:20">
      <c r="B38" s="78"/>
      <c r="C38" s="78"/>
      <c r="G38" s="76"/>
      <c r="H38" s="76"/>
      <c r="I38" s="76"/>
      <c r="J38" s="76"/>
      <c r="K38" s="76"/>
      <c r="L38" s="76"/>
      <c r="M38" s="76"/>
      <c r="N38" s="76"/>
      <c r="O38" s="76"/>
      <c r="P38" s="76"/>
      <c r="Q38" s="76"/>
    </row>
    <row r="39" spans="1:20">
      <c r="G39" s="76"/>
      <c r="H39" s="76"/>
      <c r="I39" s="76"/>
      <c r="J39" s="76"/>
      <c r="K39" s="76"/>
      <c r="L39" s="76"/>
      <c r="M39" s="76"/>
      <c r="N39" s="76"/>
      <c r="O39" s="76"/>
      <c r="P39" s="76"/>
      <c r="Q39" s="76"/>
    </row>
    <row r="40" spans="1:20">
      <c r="P40" s="76"/>
      <c r="Q40" s="76"/>
    </row>
    <row r="41" spans="1:20">
      <c r="P41" s="76"/>
      <c r="Q41" s="76"/>
    </row>
    <row r="42" spans="1:20">
      <c r="G42" s="76"/>
      <c r="H42" s="76"/>
      <c r="I42" s="76"/>
      <c r="J42" s="76"/>
      <c r="K42" s="76"/>
      <c r="L42" s="76"/>
      <c r="M42" s="76"/>
      <c r="N42" s="76"/>
      <c r="O42" s="76"/>
      <c r="P42" s="76"/>
      <c r="Q42" s="76"/>
    </row>
    <row r="43" spans="1:20">
      <c r="G43" s="76"/>
      <c r="H43" s="76"/>
      <c r="I43" s="76"/>
      <c r="J43" s="76"/>
      <c r="K43" s="76"/>
      <c r="L43" s="76"/>
      <c r="M43" s="76"/>
      <c r="N43" s="76"/>
      <c r="O43" s="76"/>
      <c r="P43" s="76"/>
      <c r="Q43" s="76"/>
    </row>
    <row r="44" spans="1:20">
      <c r="G44" s="76"/>
      <c r="H44" s="76"/>
      <c r="I44" s="76"/>
      <c r="J44" s="76"/>
      <c r="K44" s="76"/>
      <c r="L44" s="76"/>
      <c r="M44" s="76"/>
      <c r="N44" s="76"/>
      <c r="O44" s="76"/>
      <c r="P44" s="76"/>
      <c r="Q44" s="76"/>
    </row>
    <row r="45" spans="1:20">
      <c r="G45" s="76"/>
      <c r="H45" s="76"/>
      <c r="I45" s="76"/>
      <c r="J45" s="76"/>
      <c r="K45" s="76"/>
      <c r="L45" s="76"/>
      <c r="M45" s="76"/>
      <c r="N45" s="76"/>
      <c r="O45" s="76"/>
      <c r="P45" s="76"/>
      <c r="Q45" s="76"/>
    </row>
    <row r="46" spans="1:20">
      <c r="G46" s="76"/>
      <c r="H46" s="76"/>
      <c r="I46" s="76"/>
      <c r="J46" s="76"/>
      <c r="K46" s="76"/>
      <c r="L46" s="76"/>
      <c r="M46" s="76"/>
      <c r="N46" s="76"/>
      <c r="O46" s="76"/>
      <c r="P46" s="76"/>
      <c r="Q46" s="76"/>
    </row>
    <row r="47" spans="1:20">
      <c r="G47" s="76"/>
      <c r="H47" s="76"/>
      <c r="I47" s="76"/>
      <c r="J47" s="76"/>
      <c r="K47" s="76"/>
      <c r="L47" s="76"/>
      <c r="M47" s="76"/>
      <c r="N47" s="76"/>
      <c r="O47" s="76"/>
      <c r="P47" s="76"/>
      <c r="Q47" s="76"/>
    </row>
    <row r="48" spans="1:20">
      <c r="G48" s="76"/>
      <c r="H48" s="76"/>
      <c r="I48" s="76"/>
      <c r="J48" s="76"/>
      <c r="K48" s="76"/>
      <c r="L48" s="76"/>
      <c r="M48" s="76"/>
      <c r="N48" s="76"/>
      <c r="O48" s="76"/>
      <c r="P48" s="76"/>
      <c r="Q48" s="76"/>
    </row>
    <row r="49" spans="7:17">
      <c r="G49" s="76"/>
      <c r="H49" s="76"/>
      <c r="I49" s="76"/>
      <c r="J49" s="76"/>
      <c r="K49" s="76"/>
      <c r="L49" s="76"/>
      <c r="M49" s="76"/>
      <c r="N49" s="76"/>
      <c r="O49" s="76"/>
      <c r="P49" s="76"/>
      <c r="Q49" s="76"/>
    </row>
    <row r="50" spans="7:17">
      <c r="G50" s="76"/>
      <c r="H50" s="76"/>
      <c r="I50" s="76"/>
      <c r="J50" s="76"/>
      <c r="K50" s="76"/>
      <c r="L50" s="76"/>
      <c r="M50" s="76"/>
      <c r="N50" s="76"/>
      <c r="O50" s="76"/>
      <c r="P50" s="76"/>
      <c r="Q50" s="76"/>
    </row>
    <row r="51" spans="7:17">
      <c r="G51" s="76"/>
      <c r="H51" s="76"/>
      <c r="I51" s="76"/>
      <c r="J51" s="76"/>
      <c r="K51" s="76"/>
      <c r="L51" s="76"/>
      <c r="M51" s="76"/>
      <c r="N51" s="76"/>
      <c r="O51" s="76"/>
      <c r="P51" s="76"/>
      <c r="Q51" s="76"/>
    </row>
    <row r="52" spans="7:17">
      <c r="G52" s="76"/>
      <c r="H52" s="76"/>
      <c r="I52" s="76"/>
      <c r="J52" s="76"/>
      <c r="K52" s="76"/>
      <c r="L52" s="76"/>
      <c r="M52" s="76"/>
      <c r="N52" s="76"/>
      <c r="O52" s="76"/>
      <c r="P52" s="76"/>
      <c r="Q52" s="76"/>
    </row>
    <row r="53" spans="7:17">
      <c r="G53" s="76"/>
      <c r="H53" s="76"/>
      <c r="I53" s="76"/>
      <c r="J53" s="76"/>
      <c r="K53" s="76"/>
      <c r="L53" s="76"/>
      <c r="M53" s="76"/>
      <c r="N53" s="76"/>
      <c r="O53" s="76"/>
      <c r="P53" s="76"/>
      <c r="Q53" s="76"/>
    </row>
    <row r="54" spans="7:17">
      <c r="G54" s="76"/>
      <c r="H54" s="76"/>
      <c r="I54" s="76"/>
      <c r="J54" s="76"/>
      <c r="K54" s="76"/>
      <c r="L54" s="76"/>
      <c r="M54" s="76"/>
      <c r="N54" s="76"/>
      <c r="O54" s="76"/>
      <c r="P54" s="76"/>
      <c r="Q54" s="76"/>
    </row>
    <row r="55" spans="7:17">
      <c r="G55" s="76"/>
      <c r="H55" s="76"/>
      <c r="I55" s="76"/>
      <c r="J55" s="76"/>
      <c r="K55" s="76"/>
      <c r="L55" s="76"/>
      <c r="M55" s="76"/>
      <c r="N55" s="76"/>
      <c r="O55" s="76"/>
      <c r="P55" s="76"/>
      <c r="Q55" s="76"/>
    </row>
    <row r="56" spans="7:17">
      <c r="G56" s="76"/>
      <c r="H56" s="76"/>
      <c r="I56" s="76"/>
      <c r="J56" s="76"/>
      <c r="K56" s="76"/>
      <c r="L56" s="76"/>
      <c r="M56" s="76"/>
      <c r="N56" s="76"/>
      <c r="O56" s="76"/>
      <c r="P56" s="76"/>
      <c r="Q56" s="76"/>
    </row>
    <row r="57" spans="7:17">
      <c r="G57" s="76"/>
      <c r="H57" s="76"/>
      <c r="I57" s="76"/>
      <c r="J57" s="76"/>
      <c r="K57" s="76"/>
      <c r="L57" s="76"/>
      <c r="M57" s="76"/>
      <c r="N57" s="76"/>
      <c r="O57" s="76"/>
      <c r="P57" s="76"/>
      <c r="Q57" s="76"/>
    </row>
    <row r="58" spans="7:17">
      <c r="G58" s="76"/>
      <c r="H58" s="76"/>
      <c r="I58" s="76"/>
      <c r="J58" s="76"/>
      <c r="K58" s="76"/>
      <c r="L58" s="76"/>
      <c r="M58" s="76"/>
      <c r="N58" s="76"/>
      <c r="O58" s="76"/>
      <c r="P58" s="76"/>
      <c r="Q58" s="76"/>
    </row>
    <row r="59" spans="7:17">
      <c r="G59" s="76"/>
      <c r="H59" s="76"/>
      <c r="I59" s="76"/>
      <c r="J59" s="76"/>
      <c r="K59" s="76"/>
      <c r="L59" s="76"/>
      <c r="M59" s="76"/>
      <c r="N59" s="76"/>
      <c r="O59" s="76"/>
      <c r="P59" s="76"/>
      <c r="Q59" s="76"/>
    </row>
    <row r="60" spans="7:17">
      <c r="G60" s="76"/>
      <c r="H60" s="76"/>
      <c r="I60" s="76"/>
      <c r="J60" s="76"/>
      <c r="K60" s="76"/>
      <c r="L60" s="76"/>
      <c r="M60" s="76"/>
      <c r="N60" s="76"/>
      <c r="O60" s="76"/>
      <c r="P60" s="76"/>
      <c r="Q60" s="76"/>
    </row>
    <row r="61" spans="7:17">
      <c r="G61" s="76"/>
      <c r="H61" s="76"/>
      <c r="I61" s="76"/>
      <c r="J61" s="76"/>
      <c r="K61" s="76"/>
      <c r="L61" s="76"/>
      <c r="M61" s="76"/>
      <c r="N61" s="76"/>
      <c r="O61" s="76"/>
      <c r="P61" s="76"/>
      <c r="Q61" s="76"/>
    </row>
    <row r="62" spans="7:17">
      <c r="G62" s="76"/>
      <c r="H62" s="76"/>
      <c r="I62" s="76"/>
      <c r="J62" s="76"/>
      <c r="K62" s="76"/>
      <c r="L62" s="76"/>
      <c r="M62" s="76"/>
      <c r="N62" s="76"/>
      <c r="O62" s="76"/>
      <c r="P62" s="76"/>
      <c r="Q62" s="76"/>
    </row>
    <row r="63" spans="7:17">
      <c r="G63" s="76"/>
      <c r="H63" s="76"/>
      <c r="I63" s="76"/>
      <c r="J63" s="76"/>
      <c r="K63" s="76"/>
      <c r="L63" s="76"/>
      <c r="M63" s="76"/>
      <c r="N63" s="76"/>
      <c r="O63" s="76"/>
      <c r="P63" s="76"/>
      <c r="Q63" s="76"/>
    </row>
    <row r="64" spans="7:17">
      <c r="G64" s="76"/>
      <c r="H64" s="76"/>
      <c r="I64" s="76"/>
      <c r="J64" s="76"/>
      <c r="K64" s="76"/>
      <c r="L64" s="76"/>
      <c r="M64" s="76"/>
      <c r="N64" s="76"/>
      <c r="O64" s="76"/>
      <c r="P64" s="76"/>
      <c r="Q64" s="76"/>
    </row>
    <row r="65" spans="7:17">
      <c r="G65" s="76"/>
      <c r="H65" s="76"/>
      <c r="I65" s="76"/>
      <c r="J65" s="76"/>
      <c r="K65" s="76"/>
      <c r="L65" s="76"/>
      <c r="M65" s="76"/>
      <c r="N65" s="76"/>
      <c r="O65" s="76"/>
      <c r="P65" s="76"/>
      <c r="Q65" s="76"/>
    </row>
    <row r="66" spans="7:17">
      <c r="G66" s="76"/>
      <c r="H66" s="76"/>
      <c r="I66" s="76"/>
      <c r="J66" s="76"/>
      <c r="K66" s="76"/>
      <c r="L66" s="76"/>
      <c r="M66" s="76"/>
      <c r="N66" s="76"/>
      <c r="O66" s="76"/>
      <c r="P66" s="76"/>
      <c r="Q66" s="76"/>
    </row>
    <row r="67" spans="7:17">
      <c r="G67" s="76"/>
      <c r="H67" s="76"/>
      <c r="I67" s="76"/>
      <c r="J67" s="76"/>
      <c r="K67" s="76"/>
      <c r="L67" s="76"/>
      <c r="M67" s="76"/>
      <c r="N67" s="76"/>
      <c r="O67" s="76"/>
      <c r="P67" s="76"/>
      <c r="Q67" s="76"/>
    </row>
    <row r="68" spans="7:17">
      <c r="G68" s="76"/>
      <c r="H68" s="76"/>
      <c r="I68" s="76"/>
      <c r="J68" s="76"/>
      <c r="K68" s="76"/>
      <c r="L68" s="76"/>
      <c r="M68" s="76"/>
      <c r="N68" s="76"/>
      <c r="O68" s="76"/>
      <c r="P68" s="76"/>
      <c r="Q68" s="76"/>
    </row>
  </sheetData>
  <mergeCells count="9">
    <mergeCell ref="A1:T1"/>
    <mergeCell ref="A2:T2"/>
    <mergeCell ref="A3:T3"/>
    <mergeCell ref="A4:T4"/>
    <mergeCell ref="A5:A7"/>
    <mergeCell ref="L5:O5"/>
    <mergeCell ref="P5:Q5"/>
    <mergeCell ref="R5:S5"/>
    <mergeCell ref="R6:S6"/>
  </mergeCells>
  <pageMargins left="0.17" right="0.16" top="0.75" bottom="0.75" header="0.3" footer="0.3"/>
  <pageSetup paperSize="9" scale="80" orientation="landscape" horizontalDpi="4294967295" verticalDpi="4294967295" r:id="rId1"/>
  <ignoredErrors>
    <ignoredError sqref="R9:R20 R23:R33 G30:J30 G17:N17 G10:N10 P23:P33 P9:P20 G11:J11 G14:J15 G16:J16 G18:J22 G25:J29 G31:J33 G9:J9" unlockedFormula="1"/>
    <ignoredError sqref="G12:N12 G23:N23 G13:J13 G24:J24" formulaRange="1" unlockedFormula="1"/>
    <ignoredError sqref="R21:R22 P21:P22" formula="1" unlockedFormula="1"/>
    <ignoredError sqref="T21:T22" formula="1"/>
  </ignoredErrors>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92D050"/>
  </sheetPr>
  <dimension ref="A1:AA37"/>
  <sheetViews>
    <sheetView zoomScaleNormal="100" workbookViewId="0">
      <selection activeCell="L27" sqref="L27"/>
    </sheetView>
  </sheetViews>
  <sheetFormatPr defaultColWidth="8.85546875" defaultRowHeight="12"/>
  <cols>
    <col min="1" max="1" width="32.42578125" style="101" customWidth="1"/>
    <col min="2" max="3" width="0" style="129" hidden="1" customWidth="1"/>
    <col min="4" max="4" width="12.7109375" style="129" hidden="1" customWidth="1"/>
    <col min="5" max="7" width="8.85546875" style="129" hidden="1" customWidth="1"/>
    <col min="8" max="11" width="0" style="129" hidden="1" customWidth="1"/>
    <col min="12" max="14" width="8.85546875" style="129"/>
    <col min="15" max="19" width="9.28515625" style="129" customWidth="1"/>
    <col min="20" max="21" width="11.28515625" style="129" customWidth="1"/>
    <col min="22" max="23" width="11" style="130" customWidth="1"/>
    <col min="24" max="24" width="7.7109375" style="130" customWidth="1"/>
    <col min="25" max="25" width="43.42578125" style="101" customWidth="1"/>
    <col min="26" max="26" width="17.28515625" style="101" customWidth="1"/>
    <col min="27" max="16384" width="8.85546875" style="101"/>
  </cols>
  <sheetData>
    <row r="1" spans="1:27" ht="19.5">
      <c r="A1" s="299" t="s">
        <v>165</v>
      </c>
      <c r="B1" s="299"/>
      <c r="C1" s="299"/>
      <c r="D1" s="299"/>
      <c r="E1" s="299"/>
      <c r="F1" s="299"/>
      <c r="G1" s="299"/>
      <c r="H1" s="299"/>
      <c r="I1" s="299"/>
      <c r="J1" s="299"/>
      <c r="K1" s="299"/>
      <c r="L1" s="299"/>
      <c r="M1" s="299"/>
      <c r="N1" s="299"/>
      <c r="O1" s="299"/>
      <c r="P1" s="299"/>
      <c r="Q1" s="299"/>
      <c r="R1" s="299"/>
      <c r="S1" s="299"/>
      <c r="T1" s="299"/>
      <c r="U1" s="299"/>
      <c r="V1" s="299"/>
      <c r="W1" s="299"/>
      <c r="X1" s="299"/>
      <c r="Y1" s="299"/>
    </row>
    <row r="2" spans="1:27" ht="12.75">
      <c r="A2" s="316" t="s">
        <v>166</v>
      </c>
      <c r="B2" s="316"/>
      <c r="C2" s="316"/>
      <c r="D2" s="316"/>
      <c r="E2" s="316"/>
      <c r="F2" s="316"/>
      <c r="G2" s="316"/>
      <c r="H2" s="316"/>
      <c r="I2" s="316"/>
      <c r="J2" s="316"/>
      <c r="K2" s="316"/>
      <c r="L2" s="316"/>
      <c r="M2" s="316"/>
      <c r="N2" s="316"/>
      <c r="O2" s="316"/>
      <c r="P2" s="316"/>
      <c r="Q2" s="316"/>
      <c r="R2" s="316"/>
      <c r="S2" s="316"/>
      <c r="T2" s="316"/>
      <c r="U2" s="316"/>
      <c r="V2" s="316"/>
      <c r="W2" s="316"/>
      <c r="X2" s="316"/>
      <c r="Y2" s="316"/>
    </row>
    <row r="3" spans="1:27" s="16" customFormat="1" ht="14.25">
      <c r="A3" s="317" t="s">
        <v>14</v>
      </c>
      <c r="B3" s="317"/>
      <c r="C3" s="317"/>
      <c r="D3" s="317"/>
      <c r="E3" s="317"/>
      <c r="F3" s="317"/>
      <c r="G3" s="317"/>
      <c r="H3" s="317"/>
      <c r="I3" s="317"/>
      <c r="J3" s="317"/>
      <c r="K3" s="317"/>
      <c r="L3" s="317"/>
      <c r="M3" s="317"/>
      <c r="N3" s="317"/>
      <c r="O3" s="317"/>
      <c r="P3" s="317"/>
      <c r="Q3" s="317"/>
      <c r="R3" s="317"/>
      <c r="S3" s="317"/>
      <c r="T3" s="317"/>
      <c r="U3" s="317"/>
      <c r="V3" s="317"/>
      <c r="W3" s="317"/>
      <c r="X3" s="317"/>
      <c r="Y3" s="317"/>
    </row>
    <row r="4" spans="1:27" s="16" customFormat="1" ht="12.75">
      <c r="A4" s="302" t="s">
        <v>64</v>
      </c>
      <c r="B4" s="302"/>
      <c r="C4" s="302"/>
      <c r="D4" s="302"/>
      <c r="E4" s="302"/>
      <c r="F4" s="302"/>
      <c r="G4" s="302"/>
      <c r="H4" s="302"/>
      <c r="I4" s="302"/>
      <c r="J4" s="302"/>
      <c r="K4" s="302"/>
      <c r="L4" s="302"/>
      <c r="M4" s="302"/>
      <c r="N4" s="302"/>
      <c r="O4" s="302"/>
      <c r="P4" s="302"/>
      <c r="Q4" s="302"/>
      <c r="R4" s="302"/>
      <c r="S4" s="302"/>
      <c r="T4" s="302"/>
      <c r="U4" s="302"/>
      <c r="V4" s="302"/>
      <c r="W4" s="302"/>
      <c r="X4" s="302"/>
      <c r="Y4" s="302"/>
    </row>
    <row r="5" spans="1:27" s="16" customFormat="1" ht="17.25">
      <c r="A5" s="149"/>
      <c r="B5" s="102"/>
      <c r="C5" s="103"/>
      <c r="D5" s="104" t="s">
        <v>1</v>
      </c>
      <c r="E5" s="318" t="s">
        <v>5</v>
      </c>
      <c r="F5" s="318"/>
      <c r="G5" s="318"/>
      <c r="H5" s="105"/>
      <c r="I5" s="105"/>
      <c r="J5" s="105"/>
      <c r="K5" s="105"/>
      <c r="L5" s="105"/>
      <c r="M5" s="105"/>
      <c r="N5" s="105"/>
      <c r="O5" s="105"/>
      <c r="P5" s="105"/>
      <c r="Q5" s="105"/>
      <c r="R5" s="105"/>
      <c r="S5" s="105"/>
      <c r="T5" s="319" t="s">
        <v>102</v>
      </c>
      <c r="U5" s="320"/>
      <c r="V5" s="319" t="s">
        <v>61</v>
      </c>
      <c r="W5" s="321"/>
      <c r="X5" s="106"/>
      <c r="Y5" s="107"/>
    </row>
    <row r="6" spans="1:27" s="19" customFormat="1" ht="15" customHeight="1">
      <c r="A6" s="152" t="s">
        <v>0</v>
      </c>
      <c r="B6" s="108"/>
      <c r="C6" s="11"/>
      <c r="D6" s="11" t="s">
        <v>65</v>
      </c>
      <c r="E6" s="11" t="s">
        <v>4</v>
      </c>
      <c r="F6" s="11" t="s">
        <v>4</v>
      </c>
      <c r="G6" s="11" t="s">
        <v>4</v>
      </c>
      <c r="H6" s="11"/>
      <c r="I6" s="11"/>
      <c r="J6" s="11"/>
      <c r="K6" s="11" t="s">
        <v>3</v>
      </c>
      <c r="L6" s="11" t="s">
        <v>3</v>
      </c>
      <c r="M6" s="11" t="s">
        <v>3</v>
      </c>
      <c r="N6" s="13" t="s">
        <v>3</v>
      </c>
      <c r="O6" s="161" t="s">
        <v>3</v>
      </c>
      <c r="P6" s="161" t="s">
        <v>171</v>
      </c>
      <c r="Q6" s="161" t="s">
        <v>155</v>
      </c>
      <c r="R6" s="161" t="s">
        <v>155</v>
      </c>
      <c r="S6" s="161" t="s">
        <v>155</v>
      </c>
      <c r="T6" s="314" t="s">
        <v>66</v>
      </c>
      <c r="U6" s="315"/>
      <c r="V6" s="322" t="s">
        <v>19</v>
      </c>
      <c r="W6" s="323"/>
      <c r="X6" s="109"/>
      <c r="Y6" s="148" t="s">
        <v>2</v>
      </c>
    </row>
    <row r="7" spans="1:27" s="19" customFormat="1" ht="12.75">
      <c r="A7" s="153"/>
      <c r="B7" s="32">
        <v>2007</v>
      </c>
      <c r="C7" s="32">
        <v>2008</v>
      </c>
      <c r="D7" s="32">
        <v>2009</v>
      </c>
      <c r="E7" s="32">
        <v>2010</v>
      </c>
      <c r="F7" s="32">
        <v>2011</v>
      </c>
      <c r="G7" s="32">
        <v>2012</v>
      </c>
      <c r="H7" s="32">
        <v>2009</v>
      </c>
      <c r="I7" s="32">
        <v>2010</v>
      </c>
      <c r="J7" s="32">
        <v>2011</v>
      </c>
      <c r="K7" s="32">
        <v>2012</v>
      </c>
      <c r="L7" s="32">
        <v>2013</v>
      </c>
      <c r="M7" s="32">
        <v>2014</v>
      </c>
      <c r="N7" s="14">
        <v>2015</v>
      </c>
      <c r="O7" s="162">
        <v>2016</v>
      </c>
      <c r="P7" s="162">
        <v>2017</v>
      </c>
      <c r="Q7" s="162">
        <v>2018</v>
      </c>
      <c r="R7" s="162">
        <v>2019</v>
      </c>
      <c r="S7" s="162">
        <v>2020</v>
      </c>
      <c r="T7" s="189">
        <v>2016</v>
      </c>
      <c r="U7" s="196">
        <v>2017</v>
      </c>
      <c r="V7" s="188" t="s">
        <v>154</v>
      </c>
      <c r="W7" s="203" t="s">
        <v>167</v>
      </c>
      <c r="X7" s="110"/>
      <c r="Y7" s="111"/>
      <c r="Z7" s="31"/>
      <c r="AA7" s="31"/>
    </row>
    <row r="8" spans="1:27" s="19" customFormat="1" ht="15">
      <c r="A8" s="33" t="s">
        <v>8</v>
      </c>
      <c r="B8" s="112">
        <f t="shared" ref="B8:O8" si="0">SUM(B9,B14,B20,B27)</f>
        <v>6560.1</v>
      </c>
      <c r="C8" s="112">
        <f t="shared" si="0"/>
        <v>7463.2</v>
      </c>
      <c r="D8" s="112">
        <f t="shared" si="0"/>
        <v>7942.4</v>
      </c>
      <c r="E8" s="112">
        <f t="shared" si="0"/>
        <v>9115.1999999999989</v>
      </c>
      <c r="F8" s="112">
        <f t="shared" si="0"/>
        <v>8659.1</v>
      </c>
      <c r="G8" s="112">
        <f t="shared" si="0"/>
        <v>8744.8993789999986</v>
      </c>
      <c r="H8" s="112">
        <f t="shared" si="0"/>
        <v>8738.7354969999997</v>
      </c>
      <c r="I8" s="112">
        <f t="shared" si="0"/>
        <v>8369.1443089999993</v>
      </c>
      <c r="J8" s="112">
        <f t="shared" si="0"/>
        <v>9075.7587179999991</v>
      </c>
      <c r="K8" s="112">
        <f t="shared" si="0"/>
        <v>10316.485255000001</v>
      </c>
      <c r="L8" s="112">
        <f t="shared" si="0"/>
        <v>11573.21458545</v>
      </c>
      <c r="M8" s="112">
        <f t="shared" si="0"/>
        <v>13954.396592000001</v>
      </c>
      <c r="N8" s="112">
        <f t="shared" si="0"/>
        <v>16678.511400880001</v>
      </c>
      <c r="O8" s="195">
        <f t="shared" si="0"/>
        <v>0</v>
      </c>
      <c r="P8" s="195">
        <f t="shared" ref="P8:Q8" si="1">SUM(P9,P14,P20,P27)</f>
        <v>0</v>
      </c>
      <c r="Q8" s="195">
        <f t="shared" si="1"/>
        <v>0</v>
      </c>
      <c r="R8" s="195">
        <f t="shared" ref="R8:S8" si="2">SUM(R9,R14,R20,R27)</f>
        <v>0</v>
      </c>
      <c r="S8" s="195">
        <f t="shared" si="2"/>
        <v>0</v>
      </c>
      <c r="T8" s="190" t="e">
        <f>+(O8/$O$8)*100</f>
        <v>#DIV/0!</v>
      </c>
      <c r="U8" s="197" t="e">
        <f>+(P8/$O$8)*100</f>
        <v>#DIV/0!</v>
      </c>
      <c r="V8" s="113">
        <f t="shared" ref="V8:W27" si="3">+((O8/N8)-1)*100</f>
        <v>-100</v>
      </c>
      <c r="W8" s="200" t="e">
        <f t="shared" si="3"/>
        <v>#DIV/0!</v>
      </c>
      <c r="X8" s="113"/>
      <c r="Y8" s="36" t="s">
        <v>9</v>
      </c>
    </row>
    <row r="9" spans="1:27" s="19" customFormat="1" ht="15">
      <c r="A9" s="33" t="s">
        <v>67</v>
      </c>
      <c r="B9" s="112">
        <f t="shared" ref="B9:O9" si="4">SUM(B10:B13)</f>
        <v>2241.8999999999996</v>
      </c>
      <c r="C9" s="112">
        <f t="shared" si="4"/>
        <v>3209.7</v>
      </c>
      <c r="D9" s="112">
        <f t="shared" si="4"/>
        <v>3276.6</v>
      </c>
      <c r="E9" s="112">
        <f t="shared" si="4"/>
        <v>4021.9</v>
      </c>
      <c r="F9" s="112">
        <f t="shared" si="4"/>
        <v>3529.1</v>
      </c>
      <c r="G9" s="112">
        <f t="shared" si="4"/>
        <v>3593.374147</v>
      </c>
      <c r="H9" s="112">
        <f t="shared" si="4"/>
        <v>3519.7833220000007</v>
      </c>
      <c r="I9" s="112">
        <f t="shared" si="4"/>
        <v>3978.9039029999999</v>
      </c>
      <c r="J9" s="112">
        <f t="shared" si="4"/>
        <v>4596.1388089999991</v>
      </c>
      <c r="K9" s="112">
        <f t="shared" si="4"/>
        <v>4774.492886</v>
      </c>
      <c r="L9" s="112">
        <f t="shared" si="4"/>
        <v>4784.0412950399996</v>
      </c>
      <c r="M9" s="112">
        <f t="shared" si="4"/>
        <v>5537.7483140000004</v>
      </c>
      <c r="N9" s="112">
        <f t="shared" si="4"/>
        <v>6243.3481799699994</v>
      </c>
      <c r="O9" s="195">
        <f t="shared" si="4"/>
        <v>0</v>
      </c>
      <c r="P9" s="195">
        <f t="shared" ref="P9:Q9" si="5">SUM(P10:P13)</f>
        <v>0</v>
      </c>
      <c r="Q9" s="195">
        <f t="shared" si="5"/>
        <v>0</v>
      </c>
      <c r="R9" s="195">
        <f t="shared" ref="R9:S9" si="6">SUM(R10:R13)</f>
        <v>0</v>
      </c>
      <c r="S9" s="195">
        <f t="shared" si="6"/>
        <v>0</v>
      </c>
      <c r="T9" s="190" t="e">
        <f t="shared" ref="T9:U27" si="7">+(O9/$O$8)*100</f>
        <v>#DIV/0!</v>
      </c>
      <c r="U9" s="197" t="e">
        <f t="shared" si="7"/>
        <v>#DIV/0!</v>
      </c>
      <c r="V9" s="113">
        <f t="shared" si="3"/>
        <v>-100</v>
      </c>
      <c r="W9" s="200" t="e">
        <f t="shared" si="3"/>
        <v>#DIV/0!</v>
      </c>
      <c r="X9" s="113"/>
      <c r="Y9" s="36" t="s">
        <v>68</v>
      </c>
    </row>
    <row r="10" spans="1:27" s="20" customFormat="1" ht="15">
      <c r="A10" s="37" t="s">
        <v>69</v>
      </c>
      <c r="B10" s="151">
        <v>1141.8</v>
      </c>
      <c r="C10" s="40">
        <v>1743.5</v>
      </c>
      <c r="D10" s="40">
        <v>1620.1</v>
      </c>
      <c r="E10" s="40">
        <v>2323.1</v>
      </c>
      <c r="F10" s="40">
        <v>1785</v>
      </c>
      <c r="G10" s="40">
        <v>1807.6922320000001</v>
      </c>
      <c r="H10" s="40">
        <v>1640.2071530000007</v>
      </c>
      <c r="I10" s="40">
        <v>2160.2136339999997</v>
      </c>
      <c r="J10" s="40">
        <v>2490.5053929999999</v>
      </c>
      <c r="K10" s="40">
        <v>2464.698202</v>
      </c>
      <c r="L10" s="40">
        <v>2284.8721354499999</v>
      </c>
      <c r="M10" s="40">
        <v>2757.612995</v>
      </c>
      <c r="N10" s="40">
        <v>2566.7069908099998</v>
      </c>
      <c r="O10" s="193"/>
      <c r="P10" s="193"/>
      <c r="Q10" s="193"/>
      <c r="R10" s="193"/>
      <c r="S10" s="193"/>
      <c r="T10" s="191" t="e">
        <f t="shared" si="7"/>
        <v>#DIV/0!</v>
      </c>
      <c r="U10" s="198" t="e">
        <f t="shared" si="7"/>
        <v>#DIV/0!</v>
      </c>
      <c r="V10" s="114">
        <f t="shared" si="3"/>
        <v>-100</v>
      </c>
      <c r="W10" s="201" t="e">
        <f t="shared" si="3"/>
        <v>#DIV/0!</v>
      </c>
      <c r="X10" s="114"/>
      <c r="Y10" s="30" t="s">
        <v>70</v>
      </c>
    </row>
    <row r="11" spans="1:27" s="20" customFormat="1" ht="15">
      <c r="A11" s="37" t="s">
        <v>71</v>
      </c>
      <c r="B11" s="151">
        <v>404.6</v>
      </c>
      <c r="C11" s="40">
        <v>549.1</v>
      </c>
      <c r="D11" s="40">
        <v>593.9</v>
      </c>
      <c r="E11" s="40">
        <v>551.20000000000005</v>
      </c>
      <c r="F11" s="40">
        <v>611.5</v>
      </c>
      <c r="G11" s="40">
        <v>637.60149200000001</v>
      </c>
      <c r="H11" s="40">
        <v>712.88716299999999</v>
      </c>
      <c r="I11" s="40">
        <v>651.41233499999998</v>
      </c>
      <c r="J11" s="40">
        <v>774.11099200000001</v>
      </c>
      <c r="K11" s="40">
        <v>800.63111700000002</v>
      </c>
      <c r="L11" s="40">
        <v>794.20175268000003</v>
      </c>
      <c r="M11" s="40">
        <v>834.3948089999999</v>
      </c>
      <c r="N11" s="40">
        <v>1023.3242030399999</v>
      </c>
      <c r="O11" s="193"/>
      <c r="P11" s="193"/>
      <c r="Q11" s="193"/>
      <c r="R11" s="193"/>
      <c r="S11" s="193"/>
      <c r="T11" s="191" t="e">
        <f t="shared" si="7"/>
        <v>#DIV/0!</v>
      </c>
      <c r="U11" s="198" t="e">
        <f t="shared" si="7"/>
        <v>#DIV/0!</v>
      </c>
      <c r="V11" s="114">
        <f t="shared" si="3"/>
        <v>-100</v>
      </c>
      <c r="W11" s="201" t="e">
        <f t="shared" si="3"/>
        <v>#DIV/0!</v>
      </c>
      <c r="X11" s="114"/>
      <c r="Y11" s="30" t="s">
        <v>72</v>
      </c>
    </row>
    <row r="12" spans="1:27" s="20" customFormat="1" ht="15">
      <c r="A12" s="37" t="s">
        <v>73</v>
      </c>
      <c r="B12" s="115">
        <v>600.29999999999995</v>
      </c>
      <c r="C12" s="40">
        <v>833.4</v>
      </c>
      <c r="D12" s="40">
        <v>968.9</v>
      </c>
      <c r="E12" s="40">
        <v>1055.0999999999999</v>
      </c>
      <c r="F12" s="40">
        <v>1052.7</v>
      </c>
      <c r="G12" s="40">
        <v>1066.94895</v>
      </c>
      <c r="H12" s="40">
        <v>1097.180717</v>
      </c>
      <c r="I12" s="40">
        <v>1132.7824310000001</v>
      </c>
      <c r="J12" s="40">
        <v>1296.9194520000001</v>
      </c>
      <c r="K12" s="40">
        <v>1470.4859779999999</v>
      </c>
      <c r="L12" s="40">
        <v>1659.45558701</v>
      </c>
      <c r="M12" s="40">
        <v>1876.671333</v>
      </c>
      <c r="N12" s="40">
        <v>2512.6496932300001</v>
      </c>
      <c r="O12" s="193"/>
      <c r="P12" s="193"/>
      <c r="Q12" s="193"/>
      <c r="R12" s="193"/>
      <c r="S12" s="193"/>
      <c r="T12" s="191" t="e">
        <f t="shared" si="7"/>
        <v>#DIV/0!</v>
      </c>
      <c r="U12" s="198" t="e">
        <f t="shared" si="7"/>
        <v>#DIV/0!</v>
      </c>
      <c r="V12" s="114">
        <f t="shared" si="3"/>
        <v>-100</v>
      </c>
      <c r="W12" s="201" t="e">
        <f t="shared" si="3"/>
        <v>#DIV/0!</v>
      </c>
      <c r="X12" s="114"/>
      <c r="Y12" s="30" t="s">
        <v>74</v>
      </c>
    </row>
    <row r="13" spans="1:27" s="20" customFormat="1" ht="15">
      <c r="A13" s="37" t="s">
        <v>75</v>
      </c>
      <c r="B13" s="92">
        <v>95.2</v>
      </c>
      <c r="C13" s="40">
        <v>83.7</v>
      </c>
      <c r="D13" s="40">
        <v>93.7</v>
      </c>
      <c r="E13" s="40">
        <v>92.5</v>
      </c>
      <c r="F13" s="40">
        <v>79.900000000000006</v>
      </c>
      <c r="G13" s="40">
        <v>81.131473</v>
      </c>
      <c r="H13" s="40">
        <v>69.508289000000005</v>
      </c>
      <c r="I13" s="40">
        <v>34.495502999999999</v>
      </c>
      <c r="J13" s="40">
        <v>34.602972000000001</v>
      </c>
      <c r="K13" s="40">
        <v>38.677588999999998</v>
      </c>
      <c r="L13" s="40">
        <v>45.511819899999999</v>
      </c>
      <c r="M13" s="40">
        <v>69.069176999999996</v>
      </c>
      <c r="N13" s="40">
        <v>140.66729289</v>
      </c>
      <c r="O13" s="193"/>
      <c r="P13" s="193"/>
      <c r="Q13" s="193"/>
      <c r="R13" s="193"/>
      <c r="S13" s="193"/>
      <c r="T13" s="191" t="e">
        <f t="shared" si="7"/>
        <v>#DIV/0!</v>
      </c>
      <c r="U13" s="198" t="e">
        <f t="shared" si="7"/>
        <v>#DIV/0!</v>
      </c>
      <c r="V13" s="114">
        <f t="shared" si="3"/>
        <v>-100</v>
      </c>
      <c r="W13" s="201" t="e">
        <f t="shared" si="3"/>
        <v>#DIV/0!</v>
      </c>
      <c r="X13" s="114"/>
      <c r="Y13" s="30" t="s">
        <v>76</v>
      </c>
    </row>
    <row r="14" spans="1:27" s="19" customFormat="1" ht="15">
      <c r="A14" s="33" t="s">
        <v>77</v>
      </c>
      <c r="B14" s="112">
        <f t="shared" ref="B14:I14" si="8">SUM(B15:B18)</f>
        <v>3817.6</v>
      </c>
      <c r="C14" s="112">
        <f t="shared" si="8"/>
        <v>3679.5</v>
      </c>
      <c r="D14" s="112">
        <f t="shared" si="8"/>
        <v>4016.4</v>
      </c>
      <c r="E14" s="112">
        <f t="shared" si="8"/>
        <v>4170.5</v>
      </c>
      <c r="F14" s="112">
        <f t="shared" si="8"/>
        <v>4282.6000000000004</v>
      </c>
      <c r="G14" s="112">
        <f t="shared" si="8"/>
        <v>4413.3455789999998</v>
      </c>
      <c r="H14" s="112">
        <f t="shared" si="8"/>
        <v>4345.2921539999998</v>
      </c>
      <c r="I14" s="112">
        <f t="shared" si="8"/>
        <v>3462.622922</v>
      </c>
      <c r="J14" s="112">
        <f>SUM(J15:J19)</f>
        <v>3544.46576</v>
      </c>
      <c r="K14" s="112">
        <f t="shared" ref="K14:Q14" si="9">SUM(K15:K19)</f>
        <v>4225.7286190000004</v>
      </c>
      <c r="L14" s="112">
        <f t="shared" si="9"/>
        <v>5531.6275246499999</v>
      </c>
      <c r="M14" s="112">
        <f t="shared" si="9"/>
        <v>7089.9977030000009</v>
      </c>
      <c r="N14" s="112">
        <f t="shared" si="9"/>
        <v>8742.95622215</v>
      </c>
      <c r="O14" s="195">
        <f t="shared" si="9"/>
        <v>0</v>
      </c>
      <c r="P14" s="195">
        <f t="shared" si="9"/>
        <v>0</v>
      </c>
      <c r="Q14" s="195">
        <f t="shared" si="9"/>
        <v>0</v>
      </c>
      <c r="R14" s="195">
        <f t="shared" ref="R14:S14" si="10">SUM(R15:R19)</f>
        <v>0</v>
      </c>
      <c r="S14" s="195">
        <f t="shared" si="10"/>
        <v>0</v>
      </c>
      <c r="T14" s="190" t="e">
        <f t="shared" si="7"/>
        <v>#DIV/0!</v>
      </c>
      <c r="U14" s="197" t="e">
        <f t="shared" si="7"/>
        <v>#DIV/0!</v>
      </c>
      <c r="V14" s="113">
        <f t="shared" si="3"/>
        <v>-100</v>
      </c>
      <c r="W14" s="200" t="e">
        <f t="shared" si="3"/>
        <v>#DIV/0!</v>
      </c>
      <c r="X14" s="113"/>
      <c r="Y14" s="36" t="s">
        <v>78</v>
      </c>
    </row>
    <row r="15" spans="1:27" s="20" customFormat="1" ht="15">
      <c r="A15" s="37" t="s">
        <v>79</v>
      </c>
      <c r="B15" s="151">
        <v>1149.4000000000001</v>
      </c>
      <c r="C15" s="40">
        <v>1467.1</v>
      </c>
      <c r="D15" s="40">
        <v>1958.3</v>
      </c>
      <c r="E15" s="40">
        <v>1632</v>
      </c>
      <c r="F15" s="40">
        <v>1703.1</v>
      </c>
      <c r="G15" s="40">
        <v>1731.0649900000001</v>
      </c>
      <c r="H15" s="40">
        <v>1801.544161</v>
      </c>
      <c r="I15" s="40">
        <v>1588.6194419999999</v>
      </c>
      <c r="J15" s="40">
        <v>1701.1680309999999</v>
      </c>
      <c r="K15" s="116">
        <v>2095.118363</v>
      </c>
      <c r="L15" s="40">
        <v>1927.3062449400002</v>
      </c>
      <c r="M15" s="40">
        <v>2111.528174</v>
      </c>
      <c r="N15" s="40">
        <v>2660.2240680199998</v>
      </c>
      <c r="O15" s="193"/>
      <c r="P15" s="193"/>
      <c r="Q15" s="193"/>
      <c r="R15" s="193"/>
      <c r="S15" s="193"/>
      <c r="T15" s="191" t="e">
        <f t="shared" si="7"/>
        <v>#DIV/0!</v>
      </c>
      <c r="U15" s="198" t="e">
        <f t="shared" si="7"/>
        <v>#DIV/0!</v>
      </c>
      <c r="V15" s="114">
        <f t="shared" si="3"/>
        <v>-100</v>
      </c>
      <c r="W15" s="201" t="e">
        <f t="shared" si="3"/>
        <v>#DIV/0!</v>
      </c>
      <c r="X15" s="114"/>
      <c r="Y15" s="30" t="s">
        <v>80</v>
      </c>
    </row>
    <row r="16" spans="1:27" s="20" customFormat="1" ht="15">
      <c r="A16" s="37" t="s">
        <v>81</v>
      </c>
      <c r="B16" s="151">
        <v>682.3</v>
      </c>
      <c r="C16" s="40">
        <v>1037.3</v>
      </c>
      <c r="D16" s="40">
        <v>798.5</v>
      </c>
      <c r="E16" s="40">
        <v>875.1</v>
      </c>
      <c r="F16" s="40">
        <v>922.4</v>
      </c>
      <c r="G16" s="40">
        <v>966.45820000000003</v>
      </c>
      <c r="H16" s="40">
        <v>1327.7892979999999</v>
      </c>
      <c r="I16" s="40">
        <v>946.95926599999996</v>
      </c>
      <c r="J16" s="40">
        <v>356.75031100000001</v>
      </c>
      <c r="K16" s="40">
        <v>288.929912</v>
      </c>
      <c r="L16" s="40">
        <v>1369.90178399</v>
      </c>
      <c r="M16" s="40">
        <v>1723.199959</v>
      </c>
      <c r="N16" s="40">
        <v>2233.1620040500002</v>
      </c>
      <c r="O16" s="193"/>
      <c r="P16" s="193"/>
      <c r="Q16" s="193"/>
      <c r="R16" s="193"/>
      <c r="S16" s="193"/>
      <c r="T16" s="191" t="e">
        <f t="shared" si="7"/>
        <v>#DIV/0!</v>
      </c>
      <c r="U16" s="198" t="e">
        <f t="shared" si="7"/>
        <v>#DIV/0!</v>
      </c>
      <c r="V16" s="114">
        <f t="shared" si="3"/>
        <v>-100</v>
      </c>
      <c r="W16" s="201" t="e">
        <f t="shared" si="3"/>
        <v>#DIV/0!</v>
      </c>
      <c r="X16" s="114"/>
      <c r="Y16" s="30" t="s">
        <v>82</v>
      </c>
    </row>
    <row r="17" spans="1:25" s="20" customFormat="1" ht="15">
      <c r="A17" s="37" t="s">
        <v>83</v>
      </c>
      <c r="B17" s="151">
        <v>231.4</v>
      </c>
      <c r="C17" s="40">
        <v>638.4</v>
      </c>
      <c r="D17" s="40">
        <v>772.2</v>
      </c>
      <c r="E17" s="40">
        <v>1202</v>
      </c>
      <c r="F17" s="40">
        <v>1115.4000000000001</v>
      </c>
      <c r="G17" s="40">
        <v>1165.9169099999999</v>
      </c>
      <c r="H17" s="40">
        <v>463.99557299999998</v>
      </c>
      <c r="I17" s="40">
        <v>577.73113499999999</v>
      </c>
      <c r="J17" s="40">
        <v>1132.764089</v>
      </c>
      <c r="K17" s="40">
        <v>1577.597278</v>
      </c>
      <c r="L17" s="40">
        <v>1958.0622446499999</v>
      </c>
      <c r="M17" s="40">
        <v>2924.2179980000001</v>
      </c>
      <c r="N17" s="40">
        <v>3212.2614754400001</v>
      </c>
      <c r="O17" s="193"/>
      <c r="P17" s="193"/>
      <c r="Q17" s="193"/>
      <c r="R17" s="193"/>
      <c r="S17" s="193"/>
      <c r="T17" s="191" t="e">
        <f t="shared" si="7"/>
        <v>#DIV/0!</v>
      </c>
      <c r="U17" s="198" t="e">
        <f t="shared" si="7"/>
        <v>#DIV/0!</v>
      </c>
      <c r="V17" s="114">
        <f t="shared" si="3"/>
        <v>-100</v>
      </c>
      <c r="W17" s="201" t="e">
        <f t="shared" si="3"/>
        <v>#DIV/0!</v>
      </c>
      <c r="X17" s="114"/>
      <c r="Y17" s="30" t="s">
        <v>84</v>
      </c>
    </row>
    <row r="18" spans="1:25" s="20" customFormat="1" ht="15">
      <c r="A18" s="37" t="s">
        <v>85</v>
      </c>
      <c r="B18" s="151">
        <v>1754.5</v>
      </c>
      <c r="C18" s="40">
        <v>536.70000000000005</v>
      </c>
      <c r="D18" s="40">
        <v>487.4</v>
      </c>
      <c r="E18" s="40">
        <v>461.4</v>
      </c>
      <c r="F18" s="40">
        <v>541.70000000000005</v>
      </c>
      <c r="G18" s="40">
        <v>549.90547900000001</v>
      </c>
      <c r="H18" s="40">
        <v>751.963122</v>
      </c>
      <c r="I18" s="40">
        <v>349.31307900000002</v>
      </c>
      <c r="J18" s="40">
        <v>353.78332899999998</v>
      </c>
      <c r="K18" s="40">
        <v>264.08306599999997</v>
      </c>
      <c r="L18" s="40">
        <v>4.6041600000000003</v>
      </c>
      <c r="M18" s="40">
        <v>3.837771</v>
      </c>
      <c r="N18" s="40">
        <v>0</v>
      </c>
      <c r="O18" s="193"/>
      <c r="P18" s="193"/>
      <c r="Q18" s="193"/>
      <c r="R18" s="193"/>
      <c r="S18" s="193"/>
      <c r="T18" s="191" t="e">
        <f t="shared" si="7"/>
        <v>#DIV/0!</v>
      </c>
      <c r="U18" s="198" t="e">
        <f t="shared" si="7"/>
        <v>#DIV/0!</v>
      </c>
      <c r="V18" s="40" t="e">
        <f t="shared" ref="V18:W18" si="11">+(Q18/$O$8)*100</f>
        <v>#DIV/0!</v>
      </c>
      <c r="W18" s="193" t="e">
        <f t="shared" si="11"/>
        <v>#DIV/0!</v>
      </c>
      <c r="X18" s="114"/>
      <c r="Y18" s="30" t="s">
        <v>86</v>
      </c>
    </row>
    <row r="19" spans="1:25" s="20" customFormat="1" ht="17.25">
      <c r="A19" s="37" t="s">
        <v>147</v>
      </c>
      <c r="B19" s="151"/>
      <c r="C19" s="40"/>
      <c r="D19" s="40"/>
      <c r="E19" s="40"/>
      <c r="F19" s="40"/>
      <c r="G19" s="40"/>
      <c r="H19" s="40"/>
      <c r="I19" s="40"/>
      <c r="J19" s="38">
        <v>0</v>
      </c>
      <c r="K19" s="38">
        <v>0</v>
      </c>
      <c r="L19" s="40">
        <v>271.75309106999975</v>
      </c>
      <c r="M19" s="40">
        <v>327.21380099999999</v>
      </c>
      <c r="N19" s="40">
        <v>637.30867463999994</v>
      </c>
      <c r="O19" s="193"/>
      <c r="P19" s="193"/>
      <c r="Q19" s="193"/>
      <c r="R19" s="193"/>
      <c r="S19" s="193"/>
      <c r="T19" s="191" t="e">
        <f t="shared" si="7"/>
        <v>#DIV/0!</v>
      </c>
      <c r="U19" s="198" t="e">
        <f t="shared" si="7"/>
        <v>#DIV/0!</v>
      </c>
      <c r="V19" s="114">
        <f t="shared" si="3"/>
        <v>-100</v>
      </c>
      <c r="W19" s="201" t="e">
        <f t="shared" si="3"/>
        <v>#DIV/0!</v>
      </c>
      <c r="X19" s="114"/>
      <c r="Y19" s="94" t="s">
        <v>151</v>
      </c>
    </row>
    <row r="20" spans="1:25" s="19" customFormat="1" ht="15">
      <c r="A20" s="33" t="s">
        <v>87</v>
      </c>
      <c r="B20" s="112">
        <f t="shared" ref="B20:I20" si="12">SUM(B21:B25)</f>
        <v>266.3</v>
      </c>
      <c r="C20" s="112">
        <f t="shared" si="12"/>
        <v>293.99999999999994</v>
      </c>
      <c r="D20" s="112">
        <f t="shared" si="12"/>
        <v>309.5</v>
      </c>
      <c r="E20" s="112">
        <f t="shared" si="12"/>
        <v>330.00000000000006</v>
      </c>
      <c r="F20" s="112">
        <f t="shared" si="12"/>
        <v>292.89999999999998</v>
      </c>
      <c r="G20" s="112">
        <f t="shared" si="12"/>
        <v>304.13394399999993</v>
      </c>
      <c r="H20" s="112">
        <f t="shared" si="12"/>
        <v>255.78124300000002</v>
      </c>
      <c r="I20" s="112">
        <f t="shared" si="12"/>
        <v>265.56214700000004</v>
      </c>
      <c r="J20" s="112">
        <f>SUM(J21:J26)</f>
        <v>209.35414899999998</v>
      </c>
      <c r="K20" s="112">
        <f t="shared" ref="K20:Q20" si="13">SUM(K21:K26)</f>
        <v>209.18252100000001</v>
      </c>
      <c r="L20" s="112">
        <f t="shared" si="13"/>
        <v>300.81956875999992</v>
      </c>
      <c r="M20" s="112">
        <f t="shared" si="13"/>
        <v>348.30320599999999</v>
      </c>
      <c r="N20" s="112">
        <f t="shared" si="13"/>
        <v>344.55713775999999</v>
      </c>
      <c r="O20" s="195">
        <f t="shared" si="13"/>
        <v>0</v>
      </c>
      <c r="P20" s="195">
        <f t="shared" si="13"/>
        <v>0</v>
      </c>
      <c r="Q20" s="195">
        <f t="shared" si="13"/>
        <v>0</v>
      </c>
      <c r="R20" s="195">
        <f t="shared" ref="R20:S20" si="14">SUM(R21:R26)</f>
        <v>0</v>
      </c>
      <c r="S20" s="195">
        <f t="shared" si="14"/>
        <v>0</v>
      </c>
      <c r="T20" s="190" t="e">
        <f t="shared" si="7"/>
        <v>#DIV/0!</v>
      </c>
      <c r="U20" s="197" t="e">
        <f t="shared" si="7"/>
        <v>#DIV/0!</v>
      </c>
      <c r="V20" s="113">
        <f t="shared" si="3"/>
        <v>-100</v>
      </c>
      <c r="W20" s="200" t="e">
        <f t="shared" si="3"/>
        <v>#DIV/0!</v>
      </c>
      <c r="X20" s="113"/>
      <c r="Y20" s="36" t="s">
        <v>44</v>
      </c>
    </row>
    <row r="21" spans="1:25" s="20" customFormat="1" ht="15">
      <c r="A21" s="37" t="s">
        <v>88</v>
      </c>
      <c r="B21" s="151">
        <v>25.8</v>
      </c>
      <c r="C21" s="40">
        <v>30.1</v>
      </c>
      <c r="D21" s="40">
        <v>36.9</v>
      </c>
      <c r="E21" s="40">
        <v>61.7</v>
      </c>
      <c r="F21" s="40">
        <v>63.7</v>
      </c>
      <c r="G21" s="40">
        <v>56.472088999999997</v>
      </c>
      <c r="H21" s="40">
        <v>35.399478999999999</v>
      </c>
      <c r="I21" s="40">
        <v>108.925563</v>
      </c>
      <c r="J21" s="40">
        <v>59.694450000000003</v>
      </c>
      <c r="K21" s="40">
        <v>45.578457</v>
      </c>
      <c r="L21" s="40">
        <v>62.856177169999995</v>
      </c>
      <c r="M21" s="40">
        <v>77.722431999999998</v>
      </c>
      <c r="N21" s="40">
        <v>44.379290109999999</v>
      </c>
      <c r="O21" s="193"/>
      <c r="P21" s="193"/>
      <c r="Q21" s="193"/>
      <c r="R21" s="193"/>
      <c r="S21" s="193"/>
      <c r="T21" s="191" t="e">
        <f t="shared" si="7"/>
        <v>#DIV/0!</v>
      </c>
      <c r="U21" s="198" t="e">
        <f t="shared" si="7"/>
        <v>#DIV/0!</v>
      </c>
      <c r="V21" s="114">
        <f t="shared" si="3"/>
        <v>-100</v>
      </c>
      <c r="W21" s="201" t="e">
        <f t="shared" si="3"/>
        <v>#DIV/0!</v>
      </c>
      <c r="X21" s="114"/>
      <c r="Y21" s="117" t="s">
        <v>89</v>
      </c>
    </row>
    <row r="22" spans="1:25" s="20" customFormat="1" ht="15">
      <c r="A22" s="37" t="s">
        <v>90</v>
      </c>
      <c r="B22" s="151">
        <v>97.5</v>
      </c>
      <c r="C22" s="40">
        <v>145</v>
      </c>
      <c r="D22" s="40">
        <v>134</v>
      </c>
      <c r="E22" s="40">
        <v>176.9</v>
      </c>
      <c r="F22" s="40">
        <v>139.5</v>
      </c>
      <c r="G22" s="40">
        <v>154.75196</v>
      </c>
      <c r="H22" s="40">
        <v>95.280591000000001</v>
      </c>
      <c r="I22" s="40">
        <v>81.075993999999994</v>
      </c>
      <c r="J22" s="40">
        <v>78.940620999999993</v>
      </c>
      <c r="K22" s="40">
        <v>67.993539999999996</v>
      </c>
      <c r="L22" s="40">
        <v>35.804027499999997</v>
      </c>
      <c r="M22" s="40">
        <v>155.90539000000001</v>
      </c>
      <c r="N22" s="40">
        <v>71.299115999999998</v>
      </c>
      <c r="O22" s="193"/>
      <c r="P22" s="193"/>
      <c r="Q22" s="193"/>
      <c r="R22" s="193"/>
      <c r="S22" s="193"/>
      <c r="T22" s="191" t="e">
        <f t="shared" si="7"/>
        <v>#DIV/0!</v>
      </c>
      <c r="U22" s="198" t="e">
        <f t="shared" si="7"/>
        <v>#DIV/0!</v>
      </c>
      <c r="V22" s="114">
        <f t="shared" si="3"/>
        <v>-100</v>
      </c>
      <c r="W22" s="201" t="e">
        <f t="shared" si="3"/>
        <v>#DIV/0!</v>
      </c>
      <c r="X22" s="114"/>
      <c r="Y22" s="117" t="s">
        <v>91</v>
      </c>
    </row>
    <row r="23" spans="1:25" s="20" customFormat="1" ht="15">
      <c r="A23" s="37" t="s">
        <v>92</v>
      </c>
      <c r="B23" s="151">
        <v>16.899999999999999</v>
      </c>
      <c r="C23" s="40">
        <v>18.600000000000001</v>
      </c>
      <c r="D23" s="40">
        <v>32.700000000000003</v>
      </c>
      <c r="E23" s="40">
        <v>28.6</v>
      </c>
      <c r="F23" s="40">
        <v>33.5</v>
      </c>
      <c r="G23" s="40">
        <v>33.484577000000002</v>
      </c>
      <c r="H23" s="40">
        <v>29.27197</v>
      </c>
      <c r="I23" s="40">
        <v>17.173514000000001</v>
      </c>
      <c r="J23" s="40">
        <v>20.235569000000002</v>
      </c>
      <c r="K23" s="40">
        <v>27.574041999999999</v>
      </c>
      <c r="L23" s="40">
        <v>26.957459039999989</v>
      </c>
      <c r="M23" s="40">
        <v>32.610194</v>
      </c>
      <c r="N23" s="40">
        <v>31.466308000000001</v>
      </c>
      <c r="O23" s="193"/>
      <c r="P23" s="193"/>
      <c r="Q23" s="193"/>
      <c r="R23" s="193"/>
      <c r="S23" s="193"/>
      <c r="T23" s="191" t="e">
        <f t="shared" si="7"/>
        <v>#DIV/0!</v>
      </c>
      <c r="U23" s="198" t="e">
        <f t="shared" si="7"/>
        <v>#DIV/0!</v>
      </c>
      <c r="V23" s="114">
        <f t="shared" si="3"/>
        <v>-100</v>
      </c>
      <c r="W23" s="201" t="e">
        <f t="shared" si="3"/>
        <v>#DIV/0!</v>
      </c>
      <c r="X23" s="114"/>
      <c r="Y23" s="117" t="s">
        <v>93</v>
      </c>
    </row>
    <row r="24" spans="1:25" s="20" customFormat="1" ht="15">
      <c r="A24" s="39" t="s">
        <v>94</v>
      </c>
      <c r="B24" s="151">
        <v>107.8</v>
      </c>
      <c r="C24" s="40">
        <v>80.099999999999994</v>
      </c>
      <c r="D24" s="40">
        <v>87.7</v>
      </c>
      <c r="E24" s="40">
        <v>48.5</v>
      </c>
      <c r="F24" s="40">
        <v>38.9</v>
      </c>
      <c r="G24" s="40">
        <v>42.022793999999998</v>
      </c>
      <c r="H24" s="40">
        <v>78.335824000000002</v>
      </c>
      <c r="I24" s="40">
        <v>43.838565000000003</v>
      </c>
      <c r="J24" s="40">
        <v>33.652334000000003</v>
      </c>
      <c r="K24" s="40">
        <v>52.352131999999997</v>
      </c>
      <c r="L24" s="40">
        <v>33.053981409999999</v>
      </c>
      <c r="M24" s="40">
        <v>48.876987999999997</v>
      </c>
      <c r="N24" s="40">
        <v>103.028464</v>
      </c>
      <c r="O24" s="193"/>
      <c r="P24" s="193"/>
      <c r="Q24" s="193"/>
      <c r="R24" s="193"/>
      <c r="S24" s="193"/>
      <c r="T24" s="191" t="e">
        <f t="shared" si="7"/>
        <v>#DIV/0!</v>
      </c>
      <c r="U24" s="198" t="e">
        <f t="shared" si="7"/>
        <v>#DIV/0!</v>
      </c>
      <c r="V24" s="114">
        <f t="shared" si="3"/>
        <v>-100</v>
      </c>
      <c r="W24" s="201" t="e">
        <f t="shared" si="3"/>
        <v>#DIV/0!</v>
      </c>
      <c r="X24" s="114"/>
      <c r="Y24" s="117" t="s">
        <v>95</v>
      </c>
    </row>
    <row r="25" spans="1:25" s="20" customFormat="1" ht="15">
      <c r="A25" s="39" t="s">
        <v>96</v>
      </c>
      <c r="B25" s="151">
        <v>18.3</v>
      </c>
      <c r="C25" s="40">
        <v>20.2</v>
      </c>
      <c r="D25" s="40">
        <v>18.2</v>
      </c>
      <c r="E25" s="40">
        <v>14.3</v>
      </c>
      <c r="F25" s="40">
        <v>17.3</v>
      </c>
      <c r="G25" s="40">
        <v>17.402524</v>
      </c>
      <c r="H25" s="40">
        <v>17.493379000000001</v>
      </c>
      <c r="I25" s="40">
        <v>14.548511</v>
      </c>
      <c r="J25" s="40">
        <v>16.831175000000002</v>
      </c>
      <c r="K25" s="40">
        <v>15.68435</v>
      </c>
      <c r="L25" s="40">
        <v>140.28595263999998</v>
      </c>
      <c r="M25" s="40">
        <v>31.397749000000001</v>
      </c>
      <c r="N25" s="40">
        <v>92.426890650000004</v>
      </c>
      <c r="O25" s="193"/>
      <c r="P25" s="193"/>
      <c r="Q25" s="193"/>
      <c r="R25" s="193"/>
      <c r="S25" s="193"/>
      <c r="T25" s="191" t="e">
        <f t="shared" si="7"/>
        <v>#DIV/0!</v>
      </c>
      <c r="U25" s="198" t="e">
        <f t="shared" si="7"/>
        <v>#DIV/0!</v>
      </c>
      <c r="V25" s="114">
        <f t="shared" si="3"/>
        <v>-100</v>
      </c>
      <c r="W25" s="201" t="e">
        <f t="shared" si="3"/>
        <v>#DIV/0!</v>
      </c>
      <c r="X25" s="114"/>
      <c r="Y25" s="118" t="s">
        <v>97</v>
      </c>
    </row>
    <row r="26" spans="1:25" s="20" customFormat="1" ht="15">
      <c r="A26" s="39" t="s">
        <v>148</v>
      </c>
      <c r="B26" s="151"/>
      <c r="C26" s="40"/>
      <c r="D26" s="40"/>
      <c r="E26" s="40"/>
      <c r="F26" s="40"/>
      <c r="G26" s="40"/>
      <c r="H26" s="40"/>
      <c r="I26" s="40"/>
      <c r="J26" s="40">
        <v>0</v>
      </c>
      <c r="K26" s="40">
        <v>0</v>
      </c>
      <c r="L26" s="40">
        <v>1.861971</v>
      </c>
      <c r="M26" s="40">
        <v>1.7904530000000001</v>
      </c>
      <c r="N26" s="40">
        <v>1.9570689999999999</v>
      </c>
      <c r="O26" s="193"/>
      <c r="P26" s="193"/>
      <c r="Q26" s="193"/>
      <c r="R26" s="193"/>
      <c r="S26" s="193"/>
      <c r="T26" s="191" t="e">
        <f t="shared" si="7"/>
        <v>#DIV/0!</v>
      </c>
      <c r="U26" s="198" t="e">
        <f t="shared" si="7"/>
        <v>#DIV/0!</v>
      </c>
      <c r="V26" s="114">
        <f t="shared" si="3"/>
        <v>-100</v>
      </c>
      <c r="W26" s="201" t="e">
        <f t="shared" si="3"/>
        <v>#DIV/0!</v>
      </c>
      <c r="X26" s="114"/>
      <c r="Y26" s="118"/>
    </row>
    <row r="27" spans="1:25" s="19" customFormat="1" ht="15">
      <c r="A27" s="153" t="s">
        <v>98</v>
      </c>
      <c r="B27" s="41">
        <v>234.3</v>
      </c>
      <c r="C27" s="119">
        <v>280</v>
      </c>
      <c r="D27" s="119">
        <v>339.9</v>
      </c>
      <c r="E27" s="119">
        <v>592.79999999999995</v>
      </c>
      <c r="F27" s="119">
        <v>554.5</v>
      </c>
      <c r="G27" s="119">
        <v>434.04570899999999</v>
      </c>
      <c r="H27" s="119">
        <v>617.87877800000001</v>
      </c>
      <c r="I27" s="119">
        <v>662.05533700000001</v>
      </c>
      <c r="J27" s="119">
        <v>725.8</v>
      </c>
      <c r="K27" s="119">
        <v>1107.0812289999999</v>
      </c>
      <c r="L27" s="119">
        <v>956.72619699999996</v>
      </c>
      <c r="M27" s="119">
        <v>978.34736899999996</v>
      </c>
      <c r="N27" s="119">
        <v>1347.6498610000001</v>
      </c>
      <c r="O27" s="194"/>
      <c r="P27" s="194"/>
      <c r="Q27" s="194"/>
      <c r="R27" s="194"/>
      <c r="S27" s="194"/>
      <c r="T27" s="192" t="e">
        <f t="shared" si="7"/>
        <v>#DIV/0!</v>
      </c>
      <c r="U27" s="199" t="e">
        <f t="shared" si="7"/>
        <v>#DIV/0!</v>
      </c>
      <c r="V27" s="120">
        <f t="shared" si="3"/>
        <v>-100</v>
      </c>
      <c r="W27" s="202" t="e">
        <f t="shared" si="3"/>
        <v>#DIV/0!</v>
      </c>
      <c r="X27" s="120"/>
      <c r="Y27" s="121" t="s">
        <v>99</v>
      </c>
    </row>
    <row r="28" spans="1:25" s="20" customFormat="1" ht="15">
      <c r="A28" s="21" t="s">
        <v>12</v>
      </c>
      <c r="B28" s="74"/>
      <c r="C28" s="74"/>
      <c r="D28" s="74"/>
      <c r="E28" s="74"/>
      <c r="F28" s="74"/>
      <c r="G28" s="74"/>
      <c r="H28" s="74"/>
      <c r="I28" s="74"/>
      <c r="J28" s="74"/>
      <c r="K28" s="74"/>
      <c r="L28" s="74"/>
      <c r="M28" s="74"/>
      <c r="N28" s="74"/>
      <c r="O28" s="74"/>
      <c r="P28" s="74"/>
      <c r="Q28" s="74"/>
      <c r="R28" s="74"/>
      <c r="S28" s="74"/>
      <c r="T28" s="74"/>
      <c r="U28" s="74"/>
      <c r="V28" s="75"/>
      <c r="W28" s="75"/>
      <c r="X28" s="75"/>
      <c r="Y28" s="30" t="s">
        <v>13</v>
      </c>
    </row>
    <row r="29" spans="1:25" s="20" customFormat="1" ht="15">
      <c r="A29" s="21" t="s">
        <v>100</v>
      </c>
      <c r="B29" s="74"/>
      <c r="C29" s="74"/>
      <c r="D29" s="74"/>
      <c r="E29" s="74"/>
      <c r="F29" s="74"/>
      <c r="G29" s="74"/>
      <c r="H29" s="74"/>
      <c r="I29" s="74"/>
      <c r="J29" s="74"/>
      <c r="K29" s="74"/>
      <c r="L29" s="74"/>
      <c r="M29" s="74"/>
      <c r="N29" s="74"/>
      <c r="O29" s="74"/>
      <c r="P29" s="74"/>
      <c r="Q29" s="74"/>
      <c r="R29" s="74"/>
      <c r="S29" s="74"/>
      <c r="T29" s="74"/>
      <c r="U29" s="74"/>
      <c r="V29" s="75"/>
      <c r="W29" s="75"/>
      <c r="X29" s="75"/>
      <c r="Y29" s="30" t="s">
        <v>101</v>
      </c>
    </row>
    <row r="30" spans="1:25" s="20" customFormat="1">
      <c r="A30" s="21"/>
      <c r="B30" s="100"/>
      <c r="C30" s="100"/>
      <c r="D30" s="100"/>
      <c r="E30" s="100"/>
      <c r="F30" s="100"/>
      <c r="G30" s="100"/>
      <c r="H30" s="100"/>
      <c r="I30" s="100"/>
      <c r="J30" s="100"/>
      <c r="K30" s="100"/>
      <c r="L30" s="100"/>
      <c r="M30" s="100"/>
      <c r="N30" s="100"/>
      <c r="O30" s="100"/>
      <c r="P30" s="100"/>
      <c r="Q30" s="100"/>
      <c r="R30" s="100"/>
      <c r="S30" s="100"/>
      <c r="T30" s="100"/>
      <c r="U30" s="100"/>
      <c r="V30" s="122"/>
      <c r="W30" s="122"/>
      <c r="X30" s="122"/>
    </row>
    <row r="31" spans="1:25" s="126" customFormat="1" ht="12.75">
      <c r="A31" s="123"/>
      <c r="B31" s="124"/>
      <c r="C31" s="124"/>
      <c r="D31" s="124"/>
      <c r="E31" s="124"/>
      <c r="F31" s="124"/>
      <c r="G31" s="124"/>
      <c r="H31" s="124"/>
      <c r="I31" s="124"/>
      <c r="J31" s="124"/>
      <c r="K31" s="124"/>
      <c r="L31" s="124"/>
      <c r="M31" s="124"/>
      <c r="N31" s="124"/>
      <c r="O31" s="124"/>
      <c r="P31" s="124"/>
      <c r="Q31" s="124"/>
      <c r="R31" s="124"/>
      <c r="S31" s="124"/>
      <c r="T31" s="124"/>
      <c r="U31" s="124"/>
      <c r="V31" s="125"/>
      <c r="W31" s="125"/>
      <c r="X31" s="125"/>
    </row>
    <row r="32" spans="1:25" s="126" customFormat="1" ht="12.75">
      <c r="A32" s="123"/>
      <c r="B32" s="124"/>
      <c r="C32" s="124"/>
      <c r="D32" s="124"/>
      <c r="E32" s="124"/>
      <c r="F32" s="124"/>
      <c r="G32" s="124"/>
      <c r="H32" s="124"/>
      <c r="I32" s="124"/>
      <c r="J32" s="124"/>
      <c r="K32" s="124"/>
      <c r="L32" s="124"/>
      <c r="M32" s="124"/>
      <c r="N32" s="124"/>
      <c r="O32" s="124"/>
      <c r="P32" s="124"/>
      <c r="Q32" s="124"/>
      <c r="R32" s="124"/>
      <c r="S32" s="124"/>
      <c r="T32" s="124"/>
      <c r="U32" s="124"/>
      <c r="V32" s="125"/>
      <c r="W32" s="125"/>
      <c r="X32" s="125"/>
    </row>
    <row r="33" spans="1:24" s="126" customFormat="1" ht="12.75">
      <c r="A33" s="123"/>
      <c r="B33" s="124"/>
      <c r="C33" s="124"/>
      <c r="D33" s="124"/>
      <c r="E33" s="124"/>
      <c r="F33" s="124"/>
      <c r="G33" s="124"/>
      <c r="H33" s="124"/>
      <c r="I33" s="124"/>
      <c r="J33" s="124"/>
      <c r="K33" s="124"/>
      <c r="L33" s="124"/>
      <c r="M33" s="124"/>
      <c r="N33" s="124"/>
      <c r="O33" s="124"/>
      <c r="P33" s="124"/>
      <c r="Q33" s="124"/>
      <c r="R33" s="124"/>
      <c r="S33" s="124"/>
      <c r="T33" s="124"/>
      <c r="U33" s="124"/>
      <c r="V33" s="125"/>
      <c r="W33" s="125"/>
      <c r="X33" s="125"/>
    </row>
    <row r="34" spans="1:24" s="126" customFormat="1" ht="12.75">
      <c r="A34" s="123"/>
      <c r="B34" s="124"/>
      <c r="C34" s="124"/>
      <c r="D34" s="124"/>
      <c r="E34" s="124"/>
      <c r="F34" s="124"/>
      <c r="G34" s="124"/>
      <c r="H34" s="124"/>
      <c r="I34" s="124"/>
      <c r="J34" s="124"/>
      <c r="K34" s="124"/>
      <c r="L34" s="124"/>
      <c r="M34" s="124"/>
      <c r="N34" s="124"/>
      <c r="O34" s="124"/>
      <c r="P34" s="124"/>
      <c r="Q34" s="124"/>
      <c r="R34" s="124"/>
      <c r="S34" s="124"/>
      <c r="T34" s="124"/>
      <c r="U34" s="124"/>
      <c r="V34" s="125"/>
      <c r="W34" s="125"/>
      <c r="X34" s="125"/>
    </row>
    <row r="35" spans="1:24" s="126" customFormat="1" ht="12.75">
      <c r="A35" s="123"/>
      <c r="B35" s="124"/>
      <c r="C35" s="124"/>
      <c r="D35" s="124"/>
      <c r="E35" s="124"/>
      <c r="F35" s="124"/>
      <c r="G35" s="124"/>
      <c r="H35" s="124"/>
      <c r="I35" s="124"/>
      <c r="J35" s="124"/>
      <c r="K35" s="124"/>
      <c r="L35" s="124"/>
      <c r="M35" s="124"/>
      <c r="N35" s="124"/>
      <c r="O35" s="124"/>
      <c r="P35" s="124"/>
      <c r="Q35" s="124"/>
      <c r="R35" s="124"/>
      <c r="S35" s="124"/>
      <c r="T35" s="124"/>
      <c r="U35" s="124"/>
      <c r="V35" s="125"/>
      <c r="W35" s="125"/>
      <c r="X35" s="125"/>
    </row>
    <row r="36" spans="1:24" s="126" customFormat="1" ht="12.75">
      <c r="A36" s="123"/>
      <c r="B36" s="124"/>
      <c r="C36" s="124"/>
      <c r="D36" s="124"/>
      <c r="E36" s="124"/>
      <c r="F36" s="124"/>
      <c r="G36" s="124"/>
      <c r="H36" s="124"/>
      <c r="I36" s="124"/>
      <c r="J36" s="124"/>
      <c r="K36" s="124"/>
      <c r="L36" s="124"/>
      <c r="M36" s="124"/>
      <c r="N36" s="124"/>
      <c r="O36" s="124"/>
      <c r="P36" s="124"/>
      <c r="Q36" s="124"/>
      <c r="R36" s="124"/>
      <c r="S36" s="124"/>
      <c r="T36" s="124"/>
      <c r="U36" s="124"/>
      <c r="V36" s="125"/>
      <c r="W36" s="125"/>
      <c r="X36" s="125"/>
    </row>
    <row r="37" spans="1:24" s="126" customFormat="1">
      <c r="B37" s="127"/>
      <c r="C37" s="127"/>
      <c r="D37" s="127"/>
      <c r="E37" s="127"/>
      <c r="F37" s="127"/>
      <c r="G37" s="127"/>
      <c r="H37" s="127"/>
      <c r="I37" s="127"/>
      <c r="J37" s="127"/>
      <c r="K37" s="127"/>
      <c r="L37" s="127"/>
      <c r="M37" s="127"/>
      <c r="N37" s="127"/>
      <c r="O37" s="127"/>
      <c r="P37" s="127"/>
      <c r="Q37" s="127"/>
      <c r="R37" s="127"/>
      <c r="S37" s="127"/>
      <c r="T37" s="127"/>
      <c r="U37" s="127"/>
      <c r="V37" s="128"/>
      <c r="W37" s="128"/>
      <c r="X37" s="128"/>
    </row>
  </sheetData>
  <mergeCells count="9">
    <mergeCell ref="T6:U6"/>
    <mergeCell ref="A1:Y1"/>
    <mergeCell ref="A2:Y2"/>
    <mergeCell ref="A3:Y3"/>
    <mergeCell ref="A4:Y4"/>
    <mergeCell ref="E5:G5"/>
    <mergeCell ref="T5:U5"/>
    <mergeCell ref="V5:W5"/>
    <mergeCell ref="V6:W6"/>
  </mergeCells>
  <pageMargins left="0.17" right="0.16" top="0.75" bottom="0.75" header="0.3" footer="0.3"/>
  <pageSetup paperSize="9" scale="75" orientation="landscape" horizontalDpi="4294967295" verticalDpi="4294967295" r:id="rId1"/>
  <colBreaks count="1" manualBreakCount="1">
    <brk id="25" max="1048575" man="1"/>
  </colBreaks>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92D050"/>
  </sheetPr>
  <dimension ref="A1:Z35"/>
  <sheetViews>
    <sheetView zoomScaleNormal="100" workbookViewId="0">
      <selection activeCell="L27" sqref="L27"/>
    </sheetView>
  </sheetViews>
  <sheetFormatPr defaultColWidth="8.85546875" defaultRowHeight="12.75"/>
  <cols>
    <col min="1" max="1" width="29.140625" style="15" customWidth="1"/>
    <col min="2" max="11" width="8.85546875" style="24" hidden="1" customWidth="1"/>
    <col min="12" max="12" width="8.85546875" style="24"/>
    <col min="13" max="13" width="10.140625" style="24" customWidth="1"/>
    <col min="14" max="14" width="11.5703125" style="24" customWidth="1"/>
    <col min="15" max="19" width="8.85546875" style="24"/>
    <col min="20" max="21" width="10.28515625" style="24" customWidth="1"/>
    <col min="22" max="22" width="1.28515625" style="24" customWidth="1"/>
    <col min="23" max="24" width="12.5703125" style="24" customWidth="1"/>
    <col min="25" max="25" width="3.85546875" style="24" customWidth="1"/>
    <col min="26" max="26" width="42" style="15" customWidth="1"/>
    <col min="27" max="16384" width="8.85546875" style="15"/>
  </cols>
  <sheetData>
    <row r="1" spans="1:26" ht="19.5">
      <c r="A1" s="299" t="s">
        <v>168</v>
      </c>
      <c r="B1" s="299"/>
      <c r="C1" s="299"/>
      <c r="D1" s="299"/>
      <c r="E1" s="299"/>
      <c r="F1" s="299"/>
      <c r="G1" s="299"/>
      <c r="H1" s="299"/>
      <c r="I1" s="299"/>
      <c r="J1" s="299"/>
      <c r="K1" s="299"/>
      <c r="L1" s="299"/>
      <c r="M1" s="299"/>
      <c r="N1" s="299"/>
      <c r="O1" s="299"/>
      <c r="P1" s="299"/>
      <c r="Q1" s="299"/>
      <c r="R1" s="299"/>
      <c r="S1" s="299"/>
      <c r="T1" s="299"/>
      <c r="U1" s="299"/>
      <c r="V1" s="299"/>
      <c r="W1" s="299"/>
      <c r="X1" s="299"/>
      <c r="Y1" s="299"/>
      <c r="Z1" s="299"/>
    </row>
    <row r="2" spans="1:26">
      <c r="A2" s="316" t="s">
        <v>169</v>
      </c>
      <c r="B2" s="316"/>
      <c r="C2" s="316"/>
      <c r="D2" s="316"/>
      <c r="E2" s="316"/>
      <c r="F2" s="316"/>
      <c r="G2" s="316"/>
      <c r="H2" s="316"/>
      <c r="I2" s="316"/>
      <c r="J2" s="316"/>
      <c r="K2" s="316"/>
      <c r="L2" s="316"/>
      <c r="M2" s="316"/>
      <c r="N2" s="316"/>
      <c r="O2" s="316"/>
      <c r="P2" s="316"/>
      <c r="Q2" s="316"/>
      <c r="R2" s="316"/>
      <c r="S2" s="316"/>
      <c r="T2" s="316"/>
      <c r="U2" s="316"/>
      <c r="V2" s="316"/>
      <c r="W2" s="316"/>
      <c r="X2" s="316"/>
      <c r="Y2" s="316"/>
      <c r="Z2" s="316"/>
    </row>
    <row r="3" spans="1:26" ht="14.25">
      <c r="A3" s="317" t="s">
        <v>14</v>
      </c>
      <c r="B3" s="317"/>
      <c r="C3" s="317"/>
      <c r="D3" s="317"/>
      <c r="E3" s="317"/>
      <c r="F3" s="317"/>
      <c r="G3" s="317"/>
      <c r="H3" s="317"/>
      <c r="I3" s="317"/>
      <c r="J3" s="317"/>
      <c r="K3" s="317"/>
      <c r="L3" s="317"/>
      <c r="M3" s="317"/>
      <c r="N3" s="317"/>
      <c r="O3" s="317"/>
      <c r="P3" s="317"/>
      <c r="Q3" s="317"/>
      <c r="R3" s="317"/>
      <c r="S3" s="317"/>
      <c r="T3" s="317"/>
      <c r="U3" s="317"/>
      <c r="V3" s="317"/>
      <c r="W3" s="317"/>
      <c r="X3" s="317"/>
      <c r="Y3" s="317"/>
      <c r="Z3" s="317"/>
    </row>
    <row r="4" spans="1:26" s="16" customFormat="1">
      <c r="A4" s="302" t="s">
        <v>64</v>
      </c>
      <c r="B4" s="302"/>
      <c r="C4" s="302"/>
      <c r="D4" s="302"/>
      <c r="E4" s="302"/>
      <c r="F4" s="302"/>
      <c r="G4" s="302"/>
      <c r="H4" s="302"/>
      <c r="I4" s="302"/>
      <c r="J4" s="302"/>
      <c r="K4" s="302"/>
      <c r="L4" s="302"/>
      <c r="M4" s="302"/>
      <c r="N4" s="302"/>
      <c r="O4" s="302"/>
      <c r="P4" s="302"/>
      <c r="Q4" s="302"/>
      <c r="R4" s="302"/>
      <c r="S4" s="302"/>
      <c r="T4" s="302"/>
      <c r="U4" s="302"/>
      <c r="V4" s="302"/>
      <c r="W4" s="302"/>
      <c r="X4" s="302"/>
      <c r="Y4" s="302"/>
      <c r="Z4" s="302"/>
    </row>
    <row r="5" spans="1:26" s="16" customFormat="1" ht="18.75">
      <c r="A5" s="154"/>
      <c r="B5" s="154"/>
      <c r="D5" s="79" t="s">
        <v>1</v>
      </c>
      <c r="E5" s="329" t="s">
        <v>5</v>
      </c>
      <c r="F5" s="329"/>
      <c r="G5" s="329"/>
      <c r="H5" s="80"/>
      <c r="I5" s="80"/>
      <c r="J5" s="80"/>
      <c r="K5" s="80"/>
      <c r="L5" s="80"/>
      <c r="M5" s="80"/>
      <c r="N5" s="80"/>
      <c r="O5" s="80"/>
      <c r="P5" s="80"/>
      <c r="Q5" s="80"/>
      <c r="R5" s="80"/>
      <c r="S5" s="80"/>
      <c r="T5" s="327" t="s">
        <v>102</v>
      </c>
      <c r="U5" s="328"/>
      <c r="V5" s="81"/>
      <c r="W5" s="330" t="s">
        <v>61</v>
      </c>
      <c r="X5" s="330"/>
      <c r="Y5" s="134"/>
    </row>
    <row r="6" spans="1:26" s="31" customFormat="1" ht="15">
      <c r="A6" s="82" t="s">
        <v>0</v>
      </c>
      <c r="D6" s="47" t="s">
        <v>103</v>
      </c>
      <c r="E6" s="83" t="s">
        <v>4</v>
      </c>
      <c r="F6" s="83" t="s">
        <v>4</v>
      </c>
      <c r="G6" s="83" t="s">
        <v>4</v>
      </c>
      <c r="H6" s="83"/>
      <c r="I6" s="83"/>
      <c r="J6" s="83"/>
      <c r="K6" s="83" t="s">
        <v>3</v>
      </c>
      <c r="L6" s="83" t="s">
        <v>3</v>
      </c>
      <c r="M6" s="83" t="s">
        <v>3</v>
      </c>
      <c r="N6" s="13" t="s">
        <v>3</v>
      </c>
      <c r="O6" s="161" t="s">
        <v>3</v>
      </c>
      <c r="P6" s="161" t="s">
        <v>171</v>
      </c>
      <c r="Q6" s="161" t="s">
        <v>155</v>
      </c>
      <c r="R6" s="161" t="s">
        <v>155</v>
      </c>
      <c r="S6" s="161" t="s">
        <v>155</v>
      </c>
      <c r="T6" s="325" t="s">
        <v>66</v>
      </c>
      <c r="U6" s="326"/>
      <c r="V6" s="131"/>
      <c r="W6" s="324" t="s">
        <v>19</v>
      </c>
      <c r="X6" s="324"/>
      <c r="Y6" s="135"/>
      <c r="Z6" s="148" t="s">
        <v>2</v>
      </c>
    </row>
    <row r="7" spans="1:26" s="87" customFormat="1">
      <c r="A7" s="84"/>
      <c r="B7" s="84">
        <v>2007</v>
      </c>
      <c r="C7" s="84">
        <v>2008</v>
      </c>
      <c r="D7" s="84">
        <v>2009</v>
      </c>
      <c r="E7" s="84">
        <v>2010</v>
      </c>
      <c r="F7" s="84">
        <v>2011</v>
      </c>
      <c r="G7" s="84">
        <v>2012</v>
      </c>
      <c r="H7" s="84">
        <v>2009</v>
      </c>
      <c r="I7" s="84">
        <v>2010</v>
      </c>
      <c r="J7" s="84">
        <v>2011</v>
      </c>
      <c r="K7" s="84">
        <v>2012</v>
      </c>
      <c r="L7" s="84">
        <v>2013</v>
      </c>
      <c r="M7" s="84">
        <v>2014</v>
      </c>
      <c r="N7" s="14">
        <v>2015</v>
      </c>
      <c r="O7" s="162">
        <v>2016</v>
      </c>
      <c r="P7" s="162">
        <v>2017</v>
      </c>
      <c r="Q7" s="162">
        <v>2018</v>
      </c>
      <c r="R7" s="162">
        <v>2019</v>
      </c>
      <c r="S7" s="162">
        <v>2020</v>
      </c>
      <c r="T7" s="204">
        <v>2016</v>
      </c>
      <c r="U7" s="217">
        <v>2017</v>
      </c>
      <c r="V7" s="84"/>
      <c r="W7" s="85" t="s">
        <v>154</v>
      </c>
      <c r="X7" s="223" t="s">
        <v>167</v>
      </c>
      <c r="Y7" s="86"/>
      <c r="Z7" s="86"/>
    </row>
    <row r="8" spans="1:26" s="19" customFormat="1" ht="18" customHeight="1">
      <c r="A8" s="33" t="s">
        <v>104</v>
      </c>
      <c r="B8" s="88">
        <f t="shared" ref="B8:O8" si="0">SUM(B9,B28)</f>
        <v>1640.8000000000002</v>
      </c>
      <c r="C8" s="88">
        <f t="shared" si="0"/>
        <v>2712.7999999999997</v>
      </c>
      <c r="D8" s="88">
        <f t="shared" si="0"/>
        <v>2938.9670029999997</v>
      </c>
      <c r="E8" s="88">
        <f t="shared" si="0"/>
        <v>1791.4</v>
      </c>
      <c r="F8" s="88">
        <f t="shared" si="0"/>
        <v>1261.8</v>
      </c>
      <c r="G8" s="88">
        <f t="shared" si="0"/>
        <v>1398.8000000000002</v>
      </c>
      <c r="H8" s="88">
        <f t="shared" si="0"/>
        <v>2214.6986589999997</v>
      </c>
      <c r="I8" s="88">
        <f t="shared" si="0"/>
        <v>2445.9177938999997</v>
      </c>
      <c r="J8" s="88">
        <f t="shared" si="0"/>
        <v>3188.9832150000002</v>
      </c>
      <c r="K8" s="88">
        <f t="shared" si="0"/>
        <v>2793.5176700000002</v>
      </c>
      <c r="L8" s="137">
        <f t="shared" si="0"/>
        <v>1957.5564169399997</v>
      </c>
      <c r="M8" s="137">
        <f t="shared" si="0"/>
        <v>2462.8850039999998</v>
      </c>
      <c r="N8" s="137">
        <f t="shared" si="0"/>
        <v>4658.3671360299995</v>
      </c>
      <c r="O8" s="214">
        <f t="shared" si="0"/>
        <v>0</v>
      </c>
      <c r="P8" s="214">
        <f t="shared" ref="P8" si="1">SUM(P9,P28)</f>
        <v>0</v>
      </c>
      <c r="Q8" s="214">
        <f t="shared" ref="Q8:R8" si="2">SUM(Q9,Q28)</f>
        <v>0</v>
      </c>
      <c r="R8" s="214">
        <f t="shared" si="2"/>
        <v>0</v>
      </c>
      <c r="S8" s="214">
        <f t="shared" ref="S8" si="3">SUM(S9,S28)</f>
        <v>0</v>
      </c>
      <c r="T8" s="205"/>
      <c r="U8" s="218"/>
      <c r="V8" s="89"/>
      <c r="W8" s="90">
        <f t="shared" ref="W8:X28" si="4">+((O8/N8)-1)*100</f>
        <v>-100</v>
      </c>
      <c r="X8" s="224" t="e">
        <f>+((P8/O8)-1)*100</f>
        <v>#DIV/0!</v>
      </c>
      <c r="Z8" s="36" t="s">
        <v>105</v>
      </c>
    </row>
    <row r="9" spans="1:26" s="19" customFormat="1" ht="18" customHeight="1">
      <c r="A9" s="33" t="s">
        <v>106</v>
      </c>
      <c r="B9" s="88">
        <f t="shared" ref="B9:O9" si="5">SUM(B10,B15,B21)</f>
        <v>1765.3000000000002</v>
      </c>
      <c r="C9" s="88">
        <f t="shared" si="5"/>
        <v>2879.2</v>
      </c>
      <c r="D9" s="88">
        <f t="shared" si="5"/>
        <v>3007.8670029999998</v>
      </c>
      <c r="E9" s="88">
        <f t="shared" si="5"/>
        <v>2038.9</v>
      </c>
      <c r="F9" s="88">
        <f t="shared" si="5"/>
        <v>1537</v>
      </c>
      <c r="G9" s="88">
        <f t="shared" si="5"/>
        <v>1645.0000000000002</v>
      </c>
      <c r="H9" s="88">
        <f t="shared" si="5"/>
        <v>2365.5349919999999</v>
      </c>
      <c r="I9" s="88">
        <f t="shared" si="5"/>
        <v>2627.2177938999998</v>
      </c>
      <c r="J9" s="88">
        <f t="shared" si="5"/>
        <v>3587.9832150000002</v>
      </c>
      <c r="K9" s="88">
        <f t="shared" si="5"/>
        <v>2883.7493060000002</v>
      </c>
      <c r="L9" s="137">
        <f t="shared" si="5"/>
        <v>2093.0414239399997</v>
      </c>
      <c r="M9" s="137">
        <f t="shared" si="5"/>
        <v>2585.0470539999997</v>
      </c>
      <c r="N9" s="137">
        <f t="shared" si="5"/>
        <v>4762.3853820299992</v>
      </c>
      <c r="O9" s="214">
        <f t="shared" si="5"/>
        <v>0</v>
      </c>
      <c r="P9" s="214">
        <f t="shared" ref="P9:Q9" si="6">SUM(P10,P15,P21)</f>
        <v>0</v>
      </c>
      <c r="Q9" s="214">
        <f t="shared" si="6"/>
        <v>0</v>
      </c>
      <c r="R9" s="214">
        <f t="shared" ref="R9:S9" si="7">SUM(R10,R15,R21)</f>
        <v>0</v>
      </c>
      <c r="S9" s="214">
        <f t="shared" si="7"/>
        <v>0</v>
      </c>
      <c r="T9" s="206" t="e">
        <f>+(O9/$O$9)*100</f>
        <v>#DIV/0!</v>
      </c>
      <c r="U9" s="219" t="e">
        <f>+(P9/$O$9)*100</f>
        <v>#DIV/0!</v>
      </c>
      <c r="V9" s="89"/>
      <c r="W9" s="90">
        <f t="shared" si="4"/>
        <v>-100</v>
      </c>
      <c r="X9" s="224" t="e">
        <f t="shared" si="4"/>
        <v>#DIV/0!</v>
      </c>
      <c r="Z9" s="36" t="s">
        <v>107</v>
      </c>
    </row>
    <row r="10" spans="1:26" s="19" customFormat="1" ht="18" customHeight="1">
      <c r="A10" s="33" t="s">
        <v>108</v>
      </c>
      <c r="B10" s="88">
        <f t="shared" ref="B10:O10" si="8">SUM(B11:B14)</f>
        <v>808.9</v>
      </c>
      <c r="C10" s="88">
        <f t="shared" si="8"/>
        <v>498.79999999999995</v>
      </c>
      <c r="D10" s="88">
        <f t="shared" si="8"/>
        <v>867.71007999999995</v>
      </c>
      <c r="E10" s="88">
        <f t="shared" si="8"/>
        <v>495.4</v>
      </c>
      <c r="F10" s="88">
        <f t="shared" si="8"/>
        <v>381.3</v>
      </c>
      <c r="G10" s="88">
        <f t="shared" si="8"/>
        <v>709.7</v>
      </c>
      <c r="H10" s="88">
        <f t="shared" si="8"/>
        <v>696.52141600000004</v>
      </c>
      <c r="I10" s="88">
        <f t="shared" si="8"/>
        <v>635.70163600000001</v>
      </c>
      <c r="J10" s="88">
        <f t="shared" si="8"/>
        <v>1285.636868</v>
      </c>
      <c r="K10" s="88">
        <f t="shared" si="8"/>
        <v>1139.8289990000001</v>
      </c>
      <c r="L10" s="137">
        <f t="shared" si="8"/>
        <v>462.58586595999998</v>
      </c>
      <c r="M10" s="137">
        <f t="shared" si="8"/>
        <v>679.01722999999993</v>
      </c>
      <c r="N10" s="137">
        <f t="shared" si="8"/>
        <v>2079.0821064299998</v>
      </c>
      <c r="O10" s="214">
        <f t="shared" si="8"/>
        <v>0</v>
      </c>
      <c r="P10" s="214">
        <f t="shared" ref="P10:Q10" si="9">SUM(P11:P14)</f>
        <v>0</v>
      </c>
      <c r="Q10" s="214">
        <f t="shared" si="9"/>
        <v>0</v>
      </c>
      <c r="R10" s="214">
        <f t="shared" ref="R10:S10" si="10">SUM(R11:R14)</f>
        <v>0</v>
      </c>
      <c r="S10" s="214">
        <f t="shared" si="10"/>
        <v>0</v>
      </c>
      <c r="T10" s="206" t="e">
        <f t="shared" ref="T10:U31" si="11">+(O10/$O$9)*100</f>
        <v>#DIV/0!</v>
      </c>
      <c r="U10" s="219" t="e">
        <f t="shared" si="11"/>
        <v>#DIV/0!</v>
      </c>
      <c r="V10" s="89"/>
      <c r="W10" s="90">
        <f t="shared" si="4"/>
        <v>-100</v>
      </c>
      <c r="X10" s="224" t="e">
        <f t="shared" si="4"/>
        <v>#DIV/0!</v>
      </c>
      <c r="Z10" s="36" t="s">
        <v>109</v>
      </c>
    </row>
    <row r="11" spans="1:26" s="20" customFormat="1" ht="18" customHeight="1">
      <c r="A11" s="37" t="s">
        <v>110</v>
      </c>
      <c r="B11" s="150">
        <v>465.50000000000006</v>
      </c>
      <c r="C11" s="91">
        <v>300.39999999999998</v>
      </c>
      <c r="D11" s="91">
        <v>659</v>
      </c>
      <c r="E11" s="91">
        <v>197</v>
      </c>
      <c r="F11" s="91">
        <v>230.9</v>
      </c>
      <c r="G11" s="91">
        <v>523.29999999999995</v>
      </c>
      <c r="H11" s="91">
        <v>557.45811400000002</v>
      </c>
      <c r="I11" s="91">
        <v>524.06922099999997</v>
      </c>
      <c r="J11" s="91">
        <v>923.85471400000006</v>
      </c>
      <c r="K11" s="91">
        <v>967.18460399999992</v>
      </c>
      <c r="L11" s="138">
        <v>254.18770169000001</v>
      </c>
      <c r="M11" s="138">
        <v>432.35995500000001</v>
      </c>
      <c r="N11" s="138">
        <v>1056.8424239999999</v>
      </c>
      <c r="O11" s="210"/>
      <c r="P11" s="210"/>
      <c r="Q11" s="210"/>
      <c r="R11" s="210"/>
      <c r="S11" s="210"/>
      <c r="T11" s="207" t="e">
        <f t="shared" si="11"/>
        <v>#DIV/0!</v>
      </c>
      <c r="U11" s="220" t="e">
        <f t="shared" si="11"/>
        <v>#DIV/0!</v>
      </c>
      <c r="V11" s="92"/>
      <c r="W11" s="93">
        <f t="shared" si="4"/>
        <v>-100</v>
      </c>
      <c r="X11" s="225" t="e">
        <f t="shared" si="4"/>
        <v>#DIV/0!</v>
      </c>
      <c r="Z11" s="30" t="s">
        <v>70</v>
      </c>
    </row>
    <row r="12" spans="1:26" s="20" customFormat="1" ht="18" customHeight="1">
      <c r="A12" s="37" t="s">
        <v>111</v>
      </c>
      <c r="B12" s="150">
        <v>71.099999999999994</v>
      </c>
      <c r="C12" s="91">
        <v>37.299999999999997</v>
      </c>
      <c r="D12" s="91">
        <v>41.634203999999997</v>
      </c>
      <c r="E12" s="91">
        <v>33</v>
      </c>
      <c r="F12" s="91">
        <v>26.7</v>
      </c>
      <c r="G12" s="91">
        <v>21.2</v>
      </c>
      <c r="H12" s="91">
        <v>39.637543000000001</v>
      </c>
      <c r="I12" s="91">
        <v>18.016133</v>
      </c>
      <c r="J12" s="91">
        <v>136.47622799999999</v>
      </c>
      <c r="K12" s="91">
        <v>12.031162</v>
      </c>
      <c r="L12" s="138">
        <v>2.399518</v>
      </c>
      <c r="M12" s="138">
        <v>88.919511</v>
      </c>
      <c r="N12" s="138">
        <v>172.01989833000002</v>
      </c>
      <c r="O12" s="210"/>
      <c r="P12" s="210"/>
      <c r="Q12" s="210"/>
      <c r="R12" s="210"/>
      <c r="S12" s="210"/>
      <c r="T12" s="207" t="e">
        <f t="shared" si="11"/>
        <v>#DIV/0!</v>
      </c>
      <c r="U12" s="220" t="e">
        <f t="shared" si="11"/>
        <v>#DIV/0!</v>
      </c>
      <c r="V12" s="92"/>
      <c r="W12" s="93">
        <f t="shared" si="4"/>
        <v>-100</v>
      </c>
      <c r="X12" s="225" t="e">
        <f t="shared" si="4"/>
        <v>#DIV/0!</v>
      </c>
      <c r="Z12" s="30" t="s">
        <v>72</v>
      </c>
    </row>
    <row r="13" spans="1:26" s="19" customFormat="1" ht="18" customHeight="1">
      <c r="A13" s="37" t="s">
        <v>112</v>
      </c>
      <c r="B13" s="91">
        <v>225.4</v>
      </c>
      <c r="C13" s="91">
        <v>149.1</v>
      </c>
      <c r="D13" s="91">
        <v>145.506271</v>
      </c>
      <c r="E13" s="91">
        <v>227.5</v>
      </c>
      <c r="F13" s="91">
        <v>86.3</v>
      </c>
      <c r="G13" s="91">
        <v>118</v>
      </c>
      <c r="H13" s="91">
        <v>73.816480999999996</v>
      </c>
      <c r="I13" s="91">
        <v>59.56033</v>
      </c>
      <c r="J13" s="91">
        <v>67.595481000000007</v>
      </c>
      <c r="K13" s="91">
        <v>55.118071999999998</v>
      </c>
      <c r="L13" s="138">
        <v>66.5179136</v>
      </c>
      <c r="M13" s="138">
        <v>105.52811699999999</v>
      </c>
      <c r="N13" s="138">
        <v>169.18427500000001</v>
      </c>
      <c r="O13" s="210"/>
      <c r="P13" s="210"/>
      <c r="Q13" s="210"/>
      <c r="R13" s="210"/>
      <c r="S13" s="210"/>
      <c r="T13" s="207" t="e">
        <f t="shared" si="11"/>
        <v>#DIV/0!</v>
      </c>
      <c r="U13" s="220" t="e">
        <f t="shared" si="11"/>
        <v>#DIV/0!</v>
      </c>
      <c r="V13" s="92"/>
      <c r="W13" s="93">
        <f t="shared" si="4"/>
        <v>-100</v>
      </c>
      <c r="X13" s="225" t="e">
        <f t="shared" si="4"/>
        <v>#DIV/0!</v>
      </c>
      <c r="Z13" s="30" t="s">
        <v>113</v>
      </c>
    </row>
    <row r="14" spans="1:26" s="20" customFormat="1" ht="18" customHeight="1">
      <c r="A14" s="37" t="s">
        <v>114</v>
      </c>
      <c r="B14" s="150">
        <v>46.9</v>
      </c>
      <c r="C14" s="91">
        <v>12</v>
      </c>
      <c r="D14" s="91">
        <v>21.569604999999999</v>
      </c>
      <c r="E14" s="91">
        <v>37.9</v>
      </c>
      <c r="F14" s="91">
        <v>37.4</v>
      </c>
      <c r="G14" s="91">
        <v>47.2</v>
      </c>
      <c r="H14" s="91">
        <v>25.609278</v>
      </c>
      <c r="I14" s="91">
        <v>34.055951999999998</v>
      </c>
      <c r="J14" s="91">
        <v>157.71044499999999</v>
      </c>
      <c r="K14" s="91">
        <v>105.495161</v>
      </c>
      <c r="L14" s="139">
        <v>139.48073266999998</v>
      </c>
      <c r="M14" s="139">
        <v>52.209646999999997</v>
      </c>
      <c r="N14" s="139">
        <v>681.03550910000001</v>
      </c>
      <c r="O14" s="211"/>
      <c r="P14" s="211"/>
      <c r="Q14" s="211"/>
      <c r="R14" s="211"/>
      <c r="S14" s="211"/>
      <c r="T14" s="207" t="e">
        <f t="shared" si="11"/>
        <v>#DIV/0!</v>
      </c>
      <c r="U14" s="220" t="e">
        <f t="shared" si="11"/>
        <v>#DIV/0!</v>
      </c>
      <c r="V14" s="92"/>
      <c r="W14" s="93">
        <f t="shared" si="4"/>
        <v>-100</v>
      </c>
      <c r="X14" s="225" t="e">
        <f t="shared" si="4"/>
        <v>#DIV/0!</v>
      </c>
      <c r="Z14" s="30" t="s">
        <v>76</v>
      </c>
    </row>
    <row r="15" spans="1:26" s="19" customFormat="1" ht="18" customHeight="1">
      <c r="A15" s="33" t="s">
        <v>115</v>
      </c>
      <c r="B15" s="88">
        <f>SUM(B16:B20)</f>
        <v>626.5</v>
      </c>
      <c r="C15" s="88">
        <f t="shared" ref="C15:P15" si="12">SUM(C16:C20)</f>
        <v>1443.3</v>
      </c>
      <c r="D15" s="88">
        <f t="shared" si="12"/>
        <v>849.36242600000003</v>
      </c>
      <c r="E15" s="88">
        <f t="shared" si="12"/>
        <v>896.5</v>
      </c>
      <c r="F15" s="88">
        <f t="shared" si="12"/>
        <v>834.6</v>
      </c>
      <c r="G15" s="88">
        <f t="shared" si="12"/>
        <v>734.1</v>
      </c>
      <c r="H15" s="88">
        <f t="shared" si="12"/>
        <v>1087.278699</v>
      </c>
      <c r="I15" s="88">
        <f t="shared" si="12"/>
        <v>1816.638207</v>
      </c>
      <c r="J15" s="88">
        <f t="shared" si="12"/>
        <v>1383.244537</v>
      </c>
      <c r="K15" s="88">
        <f t="shared" si="12"/>
        <v>1081.7647489999999</v>
      </c>
      <c r="L15" s="137">
        <f t="shared" si="12"/>
        <v>1108.2257616500001</v>
      </c>
      <c r="M15" s="137">
        <f t="shared" si="12"/>
        <v>1155.5744520000001</v>
      </c>
      <c r="N15" s="137">
        <f t="shared" si="12"/>
        <v>1812.3305333000001</v>
      </c>
      <c r="O15" s="214">
        <f t="shared" si="12"/>
        <v>0</v>
      </c>
      <c r="P15" s="214">
        <f t="shared" si="12"/>
        <v>0</v>
      </c>
      <c r="Q15" s="214">
        <f t="shared" ref="Q15:R15" si="13">SUM(Q16:Q20)</f>
        <v>0</v>
      </c>
      <c r="R15" s="214">
        <f t="shared" si="13"/>
        <v>0</v>
      </c>
      <c r="S15" s="214">
        <f t="shared" ref="S15" si="14">SUM(S16:S20)</f>
        <v>0</v>
      </c>
      <c r="T15" s="206" t="e">
        <f t="shared" si="11"/>
        <v>#DIV/0!</v>
      </c>
      <c r="U15" s="219" t="e">
        <f t="shared" si="11"/>
        <v>#DIV/0!</v>
      </c>
      <c r="V15" s="89"/>
      <c r="W15" s="90">
        <f t="shared" si="4"/>
        <v>-100</v>
      </c>
      <c r="X15" s="224" t="e">
        <f t="shared" si="4"/>
        <v>#DIV/0!</v>
      </c>
      <c r="Z15" s="36" t="s">
        <v>116</v>
      </c>
    </row>
    <row r="16" spans="1:26" s="20" customFormat="1" ht="18" customHeight="1">
      <c r="A16" s="37" t="s">
        <v>117</v>
      </c>
      <c r="B16" s="150">
        <v>164.4</v>
      </c>
      <c r="C16" s="91">
        <v>163.4</v>
      </c>
      <c r="D16" s="91">
        <v>108.19257</v>
      </c>
      <c r="E16" s="91">
        <v>68.400000000000006</v>
      </c>
      <c r="F16" s="91">
        <v>36.6</v>
      </c>
      <c r="G16" s="91">
        <v>29.5</v>
      </c>
      <c r="H16" s="91">
        <v>133.543679</v>
      </c>
      <c r="I16" s="91">
        <v>54.517771000000003</v>
      </c>
      <c r="J16" s="91">
        <v>95.493024000000005</v>
      </c>
      <c r="K16" s="91">
        <v>108.05040099999999</v>
      </c>
      <c r="L16" s="138">
        <v>74.973524780000005</v>
      </c>
      <c r="M16" s="138">
        <v>100.486884</v>
      </c>
      <c r="N16" s="138">
        <v>272.82640853000004</v>
      </c>
      <c r="O16" s="210"/>
      <c r="P16" s="210"/>
      <c r="Q16" s="210"/>
      <c r="R16" s="210"/>
      <c r="S16" s="210"/>
      <c r="T16" s="207" t="e">
        <f t="shared" si="11"/>
        <v>#DIV/0!</v>
      </c>
      <c r="U16" s="220" t="e">
        <f t="shared" si="11"/>
        <v>#DIV/0!</v>
      </c>
      <c r="V16" s="92"/>
      <c r="W16" s="93">
        <f t="shared" si="4"/>
        <v>-100</v>
      </c>
      <c r="X16" s="225" t="e">
        <f t="shared" si="4"/>
        <v>#DIV/0!</v>
      </c>
      <c r="Z16" s="30" t="s">
        <v>80</v>
      </c>
    </row>
    <row r="17" spans="1:26" s="19" customFormat="1" ht="18" customHeight="1">
      <c r="A17" s="37" t="s">
        <v>118</v>
      </c>
      <c r="B17" s="150">
        <v>99.9</v>
      </c>
      <c r="C17" s="91">
        <v>289.10000000000002</v>
      </c>
      <c r="D17" s="91">
        <v>46.711798999999999</v>
      </c>
      <c r="E17" s="91">
        <v>45.4</v>
      </c>
      <c r="F17" s="91">
        <v>27.2</v>
      </c>
      <c r="G17" s="91">
        <v>25.5</v>
      </c>
      <c r="H17" s="91">
        <v>68.366566000000006</v>
      </c>
      <c r="I17" s="91">
        <v>43.913061999999996</v>
      </c>
      <c r="J17" s="91">
        <v>11.563515000000001</v>
      </c>
      <c r="K17" s="91">
        <v>7.7340239999999998</v>
      </c>
      <c r="L17" s="138">
        <v>21.803670879999999</v>
      </c>
      <c r="M17" s="138">
        <v>142.83905899999999</v>
      </c>
      <c r="N17" s="138">
        <v>292.79733672000003</v>
      </c>
      <c r="O17" s="210"/>
      <c r="P17" s="210"/>
      <c r="Q17" s="210"/>
      <c r="R17" s="210"/>
      <c r="S17" s="210"/>
      <c r="T17" s="207" t="e">
        <f t="shared" si="11"/>
        <v>#DIV/0!</v>
      </c>
      <c r="U17" s="220" t="e">
        <f t="shared" si="11"/>
        <v>#DIV/0!</v>
      </c>
      <c r="V17" s="92"/>
      <c r="W17" s="93">
        <f t="shared" si="4"/>
        <v>-100</v>
      </c>
      <c r="X17" s="225" t="e">
        <f t="shared" si="4"/>
        <v>#DIV/0!</v>
      </c>
      <c r="Z17" s="30" t="s">
        <v>119</v>
      </c>
    </row>
    <row r="18" spans="1:26" s="19" customFormat="1" ht="18" customHeight="1">
      <c r="A18" s="37" t="s">
        <v>120</v>
      </c>
      <c r="B18" s="150">
        <v>4.0999999999999996</v>
      </c>
      <c r="C18" s="91">
        <v>2.2000000000000002</v>
      </c>
      <c r="D18" s="91">
        <v>0.68482100000000001</v>
      </c>
      <c r="E18" s="91">
        <v>8.4</v>
      </c>
      <c r="F18" s="91">
        <v>0.7</v>
      </c>
      <c r="G18" s="91">
        <v>1</v>
      </c>
      <c r="H18" s="91">
        <v>0.54541200000000001</v>
      </c>
      <c r="I18" s="91">
        <v>0.43177199999999999</v>
      </c>
      <c r="J18" s="91">
        <v>2.5820259999999999</v>
      </c>
      <c r="K18" s="91">
        <v>0.556778</v>
      </c>
      <c r="L18" s="138">
        <v>1.21422221</v>
      </c>
      <c r="M18" s="138">
        <v>1.0108220000000001</v>
      </c>
      <c r="N18" s="138">
        <v>9.9215180000000007</v>
      </c>
      <c r="O18" s="210"/>
      <c r="P18" s="210"/>
      <c r="Q18" s="210"/>
      <c r="R18" s="210"/>
      <c r="S18" s="210"/>
      <c r="T18" s="207" t="e">
        <f t="shared" si="11"/>
        <v>#DIV/0!</v>
      </c>
      <c r="U18" s="220" t="e">
        <f t="shared" si="11"/>
        <v>#DIV/0!</v>
      </c>
      <c r="V18" s="92"/>
      <c r="W18" s="93">
        <f t="shared" si="4"/>
        <v>-100</v>
      </c>
      <c r="X18" s="225" t="e">
        <f t="shared" si="4"/>
        <v>#DIV/0!</v>
      </c>
      <c r="Z18" s="30" t="s">
        <v>84</v>
      </c>
    </row>
    <row r="19" spans="1:26" s="20" customFormat="1" ht="18" customHeight="1">
      <c r="A19" s="37" t="s">
        <v>121</v>
      </c>
      <c r="B19" s="150">
        <v>358.1</v>
      </c>
      <c r="C19" s="91">
        <v>988.6</v>
      </c>
      <c r="D19" s="91">
        <v>693.773236</v>
      </c>
      <c r="E19" s="91">
        <v>774.3</v>
      </c>
      <c r="F19" s="91">
        <v>770.1</v>
      </c>
      <c r="G19" s="91">
        <v>678.1</v>
      </c>
      <c r="H19" s="91">
        <v>884.82304199999999</v>
      </c>
      <c r="I19" s="91">
        <v>1717.7756019999999</v>
      </c>
      <c r="J19" s="91">
        <v>1273.6059720000001</v>
      </c>
      <c r="K19" s="91">
        <v>965.42354599999999</v>
      </c>
      <c r="L19" s="139">
        <v>975.31386029999999</v>
      </c>
      <c r="M19" s="139">
        <v>768.75352099999998</v>
      </c>
      <c r="N19" s="139">
        <v>0</v>
      </c>
      <c r="O19" s="211"/>
      <c r="P19" s="211"/>
      <c r="Q19" s="211"/>
      <c r="R19" s="211"/>
      <c r="S19" s="211"/>
      <c r="T19" s="208">
        <v>0</v>
      </c>
      <c r="U19" s="221">
        <v>0</v>
      </c>
      <c r="V19" s="92"/>
      <c r="W19" s="160">
        <v>0</v>
      </c>
      <c r="X19" s="226">
        <v>0</v>
      </c>
      <c r="Z19" s="30" t="s">
        <v>122</v>
      </c>
    </row>
    <row r="20" spans="1:26" s="20" customFormat="1" ht="18" customHeight="1">
      <c r="A20" s="37" t="s">
        <v>149</v>
      </c>
      <c r="B20" s="150"/>
      <c r="C20" s="38">
        <v>0</v>
      </c>
      <c r="D20" s="38">
        <v>0</v>
      </c>
      <c r="E20" s="38">
        <v>0</v>
      </c>
      <c r="F20" s="38">
        <v>0</v>
      </c>
      <c r="G20" s="38">
        <v>0</v>
      </c>
      <c r="H20" s="38">
        <v>0</v>
      </c>
      <c r="I20" s="38">
        <v>0</v>
      </c>
      <c r="J20" s="38">
        <v>0</v>
      </c>
      <c r="K20" s="38">
        <v>0</v>
      </c>
      <c r="L20" s="139">
        <v>34.920483480000001</v>
      </c>
      <c r="M20" s="139">
        <v>142.48416599999999</v>
      </c>
      <c r="N20" s="139">
        <v>1236.78527005</v>
      </c>
      <c r="O20" s="211"/>
      <c r="P20" s="211"/>
      <c r="Q20" s="211"/>
      <c r="R20" s="211"/>
      <c r="S20" s="211"/>
      <c r="T20" s="207" t="e">
        <f t="shared" si="11"/>
        <v>#DIV/0!</v>
      </c>
      <c r="U20" s="220" t="e">
        <f t="shared" si="11"/>
        <v>#DIV/0!</v>
      </c>
      <c r="V20" s="92"/>
      <c r="W20" s="93">
        <f t="shared" si="4"/>
        <v>-100</v>
      </c>
      <c r="X20" s="225" t="e">
        <f t="shared" si="4"/>
        <v>#DIV/0!</v>
      </c>
      <c r="Z20" s="94" t="s">
        <v>151</v>
      </c>
    </row>
    <row r="21" spans="1:26" s="19" customFormat="1" ht="18" customHeight="1">
      <c r="A21" s="33" t="s">
        <v>87</v>
      </c>
      <c r="B21" s="34">
        <f t="shared" ref="B21:O21" si="15">SUM(B22:B27)</f>
        <v>329.9</v>
      </c>
      <c r="C21" s="34">
        <f t="shared" si="15"/>
        <v>937.10000000000014</v>
      </c>
      <c r="D21" s="34">
        <f t="shared" si="15"/>
        <v>1290.7944969999999</v>
      </c>
      <c r="E21" s="34">
        <f t="shared" si="15"/>
        <v>647</v>
      </c>
      <c r="F21" s="34">
        <f t="shared" si="15"/>
        <v>321.10000000000002</v>
      </c>
      <c r="G21" s="34">
        <f t="shared" si="15"/>
        <v>201.2</v>
      </c>
      <c r="H21" s="34">
        <f t="shared" si="15"/>
        <v>581.73487699999998</v>
      </c>
      <c r="I21" s="34">
        <f t="shared" si="15"/>
        <v>174.8779509</v>
      </c>
      <c r="J21" s="34">
        <f t="shared" si="15"/>
        <v>919.10181</v>
      </c>
      <c r="K21" s="34">
        <f t="shared" si="15"/>
        <v>662.15555800000004</v>
      </c>
      <c r="L21" s="140">
        <f t="shared" si="15"/>
        <v>522.22979633</v>
      </c>
      <c r="M21" s="140">
        <f t="shared" si="15"/>
        <v>750.4553719999999</v>
      </c>
      <c r="N21" s="140">
        <f t="shared" si="15"/>
        <v>870.97274229999994</v>
      </c>
      <c r="O21" s="215">
        <f t="shared" si="15"/>
        <v>0</v>
      </c>
      <c r="P21" s="215">
        <f t="shared" ref="P21:Q21" si="16">SUM(P22:P27)</f>
        <v>0</v>
      </c>
      <c r="Q21" s="215">
        <f t="shared" si="16"/>
        <v>0</v>
      </c>
      <c r="R21" s="215">
        <f t="shared" ref="R21:S21" si="17">SUM(R22:R27)</f>
        <v>0</v>
      </c>
      <c r="S21" s="215">
        <f t="shared" si="17"/>
        <v>0</v>
      </c>
      <c r="T21" s="206" t="e">
        <f t="shared" si="11"/>
        <v>#DIV/0!</v>
      </c>
      <c r="U21" s="219" t="e">
        <f t="shared" si="11"/>
        <v>#DIV/0!</v>
      </c>
      <c r="V21" s="89"/>
      <c r="W21" s="90">
        <f t="shared" si="4"/>
        <v>-100</v>
      </c>
      <c r="X21" s="224" t="e">
        <f t="shared" si="4"/>
        <v>#DIV/0!</v>
      </c>
      <c r="Z21" s="36" t="s">
        <v>44</v>
      </c>
    </row>
    <row r="22" spans="1:26" s="20" customFormat="1" ht="18" customHeight="1">
      <c r="A22" s="37" t="s">
        <v>123</v>
      </c>
      <c r="B22" s="150">
        <v>154.1</v>
      </c>
      <c r="C22" s="91">
        <v>129.69999999999999</v>
      </c>
      <c r="D22" s="91">
        <v>42.402295000000002</v>
      </c>
      <c r="E22" s="91">
        <v>60.5</v>
      </c>
      <c r="F22" s="91">
        <v>71.900000000000006</v>
      </c>
      <c r="G22" s="91">
        <v>64.2</v>
      </c>
      <c r="H22" s="91">
        <v>23.587022999999999</v>
      </c>
      <c r="I22" s="91">
        <v>37.776733</v>
      </c>
      <c r="J22" s="91">
        <v>33.651007999999997</v>
      </c>
      <c r="K22" s="91">
        <v>24.679010000000002</v>
      </c>
      <c r="L22" s="138">
        <v>7.6444678900000005</v>
      </c>
      <c r="M22" s="138">
        <v>16.246099999999998</v>
      </c>
      <c r="N22" s="138">
        <v>22.831656149999997</v>
      </c>
      <c r="O22" s="210"/>
      <c r="P22" s="210"/>
      <c r="Q22" s="210"/>
      <c r="R22" s="210"/>
      <c r="S22" s="210"/>
      <c r="T22" s="207" t="e">
        <f t="shared" si="11"/>
        <v>#DIV/0!</v>
      </c>
      <c r="U22" s="220" t="e">
        <f t="shared" si="11"/>
        <v>#DIV/0!</v>
      </c>
      <c r="V22" s="92"/>
      <c r="W22" s="93">
        <f t="shared" si="4"/>
        <v>-100</v>
      </c>
      <c r="X22" s="225" t="e">
        <f t="shared" si="4"/>
        <v>#DIV/0!</v>
      </c>
      <c r="Z22" s="30" t="s">
        <v>124</v>
      </c>
    </row>
    <row r="23" spans="1:26" s="20" customFormat="1" ht="18" customHeight="1">
      <c r="A23" s="37" t="s">
        <v>125</v>
      </c>
      <c r="B23" s="150">
        <v>74.7</v>
      </c>
      <c r="C23" s="91">
        <v>692.8</v>
      </c>
      <c r="D23" s="91">
        <v>318.28409399999998</v>
      </c>
      <c r="E23" s="91">
        <v>294.2</v>
      </c>
      <c r="F23" s="91">
        <v>118.6</v>
      </c>
      <c r="G23" s="91">
        <v>66.7</v>
      </c>
      <c r="H23" s="91">
        <v>10.808646</v>
      </c>
      <c r="I23" s="91">
        <v>38.970894999999999</v>
      </c>
      <c r="J23" s="91">
        <v>392.140671</v>
      </c>
      <c r="K23" s="91">
        <v>539.738832</v>
      </c>
      <c r="L23" s="138">
        <v>368.65407792000002</v>
      </c>
      <c r="M23" s="138">
        <v>579.69850299999996</v>
      </c>
      <c r="N23" s="138">
        <v>775.49623926999993</v>
      </c>
      <c r="O23" s="210"/>
      <c r="P23" s="210"/>
      <c r="Q23" s="210"/>
      <c r="R23" s="210"/>
      <c r="S23" s="210"/>
      <c r="T23" s="207" t="e">
        <f t="shared" si="11"/>
        <v>#DIV/0!</v>
      </c>
      <c r="U23" s="220" t="e">
        <f t="shared" si="11"/>
        <v>#DIV/0!</v>
      </c>
      <c r="V23" s="92"/>
      <c r="W23" s="93">
        <f t="shared" si="4"/>
        <v>-100</v>
      </c>
      <c r="X23" s="225" t="e">
        <f t="shared" si="4"/>
        <v>#DIV/0!</v>
      </c>
      <c r="Z23" s="30" t="s">
        <v>126</v>
      </c>
    </row>
    <row r="24" spans="1:26" s="20" customFormat="1" ht="18" customHeight="1">
      <c r="A24" s="37" t="s">
        <v>127</v>
      </c>
      <c r="B24" s="150">
        <v>72</v>
      </c>
      <c r="C24" s="91">
        <v>17.100000000000001</v>
      </c>
      <c r="D24" s="91">
        <v>26.934477000000001</v>
      </c>
      <c r="E24" s="91">
        <v>16.8</v>
      </c>
      <c r="F24" s="91">
        <v>7.5</v>
      </c>
      <c r="G24" s="91">
        <v>14</v>
      </c>
      <c r="H24" s="91">
        <v>32.757654000000002</v>
      </c>
      <c r="I24" s="91">
        <v>26.097563999999998</v>
      </c>
      <c r="J24" s="91">
        <v>39.440274000000002</v>
      </c>
      <c r="K24" s="91">
        <v>39.200918999999999</v>
      </c>
      <c r="L24" s="138">
        <v>5.0254116199999999</v>
      </c>
      <c r="M24" s="138">
        <v>42.439954</v>
      </c>
      <c r="N24" s="138">
        <v>20.908233500000001</v>
      </c>
      <c r="O24" s="210"/>
      <c r="P24" s="210"/>
      <c r="Q24" s="210"/>
      <c r="R24" s="210"/>
      <c r="S24" s="210"/>
      <c r="T24" s="207" t="e">
        <f t="shared" si="11"/>
        <v>#DIV/0!</v>
      </c>
      <c r="U24" s="220" t="e">
        <f t="shared" si="11"/>
        <v>#DIV/0!</v>
      </c>
      <c r="V24" s="92"/>
      <c r="W24" s="93">
        <f t="shared" si="4"/>
        <v>-100</v>
      </c>
      <c r="X24" s="225" t="e">
        <f t="shared" si="4"/>
        <v>#DIV/0!</v>
      </c>
      <c r="Z24" s="30" t="s">
        <v>128</v>
      </c>
    </row>
    <row r="25" spans="1:26" s="19" customFormat="1" ht="18" customHeight="1">
      <c r="A25" s="37" t="s">
        <v>129</v>
      </c>
      <c r="B25" s="150">
        <v>0.4</v>
      </c>
      <c r="C25" s="91">
        <v>13.2</v>
      </c>
      <c r="D25" s="91">
        <v>64.703819999999993</v>
      </c>
      <c r="E25" s="91">
        <v>0.5</v>
      </c>
      <c r="F25" s="91">
        <v>0.3</v>
      </c>
      <c r="G25" s="91">
        <v>0.4</v>
      </c>
      <c r="H25" s="91">
        <v>0.13069</v>
      </c>
      <c r="I25" s="91">
        <v>3.0217360000000002</v>
      </c>
      <c r="J25" s="91">
        <v>9.7469E-2</v>
      </c>
      <c r="K25" s="91">
        <v>0.167854</v>
      </c>
      <c r="L25" s="138">
        <v>7.0538000000000003E-2</v>
      </c>
      <c r="M25" s="138">
        <v>0.765787</v>
      </c>
      <c r="N25" s="138">
        <v>0.68068600000000001</v>
      </c>
      <c r="O25" s="210"/>
      <c r="P25" s="210"/>
      <c r="Q25" s="210"/>
      <c r="R25" s="210"/>
      <c r="S25" s="210"/>
      <c r="T25" s="207" t="e">
        <f t="shared" si="11"/>
        <v>#DIV/0!</v>
      </c>
      <c r="U25" s="220" t="e">
        <f t="shared" si="11"/>
        <v>#DIV/0!</v>
      </c>
      <c r="V25" s="92"/>
      <c r="W25" s="93">
        <f t="shared" si="4"/>
        <v>-100</v>
      </c>
      <c r="X25" s="225" t="e">
        <f t="shared" si="4"/>
        <v>#DIV/0!</v>
      </c>
      <c r="Z25" s="30" t="s">
        <v>130</v>
      </c>
    </row>
    <row r="26" spans="1:26" s="19" customFormat="1" ht="18" customHeight="1">
      <c r="A26" s="37" t="s">
        <v>131</v>
      </c>
      <c r="B26" s="150">
        <v>24.5</v>
      </c>
      <c r="C26" s="91">
        <v>72.099999999999994</v>
      </c>
      <c r="D26" s="91">
        <v>604.09765100000004</v>
      </c>
      <c r="E26" s="91">
        <v>178</v>
      </c>
      <c r="F26" s="91">
        <v>26.2</v>
      </c>
      <c r="G26" s="91">
        <v>0.6</v>
      </c>
      <c r="H26" s="91">
        <v>488.44098200000002</v>
      </c>
      <c r="I26" s="91">
        <v>37.947304900000006</v>
      </c>
      <c r="J26" s="91">
        <v>63.553004999999999</v>
      </c>
      <c r="K26" s="91">
        <v>38.882137</v>
      </c>
      <c r="L26" s="139">
        <v>27.925922</v>
      </c>
      <c r="M26" s="139">
        <v>20.208456999999999</v>
      </c>
      <c r="N26" s="139">
        <v>38.739479549999999</v>
      </c>
      <c r="O26" s="211"/>
      <c r="P26" s="211"/>
      <c r="Q26" s="211"/>
      <c r="R26" s="211"/>
      <c r="S26" s="211"/>
      <c r="T26" s="207" t="e">
        <f t="shared" si="11"/>
        <v>#DIV/0!</v>
      </c>
      <c r="U26" s="220" t="e">
        <f t="shared" si="11"/>
        <v>#DIV/0!</v>
      </c>
      <c r="V26" s="92"/>
      <c r="W26" s="93">
        <f t="shared" si="4"/>
        <v>-100</v>
      </c>
      <c r="X26" s="225" t="e">
        <f t="shared" si="4"/>
        <v>#DIV/0!</v>
      </c>
      <c r="Z26" s="30" t="s">
        <v>132</v>
      </c>
    </row>
    <row r="27" spans="1:26" s="19" customFormat="1" ht="18" customHeight="1">
      <c r="A27" s="37" t="s">
        <v>133</v>
      </c>
      <c r="B27" s="150">
        <v>4.2</v>
      </c>
      <c r="C27" s="91">
        <v>12.2</v>
      </c>
      <c r="D27" s="91">
        <v>234.37216000000001</v>
      </c>
      <c r="E27" s="91">
        <v>97</v>
      </c>
      <c r="F27" s="91">
        <v>96.6</v>
      </c>
      <c r="G27" s="91">
        <v>55.3</v>
      </c>
      <c r="H27" s="91">
        <v>26.009882000000001</v>
      </c>
      <c r="I27" s="91">
        <v>31.063718000000001</v>
      </c>
      <c r="J27" s="91">
        <v>390.21938299999999</v>
      </c>
      <c r="K27" s="91">
        <v>19.486806000000001</v>
      </c>
      <c r="L27" s="139">
        <v>112.90937890000001</v>
      </c>
      <c r="M27" s="139">
        <v>91.096570999999997</v>
      </c>
      <c r="N27" s="139">
        <v>12.31644783</v>
      </c>
      <c r="O27" s="211"/>
      <c r="P27" s="211"/>
      <c r="Q27" s="211"/>
      <c r="R27" s="211"/>
      <c r="S27" s="211"/>
      <c r="T27" s="207" t="e">
        <f t="shared" si="11"/>
        <v>#DIV/0!</v>
      </c>
      <c r="U27" s="220" t="e">
        <f t="shared" si="11"/>
        <v>#DIV/0!</v>
      </c>
      <c r="V27" s="92"/>
      <c r="W27" s="93">
        <f t="shared" si="4"/>
        <v>-100</v>
      </c>
      <c r="X27" s="225" t="e">
        <f t="shared" si="4"/>
        <v>#DIV/0!</v>
      </c>
      <c r="Z27" s="30" t="s">
        <v>134</v>
      </c>
    </row>
    <row r="28" spans="1:26" s="19" customFormat="1" ht="18" customHeight="1">
      <c r="A28" s="33" t="s">
        <v>135</v>
      </c>
      <c r="B28" s="35">
        <v>-124.5</v>
      </c>
      <c r="C28" s="88">
        <v>-166.4</v>
      </c>
      <c r="D28" s="88">
        <v>-68.900000000000006</v>
      </c>
      <c r="E28" s="88">
        <v>-247.5</v>
      </c>
      <c r="F28" s="88">
        <v>-275.2</v>
      </c>
      <c r="G28" s="88">
        <v>-246.2</v>
      </c>
      <c r="H28" s="88">
        <v>-150.836333</v>
      </c>
      <c r="I28" s="88">
        <v>-181.3</v>
      </c>
      <c r="J28" s="88">
        <v>-399</v>
      </c>
      <c r="K28" s="88">
        <v>-90.231635999999995</v>
      </c>
      <c r="L28" s="137">
        <v>-135.485007</v>
      </c>
      <c r="M28" s="137">
        <v>-122.16204999999999</v>
      </c>
      <c r="N28" s="137">
        <v>-104.018246</v>
      </c>
      <c r="O28" s="214"/>
      <c r="P28" s="214"/>
      <c r="Q28" s="214"/>
      <c r="R28" s="214"/>
      <c r="S28" s="214"/>
      <c r="T28" s="206" t="e">
        <f t="shared" si="11"/>
        <v>#DIV/0!</v>
      </c>
      <c r="U28" s="219" t="e">
        <f t="shared" si="11"/>
        <v>#DIV/0!</v>
      </c>
      <c r="V28" s="38"/>
      <c r="W28" s="90">
        <f t="shared" si="4"/>
        <v>-100</v>
      </c>
      <c r="X28" s="224" t="e">
        <f t="shared" si="4"/>
        <v>#DIV/0!</v>
      </c>
      <c r="Z28" s="36" t="s">
        <v>136</v>
      </c>
    </row>
    <row r="29" spans="1:26" s="20" customFormat="1" ht="18" customHeight="1">
      <c r="A29" s="37" t="s">
        <v>137</v>
      </c>
      <c r="B29" s="95"/>
      <c r="C29" s="95"/>
      <c r="D29" s="95"/>
      <c r="E29" s="95"/>
      <c r="F29" s="95"/>
      <c r="G29" s="95"/>
      <c r="H29" s="95"/>
      <c r="I29" s="95"/>
      <c r="J29" s="95"/>
      <c r="K29" s="95"/>
      <c r="L29" s="141"/>
      <c r="M29" s="141"/>
      <c r="N29" s="141"/>
      <c r="O29" s="216"/>
      <c r="P29" s="216"/>
      <c r="Q29" s="216"/>
      <c r="R29" s="216"/>
      <c r="S29" s="216"/>
      <c r="T29" s="207"/>
      <c r="U29" s="220"/>
      <c r="V29" s="40"/>
      <c r="W29" s="93"/>
      <c r="X29" s="225"/>
      <c r="Y29" s="25"/>
      <c r="Z29" s="30" t="s">
        <v>16</v>
      </c>
    </row>
    <row r="30" spans="1:26" s="20" customFormat="1" ht="18" customHeight="1">
      <c r="A30" s="37" t="s">
        <v>138</v>
      </c>
      <c r="B30" s="96">
        <v>1007.8</v>
      </c>
      <c r="C30" s="97">
        <v>1137.6071899999999</v>
      </c>
      <c r="D30" s="97">
        <v>1774.5</v>
      </c>
      <c r="E30" s="97">
        <v>1441</v>
      </c>
      <c r="F30" s="97">
        <v>1100.8999999999999</v>
      </c>
      <c r="G30" s="97">
        <v>737.1</v>
      </c>
      <c r="H30" s="97">
        <v>778.8</v>
      </c>
      <c r="I30" s="97">
        <v>1283</v>
      </c>
      <c r="J30" s="97">
        <v>916.69999999999993</v>
      </c>
      <c r="K30" s="97">
        <v>1145.9000000000001</v>
      </c>
      <c r="L30" s="142">
        <v>1187.19235</v>
      </c>
      <c r="M30" s="142">
        <v>188.39416600000001</v>
      </c>
      <c r="N30" s="142">
        <v>648.39113899999995</v>
      </c>
      <c r="O30" s="212"/>
      <c r="P30" s="212"/>
      <c r="Q30" s="212"/>
      <c r="R30" s="212"/>
      <c r="S30" s="212"/>
      <c r="T30" s="207" t="e">
        <f t="shared" si="11"/>
        <v>#DIV/0!</v>
      </c>
      <c r="U30" s="220" t="e">
        <f t="shared" si="11"/>
        <v>#DIV/0!</v>
      </c>
      <c r="V30" s="38"/>
      <c r="W30" s="93">
        <f>+((O30/N30)-1)*100</f>
        <v>-100</v>
      </c>
      <c r="X30" s="225" t="e">
        <f>+((P30/O30)-1)*100</f>
        <v>#DIV/0!</v>
      </c>
      <c r="Y30" s="25"/>
      <c r="Z30" s="98" t="s">
        <v>139</v>
      </c>
    </row>
    <row r="31" spans="1:26" s="20" customFormat="1" ht="18" customHeight="1">
      <c r="A31" s="27" t="s">
        <v>140</v>
      </c>
      <c r="B31" s="99">
        <v>392.7</v>
      </c>
      <c r="C31" s="99">
        <v>390.3</v>
      </c>
      <c r="D31" s="99">
        <v>-993.3</v>
      </c>
      <c r="E31" s="99">
        <v>-1332</v>
      </c>
      <c r="F31" s="99">
        <v>-1393</v>
      </c>
      <c r="G31" s="99">
        <v>-668.6</v>
      </c>
      <c r="H31" s="99">
        <v>584.5</v>
      </c>
      <c r="I31" s="99">
        <v>877.1</v>
      </c>
      <c r="J31" s="99">
        <v>987.6</v>
      </c>
      <c r="K31" s="99">
        <v>1806.07971</v>
      </c>
      <c r="L31" s="143">
        <v>1632.2075219999999</v>
      </c>
      <c r="M31" s="143">
        <v>1413.2714820000001</v>
      </c>
      <c r="N31" s="143">
        <v>1171.8811539999999</v>
      </c>
      <c r="O31" s="213"/>
      <c r="P31" s="213"/>
      <c r="Q31" s="213"/>
      <c r="R31" s="213"/>
      <c r="S31" s="213"/>
      <c r="T31" s="209" t="e">
        <f t="shared" si="11"/>
        <v>#DIV/0!</v>
      </c>
      <c r="U31" s="222" t="e">
        <f t="shared" si="11"/>
        <v>#DIV/0!</v>
      </c>
      <c r="V31" s="28"/>
      <c r="W31" s="136">
        <f>+((O31/N31)-1)*100</f>
        <v>-100</v>
      </c>
      <c r="X31" s="227" t="e">
        <f>+((P31/O31)-1)*100</f>
        <v>#DIV/0!</v>
      </c>
      <c r="Y31" s="132"/>
      <c r="Z31" s="29" t="s">
        <v>141</v>
      </c>
    </row>
    <row r="32" spans="1:26" s="20" customFormat="1" ht="15">
      <c r="A32" s="21" t="s">
        <v>142</v>
      </c>
      <c r="B32" s="74"/>
      <c r="C32" s="74"/>
      <c r="D32" s="74"/>
      <c r="E32" s="74"/>
      <c r="F32" s="74"/>
      <c r="G32" s="74"/>
      <c r="H32" s="74"/>
      <c r="I32" s="74"/>
      <c r="J32" s="74"/>
      <c r="K32" s="74"/>
      <c r="L32" s="74"/>
      <c r="M32" s="74"/>
      <c r="N32" s="74"/>
      <c r="O32" s="74"/>
      <c r="P32" s="74"/>
      <c r="Q32" s="74"/>
      <c r="R32" s="74"/>
      <c r="S32" s="74"/>
      <c r="T32" s="74"/>
      <c r="U32" s="74"/>
      <c r="V32" s="74"/>
      <c r="W32" s="74"/>
      <c r="X32" s="74"/>
      <c r="Y32" s="74"/>
      <c r="Z32" s="30" t="s">
        <v>143</v>
      </c>
    </row>
    <row r="33" spans="1:26" s="20" customFormat="1" ht="15">
      <c r="A33" s="21" t="s">
        <v>12</v>
      </c>
      <c r="B33" s="74"/>
      <c r="C33" s="74"/>
      <c r="D33" s="74"/>
      <c r="E33" s="74"/>
      <c r="F33" s="74"/>
      <c r="G33" s="74"/>
      <c r="H33" s="74"/>
      <c r="I33" s="74"/>
      <c r="J33" s="74"/>
      <c r="K33" s="74"/>
      <c r="L33" s="74"/>
      <c r="M33" s="74"/>
      <c r="N33" s="74"/>
      <c r="O33" s="74"/>
      <c r="P33" s="74"/>
      <c r="Q33" s="74"/>
      <c r="R33" s="74"/>
      <c r="S33" s="74"/>
      <c r="T33" s="74"/>
      <c r="U33" s="74"/>
      <c r="V33" s="74"/>
      <c r="W33" s="74"/>
      <c r="X33" s="74"/>
      <c r="Y33" s="74"/>
      <c r="Z33" s="30" t="s">
        <v>13</v>
      </c>
    </row>
    <row r="34" spans="1:26" s="20" customFormat="1" ht="12">
      <c r="A34" s="22"/>
      <c r="B34" s="100"/>
      <c r="C34" s="100"/>
      <c r="D34" s="100"/>
      <c r="E34" s="100"/>
      <c r="F34" s="100"/>
      <c r="G34" s="100"/>
      <c r="H34" s="100"/>
      <c r="I34" s="100"/>
      <c r="J34" s="100"/>
      <c r="K34" s="100"/>
      <c r="L34" s="100"/>
      <c r="M34" s="100"/>
      <c r="N34" s="100"/>
      <c r="O34" s="100"/>
      <c r="P34" s="100"/>
      <c r="Q34" s="100"/>
      <c r="R34" s="100"/>
      <c r="S34" s="100"/>
      <c r="T34" s="100"/>
      <c r="U34" s="100"/>
      <c r="V34" s="100"/>
      <c r="W34" s="100"/>
      <c r="X34" s="100"/>
      <c r="Y34" s="100"/>
    </row>
    <row r="35" spans="1:26">
      <c r="T35" s="23"/>
      <c r="U35" s="23"/>
      <c r="V35" s="23"/>
      <c r="W35" s="23"/>
      <c r="X35" s="23"/>
      <c r="Y35" s="23"/>
    </row>
  </sheetData>
  <mergeCells count="9">
    <mergeCell ref="W6:X6"/>
    <mergeCell ref="T6:U6"/>
    <mergeCell ref="T5:U5"/>
    <mergeCell ref="A2:Z2"/>
    <mergeCell ref="A1:Z1"/>
    <mergeCell ref="A3:Z3"/>
    <mergeCell ref="A4:Z4"/>
    <mergeCell ref="E5:G5"/>
    <mergeCell ref="W5:X5"/>
  </mergeCells>
  <pageMargins left="0.17" right="0.16" top="0.75" bottom="0.75" header="0.3" footer="0.3"/>
  <pageSetup paperSize="9" scale="74" orientation="landscape" horizontalDpi="4294967295" verticalDpi="4294967295" r:id="rId1"/>
  <colBreaks count="1" manualBreakCount="1">
    <brk id="26" max="1048575" man="1"/>
  </colBreaks>
  <ignoredErrors>
    <ignoredError sqref="M21:Q21" formulaRange="1"/>
  </ignoredError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92D050"/>
  </sheetPr>
  <dimension ref="A1:U53"/>
  <sheetViews>
    <sheetView zoomScaleNormal="100" workbookViewId="0">
      <selection activeCell="K36" sqref="K36:O38"/>
    </sheetView>
  </sheetViews>
  <sheetFormatPr defaultColWidth="8.85546875" defaultRowHeight="12"/>
  <cols>
    <col min="1" max="1" width="15.7109375" style="2" customWidth="1"/>
    <col min="2" max="2" width="8" style="2" bestFit="1" customWidth="1"/>
    <col min="3" max="3" width="8" style="3" bestFit="1" customWidth="1"/>
    <col min="4" max="9" width="8" style="2" bestFit="1" customWidth="1"/>
    <col min="10" max="10" width="8.85546875" style="2"/>
    <col min="11" max="14" width="9.7109375" style="2" bestFit="1" customWidth="1"/>
    <col min="15" max="16384" width="8.85546875" style="2"/>
  </cols>
  <sheetData>
    <row r="1" spans="1:21">
      <c r="R1" s="331"/>
      <c r="S1" s="331"/>
      <c r="T1" s="331"/>
      <c r="U1" s="331"/>
    </row>
    <row r="3" spans="1:21">
      <c r="B3" s="332" t="s">
        <v>144</v>
      </c>
      <c r="C3" s="333"/>
      <c r="D3" s="333"/>
      <c r="E3" s="333"/>
      <c r="F3" s="333"/>
      <c r="G3" s="333"/>
      <c r="H3" s="4"/>
      <c r="I3" s="4"/>
      <c r="J3" s="4"/>
      <c r="K3" s="4"/>
      <c r="L3" s="4"/>
    </row>
    <row r="4" spans="1:21">
      <c r="B4" s="144">
        <v>2007</v>
      </c>
      <c r="C4" s="145">
        <v>2008</v>
      </c>
      <c r="D4" s="145">
        <v>2009</v>
      </c>
      <c r="E4" s="145">
        <v>2010</v>
      </c>
      <c r="F4" s="145">
        <v>2011</v>
      </c>
      <c r="G4" s="145">
        <v>2012</v>
      </c>
      <c r="H4" s="147">
        <v>2013</v>
      </c>
      <c r="I4" s="147">
        <v>2014</v>
      </c>
      <c r="J4" s="145">
        <v>2015</v>
      </c>
      <c r="K4" s="228" t="s">
        <v>158</v>
      </c>
      <c r="L4" s="228" t="s">
        <v>159</v>
      </c>
      <c r="M4" s="228" t="s">
        <v>160</v>
      </c>
      <c r="N4" s="228" t="s">
        <v>161</v>
      </c>
      <c r="O4" s="228" t="s">
        <v>170</v>
      </c>
    </row>
    <row r="5" spans="1:21">
      <c r="A5" s="7" t="s">
        <v>22</v>
      </c>
      <c r="B5" s="8">
        <f>'[1]13.7'!B10</f>
        <v>808.9</v>
      </c>
      <c r="C5" s="8">
        <f>'[1]13.7'!C10</f>
        <v>498.79999999999995</v>
      </c>
      <c r="D5" s="8">
        <f>'[1]13.7'!H10</f>
        <v>696.52141600000004</v>
      </c>
      <c r="E5" s="8">
        <f>'[1]13.7'!I10</f>
        <v>635.70163600000001</v>
      </c>
      <c r="F5" s="8">
        <f>'[1]13.7'!J10</f>
        <v>1285.636868</v>
      </c>
      <c r="G5" s="8">
        <f>'[1]13.7'!K10</f>
        <v>1139.8289990000001</v>
      </c>
      <c r="H5" s="8">
        <v>462.58586595999998</v>
      </c>
      <c r="I5" s="8">
        <v>679.01722999999993</v>
      </c>
      <c r="J5" s="8">
        <v>2079.0821064299998</v>
      </c>
      <c r="K5" s="229"/>
      <c r="L5" s="229"/>
      <c r="M5" s="229"/>
      <c r="N5" s="229"/>
      <c r="O5" s="229"/>
    </row>
    <row r="6" spans="1:21">
      <c r="A6" s="7" t="s">
        <v>34</v>
      </c>
      <c r="B6" s="8">
        <f>'[1]13.7'!B15</f>
        <v>626.5</v>
      </c>
      <c r="C6" s="8">
        <f>'[1]13.7'!C15</f>
        <v>1443.3</v>
      </c>
      <c r="D6" s="8">
        <f>'[1]13.7'!H15</f>
        <v>1087.278699</v>
      </c>
      <c r="E6" s="8">
        <f>'[1]13.7'!I15</f>
        <v>1816.638207</v>
      </c>
      <c r="F6" s="8">
        <f>'[1]13.7'!J15</f>
        <v>1383.244537</v>
      </c>
      <c r="G6" s="8">
        <f>'[1]13.7'!K15</f>
        <v>1081.7647489999999</v>
      </c>
      <c r="H6" s="8">
        <v>1108.2257616500001</v>
      </c>
      <c r="I6" s="8">
        <v>1155.5744520000001</v>
      </c>
      <c r="J6" s="8">
        <v>1812.3305333000001</v>
      </c>
      <c r="K6" s="229"/>
      <c r="L6" s="229"/>
      <c r="M6" s="229"/>
      <c r="N6" s="229"/>
      <c r="O6" s="229"/>
    </row>
    <row r="7" spans="1:21">
      <c r="A7" s="7" t="s">
        <v>43</v>
      </c>
      <c r="B7" s="8">
        <f>'[1]13.7'!B20</f>
        <v>329.9</v>
      </c>
      <c r="C7" s="8">
        <f>'[1]13.7'!C20</f>
        <v>937.10000000000014</v>
      </c>
      <c r="D7" s="146">
        <f>'[1]13.7'!H20</f>
        <v>581.73487699999998</v>
      </c>
      <c r="E7" s="146">
        <f>'[1]13.7'!I20</f>
        <v>174.8779509</v>
      </c>
      <c r="F7" s="146">
        <f>'[1]13.7'!J20</f>
        <v>919.10181</v>
      </c>
      <c r="G7" s="146">
        <f>'[1]13.7'!K20</f>
        <v>662.15555800000004</v>
      </c>
      <c r="H7" s="146">
        <v>522.22979633</v>
      </c>
      <c r="I7" s="146">
        <v>750.4553719999999</v>
      </c>
      <c r="J7" s="146">
        <v>870.97274229999994</v>
      </c>
      <c r="K7" s="230"/>
      <c r="L7" s="230"/>
      <c r="M7" s="230"/>
      <c r="N7" s="230"/>
      <c r="O7" s="230"/>
    </row>
    <row r="34" spans="1:15">
      <c r="B34" s="332" t="s">
        <v>17</v>
      </c>
      <c r="C34" s="333"/>
      <c r="D34" s="333"/>
      <c r="E34" s="333"/>
      <c r="F34" s="333"/>
      <c r="G34" s="333"/>
    </row>
    <row r="35" spans="1:15">
      <c r="B35" s="5">
        <v>2007</v>
      </c>
      <c r="C35" s="6">
        <v>2008</v>
      </c>
      <c r="D35" s="6">
        <v>2009</v>
      </c>
      <c r="E35" s="6">
        <v>2010</v>
      </c>
      <c r="F35" s="6">
        <v>2011</v>
      </c>
      <c r="G35" s="6">
        <v>2012</v>
      </c>
      <c r="H35" s="6">
        <v>2013</v>
      </c>
      <c r="I35" s="6">
        <v>2014</v>
      </c>
      <c r="J35" s="145">
        <v>2015</v>
      </c>
      <c r="K35" s="228" t="s">
        <v>158</v>
      </c>
      <c r="L35" s="228" t="s">
        <v>159</v>
      </c>
      <c r="M35" s="228" t="s">
        <v>160</v>
      </c>
      <c r="N35" s="228" t="s">
        <v>161</v>
      </c>
      <c r="O35" s="228" t="s">
        <v>170</v>
      </c>
    </row>
    <row r="36" spans="1:15">
      <c r="A36" s="7" t="s">
        <v>22</v>
      </c>
      <c r="B36" s="8">
        <f>'[1]13.6'!B9</f>
        <v>2241.8999999999996</v>
      </c>
      <c r="C36" s="8">
        <f>'[1]13.6'!C9</f>
        <v>3209.7</v>
      </c>
      <c r="D36" s="8">
        <f>'[1]13.6'!H9</f>
        <v>3519.7833220000007</v>
      </c>
      <c r="E36" s="8">
        <f>'[1]13.6'!I9</f>
        <v>3978.9039029999999</v>
      </c>
      <c r="F36" s="8">
        <f>'[1]13.6'!J9</f>
        <v>4596.1388089999991</v>
      </c>
      <c r="G36" s="8">
        <v>4774.492886</v>
      </c>
      <c r="H36" s="8">
        <v>4784.0412950399996</v>
      </c>
      <c r="I36" s="8">
        <v>5537.7483140000004</v>
      </c>
      <c r="J36" s="8">
        <v>6243.3481799699994</v>
      </c>
      <c r="K36" s="229"/>
      <c r="L36" s="229"/>
      <c r="M36" s="229"/>
      <c r="N36" s="229"/>
      <c r="O36" s="229"/>
    </row>
    <row r="37" spans="1:15">
      <c r="A37" s="7" t="s">
        <v>34</v>
      </c>
      <c r="B37" s="8">
        <f>'[1]13.6'!B14</f>
        <v>3817.6</v>
      </c>
      <c r="C37" s="8">
        <f>'[1]13.6'!C14</f>
        <v>3679.5</v>
      </c>
      <c r="D37" s="8">
        <f>'[1]13.6'!H14</f>
        <v>4345.2921539999998</v>
      </c>
      <c r="E37" s="8">
        <f>'[1]13.6'!I14</f>
        <v>3462.622922</v>
      </c>
      <c r="F37" s="8">
        <f>'[1]13.6'!J14</f>
        <v>3544.46576</v>
      </c>
      <c r="G37" s="8">
        <v>4225.7286190000004</v>
      </c>
      <c r="H37" s="8">
        <v>5531.6275246499999</v>
      </c>
      <c r="I37" s="8">
        <v>7089.9977030000009</v>
      </c>
      <c r="J37" s="8">
        <v>8742.95622215</v>
      </c>
      <c r="K37" s="229"/>
      <c r="L37" s="229"/>
      <c r="M37" s="229"/>
      <c r="N37" s="229"/>
      <c r="O37" s="229"/>
    </row>
    <row r="38" spans="1:15">
      <c r="A38" s="7" t="s">
        <v>43</v>
      </c>
      <c r="B38" s="8">
        <f>'[1]13.6'!B19</f>
        <v>266.3</v>
      </c>
      <c r="C38" s="8">
        <f>'[1]13.6'!C19</f>
        <v>293.99999999999994</v>
      </c>
      <c r="D38" s="8">
        <f>'[1]13.6'!H19</f>
        <v>255.78124300000002</v>
      </c>
      <c r="E38" s="8">
        <f>'[1]13.6'!I19</f>
        <v>265.56214700000004</v>
      </c>
      <c r="F38" s="8">
        <f>'[1]13.6'!J19</f>
        <v>209.35414899999998</v>
      </c>
      <c r="G38" s="8">
        <v>209.18252100000001</v>
      </c>
      <c r="H38" s="8">
        <v>300.81956875999992</v>
      </c>
      <c r="I38" s="8">
        <v>348.30320599999999</v>
      </c>
      <c r="J38" s="8">
        <v>344.55713775999999</v>
      </c>
      <c r="K38" s="229"/>
      <c r="L38" s="229"/>
      <c r="M38" s="229"/>
      <c r="N38" s="229"/>
      <c r="O38" s="229"/>
    </row>
    <row r="41" spans="1:15">
      <c r="M41" s="9"/>
    </row>
    <row r="46" spans="1:15">
      <c r="A46" s="1"/>
    </row>
    <row r="48" spans="1:15">
      <c r="M48" s="9"/>
    </row>
    <row r="53" spans="1:1">
      <c r="A53" s="1"/>
    </row>
  </sheetData>
  <mergeCells count="4">
    <mergeCell ref="R1:S1"/>
    <mergeCell ref="T1:U1"/>
    <mergeCell ref="B3:G3"/>
    <mergeCell ref="B34:G34"/>
  </mergeCells>
  <pageMargins left="0.27" right="0.16" top="0.19" bottom="0.17" header="0.3" footer="0.17"/>
  <pageSetup paperSize="9" scale="80" orientation="landscape" horizontalDpi="4294967295" verticalDpi="4294967295" r:id="rId1"/>
  <drawing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tabColor rgb="FF92D050"/>
  </sheetPr>
  <dimension ref="A1:T76"/>
  <sheetViews>
    <sheetView tabSelected="1" zoomScaleNormal="100" workbookViewId="0">
      <selection activeCell="R17" sqref="R17"/>
    </sheetView>
  </sheetViews>
  <sheetFormatPr defaultColWidth="8" defaultRowHeight="12.75"/>
  <cols>
    <col min="1" max="1" width="31.42578125" style="231" customWidth="1"/>
    <col min="2" max="3" width="14.28515625" style="231" hidden="1" customWidth="1"/>
    <col min="4" max="4" width="14" style="231" customWidth="1"/>
    <col min="5" max="7" width="15.5703125" style="231" customWidth="1"/>
    <col min="8" max="8" width="15.28515625" style="231" bestFit="1" customWidth="1"/>
    <col min="9" max="9" width="9.140625" style="231" hidden="1" customWidth="1"/>
    <col min="10" max="14" width="9.140625" style="231" customWidth="1"/>
    <col min="15" max="15" width="19.7109375" style="231" hidden="1" customWidth="1"/>
    <col min="16" max="16" width="19.7109375" style="231" customWidth="1"/>
    <col min="17" max="17" width="30.42578125" style="231" bestFit="1" customWidth="1"/>
    <col min="18" max="18" width="1.5703125" style="231" customWidth="1"/>
    <col min="19" max="19" width="14.28515625" style="231" bestFit="1" customWidth="1"/>
    <col min="20" max="20" width="8.28515625" style="231" bestFit="1" customWidth="1"/>
    <col min="21" max="16384" width="8" style="231"/>
  </cols>
  <sheetData>
    <row r="1" spans="1:20" ht="8.25" customHeight="1"/>
    <row r="2" spans="1:20" ht="18.75" customHeight="1">
      <c r="A2" s="335" t="s">
        <v>173</v>
      </c>
      <c r="B2" s="335"/>
      <c r="C2" s="335"/>
      <c r="D2" s="335"/>
      <c r="E2" s="335"/>
      <c r="F2" s="335"/>
      <c r="G2" s="335"/>
      <c r="H2" s="335"/>
      <c r="I2" s="335"/>
      <c r="J2" s="335"/>
      <c r="K2" s="335"/>
      <c r="L2" s="335"/>
      <c r="M2" s="335"/>
      <c r="N2" s="335"/>
      <c r="O2" s="335"/>
      <c r="P2" s="335"/>
      <c r="Q2" s="335"/>
    </row>
    <row r="3" spans="1:20" ht="15.75" customHeight="1">
      <c r="A3" s="336" t="s">
        <v>174</v>
      </c>
      <c r="B3" s="336"/>
      <c r="C3" s="336"/>
      <c r="D3" s="336"/>
      <c r="E3" s="336"/>
      <c r="F3" s="336"/>
      <c r="G3" s="336"/>
      <c r="H3" s="336"/>
      <c r="I3" s="336"/>
      <c r="J3" s="336"/>
      <c r="K3" s="336"/>
      <c r="L3" s="336"/>
      <c r="M3" s="336"/>
      <c r="N3" s="336"/>
      <c r="O3" s="336"/>
      <c r="P3" s="336"/>
      <c r="Q3" s="336"/>
    </row>
    <row r="4" spans="1:20" ht="15">
      <c r="A4" s="232"/>
      <c r="B4" s="233"/>
      <c r="C4" s="233"/>
      <c r="D4" s="233"/>
      <c r="E4" s="233"/>
      <c r="F4" s="233"/>
      <c r="G4" s="233"/>
      <c r="H4" s="233"/>
      <c r="I4" s="233"/>
      <c r="J4" s="233"/>
      <c r="K4" s="233"/>
      <c r="L4" s="233"/>
      <c r="M4" s="233"/>
      <c r="N4" s="233"/>
      <c r="O4" s="233"/>
      <c r="P4" s="233"/>
    </row>
    <row r="5" spans="1:20" ht="25.9" customHeight="1">
      <c r="A5" s="337" t="s">
        <v>175</v>
      </c>
      <c r="B5" s="234"/>
      <c r="C5" s="235"/>
      <c r="D5" s="340" t="s">
        <v>176</v>
      </c>
      <c r="E5" s="340"/>
      <c r="F5" s="340"/>
      <c r="G5" s="340"/>
      <c r="H5" s="340"/>
      <c r="I5" s="236"/>
      <c r="J5" s="341" t="s">
        <v>177</v>
      </c>
      <c r="K5" s="342"/>
      <c r="L5" s="342"/>
      <c r="M5" s="342"/>
      <c r="N5" s="343"/>
      <c r="O5" s="237" t="s">
        <v>178</v>
      </c>
      <c r="P5" s="237" t="s">
        <v>179</v>
      </c>
      <c r="Q5" s="344" t="s">
        <v>172</v>
      </c>
    </row>
    <row r="6" spans="1:20" s="240" customFormat="1" ht="51" customHeight="1">
      <c r="A6" s="338"/>
      <c r="B6" s="347" t="s">
        <v>180</v>
      </c>
      <c r="C6" s="347"/>
      <c r="D6" s="347"/>
      <c r="E6" s="347"/>
      <c r="F6" s="347"/>
      <c r="G6" s="347"/>
      <c r="H6" s="347"/>
      <c r="I6" s="238"/>
      <c r="J6" s="348" t="s">
        <v>181</v>
      </c>
      <c r="K6" s="349"/>
      <c r="L6" s="349"/>
      <c r="M6" s="349"/>
      <c r="N6" s="350"/>
      <c r="O6" s="239" t="s">
        <v>182</v>
      </c>
      <c r="P6" s="239" t="s">
        <v>183</v>
      </c>
      <c r="Q6" s="345"/>
    </row>
    <row r="7" spans="1:20" ht="18.75" customHeight="1">
      <c r="A7" s="339"/>
      <c r="B7" s="241">
        <v>2011</v>
      </c>
      <c r="C7" s="241">
        <v>2012</v>
      </c>
      <c r="D7" s="241">
        <v>2013</v>
      </c>
      <c r="E7" s="241">
        <v>2014</v>
      </c>
      <c r="F7" s="242" t="s">
        <v>184</v>
      </c>
      <c r="G7" s="241" t="s">
        <v>185</v>
      </c>
      <c r="H7" s="243">
        <v>2017</v>
      </c>
      <c r="I7" s="241">
        <v>2012</v>
      </c>
      <c r="J7" s="241">
        <v>2013</v>
      </c>
      <c r="K7" s="241">
        <v>2014</v>
      </c>
      <c r="L7" s="241">
        <v>2015</v>
      </c>
      <c r="M7" s="241">
        <v>2016</v>
      </c>
      <c r="N7" s="243">
        <v>2017</v>
      </c>
      <c r="O7" s="244">
        <v>2015</v>
      </c>
      <c r="P7" s="244">
        <v>2017</v>
      </c>
      <c r="Q7" s="346"/>
    </row>
    <row r="8" spans="1:20" ht="19.5" customHeight="1">
      <c r="A8" s="245" t="s">
        <v>186</v>
      </c>
      <c r="B8" s="246">
        <v>337494704.2076</v>
      </c>
      <c r="C8" s="246">
        <v>299914418.10500002</v>
      </c>
      <c r="D8" s="246">
        <v>350246279.87499994</v>
      </c>
      <c r="E8" s="246">
        <v>431977863.3118999</v>
      </c>
      <c r="F8" s="246">
        <v>496698013.88999999</v>
      </c>
      <c r="G8" s="246">
        <v>537482907.12529993</v>
      </c>
      <c r="H8" s="292">
        <v>703454858.56371427</v>
      </c>
      <c r="I8" s="247">
        <f>(C8/$C$34)*100</f>
        <v>4.1933328367356175</v>
      </c>
      <c r="J8" s="247">
        <f>(D8/$D$34)*100</f>
        <v>3.8990700171998918</v>
      </c>
      <c r="K8" s="247">
        <f>(E8/$E$34)*100</f>
        <v>3.7571793063672669</v>
      </c>
      <c r="L8" s="247">
        <f>(F8/$F$34)*100</f>
        <v>3.8048039171468782</v>
      </c>
      <c r="M8" s="247">
        <f>(G8/$G$34)*100</f>
        <v>3.6993125258994968</v>
      </c>
      <c r="N8" s="293">
        <f>(H8/$H$34)*100</f>
        <v>4.6310888871452063</v>
      </c>
      <c r="O8" s="248">
        <f t="shared" ref="O8:O16" si="0">((F8/E8)-1)*100</f>
        <v>14.982284064720774</v>
      </c>
      <c r="P8" s="249">
        <f>((H8/G8)-1)*100</f>
        <v>30.879484582329674</v>
      </c>
      <c r="Q8" s="250" t="s">
        <v>187</v>
      </c>
      <c r="T8" s="251"/>
    </row>
    <row r="9" spans="1:20" ht="19.5" customHeight="1">
      <c r="A9" s="245" t="s">
        <v>188</v>
      </c>
      <c r="B9" s="246"/>
      <c r="C9" s="246"/>
      <c r="D9" s="246">
        <v>0</v>
      </c>
      <c r="E9" s="246">
        <v>0</v>
      </c>
      <c r="F9" s="246">
        <v>0</v>
      </c>
      <c r="G9" s="246">
        <v>0</v>
      </c>
      <c r="H9" s="292">
        <v>331929256.35999995</v>
      </c>
      <c r="I9" s="247"/>
      <c r="J9" s="247">
        <f>(D9/$D$34)*100</f>
        <v>0</v>
      </c>
      <c r="K9" s="247">
        <f>(E9/$E$34)*100</f>
        <v>0</v>
      </c>
      <c r="L9" s="247">
        <f>(F9/$F$34)*100</f>
        <v>0</v>
      </c>
      <c r="M9" s="247">
        <f>(G9/$G$34)*100</f>
        <v>0</v>
      </c>
      <c r="N9" s="293">
        <f>(H9/$H$34)*100</f>
        <v>2.1852061603295323</v>
      </c>
      <c r="O9" s="248" t="e">
        <f t="shared" si="0"/>
        <v>#DIV/0!</v>
      </c>
      <c r="P9" s="297">
        <v>0</v>
      </c>
      <c r="Q9" s="250" t="s">
        <v>189</v>
      </c>
      <c r="T9" s="251"/>
    </row>
    <row r="10" spans="1:20" ht="19.5" customHeight="1">
      <c r="A10" s="252" t="s">
        <v>190</v>
      </c>
      <c r="B10" s="246">
        <v>229856988.79999998</v>
      </c>
      <c r="C10" s="246">
        <v>313152517.39999998</v>
      </c>
      <c r="D10" s="246">
        <v>355036694.05000001</v>
      </c>
      <c r="E10" s="246">
        <v>482197189.75</v>
      </c>
      <c r="F10" s="246">
        <v>512725167.70999998</v>
      </c>
      <c r="G10" s="246">
        <v>491669611.60000002</v>
      </c>
      <c r="H10" s="292">
        <v>649894826.80999994</v>
      </c>
      <c r="I10" s="247">
        <f>(C10/$C$34)*100</f>
        <v>4.3784248267120889</v>
      </c>
      <c r="J10" s="247">
        <f>(D10/$D$34)*100</f>
        <v>3.9523986643631916</v>
      </c>
      <c r="K10" s="247">
        <f>(E10/$E$34)*100</f>
        <v>4.1939679247152819</v>
      </c>
      <c r="L10" s="247">
        <f>(F10/$F$34)*100</f>
        <v>3.9275750495648882</v>
      </c>
      <c r="M10" s="247">
        <f>(G12/$G$34)*100</f>
        <v>18.872356337395242</v>
      </c>
      <c r="N10" s="293">
        <f t="shared" ref="N10:N34" si="1">(H10/$H$34)*100</f>
        <v>4.2784845020447726</v>
      </c>
      <c r="O10" s="248">
        <f t="shared" si="0"/>
        <v>6.3310153208954834</v>
      </c>
      <c r="P10" s="249">
        <f>((H10/G10)-1)*100</f>
        <v>32.181206948117172</v>
      </c>
      <c r="Q10" s="250" t="s">
        <v>191</v>
      </c>
      <c r="S10" s="253"/>
      <c r="T10" s="251"/>
    </row>
    <row r="11" spans="1:20" ht="19.5" customHeight="1">
      <c r="A11" s="254" t="s">
        <v>192</v>
      </c>
      <c r="B11" s="246">
        <v>29029741.73</v>
      </c>
      <c r="C11" s="246">
        <v>28598365.850000001</v>
      </c>
      <c r="D11" s="246">
        <v>27710614</v>
      </c>
      <c r="E11" s="246">
        <v>28174257</v>
      </c>
      <c r="F11" s="246">
        <v>32214675.300000001</v>
      </c>
      <c r="G11" s="246">
        <v>32630796.459999997</v>
      </c>
      <c r="H11" s="292">
        <v>42497931.772399999</v>
      </c>
      <c r="I11" s="247">
        <f>(C11/$C$34)*100</f>
        <v>0.39985562332584712</v>
      </c>
      <c r="J11" s="247">
        <f>(D11/$D$34)*100</f>
        <v>0.30848471608081079</v>
      </c>
      <c r="K11" s="247">
        <f>(E11/$E$34)*100</f>
        <v>0.24504898135542275</v>
      </c>
      <c r="L11" s="247">
        <f>(F11/$F$34)*100</f>
        <v>0.2467707124719842</v>
      </c>
      <c r="M11" s="247">
        <f>(G11/$G$34)*100</f>
        <v>0.22458670308266052</v>
      </c>
      <c r="N11" s="293">
        <f t="shared" si="1"/>
        <v>0.27977871950399064</v>
      </c>
      <c r="O11" s="248">
        <f t="shared" si="0"/>
        <v>14.340815802170038</v>
      </c>
      <c r="P11" s="249">
        <f>((H11/G11)-1)*100</f>
        <v>30.238720420126697</v>
      </c>
      <c r="Q11" s="250" t="s">
        <v>193</v>
      </c>
      <c r="S11" s="255"/>
      <c r="T11" s="251"/>
    </row>
    <row r="12" spans="1:20" ht="19.5" customHeight="1">
      <c r="A12" s="252" t="s">
        <v>194</v>
      </c>
      <c r="B12" s="246">
        <v>35069424.219999999</v>
      </c>
      <c r="C12" s="246">
        <v>1401117904.5887001</v>
      </c>
      <c r="D12" s="246">
        <v>1881814670.0172997</v>
      </c>
      <c r="E12" s="246">
        <v>2475402851.9278002</v>
      </c>
      <c r="F12" s="246">
        <v>2676515345.3940001</v>
      </c>
      <c r="G12" s="246">
        <v>2742014597.9856997</v>
      </c>
      <c r="H12" s="292">
        <v>2675878133.4066</v>
      </c>
      <c r="I12" s="247">
        <f>(C12/$C$34)*100</f>
        <v>19.590100918032675</v>
      </c>
      <c r="J12" s="247">
        <f>(D12/$D$34)*100</f>
        <v>20.949050937557406</v>
      </c>
      <c r="K12" s="247">
        <f>(E12/$E$34)*100</f>
        <v>21.53011336942145</v>
      </c>
      <c r="L12" s="247">
        <f>(F12/$F$34)*100</f>
        <v>20.502630946122753</v>
      </c>
      <c r="M12" s="247">
        <f t="shared" ref="M12:M25" si="2">(G12/$G$34)*100</f>
        <v>18.872356337395242</v>
      </c>
      <c r="N12" s="293">
        <f t="shared" si="1"/>
        <v>17.616239814273396</v>
      </c>
      <c r="O12" s="248">
        <f t="shared" si="0"/>
        <v>8.1244349100420887</v>
      </c>
      <c r="P12" s="249">
        <f>((H12/G12)-1)*100</f>
        <v>-2.4119661736186182</v>
      </c>
      <c r="Q12" s="256" t="s">
        <v>195</v>
      </c>
      <c r="T12" s="251"/>
    </row>
    <row r="13" spans="1:20" ht="19.5" customHeight="1">
      <c r="A13" s="252" t="s">
        <v>196</v>
      </c>
      <c r="B13" s="246"/>
      <c r="C13" s="246"/>
      <c r="D13" s="246">
        <v>0</v>
      </c>
      <c r="E13" s="246">
        <v>0</v>
      </c>
      <c r="F13" s="246">
        <v>0</v>
      </c>
      <c r="G13" s="246">
        <v>0</v>
      </c>
      <c r="H13" s="292">
        <v>65344950</v>
      </c>
      <c r="I13" s="247"/>
      <c r="J13" s="247">
        <f t="shared" ref="J13:J14" si="3">(D13/$D$34)*100</f>
        <v>0</v>
      </c>
      <c r="K13" s="247">
        <f t="shared" ref="K13:K14" si="4">(E13/$E$34)*100</f>
        <v>0</v>
      </c>
      <c r="L13" s="247">
        <f t="shared" ref="L13:L14" si="5">(F13/$F$34)*100</f>
        <v>0</v>
      </c>
      <c r="M13" s="247">
        <f t="shared" si="2"/>
        <v>0</v>
      </c>
      <c r="N13" s="293">
        <f t="shared" si="1"/>
        <v>0.43018861564753841</v>
      </c>
      <c r="O13" s="248" t="e">
        <f t="shared" si="0"/>
        <v>#DIV/0!</v>
      </c>
      <c r="P13" s="297">
        <v>0</v>
      </c>
      <c r="Q13" s="256" t="s">
        <v>197</v>
      </c>
      <c r="T13" s="251"/>
    </row>
    <row r="14" spans="1:20" ht="19.5" customHeight="1">
      <c r="A14" s="252" t="s">
        <v>198</v>
      </c>
      <c r="B14" s="246"/>
      <c r="C14" s="246"/>
      <c r="D14" s="246">
        <v>0</v>
      </c>
      <c r="E14" s="246">
        <v>0</v>
      </c>
      <c r="F14" s="246">
        <v>0</v>
      </c>
      <c r="G14" s="246">
        <v>0</v>
      </c>
      <c r="H14" s="292">
        <v>12971000</v>
      </c>
      <c r="I14" s="247"/>
      <c r="J14" s="247">
        <f t="shared" si="3"/>
        <v>0</v>
      </c>
      <c r="K14" s="247">
        <f t="shared" si="4"/>
        <v>0</v>
      </c>
      <c r="L14" s="247">
        <f t="shared" si="5"/>
        <v>0</v>
      </c>
      <c r="M14" s="247">
        <f t="shared" si="2"/>
        <v>0</v>
      </c>
      <c r="N14" s="293">
        <f t="shared" si="1"/>
        <v>8.5392620754384543E-2</v>
      </c>
      <c r="O14" s="248" t="e">
        <f t="shared" si="0"/>
        <v>#DIV/0!</v>
      </c>
      <c r="P14" s="297">
        <v>0</v>
      </c>
      <c r="Q14" s="256" t="s">
        <v>199</v>
      </c>
      <c r="T14" s="251"/>
    </row>
    <row r="15" spans="1:20" ht="19.5" customHeight="1">
      <c r="A15" s="254" t="s">
        <v>200</v>
      </c>
      <c r="B15" s="246">
        <v>44654557.465700001</v>
      </c>
      <c r="C15" s="246">
        <v>51539663.522400007</v>
      </c>
      <c r="D15" s="246">
        <v>54796856.450100005</v>
      </c>
      <c r="E15" s="246">
        <v>116054694.13689999</v>
      </c>
      <c r="F15" s="246">
        <v>257569888.39209995</v>
      </c>
      <c r="G15" s="246">
        <v>270265257.52340001</v>
      </c>
      <c r="H15" s="292">
        <v>195759473.72079995</v>
      </c>
      <c r="I15" s="247">
        <f>(C15/$C$34)*100</f>
        <v>0.7206154502619484</v>
      </c>
      <c r="J15" s="247">
        <f>(D15/$D$34)*100</f>
        <v>0.61001869912121209</v>
      </c>
      <c r="K15" s="247">
        <f>(E15/$E$34)*100</f>
        <v>1.0093996295896108</v>
      </c>
      <c r="L15" s="247">
        <f>(F15/$F$34)*100</f>
        <v>1.9730357136285632</v>
      </c>
      <c r="M15" s="247">
        <f t="shared" si="2"/>
        <v>1.8601440887099518</v>
      </c>
      <c r="N15" s="293">
        <f t="shared" si="1"/>
        <v>1.2887529487717353</v>
      </c>
      <c r="O15" s="248">
        <f t="shared" si="0"/>
        <v>121.93836303447263</v>
      </c>
      <c r="P15" s="249">
        <f>((H15/G15)-1)*100</f>
        <v>-27.56765130869595</v>
      </c>
      <c r="Q15" s="250" t="s">
        <v>201</v>
      </c>
      <c r="T15" s="251"/>
    </row>
    <row r="16" spans="1:20" ht="19.5" customHeight="1">
      <c r="A16" s="252" t="s">
        <v>202</v>
      </c>
      <c r="B16" s="246">
        <v>923334858.34319997</v>
      </c>
      <c r="C16" s="246">
        <v>2572005117.2307997</v>
      </c>
      <c r="D16" s="246">
        <v>3654632712.6659002</v>
      </c>
      <c r="E16" s="246">
        <v>4542200766.8251991</v>
      </c>
      <c r="F16" s="246">
        <v>6052938369.3200006</v>
      </c>
      <c r="G16" s="246">
        <v>6276877706.3801994</v>
      </c>
      <c r="H16" s="292">
        <v>6851523223.1966991</v>
      </c>
      <c r="I16" s="247">
        <f>(C16/$C$34)*100</f>
        <v>35.961170464835831</v>
      </c>
      <c r="J16" s="247">
        <f>(D16/$D$34)*100</f>
        <v>40.684711451950641</v>
      </c>
      <c r="K16" s="247">
        <f>(E16/$E$34)*100</f>
        <v>39.506336263715319</v>
      </c>
      <c r="L16" s="247">
        <f>(F16/$F$34)*100</f>
        <v>46.366691578794423</v>
      </c>
      <c r="M16" s="247">
        <f t="shared" si="2"/>
        <v>43.201620023496702</v>
      </c>
      <c r="N16" s="293">
        <f t="shared" si="1"/>
        <v>45.10596902230315</v>
      </c>
      <c r="O16" s="248">
        <f t="shared" si="0"/>
        <v>33.260035829520177</v>
      </c>
      <c r="P16" s="249">
        <f>((H16/G16)-1)*100</f>
        <v>9.1549579854390828</v>
      </c>
      <c r="Q16" s="250" t="s">
        <v>203</v>
      </c>
      <c r="T16" s="251"/>
    </row>
    <row r="17" spans="1:20" ht="19.5" customHeight="1">
      <c r="A17" s="257" t="s">
        <v>204</v>
      </c>
      <c r="B17" s="246">
        <v>0</v>
      </c>
      <c r="C17" s="246">
        <v>0</v>
      </c>
      <c r="D17" s="246">
        <v>0</v>
      </c>
      <c r="E17" s="246">
        <v>0</v>
      </c>
      <c r="F17" s="246">
        <v>45483359.280000009</v>
      </c>
      <c r="G17" s="246">
        <v>633548360.1105001</v>
      </c>
      <c r="H17" s="292">
        <v>694048350.40590012</v>
      </c>
      <c r="I17" s="247">
        <f>(C17/$C$34)*100</f>
        <v>0</v>
      </c>
      <c r="J17" s="247">
        <f>(D17/$D$34)*100</f>
        <v>0</v>
      </c>
      <c r="K17" s="247">
        <f>(E17/$E$34)*100</f>
        <v>0</v>
      </c>
      <c r="L17" s="247">
        <f>(F17/$F$34)*100</f>
        <v>0.34841142648874801</v>
      </c>
      <c r="M17" s="247">
        <f t="shared" si="2"/>
        <v>4.3604984516716687</v>
      </c>
      <c r="N17" s="293">
        <f t="shared" si="1"/>
        <v>4.5691625604361441</v>
      </c>
      <c r="O17" s="258" t="s">
        <v>150</v>
      </c>
      <c r="P17" s="249">
        <f>((H17/G17)-1)*100</f>
        <v>9.549387877011938</v>
      </c>
      <c r="Q17" s="259" t="s">
        <v>145</v>
      </c>
      <c r="T17" s="251"/>
    </row>
    <row r="18" spans="1:20" ht="19.5" customHeight="1">
      <c r="A18" s="257" t="s">
        <v>205</v>
      </c>
      <c r="B18" s="246">
        <v>0</v>
      </c>
      <c r="C18" s="246">
        <v>0</v>
      </c>
      <c r="D18" s="246">
        <v>0</v>
      </c>
      <c r="E18" s="246">
        <v>0</v>
      </c>
      <c r="F18" s="246">
        <v>0</v>
      </c>
      <c r="G18" s="246">
        <v>14583885.27</v>
      </c>
      <c r="H18" s="292">
        <v>114217777.92999999</v>
      </c>
      <c r="I18" s="247"/>
      <c r="J18" s="247" t="s">
        <v>150</v>
      </c>
      <c r="K18" s="247" t="s">
        <v>150</v>
      </c>
      <c r="L18" s="247" t="s">
        <v>150</v>
      </c>
      <c r="M18" s="247">
        <f t="shared" si="2"/>
        <v>0.10037593519790773</v>
      </c>
      <c r="N18" s="293">
        <f t="shared" si="1"/>
        <v>0.75193550182599667</v>
      </c>
      <c r="O18" s="258" t="s">
        <v>150</v>
      </c>
      <c r="P18" s="249">
        <f t="shared" ref="P18:P32" si="6">((H18/G18)-1)*100</f>
        <v>683.1779790873245</v>
      </c>
      <c r="Q18" s="259" t="s">
        <v>206</v>
      </c>
      <c r="T18" s="251"/>
    </row>
    <row r="19" spans="1:20" ht="19.5" customHeight="1">
      <c r="A19" s="254" t="s">
        <v>207</v>
      </c>
      <c r="B19" s="246">
        <v>91658196.929999992</v>
      </c>
      <c r="C19" s="246">
        <v>89591327.080000013</v>
      </c>
      <c r="D19" s="246">
        <v>95183780.023000002</v>
      </c>
      <c r="E19" s="246">
        <v>107989839.28320001</v>
      </c>
      <c r="F19" s="246">
        <v>109410607.41999999</v>
      </c>
      <c r="G19" s="246">
        <v>131238101.505</v>
      </c>
      <c r="H19" s="292">
        <v>146061203.85159999</v>
      </c>
      <c r="I19" s="247">
        <f>(C19/$C$34)*100</f>
        <v>1.2526448581733647</v>
      </c>
      <c r="J19" s="247">
        <f>(D19/$D$34)*100</f>
        <v>1.0596207415647125</v>
      </c>
      <c r="K19" s="247">
        <f>(E19/$E$34)*100</f>
        <v>0.93925458666342043</v>
      </c>
      <c r="L19" s="247">
        <f>(F19/$F$34)*100</f>
        <v>0.83810664840151139</v>
      </c>
      <c r="M19" s="247">
        <f t="shared" si="2"/>
        <v>0.9032673343406189</v>
      </c>
      <c r="N19" s="293">
        <f t="shared" si="1"/>
        <v>0.96157189017257949</v>
      </c>
      <c r="O19" s="248">
        <f t="shared" ref="O19:O34" si="7">((F19/E19)-1)*100</f>
        <v>1.3156498298641406</v>
      </c>
      <c r="P19" s="249">
        <f>((H19/G19)-1)*100</f>
        <v>11.294816197897561</v>
      </c>
      <c r="Q19" s="256" t="s">
        <v>208</v>
      </c>
      <c r="S19" s="255"/>
      <c r="T19" s="251"/>
    </row>
    <row r="20" spans="1:20" ht="19.5" customHeight="1">
      <c r="A20" s="257" t="s">
        <v>209</v>
      </c>
      <c r="B20" s="246">
        <v>0</v>
      </c>
      <c r="C20" s="246">
        <v>0</v>
      </c>
      <c r="D20" s="246">
        <v>0</v>
      </c>
      <c r="E20" s="246">
        <v>114128047.2168</v>
      </c>
      <c r="F20" s="246">
        <v>106062455.44999999</v>
      </c>
      <c r="G20" s="246">
        <v>866691371.39180005</v>
      </c>
      <c r="H20" s="292">
        <v>543512031.66700006</v>
      </c>
      <c r="I20" s="258" t="s">
        <v>150</v>
      </c>
      <c r="J20" s="246" t="s">
        <v>150</v>
      </c>
      <c r="K20" s="246" t="s">
        <v>150</v>
      </c>
      <c r="L20" s="247">
        <f>(F20/$F$34)*100</f>
        <v>0.81245914957040022</v>
      </c>
      <c r="M20" s="247">
        <f t="shared" si="2"/>
        <v>5.9651427120291034</v>
      </c>
      <c r="N20" s="293">
        <f t="shared" si="1"/>
        <v>3.5781294268433563</v>
      </c>
      <c r="O20" s="248">
        <f t="shared" si="7"/>
        <v>-7.0671425328766464</v>
      </c>
      <c r="P20" s="249">
        <f t="shared" si="6"/>
        <v>-37.288860878563227</v>
      </c>
      <c r="Q20" s="259" t="s">
        <v>210</v>
      </c>
      <c r="S20" s="255"/>
      <c r="T20" s="251"/>
    </row>
    <row r="21" spans="1:20" ht="19.5" customHeight="1">
      <c r="A21" s="252" t="s">
        <v>211</v>
      </c>
      <c r="B21" s="246">
        <v>7338828.0599999996</v>
      </c>
      <c r="C21" s="246">
        <v>16626055.370000001</v>
      </c>
      <c r="D21" s="246">
        <v>20650873.640000001</v>
      </c>
      <c r="E21" s="246">
        <v>28491864.500000004</v>
      </c>
      <c r="F21" s="246">
        <v>29136730.280000005</v>
      </c>
      <c r="G21" s="246">
        <v>23143294.260000002</v>
      </c>
      <c r="H21" s="292">
        <v>93789092.709999979</v>
      </c>
      <c r="I21" s="247">
        <f>(C21/$C$34)*100</f>
        <v>0.23246159477400338</v>
      </c>
      <c r="J21" s="247">
        <f>(D21/$D$34)*100</f>
        <v>0.2298930977009784</v>
      </c>
      <c r="K21" s="247">
        <f>(E21/$E$34)*100</f>
        <v>0.24781141070168178</v>
      </c>
      <c r="L21" s="247">
        <f>(F21/$F$34)*100</f>
        <v>0.22319305171763243</v>
      </c>
      <c r="M21" s="247">
        <f t="shared" si="2"/>
        <v>0.15928744377100204</v>
      </c>
      <c r="N21" s="293">
        <f t="shared" si="1"/>
        <v>0.61744633603290733</v>
      </c>
      <c r="O21" s="248">
        <f t="shared" si="7"/>
        <v>2.2633330296794041</v>
      </c>
      <c r="P21" s="249">
        <f>((H21/G21)-1)*100</f>
        <v>305.25385736507491</v>
      </c>
      <c r="Q21" s="256" t="s">
        <v>212</v>
      </c>
      <c r="T21" s="251"/>
    </row>
    <row r="22" spans="1:20" ht="19.5" customHeight="1">
      <c r="A22" s="252" t="s">
        <v>213</v>
      </c>
      <c r="B22" s="246">
        <v>511255000</v>
      </c>
      <c r="C22" s="246">
        <v>168705000</v>
      </c>
      <c r="D22" s="246">
        <v>0</v>
      </c>
      <c r="E22" s="246">
        <v>789362981.79999995</v>
      </c>
      <c r="F22" s="246">
        <v>1096364901.3800001</v>
      </c>
      <c r="G22" s="246">
        <v>569097504.54999995</v>
      </c>
      <c r="H22" s="292">
        <v>117413250</v>
      </c>
      <c r="I22" s="247">
        <f>(C22/$C$34)*100</f>
        <v>2.3587936208315563</v>
      </c>
      <c r="J22" s="247">
        <f>(D22/$D$34)*100</f>
        <v>0</v>
      </c>
      <c r="K22" s="247">
        <f>(E22/$E$34)*100</f>
        <v>6.8655792630048449</v>
      </c>
      <c r="L22" s="247">
        <f>(F22/$F$34)*100</f>
        <v>8.3983695419341799</v>
      </c>
      <c r="M22" s="247">
        <f t="shared" si="2"/>
        <v>3.9169050757351296</v>
      </c>
      <c r="N22" s="293">
        <f t="shared" si="1"/>
        <v>0.77297240989821459</v>
      </c>
      <c r="O22" s="248">
        <f t="shared" si="7"/>
        <v>38.892363419416711</v>
      </c>
      <c r="P22" s="249">
        <f>((H22/G22)-1)*100</f>
        <v>-79.368517861830782</v>
      </c>
      <c r="Q22" s="250" t="s">
        <v>214</v>
      </c>
      <c r="T22" s="251"/>
    </row>
    <row r="23" spans="1:20" ht="19.5" customHeight="1">
      <c r="A23" s="252" t="s">
        <v>215</v>
      </c>
      <c r="B23" s="246"/>
      <c r="C23" s="246"/>
      <c r="D23" s="246">
        <v>0</v>
      </c>
      <c r="E23" s="246">
        <v>0</v>
      </c>
      <c r="F23" s="246">
        <v>0</v>
      </c>
      <c r="G23" s="246">
        <v>0</v>
      </c>
      <c r="H23" s="292">
        <v>2455050</v>
      </c>
      <c r="I23" s="247"/>
      <c r="J23" s="247">
        <f t="shared" ref="J23:J34" si="8">(D23/$D$34)*100</f>
        <v>0</v>
      </c>
      <c r="K23" s="247">
        <f t="shared" ref="K23:K25" si="9">(E23/$E$34)*100</f>
        <v>0</v>
      </c>
      <c r="L23" s="247">
        <f t="shared" ref="L23:L25" si="10">(F23/$F$34)*100</f>
        <v>0</v>
      </c>
      <c r="M23" s="247">
        <f t="shared" si="2"/>
        <v>0</v>
      </c>
      <c r="N23" s="293">
        <f t="shared" si="1"/>
        <v>1.6162451128135979E-2</v>
      </c>
      <c r="O23" s="248" t="e">
        <f t="shared" si="7"/>
        <v>#DIV/0!</v>
      </c>
      <c r="P23" s="297">
        <v>0</v>
      </c>
      <c r="Q23" s="250" t="s">
        <v>216</v>
      </c>
      <c r="T23" s="251"/>
    </row>
    <row r="24" spans="1:20" ht="19.5" customHeight="1">
      <c r="A24" s="254" t="s">
        <v>217</v>
      </c>
      <c r="B24" s="246">
        <v>87861980</v>
      </c>
      <c r="C24" s="246">
        <v>171860080</v>
      </c>
      <c r="D24" s="246">
        <v>177775270</v>
      </c>
      <c r="E24" s="246">
        <v>227539500</v>
      </c>
      <c r="F24" s="246">
        <v>248727790</v>
      </c>
      <c r="G24" s="246">
        <v>262209160</v>
      </c>
      <c r="H24" s="292">
        <v>263216830</v>
      </c>
      <c r="I24" s="247">
        <f>(C24/$C$34)*100</f>
        <v>2.4029072071343522</v>
      </c>
      <c r="J24" s="247">
        <f t="shared" si="8"/>
        <v>1.9790594929487844</v>
      </c>
      <c r="K24" s="247">
        <f t="shared" si="9"/>
        <v>1.9790521075009084</v>
      </c>
      <c r="L24" s="247">
        <f t="shared" si="10"/>
        <v>1.9053035108468737</v>
      </c>
      <c r="M24" s="247">
        <f t="shared" si="2"/>
        <v>1.8046967022291871</v>
      </c>
      <c r="N24" s="293">
        <f t="shared" si="1"/>
        <v>1.7328482723276009</v>
      </c>
      <c r="O24" s="248">
        <f t="shared" si="7"/>
        <v>9.311917271506708</v>
      </c>
      <c r="P24" s="249">
        <f>((H24/G24)-1)*100</f>
        <v>0.38430007555800838</v>
      </c>
      <c r="Q24" s="250" t="s">
        <v>218</v>
      </c>
      <c r="T24" s="251"/>
    </row>
    <row r="25" spans="1:20" ht="19.5" customHeight="1">
      <c r="A25" s="252" t="s">
        <v>219</v>
      </c>
      <c r="B25" s="246">
        <v>37072935</v>
      </c>
      <c r="C25" s="246">
        <v>39918623.75</v>
      </c>
      <c r="D25" s="246">
        <v>32890380.349999998</v>
      </c>
      <c r="E25" s="246">
        <v>38065530.5</v>
      </c>
      <c r="F25" s="246">
        <v>37610881.899999999</v>
      </c>
      <c r="G25" s="246">
        <v>43317638.149999999</v>
      </c>
      <c r="H25" s="292">
        <v>44347953.650000006</v>
      </c>
      <c r="I25" s="247">
        <f>(C25/$C$34)*100</f>
        <v>0.55813280610459126</v>
      </c>
      <c r="J25" s="247">
        <f t="shared" si="8"/>
        <v>0.36614777442533858</v>
      </c>
      <c r="K25" s="247">
        <f t="shared" si="9"/>
        <v>0.33107951964017285</v>
      </c>
      <c r="L25" s="247">
        <f t="shared" si="10"/>
        <v>0.28810671027196894</v>
      </c>
      <c r="M25" s="247">
        <f t="shared" si="2"/>
        <v>0.2981406092665192</v>
      </c>
      <c r="N25" s="293">
        <f t="shared" si="1"/>
        <v>0.2919580593067207</v>
      </c>
      <c r="O25" s="248">
        <f t="shared" si="7"/>
        <v>-1.1943839847444182</v>
      </c>
      <c r="P25" s="249">
        <f t="shared" si="6"/>
        <v>2.3785126428921055</v>
      </c>
      <c r="Q25" s="256" t="s">
        <v>220</v>
      </c>
      <c r="S25" s="253"/>
      <c r="T25" s="251"/>
    </row>
    <row r="26" spans="1:20" ht="19.5" customHeight="1">
      <c r="A26" s="254" t="s">
        <v>221</v>
      </c>
      <c r="B26" s="246">
        <v>78480509.9366</v>
      </c>
      <c r="C26" s="246">
        <v>76481814.014899984</v>
      </c>
      <c r="D26" s="246">
        <v>101471706.8211</v>
      </c>
      <c r="E26" s="246">
        <v>89108745.615999997</v>
      </c>
      <c r="F26" s="246">
        <v>78572636.02790001</v>
      </c>
      <c r="G26" s="246">
        <v>74137837.046100006</v>
      </c>
      <c r="H26" s="292">
        <v>77076859.132200003</v>
      </c>
      <c r="I26" s="247">
        <f>(C26/$C$34)*100</f>
        <v>1.0693507306124395</v>
      </c>
      <c r="J26" s="247">
        <f t="shared" si="8"/>
        <v>1.1296202483619564</v>
      </c>
      <c r="K26" s="247">
        <f>(E26/$E$34)*100</f>
        <v>0.77503400863633398</v>
      </c>
      <c r="L26" s="247">
        <f>(F26/$F$34)*100</f>
        <v>0.60188175708251757</v>
      </c>
      <c r="M26" s="247">
        <f>(G26/$G$34)*100</f>
        <v>0.51026558350402995</v>
      </c>
      <c r="N26" s="293">
        <f t="shared" si="1"/>
        <v>0.50742386869285916</v>
      </c>
      <c r="O26" s="248">
        <f t="shared" si="7"/>
        <v>-11.823878245917275</v>
      </c>
      <c r="P26" s="249">
        <f t="shared" si="6"/>
        <v>3.9642673743940815</v>
      </c>
      <c r="Q26" s="256" t="s">
        <v>222</v>
      </c>
      <c r="S26" s="255"/>
      <c r="T26" s="251"/>
    </row>
    <row r="27" spans="1:20" ht="19.5" customHeight="1">
      <c r="A27" s="254" t="s">
        <v>223</v>
      </c>
      <c r="B27" s="246">
        <v>139511809.34999999</v>
      </c>
      <c r="C27" s="246">
        <v>17563271.770000003</v>
      </c>
      <c r="D27" s="246">
        <v>245418995.9262</v>
      </c>
      <c r="E27" s="246">
        <v>6604867.4700000007</v>
      </c>
      <c r="F27" s="246">
        <v>6902539.540000001</v>
      </c>
      <c r="G27" s="246">
        <v>13064079.890000001</v>
      </c>
      <c r="H27" s="292">
        <v>27521170.030000005</v>
      </c>
      <c r="I27" s="247">
        <f>(C27/$C$34)*100</f>
        <v>0.24556553399132786</v>
      </c>
      <c r="J27" s="247">
        <f t="shared" si="8"/>
        <v>2.7320942538166597</v>
      </c>
      <c r="K27" s="247">
        <f>(E27/$E$34)*100</f>
        <v>5.744662744827906E-2</v>
      </c>
      <c r="L27" s="247">
        <f>(F27/$F$34)*100</f>
        <v>5.2874802688197269E-2</v>
      </c>
      <c r="M27" s="247">
        <f>(G27/$G$34)*100</f>
        <v>8.9915630312616249E-2</v>
      </c>
      <c r="N27" s="293">
        <f t="shared" si="1"/>
        <v>0.18118146905317434</v>
      </c>
      <c r="O27" s="248">
        <f t="shared" si="7"/>
        <v>4.5068590906942152</v>
      </c>
      <c r="P27" s="249">
        <f t="shared" si="6"/>
        <v>110.66290363905607</v>
      </c>
      <c r="Q27" s="256" t="s">
        <v>224</v>
      </c>
      <c r="S27" s="255"/>
      <c r="T27" s="251"/>
    </row>
    <row r="28" spans="1:20" ht="19.5" customHeight="1">
      <c r="A28" s="254" t="s">
        <v>225</v>
      </c>
      <c r="B28" s="246"/>
      <c r="C28" s="246"/>
      <c r="D28" s="246">
        <v>0</v>
      </c>
      <c r="E28" s="246">
        <v>0</v>
      </c>
      <c r="F28" s="246">
        <v>0</v>
      </c>
      <c r="G28" s="246">
        <v>0</v>
      </c>
      <c r="H28" s="292">
        <v>16865000</v>
      </c>
      <c r="I28" s="247"/>
      <c r="J28" s="247">
        <f t="shared" si="8"/>
        <v>0</v>
      </c>
      <c r="K28" s="247">
        <f t="shared" ref="K28:K29" si="11">(E28/$E$34)*100</f>
        <v>0</v>
      </c>
      <c r="L28" s="247">
        <f t="shared" ref="L28:L34" si="12">(F28/$F$34)*100</f>
        <v>0</v>
      </c>
      <c r="M28" s="247">
        <f t="shared" ref="M28:M34" si="13">(G28/$G$34)*100</f>
        <v>0</v>
      </c>
      <c r="N28" s="293">
        <f t="shared" si="1"/>
        <v>0.11102818202318214</v>
      </c>
      <c r="O28" s="248" t="e">
        <f t="shared" si="7"/>
        <v>#DIV/0!</v>
      </c>
      <c r="P28" s="297">
        <v>0</v>
      </c>
      <c r="Q28" s="256" t="s">
        <v>226</v>
      </c>
      <c r="S28" s="255"/>
      <c r="T28" s="251"/>
    </row>
    <row r="29" spans="1:20" ht="19.5" customHeight="1">
      <c r="A29" s="252" t="s">
        <v>227</v>
      </c>
      <c r="B29" s="246">
        <v>1202495510.0143998</v>
      </c>
      <c r="C29" s="246">
        <v>1049841778.2217</v>
      </c>
      <c r="D29" s="246">
        <v>1068823153.4752001</v>
      </c>
      <c r="E29" s="246">
        <v>1156222825.7628999</v>
      </c>
      <c r="F29" s="246">
        <v>1197553906.7299998</v>
      </c>
      <c r="G29" s="246">
        <v>1449680465.8505001</v>
      </c>
      <c r="H29" s="292">
        <v>1401635711.642</v>
      </c>
      <c r="I29" s="247">
        <f t="shared" ref="I29:I34" si="14">(C29/$C$34)*100</f>
        <v>14.678640759620659</v>
      </c>
      <c r="J29" s="247">
        <f t="shared" si="8"/>
        <v>11.898531264604745</v>
      </c>
      <c r="K29" s="247">
        <f t="shared" si="11"/>
        <v>10.056386781489467</v>
      </c>
      <c r="L29" s="247">
        <f t="shared" si="12"/>
        <v>9.1734971107211543</v>
      </c>
      <c r="M29" s="247">
        <f t="shared" si="13"/>
        <v>9.9776588888293194</v>
      </c>
      <c r="N29" s="293">
        <f t="shared" si="1"/>
        <v>9.2274571551959905</v>
      </c>
      <c r="O29" s="248">
        <f t="shared" si="7"/>
        <v>3.5746639874393304</v>
      </c>
      <c r="P29" s="249">
        <f>((H29/G29)-1)*100</f>
        <v>-3.3141616611570446</v>
      </c>
      <c r="Q29" s="256" t="s">
        <v>228</v>
      </c>
      <c r="S29" s="253"/>
      <c r="T29" s="251"/>
    </row>
    <row r="30" spans="1:20" ht="19.5" customHeight="1">
      <c r="A30" s="252" t="s">
        <v>229</v>
      </c>
      <c r="B30" s="246">
        <v>750739844.92149997</v>
      </c>
      <c r="C30" s="246">
        <v>802900158.02600002</v>
      </c>
      <c r="D30" s="246">
        <v>860140725.22539997</v>
      </c>
      <c r="E30" s="246">
        <v>804701951.22000003</v>
      </c>
      <c r="F30" s="246">
        <v>632505.73999999987</v>
      </c>
      <c r="G30" s="246">
        <v>152966.62</v>
      </c>
      <c r="H30" s="292">
        <v>3072</v>
      </c>
      <c r="I30" s="247">
        <f t="shared" si="14"/>
        <v>11.225961120988574</v>
      </c>
      <c r="J30" s="247">
        <f t="shared" si="8"/>
        <v>9.5754019528654339</v>
      </c>
      <c r="K30" s="247">
        <f>(E30/$E$34)*100</f>
        <v>6.9989917903134806</v>
      </c>
      <c r="L30" s="247">
        <f t="shared" si="12"/>
        <v>4.8451176567475612E-3</v>
      </c>
      <c r="M30" s="247">
        <f t="shared" si="13"/>
        <v>1.0528173564384447E-3</v>
      </c>
      <c r="N30" s="293">
        <f t="shared" si="1"/>
        <v>2.0224048335322593E-5</v>
      </c>
      <c r="O30" s="248">
        <f t="shared" si="7"/>
        <v>-99.92139875651587</v>
      </c>
      <c r="P30" s="249">
        <f t="shared" si="6"/>
        <v>-97.991718716148654</v>
      </c>
      <c r="Q30" s="256" t="s">
        <v>230</v>
      </c>
      <c r="T30" s="251"/>
    </row>
    <row r="31" spans="1:20" ht="19.5" customHeight="1">
      <c r="A31" s="252" t="s">
        <v>231</v>
      </c>
      <c r="B31" s="246">
        <v>47548283.660000004</v>
      </c>
      <c r="C31" s="246">
        <v>45912900.350000001</v>
      </c>
      <c r="D31" s="246">
        <v>49700980.010000005</v>
      </c>
      <c r="E31" s="246">
        <v>52186302.670000002</v>
      </c>
      <c r="F31" s="246">
        <v>62245584.850000001</v>
      </c>
      <c r="G31" s="246">
        <v>75695789.819999993</v>
      </c>
      <c r="H31" s="292">
        <v>83909983</v>
      </c>
      <c r="I31" s="247">
        <f t="shared" si="14"/>
        <v>0.64194337132541979</v>
      </c>
      <c r="J31" s="247">
        <f t="shared" si="8"/>
        <v>0.55328953401476078</v>
      </c>
      <c r="K31" s="247">
        <f>(E31/$E$34)*100</f>
        <v>0.45389663017517307</v>
      </c>
      <c r="L31" s="247">
        <f t="shared" si="12"/>
        <v>0.47681335225718835</v>
      </c>
      <c r="M31" s="247">
        <f t="shared" si="13"/>
        <v>0.52098844396125465</v>
      </c>
      <c r="N31" s="293">
        <f t="shared" si="1"/>
        <v>0.552408708335969</v>
      </c>
      <c r="O31" s="248">
        <f t="shared" si="7"/>
        <v>19.27571348292263</v>
      </c>
      <c r="P31" s="249">
        <f t="shared" si="6"/>
        <v>10.851585272487242</v>
      </c>
      <c r="Q31" s="250" t="s">
        <v>232</v>
      </c>
      <c r="T31" s="251"/>
    </row>
    <row r="32" spans="1:20" ht="19.5" customHeight="1">
      <c r="A32" s="260" t="s">
        <v>233</v>
      </c>
      <c r="B32" s="246">
        <v>6802023.7300000004</v>
      </c>
      <c r="C32" s="246">
        <v>6443984.5899999999</v>
      </c>
      <c r="D32" s="246">
        <v>6238700.8399999999</v>
      </c>
      <c r="E32" s="246">
        <v>6704584.9800000004</v>
      </c>
      <c r="F32" s="246">
        <v>7051600.6999999993</v>
      </c>
      <c r="G32" s="246">
        <v>20481678.534299999</v>
      </c>
      <c r="H32" s="292">
        <v>28495907.719999999</v>
      </c>
      <c r="I32" s="247">
        <f t="shared" si="14"/>
        <v>9.009827653969267E-2</v>
      </c>
      <c r="J32" s="247">
        <f t="shared" si="8"/>
        <v>6.9451505381314033E-2</v>
      </c>
      <c r="K32" s="247">
        <f>(E32/$E$34)*100</f>
        <v>5.8313932458267409E-2</v>
      </c>
      <c r="L32" s="247">
        <f t="shared" si="12"/>
        <v>5.40166403231431E-2</v>
      </c>
      <c r="M32" s="247">
        <f t="shared" si="13"/>
        <v>0.14096844559880953</v>
      </c>
      <c r="N32" s="293">
        <f t="shared" si="1"/>
        <v>0.18759850751568105</v>
      </c>
      <c r="O32" s="248">
        <f t="shared" si="7"/>
        <v>5.1757971751444476</v>
      </c>
      <c r="P32" s="249">
        <f t="shared" si="6"/>
        <v>39.128771464110379</v>
      </c>
      <c r="Q32" s="250" t="s">
        <v>234</v>
      </c>
      <c r="T32" s="251"/>
    </row>
    <row r="33" spans="1:20" ht="19.5" customHeight="1">
      <c r="A33" s="261" t="s">
        <v>235</v>
      </c>
      <c r="B33" s="262">
        <v>0</v>
      </c>
      <c r="C33" s="262">
        <v>0</v>
      </c>
      <c r="D33" s="262">
        <v>283466.0528</v>
      </c>
      <c r="E33" s="262">
        <v>283466.0528</v>
      </c>
      <c r="F33" s="262">
        <v>80058.31</v>
      </c>
      <c r="G33" s="246">
        <v>1281640.1099999999</v>
      </c>
      <c r="H33" s="292">
        <v>6014216.4700000007</v>
      </c>
      <c r="I33" s="247">
        <f t="shared" si="14"/>
        <v>0</v>
      </c>
      <c r="J33" s="247">
        <f t="shared" si="8"/>
        <v>3.1556480421746028E-3</v>
      </c>
      <c r="K33" s="247">
        <f>(E33/$E$34)*100</f>
        <v>2.4654800120366082E-3</v>
      </c>
      <c r="L33" s="247">
        <f t="shared" si="12"/>
        <v>6.1326231023669435E-4</v>
      </c>
      <c r="M33" s="247">
        <f t="shared" si="13"/>
        <v>8.8210941218134879E-3</v>
      </c>
      <c r="N33" s="295">
        <f t="shared" si="1"/>
        <v>3.959368638944441E-2</v>
      </c>
      <c r="O33" s="248">
        <f t="shared" si="7"/>
        <v>-71.757355348477915</v>
      </c>
      <c r="P33" s="249">
        <f>((H33/G33)-1)*100</f>
        <v>369.25938280754974</v>
      </c>
      <c r="Q33" s="250" t="s">
        <v>236</v>
      </c>
      <c r="T33" s="251"/>
    </row>
    <row r="34" spans="1:20" ht="19.5" customHeight="1">
      <c r="A34" s="263" t="s">
        <v>237</v>
      </c>
      <c r="B34" s="264">
        <f t="shared" ref="B34:H34" si="15">SUM(B8:B33)</f>
        <v>4560205196.3689995</v>
      </c>
      <c r="C34" s="264">
        <f t="shared" si="15"/>
        <v>7152172979.8695002</v>
      </c>
      <c r="D34" s="264">
        <f t="shared" si="15"/>
        <v>8982815859.421999</v>
      </c>
      <c r="E34" s="264">
        <f t="shared" si="15"/>
        <v>11497398130.023495</v>
      </c>
      <c r="F34" s="265">
        <f t="shared" si="15"/>
        <v>13054497017.614002</v>
      </c>
      <c r="G34" s="265">
        <f t="shared" si="15"/>
        <v>14529264650.182798</v>
      </c>
      <c r="H34" s="294">
        <f t="shared" si="15"/>
        <v>15189837114.038914</v>
      </c>
      <c r="I34" s="266">
        <f t="shared" si="14"/>
        <v>100</v>
      </c>
      <c r="J34" s="267">
        <f t="shared" si="8"/>
        <v>100</v>
      </c>
      <c r="K34" s="267">
        <f>(E34/$E$34)*100</f>
        <v>100</v>
      </c>
      <c r="L34" s="267">
        <f t="shared" si="12"/>
        <v>100</v>
      </c>
      <c r="M34" s="267">
        <f t="shared" si="13"/>
        <v>100</v>
      </c>
      <c r="N34" s="296">
        <f t="shared" si="1"/>
        <v>100</v>
      </c>
      <c r="O34" s="268">
        <f t="shared" si="7"/>
        <v>13.543054437024393</v>
      </c>
      <c r="P34" s="268">
        <f>((H34/G34)-1)*100</f>
        <v>4.5464961906919621</v>
      </c>
      <c r="Q34" s="269" t="s">
        <v>238</v>
      </c>
    </row>
    <row r="35" spans="1:20" s="273" customFormat="1" ht="15" customHeight="1">
      <c r="A35" s="270" t="s">
        <v>239</v>
      </c>
      <c r="B35" s="271"/>
      <c r="C35" s="271"/>
      <c r="D35" s="271"/>
      <c r="E35" s="271"/>
      <c r="F35" s="272"/>
      <c r="G35" s="272"/>
      <c r="H35" s="272"/>
      <c r="K35" s="274"/>
      <c r="L35" s="275"/>
      <c r="M35" s="275"/>
      <c r="N35" s="275"/>
    </row>
    <row r="36" spans="1:20" s="273" customFormat="1" ht="15" customHeight="1">
      <c r="A36" s="276" t="s">
        <v>240</v>
      </c>
      <c r="B36" s="272"/>
      <c r="C36" s="272"/>
      <c r="D36" s="272"/>
      <c r="E36" s="272"/>
      <c r="F36" s="272"/>
      <c r="G36" s="272"/>
      <c r="H36" s="272"/>
      <c r="K36" s="275"/>
      <c r="L36" s="275"/>
      <c r="M36" s="275"/>
      <c r="N36" s="275"/>
    </row>
    <row r="37" spans="1:20" s="278" customFormat="1" ht="15" customHeight="1">
      <c r="A37" s="276" t="s">
        <v>241</v>
      </c>
      <c r="B37" s="277"/>
      <c r="C37" s="277"/>
      <c r="D37" s="277"/>
      <c r="E37" s="277"/>
      <c r="F37" s="277"/>
      <c r="G37" s="277"/>
      <c r="H37" s="277"/>
      <c r="K37" s="279"/>
      <c r="L37" s="279"/>
      <c r="M37" s="279"/>
      <c r="N37" s="279"/>
    </row>
    <row r="38" spans="1:20" s="278" customFormat="1" ht="15" customHeight="1">
      <c r="A38" s="276" t="s">
        <v>242</v>
      </c>
      <c r="B38" s="277"/>
      <c r="C38" s="277"/>
      <c r="D38" s="277"/>
      <c r="E38" s="277"/>
      <c r="F38" s="277"/>
      <c r="G38" s="277"/>
      <c r="H38" s="277"/>
      <c r="K38" s="279"/>
      <c r="L38" s="279"/>
      <c r="M38" s="279"/>
      <c r="N38" s="279"/>
    </row>
    <row r="39" spans="1:20" s="278" customFormat="1" ht="36" customHeight="1">
      <c r="A39" s="351" t="s">
        <v>255</v>
      </c>
      <c r="B39" s="351"/>
      <c r="C39" s="351"/>
      <c r="D39" s="351"/>
      <c r="E39" s="351"/>
      <c r="F39" s="351"/>
      <c r="G39" s="351"/>
      <c r="H39" s="351"/>
      <c r="I39" s="351"/>
      <c r="J39" s="351"/>
      <c r="K39" s="351"/>
      <c r="L39" s="351"/>
      <c r="M39" s="351"/>
      <c r="N39" s="351"/>
      <c r="O39" s="351"/>
      <c r="P39" s="351"/>
      <c r="Q39" s="351"/>
    </row>
    <row r="40" spans="1:20" s="278" customFormat="1" ht="16.5" customHeight="1">
      <c r="A40" s="352" t="s">
        <v>243</v>
      </c>
      <c r="B40" s="352"/>
      <c r="C40" s="352"/>
      <c r="D40" s="352"/>
      <c r="E40" s="352"/>
      <c r="F40" s="352"/>
      <c r="G40" s="352"/>
      <c r="H40" s="352"/>
      <c r="I40" s="352"/>
      <c r="J40" s="352"/>
      <c r="K40" s="352"/>
      <c r="L40" s="352"/>
      <c r="M40" s="352"/>
      <c r="N40" s="352"/>
      <c r="O40" s="352"/>
      <c r="P40" s="352"/>
      <c r="Q40" s="352"/>
    </row>
    <row r="41" spans="1:20" s="278" customFormat="1">
      <c r="A41" s="352" t="s">
        <v>244</v>
      </c>
      <c r="B41" s="352"/>
      <c r="C41" s="352"/>
      <c r="D41" s="352"/>
      <c r="E41" s="352"/>
      <c r="F41" s="352"/>
      <c r="G41" s="352"/>
      <c r="H41" s="352"/>
      <c r="I41" s="352"/>
      <c r="J41" s="352"/>
      <c r="K41" s="352"/>
      <c r="L41" s="352"/>
      <c r="M41" s="352"/>
      <c r="N41" s="352"/>
      <c r="O41" s="352"/>
      <c r="P41" s="352"/>
      <c r="Q41" s="352"/>
    </row>
    <row r="42" spans="1:20" s="278" customFormat="1" ht="15">
      <c r="A42" s="352" t="s">
        <v>245</v>
      </c>
      <c r="B42" s="352"/>
      <c r="C42" s="352"/>
      <c r="D42" s="352"/>
      <c r="E42" s="352"/>
      <c r="F42" s="352"/>
      <c r="G42" s="352"/>
      <c r="H42" s="352"/>
      <c r="I42" s="352"/>
      <c r="J42" s="352"/>
      <c r="K42" s="352"/>
      <c r="L42" s="352"/>
      <c r="M42" s="352"/>
      <c r="N42" s="352"/>
      <c r="O42" s="352"/>
      <c r="P42" s="352"/>
      <c r="Q42" s="352"/>
      <c r="R42" s="280"/>
    </row>
    <row r="43" spans="1:20" s="281" customFormat="1" ht="17.25">
      <c r="A43" s="352" t="s">
        <v>246</v>
      </c>
      <c r="B43" s="352"/>
      <c r="C43" s="352"/>
      <c r="D43" s="352"/>
      <c r="E43" s="352"/>
      <c r="F43" s="352"/>
      <c r="G43" s="352"/>
      <c r="H43" s="352"/>
      <c r="I43" s="352"/>
      <c r="J43" s="352"/>
      <c r="K43" s="352"/>
      <c r="L43" s="352"/>
      <c r="M43" s="352"/>
      <c r="N43" s="352"/>
      <c r="O43" s="352"/>
      <c r="P43" s="352"/>
      <c r="Q43" s="352"/>
    </row>
    <row r="44" spans="1:20" s="281" customFormat="1" ht="17.25">
      <c r="A44" s="282" t="s">
        <v>247</v>
      </c>
      <c r="B44" s="283"/>
      <c r="C44" s="283"/>
      <c r="D44" s="283"/>
      <c r="E44" s="283"/>
      <c r="F44" s="283"/>
      <c r="G44" s="283"/>
      <c r="H44" s="283"/>
      <c r="I44" s="283"/>
      <c r="J44" s="283"/>
      <c r="K44" s="283"/>
      <c r="L44" s="283"/>
      <c r="M44" s="283"/>
      <c r="N44" s="283"/>
      <c r="O44" s="283"/>
      <c r="P44" s="283"/>
      <c r="Q44" s="283"/>
    </row>
    <row r="45" spans="1:20" s="281" customFormat="1" ht="17.25">
      <c r="A45" s="298" t="s">
        <v>254</v>
      </c>
      <c r="B45" s="283"/>
      <c r="C45" s="283"/>
      <c r="D45" s="283"/>
      <c r="E45" s="283"/>
      <c r="F45" s="283"/>
      <c r="G45" s="283"/>
      <c r="H45" s="283"/>
      <c r="I45" s="283"/>
      <c r="J45" s="283"/>
      <c r="K45" s="283"/>
      <c r="L45" s="283"/>
      <c r="M45" s="283"/>
      <c r="N45" s="283"/>
      <c r="O45" s="283"/>
      <c r="P45" s="283"/>
      <c r="Q45" s="283"/>
    </row>
    <row r="46" spans="1:20" s="278" customFormat="1" ht="18.75">
      <c r="A46" s="334" t="s">
        <v>248</v>
      </c>
      <c r="B46" s="334"/>
      <c r="C46" s="334"/>
      <c r="D46" s="334"/>
      <c r="E46" s="334"/>
      <c r="F46" s="334"/>
      <c r="G46" s="334"/>
      <c r="H46" s="334"/>
      <c r="I46" s="334"/>
      <c r="J46" s="334"/>
      <c r="K46" s="334"/>
      <c r="L46" s="334"/>
      <c r="M46" s="334"/>
      <c r="N46" s="334"/>
      <c r="O46" s="334"/>
      <c r="P46" s="334"/>
      <c r="Q46" s="334"/>
      <c r="R46" s="284">
        <v>1</v>
      </c>
    </row>
    <row r="47" spans="1:20" s="285" customFormat="1" ht="15">
      <c r="A47" s="353" t="s">
        <v>249</v>
      </c>
      <c r="B47" s="353"/>
      <c r="C47" s="353"/>
      <c r="D47" s="353"/>
      <c r="E47" s="353"/>
      <c r="F47" s="353"/>
      <c r="G47" s="353"/>
      <c r="H47" s="353"/>
      <c r="I47" s="353"/>
      <c r="J47" s="353"/>
      <c r="K47" s="353"/>
      <c r="L47" s="353"/>
      <c r="M47" s="353"/>
      <c r="N47" s="353"/>
      <c r="O47" s="353"/>
      <c r="P47" s="353"/>
      <c r="Q47" s="353"/>
      <c r="R47" s="284">
        <v>2</v>
      </c>
    </row>
    <row r="48" spans="1:20" ht="18.75">
      <c r="A48" s="354" t="s">
        <v>250</v>
      </c>
      <c r="B48" s="354"/>
      <c r="C48" s="354"/>
      <c r="D48" s="354"/>
      <c r="E48" s="354"/>
      <c r="F48" s="354"/>
      <c r="G48" s="354"/>
      <c r="H48" s="354"/>
      <c r="I48" s="354"/>
      <c r="J48" s="354"/>
      <c r="K48" s="354"/>
      <c r="L48" s="354"/>
      <c r="M48" s="354"/>
      <c r="N48" s="354"/>
      <c r="O48" s="354"/>
      <c r="P48" s="354"/>
      <c r="Q48" s="354"/>
      <c r="R48" s="286">
        <v>3</v>
      </c>
    </row>
    <row r="49" spans="1:18" ht="18.75">
      <c r="A49" s="355" t="s">
        <v>251</v>
      </c>
      <c r="B49" s="355"/>
      <c r="C49" s="355"/>
      <c r="D49" s="355"/>
      <c r="E49" s="355"/>
      <c r="F49" s="355"/>
      <c r="G49" s="355"/>
      <c r="H49" s="355"/>
      <c r="I49" s="355"/>
      <c r="J49" s="355"/>
      <c r="K49" s="355"/>
      <c r="L49" s="355"/>
      <c r="M49" s="355"/>
      <c r="N49" s="355"/>
      <c r="O49" s="355"/>
      <c r="P49" s="355"/>
      <c r="Q49" s="355"/>
      <c r="R49" s="286">
        <v>4</v>
      </c>
    </row>
    <row r="50" spans="1:18" s="289" customFormat="1" ht="18.75">
      <c r="A50" s="287"/>
      <c r="B50" s="287"/>
      <c r="C50" s="287"/>
      <c r="D50" s="287"/>
      <c r="E50" s="287"/>
      <c r="F50" s="287"/>
      <c r="G50" s="287"/>
      <c r="H50" s="287"/>
      <c r="I50" s="287"/>
      <c r="J50" s="287"/>
      <c r="K50" s="355" t="s">
        <v>252</v>
      </c>
      <c r="L50" s="355"/>
      <c r="M50" s="355"/>
      <c r="N50" s="355"/>
      <c r="O50" s="355"/>
      <c r="P50" s="355"/>
      <c r="Q50" s="355"/>
      <c r="R50" s="288">
        <v>5</v>
      </c>
    </row>
    <row r="51" spans="1:18" ht="18.75">
      <c r="I51" s="355" t="s">
        <v>253</v>
      </c>
      <c r="J51" s="355"/>
      <c r="K51" s="355"/>
      <c r="L51" s="355"/>
      <c r="M51" s="355"/>
      <c r="N51" s="355"/>
      <c r="O51" s="355"/>
      <c r="P51" s="355"/>
      <c r="Q51" s="355"/>
    </row>
    <row r="52" spans="1:18">
      <c r="G52" s="251"/>
    </row>
    <row r="53" spans="1:18">
      <c r="G53" s="251"/>
    </row>
    <row r="66" spans="18:18" s="290" customFormat="1"/>
    <row r="67" spans="18:18" s="290" customFormat="1"/>
    <row r="68" spans="18:18" s="290" customFormat="1"/>
    <row r="69" spans="18:18" s="290" customFormat="1"/>
    <row r="70" spans="18:18" s="290" customFormat="1"/>
    <row r="71" spans="18:18" s="290" customFormat="1"/>
    <row r="73" spans="18:18" ht="15">
      <c r="R73" s="291"/>
    </row>
    <row r="74" spans="18:18" ht="15">
      <c r="R74" s="291"/>
    </row>
    <row r="75" spans="18:18" ht="15">
      <c r="R75" s="291"/>
    </row>
    <row r="76" spans="18:18" ht="15">
      <c r="R76" s="291"/>
    </row>
  </sheetData>
  <mergeCells count="19">
    <mergeCell ref="A47:Q47"/>
    <mergeCell ref="A48:Q48"/>
    <mergeCell ref="A49:Q49"/>
    <mergeCell ref="K50:Q50"/>
    <mergeCell ref="I51:Q51"/>
    <mergeCell ref="A46:Q46"/>
    <mergeCell ref="A2:Q2"/>
    <mergeCell ref="A3:Q3"/>
    <mergeCell ref="A5:A7"/>
    <mergeCell ref="D5:H5"/>
    <mergeCell ref="J5:N5"/>
    <mergeCell ref="Q5:Q7"/>
    <mergeCell ref="B6:H6"/>
    <mergeCell ref="J6:N6"/>
    <mergeCell ref="A39:Q39"/>
    <mergeCell ref="A40:Q40"/>
    <mergeCell ref="A41:Q41"/>
    <mergeCell ref="A42:Q42"/>
    <mergeCell ref="A43:Q43"/>
  </mergeCells>
  <pageMargins left="0.7" right="0.7" top="0.75" bottom="0.75" header="0.3" footer="0.3"/>
  <pageSetup paperSize="9" scale="60" orientation="landscape" horizontalDpi="4294967295" verticalDpi="4294967295" r:id="rId1"/>
  <legacy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vt:i4>
      </vt:variant>
      <vt:variant>
        <vt:lpstr>Named Ranges</vt:lpstr>
      </vt:variant>
      <vt:variant>
        <vt:i4>5</vt:i4>
      </vt:variant>
    </vt:vector>
  </HeadingPairs>
  <TitlesOfParts>
    <vt:vector size="10" baseType="lpstr">
      <vt:lpstr>13.5</vt:lpstr>
      <vt:lpstr>13.6</vt:lpstr>
      <vt:lpstr>13.7</vt:lpstr>
      <vt:lpstr>Fig 1.5 &amp; 1.6</vt:lpstr>
      <vt:lpstr>13.12</vt:lpstr>
      <vt:lpstr>'13.12'!Print_Area</vt:lpstr>
      <vt:lpstr>'13.5'!Print_Area</vt:lpstr>
      <vt:lpstr>'13.6'!Print_Area</vt:lpstr>
      <vt:lpstr>'13.7'!Print_Area</vt:lpstr>
      <vt:lpstr>'Fig 1.5 &amp; 1.6'!Print_Area</vt:lpstr>
    </vt:vector>
  </TitlesOfParts>
  <Company>Department of National Planning</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f.shifaza</dc:creator>
  <cp:lastModifiedBy>Fathimath Shifaza</cp:lastModifiedBy>
  <cp:lastPrinted>2018-04-17T06:04:08Z</cp:lastPrinted>
  <dcterms:created xsi:type="dcterms:W3CDTF">2014-03-06T08:38:12Z</dcterms:created>
  <dcterms:modified xsi:type="dcterms:W3CDTF">2018-04-17T06:04:15Z</dcterms:modified>
</cp:coreProperties>
</file>